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HI_calculations\turbidity_analysis\"/>
    </mc:Choice>
  </mc:AlternateContent>
  <xr:revisionPtr revIDLastSave="0" documentId="13_ncr:1_{C55E73CA-B87B-4F9F-97CB-32F04045364D}" xr6:coauthVersionLast="47" xr6:coauthVersionMax="47" xr10:uidLastSave="{00000000-0000-0000-0000-000000000000}"/>
  <bookViews>
    <workbookView xWindow="-120" yWindow="-120" windowWidth="29040" windowHeight="15720" activeTab="1" xr2:uid="{3F54C555-819F-43CB-8A57-44B2BD6B5D03}"/>
    <workbookView xWindow="22932" yWindow="-108" windowWidth="23256" windowHeight="12456" activeTab="1" xr2:uid="{4DA988AC-66C3-4956-B5CF-CF2671A5A75B}"/>
  </bookViews>
  <sheets>
    <sheet name="summer" sheetId="1" r:id="rId1"/>
    <sheet name="sp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2" l="1"/>
  <c r="D10" i="2"/>
  <c r="J6" i="2"/>
  <c r="J7" i="2"/>
  <c r="J8" i="2"/>
  <c r="J9" i="2"/>
  <c r="D5" i="2"/>
  <c r="D9" i="2"/>
  <c r="D11" i="2"/>
  <c r="D12" i="2"/>
  <c r="D13" i="2"/>
  <c r="D16" i="2"/>
  <c r="D18" i="2"/>
  <c r="D19" i="2"/>
  <c r="D20" i="2"/>
  <c r="D23" i="2"/>
  <c r="D24" i="2"/>
  <c r="D25" i="2"/>
  <c r="D26" i="2"/>
  <c r="D27" i="2"/>
  <c r="D29" i="2"/>
  <c r="D30" i="2"/>
  <c r="J5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P4" i="2"/>
  <c r="P5" i="2"/>
  <c r="P9" i="2"/>
  <c r="P10" i="2"/>
  <c r="P11" i="2"/>
  <c r="P12" i="2"/>
  <c r="P13" i="2"/>
  <c r="P16" i="2"/>
  <c r="P17" i="2"/>
  <c r="P18" i="2"/>
  <c r="P19" i="2"/>
  <c r="P20" i="2"/>
  <c r="P23" i="2"/>
  <c r="P24" i="2"/>
  <c r="P25" i="2"/>
  <c r="P26" i="2"/>
  <c r="P27" i="2"/>
  <c r="P29" i="2"/>
  <c r="P30" i="2"/>
  <c r="P31" i="2"/>
  <c r="D4" i="2"/>
  <c r="C30" i="1"/>
  <c r="C31" i="1"/>
  <c r="C32" i="1"/>
  <c r="C33" i="1"/>
  <c r="C34" i="1"/>
  <c r="C38" i="1"/>
  <c r="C39" i="1"/>
  <c r="C29" i="1"/>
  <c r="C17" i="1"/>
  <c r="C18" i="1"/>
  <c r="C19" i="1"/>
  <c r="C20" i="1"/>
  <c r="C21" i="1"/>
  <c r="C22" i="1"/>
  <c r="C26" i="1"/>
  <c r="C16" i="1"/>
  <c r="C4" i="1"/>
  <c r="C5" i="1"/>
  <c r="C6" i="1"/>
  <c r="C7" i="1"/>
  <c r="C8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<sst xmlns="http://schemas.openxmlformats.org/spreadsheetml/2006/main" count="149" uniqueCount="50">
  <si>
    <t>Storm</t>
  </si>
  <si>
    <t>Langlois (2005)</t>
  </si>
  <si>
    <t>Lawler (2006)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</si>
  <si>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</si>
  <si>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</si>
  <si>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</si>
  <si>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</si>
  <si>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</si>
  <si>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</si>
  <si>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</si>
  <si>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st5_down</t>
  </si>
  <si>
    <t>st5_up</t>
  </si>
  <si>
    <t>st6_up</t>
  </si>
  <si>
    <t>st7_down</t>
  </si>
  <si>
    <t>st7_up</t>
  </si>
  <si>
    <t xml:space="preserve">SSC </t>
  </si>
  <si>
    <t xml:space="preserve">Turb Continuous </t>
  </si>
  <si>
    <t>SSC (mg/L)</t>
  </si>
  <si>
    <t>Turb Discrete</t>
  </si>
  <si>
    <t>Log(Langlois)</t>
  </si>
  <si>
    <t>Down Event_1</t>
  </si>
  <si>
    <t>Down Event_2</t>
  </si>
  <si>
    <t>Down Event_3</t>
  </si>
  <si>
    <t>Down Event_4</t>
  </si>
  <si>
    <t>Down Event_5</t>
  </si>
  <si>
    <t>Down Event_6</t>
  </si>
  <si>
    <t>Down Event_7</t>
  </si>
  <si>
    <t>Down Event_8</t>
  </si>
  <si>
    <t>Down Event_9</t>
  </si>
  <si>
    <t>Down Event_10</t>
  </si>
  <si>
    <t>Down Event_11</t>
  </si>
  <si>
    <t>Down Event_12</t>
  </si>
  <si>
    <t>Down Event_13</t>
  </si>
  <si>
    <t>Down Event_14</t>
  </si>
  <si>
    <t>Up Event_1</t>
  </si>
  <si>
    <t>Up Event_2</t>
  </si>
  <si>
    <t>Up Event_3</t>
  </si>
  <si>
    <t>Up Event_4</t>
  </si>
  <si>
    <t>Up Event_5</t>
  </si>
  <si>
    <t>Up Event_6</t>
  </si>
  <si>
    <t>Up Event_7</t>
  </si>
  <si>
    <t>Up Event_8</t>
  </si>
  <si>
    <t>Up Event_9</t>
  </si>
  <si>
    <t>Up Event_10</t>
  </si>
  <si>
    <t>Up Event_11</t>
  </si>
  <si>
    <t>Up Event_12</t>
  </si>
  <si>
    <t>Up Event_13</t>
  </si>
  <si>
    <t>Up Event_14</t>
  </si>
  <si>
    <t>Log Langlois</t>
  </si>
  <si>
    <t>Turb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</si>
</sst>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Turbidity Continuos HI</a:t>
            </a:r>
            <a:r>
              <a:rPr lang="en-US" sz="1200" baseline="0"/>
              <a:t> to Turbidity Discrete HI </a:t>
            </a:r>
            <a:endParaRPr lang="en-US" sz="1200"/>
          </a:p>
        </c:rich>
      </c:tx>
      <c:layout>
        <c:manualLayout>
          <c:xMode val="edge"/>
          <c:yMode val="edge"/>
          <c:x val="0.2032500000000000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summer!$C$15</c:f>
              <c:strCache>
                <c:ptCount val="1"/>
                <c:pt idx="0">
                  <c:v>Log(Langlois)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737595709954327"/>
                  <c:y val="-0.145309857101195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summer!$C$16:$C$26</c:f>
              <c:numCache>
                <c:formatCode>0.00000</c:formatCode>
                <c:ptCount val="11"/>
                <c:pt idx="0">
                  <c:v>0.25232525339055556</c:v>
                </c:pt>
                <c:pt idx="1">
                  <c:v>0.45894958483099857</c:v>
                </c:pt>
                <c:pt idx="2">
                  <c:v>8.0989795825078759E-2</c:v>
                </c:pt>
                <c:pt idx="3">
                  <c:v>4.8872661635174883E-2</c:v>
                </c:pt>
                <c:pt idx="4">
                  <c:v>0.14844698947235901</c:v>
                </c:pt>
                <c:pt idx="5">
                  <c:v>0.15108466860966069</c:v>
                </c:pt>
                <c:pt idx="6">
                  <c:v>0.19560756274503188</c:v>
                </c:pt>
                <c:pt idx="10">
                  <c:v>6.5862036935340984E-2</c:v>
                </c:pt>
              </c:numCache>
            </c:numRef>
          </c:xVal>
          <c:yVal>
            <c:numRef>
              <c:f>summer!$C$29:$C$39</c:f>
              <c:numCache>
                <c:formatCode>0.0000</c:formatCode>
                <c:ptCount val="11"/>
                <c:pt idx="0">
                  <c:v>0.39577678689969864</c:v>
                </c:pt>
                <c:pt idx="1">
                  <c:v>0.38486187569904606</c:v>
                </c:pt>
                <c:pt idx="2">
                  <c:v>0.13653475150784594</c:v>
                </c:pt>
                <c:pt idx="3">
                  <c:v>4.2088972476420079E-2</c:v>
                </c:pt>
                <c:pt idx="4">
                  <c:v>0.12202488668675722</c:v>
                </c:pt>
                <c:pt idx="5">
                  <c:v>0.13291875457370347</c:v>
                </c:pt>
                <c:pt idx="9">
                  <c:v>6.9364155550745204E-4</c:v>
                </c:pt>
                <c:pt idx="10">
                  <c:v>-5.801988493999633E-3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C-4110-8598-2618C0ED81A2}"/>
            </c:ext>
          </c:extLst>
        </c:ser>
        <c:ser>
          <c:idx val="1"/>
          <c:order val="1"/>
          <c:tx>
            <c:strRef>
              <c:f>summer!$D$15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9377296587926507E-2"/>
                  <c:y val="0.2340522018081073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summer!$D$16:$D$26</c:f>
              <c:numCache>
                <c:formatCode>0.00000</c:formatCode>
                <c:ptCount val="11"/>
                <c:pt idx="0">
                  <c:v>0.26654667808256899</c:v>
                </c:pt>
                <c:pt idx="1">
                  <c:v>0.541500872594741</c:v>
                </c:pt>
                <c:pt idx="2">
                  <c:v>0.92674759673055396</c:v>
                </c:pt>
                <c:pt idx="3">
                  <c:v>0.156816283020727</c:v>
                </c:pt>
                <c:pt idx="4">
                  <c:v>0.25880560171696498</c:v>
                </c:pt>
                <c:pt idx="5">
                  <c:v>0.52921681534296305</c:v>
                </c:pt>
                <c:pt idx="6">
                  <c:v>0.71850105371235795</c:v>
                </c:pt>
                <c:pt idx="10">
                  <c:v>0.401331670241585</c:v>
                </c:pt>
              </c:numCache>
            </c:numRef>
          </c:xVal>
          <c:yVal>
            <c:numRef>
              <c:f>summer!$D$29:$D$39</c:f>
              <c:numCache>
                <c:formatCode>0.0000</c:formatCode>
                <c:ptCount val="11"/>
                <c:pt idx="0">
                  <c:v>0.65048906833676301</c:v>
                </c:pt>
                <c:pt idx="1">
                  <c:v>0.75393560180394203</c:v>
                </c:pt>
                <c:pt idx="2">
                  <c:v>0.78306756333961702</c:v>
                </c:pt>
                <c:pt idx="3">
                  <c:v>0.15622842988264299</c:v>
                </c:pt>
                <c:pt idx="4">
                  <c:v>0.39807607986391802</c:v>
                </c:pt>
                <c:pt idx="5">
                  <c:v>0.461166071319906</c:v>
                </c:pt>
                <c:pt idx="9">
                  <c:v>0.58012322631393598</c:v>
                </c:pt>
                <c:pt idx="10">
                  <c:v>-0.21037395778696899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2C-4110-8598-2618C0ED81A2}"/>
            </c:ext>
          </c:extLst>
        </c:ser>
        <c:ser>
          <c:idx val="2"/>
          <c:order val="2"/>
          <c:tx>
            <c:strRef>
              <c:f>summer!$E$15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0930996493561544E-2"/>
                  <c:y val="-0.1776057159521726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summer!$E$16:$E$26</c:f>
              <c:numCache>
                <c:formatCode>0.00000</c:formatCode>
                <c:ptCount val="11"/>
                <c:pt idx="0">
                  <c:v>0.57681691180727601</c:v>
                </c:pt>
                <c:pt idx="1">
                  <c:v>0.54443871754473905</c:v>
                </c:pt>
                <c:pt idx="2">
                  <c:v>0.13984116014494999</c:v>
                </c:pt>
                <c:pt idx="3">
                  <c:v>8.9326261366187695E-2</c:v>
                </c:pt>
                <c:pt idx="4">
                  <c:v>4.6283799610675601E-2</c:v>
                </c:pt>
                <c:pt idx="5">
                  <c:v>3.0850994672477702E-2</c:v>
                </c:pt>
                <c:pt idx="6">
                  <c:v>0.164262280281398</c:v>
                </c:pt>
                <c:pt idx="10">
                  <c:v>6.7271555006068101E-2</c:v>
                </c:pt>
              </c:numCache>
            </c:numRef>
          </c:xVal>
          <c:yVal>
            <c:numRef>
              <c:f>summer!$E$29:$E$39</c:f>
              <c:numCache>
                <c:formatCode>0.0000</c:formatCode>
                <c:ptCount val="11"/>
                <c:pt idx="0">
                  <c:v>0.51805624446506904</c:v>
                </c:pt>
                <c:pt idx="1">
                  <c:v>0.54968481078597298</c:v>
                </c:pt>
                <c:pt idx="2">
                  <c:v>0.18597520101248599</c:v>
                </c:pt>
                <c:pt idx="3">
                  <c:v>7.0058380129400605E-2</c:v>
                </c:pt>
                <c:pt idx="4">
                  <c:v>6.3621965438134198E-2</c:v>
                </c:pt>
                <c:pt idx="5">
                  <c:v>0.15718677945746901</c:v>
                </c:pt>
                <c:pt idx="9">
                  <c:v>1.8103438637387E-3</c:v>
                </c:pt>
                <c:pt idx="10">
                  <c:v>-1.15232620724754E-2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2C-4110-8598-2618C0ED8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119903"/>
        <c:axId val="1139105503"/>
      </c:scatterChart>
      <c:valAx>
        <c:axId val="113911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Continuous HI (15-min)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05503"/>
        <c:crosses val="autoZero"/>
        <c:crossBetween val="midCat"/>
      </c:valAx>
      <c:valAx>
        <c:axId val="113910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Discrete  HI (SSC Samples)</a:t>
                </a:r>
              </a:p>
            </c:rich>
          </c:tx>
          <c:layout>
            <c:manualLayout>
              <c:xMode val="edge"/>
              <c:yMode val="edge"/>
              <c:x val="3.4307987989993953E-2"/>
              <c:y val="0.16504629629629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1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Continuous</a:t>
            </a:r>
            <a:r>
              <a:rPr lang="en-US" baseline="0"/>
              <a:t> HI to SSC sample HI</a:t>
            </a:r>
            <a:endParaRPr lang="en-US"/>
          </a:p>
        </c:rich>
      </c:tx>
      <c:layout>
        <c:manualLayout>
          <c:xMode val="edge"/>
          <c:yMode val="edge"/>
          <c:x val="0.2032500000000000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summer!$C$15</c:f>
              <c:strCache>
                <c:ptCount val="1"/>
                <c:pt idx="0">
                  <c:v>Log(Langlois)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847361432762078"/>
                  <c:y val="0.276311971420239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summer!$C$16:$C$26</c:f>
              <c:numCache>
                <c:formatCode>0.00000</c:formatCode>
                <c:ptCount val="11"/>
                <c:pt idx="0">
                  <c:v>0.25232525339055556</c:v>
                </c:pt>
                <c:pt idx="1">
                  <c:v>0.45894958483099857</c:v>
                </c:pt>
                <c:pt idx="2">
                  <c:v>8.0989795825078759E-2</c:v>
                </c:pt>
                <c:pt idx="3">
                  <c:v>4.8872661635174883E-2</c:v>
                </c:pt>
                <c:pt idx="4">
                  <c:v>0.14844698947235901</c:v>
                </c:pt>
                <c:pt idx="5">
                  <c:v>0.15108466860966069</c:v>
                </c:pt>
                <c:pt idx="6">
                  <c:v>0.19560756274503188</c:v>
                </c:pt>
                <c:pt idx="10">
                  <c:v>6.5862036935340984E-2</c:v>
                </c:pt>
              </c:numCache>
            </c:numRef>
          </c:xVal>
          <c:yVal>
            <c:numRef>
              <c:f>summer!$C$3:$C$13</c:f>
              <c:numCache>
                <c:formatCode>0.00000</c:formatCode>
                <c:ptCount val="11"/>
                <c:pt idx="0">
                  <c:v>0.74811080045096356</c:v>
                </c:pt>
                <c:pt idx="1">
                  <c:v>0.55811409217085495</c:v>
                </c:pt>
                <c:pt idx="2">
                  <c:v>0.33738713325723541</c:v>
                </c:pt>
                <c:pt idx="3">
                  <c:v>0.35778787215309504</c:v>
                </c:pt>
                <c:pt idx="4">
                  <c:v>0.16078281603237832</c:v>
                </c:pt>
                <c:pt idx="5">
                  <c:v>0.16209486589117289</c:v>
                </c:pt>
                <c:pt idx="7">
                  <c:v>0.1716516139036095</c:v>
                </c:pt>
                <c:pt idx="8">
                  <c:v>0.21980421110710638</c:v>
                </c:pt>
                <c:pt idx="9">
                  <c:v>-0.17688759104076174</c:v>
                </c:pt>
                <c:pt idx="10">
                  <c:v>-7.2531681991024291E-2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F2-4269-A090-F4A1FFE4782E}"/>
            </c:ext>
          </c:extLst>
        </c:ser>
        <c:ser>
          <c:idx val="1"/>
          <c:order val="1"/>
          <c:tx>
            <c:strRef>
              <c:f>summer!$D$15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9377296587926507E-2"/>
                  <c:y val="0.2340522018081073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summer!$D$16:$D$26</c:f>
              <c:numCache>
                <c:formatCode>0.00000</c:formatCode>
                <c:ptCount val="11"/>
                <c:pt idx="0">
                  <c:v>0.26654667808256899</c:v>
                </c:pt>
                <c:pt idx="1">
                  <c:v>0.541500872594741</c:v>
                </c:pt>
                <c:pt idx="2">
                  <c:v>0.92674759673055396</c:v>
                </c:pt>
                <c:pt idx="3">
                  <c:v>0.156816283020727</c:v>
                </c:pt>
                <c:pt idx="4">
                  <c:v>0.25880560171696498</c:v>
                </c:pt>
                <c:pt idx="5">
                  <c:v>0.52921681534296305</c:v>
                </c:pt>
                <c:pt idx="6">
                  <c:v>0.71850105371235795</c:v>
                </c:pt>
                <c:pt idx="10">
                  <c:v>0.401331670241585</c:v>
                </c:pt>
              </c:numCache>
            </c:numRef>
          </c:xVal>
          <c:yVal>
            <c:numRef>
              <c:f>summer!$D$3:$D$13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0.55431906321323399</c:v>
                </c:pt>
                <c:pt idx="8">
                  <c:v>0.49497785634638802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F2-4269-A090-F4A1FFE4782E}"/>
            </c:ext>
          </c:extLst>
        </c:ser>
        <c:ser>
          <c:idx val="2"/>
          <c:order val="2"/>
          <c:tx>
            <c:strRef>
              <c:f>summer!$E$15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2536976995522564E-2"/>
                  <c:y val="0.23106481481481481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summer!$E$16:$E$26</c:f>
              <c:numCache>
                <c:formatCode>0.00000</c:formatCode>
                <c:ptCount val="11"/>
                <c:pt idx="0">
                  <c:v>0.57681691180727601</c:v>
                </c:pt>
                <c:pt idx="1">
                  <c:v>0.54443871754473905</c:v>
                </c:pt>
                <c:pt idx="2">
                  <c:v>0.13984116014494999</c:v>
                </c:pt>
                <c:pt idx="3">
                  <c:v>8.9326261366187695E-2</c:v>
                </c:pt>
                <c:pt idx="4">
                  <c:v>4.6283799610675601E-2</c:v>
                </c:pt>
                <c:pt idx="5">
                  <c:v>3.0850994672477702E-2</c:v>
                </c:pt>
                <c:pt idx="6">
                  <c:v>0.164262280281398</c:v>
                </c:pt>
                <c:pt idx="10">
                  <c:v>6.7271555006068101E-2</c:v>
                </c:pt>
              </c:numCache>
            </c:numRef>
          </c:xVal>
          <c:yVal>
            <c:numRef>
              <c:f>summer!$E$3:$E$13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F2-4269-A090-F4A1FFE47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119903"/>
        <c:axId val="1139105503"/>
      </c:scatterChart>
      <c:valAx>
        <c:axId val="113911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Continuous HI (15-min)</a:t>
                </a:r>
              </a:p>
            </c:rich>
          </c:tx>
          <c:layout>
            <c:manualLayout>
              <c:xMode val="edge"/>
              <c:yMode val="edge"/>
              <c:x val="0.34272039524471204"/>
              <c:y val="0.77740667833187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05503"/>
        <c:crosses val="autoZero"/>
        <c:crossBetween val="midCat"/>
      </c:valAx>
      <c:valAx>
        <c:axId val="1139105503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Samples</a:t>
                </a:r>
                <a:r>
                  <a:rPr lang="en-US" baseline="0"/>
                  <a:t> HI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1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849114598503219"/>
          <c:y val="0.86516039661708954"/>
          <c:w val="0.6387954683630647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Continuos</a:t>
            </a:r>
            <a:r>
              <a:rPr lang="en-US" baseline="0"/>
              <a:t> to Turbidity Discrete</a:t>
            </a:r>
            <a:endParaRPr lang="en-US"/>
          </a:p>
        </c:rich>
      </c:tx>
      <c:layout>
        <c:manualLayout>
          <c:xMode val="edge"/>
          <c:yMode val="edge"/>
          <c:x val="0.2032500000000000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summer!$C$2</c:f>
              <c:strCache>
                <c:ptCount val="1"/>
                <c:pt idx="0">
                  <c:v>Log(Langlois)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863265599820037"/>
                  <c:y val="4.518737241178186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summer!$C$3:$C$13</c:f>
              <c:numCache>
                <c:formatCode>0.00000</c:formatCode>
                <c:ptCount val="11"/>
                <c:pt idx="0">
                  <c:v>0.74811080045096356</c:v>
                </c:pt>
                <c:pt idx="1">
                  <c:v>0.55811409217085495</c:v>
                </c:pt>
                <c:pt idx="2">
                  <c:v>0.33738713325723541</c:v>
                </c:pt>
                <c:pt idx="3">
                  <c:v>0.35778787215309504</c:v>
                </c:pt>
                <c:pt idx="4">
                  <c:v>0.16078281603237832</c:v>
                </c:pt>
                <c:pt idx="5">
                  <c:v>0.16209486589117289</c:v>
                </c:pt>
                <c:pt idx="7">
                  <c:v>0.1716516139036095</c:v>
                </c:pt>
                <c:pt idx="8">
                  <c:v>0.21980421110710638</c:v>
                </c:pt>
                <c:pt idx="9">
                  <c:v>-0.17688759104076174</c:v>
                </c:pt>
                <c:pt idx="10">
                  <c:v>-7.2531681991024291E-2</c:v>
                </c:pt>
              </c:numCache>
            </c:numRef>
          </c:xVal>
          <c:yVal>
            <c:numRef>
              <c:f>summer!$C$29:$C$39</c:f>
              <c:numCache>
                <c:formatCode>0.0000</c:formatCode>
                <c:ptCount val="11"/>
                <c:pt idx="0">
                  <c:v>0.39577678689969864</c:v>
                </c:pt>
                <c:pt idx="1">
                  <c:v>0.38486187569904606</c:v>
                </c:pt>
                <c:pt idx="2">
                  <c:v>0.13653475150784594</c:v>
                </c:pt>
                <c:pt idx="3">
                  <c:v>4.2088972476420079E-2</c:v>
                </c:pt>
                <c:pt idx="4">
                  <c:v>0.12202488668675722</c:v>
                </c:pt>
                <c:pt idx="5">
                  <c:v>0.13291875457370347</c:v>
                </c:pt>
                <c:pt idx="9">
                  <c:v>6.9364155550745204E-4</c:v>
                </c:pt>
                <c:pt idx="10">
                  <c:v>-5.801988493999633E-3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37-4B59-921F-49EB5DB31534}"/>
            </c:ext>
          </c:extLst>
        </c:ser>
        <c:ser>
          <c:idx val="1"/>
          <c:order val="1"/>
          <c:tx>
            <c:strRef>
              <c:f>summer!$D$2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410084829385908"/>
                  <c:y val="-0.1281645523476232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summer!$D$3:$D$13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0.55431906321323399</c:v>
                </c:pt>
                <c:pt idx="8">
                  <c:v>0.49497785634638802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summer!$D$29:$D$39</c:f>
              <c:numCache>
                <c:formatCode>0.0000</c:formatCode>
                <c:ptCount val="11"/>
                <c:pt idx="0">
                  <c:v>0.65048906833676301</c:v>
                </c:pt>
                <c:pt idx="1">
                  <c:v>0.75393560180394203</c:v>
                </c:pt>
                <c:pt idx="2">
                  <c:v>0.78306756333961702</c:v>
                </c:pt>
                <c:pt idx="3">
                  <c:v>0.15622842988264299</c:v>
                </c:pt>
                <c:pt idx="4">
                  <c:v>0.39807607986391802</c:v>
                </c:pt>
                <c:pt idx="5">
                  <c:v>0.461166071319906</c:v>
                </c:pt>
                <c:pt idx="9">
                  <c:v>0.58012322631393598</c:v>
                </c:pt>
                <c:pt idx="10">
                  <c:v>-0.21037395778696899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37-4B59-921F-49EB5DB31534}"/>
            </c:ext>
          </c:extLst>
        </c:ser>
        <c:ser>
          <c:idx val="2"/>
          <c:order val="2"/>
          <c:tx>
            <c:strRef>
              <c:f>summer!$E$2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138888888888889E-3"/>
                  <c:y val="-0.1798148148148148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summer!$E$29:$E$39</c:f>
              <c:numCache>
                <c:formatCode>0.0000</c:formatCode>
                <c:ptCount val="11"/>
                <c:pt idx="0">
                  <c:v>0.51805624446506904</c:v>
                </c:pt>
                <c:pt idx="1">
                  <c:v>0.54968481078597298</c:v>
                </c:pt>
                <c:pt idx="2">
                  <c:v>0.18597520101248599</c:v>
                </c:pt>
                <c:pt idx="3">
                  <c:v>7.0058380129400605E-2</c:v>
                </c:pt>
                <c:pt idx="4">
                  <c:v>6.3621965438134198E-2</c:v>
                </c:pt>
                <c:pt idx="5">
                  <c:v>0.15718677945746901</c:v>
                </c:pt>
                <c:pt idx="9">
                  <c:v>1.8103438637387E-3</c:v>
                </c:pt>
                <c:pt idx="10">
                  <c:v>-1.15232620724754E-2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37-4B59-921F-49EB5DB31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119903"/>
        <c:axId val="1139105503"/>
      </c:scatterChart>
      <c:valAx>
        <c:axId val="113911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SSC Samples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05503"/>
        <c:crosses val="autoZero"/>
        <c:crossBetween val="midCat"/>
      </c:valAx>
      <c:valAx>
        <c:axId val="113910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Discrete (SSC Samples)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1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Continuous HI to SSC sample HI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spring!$J$3</c:f>
              <c:strCache>
                <c:ptCount val="1"/>
                <c:pt idx="0">
                  <c:v>Log Langlois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474444987261678E-2"/>
                  <c:y val="-0.17451801411965451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spring!$J$5:$J$31</c:f>
              <c:numCache>
                <c:formatCode>0.0000</c:formatCode>
                <c:ptCount val="27"/>
                <c:pt idx="0">
                  <c:v>0.14513129926404733</c:v>
                </c:pt>
                <c:pt idx="1">
                  <c:v>8.3083828015989958E-2</c:v>
                </c:pt>
                <c:pt idx="2">
                  <c:v>5.9066433524895802E-2</c:v>
                </c:pt>
                <c:pt idx="3">
                  <c:v>4.2469198538698585E-2</c:v>
                </c:pt>
                <c:pt idx="4">
                  <c:v>9.9560620756408508E-2</c:v>
                </c:pt>
                <c:pt idx="5">
                  <c:v>9.6241586035677562E-2</c:v>
                </c:pt>
                <c:pt idx="6">
                  <c:v>0.15496443191235268</c:v>
                </c:pt>
                <c:pt idx="7">
                  <c:v>0.12691598769170023</c:v>
                </c:pt>
                <c:pt idx="8">
                  <c:v>0.13890760375753933</c:v>
                </c:pt>
                <c:pt idx="9">
                  <c:v>0.22138456461405814</c:v>
                </c:pt>
                <c:pt idx="10">
                  <c:v>6.2168164485084561E-2</c:v>
                </c:pt>
                <c:pt idx="11">
                  <c:v>0.197274027384506</c:v>
                </c:pt>
                <c:pt idx="12">
                  <c:v>0.13783345059584137</c:v>
                </c:pt>
                <c:pt idx="13">
                  <c:v>2.4686958724746404E-2</c:v>
                </c:pt>
                <c:pt idx="14">
                  <c:v>0.15740296382610611</c:v>
                </c:pt>
                <c:pt idx="15">
                  <c:v>6.5687129927886334E-2</c:v>
                </c:pt>
                <c:pt idx="16">
                  <c:v>6.6764336320578821E-2</c:v>
                </c:pt>
                <c:pt idx="17">
                  <c:v>6.4872552181767323E-2</c:v>
                </c:pt>
                <c:pt idx="18">
                  <c:v>8.9306378966329397E-2</c:v>
                </c:pt>
                <c:pt idx="19">
                  <c:v>0.11347312583894865</c:v>
                </c:pt>
                <c:pt idx="20">
                  <c:v>9.9960155676404691E-2</c:v>
                </c:pt>
                <c:pt idx="21">
                  <c:v>0.11107859123540517</c:v>
                </c:pt>
                <c:pt idx="22">
                  <c:v>0.11014872482653605</c:v>
                </c:pt>
                <c:pt idx="23">
                  <c:v>0.14492399883164073</c:v>
                </c:pt>
                <c:pt idx="24">
                  <c:v>6.2544568293434938E-2</c:v>
                </c:pt>
                <c:pt idx="25">
                  <c:v>0.21014956097310067</c:v>
                </c:pt>
                <c:pt idx="26">
                  <c:v>0.16352352305151571</c:v>
                </c:pt>
              </c:numCache>
            </c:numRef>
          </c:xVal>
          <c:yVal>
            <c:numRef>
              <c:f>spring!$D$5:$D$31</c:f>
              <c:numCache>
                <c:formatCode>0.0000</c:formatCode>
                <c:ptCount val="27"/>
                <c:pt idx="0">
                  <c:v>0.13180960513617518</c:v>
                </c:pt>
                <c:pt idx="4">
                  <c:v>0.11973809023641387</c:v>
                </c:pt>
                <c:pt idx="5">
                  <c:v>-4.7036661593077796E-2</c:v>
                </c:pt>
                <c:pt idx="6">
                  <c:v>0.14575587524045741</c:v>
                </c:pt>
                <c:pt idx="7">
                  <c:v>8.6717028835620949E-2</c:v>
                </c:pt>
                <c:pt idx="8">
                  <c:v>0.18324188453542448</c:v>
                </c:pt>
                <c:pt idx="11">
                  <c:v>0.13569949966494516</c:v>
                </c:pt>
                <c:pt idx="13">
                  <c:v>0.27174854465855475</c:v>
                </c:pt>
                <c:pt idx="14">
                  <c:v>8.5632542794309818E-2</c:v>
                </c:pt>
                <c:pt idx="15">
                  <c:v>1.2822885961612207E-2</c:v>
                </c:pt>
                <c:pt idx="18">
                  <c:v>6.1996783282367796E-2</c:v>
                </c:pt>
                <c:pt idx="19">
                  <c:v>0.22076886197969703</c:v>
                </c:pt>
                <c:pt idx="20">
                  <c:v>-7.6455448209867299E-2</c:v>
                </c:pt>
                <c:pt idx="21">
                  <c:v>0.36537286799984553</c:v>
                </c:pt>
                <c:pt idx="22">
                  <c:v>0.22260108924843011</c:v>
                </c:pt>
                <c:pt idx="24">
                  <c:v>-4.1890020032920458E-2</c:v>
                </c:pt>
                <c:pt idx="25">
                  <c:v>3.5945343504069888E-2</c:v>
                </c:pt>
                <c:pt idx="26">
                  <c:v>-0.40610750460138001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7-4C83-B252-2001903C557B}"/>
            </c:ext>
          </c:extLst>
        </c:ser>
        <c:ser>
          <c:idx val="1"/>
          <c:order val="1"/>
          <c:tx>
            <c:strRef>
              <c:f>spring!$K$3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1932852143482066E-2"/>
                  <c:y val="-0.248272455526392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spring!$K$4:$K$31</c:f>
              <c:numCache>
                <c:formatCode>0.0000</c:formatCode>
                <c:ptCount val="28"/>
                <c:pt idx="0">
                  <c:v>0.178366367675658</c:v>
                </c:pt>
                <c:pt idx="1">
                  <c:v>0.88641107886014003</c:v>
                </c:pt>
                <c:pt idx="2">
                  <c:v>0.92629163740877796</c:v>
                </c:pt>
                <c:pt idx="3">
                  <c:v>0.723568252950335</c:v>
                </c:pt>
                <c:pt idx="4">
                  <c:v>0.92947006080395</c:v>
                </c:pt>
                <c:pt idx="5">
                  <c:v>0.77855192606860901</c:v>
                </c:pt>
                <c:pt idx="6">
                  <c:v>0.55577143716833499</c:v>
                </c:pt>
                <c:pt idx="7">
                  <c:v>0.33551375674123601</c:v>
                </c:pt>
                <c:pt idx="8">
                  <c:v>0.63731372986403501</c:v>
                </c:pt>
                <c:pt idx="9">
                  <c:v>-0.44248745305980902</c:v>
                </c:pt>
                <c:pt idx="10">
                  <c:v>0.73952445342362605</c:v>
                </c:pt>
                <c:pt idx="11">
                  <c:v>9.3645385178040705E-2</c:v>
                </c:pt>
                <c:pt idx="12">
                  <c:v>0.78100360785877099</c:v>
                </c:pt>
                <c:pt idx="13">
                  <c:v>0.76865077228085099</c:v>
                </c:pt>
                <c:pt idx="14">
                  <c:v>-0.73582121336391904</c:v>
                </c:pt>
                <c:pt idx="15">
                  <c:v>0.96854380596042999</c:v>
                </c:pt>
                <c:pt idx="16">
                  <c:v>0.91285830032378401</c:v>
                </c:pt>
                <c:pt idx="17">
                  <c:v>0.69952356032694896</c:v>
                </c:pt>
                <c:pt idx="18">
                  <c:v>0.97668665464899096</c:v>
                </c:pt>
                <c:pt idx="19">
                  <c:v>0.33582626900186402</c:v>
                </c:pt>
                <c:pt idx="20">
                  <c:v>0.52794332050181203</c:v>
                </c:pt>
                <c:pt idx="21">
                  <c:v>0.94081849763111403</c:v>
                </c:pt>
                <c:pt idx="22">
                  <c:v>0.445945938664987</c:v>
                </c:pt>
                <c:pt idx="23">
                  <c:v>-0.136935986249347</c:v>
                </c:pt>
                <c:pt idx="24">
                  <c:v>0.97165157928161605</c:v>
                </c:pt>
                <c:pt idx="25">
                  <c:v>0.47813963463856402</c:v>
                </c:pt>
                <c:pt idx="26">
                  <c:v>0.74242380847501299</c:v>
                </c:pt>
                <c:pt idx="27">
                  <c:v>0.80433038241724497</c:v>
                </c:pt>
              </c:numCache>
            </c:numRef>
          </c:xVal>
          <c:yVal>
            <c:numRef>
              <c:f>spring!$E$4:$E$31</c:f>
              <c:numCache>
                <c:formatCode>0.0000</c:formatCode>
                <c:ptCount val="28"/>
                <c:pt idx="0">
                  <c:v>1.9314296164550899</c:v>
                </c:pt>
                <c:pt idx="1">
                  <c:v>1.0089470650494099</c:v>
                </c:pt>
                <c:pt idx="5">
                  <c:v>0.66698565105034602</c:v>
                </c:pt>
                <c:pt idx="6">
                  <c:v>0.19762137224995299</c:v>
                </c:pt>
                <c:pt idx="7">
                  <c:v>0.54807771119966198</c:v>
                </c:pt>
                <c:pt idx="8">
                  <c:v>0.10106112243990099</c:v>
                </c:pt>
                <c:pt idx="9">
                  <c:v>0.50902572287082404</c:v>
                </c:pt>
                <c:pt idx="12">
                  <c:v>0.463447965306029</c:v>
                </c:pt>
                <c:pt idx="14">
                  <c:v>0.44896728093636801</c:v>
                </c:pt>
                <c:pt idx="15">
                  <c:v>1.5264059910121399</c:v>
                </c:pt>
                <c:pt idx="16">
                  <c:v>0.71671353985517805</c:v>
                </c:pt>
                <c:pt idx="19">
                  <c:v>0.678678630991426</c:v>
                </c:pt>
                <c:pt idx="20">
                  <c:v>0.81343884511072295</c:v>
                </c:pt>
                <c:pt idx="21">
                  <c:v>-1.07855599689062</c:v>
                </c:pt>
                <c:pt idx="22">
                  <c:v>1.34776836410395</c:v>
                </c:pt>
                <c:pt idx="23">
                  <c:v>0.55456789410428697</c:v>
                </c:pt>
                <c:pt idx="24">
                  <c:v>0.70468449804027899</c:v>
                </c:pt>
                <c:pt idx="25">
                  <c:v>-0.373253605455523</c:v>
                </c:pt>
                <c:pt idx="26">
                  <c:v>0.63056904760694898</c:v>
                </c:pt>
                <c:pt idx="27">
                  <c:v>-0.623899602892661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17-4C83-B252-2001903C557B}"/>
            </c:ext>
          </c:extLst>
        </c:ser>
        <c:ser>
          <c:idx val="2"/>
          <c:order val="2"/>
          <c:tx>
            <c:strRef>
              <c:f>spring!$L$3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893810148731408"/>
                  <c:y val="-0.2979574948964712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spring!$L$4:$L$31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spring!$F$4:$F$31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17-4C83-B252-2001903C5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267167"/>
        <c:axId val="1401268607"/>
      </c:scatterChart>
      <c:valAx>
        <c:axId val="140126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Turbidity Continuous HI (15-min)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68607"/>
        <c:crosses val="autoZero"/>
        <c:crossBetween val="midCat"/>
      </c:valAx>
      <c:valAx>
        <c:axId val="14012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SSC Samples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6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Continuos HI to Turbidity Discrete HI </a:t>
            </a:r>
          </a:p>
        </c:rich>
      </c:tx>
      <c:layout>
        <c:manualLayout>
          <c:xMode val="edge"/>
          <c:yMode val="edge"/>
          <c:x val="0.17677532647407992"/>
          <c:y val="4.2127428505275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spring!$J$3</c:f>
              <c:strCache>
                <c:ptCount val="1"/>
                <c:pt idx="0">
                  <c:v>Log Langlois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579936683814802E-2"/>
                  <c:y val="-0.27677488329541311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spring!$J$5:$J$31</c:f>
              <c:numCache>
                <c:formatCode>0.0000</c:formatCode>
                <c:ptCount val="27"/>
                <c:pt idx="0">
                  <c:v>0.14513129926404733</c:v>
                </c:pt>
                <c:pt idx="1">
                  <c:v>8.3083828015989958E-2</c:v>
                </c:pt>
                <c:pt idx="2">
                  <c:v>5.9066433524895802E-2</c:v>
                </c:pt>
                <c:pt idx="3">
                  <c:v>4.2469198538698585E-2</c:v>
                </c:pt>
                <c:pt idx="4">
                  <c:v>9.9560620756408508E-2</c:v>
                </c:pt>
                <c:pt idx="5">
                  <c:v>9.6241586035677562E-2</c:v>
                </c:pt>
                <c:pt idx="6">
                  <c:v>0.15496443191235268</c:v>
                </c:pt>
                <c:pt idx="7">
                  <c:v>0.12691598769170023</c:v>
                </c:pt>
                <c:pt idx="8">
                  <c:v>0.13890760375753933</c:v>
                </c:pt>
                <c:pt idx="9">
                  <c:v>0.22138456461405814</c:v>
                </c:pt>
                <c:pt idx="10">
                  <c:v>6.2168164485084561E-2</c:v>
                </c:pt>
                <c:pt idx="11">
                  <c:v>0.197274027384506</c:v>
                </c:pt>
                <c:pt idx="12">
                  <c:v>0.13783345059584137</c:v>
                </c:pt>
                <c:pt idx="13">
                  <c:v>2.4686958724746404E-2</c:v>
                </c:pt>
                <c:pt idx="14">
                  <c:v>0.15740296382610611</c:v>
                </c:pt>
                <c:pt idx="15">
                  <c:v>6.5687129927886334E-2</c:v>
                </c:pt>
                <c:pt idx="16">
                  <c:v>6.6764336320578821E-2</c:v>
                </c:pt>
                <c:pt idx="17">
                  <c:v>6.4872552181767323E-2</c:v>
                </c:pt>
                <c:pt idx="18">
                  <c:v>8.9306378966329397E-2</c:v>
                </c:pt>
                <c:pt idx="19">
                  <c:v>0.11347312583894865</c:v>
                </c:pt>
                <c:pt idx="20">
                  <c:v>9.9960155676404691E-2</c:v>
                </c:pt>
                <c:pt idx="21">
                  <c:v>0.11107859123540517</c:v>
                </c:pt>
                <c:pt idx="22">
                  <c:v>0.11014872482653605</c:v>
                </c:pt>
                <c:pt idx="23">
                  <c:v>0.14492399883164073</c:v>
                </c:pt>
                <c:pt idx="24">
                  <c:v>6.2544568293434938E-2</c:v>
                </c:pt>
                <c:pt idx="25">
                  <c:v>0.21014956097310067</c:v>
                </c:pt>
                <c:pt idx="26">
                  <c:v>0.16352352305151571</c:v>
                </c:pt>
              </c:numCache>
            </c:numRef>
          </c:xVal>
          <c:yVal>
            <c:numRef>
              <c:f>spring!$P$5:$P$31</c:f>
              <c:numCache>
                <c:formatCode>0.0000</c:formatCode>
                <c:ptCount val="27"/>
                <c:pt idx="0">
                  <c:v>0.12106776963540236</c:v>
                </c:pt>
                <c:pt idx="4">
                  <c:v>7.6268280166287186E-2</c:v>
                </c:pt>
                <c:pt idx="5">
                  <c:v>8.599444666469859E-2</c:v>
                </c:pt>
                <c:pt idx="6">
                  <c:v>5.8343939028380878E-2</c:v>
                </c:pt>
                <c:pt idx="7">
                  <c:v>5.2949331916534247E-2</c:v>
                </c:pt>
                <c:pt idx="8">
                  <c:v>8.6932486833382283E-2</c:v>
                </c:pt>
                <c:pt idx="11">
                  <c:v>0.11837199613859342</c:v>
                </c:pt>
                <c:pt idx="12">
                  <c:v>-2.3209522879678278E-2</c:v>
                </c:pt>
                <c:pt idx="13">
                  <c:v>-5.0995201360183443E-2</c:v>
                </c:pt>
                <c:pt idx="14">
                  <c:v>0.16177616573309775</c:v>
                </c:pt>
                <c:pt idx="15">
                  <c:v>3.7931047101078148E-2</c:v>
                </c:pt>
                <c:pt idx="18">
                  <c:v>5.3700601961411354E-2</c:v>
                </c:pt>
                <c:pt idx="19">
                  <c:v>3.8438023151292605E-2</c:v>
                </c:pt>
                <c:pt idx="20">
                  <c:v>5.8824723149996927E-2</c:v>
                </c:pt>
                <c:pt idx="21">
                  <c:v>7.151313800558104E-2</c:v>
                </c:pt>
                <c:pt idx="22">
                  <c:v>-9.312302797939662E-3</c:v>
                </c:pt>
                <c:pt idx="24">
                  <c:v>1.6090478915546057E-2</c:v>
                </c:pt>
                <c:pt idx="25">
                  <c:v>9.7075245096043816E-2</c:v>
                </c:pt>
                <c:pt idx="26">
                  <c:v>0.18953101743560918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BD-4E99-B56A-3691487957FB}"/>
            </c:ext>
          </c:extLst>
        </c:ser>
        <c:ser>
          <c:idx val="1"/>
          <c:order val="1"/>
          <c:tx>
            <c:strRef>
              <c:f>spring!$K$3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941704590423427"/>
                  <c:y val="0.158172571859607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spring!$K$4:$K$31</c:f>
              <c:numCache>
                <c:formatCode>0.0000</c:formatCode>
                <c:ptCount val="28"/>
                <c:pt idx="0">
                  <c:v>0.178366367675658</c:v>
                </c:pt>
                <c:pt idx="1">
                  <c:v>0.88641107886014003</c:v>
                </c:pt>
                <c:pt idx="2">
                  <c:v>0.92629163740877796</c:v>
                </c:pt>
                <c:pt idx="3">
                  <c:v>0.723568252950335</c:v>
                </c:pt>
                <c:pt idx="4">
                  <c:v>0.92947006080395</c:v>
                </c:pt>
                <c:pt idx="5">
                  <c:v>0.77855192606860901</c:v>
                </c:pt>
                <c:pt idx="6">
                  <c:v>0.55577143716833499</c:v>
                </c:pt>
                <c:pt idx="7">
                  <c:v>0.33551375674123601</c:v>
                </c:pt>
                <c:pt idx="8">
                  <c:v>0.63731372986403501</c:v>
                </c:pt>
                <c:pt idx="9">
                  <c:v>-0.44248745305980902</c:v>
                </c:pt>
                <c:pt idx="10">
                  <c:v>0.73952445342362605</c:v>
                </c:pt>
                <c:pt idx="11">
                  <c:v>9.3645385178040705E-2</c:v>
                </c:pt>
                <c:pt idx="12">
                  <c:v>0.78100360785877099</c:v>
                </c:pt>
                <c:pt idx="13">
                  <c:v>0.76865077228085099</c:v>
                </c:pt>
                <c:pt idx="14">
                  <c:v>-0.73582121336391904</c:v>
                </c:pt>
                <c:pt idx="15">
                  <c:v>0.96854380596042999</c:v>
                </c:pt>
                <c:pt idx="16">
                  <c:v>0.91285830032378401</c:v>
                </c:pt>
                <c:pt idx="17">
                  <c:v>0.69952356032694896</c:v>
                </c:pt>
                <c:pt idx="18">
                  <c:v>0.97668665464899096</c:v>
                </c:pt>
                <c:pt idx="19">
                  <c:v>0.33582626900186402</c:v>
                </c:pt>
                <c:pt idx="20">
                  <c:v>0.52794332050181203</c:v>
                </c:pt>
                <c:pt idx="21">
                  <c:v>0.94081849763111403</c:v>
                </c:pt>
                <c:pt idx="22">
                  <c:v>0.445945938664987</c:v>
                </c:pt>
                <c:pt idx="23">
                  <c:v>-0.136935986249347</c:v>
                </c:pt>
                <c:pt idx="24">
                  <c:v>0.97165157928161605</c:v>
                </c:pt>
                <c:pt idx="25">
                  <c:v>0.47813963463856402</c:v>
                </c:pt>
                <c:pt idx="26">
                  <c:v>0.74242380847501299</c:v>
                </c:pt>
                <c:pt idx="27">
                  <c:v>0.80433038241724497</c:v>
                </c:pt>
              </c:numCache>
            </c:numRef>
          </c:xVal>
          <c:yVal>
            <c:numRef>
              <c:f>spring!$Q$4:$Q$31</c:f>
              <c:numCache>
                <c:formatCode>0.0000</c:formatCode>
                <c:ptCount val="28"/>
                <c:pt idx="0">
                  <c:v>-0.38274070908834301</c:v>
                </c:pt>
                <c:pt idx="1">
                  <c:v>1.09089200397148</c:v>
                </c:pt>
                <c:pt idx="5">
                  <c:v>0.99451564623288902</c:v>
                </c:pt>
                <c:pt idx="6">
                  <c:v>0.78913067362511802</c:v>
                </c:pt>
                <c:pt idx="7">
                  <c:v>0.58652864076782796</c:v>
                </c:pt>
                <c:pt idx="8">
                  <c:v>0.80456148054694898</c:v>
                </c:pt>
                <c:pt idx="9">
                  <c:v>0.48032085216860299</c:v>
                </c:pt>
                <c:pt idx="12">
                  <c:v>0.95109807907852595</c:v>
                </c:pt>
                <c:pt idx="13">
                  <c:v>0.41690238193539803</c:v>
                </c:pt>
                <c:pt idx="14">
                  <c:v>-0.46275846239035101</c:v>
                </c:pt>
                <c:pt idx="15">
                  <c:v>1.0296399204692099</c:v>
                </c:pt>
                <c:pt idx="16">
                  <c:v>0.71016469968771001</c:v>
                </c:pt>
                <c:pt idx="19">
                  <c:v>0.48949360984782597</c:v>
                </c:pt>
                <c:pt idx="20">
                  <c:v>0.62241847110175197</c:v>
                </c:pt>
                <c:pt idx="21">
                  <c:v>0.81053240763767698</c:v>
                </c:pt>
                <c:pt idx="22">
                  <c:v>0.71110320718430697</c:v>
                </c:pt>
                <c:pt idx="23">
                  <c:v>0.19577020963205699</c:v>
                </c:pt>
                <c:pt idx="24">
                  <c:v>0.683460368155826</c:v>
                </c:pt>
                <c:pt idx="25">
                  <c:v>0.77578539774468103</c:v>
                </c:pt>
                <c:pt idx="26">
                  <c:v>0.59604944299089302</c:v>
                </c:pt>
                <c:pt idx="27">
                  <c:v>0.99008387935652697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BD-4E99-B56A-3691487957FB}"/>
            </c:ext>
          </c:extLst>
        </c:ser>
        <c:ser>
          <c:idx val="2"/>
          <c:order val="2"/>
          <c:tx>
            <c:strRef>
              <c:f>spring!$L$3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893810148731408"/>
                  <c:y val="-0.2979574948964712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spring!$L$4:$L$31</c:f>
              <c:numCache>
                <c:formatCode>0.0000</c:formatCode>
                <c:ptCount val="28"/>
                <c:pt idx="0">
                  <c:v>5.1856335362832198E-2</c:v>
                </c:pt>
                <c:pt idx="1">
                  <c:v>0.103368750113241</c:v>
                </c:pt>
                <c:pt idx="2">
                  <c:v>0.11077055296162799</c:v>
                </c:pt>
                <c:pt idx="3">
                  <c:v>1.0650915621547401E-2</c:v>
                </c:pt>
                <c:pt idx="4">
                  <c:v>-2.2683422982125001E-2</c:v>
                </c:pt>
                <c:pt idx="5">
                  <c:v>0.15621819275209001</c:v>
                </c:pt>
                <c:pt idx="6">
                  <c:v>0.15071577677020101</c:v>
                </c:pt>
                <c:pt idx="7">
                  <c:v>5.5397551503622099E-2</c:v>
                </c:pt>
                <c:pt idx="8">
                  <c:v>6.9883057908481996E-2</c:v>
                </c:pt>
                <c:pt idx="9">
                  <c:v>7.8645648239850305E-2</c:v>
                </c:pt>
                <c:pt idx="10">
                  <c:v>0.17832892113485599</c:v>
                </c:pt>
                <c:pt idx="11">
                  <c:v>2.1496979213356301E-3</c:v>
                </c:pt>
                <c:pt idx="12">
                  <c:v>0.101236914763633</c:v>
                </c:pt>
                <c:pt idx="13">
                  <c:v>0.107400232693555</c:v>
                </c:pt>
                <c:pt idx="14">
                  <c:v>8.4573685986466099E-2</c:v>
                </c:pt>
                <c:pt idx="15">
                  <c:v>0.198594884621278</c:v>
                </c:pt>
                <c:pt idx="16">
                  <c:v>6.8212961854365706E-2</c:v>
                </c:pt>
                <c:pt idx="17">
                  <c:v>4.9611646415268197E-2</c:v>
                </c:pt>
                <c:pt idx="18">
                  <c:v>0.107447815904682</c:v>
                </c:pt>
                <c:pt idx="19">
                  <c:v>0.39411883766970102</c:v>
                </c:pt>
                <c:pt idx="20">
                  <c:v>9.0698601563059603E-2</c:v>
                </c:pt>
                <c:pt idx="21">
                  <c:v>9.9852529707758195E-2</c:v>
                </c:pt>
                <c:pt idx="22">
                  <c:v>5.5815481283492403E-2</c:v>
                </c:pt>
                <c:pt idx="23">
                  <c:v>9.5391388976058394E-2</c:v>
                </c:pt>
                <c:pt idx="24">
                  <c:v>9.9540545016305104E-2</c:v>
                </c:pt>
                <c:pt idx="25">
                  <c:v>0.115227328160236</c:v>
                </c:pt>
                <c:pt idx="26">
                  <c:v>0.157732693122626</c:v>
                </c:pt>
                <c:pt idx="27">
                  <c:v>0.121156039239802</c:v>
                </c:pt>
              </c:numCache>
            </c:numRef>
          </c:xVal>
          <c:yVal>
            <c:numRef>
              <c:f>spring!$R$4:$R$31</c:f>
              <c:numCache>
                <c:formatCode>0.0000</c:formatCode>
                <c:ptCount val="28"/>
                <c:pt idx="0">
                  <c:v>-0.111166592764846</c:v>
                </c:pt>
                <c:pt idx="1">
                  <c:v>5.8164977184442898E-2</c:v>
                </c:pt>
                <c:pt idx="5">
                  <c:v>3.9495800574767898E-2</c:v>
                </c:pt>
                <c:pt idx="6">
                  <c:v>5.7523441183696303E-2</c:v>
                </c:pt>
                <c:pt idx="7">
                  <c:v>3.4238947255520499E-2</c:v>
                </c:pt>
                <c:pt idx="8">
                  <c:v>6.6697793666290403E-2</c:v>
                </c:pt>
                <c:pt idx="9">
                  <c:v>6.9266609582891801E-3</c:v>
                </c:pt>
                <c:pt idx="12">
                  <c:v>4.4634061818344499E-2</c:v>
                </c:pt>
                <c:pt idx="13">
                  <c:v>-4.92326320115316E-2</c:v>
                </c:pt>
                <c:pt idx="14">
                  <c:v>-1.7297443578437301E-2</c:v>
                </c:pt>
                <c:pt idx="15">
                  <c:v>8.8842675425560597E-2</c:v>
                </c:pt>
                <c:pt idx="16">
                  <c:v>3.2065570463247699E-2</c:v>
                </c:pt>
                <c:pt idx="19">
                  <c:v>6.6985380748193796E-2</c:v>
                </c:pt>
                <c:pt idx="20">
                  <c:v>4.1172009140363702E-2</c:v>
                </c:pt>
                <c:pt idx="21">
                  <c:v>1.0119527368219401E-2</c:v>
                </c:pt>
                <c:pt idx="22">
                  <c:v>6.6536069428028005E-2</c:v>
                </c:pt>
                <c:pt idx="23">
                  <c:v>1.1313432223976399E-3</c:v>
                </c:pt>
                <c:pt idx="24">
                  <c:v>4.2954799108477999E-2</c:v>
                </c:pt>
                <c:pt idx="25">
                  <c:v>-2.47945511242929E-2</c:v>
                </c:pt>
                <c:pt idx="26">
                  <c:v>4.4957534610287397E-2</c:v>
                </c:pt>
                <c:pt idx="27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BD-4E99-B56A-369148795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267167"/>
        <c:axId val="1401268607"/>
      </c:scatterChart>
      <c:valAx>
        <c:axId val="140126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Turbidity Continuous HI (15-min)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68607"/>
        <c:crosses val="autoZero"/>
        <c:crossBetween val="midCat"/>
      </c:valAx>
      <c:valAx>
        <c:axId val="14012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Turbidity Discrete  HI 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6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SSC Sample HI to Turbidity Discrete HI </a:t>
            </a:r>
          </a:p>
        </c:rich>
      </c:tx>
      <c:layout>
        <c:manualLayout>
          <c:xMode val="edge"/>
          <c:yMode val="edge"/>
          <c:x val="0.24296031810435767"/>
          <c:y val="3.7914685654748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spring!$D$3</c:f>
              <c:strCache>
                <c:ptCount val="1"/>
                <c:pt idx="0">
                  <c:v>Log Langlois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579936683814802E-2"/>
                  <c:y val="-0.27677488329541311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spring!$D$5:$D$31</c:f>
              <c:numCache>
                <c:formatCode>0.0000</c:formatCode>
                <c:ptCount val="27"/>
                <c:pt idx="0">
                  <c:v>0.13180960513617518</c:v>
                </c:pt>
                <c:pt idx="4">
                  <c:v>0.11973809023641387</c:v>
                </c:pt>
                <c:pt idx="5">
                  <c:v>-4.7036661593077796E-2</c:v>
                </c:pt>
                <c:pt idx="6">
                  <c:v>0.14575587524045741</c:v>
                </c:pt>
                <c:pt idx="7">
                  <c:v>8.6717028835620949E-2</c:v>
                </c:pt>
                <c:pt idx="8">
                  <c:v>0.18324188453542448</c:v>
                </c:pt>
                <c:pt idx="11">
                  <c:v>0.13569949966494516</c:v>
                </c:pt>
                <c:pt idx="13">
                  <c:v>0.27174854465855475</c:v>
                </c:pt>
                <c:pt idx="14">
                  <c:v>8.5632542794309818E-2</c:v>
                </c:pt>
                <c:pt idx="15">
                  <c:v>1.2822885961612207E-2</c:v>
                </c:pt>
                <c:pt idx="18">
                  <c:v>6.1996783282367796E-2</c:v>
                </c:pt>
                <c:pt idx="19">
                  <c:v>0.22076886197969703</c:v>
                </c:pt>
                <c:pt idx="20">
                  <c:v>-7.6455448209867299E-2</c:v>
                </c:pt>
                <c:pt idx="21">
                  <c:v>0.36537286799984553</c:v>
                </c:pt>
                <c:pt idx="22">
                  <c:v>0.22260108924843011</c:v>
                </c:pt>
                <c:pt idx="24">
                  <c:v>-4.1890020032920458E-2</c:v>
                </c:pt>
                <c:pt idx="25">
                  <c:v>3.5945343504069888E-2</c:v>
                </c:pt>
                <c:pt idx="26">
                  <c:v>-0.40610750460138001</c:v>
                </c:pt>
              </c:numCache>
            </c:numRef>
          </c:xVal>
          <c:yVal>
            <c:numRef>
              <c:f>spring!$P$5:$P$31</c:f>
              <c:numCache>
                <c:formatCode>0.0000</c:formatCode>
                <c:ptCount val="27"/>
                <c:pt idx="0">
                  <c:v>0.12106776963540236</c:v>
                </c:pt>
                <c:pt idx="4">
                  <c:v>7.6268280166287186E-2</c:v>
                </c:pt>
                <c:pt idx="5">
                  <c:v>8.599444666469859E-2</c:v>
                </c:pt>
                <c:pt idx="6">
                  <c:v>5.8343939028380878E-2</c:v>
                </c:pt>
                <c:pt idx="7">
                  <c:v>5.2949331916534247E-2</c:v>
                </c:pt>
                <c:pt idx="8">
                  <c:v>8.6932486833382283E-2</c:v>
                </c:pt>
                <c:pt idx="11">
                  <c:v>0.11837199613859342</c:v>
                </c:pt>
                <c:pt idx="12">
                  <c:v>-2.3209522879678278E-2</c:v>
                </c:pt>
                <c:pt idx="13">
                  <c:v>-5.0995201360183443E-2</c:v>
                </c:pt>
                <c:pt idx="14">
                  <c:v>0.16177616573309775</c:v>
                </c:pt>
                <c:pt idx="15">
                  <c:v>3.7931047101078148E-2</c:v>
                </c:pt>
                <c:pt idx="18">
                  <c:v>5.3700601961411354E-2</c:v>
                </c:pt>
                <c:pt idx="19">
                  <c:v>3.8438023151292605E-2</c:v>
                </c:pt>
                <c:pt idx="20">
                  <c:v>5.8824723149996927E-2</c:v>
                </c:pt>
                <c:pt idx="21">
                  <c:v>7.151313800558104E-2</c:v>
                </c:pt>
                <c:pt idx="22">
                  <c:v>-9.312302797939662E-3</c:v>
                </c:pt>
                <c:pt idx="24">
                  <c:v>1.6090478915546057E-2</c:v>
                </c:pt>
                <c:pt idx="25">
                  <c:v>9.7075245096043816E-2</c:v>
                </c:pt>
                <c:pt idx="26">
                  <c:v>0.18953101743560918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6-46EB-AAA5-314B077BE602}"/>
            </c:ext>
          </c:extLst>
        </c:ser>
        <c:ser>
          <c:idx val="1"/>
          <c:order val="1"/>
          <c:tx>
            <c:strRef>
              <c:f>spring!$E$3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941704590423427"/>
                  <c:y val="0.158172571859607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spring!$E$4:$E$31</c:f>
              <c:numCache>
                <c:formatCode>0.0000</c:formatCode>
                <c:ptCount val="28"/>
                <c:pt idx="0">
                  <c:v>1.9314296164550899</c:v>
                </c:pt>
                <c:pt idx="1">
                  <c:v>1.0089470650494099</c:v>
                </c:pt>
                <c:pt idx="5">
                  <c:v>0.66698565105034602</c:v>
                </c:pt>
                <c:pt idx="6">
                  <c:v>0.19762137224995299</c:v>
                </c:pt>
                <c:pt idx="7">
                  <c:v>0.54807771119966198</c:v>
                </c:pt>
                <c:pt idx="8">
                  <c:v>0.10106112243990099</c:v>
                </c:pt>
                <c:pt idx="9">
                  <c:v>0.50902572287082404</c:v>
                </c:pt>
                <c:pt idx="12">
                  <c:v>0.463447965306029</c:v>
                </c:pt>
                <c:pt idx="14">
                  <c:v>0.44896728093636801</c:v>
                </c:pt>
                <c:pt idx="15">
                  <c:v>1.5264059910121399</c:v>
                </c:pt>
                <c:pt idx="16">
                  <c:v>0.71671353985517805</c:v>
                </c:pt>
                <c:pt idx="19">
                  <c:v>0.678678630991426</c:v>
                </c:pt>
                <c:pt idx="20">
                  <c:v>0.81343884511072295</c:v>
                </c:pt>
                <c:pt idx="21">
                  <c:v>-1.07855599689062</c:v>
                </c:pt>
                <c:pt idx="22">
                  <c:v>1.34776836410395</c:v>
                </c:pt>
                <c:pt idx="23">
                  <c:v>0.55456789410428697</c:v>
                </c:pt>
                <c:pt idx="24">
                  <c:v>0.70468449804027899</c:v>
                </c:pt>
                <c:pt idx="25">
                  <c:v>-0.373253605455523</c:v>
                </c:pt>
                <c:pt idx="26">
                  <c:v>0.63056904760694898</c:v>
                </c:pt>
                <c:pt idx="27">
                  <c:v>-0.623899602892661</c:v>
                </c:pt>
              </c:numCache>
            </c:numRef>
          </c:xVal>
          <c:yVal>
            <c:numRef>
              <c:f>spring!$Q$4:$Q$31</c:f>
              <c:numCache>
                <c:formatCode>0.0000</c:formatCode>
                <c:ptCount val="28"/>
                <c:pt idx="0">
                  <c:v>-0.38274070908834301</c:v>
                </c:pt>
                <c:pt idx="1">
                  <c:v>1.09089200397148</c:v>
                </c:pt>
                <c:pt idx="5">
                  <c:v>0.99451564623288902</c:v>
                </c:pt>
                <c:pt idx="6">
                  <c:v>0.78913067362511802</c:v>
                </c:pt>
                <c:pt idx="7">
                  <c:v>0.58652864076782796</c:v>
                </c:pt>
                <c:pt idx="8">
                  <c:v>0.80456148054694898</c:v>
                </c:pt>
                <c:pt idx="9">
                  <c:v>0.48032085216860299</c:v>
                </c:pt>
                <c:pt idx="12">
                  <c:v>0.95109807907852595</c:v>
                </c:pt>
                <c:pt idx="13">
                  <c:v>0.41690238193539803</c:v>
                </c:pt>
                <c:pt idx="14">
                  <c:v>-0.46275846239035101</c:v>
                </c:pt>
                <c:pt idx="15">
                  <c:v>1.0296399204692099</c:v>
                </c:pt>
                <c:pt idx="16">
                  <c:v>0.71016469968771001</c:v>
                </c:pt>
                <c:pt idx="19">
                  <c:v>0.48949360984782597</c:v>
                </c:pt>
                <c:pt idx="20">
                  <c:v>0.62241847110175197</c:v>
                </c:pt>
                <c:pt idx="21">
                  <c:v>0.81053240763767698</c:v>
                </c:pt>
                <c:pt idx="22">
                  <c:v>0.71110320718430697</c:v>
                </c:pt>
                <c:pt idx="23">
                  <c:v>0.19577020963205699</c:v>
                </c:pt>
                <c:pt idx="24">
                  <c:v>0.683460368155826</c:v>
                </c:pt>
                <c:pt idx="25">
                  <c:v>0.77578539774468103</c:v>
                </c:pt>
                <c:pt idx="26">
                  <c:v>0.59604944299089302</c:v>
                </c:pt>
                <c:pt idx="27">
                  <c:v>0.99008387935652697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A6-46EB-AAA5-314B077BE602}"/>
            </c:ext>
          </c:extLst>
        </c:ser>
        <c:ser>
          <c:idx val="2"/>
          <c:order val="2"/>
          <c:tx>
            <c:strRef>
              <c:f>spring!$F$3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893810148731408"/>
                  <c:y val="-0.2979574948964712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spring!$F$4:$F$31</c:f>
              <c:numCache>
                <c:formatCode>0.0000</c:formatCode>
                <c:ptCount val="28"/>
                <c:pt idx="0">
                  <c:v>9.4513218106104094E-2</c:v>
                </c:pt>
                <c:pt idx="1">
                  <c:v>4.2663094228711902E-2</c:v>
                </c:pt>
                <c:pt idx="5">
                  <c:v>8.8732929175135894E-2</c:v>
                </c:pt>
                <c:pt idx="6">
                  <c:v>-1.9463558010346702E-2</c:v>
                </c:pt>
                <c:pt idx="7">
                  <c:v>0.10415722716452799</c:v>
                </c:pt>
                <c:pt idx="8">
                  <c:v>4.66251429291673E-2</c:v>
                </c:pt>
                <c:pt idx="9">
                  <c:v>9.0894558490112708E-3</c:v>
                </c:pt>
                <c:pt idx="12">
                  <c:v>2.0373962034653699E-2</c:v>
                </c:pt>
                <c:pt idx="14">
                  <c:v>2.4947102971666898E-2</c:v>
                </c:pt>
                <c:pt idx="15">
                  <c:v>9.6293174744729593E-3</c:v>
                </c:pt>
                <c:pt idx="16">
                  <c:v>0.14608753400636901</c:v>
                </c:pt>
                <c:pt idx="19">
                  <c:v>1.27691539373017E-2</c:v>
                </c:pt>
                <c:pt idx="20">
                  <c:v>6.7576112725014403E-2</c:v>
                </c:pt>
                <c:pt idx="21">
                  <c:v>-0.35416666689988402</c:v>
                </c:pt>
                <c:pt idx="22">
                  <c:v>4.5646344187588998E-2</c:v>
                </c:pt>
                <c:pt idx="23">
                  <c:v>1.47909285306715E-2</c:v>
                </c:pt>
                <c:pt idx="24">
                  <c:v>3.5842816756479302E-2</c:v>
                </c:pt>
                <c:pt idx="25">
                  <c:v>-4.0383997186219003E-2</c:v>
                </c:pt>
                <c:pt idx="26">
                  <c:v>3.6679485231980898E-2</c:v>
                </c:pt>
                <c:pt idx="27">
                  <c:v>-0.76160033358371604</c:v>
                </c:pt>
              </c:numCache>
            </c:numRef>
          </c:xVal>
          <c:yVal>
            <c:numRef>
              <c:f>spring!$R$4:$R$31</c:f>
              <c:numCache>
                <c:formatCode>0.0000</c:formatCode>
                <c:ptCount val="28"/>
                <c:pt idx="0">
                  <c:v>-0.111166592764846</c:v>
                </c:pt>
                <c:pt idx="1">
                  <c:v>5.8164977184442898E-2</c:v>
                </c:pt>
                <c:pt idx="5">
                  <c:v>3.9495800574767898E-2</c:v>
                </c:pt>
                <c:pt idx="6">
                  <c:v>5.7523441183696303E-2</c:v>
                </c:pt>
                <c:pt idx="7">
                  <c:v>3.4238947255520499E-2</c:v>
                </c:pt>
                <c:pt idx="8">
                  <c:v>6.6697793666290403E-2</c:v>
                </c:pt>
                <c:pt idx="9">
                  <c:v>6.9266609582891801E-3</c:v>
                </c:pt>
                <c:pt idx="12">
                  <c:v>4.4634061818344499E-2</c:v>
                </c:pt>
                <c:pt idx="13">
                  <c:v>-4.92326320115316E-2</c:v>
                </c:pt>
                <c:pt idx="14">
                  <c:v>-1.7297443578437301E-2</c:v>
                </c:pt>
                <c:pt idx="15">
                  <c:v>8.8842675425560597E-2</c:v>
                </c:pt>
                <c:pt idx="16">
                  <c:v>3.2065570463247699E-2</c:v>
                </c:pt>
                <c:pt idx="19">
                  <c:v>6.6985380748193796E-2</c:v>
                </c:pt>
                <c:pt idx="20">
                  <c:v>4.1172009140363702E-2</c:v>
                </c:pt>
                <c:pt idx="21">
                  <c:v>1.0119527368219401E-2</c:v>
                </c:pt>
                <c:pt idx="22">
                  <c:v>6.6536069428028005E-2</c:v>
                </c:pt>
                <c:pt idx="23">
                  <c:v>1.1313432223976399E-3</c:v>
                </c:pt>
                <c:pt idx="24">
                  <c:v>4.2954799108477999E-2</c:v>
                </c:pt>
                <c:pt idx="25">
                  <c:v>-2.47945511242929E-2</c:v>
                </c:pt>
                <c:pt idx="26">
                  <c:v>4.4957534610287397E-2</c:v>
                </c:pt>
                <c:pt idx="27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A6-46EB-AAA5-314B077BE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267167"/>
        <c:axId val="1401268607"/>
      </c:scatterChart>
      <c:valAx>
        <c:axId val="140126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SSC Samples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68607"/>
        <c:crosses val="autoZero"/>
        <c:crossBetween val="midCat"/>
      </c:valAx>
      <c:valAx>
        <c:axId val="14012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Turbidity Discrete  HI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6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500063</xdr:colOff>
      <xdr:row>1</xdr:row>
      <xdr:rowOff>4762</xdr:rowOff>
    </xdr:from>
    <xdr:to>
      <xdr:col>11</xdr:col>
      <xdr:colOff>285751</xdr:colOff>
      <xdr:row>15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8E228D-B075-A5B9-67A2-045B0BBFA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15</xdr:row>
      <xdr:rowOff>161925</xdr:rowOff>
    </xdr:from>
    <xdr:to>
      <xdr:col>11</xdr:col>
      <xdr:colOff>238125</xdr:colOff>
      <xdr:row>30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DD5BC9-08E0-44E9-821F-227AA0329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457200</xdr:colOff>
      <xdr:row>30</xdr:row>
      <xdr:rowOff>95250</xdr:rowOff>
    </xdr:from>
    <xdr:to>
      <xdr:col>11</xdr:col>
      <xdr:colOff>242888</xdr:colOff>
      <xdr:row>44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24BF28-B411-4455-BEF0-7D22D7A35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819149</xdr:colOff>
      <xdr:row>32</xdr:row>
      <xdr:rowOff>23811</xdr:rowOff>
    </xdr:from>
    <xdr:to>
      <xdr:col>5</xdr:col>
      <xdr:colOff>9525</xdr:colOff>
      <xdr:row>47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95ABF3-A6B0-2B49-8BF4-5A79466ED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31</xdr:row>
      <xdr:rowOff>161925</xdr:rowOff>
    </xdr:from>
    <xdr:to>
      <xdr:col>8</xdr:col>
      <xdr:colOff>1200151</xdr:colOff>
      <xdr:row>47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110EDE-6A9B-4F68-9BBC-5749BF404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136071</xdr:colOff>
      <xdr:row>31</xdr:row>
      <xdr:rowOff>149679</xdr:rowOff>
    </xdr:from>
    <xdr:to>
      <xdr:col>12</xdr:col>
      <xdr:colOff>258537</xdr:colOff>
      <xdr:row>47</xdr:row>
      <xdr:rowOff>116342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FCB535-42F1-4089-8981-BC676019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E468-048E-4CB8-8772-32D034ABC6B7}">
  <dimension ref="A1:Q40"/>
  <sheetViews>
    <sheetView zoomScaleNormal="100" workbookViewId="0">
      <selection activeCell="N20" sqref="N20"/>
    </sheetView>
    <sheetView workbookViewId="1">
      <selection activeCell="M37" sqref="M37:N37"/>
    </sheetView>
  </sheetViews>
  <sheetFormatPr defaultRowHeight="15" x14ac:dyDescent="0.25"/>
  <cols>
    <col min="1" max="1" width="17.28515625" customWidth="1"/>
    <col min="2" max="3" width="16.7109375" customWidth="1"/>
    <col min="4" max="4" width="17.5703125" customWidth="1"/>
    <col min="5" max="5" width="21.7109375" customWidth="1"/>
    <col min="11" max="11" width="18.5703125" customWidth="1"/>
  </cols>
  <sheetData>
    <row r="1" spans="1:17" x14ac:dyDescent="0.25">
      <c r="A1" t="s">
        <v>15</v>
      </c>
    </row>
    <row r="2" spans="1:17" x14ac:dyDescent="0.25">
      <c r="A2" s="1" t="s">
        <v>0</v>
      </c>
      <c r="B2" s="1" t="s">
        <v>1</v>
      </c>
      <c r="C2" s="1" t="s">
        <v>19</v>
      </c>
      <c r="D2" s="1" t="s">
        <v>2</v>
      </c>
      <c r="E2" s="1" t="s">
        <v>3</v>
      </c>
      <c r="N2" s="13"/>
    </row>
    <row r="3" spans="1:17" x14ac:dyDescent="0.25">
      <c r="A3" s="2" t="s">
        <v>4</v>
      </c>
      <c r="B3" s="3">
        <v>5.5990042925280497</v>
      </c>
      <c r="C3" s="3">
        <f>LOG10(B3)</f>
        <v>0.74811080045096356</v>
      </c>
      <c r="D3" s="3">
        <v>0.90356607367203301</v>
      </c>
      <c r="E3" s="3">
        <v>0.78479742735639801</v>
      </c>
      <c r="N3" s="14"/>
      <c r="Q3" s="7"/>
    </row>
    <row r="4" spans="1:17" x14ac:dyDescent="0.25">
      <c r="A4" s="2" t="s">
        <v>5</v>
      </c>
      <c r="B4" s="3">
        <v>3.6150481998819401</v>
      </c>
      <c r="C4" s="3">
        <f t="shared" ref="C4:C13" si="0">LOG10(B4)</f>
        <v>0.55811409217085495</v>
      </c>
      <c r="D4" s="3">
        <v>0.84393866538764695</v>
      </c>
      <c r="E4" s="3">
        <v>0.73975142372925395</v>
      </c>
      <c r="N4" s="2"/>
      <c r="Q4" s="7"/>
    </row>
    <row r="5" spans="1:17" x14ac:dyDescent="0.25">
      <c r="A5" s="2" t="s">
        <v>6</v>
      </c>
      <c r="B5" s="3">
        <v>2.1746388039620901</v>
      </c>
      <c r="C5" s="3">
        <f t="shared" si="0"/>
        <v>0.33738713325723541</v>
      </c>
      <c r="D5" s="3">
        <v>0.90358482744648005</v>
      </c>
      <c r="E5" s="3">
        <v>0.17369777575697301</v>
      </c>
      <c r="N5" s="2"/>
      <c r="Q5" s="7"/>
    </row>
    <row r="6" spans="1:17" x14ac:dyDescent="0.25">
      <c r="A6" s="2" t="s">
        <v>7</v>
      </c>
      <c r="B6" s="3">
        <v>2.2792285281778502</v>
      </c>
      <c r="C6" s="3">
        <f t="shared" si="0"/>
        <v>0.35778787215309504</v>
      </c>
      <c r="D6" s="3">
        <v>0.663434225775831</v>
      </c>
      <c r="E6" s="3">
        <v>9.9143945152060597E-2</v>
      </c>
      <c r="N6" s="2"/>
      <c r="Q6" s="7"/>
    </row>
    <row r="7" spans="1:17" x14ac:dyDescent="0.25">
      <c r="A7" s="2" t="s">
        <v>8</v>
      </c>
      <c r="B7" s="3">
        <v>1.4480475262282899</v>
      </c>
      <c r="C7" s="3">
        <f t="shared" si="0"/>
        <v>0.16078281603237832</v>
      </c>
      <c r="D7" s="3">
        <v>0.66475177086608195</v>
      </c>
      <c r="E7" s="3">
        <v>0.21234239309632399</v>
      </c>
      <c r="N7" s="2"/>
      <c r="Q7" s="7"/>
    </row>
    <row r="8" spans="1:17" x14ac:dyDescent="0.25">
      <c r="A8" s="2" t="s">
        <v>9</v>
      </c>
      <c r="B8" s="3">
        <v>1.45242884682964</v>
      </c>
      <c r="C8" s="3">
        <f t="shared" si="0"/>
        <v>0.16209486589117289</v>
      </c>
      <c r="D8" s="3">
        <v>0.238708102284336</v>
      </c>
      <c r="E8" s="3">
        <v>0.14477972148899501</v>
      </c>
      <c r="N8" s="2"/>
      <c r="Q8" s="7"/>
    </row>
    <row r="9" spans="1:17" x14ac:dyDescent="0.25">
      <c r="A9" s="2" t="s">
        <v>10</v>
      </c>
      <c r="B9" s="4"/>
      <c r="C9" s="17"/>
      <c r="D9" s="4"/>
      <c r="E9" s="4"/>
      <c r="N9" s="2"/>
    </row>
    <row r="10" spans="1:17" x14ac:dyDescent="0.25">
      <c r="A10" s="2" t="s">
        <v>11</v>
      </c>
      <c r="B10" s="3">
        <v>1.48474411958353</v>
      </c>
      <c r="C10" s="3">
        <f t="shared" si="0"/>
        <v>0.1716516139036095</v>
      </c>
      <c r="D10" s="3">
        <v>0.55431906321323399</v>
      </c>
      <c r="E10" s="3">
        <v>0.36516163611226798</v>
      </c>
      <c r="N10" s="2"/>
      <c r="Q10" s="7"/>
    </row>
    <row r="11" spans="1:17" x14ac:dyDescent="0.25">
      <c r="A11" s="2" t="s">
        <v>12</v>
      </c>
      <c r="B11" s="3">
        <v>1.6588389001163999</v>
      </c>
      <c r="C11" s="3">
        <f t="shared" si="0"/>
        <v>0.21980421110710638</v>
      </c>
      <c r="D11" s="3">
        <v>0.49497785634638802</v>
      </c>
      <c r="E11" s="3">
        <v>4.1333778886518201E-2</v>
      </c>
      <c r="N11" s="2"/>
      <c r="Q11" s="7"/>
    </row>
    <row r="12" spans="1:17" x14ac:dyDescent="0.25">
      <c r="A12" s="2" t="s">
        <v>13</v>
      </c>
      <c r="B12" s="5">
        <v>0.665445371933445</v>
      </c>
      <c r="C12" s="5">
        <f t="shared" si="0"/>
        <v>-0.17688759104076174</v>
      </c>
      <c r="D12" s="5">
        <v>-1.0305451800868599</v>
      </c>
      <c r="E12" s="5">
        <v>-4.1760232547360499E-2</v>
      </c>
      <c r="N12" s="2"/>
      <c r="Q12" s="7"/>
    </row>
    <row r="13" spans="1:17" x14ac:dyDescent="0.25">
      <c r="A13" s="2" t="s">
        <v>14</v>
      </c>
      <c r="B13" s="5">
        <v>0.84619083652769</v>
      </c>
      <c r="C13" s="5">
        <f t="shared" si="0"/>
        <v>-7.2531681991024291E-2</v>
      </c>
      <c r="D13" s="5">
        <v>-0.57708462423306806</v>
      </c>
      <c r="E13" s="5">
        <v>-7.8588218215967606E-2</v>
      </c>
      <c r="N13" s="2"/>
      <c r="Q13" s="7"/>
    </row>
    <row r="14" spans="1:17" x14ac:dyDescent="0.25">
      <c r="M14" s="12"/>
      <c r="N14" s="12"/>
      <c r="O14" s="12"/>
    </row>
    <row r="15" spans="1:17" x14ac:dyDescent="0.25">
      <c r="A15" s="6" t="s">
        <v>16</v>
      </c>
      <c r="B15" s="6" t="s">
        <v>1</v>
      </c>
      <c r="C15" s="1" t="s">
        <v>19</v>
      </c>
      <c r="D15" s="6" t="s">
        <v>2</v>
      </c>
      <c r="E15" s="6" t="s">
        <v>3</v>
      </c>
      <c r="M15" s="12"/>
      <c r="N15" s="12"/>
      <c r="O15" s="12"/>
    </row>
    <row r="16" spans="1:17" x14ac:dyDescent="0.25">
      <c r="A16" s="2" t="s">
        <v>4</v>
      </c>
      <c r="B16" s="3">
        <v>1.7878260187067601</v>
      </c>
      <c r="C16" s="3">
        <f>LOG10(B16)</f>
        <v>0.25232525339055556</v>
      </c>
      <c r="D16" s="3">
        <v>0.26654667808256899</v>
      </c>
      <c r="E16" s="3">
        <v>0.57681691180727601</v>
      </c>
      <c r="M16" s="12"/>
      <c r="N16" s="12"/>
      <c r="O16" s="12"/>
    </row>
    <row r="17" spans="1:17" x14ac:dyDescent="0.25">
      <c r="A17" s="2" t="s">
        <v>5</v>
      </c>
      <c r="B17" s="3">
        <v>2.8770644107042802</v>
      </c>
      <c r="C17" s="3">
        <f t="shared" ref="C17:C26" si="1">LOG10(B17)</f>
        <v>0.45894958483099857</v>
      </c>
      <c r="D17" s="3">
        <v>0.541500872594741</v>
      </c>
      <c r="E17" s="3">
        <v>0.54443871754473905</v>
      </c>
      <c r="M17" s="12"/>
      <c r="N17" s="13"/>
      <c r="O17" s="12"/>
    </row>
    <row r="18" spans="1:17" x14ac:dyDescent="0.25">
      <c r="A18" s="2" t="s">
        <v>6</v>
      </c>
      <c r="B18" s="3">
        <v>1.2050076272027901</v>
      </c>
      <c r="C18" s="3">
        <f t="shared" si="1"/>
        <v>8.0989795825078759E-2</v>
      </c>
      <c r="D18" s="3">
        <v>0.92674759673055396</v>
      </c>
      <c r="E18" s="3">
        <v>0.13984116014494999</v>
      </c>
      <c r="M18" s="12"/>
      <c r="N18" s="14"/>
      <c r="O18" s="12"/>
      <c r="Q18" s="8"/>
    </row>
    <row r="19" spans="1:17" x14ac:dyDescent="0.25">
      <c r="A19" s="2" t="s">
        <v>7</v>
      </c>
      <c r="B19" s="3">
        <v>1.11910970408747</v>
      </c>
      <c r="C19" s="3">
        <f t="shared" si="1"/>
        <v>4.8872661635174883E-2</v>
      </c>
      <c r="D19" s="3">
        <v>0.156816283020727</v>
      </c>
      <c r="E19" s="3">
        <v>8.9326261366187695E-2</v>
      </c>
      <c r="M19" s="12"/>
      <c r="N19" s="14"/>
      <c r="O19" s="12"/>
      <c r="Q19" s="8"/>
    </row>
    <row r="20" spans="1:17" x14ac:dyDescent="0.25">
      <c r="A20" s="2" t="s">
        <v>8</v>
      </c>
      <c r="B20" s="3">
        <v>1.4074954172257299</v>
      </c>
      <c r="C20" s="3">
        <f t="shared" si="1"/>
        <v>0.14844698947235901</v>
      </c>
      <c r="D20" s="3">
        <v>0.25880560171696498</v>
      </c>
      <c r="E20" s="3">
        <v>4.6283799610675601E-2</v>
      </c>
      <c r="M20" s="12"/>
      <c r="N20" s="14"/>
      <c r="O20" s="12"/>
      <c r="Q20" s="8"/>
    </row>
    <row r="21" spans="1:17" x14ac:dyDescent="0.25">
      <c r="A21" s="2" t="s">
        <v>9</v>
      </c>
      <c r="B21" s="3">
        <v>1.41606982531736</v>
      </c>
      <c r="C21" s="3">
        <f t="shared" si="1"/>
        <v>0.15108466860966069</v>
      </c>
      <c r="D21" s="3">
        <v>0.52921681534296305</v>
      </c>
      <c r="E21" s="3">
        <v>3.0850994672477702E-2</v>
      </c>
      <c r="M21" s="12"/>
      <c r="N21" s="14"/>
      <c r="O21" s="12"/>
      <c r="Q21" s="8"/>
    </row>
    <row r="22" spans="1:17" x14ac:dyDescent="0.25">
      <c r="A22" s="2" t="s">
        <v>10</v>
      </c>
      <c r="B22" s="3">
        <v>1.5689444337549201</v>
      </c>
      <c r="C22" s="3">
        <f t="shared" si="1"/>
        <v>0.19560756274503188</v>
      </c>
      <c r="D22" s="3">
        <v>0.71850105371235795</v>
      </c>
      <c r="E22" s="3">
        <v>0.164262280281398</v>
      </c>
      <c r="M22" s="12"/>
      <c r="N22" s="14"/>
      <c r="O22" s="12"/>
      <c r="Q22" s="8"/>
    </row>
    <row r="23" spans="1:17" x14ac:dyDescent="0.25">
      <c r="A23" s="2" t="s">
        <v>11</v>
      </c>
      <c r="B23" s="10"/>
      <c r="C23" s="10"/>
      <c r="D23" s="10"/>
      <c r="E23" s="10"/>
      <c r="M23" s="12"/>
      <c r="N23" s="14"/>
      <c r="O23" s="12"/>
      <c r="Q23" s="8"/>
    </row>
    <row r="24" spans="1:17" x14ac:dyDescent="0.25">
      <c r="A24" s="2" t="s">
        <v>12</v>
      </c>
      <c r="B24" s="11"/>
      <c r="C24" s="10"/>
      <c r="D24" s="11"/>
      <c r="E24" s="11"/>
      <c r="N24" s="2"/>
      <c r="Q24" s="8"/>
    </row>
    <row r="25" spans="1:17" x14ac:dyDescent="0.25">
      <c r="A25" s="2" t="s">
        <v>13</v>
      </c>
      <c r="C25" s="10"/>
      <c r="N25" s="2"/>
      <c r="Q25" s="8"/>
    </row>
    <row r="26" spans="1:17" x14ac:dyDescent="0.25">
      <c r="A26" s="2" t="s">
        <v>14</v>
      </c>
      <c r="B26" s="3">
        <v>1.1637562782531401</v>
      </c>
      <c r="C26" s="3">
        <f t="shared" si="1"/>
        <v>6.5862036935340984E-2</v>
      </c>
      <c r="D26" s="3">
        <v>0.401331670241585</v>
      </c>
      <c r="E26" s="3">
        <v>6.7271555006068101E-2</v>
      </c>
      <c r="N26" s="2"/>
      <c r="Q26" s="8"/>
    </row>
    <row r="27" spans="1:17" x14ac:dyDescent="0.25">
      <c r="N27" s="2"/>
      <c r="Q27" s="8"/>
    </row>
    <row r="28" spans="1:17" x14ac:dyDescent="0.25">
      <c r="A28" s="6" t="s">
        <v>18</v>
      </c>
      <c r="B28" s="6" t="s">
        <v>1</v>
      </c>
      <c r="C28" s="6" t="s">
        <v>19</v>
      </c>
      <c r="D28" s="6" t="s">
        <v>2</v>
      </c>
      <c r="E28" s="6" t="s">
        <v>3</v>
      </c>
      <c r="N28" s="2"/>
      <c r="Q28" s="8"/>
    </row>
    <row r="29" spans="1:17" x14ac:dyDescent="0.25">
      <c r="A29" s="2" t="s">
        <v>4</v>
      </c>
      <c r="B29" s="15">
        <v>2.4875784560362999</v>
      </c>
      <c r="C29" s="15">
        <f>LOG10(B29)</f>
        <v>0.39577678689969864</v>
      </c>
      <c r="D29" s="15">
        <v>0.65048906833676301</v>
      </c>
      <c r="E29" s="15">
        <v>0.51805624446506904</v>
      </c>
    </row>
    <row r="30" spans="1:17" x14ac:dyDescent="0.25">
      <c r="A30" s="2" t="s">
        <v>5</v>
      </c>
      <c r="B30" s="15">
        <v>2.4258384515482501</v>
      </c>
      <c r="C30" s="15">
        <f t="shared" ref="C30:C40" si="2">LOG10(B30)</f>
        <v>0.38486187569904606</v>
      </c>
      <c r="D30" s="15">
        <v>0.75393560180394203</v>
      </c>
      <c r="E30" s="15">
        <v>0.54968481078597298</v>
      </c>
    </row>
    <row r="31" spans="1:17" x14ac:dyDescent="0.25">
      <c r="A31" s="2" t="s">
        <v>6</v>
      </c>
      <c r="B31" s="15">
        <v>1.36941396218982</v>
      </c>
      <c r="C31" s="15">
        <f t="shared" si="2"/>
        <v>0.13653475150784594</v>
      </c>
      <c r="D31" s="15">
        <v>0.78306756333961702</v>
      </c>
      <c r="E31" s="15">
        <v>0.18597520101248599</v>
      </c>
    </row>
    <row r="32" spans="1:17" x14ac:dyDescent="0.25">
      <c r="A32" s="2" t="s">
        <v>7</v>
      </c>
      <c r="B32" s="15">
        <v>1.10176500137994</v>
      </c>
      <c r="C32" s="15">
        <f t="shared" si="2"/>
        <v>4.2088972476420079E-2</v>
      </c>
      <c r="D32" s="15">
        <v>0.15622842988264299</v>
      </c>
      <c r="E32" s="15">
        <v>7.0058380129400605E-2</v>
      </c>
    </row>
    <row r="33" spans="1:5" x14ac:dyDescent="0.25">
      <c r="A33" s="2" t="s">
        <v>8</v>
      </c>
      <c r="B33" s="15">
        <v>1.3244174270575799</v>
      </c>
      <c r="C33" s="15">
        <f t="shared" si="2"/>
        <v>0.12202488668675722</v>
      </c>
      <c r="D33" s="15">
        <v>0.39807607986391802</v>
      </c>
      <c r="E33" s="15">
        <v>6.3621965438134198E-2</v>
      </c>
    </row>
    <row r="34" spans="1:5" x14ac:dyDescent="0.25">
      <c r="A34" s="2" t="s">
        <v>9</v>
      </c>
      <c r="B34" s="15">
        <v>1.3580593645350301</v>
      </c>
      <c r="C34" s="15">
        <f t="shared" si="2"/>
        <v>0.13291875457370347</v>
      </c>
      <c r="D34" s="15">
        <v>0.461166071319906</v>
      </c>
      <c r="E34" s="15">
        <v>0.15718677945746901</v>
      </c>
    </row>
    <row r="35" spans="1:5" x14ac:dyDescent="0.25">
      <c r="A35" s="2" t="s">
        <v>10</v>
      </c>
      <c r="B35" s="18"/>
      <c r="C35" s="18"/>
      <c r="D35" s="18"/>
      <c r="E35" s="18"/>
    </row>
    <row r="36" spans="1:5" x14ac:dyDescent="0.25">
      <c r="A36" s="2" t="s">
        <v>11</v>
      </c>
      <c r="B36" s="18"/>
      <c r="C36" s="18"/>
      <c r="D36" s="18"/>
      <c r="E36" s="18"/>
    </row>
    <row r="37" spans="1:5" x14ac:dyDescent="0.25">
      <c r="A37" s="2" t="s">
        <v>12</v>
      </c>
      <c r="B37" s="18"/>
      <c r="C37" s="18"/>
      <c r="D37" s="18"/>
      <c r="E37" s="18"/>
    </row>
    <row r="38" spans="1:5" x14ac:dyDescent="0.25">
      <c r="A38" s="2" t="s">
        <v>13</v>
      </c>
      <c r="B38" s="15">
        <v>1.00159844485885</v>
      </c>
      <c r="C38" s="15">
        <f t="shared" si="2"/>
        <v>6.9364155550745204E-4</v>
      </c>
      <c r="D38" s="15">
        <v>0.58012322631393598</v>
      </c>
      <c r="E38" s="15">
        <v>1.8103438637387E-3</v>
      </c>
    </row>
    <row r="39" spans="1:5" x14ac:dyDescent="0.25">
      <c r="A39" s="2" t="s">
        <v>14</v>
      </c>
      <c r="B39" s="16">
        <v>0.986729270793955</v>
      </c>
      <c r="C39" s="19">
        <f t="shared" si="2"/>
        <v>-5.801988493999633E-3</v>
      </c>
      <c r="D39" s="16">
        <v>-0.21037395778696899</v>
      </c>
      <c r="E39" s="16">
        <v>-1.15232620724754E-2</v>
      </c>
    </row>
    <row r="40" spans="1:5" x14ac:dyDescent="0.25">
      <c r="C40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C620-4B59-4A12-B8D0-D754EBEE5E1E}">
  <dimension ref="B2:R94"/>
  <sheetViews>
    <sheetView tabSelected="1" zoomScale="70" zoomScaleNormal="70" workbookViewId="0">
      <selection activeCell="S22" sqref="S22"/>
    </sheetView>
    <sheetView tabSelected="1" topLeftCell="A31" workbookViewId="1">
      <selection activeCell="L54" sqref="L54"/>
    </sheetView>
  </sheetViews>
  <sheetFormatPr defaultRowHeight="15" x14ac:dyDescent="0.25"/>
  <cols>
    <col min="2" max="2" width="12.7109375" customWidth="1"/>
    <col min="3" max="4" width="21.140625" customWidth="1"/>
    <col min="5" max="5" width="17.7109375" customWidth="1"/>
    <col min="6" max="6" width="16.140625" customWidth="1"/>
    <col min="8" max="8" width="19.5703125" customWidth="1"/>
    <col min="9" max="9" width="18.28515625" customWidth="1"/>
    <col min="10" max="10" width="19.28515625" customWidth="1"/>
    <col min="11" max="11" width="20.7109375" customWidth="1"/>
    <col min="12" max="12" width="18.5703125" customWidth="1"/>
    <col min="14" max="14" width="19.85546875" customWidth="1"/>
    <col min="15" max="15" width="20.140625" customWidth="1"/>
    <col min="16" max="16" width="21.7109375" customWidth="1"/>
    <col min="17" max="17" width="18.5703125" customWidth="1"/>
    <col min="18" max="18" width="17.140625" customWidth="1"/>
  </cols>
  <sheetData>
    <row r="2" spans="2:18" x14ac:dyDescent="0.25">
      <c r="B2" s="2" t="s">
        <v>17</v>
      </c>
      <c r="C2" s="2"/>
      <c r="D2" s="2"/>
      <c r="E2" s="2"/>
      <c r="F2" s="2"/>
    </row>
    <row r="3" spans="2:18" x14ac:dyDescent="0.25">
      <c r="B3" s="1" t="s">
        <v>17</v>
      </c>
      <c r="C3" s="1" t="s">
        <v>1</v>
      </c>
      <c r="D3" s="1" t="s">
        <v>48</v>
      </c>
      <c r="E3" s="1" t="s">
        <v>2</v>
      </c>
      <c r="F3" s="1" t="s">
        <v>3</v>
      </c>
      <c r="H3" s="1" t="s">
        <v>49</v>
      </c>
      <c r="I3" s="1" t="s">
        <v>1</v>
      </c>
      <c r="J3" s="1" t="s">
        <v>48</v>
      </c>
      <c r="K3" s="1" t="s">
        <v>2</v>
      </c>
      <c r="L3" s="1" t="s">
        <v>3</v>
      </c>
      <c r="N3" s="1" t="s">
        <v>18</v>
      </c>
      <c r="O3" s="1" t="s">
        <v>1</v>
      </c>
      <c r="P3" s="1" t="s">
        <v>48</v>
      </c>
      <c r="Q3" s="1" t="s">
        <v>2</v>
      </c>
      <c r="R3" s="1" t="s">
        <v>3</v>
      </c>
    </row>
    <row r="4" spans="2:18" x14ac:dyDescent="0.25">
      <c r="B4" s="2" t="s">
        <v>20</v>
      </c>
      <c r="C4" s="15">
        <v>1.86943505833322</v>
      </c>
      <c r="D4" s="15">
        <f>LOG10(C4)</f>
        <v>0.27171038294442207</v>
      </c>
      <c r="E4" s="15">
        <v>1.9314296164550899</v>
      </c>
      <c r="F4" s="15">
        <v>9.4513218106104094E-2</v>
      </c>
      <c r="H4" s="2" t="s">
        <v>20</v>
      </c>
      <c r="I4" s="2"/>
      <c r="J4" s="20"/>
      <c r="K4" s="15">
        <v>0.178366367675658</v>
      </c>
      <c r="L4" s="15">
        <v>5.1856335362832198E-2</v>
      </c>
      <c r="N4" s="2" t="s">
        <v>20</v>
      </c>
      <c r="O4" s="16">
        <v>0.813502154297015</v>
      </c>
      <c r="P4" s="16">
        <f>LOG10(O4)</f>
        <v>-8.9641292637304124E-2</v>
      </c>
      <c r="Q4" s="16">
        <v>-0.38274070908834301</v>
      </c>
      <c r="R4" s="16">
        <v>-0.111166592764846</v>
      </c>
    </row>
    <row r="5" spans="2:18" x14ac:dyDescent="0.25">
      <c r="B5" s="2" t="s">
        <v>21</v>
      </c>
      <c r="C5" s="15">
        <v>1.3545954270153699</v>
      </c>
      <c r="D5" s="15">
        <f t="shared" ref="D5:D68" si="0">LOG10(C5)</f>
        <v>0.13180960513617518</v>
      </c>
      <c r="E5" s="15">
        <v>1.0089470650494099</v>
      </c>
      <c r="F5" s="15">
        <v>4.2663094228711902E-2</v>
      </c>
      <c r="H5" s="2" t="s">
        <v>21</v>
      </c>
      <c r="I5" s="15">
        <v>1.39679058575205</v>
      </c>
      <c r="J5" s="15">
        <f>LOG10(I5)</f>
        <v>0.14513129926404733</v>
      </c>
      <c r="K5" s="15">
        <v>0.88641107886014003</v>
      </c>
      <c r="L5" s="15">
        <v>0.103368750113241</v>
      </c>
      <c r="N5" s="2" t="s">
        <v>21</v>
      </c>
      <c r="O5" s="15">
        <v>1.3215018323169301</v>
      </c>
      <c r="P5" s="15">
        <f>LOG10(O5)</f>
        <v>0.12106776963540236</v>
      </c>
      <c r="Q5" s="15">
        <v>1.09089200397148</v>
      </c>
      <c r="R5" s="15">
        <v>5.8164977184442898E-2</v>
      </c>
    </row>
    <row r="6" spans="2:18" x14ac:dyDescent="0.25">
      <c r="B6" s="2" t="s">
        <v>22</v>
      </c>
      <c r="C6" s="9"/>
      <c r="D6" s="20"/>
      <c r="E6" s="9"/>
      <c r="F6" s="9"/>
      <c r="H6" s="2" t="s">
        <v>22</v>
      </c>
      <c r="I6" s="15">
        <v>1.2108318271354701</v>
      </c>
      <c r="J6" s="15">
        <f>LOG10(I6)</f>
        <v>8.3083828015989958E-2</v>
      </c>
      <c r="K6" s="15">
        <v>0.92629163740877796</v>
      </c>
      <c r="L6" s="15">
        <v>0.11077055296162799</v>
      </c>
      <c r="N6" s="2" t="s">
        <v>22</v>
      </c>
      <c r="O6" s="9"/>
      <c r="P6" s="20"/>
      <c r="Q6" s="9"/>
      <c r="R6" s="9"/>
    </row>
    <row r="7" spans="2:18" x14ac:dyDescent="0.25">
      <c r="B7" s="2" t="s">
        <v>23</v>
      </c>
      <c r="C7" s="9"/>
      <c r="D7" s="20"/>
      <c r="E7" s="9"/>
      <c r="F7" s="9"/>
      <c r="H7" s="2" t="s">
        <v>23</v>
      </c>
      <c r="I7" s="15">
        <v>1.14568818263897</v>
      </c>
      <c r="J7" s="15">
        <f>LOG10(I7)</f>
        <v>5.9066433524895802E-2</v>
      </c>
      <c r="K7" s="15">
        <v>0.723568252950335</v>
      </c>
      <c r="L7" s="15">
        <v>1.0650915621547401E-2</v>
      </c>
      <c r="N7" s="2" t="s">
        <v>23</v>
      </c>
      <c r="O7" s="9"/>
      <c r="P7" s="20"/>
      <c r="Q7" s="9"/>
      <c r="R7" s="9"/>
    </row>
    <row r="8" spans="2:18" x14ac:dyDescent="0.25">
      <c r="B8" s="2" t="s">
        <v>24</v>
      </c>
      <c r="C8" s="9"/>
      <c r="D8" s="20"/>
      <c r="E8" s="9"/>
      <c r="F8" s="9"/>
      <c r="H8" s="2" t="s">
        <v>24</v>
      </c>
      <c r="I8" s="15">
        <v>1.10273002217056</v>
      </c>
      <c r="J8" s="15">
        <f>LOG10(I8)</f>
        <v>4.2469198538698585E-2</v>
      </c>
      <c r="K8" s="15">
        <v>0.92947006080395</v>
      </c>
      <c r="L8" s="16">
        <v>-2.2683422982125001E-2</v>
      </c>
      <c r="N8" s="2" t="s">
        <v>24</v>
      </c>
      <c r="O8" s="9"/>
      <c r="P8" s="20"/>
      <c r="Q8" s="9"/>
      <c r="R8" s="9"/>
    </row>
    <row r="9" spans="2:18" x14ac:dyDescent="0.25">
      <c r="B9" s="2" t="s">
        <v>25</v>
      </c>
      <c r="C9" s="15">
        <v>1.31746197777344</v>
      </c>
      <c r="D9" s="15">
        <f t="shared" si="0"/>
        <v>0.11973809023641387</v>
      </c>
      <c r="E9" s="15">
        <v>0.66698565105034602</v>
      </c>
      <c r="F9" s="15">
        <v>8.8732929175135894E-2</v>
      </c>
      <c r="H9" s="2" t="s">
        <v>25</v>
      </c>
      <c r="I9" s="15">
        <v>1.2576523908335999</v>
      </c>
      <c r="J9" s="15">
        <f>LOG10(I9)</f>
        <v>9.9560620756408508E-2</v>
      </c>
      <c r="K9" s="15">
        <v>0.77855192606860901</v>
      </c>
      <c r="L9" s="15">
        <v>0.15621819275209001</v>
      </c>
      <c r="N9" s="2" t="s">
        <v>25</v>
      </c>
      <c r="O9" s="15">
        <v>1.1919781107135301</v>
      </c>
      <c r="P9" s="15">
        <f t="shared" ref="P7:P31" si="1">LOG10(O9)</f>
        <v>7.6268280166287186E-2</v>
      </c>
      <c r="Q9" s="15">
        <v>0.99451564623288902</v>
      </c>
      <c r="R9" s="15">
        <v>3.9495800574767898E-2</v>
      </c>
    </row>
    <row r="10" spans="2:18" x14ac:dyDescent="0.25">
      <c r="B10" s="2" t="s">
        <v>26</v>
      </c>
      <c r="C10" s="16">
        <v>0.89735303995633098</v>
      </c>
      <c r="D10" s="16">
        <f t="shared" si="0"/>
        <v>-4.7036661593077796E-2</v>
      </c>
      <c r="E10" s="15">
        <v>0.19762137224995299</v>
      </c>
      <c r="F10" s="16">
        <v>-1.9463558010346702E-2</v>
      </c>
      <c r="H10" s="2" t="s">
        <v>26</v>
      </c>
      <c r="I10" s="15">
        <v>1.24807759229999</v>
      </c>
      <c r="J10" s="15">
        <f>LOG10(I10)</f>
        <v>9.6241586035677562E-2</v>
      </c>
      <c r="K10" s="15">
        <v>0.55577143716833499</v>
      </c>
      <c r="L10" s="15">
        <v>0.15071577677020101</v>
      </c>
      <c r="N10" s="2" t="s">
        <v>26</v>
      </c>
      <c r="O10" s="15">
        <v>1.21897401177151</v>
      </c>
      <c r="P10" s="15">
        <f t="shared" si="1"/>
        <v>8.599444666469859E-2</v>
      </c>
      <c r="Q10" s="15">
        <v>0.78913067362511802</v>
      </c>
      <c r="R10" s="15">
        <v>5.7523441183696303E-2</v>
      </c>
    </row>
    <row r="11" spans="2:18" x14ac:dyDescent="0.25">
      <c r="B11" s="2" t="s">
        <v>27</v>
      </c>
      <c r="C11" s="15">
        <v>1.39880081037808</v>
      </c>
      <c r="D11" s="15">
        <f t="shared" si="0"/>
        <v>0.14575587524045741</v>
      </c>
      <c r="E11" s="15">
        <v>0.54807771119966198</v>
      </c>
      <c r="F11" s="15">
        <v>0.10415722716452799</v>
      </c>
      <c r="H11" s="2" t="s">
        <v>27</v>
      </c>
      <c r="I11" s="15">
        <v>1.42877693896201</v>
      </c>
      <c r="J11" s="15">
        <f>LOG10(I11)</f>
        <v>0.15496443191235268</v>
      </c>
      <c r="K11" s="15">
        <v>0.33551375674123601</v>
      </c>
      <c r="L11" s="15">
        <v>5.5397551503622099E-2</v>
      </c>
      <c r="N11" s="2" t="s">
        <v>27</v>
      </c>
      <c r="O11" s="15">
        <v>1.1437837944981599</v>
      </c>
      <c r="P11" s="15">
        <f t="shared" si="1"/>
        <v>5.8343939028380878E-2</v>
      </c>
      <c r="Q11" s="15">
        <v>0.58652864076782796</v>
      </c>
      <c r="R11" s="15">
        <v>3.4238947255520499E-2</v>
      </c>
    </row>
    <row r="12" spans="2:18" x14ac:dyDescent="0.25">
      <c r="B12" s="2" t="s">
        <v>28</v>
      </c>
      <c r="C12" s="15">
        <v>1.2210038373368299</v>
      </c>
      <c r="D12" s="15">
        <f t="shared" si="0"/>
        <v>8.6717028835620949E-2</v>
      </c>
      <c r="E12" s="15">
        <v>0.10106112243990099</v>
      </c>
      <c r="F12" s="15">
        <v>4.66251429291673E-2</v>
      </c>
      <c r="H12" s="2" t="s">
        <v>28</v>
      </c>
      <c r="I12" s="15">
        <v>1.33941755807892</v>
      </c>
      <c r="J12" s="15">
        <f>LOG10(I12)</f>
        <v>0.12691598769170023</v>
      </c>
      <c r="K12" s="15">
        <v>0.63731372986403501</v>
      </c>
      <c r="L12" s="15">
        <v>6.9883057908481996E-2</v>
      </c>
      <c r="N12" s="2" t="s">
        <v>28</v>
      </c>
      <c r="O12" s="15">
        <v>1.1296641118133901</v>
      </c>
      <c r="P12" s="15">
        <f t="shared" si="1"/>
        <v>5.2949331916534247E-2</v>
      </c>
      <c r="Q12" s="15">
        <v>0.80456148054694898</v>
      </c>
      <c r="R12" s="15">
        <v>6.6697793666290403E-2</v>
      </c>
    </row>
    <row r="13" spans="2:18" x14ac:dyDescent="0.25">
      <c r="B13" s="2" t="s">
        <v>29</v>
      </c>
      <c r="C13" s="15">
        <v>1.5249018262283101</v>
      </c>
      <c r="D13" s="15">
        <f t="shared" si="0"/>
        <v>0.18324188453542448</v>
      </c>
      <c r="E13" s="15">
        <v>0.50902572287082404</v>
      </c>
      <c r="F13" s="15">
        <v>9.0894558490112708E-3</v>
      </c>
      <c r="H13" s="2" t="s">
        <v>29</v>
      </c>
      <c r="I13" s="15">
        <v>1.3769164984553499</v>
      </c>
      <c r="J13" s="15">
        <f>LOG10(I13)</f>
        <v>0.13890760375753933</v>
      </c>
      <c r="K13" s="16">
        <v>-0.44248745305980902</v>
      </c>
      <c r="L13" s="15">
        <v>7.8645648239850305E-2</v>
      </c>
      <c r="N13" s="2" t="s">
        <v>29</v>
      </c>
      <c r="O13" s="15">
        <v>1.2216097402919399</v>
      </c>
      <c r="P13" s="15">
        <f t="shared" si="1"/>
        <v>8.6932486833382283E-2</v>
      </c>
      <c r="Q13" s="15">
        <v>0.48032085216860299</v>
      </c>
      <c r="R13" s="15">
        <v>6.9266609582891801E-3</v>
      </c>
    </row>
    <row r="14" spans="2:18" x14ac:dyDescent="0.25">
      <c r="B14" s="2" t="s">
        <v>30</v>
      </c>
      <c r="C14" s="9"/>
      <c r="D14" s="20"/>
      <c r="E14" s="9"/>
      <c r="F14" s="9"/>
      <c r="H14" s="2" t="s">
        <v>30</v>
      </c>
      <c r="I14" s="15">
        <v>1.66488624253968</v>
      </c>
      <c r="J14" s="15">
        <f>LOG10(I14)</f>
        <v>0.22138456461405814</v>
      </c>
      <c r="K14" s="15">
        <v>0.73952445342362605</v>
      </c>
      <c r="L14" s="15">
        <v>0.17832892113485599</v>
      </c>
      <c r="N14" s="2" t="s">
        <v>30</v>
      </c>
      <c r="O14" s="9"/>
      <c r="P14" s="20"/>
      <c r="Q14" s="9"/>
      <c r="R14" s="9"/>
    </row>
    <row r="15" spans="2:18" x14ac:dyDescent="0.25">
      <c r="B15" s="2" t="s">
        <v>31</v>
      </c>
      <c r="C15" s="9"/>
      <c r="D15" s="20"/>
      <c r="E15" s="9"/>
      <c r="F15" s="9"/>
      <c r="H15" s="2" t="s">
        <v>31</v>
      </c>
      <c r="I15" s="15">
        <v>1.1538999764416</v>
      </c>
      <c r="J15" s="15">
        <f>LOG10(I15)</f>
        <v>6.2168164485084561E-2</v>
      </c>
      <c r="K15" s="15">
        <v>9.3645385178040705E-2</v>
      </c>
      <c r="L15" s="15">
        <v>2.1496979213356301E-3</v>
      </c>
      <c r="N15" s="2" t="s">
        <v>31</v>
      </c>
      <c r="O15" s="9"/>
      <c r="P15" s="20"/>
      <c r="Q15" s="9"/>
      <c r="R15" s="9"/>
    </row>
    <row r="16" spans="2:18" x14ac:dyDescent="0.25">
      <c r="B16" s="2" t="s">
        <v>32</v>
      </c>
      <c r="C16" s="15">
        <v>1.36678278361715</v>
      </c>
      <c r="D16" s="15">
        <f t="shared" si="0"/>
        <v>0.13569949966494516</v>
      </c>
      <c r="E16" s="15">
        <v>0.463447965306029</v>
      </c>
      <c r="F16" s="15">
        <v>2.0373962034653699E-2</v>
      </c>
      <c r="H16" s="2" t="s">
        <v>32</v>
      </c>
      <c r="I16" s="15">
        <v>1.5749763159783401</v>
      </c>
      <c r="J16" s="15">
        <f>LOG10(I16)</f>
        <v>0.197274027384506</v>
      </c>
      <c r="K16" s="15">
        <v>0.78100360785877099</v>
      </c>
      <c r="L16" s="15">
        <v>0.101236914763633</v>
      </c>
      <c r="N16" s="2" t="s">
        <v>32</v>
      </c>
      <c r="O16" s="15">
        <v>1.3133243489754201</v>
      </c>
      <c r="P16" s="15">
        <f t="shared" si="1"/>
        <v>0.11837199613859342</v>
      </c>
      <c r="Q16" s="15">
        <v>0.95109807907852595</v>
      </c>
      <c r="R16" s="15">
        <v>4.4634061818344499E-2</v>
      </c>
    </row>
    <row r="17" spans="2:18" x14ac:dyDescent="0.25">
      <c r="B17" s="2" t="s">
        <v>33</v>
      </c>
      <c r="C17" s="9"/>
      <c r="D17" s="20"/>
      <c r="E17" s="9"/>
      <c r="F17" s="9"/>
      <c r="H17" s="2" t="s">
        <v>33</v>
      </c>
      <c r="I17" s="15">
        <v>1.3735151389442699</v>
      </c>
      <c r="J17" s="15">
        <f>LOG10(I17)</f>
        <v>0.13783345059584137</v>
      </c>
      <c r="K17" s="15">
        <v>0.76865077228085099</v>
      </c>
      <c r="L17" s="15">
        <v>0.107400232693555</v>
      </c>
      <c r="N17" s="2" t="s">
        <v>33</v>
      </c>
      <c r="O17" s="16">
        <v>0.94796101461339899</v>
      </c>
      <c r="P17" s="16">
        <f t="shared" si="1"/>
        <v>-2.3209522879678278E-2</v>
      </c>
      <c r="Q17" s="15">
        <v>0.41690238193539803</v>
      </c>
      <c r="R17" s="16">
        <v>-4.92326320115316E-2</v>
      </c>
    </row>
    <row r="18" spans="2:18" x14ac:dyDescent="0.25">
      <c r="B18" s="2" t="s">
        <v>34</v>
      </c>
      <c r="C18" s="15">
        <v>1.8695993339197901</v>
      </c>
      <c r="D18" s="15">
        <f t="shared" si="0"/>
        <v>0.27174854465855475</v>
      </c>
      <c r="E18" s="15">
        <v>0.44896728093636801</v>
      </c>
      <c r="F18" s="15">
        <v>2.4947102971666898E-2</v>
      </c>
      <c r="H18" s="2" t="s">
        <v>34</v>
      </c>
      <c r="I18" s="15">
        <v>1.05849048577709</v>
      </c>
      <c r="J18" s="15">
        <f>LOG10(I18)</f>
        <v>2.4686958724746404E-2</v>
      </c>
      <c r="K18" s="16">
        <v>-0.73582121336391904</v>
      </c>
      <c r="L18" s="15">
        <v>8.4573685986466099E-2</v>
      </c>
      <c r="N18" s="2" t="s">
        <v>34</v>
      </c>
      <c r="O18" s="16">
        <v>0.88921094294125103</v>
      </c>
      <c r="P18" s="16">
        <f t="shared" si="1"/>
        <v>-5.0995201360183443E-2</v>
      </c>
      <c r="Q18" s="16">
        <v>-0.46275846239035101</v>
      </c>
      <c r="R18" s="16">
        <v>-1.7297443578437301E-2</v>
      </c>
    </row>
    <row r="19" spans="2:18" x14ac:dyDescent="0.25">
      <c r="B19" s="2" t="s">
        <v>35</v>
      </c>
      <c r="C19" s="15">
        <v>1.21795864622288</v>
      </c>
      <c r="D19" s="15">
        <f t="shared" si="0"/>
        <v>8.5632542794309818E-2</v>
      </c>
      <c r="E19" s="15">
        <v>1.5264059910121399</v>
      </c>
      <c r="F19" s="15">
        <v>9.6293174744729593E-3</v>
      </c>
      <c r="H19" s="2" t="s">
        <v>35</v>
      </c>
      <c r="I19" s="15">
        <v>1.4368219825375701</v>
      </c>
      <c r="J19" s="15">
        <f>LOG10(I19)</f>
        <v>0.15740296382610611</v>
      </c>
      <c r="K19" s="15">
        <v>0.96854380596042999</v>
      </c>
      <c r="L19" s="15">
        <v>0.198594884621278</v>
      </c>
      <c r="N19" s="2" t="s">
        <v>35</v>
      </c>
      <c r="O19" s="15">
        <v>1.4513633958007</v>
      </c>
      <c r="P19" s="15">
        <f t="shared" si="1"/>
        <v>0.16177616573309775</v>
      </c>
      <c r="Q19" s="15">
        <v>1.0296399204692099</v>
      </c>
      <c r="R19" s="15">
        <v>8.8842675425560597E-2</v>
      </c>
    </row>
    <row r="20" spans="2:18" x14ac:dyDescent="0.25">
      <c r="B20" s="2" t="s">
        <v>36</v>
      </c>
      <c r="C20" s="15">
        <v>1.0299659938988901</v>
      </c>
      <c r="D20" s="15">
        <f t="shared" si="0"/>
        <v>1.2822885961612207E-2</v>
      </c>
      <c r="E20" s="15">
        <v>0.71671353985517805</v>
      </c>
      <c r="F20" s="15">
        <v>0.14608753400636901</v>
      </c>
      <c r="H20" s="2" t="s">
        <v>36</v>
      </c>
      <c r="I20" s="15">
        <v>1.1632876834321</v>
      </c>
      <c r="J20" s="15">
        <f>LOG10(I20)</f>
        <v>6.5687129927886334E-2</v>
      </c>
      <c r="K20" s="15">
        <v>0.91285830032378401</v>
      </c>
      <c r="L20" s="15">
        <v>6.8212961854365706E-2</v>
      </c>
      <c r="N20" s="2" t="s">
        <v>36</v>
      </c>
      <c r="O20" s="15">
        <v>1.0912670623126599</v>
      </c>
      <c r="P20" s="15">
        <f t="shared" si="1"/>
        <v>3.7931047101078148E-2</v>
      </c>
      <c r="Q20" s="15">
        <v>0.71016469968771001</v>
      </c>
      <c r="R20" s="15">
        <v>3.2065570463247699E-2</v>
      </c>
    </row>
    <row r="21" spans="2:18" x14ac:dyDescent="0.25">
      <c r="B21" s="2" t="s">
        <v>37</v>
      </c>
      <c r="C21" s="9"/>
      <c r="D21" s="20"/>
      <c r="E21" s="9"/>
      <c r="F21" s="9"/>
      <c r="H21" s="2" t="s">
        <v>37</v>
      </c>
      <c r="I21" s="15">
        <v>1.1661766362910899</v>
      </c>
      <c r="J21" s="15">
        <f>LOG10(I21)</f>
        <v>6.6764336320578821E-2</v>
      </c>
      <c r="K21" s="15">
        <v>0.69952356032694896</v>
      </c>
      <c r="L21" s="15">
        <v>4.9611646415268197E-2</v>
      </c>
      <c r="N21" s="2" t="s">
        <v>37</v>
      </c>
      <c r="O21" s="9"/>
      <c r="P21" s="20"/>
      <c r="Q21" s="9"/>
      <c r="R21" s="9"/>
    </row>
    <row r="22" spans="2:18" x14ac:dyDescent="0.25">
      <c r="B22" s="2" t="s">
        <v>38</v>
      </c>
      <c r="C22" s="9"/>
      <c r="D22" s="20"/>
      <c r="E22" s="9"/>
      <c r="F22" s="9"/>
      <c r="H22" s="2" t="s">
        <v>38</v>
      </c>
      <c r="I22" s="15">
        <v>1.1611078257792899</v>
      </c>
      <c r="J22" s="15">
        <f>LOG10(I22)</f>
        <v>6.4872552181767323E-2</v>
      </c>
      <c r="K22" s="15">
        <v>0.97668665464899096</v>
      </c>
      <c r="L22" s="15">
        <v>0.107447815904682</v>
      </c>
      <c r="N22" s="2" t="s">
        <v>38</v>
      </c>
      <c r="O22" s="9"/>
      <c r="P22" s="20"/>
      <c r="Q22" s="9"/>
      <c r="R22" s="9"/>
    </row>
    <row r="23" spans="2:18" x14ac:dyDescent="0.25">
      <c r="B23" s="2" t="s">
        <v>39</v>
      </c>
      <c r="C23" s="15">
        <v>1.1534447144942801</v>
      </c>
      <c r="D23" s="15">
        <f t="shared" si="0"/>
        <v>6.1996783282367796E-2</v>
      </c>
      <c r="E23" s="15">
        <v>0.678678630991426</v>
      </c>
      <c r="F23" s="15">
        <v>1.27691539373017E-2</v>
      </c>
      <c r="H23" s="2" t="s">
        <v>39</v>
      </c>
      <c r="I23" s="15">
        <v>1.2283054504143001</v>
      </c>
      <c r="J23" s="15">
        <f>LOG10(I23)</f>
        <v>8.9306378966329397E-2</v>
      </c>
      <c r="K23" s="15">
        <v>0.33582626900186402</v>
      </c>
      <c r="L23" s="15">
        <v>0.39411883766970102</v>
      </c>
      <c r="N23" s="2" t="s">
        <v>39</v>
      </c>
      <c r="O23" s="15">
        <v>1.1316199673892899</v>
      </c>
      <c r="P23" s="15">
        <f t="shared" si="1"/>
        <v>5.3700601961411354E-2</v>
      </c>
      <c r="Q23" s="15">
        <v>0.48949360984782597</v>
      </c>
      <c r="R23" s="15">
        <v>6.6985380748193796E-2</v>
      </c>
    </row>
    <row r="24" spans="2:18" x14ac:dyDescent="0.25">
      <c r="B24" s="2" t="s">
        <v>40</v>
      </c>
      <c r="C24" s="15">
        <v>1.6625275928143599</v>
      </c>
      <c r="D24" s="15">
        <f t="shared" si="0"/>
        <v>0.22076886197969703</v>
      </c>
      <c r="E24" s="15">
        <v>0.81343884511072295</v>
      </c>
      <c r="F24" s="15">
        <v>6.7576112725014403E-2</v>
      </c>
      <c r="H24" s="2" t="s">
        <v>40</v>
      </c>
      <c r="I24" s="15">
        <v>1.2985932043400299</v>
      </c>
      <c r="J24" s="15">
        <f>LOG10(I24)</f>
        <v>0.11347312583894865</v>
      </c>
      <c r="K24" s="15">
        <v>0.52794332050181203</v>
      </c>
      <c r="L24" s="15">
        <v>9.0698601563059603E-2</v>
      </c>
      <c r="N24" s="2" t="s">
        <v>40</v>
      </c>
      <c r="O24" s="15">
        <v>1.09254170274967</v>
      </c>
      <c r="P24" s="15">
        <f t="shared" si="1"/>
        <v>3.8438023151292605E-2</v>
      </c>
      <c r="Q24" s="15">
        <v>0.62241847110175197</v>
      </c>
      <c r="R24" s="15">
        <v>4.1172009140363702E-2</v>
      </c>
    </row>
    <row r="25" spans="2:18" x14ac:dyDescent="0.25">
      <c r="B25" s="2" t="s">
        <v>41</v>
      </c>
      <c r="C25" s="16">
        <v>0.83858009935182098</v>
      </c>
      <c r="D25" s="16">
        <f t="shared" si="0"/>
        <v>-7.6455448209867299E-2</v>
      </c>
      <c r="E25" s="16">
        <v>-1.07855599689062</v>
      </c>
      <c r="F25" s="16">
        <v>-0.35416666689988402</v>
      </c>
      <c r="H25" s="2" t="s">
        <v>41</v>
      </c>
      <c r="I25" s="15">
        <v>1.25880991704892</v>
      </c>
      <c r="J25" s="15">
        <f>LOG10(I25)</f>
        <v>9.9960155676404691E-2</v>
      </c>
      <c r="K25" s="15">
        <v>0.94081849763111403</v>
      </c>
      <c r="L25" s="15">
        <v>9.9852529707758195E-2</v>
      </c>
      <c r="N25" s="2" t="s">
        <v>41</v>
      </c>
      <c r="O25" s="15">
        <v>1.14505071731638</v>
      </c>
      <c r="P25" s="15">
        <f t="shared" si="1"/>
        <v>5.8824723149996927E-2</v>
      </c>
      <c r="Q25" s="15">
        <v>0.81053240763767698</v>
      </c>
      <c r="R25" s="15">
        <v>1.0119527368219401E-2</v>
      </c>
    </row>
    <row r="26" spans="2:18" x14ac:dyDescent="0.25">
      <c r="B26" s="2" t="s">
        <v>42</v>
      </c>
      <c r="C26" s="15">
        <v>2.31938512736013</v>
      </c>
      <c r="D26" s="15">
        <f t="shared" si="0"/>
        <v>0.36537286799984553</v>
      </c>
      <c r="E26" s="15">
        <v>1.34776836410395</v>
      </c>
      <c r="F26" s="15">
        <v>4.5646344187588998E-2</v>
      </c>
      <c r="H26" s="2" t="s">
        <v>42</v>
      </c>
      <c r="I26" s="15">
        <v>1.2914529576795399</v>
      </c>
      <c r="J26" s="15">
        <f>LOG10(I26)</f>
        <v>0.11107859123540517</v>
      </c>
      <c r="K26" s="15">
        <v>0.445945938664987</v>
      </c>
      <c r="L26" s="15">
        <v>5.5815481283492403E-2</v>
      </c>
      <c r="N26" s="2" t="s">
        <v>42</v>
      </c>
      <c r="O26" s="15">
        <v>1.1789981890215999</v>
      </c>
      <c r="P26" s="15">
        <f t="shared" si="1"/>
        <v>7.151313800558104E-2</v>
      </c>
      <c r="Q26" s="15">
        <v>0.71110320718430697</v>
      </c>
      <c r="R26" s="15">
        <v>6.6536069428028005E-2</v>
      </c>
    </row>
    <row r="27" spans="2:18" x14ac:dyDescent="0.25">
      <c r="B27" s="2" t="s">
        <v>43</v>
      </c>
      <c r="C27" s="15">
        <v>1.66955637894203</v>
      </c>
      <c r="D27" s="15">
        <f t="shared" si="0"/>
        <v>0.22260108924843011</v>
      </c>
      <c r="E27" s="15">
        <v>0.55456789410428697</v>
      </c>
      <c r="F27" s="15">
        <v>1.47909285306715E-2</v>
      </c>
      <c r="H27" s="2" t="s">
        <v>43</v>
      </c>
      <c r="I27" s="15">
        <v>1.2886907903199001</v>
      </c>
      <c r="J27" s="15">
        <f>LOG10(I27)</f>
        <v>0.11014872482653605</v>
      </c>
      <c r="K27" s="16">
        <v>-0.136935986249347</v>
      </c>
      <c r="L27" s="15">
        <v>9.5391388976058394E-2</v>
      </c>
      <c r="N27" s="2" t="s">
        <v>43</v>
      </c>
      <c r="O27" s="16">
        <v>0.97878588366186803</v>
      </c>
      <c r="P27" s="16">
        <f t="shared" si="1"/>
        <v>-9.312302797939662E-3</v>
      </c>
      <c r="Q27" s="15">
        <v>0.19577020963205699</v>
      </c>
      <c r="R27" s="15">
        <v>1.1313432223976399E-3</v>
      </c>
    </row>
    <row r="28" spans="2:18" x14ac:dyDescent="0.25">
      <c r="B28" s="2" t="s">
        <v>44</v>
      </c>
      <c r="C28" s="9"/>
      <c r="D28" s="20"/>
      <c r="E28" s="15">
        <v>0.70468449804027899</v>
      </c>
      <c r="F28" s="15">
        <v>3.5842816756479302E-2</v>
      </c>
      <c r="H28" s="2" t="s">
        <v>44</v>
      </c>
      <c r="I28" s="15">
        <v>1.39612401914989</v>
      </c>
      <c r="J28" s="15">
        <f>LOG10(I28)</f>
        <v>0.14492399883164073</v>
      </c>
      <c r="K28" s="15">
        <v>0.97165157928161605</v>
      </c>
      <c r="L28" s="15">
        <v>9.9540545016305104E-2</v>
      </c>
      <c r="N28" s="2" t="s">
        <v>44</v>
      </c>
      <c r="O28" s="18"/>
      <c r="P28" s="18"/>
      <c r="Q28" s="15">
        <v>0.683460368155826</v>
      </c>
      <c r="R28" s="15">
        <v>4.2954799108477999E-2</v>
      </c>
    </row>
    <row r="29" spans="2:18" x14ac:dyDescent="0.25">
      <c r="B29" s="2" t="s">
        <v>45</v>
      </c>
      <c r="C29" s="16">
        <v>0.90805045415642205</v>
      </c>
      <c r="D29" s="16">
        <f t="shared" si="0"/>
        <v>-4.1890020032920458E-2</v>
      </c>
      <c r="E29" s="16">
        <v>-0.373253605455523</v>
      </c>
      <c r="F29" s="16">
        <v>-4.0383997186219003E-2</v>
      </c>
      <c r="H29" s="2" t="s">
        <v>45</v>
      </c>
      <c r="I29" s="15">
        <v>1.15490049713987</v>
      </c>
      <c r="J29" s="15">
        <f>LOG10(I29)</f>
        <v>6.2544568293434938E-2</v>
      </c>
      <c r="K29" s="15">
        <v>0.47813963463856402</v>
      </c>
      <c r="L29" s="15">
        <v>0.115227328160236</v>
      </c>
      <c r="N29" s="2" t="s">
        <v>45</v>
      </c>
      <c r="O29" s="15">
        <v>1.0377445922355999</v>
      </c>
      <c r="P29" s="15">
        <f t="shared" si="1"/>
        <v>1.6090478915546057E-2</v>
      </c>
      <c r="Q29" s="15">
        <v>0.77578539774468103</v>
      </c>
      <c r="R29" s="16">
        <v>-2.47945511242929E-2</v>
      </c>
    </row>
    <row r="30" spans="2:18" x14ac:dyDescent="0.25">
      <c r="B30" s="2" t="s">
        <v>46</v>
      </c>
      <c r="C30" s="15">
        <v>1.0862889042163599</v>
      </c>
      <c r="D30" s="15">
        <f t="shared" si="0"/>
        <v>3.5945343504069888E-2</v>
      </c>
      <c r="E30" s="15">
        <v>0.63056904760694898</v>
      </c>
      <c r="F30" s="15">
        <v>3.6679485231980898E-2</v>
      </c>
      <c r="H30" s="2" t="s">
        <v>46</v>
      </c>
      <c r="I30" s="15">
        <v>1.6223687074200499</v>
      </c>
      <c r="J30" s="15">
        <f>LOG10(I30)</f>
        <v>0.21014956097310067</v>
      </c>
      <c r="K30" s="15">
        <v>0.74242380847501299</v>
      </c>
      <c r="L30" s="15">
        <v>0.157732693122626</v>
      </c>
      <c r="N30" s="2" t="s">
        <v>46</v>
      </c>
      <c r="O30" s="15">
        <v>1.2504756666589101</v>
      </c>
      <c r="P30" s="15">
        <f t="shared" si="1"/>
        <v>9.7075245096043816E-2</v>
      </c>
      <c r="Q30" s="15">
        <v>0.59604944299089302</v>
      </c>
      <c r="R30" s="15">
        <v>4.4957534610287397E-2</v>
      </c>
    </row>
    <row r="31" spans="2:18" x14ac:dyDescent="0.25">
      <c r="B31" s="2" t="s">
        <v>47</v>
      </c>
      <c r="C31" s="16">
        <v>0.39254775269290398</v>
      </c>
      <c r="D31" s="16">
        <f t="shared" si="0"/>
        <v>-0.40610750460138001</v>
      </c>
      <c r="E31" s="16">
        <v>-0.623899602892661</v>
      </c>
      <c r="F31" s="16">
        <v>-0.76160033358371604</v>
      </c>
      <c r="H31" s="2" t="s">
        <v>47</v>
      </c>
      <c r="I31" s="15">
        <v>1.4572146309152101</v>
      </c>
      <c r="J31" s="15">
        <f>LOG10(I31)</f>
        <v>0.16352352305151571</v>
      </c>
      <c r="K31" s="15">
        <v>0.80433038241724497</v>
      </c>
      <c r="L31" s="15">
        <v>0.121156039239802</v>
      </c>
      <c r="N31" s="2" t="s">
        <v>47</v>
      </c>
      <c r="O31" s="15">
        <v>1.54714499753857</v>
      </c>
      <c r="P31" s="15">
        <f t="shared" si="1"/>
        <v>0.18953101743560918</v>
      </c>
      <c r="Q31" s="15">
        <v>0.99008387935652697</v>
      </c>
      <c r="R31" s="15">
        <v>7.7980025652416296E-2</v>
      </c>
    </row>
    <row r="32" spans="2:18" x14ac:dyDescent="0.25">
      <c r="D32" s="20"/>
    </row>
    <row r="33" spans="4:4" x14ac:dyDescent="0.25">
      <c r="D33" s="20"/>
    </row>
    <row r="63" spans="4:4" x14ac:dyDescent="0.25">
      <c r="D63" s="20"/>
    </row>
    <row r="64" spans="4:4" x14ac:dyDescent="0.25">
      <c r="D64" s="20"/>
    </row>
    <row r="94" spans="3:6" x14ac:dyDescent="0.25">
      <c r="C94" s="9"/>
      <c r="D94" s="9"/>
      <c r="F94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</vt:lpstr>
      <vt:lpstr>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2026-06-25T02:48:41Z</dcterms:created>
  <dcterms:modified xsi:type="dcterms:W3CDTF">2026-06-25T04:31:20Z</dcterms:modified>
</cp:coreProperties>
</file>