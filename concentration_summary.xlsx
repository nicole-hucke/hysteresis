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hysteresis\"/>
    </mc:Choice>
  </mc:AlternateContent>
  <xr:revisionPtr revIDLastSave="0" documentId="13_ncr:1_{60B3762B-42FC-42C6-A1C3-FB984CB7AD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eriments" sheetId="1" r:id="rId1"/>
    <sheet name="Natural Events " sheetId="2" r:id="rId2"/>
    <sheet name="Summary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1" i="2" l="1"/>
  <c r="AS21" i="2"/>
  <c r="AR21" i="2"/>
  <c r="AQ21" i="2"/>
  <c r="AP21" i="2"/>
  <c r="AL21" i="2"/>
  <c r="AK21" i="2"/>
  <c r="AJ21" i="2"/>
  <c r="AI21" i="2"/>
  <c r="AH21" i="2"/>
  <c r="AD21" i="2"/>
  <c r="AC21" i="2"/>
  <c r="AB21" i="2"/>
  <c r="AA21" i="2"/>
  <c r="Z21" i="2"/>
  <c r="V21" i="2"/>
  <c r="U21" i="2"/>
  <c r="T21" i="2"/>
  <c r="S21" i="2"/>
  <c r="R21" i="2"/>
  <c r="N21" i="2"/>
  <c r="M21" i="2"/>
  <c r="L21" i="2"/>
  <c r="K21" i="2"/>
  <c r="J21" i="2"/>
  <c r="C21" i="2"/>
  <c r="D21" i="2"/>
  <c r="E21" i="2"/>
  <c r="F21" i="2"/>
  <c r="B21" i="2"/>
  <c r="AL26" i="1"/>
  <c r="AM26" i="1"/>
  <c r="T26" i="1"/>
  <c r="U26" i="1"/>
  <c r="V26" i="1"/>
  <c r="Y26" i="1"/>
  <c r="Z26" i="1"/>
  <c r="AA26" i="1"/>
  <c r="AD26" i="1"/>
  <c r="AE26" i="1"/>
  <c r="AF26" i="1"/>
  <c r="AI26" i="1"/>
  <c r="AJ26" i="1"/>
  <c r="AK26" i="1"/>
  <c r="AP26" i="1"/>
  <c r="AQ26" i="1"/>
  <c r="AR26" i="1"/>
  <c r="AU26" i="1"/>
  <c r="AV26" i="1"/>
  <c r="AW26" i="1"/>
  <c r="M26" i="1"/>
  <c r="N26" i="1"/>
  <c r="O26" i="1"/>
  <c r="P26" i="1"/>
  <c r="Q26" i="1"/>
  <c r="G26" i="1"/>
  <c r="G24" i="1"/>
  <c r="F26" i="1"/>
  <c r="H26" i="1"/>
  <c r="I26" i="1"/>
  <c r="J26" i="1"/>
  <c r="E26" i="1"/>
  <c r="G22" i="1"/>
  <c r="S17" i="3"/>
  <c r="T17" i="3"/>
  <c r="V17" i="3"/>
  <c r="R17" i="3"/>
  <c r="L17" i="3"/>
  <c r="M17" i="3"/>
  <c r="N17" i="3"/>
  <c r="O17" i="3"/>
  <c r="K17" i="3"/>
  <c r="U18" i="2"/>
  <c r="M18" i="2"/>
  <c r="M19" i="2" s="1"/>
  <c r="E18" i="2"/>
  <c r="AM27" i="2"/>
  <c r="AL27" i="2"/>
  <c r="AM26" i="2"/>
  <c r="AM29" i="2" s="1"/>
  <c r="AL26" i="2"/>
  <c r="AL29" i="2" s="1"/>
  <c r="AK24" i="2"/>
  <c r="AI27" i="2"/>
  <c r="AH27" i="2"/>
  <c r="AI26" i="2"/>
  <c r="AI29" i="2" s="1"/>
  <c r="AH26" i="2"/>
  <c r="AH29" i="2" s="1"/>
  <c r="AG24" i="2"/>
  <c r="AE27" i="2"/>
  <c r="AD27" i="2"/>
  <c r="AE26" i="2"/>
  <c r="AE29" i="2" s="1"/>
  <c r="AD26" i="2"/>
  <c r="AD29" i="2" s="1"/>
  <c r="AC24" i="2"/>
  <c r="AA27" i="2"/>
  <c r="Z27" i="2"/>
  <c r="AA26" i="2"/>
  <c r="AA29" i="2" s="1"/>
  <c r="Z26" i="2"/>
  <c r="Z29" i="2" s="1"/>
  <c r="Y24" i="2"/>
  <c r="W27" i="2"/>
  <c r="V27" i="2"/>
  <c r="W26" i="2"/>
  <c r="W29" i="2" s="1"/>
  <c r="V26" i="2"/>
  <c r="V29" i="2" s="1"/>
  <c r="U24" i="2"/>
  <c r="S27" i="2"/>
  <c r="R27" i="2"/>
  <c r="S26" i="2"/>
  <c r="S29" i="2" s="1"/>
  <c r="R26" i="2"/>
  <c r="R29" i="2" s="1"/>
  <c r="Q24" i="2"/>
  <c r="O27" i="2"/>
  <c r="N27" i="2"/>
  <c r="O26" i="2"/>
  <c r="O29" i="2" s="1"/>
  <c r="N26" i="2"/>
  <c r="N29" i="2" s="1"/>
  <c r="M24" i="2"/>
  <c r="K27" i="2"/>
  <c r="J27" i="2"/>
  <c r="K26" i="2"/>
  <c r="K29" i="2" s="1"/>
  <c r="J26" i="2"/>
  <c r="J29" i="2" s="1"/>
  <c r="I24" i="2"/>
  <c r="G27" i="2"/>
  <c r="F27" i="2"/>
  <c r="G26" i="2"/>
  <c r="G29" i="2" s="1"/>
  <c r="F26" i="2"/>
  <c r="F29" i="2" s="1"/>
  <c r="E24" i="2"/>
  <c r="C29" i="2"/>
  <c r="B29" i="2"/>
  <c r="C27" i="2"/>
  <c r="C26" i="2"/>
  <c r="B27" i="2"/>
  <c r="B26" i="2"/>
  <c r="A24" i="2"/>
  <c r="AT18" i="2"/>
  <c r="AS18" i="2"/>
  <c r="AR18" i="2"/>
  <c r="AQ18" i="2"/>
  <c r="AP18" i="2"/>
  <c r="AT17" i="2"/>
  <c r="AT19" i="2" s="1"/>
  <c r="AS17" i="2"/>
  <c r="AS19" i="2" s="1"/>
  <c r="AR17" i="2"/>
  <c r="AR19" i="2" s="1"/>
  <c r="AQ17" i="2"/>
  <c r="AQ19" i="2" s="1"/>
  <c r="AP17" i="2"/>
  <c r="AP19" i="2" s="1"/>
  <c r="AL18" i="2"/>
  <c r="AK18" i="2"/>
  <c r="AJ18" i="2"/>
  <c r="AI18" i="2"/>
  <c r="AH18" i="2"/>
  <c r="AL17" i="2"/>
  <c r="AL19" i="2" s="1"/>
  <c r="AK17" i="2"/>
  <c r="AJ17" i="2"/>
  <c r="AJ19" i="2" s="1"/>
  <c r="AI17" i="2"/>
  <c r="AI19" i="2" s="1"/>
  <c r="AH17" i="2"/>
  <c r="AH19" i="2" s="1"/>
  <c r="AD18" i="2"/>
  <c r="AC18" i="2"/>
  <c r="AB18" i="2"/>
  <c r="AA18" i="2"/>
  <c r="Z18" i="2"/>
  <c r="AD17" i="2"/>
  <c r="AD19" i="2" s="1"/>
  <c r="AC17" i="2"/>
  <c r="AC19" i="2" s="1"/>
  <c r="AB17" i="2"/>
  <c r="AB19" i="2" s="1"/>
  <c r="AA17" i="2"/>
  <c r="AA19" i="2" s="1"/>
  <c r="Z17" i="2"/>
  <c r="Z19" i="2" s="1"/>
  <c r="V18" i="2"/>
  <c r="T18" i="2"/>
  <c r="S18" i="2"/>
  <c r="R18" i="2"/>
  <c r="V17" i="2"/>
  <c r="V19" i="2" s="1"/>
  <c r="U17" i="2"/>
  <c r="U19" i="2" s="1"/>
  <c r="T17" i="2"/>
  <c r="S17" i="2"/>
  <c r="S19" i="2" s="1"/>
  <c r="R17" i="2"/>
  <c r="R19" i="2" s="1"/>
  <c r="N18" i="2"/>
  <c r="K17" i="2"/>
  <c r="L17" i="2"/>
  <c r="M17" i="2"/>
  <c r="N17" i="2"/>
  <c r="J17" i="2"/>
  <c r="C17" i="2"/>
  <c r="D17" i="2"/>
  <c r="E17" i="2"/>
  <c r="F17" i="2"/>
  <c r="B17" i="2"/>
  <c r="J18" i="2"/>
  <c r="L18" i="2"/>
  <c r="K18" i="2"/>
  <c r="N19" i="2"/>
  <c r="L19" i="2"/>
  <c r="K19" i="2"/>
  <c r="C18" i="2"/>
  <c r="C19" i="2" s="1"/>
  <c r="D18" i="2"/>
  <c r="D19" i="2" s="1"/>
  <c r="F18" i="2"/>
  <c r="B18" i="2"/>
  <c r="Y22" i="1"/>
  <c r="Z24" i="1"/>
  <c r="AW22" i="1"/>
  <c r="AV20" i="1"/>
  <c r="AV24" i="1" s="1"/>
  <c r="AU22" i="1"/>
  <c r="AU20" i="1"/>
  <c r="AR22" i="1"/>
  <c r="AQ22" i="1"/>
  <c r="AP22" i="1"/>
  <c r="AW20" i="1"/>
  <c r="T22" i="1"/>
  <c r="U22" i="1"/>
  <c r="V22" i="1"/>
  <c r="Z22" i="1"/>
  <c r="AA22" i="1"/>
  <c r="AD22" i="1"/>
  <c r="AE22" i="1"/>
  <c r="AF22" i="1"/>
  <c r="AI22" i="1"/>
  <c r="AJ22" i="1"/>
  <c r="AK22" i="1"/>
  <c r="AL22" i="1"/>
  <c r="AM22" i="1"/>
  <c r="AV22" i="1"/>
  <c r="T20" i="1"/>
  <c r="T24" i="1" s="1"/>
  <c r="U20" i="1"/>
  <c r="U24" i="1" s="1"/>
  <c r="V20" i="1"/>
  <c r="V24" i="1" s="1"/>
  <c r="Y20" i="1"/>
  <c r="Y24" i="1" s="1"/>
  <c r="Z20" i="1"/>
  <c r="AA20" i="1"/>
  <c r="AA24" i="1" s="1"/>
  <c r="AD20" i="1"/>
  <c r="AD24" i="1" s="1"/>
  <c r="AE20" i="1"/>
  <c r="AE24" i="1" s="1"/>
  <c r="AF20" i="1"/>
  <c r="AF24" i="1" s="1"/>
  <c r="AI20" i="1"/>
  <c r="AI24" i="1" s="1"/>
  <c r="AJ20" i="1"/>
  <c r="AJ24" i="1" s="1"/>
  <c r="AK20" i="1"/>
  <c r="AK24" i="1" s="1"/>
  <c r="AL20" i="1"/>
  <c r="AL24" i="1" s="1"/>
  <c r="AM20" i="1"/>
  <c r="AM24" i="1" s="1"/>
  <c r="AP20" i="1"/>
  <c r="AP24" i="1" s="1"/>
  <c r="AQ20" i="1"/>
  <c r="AQ24" i="1" s="1"/>
  <c r="AR20" i="1"/>
  <c r="AR24" i="1" s="1"/>
  <c r="M22" i="1"/>
  <c r="N22" i="1"/>
  <c r="O22" i="1"/>
  <c r="P22" i="1"/>
  <c r="Q22" i="1"/>
  <c r="Q21" i="1"/>
  <c r="P21" i="1"/>
  <c r="O21" i="1"/>
  <c r="N21" i="1"/>
  <c r="M21" i="1"/>
  <c r="M20" i="1"/>
  <c r="M24" i="1" s="1"/>
  <c r="N20" i="1"/>
  <c r="N24" i="1" s="1"/>
  <c r="O20" i="1"/>
  <c r="O24" i="1" s="1"/>
  <c r="P20" i="1"/>
  <c r="P24" i="1" s="1"/>
  <c r="Q20" i="1"/>
  <c r="Q24" i="1" s="1"/>
  <c r="H22" i="1"/>
  <c r="F22" i="1"/>
  <c r="I22" i="1"/>
  <c r="J22" i="1"/>
  <c r="E22" i="1"/>
  <c r="J21" i="1"/>
  <c r="F20" i="1"/>
  <c r="F24" i="1" s="1"/>
  <c r="G20" i="1"/>
  <c r="H20" i="1"/>
  <c r="H24" i="1" s="1"/>
  <c r="I20" i="1"/>
  <c r="I24" i="1" s="1"/>
  <c r="J20" i="1"/>
  <c r="J24" i="1" s="1"/>
  <c r="E20" i="1"/>
  <c r="E24" i="1" s="1"/>
  <c r="D5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T19" i="2" l="1"/>
  <c r="AK19" i="2"/>
  <c r="B19" i="2"/>
  <c r="F19" i="2"/>
  <c r="J19" i="2"/>
  <c r="E19" i="2"/>
  <c r="AU24" i="1"/>
  <c r="AW24" i="1"/>
  <c r="D6" i="1"/>
  <c r="D7" i="1" s="1"/>
  <c r="D8" i="1" s="1"/>
  <c r="H21" i="1"/>
  <c r="E21" i="1" l="1"/>
  <c r="F21" i="1"/>
  <c r="G21" i="1"/>
  <c r="I21" i="1"/>
  <c r="D9" i="1"/>
  <c r="D10" i="1" s="1"/>
  <c r="D11" i="1" s="1"/>
  <c r="D12" i="1" s="1"/>
  <c r="D13" i="1" s="1"/>
  <c r="D14" i="1" s="1"/>
  <c r="D15" i="1" s="1"/>
  <c r="D16" i="1" s="1"/>
  <c r="D17" i="1" s="1"/>
  <c r="D18" i="1" s="1"/>
</calcChain>
</file>

<file path=xl/sharedStrings.xml><?xml version="1.0" encoding="utf-8"?>
<sst xmlns="http://schemas.openxmlformats.org/spreadsheetml/2006/main" count="598" uniqueCount="143">
  <si>
    <t>Bottle</t>
  </si>
  <si>
    <t>Time</t>
  </si>
  <si>
    <t>Removed Armor</t>
  </si>
  <si>
    <t>SS (mg/L)</t>
  </si>
  <si>
    <t>POC (mgC/L)</t>
  </si>
  <si>
    <t>Time Interval (min)</t>
  </si>
  <si>
    <t>PP (mg/L)</t>
  </si>
  <si>
    <t>SRP (mg/L)</t>
  </si>
  <si>
    <t>TP (mg/L)</t>
  </si>
  <si>
    <t>DOC (mg/L)</t>
  </si>
  <si>
    <t>Exp 1</t>
  </si>
  <si>
    <t>No</t>
  </si>
  <si>
    <t>Exp 2</t>
  </si>
  <si>
    <t>Patch 1</t>
  </si>
  <si>
    <t>Exp 3</t>
  </si>
  <si>
    <t>Patch 1 - Patch 2</t>
  </si>
  <si>
    <t>Exp 4</t>
  </si>
  <si>
    <t>Patch 2</t>
  </si>
  <si>
    <t>Exp 5</t>
  </si>
  <si>
    <t>Patch 2 - Patch 3</t>
  </si>
  <si>
    <t>Exp 6</t>
  </si>
  <si>
    <t>Patch 3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</si>
  <si>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</si>
  <si>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</si>
  <si>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</si>
  <si>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</si>
  <si>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</si>
  <si>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</si>
  <si>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</si>
  <si>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</si>
  <si>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</si>
  <si>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</si>
  <si>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Peak</t>
  </si>
  <si>
    <t xml:space="preserve">Before Release </t>
  </si>
  <si>
    <t>Time Peak</t>
  </si>
  <si>
    <t xml:space="preserve">Factor of change </t>
  </si>
  <si>
    <t>POC</t>
  </si>
  <si>
    <t>SS</t>
  </si>
  <si>
    <t>PP</t>
  </si>
  <si>
    <t>SRP</t>
  </si>
  <si>
    <t>TP</t>
  </si>
  <si>
    <t>DOC</t>
  </si>
  <si>
    <t>Experiment 1 - Manual Armor Removal</t>
  </si>
  <si>
    <t>SSC (mg/L)</t>
  </si>
  <si>
    <t>POC (mg/L)</t>
  </si>
  <si>
    <t xml:space="preserve">Time </t>
  </si>
  <si>
    <t>Experiment 2 - High Pulse Experiment</t>
  </si>
  <si>
    <t>Experiment 3 - High Pulse Experiment</t>
  </si>
  <si>
    <t>Experiment 4 - High Pulse Experiment</t>
  </si>
  <si>
    <t>Experiment 5 - High Pulse Experiment</t>
  </si>
  <si>
    <t>Experiment 6 - High Pulse Experiment</t>
  </si>
  <si>
    <t>Experiment 7 - Low Pulse Experiment</t>
  </si>
  <si>
    <t>Experiment 8 - Low Pulse Experiment</t>
  </si>
  <si>
    <t>Sample ID</t>
  </si>
  <si>
    <t>DateTime</t>
  </si>
  <si>
    <t>ST1-D1</t>
  </si>
  <si>
    <t>ST1-D2</t>
  </si>
  <si>
    <t>ST1-D5</t>
  </si>
  <si>
    <t>ST1-D6</t>
  </si>
  <si>
    <t>ST1-D10</t>
  </si>
  <si>
    <t>ST1-D18</t>
  </si>
  <si>
    <t>ST2-U1</t>
  </si>
  <si>
    <t>ST2-U2</t>
  </si>
  <si>
    <t>ST2-U3</t>
  </si>
  <si>
    <t>ST2-U4</t>
  </si>
  <si>
    <t>ST2-U5</t>
  </si>
  <si>
    <t>ST2-U6</t>
  </si>
  <si>
    <t>ST2-U7</t>
  </si>
  <si>
    <t>ST3-U1</t>
  </si>
  <si>
    <t>ST3-U2</t>
  </si>
  <si>
    <t>ST3-U3</t>
  </si>
  <si>
    <t>ST3-U4</t>
  </si>
  <si>
    <t>ST3-U5</t>
  </si>
  <si>
    <t>ST3-U6</t>
  </si>
  <si>
    <t>ST3-U7</t>
  </si>
  <si>
    <t>ST3-U8</t>
  </si>
  <si>
    <t>ST3-U9</t>
  </si>
  <si>
    <t>ST3-U10</t>
  </si>
  <si>
    <t>ST3-U11</t>
  </si>
  <si>
    <t>ST3-U12</t>
  </si>
  <si>
    <t>ST4-D1</t>
  </si>
  <si>
    <t>ST4-D2</t>
  </si>
  <si>
    <t>ST4-D3</t>
  </si>
  <si>
    <t>ST4-D4</t>
  </si>
  <si>
    <t>ST4-D5</t>
  </si>
  <si>
    <t>ST4-D6</t>
  </si>
  <si>
    <t>ST4-D7</t>
  </si>
  <si>
    <t>ST5-D1</t>
  </si>
  <si>
    <t>ST5-D2</t>
  </si>
  <si>
    <t>ST5-D3</t>
  </si>
  <si>
    <t>ST5-D4</t>
  </si>
  <si>
    <t>ST5-D5</t>
  </si>
  <si>
    <t>ST6-U1</t>
  </si>
  <si>
    <t>ST6-U2</t>
  </si>
  <si>
    <t>ST6-U3</t>
  </si>
  <si>
    <t>ST6-U4</t>
  </si>
  <si>
    <t>ST6-U5</t>
  </si>
  <si>
    <t>ST6-U8</t>
  </si>
  <si>
    <t>ST6-U10</t>
  </si>
  <si>
    <t>ST6-U13</t>
  </si>
  <si>
    <t>GS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</si>
  <si>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</si>
  <si>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</si>
  <si>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</si>
  <si>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</si>
  <si>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</si>
  <si>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</si>
  <si>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</si>
  <si>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</si>
  <si>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</si>
  <si>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Storm 1</t>
  </si>
  <si>
    <t>Storm 2</t>
  </si>
  <si>
    <t>Storm 3</t>
  </si>
  <si>
    <t>Storm 4</t>
  </si>
  <si>
    <t>Storm 5</t>
  </si>
  <si>
    <t>Storm 6</t>
  </si>
  <si>
    <t>Event 10</t>
  </si>
  <si>
    <t>Exp1</t>
  </si>
  <si>
    <t xml:space="preserve">Exp2 </t>
  </si>
  <si>
    <t>Exp3</t>
  </si>
  <si>
    <t>Exp4</t>
  </si>
  <si>
    <t>Exp5</t>
  </si>
  <si>
    <t>Exp6</t>
  </si>
  <si>
    <t>Exp7</t>
  </si>
  <si>
    <t>Exp8</t>
  </si>
  <si>
    <t>St1</t>
  </si>
  <si>
    <t>St2</t>
  </si>
  <si>
    <t>St3</t>
  </si>
  <si>
    <t>St4</t>
  </si>
  <si>
    <t>St5</t>
  </si>
  <si>
    <t>St6</t>
  </si>
  <si>
    <t>base_sample</t>
  </si>
  <si>
    <t>tauc</t>
  </si>
  <si>
    <t xml:space="preserve">yes </t>
  </si>
  <si>
    <t>no</t>
  </si>
  <si>
    <t>yes</t>
  </si>
  <si>
    <t>-</t>
  </si>
  <si>
    <t xml:space="preserve">With amor movement </t>
  </si>
  <si>
    <t xml:space="preserve">No amor movement </t>
  </si>
  <si>
    <t>Average</t>
  </si>
  <si>
    <t xml:space="preserve">Baseflow Average </t>
  </si>
  <si>
    <t>avg_baseflow</t>
  </si>
  <si>
    <t xml:space="preserve">Common baseline sample instead?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</si>
</sst>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0.00000"/>
    <numFmt numFmtId="168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1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22" fontId="0" fillId="0" borderId="0" xfId="0" applyNumberFormat="1"/>
    <xf numFmtId="22" fontId="0" fillId="0" borderId="0" xfId="0" applyNumberFormat="1" applyAlignment="1">
      <alignment horizontal="center"/>
    </xf>
    <xf numFmtId="2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1" fontId="0" fillId="0" borderId="0" xfId="0" applyNumberFormat="1" applyAlignment="1">
      <alignment horizontal="center"/>
    </xf>
    <xf numFmtId="168" fontId="0" fillId="0" borderId="0" xfId="0" applyNumberFormat="1"/>
    <xf numFmtId="2" fontId="2" fillId="0" borderId="0" xfId="0" applyNumberFormat="1" applyFont="1" applyAlignment="1">
      <alignment horizontal="center"/>
    </xf>
    <xf numFmtId="21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2" fontId="0" fillId="5" borderId="1" xfId="0" applyNumberFormat="1" applyFill="1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2" fontId="2" fillId="5" borderId="2" xfId="0" applyNumberFormat="1" applyFont="1" applyFill="1" applyBorder="1" applyAlignment="1">
      <alignment horizontal="center"/>
    </xf>
    <xf numFmtId="22" fontId="0" fillId="5" borderId="2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22" fontId="0" fillId="6" borderId="1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5" fontId="0" fillId="6" borderId="3" xfId="0" applyNumberFormat="1" applyFill="1" applyBorder="1" applyAlignment="1">
      <alignment horizontal="center"/>
    </xf>
    <xf numFmtId="2" fontId="4" fillId="6" borderId="3" xfId="0" applyNumberFormat="1" applyFont="1" applyFill="1" applyBorder="1" applyAlignment="1">
      <alignment horizontal="center"/>
    </xf>
    <xf numFmtId="164" fontId="5" fillId="6" borderId="3" xfId="0" applyNumberFormat="1" applyFont="1" applyFill="1" applyBorder="1" applyAlignment="1">
      <alignment horizontal="center"/>
    </xf>
    <xf numFmtId="22" fontId="0" fillId="6" borderId="3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22" fontId="0" fillId="3" borderId="3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22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22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22" fontId="0" fillId="9" borderId="1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165" fontId="0" fillId="9" borderId="3" xfId="0" applyNumberFormat="1" applyFill="1" applyBorder="1" applyAlignment="1">
      <alignment horizontal="center"/>
    </xf>
    <xf numFmtId="2" fontId="4" fillId="9" borderId="3" xfId="0" applyNumberFormat="1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22" fontId="0" fillId="9" borderId="3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5" fontId="0" fillId="6" borderId="2" xfId="0" applyNumberFormat="1" applyFill="1" applyBorder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22" fontId="0" fillId="6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22" fontId="0" fillId="3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2" fontId="0" fillId="7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5" fontId="0" fillId="8" borderId="2" xfId="0" applyNumberForma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22" fontId="0" fillId="8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65" fontId="0" fillId="9" borderId="2" xfId="0" applyNumberFormat="1" applyFill="1" applyBorder="1" applyAlignment="1">
      <alignment horizontal="center"/>
    </xf>
    <xf numFmtId="2" fontId="4" fillId="9" borderId="2" xfId="0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22" fontId="0" fillId="9" borderId="2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1" fillId="10" borderId="1" xfId="1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2" fontId="1" fillId="10" borderId="2" xfId="1" applyNumberFormat="1" applyFont="1" applyFill="1" applyBorder="1" applyAlignment="1">
      <alignment horizontal="center" vertical="center"/>
    </xf>
    <xf numFmtId="2" fontId="1" fillId="10" borderId="2" xfId="1" applyNumberFormat="1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0" borderId="5" xfId="0" applyBorder="1"/>
    <xf numFmtId="0" fontId="0" fillId="3" borderId="1" xfId="0" applyFill="1" applyBorder="1"/>
    <xf numFmtId="0" fontId="2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0" fillId="10" borderId="1" xfId="0" applyNumberFormat="1" applyFont="1" applyFill="1" applyBorder="1" applyAlignment="1">
      <alignment horizontal="center"/>
    </xf>
    <xf numFmtId="0" fontId="0" fillId="10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"/>
  <sheetViews>
    <sheetView topLeftCell="AD2" workbookViewId="0">
      <selection activeCell="AU25" sqref="AU25:AW26"/>
    </sheetView>
  </sheetViews>
  <sheetFormatPr defaultRowHeight="15" x14ac:dyDescent="0.25"/>
  <cols>
    <col min="2" max="2" width="11.5703125" customWidth="1"/>
    <col min="3" max="3" width="20.7109375" customWidth="1"/>
    <col min="4" max="4" width="18.7109375" customWidth="1"/>
    <col min="5" max="5" width="13.42578125" customWidth="1"/>
    <col min="6" max="6" width="15.7109375" customWidth="1"/>
    <col min="7" max="7" width="14.42578125" customWidth="1"/>
    <col min="8" max="8" width="17" customWidth="1"/>
    <col min="9" max="9" width="12.7109375" customWidth="1"/>
    <col min="10" max="10" width="14.28515625" customWidth="1"/>
    <col min="12" max="12" width="19.140625" customWidth="1"/>
    <col min="13" max="13" width="11.5703125" customWidth="1"/>
    <col min="14" max="14" width="12.42578125" customWidth="1"/>
    <col min="15" max="15" width="14.7109375" customWidth="1"/>
    <col min="16" max="16" width="13.5703125" customWidth="1"/>
    <col min="17" max="17" width="11.5703125" customWidth="1"/>
    <col min="19" max="19" width="15.85546875" customWidth="1"/>
    <col min="20" max="20" width="12.7109375" customWidth="1"/>
    <col min="21" max="21" width="12" customWidth="1"/>
    <col min="22" max="22" width="12.5703125" customWidth="1"/>
    <col min="24" max="24" width="15.5703125" customWidth="1"/>
    <col min="25" max="25" width="10.85546875" customWidth="1"/>
    <col min="26" max="26" width="11.5703125" customWidth="1"/>
    <col min="27" max="27" width="12.28515625" customWidth="1"/>
    <col min="29" max="29" width="16.42578125" customWidth="1"/>
    <col min="30" max="30" width="11.85546875" customWidth="1"/>
    <col min="31" max="31" width="12.85546875" customWidth="1"/>
    <col min="32" max="32" width="13.5703125" customWidth="1"/>
    <col min="34" max="34" width="16" customWidth="1"/>
    <col min="35" max="35" width="13.85546875" customWidth="1"/>
    <col min="36" max="36" width="11.7109375" customWidth="1"/>
    <col min="37" max="37" width="13.42578125" customWidth="1"/>
    <col min="38" max="38" width="11.28515625" customWidth="1"/>
    <col min="39" max="39" width="12.5703125" customWidth="1"/>
    <col min="41" max="41" width="17.7109375" customWidth="1"/>
    <col min="42" max="42" width="12.7109375" customWidth="1"/>
    <col min="43" max="43" width="12.42578125" customWidth="1"/>
    <col min="44" max="44" width="12" customWidth="1"/>
    <col min="46" max="46" width="19.7109375" customWidth="1"/>
    <col min="47" max="47" width="14.140625" customWidth="1"/>
    <col min="48" max="49" width="12.85546875" customWidth="1"/>
  </cols>
  <sheetData>
    <row r="1" spans="1:49" x14ac:dyDescent="0.25">
      <c r="A1" t="s">
        <v>42</v>
      </c>
      <c r="L1" t="s">
        <v>46</v>
      </c>
      <c r="S1" t="s">
        <v>47</v>
      </c>
      <c r="X1" t="s">
        <v>48</v>
      </c>
      <c r="AC1" t="s">
        <v>49</v>
      </c>
      <c r="AH1" t="s">
        <v>50</v>
      </c>
      <c r="AO1" t="s">
        <v>51</v>
      </c>
      <c r="AT1" t="s">
        <v>52</v>
      </c>
    </row>
    <row r="2" spans="1:49" x14ac:dyDescent="0.25">
      <c r="A2" s="1" t="s">
        <v>0</v>
      </c>
      <c r="B2" s="1" t="s">
        <v>1</v>
      </c>
      <c r="C2" s="1" t="s">
        <v>2</v>
      </c>
      <c r="D2" s="1" t="s">
        <v>5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L2" s="2" t="s">
        <v>45</v>
      </c>
      <c r="M2" s="2" t="s">
        <v>43</v>
      </c>
      <c r="N2" s="2" t="s">
        <v>9</v>
      </c>
      <c r="O2" s="2" t="s">
        <v>44</v>
      </c>
      <c r="P2" s="2" t="s">
        <v>6</v>
      </c>
      <c r="Q2" s="2" t="s">
        <v>7</v>
      </c>
      <c r="S2" s="2" t="s">
        <v>1</v>
      </c>
      <c r="T2" s="2" t="s">
        <v>43</v>
      </c>
      <c r="U2" s="2" t="s">
        <v>9</v>
      </c>
      <c r="V2" s="2" t="s">
        <v>44</v>
      </c>
      <c r="X2" s="2" t="s">
        <v>1</v>
      </c>
      <c r="Y2" s="2" t="s">
        <v>43</v>
      </c>
      <c r="Z2" s="2" t="s">
        <v>9</v>
      </c>
      <c r="AA2" s="2" t="s">
        <v>44</v>
      </c>
      <c r="AC2" s="2" t="s">
        <v>1</v>
      </c>
      <c r="AD2" s="2" t="s">
        <v>43</v>
      </c>
      <c r="AE2" s="2" t="s">
        <v>9</v>
      </c>
      <c r="AF2" s="2" t="s">
        <v>44</v>
      </c>
      <c r="AH2" s="7" t="s">
        <v>1</v>
      </c>
      <c r="AI2" s="2" t="s">
        <v>43</v>
      </c>
      <c r="AJ2" s="2" t="s">
        <v>9</v>
      </c>
      <c r="AK2" s="2" t="s">
        <v>44</v>
      </c>
      <c r="AL2" s="2" t="s">
        <v>6</v>
      </c>
      <c r="AM2" s="2" t="s">
        <v>7</v>
      </c>
      <c r="AO2" s="2" t="s">
        <v>1</v>
      </c>
      <c r="AP2" s="2" t="s">
        <v>43</v>
      </c>
      <c r="AQ2" s="2" t="s">
        <v>9</v>
      </c>
      <c r="AR2" s="2" t="s">
        <v>44</v>
      </c>
      <c r="AT2" s="2" t="s">
        <v>1</v>
      </c>
      <c r="AU2" s="2" t="s">
        <v>43</v>
      </c>
      <c r="AV2" s="2" t="s">
        <v>9</v>
      </c>
      <c r="AW2" s="2" t="s">
        <v>44</v>
      </c>
    </row>
    <row r="3" spans="1:49" x14ac:dyDescent="0.25">
      <c r="A3" s="2" t="s">
        <v>10</v>
      </c>
      <c r="B3" s="3">
        <v>0.72638888888888886</v>
      </c>
      <c r="C3" s="2" t="s">
        <v>11</v>
      </c>
      <c r="D3" s="2">
        <v>0</v>
      </c>
      <c r="E3" s="4">
        <v>3.4553255204584259</v>
      </c>
      <c r="F3" s="5">
        <v>1.1019061775871011</v>
      </c>
      <c r="G3" s="6">
        <v>5.1576641217063925E-5</v>
      </c>
      <c r="H3" s="2">
        <v>2.3E-2</v>
      </c>
      <c r="I3" s="2">
        <v>0.03</v>
      </c>
      <c r="J3" s="12">
        <v>2.1269999999999998</v>
      </c>
      <c r="L3" s="28">
        <v>0.49802083333333336</v>
      </c>
      <c r="M3" s="29">
        <v>167.04416760000001</v>
      </c>
      <c r="N3" s="29">
        <v>2.64</v>
      </c>
      <c r="O3" s="24">
        <v>10.97452421</v>
      </c>
      <c r="P3" s="24">
        <v>1.0039344E-2</v>
      </c>
      <c r="Q3" s="24">
        <v>2.45715E-2</v>
      </c>
      <c r="S3" s="28">
        <v>7.8923611111111111E-2</v>
      </c>
      <c r="T3" s="5">
        <v>22.819885899999999</v>
      </c>
      <c r="U3" s="5">
        <v>2.718</v>
      </c>
      <c r="V3" s="5">
        <v>3.3278897669999998</v>
      </c>
      <c r="X3" s="28">
        <v>0.10474537037037036</v>
      </c>
      <c r="Y3" s="5">
        <v>52.16959258</v>
      </c>
      <c r="Z3" s="5">
        <v>2.8980000000000001</v>
      </c>
      <c r="AA3" s="5">
        <v>4.5952285179999999</v>
      </c>
      <c r="AC3" s="28">
        <v>0.4397685185185185</v>
      </c>
      <c r="AD3" s="5">
        <v>70.553888569999998</v>
      </c>
      <c r="AE3" s="5">
        <v>2.1829999999999998</v>
      </c>
      <c r="AF3" s="5">
        <v>8.3572964289999998</v>
      </c>
      <c r="AH3" s="25">
        <v>0.46828703703703706</v>
      </c>
      <c r="AI3" s="24">
        <v>62.139769450000003</v>
      </c>
      <c r="AJ3" s="24">
        <v>2.6309999999999998</v>
      </c>
      <c r="AK3" s="24">
        <v>5.3161272320000004</v>
      </c>
      <c r="AL3" s="24">
        <v>8.0739999999999996E-3</v>
      </c>
      <c r="AM3" s="24">
        <v>2.2803E-2</v>
      </c>
      <c r="AO3" s="28">
        <v>8.396990740740741E-2</v>
      </c>
      <c r="AP3" s="5">
        <v>9.0053213260000007</v>
      </c>
      <c r="AQ3" s="5">
        <v>3.0289999999999999</v>
      </c>
      <c r="AR3" s="5"/>
      <c r="AT3" s="28">
        <v>0.46894675925925927</v>
      </c>
      <c r="AU3" s="5">
        <v>46.45476773</v>
      </c>
      <c r="AV3" s="5">
        <v>3.0339999999999998</v>
      </c>
      <c r="AW3" s="5">
        <v>5.5154976969999998</v>
      </c>
    </row>
    <row r="4" spans="1:49" x14ac:dyDescent="0.25">
      <c r="A4" s="2" t="s">
        <v>12</v>
      </c>
      <c r="B4" s="3">
        <f>B3+0.00211111111111</f>
        <v>0.72849999999999882</v>
      </c>
      <c r="C4" s="2" t="s">
        <v>13</v>
      </c>
      <c r="D4" s="2">
        <v>3</v>
      </c>
      <c r="E4" s="4">
        <v>19.697185438321707</v>
      </c>
      <c r="F4" s="5">
        <v>0.74367490551410131</v>
      </c>
      <c r="G4" s="6">
        <v>2.9040962645844913E-4</v>
      </c>
      <c r="H4" s="2">
        <v>2.1999999999999999E-2</v>
      </c>
      <c r="I4" s="2">
        <v>3.9E-2</v>
      </c>
      <c r="J4" s="5">
        <v>1.3859999999999999</v>
      </c>
      <c r="L4" s="28">
        <v>0.49815972222222221</v>
      </c>
      <c r="M4" s="24">
        <v>145.0786205</v>
      </c>
      <c r="N4" s="24">
        <v>2.3839999999999999</v>
      </c>
      <c r="O4" s="29">
        <v>12.33049707</v>
      </c>
      <c r="P4" s="29">
        <v>2.2338385999999998E-2</v>
      </c>
      <c r="Q4" s="24">
        <v>1.7498300000000001E-2</v>
      </c>
      <c r="S4" s="28">
        <v>7.9050925925925927E-2</v>
      </c>
      <c r="T4" s="5">
        <v>66.633761109999995</v>
      </c>
      <c r="U4" s="5">
        <v>2.6819999999999999</v>
      </c>
      <c r="V4" s="5">
        <v>6.6628506349999999</v>
      </c>
      <c r="X4" s="28">
        <v>0.10486111111111111</v>
      </c>
      <c r="Y4" s="5">
        <v>174.6761387</v>
      </c>
      <c r="Z4" s="5">
        <v>2.7160000000000002</v>
      </c>
      <c r="AA4" s="5">
        <v>10.93014432</v>
      </c>
      <c r="AC4" s="28">
        <v>0.44150462962962966</v>
      </c>
      <c r="AD4" s="5">
        <v>287.8289474</v>
      </c>
      <c r="AE4" s="5">
        <v>2.1179999999999999</v>
      </c>
      <c r="AF4" s="5">
        <v>24.660150940000001</v>
      </c>
      <c r="AH4" s="25">
        <v>0.47123842592592591</v>
      </c>
      <c r="AI4" s="24">
        <v>243.34662650000001</v>
      </c>
      <c r="AJ4" s="24">
        <v>2.581</v>
      </c>
      <c r="AK4" s="24">
        <v>20.72610796</v>
      </c>
      <c r="AL4" s="24">
        <v>2.3321000000000001E-2</v>
      </c>
      <c r="AM4" s="24">
        <v>1.9266999999999999E-2</v>
      </c>
      <c r="AO4" s="28">
        <v>8.4004629629629624E-2</v>
      </c>
      <c r="AP4" s="5">
        <v>7.4868979290000004</v>
      </c>
      <c r="AQ4" s="5">
        <v>2.923</v>
      </c>
      <c r="AR4" s="5">
        <v>2.38341665</v>
      </c>
      <c r="AT4" s="28">
        <v>0.4689814814814815</v>
      </c>
      <c r="AU4" s="5">
        <v>42.016806719999998</v>
      </c>
      <c r="AV4" s="5">
        <v>3.0539999999999998</v>
      </c>
      <c r="AW4" s="5"/>
    </row>
    <row r="5" spans="1:49" x14ac:dyDescent="0.25">
      <c r="A5" s="2" t="s">
        <v>14</v>
      </c>
      <c r="B5" s="3">
        <f t="shared" ref="B5:B18" si="0">B4+0.00211111111111</f>
        <v>0.73061111111110877</v>
      </c>
      <c r="C5" s="2" t="s">
        <v>15</v>
      </c>
      <c r="D5" s="2">
        <f>D4+3</f>
        <v>6</v>
      </c>
      <c r="E5" s="4">
        <v>52.651576833306279</v>
      </c>
      <c r="F5" s="5">
        <v>8.5089648231025539</v>
      </c>
      <c r="G5" s="6">
        <v>6.6106276627512963E-4</v>
      </c>
      <c r="H5" s="1">
        <v>2.4E-2</v>
      </c>
      <c r="I5" s="2">
        <v>4.5999999999999999E-2</v>
      </c>
      <c r="J5" s="5">
        <v>1.5820000000000001</v>
      </c>
      <c r="L5" s="28">
        <v>0.49828703703703708</v>
      </c>
      <c r="M5" s="24">
        <v>76.137884869999993</v>
      </c>
      <c r="N5" s="24">
        <v>2.2839999999999998</v>
      </c>
      <c r="O5" s="24"/>
      <c r="P5" s="24">
        <v>9.8099759999999998E-3</v>
      </c>
      <c r="Q5" s="24">
        <v>2.1034899999999999E-2</v>
      </c>
      <c r="S5" s="28">
        <v>7.9166666666666663E-2</v>
      </c>
      <c r="T5" s="5">
        <v>162.5418607</v>
      </c>
      <c r="U5" s="5">
        <v>2.6440000000000001</v>
      </c>
      <c r="V5" s="5">
        <v>12.04121088</v>
      </c>
      <c r="X5" s="28">
        <v>0.10497685185185185</v>
      </c>
      <c r="Y5" s="5">
        <v>78.177538670000004</v>
      </c>
      <c r="Z5" s="5">
        <v>2.7010000000000001</v>
      </c>
      <c r="AA5" s="5"/>
      <c r="AC5" s="28">
        <v>0.44156250000000002</v>
      </c>
      <c r="AD5" s="5">
        <v>200.0498049</v>
      </c>
      <c r="AE5" s="5">
        <v>2.073</v>
      </c>
      <c r="AF5" s="5">
        <v>16.60466516</v>
      </c>
      <c r="AH5" s="25">
        <v>0.47129629629629632</v>
      </c>
      <c r="AI5" s="24">
        <v>134.52914799999999</v>
      </c>
      <c r="AJ5" s="24">
        <v>2.5630000000000002</v>
      </c>
      <c r="AK5" s="24"/>
      <c r="AL5" s="24">
        <v>1.9203999999999999E-2</v>
      </c>
      <c r="AM5" s="24">
        <v>2.2803E-2</v>
      </c>
      <c r="AO5" s="28">
        <v>8.4039351851851851E-2</v>
      </c>
      <c r="AP5" s="5">
        <v>4.9549921550000002</v>
      </c>
      <c r="AQ5" s="5">
        <v>2.976</v>
      </c>
      <c r="AR5" s="5"/>
      <c r="AT5" s="28">
        <v>0.46901620370370373</v>
      </c>
      <c r="AU5" s="5">
        <v>43.243243239999998</v>
      </c>
      <c r="AV5" s="5">
        <v>2.4729999999999999</v>
      </c>
      <c r="AW5" s="5">
        <v>3.927531906</v>
      </c>
    </row>
    <row r="6" spans="1:49" x14ac:dyDescent="0.25">
      <c r="A6" s="2" t="s">
        <v>16</v>
      </c>
      <c r="B6" s="3">
        <f t="shared" si="0"/>
        <v>0.73272222222221872</v>
      </c>
      <c r="C6" s="2" t="s">
        <v>17</v>
      </c>
      <c r="D6" s="2">
        <f t="shared" ref="D6:D18" si="1">D5+3</f>
        <v>9</v>
      </c>
      <c r="E6" s="4">
        <v>89.933968747198861</v>
      </c>
      <c r="F6" s="5">
        <v>10.416461895026821</v>
      </c>
      <c r="G6" s="6">
        <v>2.2224172067829232E-3</v>
      </c>
      <c r="H6" s="2">
        <v>2.1999999999999999E-2</v>
      </c>
      <c r="I6" s="2">
        <v>7.1999999999999995E-2</v>
      </c>
      <c r="J6" s="5">
        <v>1.643</v>
      </c>
      <c r="L6" s="28">
        <v>0.49840277777777775</v>
      </c>
      <c r="M6" s="24">
        <v>47.967684929999997</v>
      </c>
      <c r="N6" s="24">
        <v>2.423</v>
      </c>
      <c r="O6" s="24">
        <v>4.9671491120000004</v>
      </c>
      <c r="P6" s="24">
        <v>1.0318701E-2</v>
      </c>
      <c r="Q6" s="24">
        <v>2.9876400000000001E-2</v>
      </c>
      <c r="S6" s="28">
        <v>7.9282407407407399E-2</v>
      </c>
      <c r="T6" s="5">
        <v>89.561960589999998</v>
      </c>
      <c r="U6" s="5">
        <v>2.7519999999999998</v>
      </c>
      <c r="V6" s="5"/>
      <c r="X6" s="28">
        <v>0.10509259259259258</v>
      </c>
      <c r="Y6" s="5">
        <v>74.758733179999993</v>
      </c>
      <c r="Z6" s="5">
        <v>2.7810000000000001</v>
      </c>
      <c r="AA6" s="5">
        <v>8.9789966309999993</v>
      </c>
      <c r="AC6" s="28">
        <v>0.44162037037037033</v>
      </c>
      <c r="AD6" s="5">
        <v>112.46027220000001</v>
      </c>
      <c r="AE6" s="5">
        <v>2.0289999999999999</v>
      </c>
      <c r="AF6" s="5">
        <v>10.359493649999999</v>
      </c>
      <c r="AH6" s="25">
        <v>0.47135416666666669</v>
      </c>
      <c r="AI6" s="24">
        <v>135.40290619999999</v>
      </c>
      <c r="AJ6" s="24">
        <v>2.6619999999999999</v>
      </c>
      <c r="AK6" s="24">
        <v>11.66797622</v>
      </c>
      <c r="AL6" s="24">
        <v>1.1514999999999999E-2</v>
      </c>
      <c r="AM6" s="24">
        <v>2.2803E-2</v>
      </c>
      <c r="AO6" s="28">
        <v>8.4074074074074079E-2</v>
      </c>
      <c r="AP6" s="5">
        <v>7.3004542499999996</v>
      </c>
      <c r="AQ6" s="5">
        <v>3.641</v>
      </c>
      <c r="AR6" s="5">
        <v>2.1756635950000001</v>
      </c>
      <c r="AT6" s="28">
        <v>0.4690509259259259</v>
      </c>
      <c r="AU6" s="5">
        <v>144.48979589999999</v>
      </c>
      <c r="AV6" s="5">
        <v>2.6160000000000001</v>
      </c>
      <c r="AW6" s="5"/>
    </row>
    <row r="7" spans="1:49" x14ac:dyDescent="0.25">
      <c r="A7" s="2" t="s">
        <v>18</v>
      </c>
      <c r="B7" s="3">
        <f t="shared" si="0"/>
        <v>0.73483333333332868</v>
      </c>
      <c r="C7" s="2" t="s">
        <v>19</v>
      </c>
      <c r="D7" s="2">
        <f t="shared" si="1"/>
        <v>12</v>
      </c>
      <c r="E7" s="4">
        <v>73.619940199502565</v>
      </c>
      <c r="F7" s="5">
        <v>9.7361003162332747</v>
      </c>
      <c r="G7" s="6">
        <v>2.0552078586848492E-3</v>
      </c>
      <c r="H7" s="2">
        <v>1.9E-2</v>
      </c>
      <c r="I7" s="2">
        <v>8.1000000000000003E-2</v>
      </c>
      <c r="J7" s="5">
        <v>1.5389999999999999</v>
      </c>
      <c r="L7" s="28">
        <v>0.49853009259259262</v>
      </c>
      <c r="M7" s="24">
        <v>67.326074309999996</v>
      </c>
      <c r="N7" s="24">
        <v>2.488</v>
      </c>
      <c r="O7" s="24">
        <v>8.8903534999999998</v>
      </c>
      <c r="P7" s="24">
        <v>6.2101559999999997E-3</v>
      </c>
      <c r="Q7" s="24">
        <v>2.63398E-2</v>
      </c>
      <c r="S7" s="28">
        <v>7.9398148148148148E-2</v>
      </c>
      <c r="T7" s="5">
        <v>87.538194730000001</v>
      </c>
      <c r="U7" s="5">
        <v>2.8079999999999998</v>
      </c>
      <c r="V7" s="5">
        <v>8.058197302</v>
      </c>
      <c r="X7" s="28">
        <v>0.10520833333333333</v>
      </c>
      <c r="Y7" s="5">
        <v>52.974735129999999</v>
      </c>
      <c r="Z7" s="5">
        <v>2.831</v>
      </c>
      <c r="AA7" s="5"/>
      <c r="AC7" s="28">
        <v>0.44167824074074075</v>
      </c>
      <c r="AD7" s="5">
        <v>111.4662733</v>
      </c>
      <c r="AE7" s="5">
        <v>2.0779999999999998</v>
      </c>
      <c r="AF7" s="5"/>
      <c r="AH7" s="25">
        <v>0.47141203703703699</v>
      </c>
      <c r="AI7" s="24">
        <v>99.901736</v>
      </c>
      <c r="AJ7" s="24">
        <v>2.6960000000000002</v>
      </c>
      <c r="AK7" s="24"/>
      <c r="AL7" s="24">
        <v>9.8560000000000002E-3</v>
      </c>
      <c r="AM7" s="24">
        <v>2.1035000000000002E-2</v>
      </c>
      <c r="AO7" s="28">
        <v>8.4108796296296293E-2</v>
      </c>
      <c r="AP7" s="5">
        <v>31.924724860000001</v>
      </c>
      <c r="AQ7" s="5">
        <v>3.0539999999999998</v>
      </c>
      <c r="AR7" s="5"/>
      <c r="AT7" s="28">
        <v>0.46908564814814818</v>
      </c>
      <c r="AU7" s="5">
        <v>240.01979539999999</v>
      </c>
      <c r="AV7" s="5">
        <v>3.1349999999999998</v>
      </c>
      <c r="AW7" s="5">
        <v>15.122709800000001</v>
      </c>
    </row>
    <row r="8" spans="1:49" x14ac:dyDescent="0.25">
      <c r="A8" s="2" t="s">
        <v>20</v>
      </c>
      <c r="B8" s="3">
        <f t="shared" si="0"/>
        <v>0.73694444444443863</v>
      </c>
      <c r="C8" s="2" t="s">
        <v>21</v>
      </c>
      <c r="D8" s="2">
        <f t="shared" si="1"/>
        <v>15</v>
      </c>
      <c r="E8" s="10">
        <v>240.0916933100078</v>
      </c>
      <c r="F8" s="12">
        <v>38.658748032082826</v>
      </c>
      <c r="G8" s="13">
        <v>2.3927254516111322E-3</v>
      </c>
      <c r="H8" s="2">
        <v>1.7999999999999999E-2</v>
      </c>
      <c r="I8" s="1">
        <v>0.11799999999999999</v>
      </c>
      <c r="J8" s="5">
        <v>1.502</v>
      </c>
      <c r="L8" s="28">
        <v>0.49865740740740744</v>
      </c>
      <c r="M8" s="24">
        <v>61.268421920000002</v>
      </c>
      <c r="N8" s="24">
        <v>2.4729999999999999</v>
      </c>
      <c r="O8" s="24"/>
      <c r="P8" s="24">
        <v>5.242666E-3</v>
      </c>
      <c r="Q8" s="24">
        <v>2.81081E-2</v>
      </c>
      <c r="S8" s="28">
        <v>7.9513888888888884E-2</v>
      </c>
      <c r="T8" s="5">
        <v>67.359667360000003</v>
      </c>
      <c r="U8" s="5">
        <v>3.0089999999999999</v>
      </c>
      <c r="V8" s="5"/>
      <c r="X8" s="28">
        <v>0.10532407407407407</v>
      </c>
      <c r="Y8" s="5">
        <v>40.183696900000001</v>
      </c>
      <c r="Z8" s="5">
        <v>2.7629999999999999</v>
      </c>
      <c r="AA8" s="5"/>
      <c r="AC8" s="28">
        <v>0.4417476851851852</v>
      </c>
      <c r="AD8" s="5">
        <v>79.809116340000003</v>
      </c>
      <c r="AE8" s="5">
        <v>2.1640000000000001</v>
      </c>
      <c r="AF8" s="5">
        <v>9.2838971560000001</v>
      </c>
      <c r="AH8" s="25">
        <v>0.47152777777777777</v>
      </c>
      <c r="AI8" s="24">
        <v>98.606470540000004</v>
      </c>
      <c r="AJ8" s="24">
        <v>2.6989999999999998</v>
      </c>
      <c r="AK8" s="24">
        <v>6.6757924820000003</v>
      </c>
      <c r="AL8" s="24">
        <v>1.1691999999999999E-2</v>
      </c>
      <c r="AM8" s="24">
        <v>2.1035000000000002E-2</v>
      </c>
      <c r="AO8" s="28">
        <v>8.414351851851852E-2</v>
      </c>
      <c r="AP8" s="5">
        <v>41.421588929999999</v>
      </c>
      <c r="AQ8" s="5">
        <v>3.0379999999999998</v>
      </c>
      <c r="AR8" s="5"/>
      <c r="AT8" s="28">
        <v>0.46912037037037035</v>
      </c>
      <c r="AU8" s="5">
        <v>191.19209090000001</v>
      </c>
      <c r="AV8" s="5">
        <v>2.9359999999999999</v>
      </c>
      <c r="AW8" s="5"/>
    </row>
    <row r="9" spans="1:49" x14ac:dyDescent="0.25">
      <c r="A9" s="2" t="s">
        <v>22</v>
      </c>
      <c r="B9" s="3">
        <f t="shared" si="0"/>
        <v>0.73905555555554858</v>
      </c>
      <c r="C9" s="2" t="s">
        <v>11</v>
      </c>
      <c r="D9" s="2">
        <f t="shared" si="1"/>
        <v>18</v>
      </c>
      <c r="E9" s="4">
        <v>73.574494175352541</v>
      </c>
      <c r="F9" s="5">
        <v>6.3447902158703471</v>
      </c>
      <c r="G9" s="6">
        <v>2.5382950090458741E-4</v>
      </c>
      <c r="H9" s="2">
        <v>1.9E-2</v>
      </c>
      <c r="I9" s="2">
        <v>0.05</v>
      </c>
      <c r="J9" s="5">
        <v>1.46</v>
      </c>
      <c r="L9" s="28">
        <v>0.49877314814814816</v>
      </c>
      <c r="M9" s="24">
        <v>40.782355389999999</v>
      </c>
      <c r="N9" s="24">
        <v>2.3140000000000001</v>
      </c>
      <c r="O9" s="24"/>
      <c r="P9" s="24">
        <v>3.2996879999999998E-3</v>
      </c>
      <c r="Q9" s="24">
        <v>2.81081E-2</v>
      </c>
      <c r="S9" s="28">
        <v>7.962962962962962E-2</v>
      </c>
      <c r="T9" s="5">
        <v>61.637080869999998</v>
      </c>
      <c r="U9" s="5">
        <v>2.7839999999999998</v>
      </c>
      <c r="V9" s="5"/>
      <c r="X9" s="28">
        <v>0.10543981481481481</v>
      </c>
      <c r="Y9" s="5">
        <v>43.398430980000001</v>
      </c>
      <c r="Z9" s="5">
        <v>2.8140000000000001</v>
      </c>
      <c r="AA9" s="5">
        <v>4.599424687</v>
      </c>
      <c r="AC9" s="28">
        <v>0.44184027777777773</v>
      </c>
      <c r="AD9" s="5">
        <v>80.492813139999996</v>
      </c>
      <c r="AE9" s="5">
        <v>2.1720000000000002</v>
      </c>
      <c r="AF9" s="5"/>
      <c r="AH9" s="25">
        <v>0.47164351851851855</v>
      </c>
      <c r="AI9" s="24">
        <v>93.938898870000003</v>
      </c>
      <c r="AJ9" s="24">
        <v>2.742</v>
      </c>
      <c r="AK9" s="24"/>
      <c r="AL9" s="24">
        <v>1.2283000000000001E-2</v>
      </c>
      <c r="AM9" s="24">
        <v>1.7498E-2</v>
      </c>
      <c r="AO9" s="28">
        <v>8.4178240740740748E-2</v>
      </c>
      <c r="AP9" s="5">
        <v>44.890630100000003</v>
      </c>
      <c r="AQ9" s="5">
        <v>3.5790000000000002</v>
      </c>
      <c r="AR9" s="5">
        <v>4.7777531050000004</v>
      </c>
      <c r="AT9" s="28">
        <v>0.46915509259259264</v>
      </c>
      <c r="AU9" s="5">
        <v>164.10842589999999</v>
      </c>
      <c r="AV9" s="5">
        <v>2.9329999999999998</v>
      </c>
      <c r="AW9" s="5">
        <v>17.196570690000001</v>
      </c>
    </row>
    <row r="10" spans="1:49" x14ac:dyDescent="0.25">
      <c r="A10" s="2" t="s">
        <v>23</v>
      </c>
      <c r="B10" s="3">
        <f t="shared" si="0"/>
        <v>0.74116666666665854</v>
      </c>
      <c r="C10" s="2" t="s">
        <v>11</v>
      </c>
      <c r="D10" s="2">
        <f t="shared" si="1"/>
        <v>21</v>
      </c>
      <c r="E10" s="4">
        <v>20.816385127051692</v>
      </c>
      <c r="F10" s="5">
        <v>1.9795058998944075</v>
      </c>
      <c r="G10" s="6">
        <v>3.8420401139033575E-4</v>
      </c>
      <c r="H10" s="2">
        <v>1.9E-2</v>
      </c>
      <c r="I10" s="2">
        <v>3.3000000000000002E-2</v>
      </c>
      <c r="J10" s="5">
        <v>1.4370000000000001</v>
      </c>
      <c r="L10" s="28">
        <v>0.49890046296296298</v>
      </c>
      <c r="M10" s="24">
        <v>43.350237200000002</v>
      </c>
      <c r="N10" s="24">
        <v>2.4020000000000001</v>
      </c>
      <c r="O10" s="24"/>
      <c r="P10" s="24">
        <v>2.6005389999999998E-3</v>
      </c>
      <c r="Q10" s="29">
        <v>2.9876400000000001E-2</v>
      </c>
      <c r="S10" s="28">
        <v>7.9745370370370369E-2</v>
      </c>
      <c r="T10" s="5">
        <v>37.633968750000001</v>
      </c>
      <c r="U10" s="5">
        <v>2.7559999999999998</v>
      </c>
      <c r="V10" s="5">
        <v>5.0565465879999998</v>
      </c>
      <c r="X10" s="28">
        <v>0.10555555555555556</v>
      </c>
      <c r="Y10" s="5">
        <v>77.334430280000007</v>
      </c>
      <c r="Z10" s="5">
        <v>2.7469999999999999</v>
      </c>
      <c r="AA10" s="5"/>
      <c r="AC10" s="28">
        <v>0.44195601851851851</v>
      </c>
      <c r="AD10" s="5">
        <v>69.473161860000005</v>
      </c>
      <c r="AE10" s="5">
        <v>2.3029999999999999</v>
      </c>
      <c r="AF10" s="5"/>
      <c r="AH10" s="25">
        <v>0.47175925925925927</v>
      </c>
      <c r="AI10" s="24">
        <v>56.216392370000001</v>
      </c>
      <c r="AJ10" s="24">
        <v>2.7610000000000001</v>
      </c>
      <c r="AK10" s="24"/>
      <c r="AL10" s="24">
        <v>8.7559999999999999E-3</v>
      </c>
      <c r="AM10" s="24">
        <v>2.4572E-2</v>
      </c>
      <c r="AO10" s="28">
        <v>8.4212962962962976E-2</v>
      </c>
      <c r="AP10" s="5">
        <v>33.184005310000003</v>
      </c>
      <c r="AQ10" s="5">
        <v>3.1509999999999998</v>
      </c>
      <c r="AR10" s="5"/>
      <c r="AT10" s="28">
        <v>0.46918981481481481</v>
      </c>
      <c r="AU10" s="5">
        <v>119.19751530000001</v>
      </c>
      <c r="AV10" s="5">
        <v>2.6339999999999999</v>
      </c>
      <c r="AW10" s="5">
        <v>9.5060401779999992</v>
      </c>
    </row>
    <row r="11" spans="1:49" x14ac:dyDescent="0.25">
      <c r="A11" s="2" t="s">
        <v>24</v>
      </c>
      <c r="B11" s="3">
        <f t="shared" si="0"/>
        <v>0.74327777777776849</v>
      </c>
      <c r="C11" s="2" t="s">
        <v>11</v>
      </c>
      <c r="D11" s="2">
        <f t="shared" si="1"/>
        <v>24</v>
      </c>
      <c r="E11" s="4">
        <v>17.667101333445487</v>
      </c>
      <c r="F11" s="5">
        <v>3.219264329662352</v>
      </c>
      <c r="G11" s="6">
        <v>4.6887855651876298E-5</v>
      </c>
      <c r="H11" s="2">
        <v>1.9E-2</v>
      </c>
      <c r="I11" s="2">
        <v>0.03</v>
      </c>
      <c r="J11" s="5">
        <v>1.6559999999999999</v>
      </c>
      <c r="L11" s="28">
        <v>0.4990046296296296</v>
      </c>
      <c r="M11" s="24">
        <v>37.341299480000004</v>
      </c>
      <c r="N11" s="24">
        <v>2.278</v>
      </c>
      <c r="O11" s="24"/>
      <c r="P11" s="24">
        <v>2.6185010000000001E-3</v>
      </c>
      <c r="Q11" s="24">
        <v>2.45715E-2</v>
      </c>
      <c r="S11" s="28">
        <v>7.9861111111111105E-2</v>
      </c>
      <c r="T11" s="5">
        <v>49.685326269999997</v>
      </c>
      <c r="U11" s="5">
        <v>2.8039999999999998</v>
      </c>
      <c r="V11" s="5">
        <v>3.736428037</v>
      </c>
      <c r="X11" s="28">
        <v>0.10567129629629629</v>
      </c>
      <c r="Y11" s="5">
        <v>58.59536189</v>
      </c>
      <c r="Z11" s="5">
        <v>2.7410000000000001</v>
      </c>
      <c r="AA11" s="5"/>
      <c r="AC11" s="28">
        <v>0.44208333333333333</v>
      </c>
      <c r="AD11" s="5">
        <v>54.027504909999998</v>
      </c>
      <c r="AE11" s="5">
        <v>2.2890000000000001</v>
      </c>
      <c r="AF11" s="5"/>
      <c r="AH11" s="25">
        <v>0.47187499999999999</v>
      </c>
      <c r="AI11" s="24">
        <v>56.813503500000003</v>
      </c>
      <c r="AJ11" s="24">
        <v>2.8210000000000002</v>
      </c>
      <c r="AK11" s="24"/>
      <c r="AL11" s="24">
        <v>5.7419999999999997E-3</v>
      </c>
      <c r="AM11" s="24">
        <v>2.4572E-2</v>
      </c>
      <c r="AO11" s="28">
        <v>8.4247685185185175E-2</v>
      </c>
      <c r="AP11" s="5">
        <v>25.368248770000001</v>
      </c>
      <c r="AQ11" s="5">
        <v>3.0059999999999998</v>
      </c>
      <c r="AR11" s="5">
        <v>4.9322235059999997</v>
      </c>
      <c r="AT11" s="28">
        <v>0.46925925925925926</v>
      </c>
      <c r="AU11" s="5">
        <v>96.298777419999993</v>
      </c>
      <c r="AV11" s="5">
        <v>2.97</v>
      </c>
      <c r="AW11" s="5">
        <v>6.3675166709999997</v>
      </c>
    </row>
    <row r="12" spans="1:49" x14ac:dyDescent="0.25">
      <c r="A12" s="2" t="s">
        <v>25</v>
      </c>
      <c r="B12" s="3">
        <f t="shared" si="0"/>
        <v>0.74538888888887844</v>
      </c>
      <c r="C12" s="2" t="s">
        <v>11</v>
      </c>
      <c r="D12" s="2">
        <f t="shared" si="1"/>
        <v>27</v>
      </c>
      <c r="E12" s="4">
        <v>15.963635379745167</v>
      </c>
      <c r="F12" s="5">
        <v>3.005177966008191</v>
      </c>
      <c r="G12" s="6">
        <v>1.2779120936401461E-4</v>
      </c>
      <c r="H12" s="2">
        <v>2.1000000000000001E-2</v>
      </c>
      <c r="I12" s="2">
        <v>2.7E-2</v>
      </c>
      <c r="J12" s="5">
        <v>1.7370000000000001</v>
      </c>
      <c r="L12" s="28">
        <v>0.49912037037037038</v>
      </c>
      <c r="M12" s="24">
        <v>22.213081039999999</v>
      </c>
      <c r="N12" s="24">
        <v>2.2730000000000001</v>
      </c>
      <c r="O12" s="24"/>
      <c r="P12" s="24">
        <v>4.3689280000000002E-3</v>
      </c>
      <c r="Q12" s="24">
        <v>2.81081E-2</v>
      </c>
      <c r="S12" s="28">
        <v>7.9976851851851841E-2</v>
      </c>
      <c r="T12" s="5">
        <v>30.500370950000001</v>
      </c>
      <c r="U12" s="5">
        <v>2.8039999999999998</v>
      </c>
      <c r="V12" s="5"/>
      <c r="X12" s="28">
        <v>0.10578703703703703</v>
      </c>
      <c r="Y12" s="5">
        <v>23.829087919999999</v>
      </c>
      <c r="Z12" s="5">
        <v>2.7749999999999999</v>
      </c>
      <c r="AA12" s="5"/>
      <c r="AC12" s="28">
        <v>0.4422106481481482</v>
      </c>
      <c r="AD12" s="5">
        <v>44.106836559999998</v>
      </c>
      <c r="AE12" s="5">
        <v>2.1890000000000001</v>
      </c>
      <c r="AF12" s="5">
        <v>5.254678427</v>
      </c>
      <c r="AH12" s="25">
        <v>0.47199074074074071</v>
      </c>
      <c r="AI12" s="24">
        <v>48.527718370000002</v>
      </c>
      <c r="AJ12" s="24">
        <v>2.7829999999999999</v>
      </c>
      <c r="AK12" s="24">
        <v>5.6309098449999997</v>
      </c>
      <c r="AL12" s="24">
        <v>4.5799999999999999E-3</v>
      </c>
      <c r="AM12" s="24">
        <v>2.6339999999999999E-2</v>
      </c>
      <c r="AO12" s="28">
        <v>8.4282407407407403E-2</v>
      </c>
      <c r="AP12" s="5">
        <v>6.5455735559999999</v>
      </c>
      <c r="AQ12" s="5">
        <v>3.5510000000000002</v>
      </c>
      <c r="AR12" s="5"/>
      <c r="AT12" s="28">
        <v>0.46929398148148144</v>
      </c>
      <c r="AU12" s="5">
        <v>96.842105259999997</v>
      </c>
      <c r="AV12" s="5">
        <v>2.4969999999999999</v>
      </c>
      <c r="AW12" s="5"/>
    </row>
    <row r="13" spans="1:49" x14ac:dyDescent="0.25">
      <c r="A13" s="2" t="s">
        <v>26</v>
      </c>
      <c r="B13" s="3">
        <f t="shared" si="0"/>
        <v>0.7474999999999884</v>
      </c>
      <c r="C13" s="2" t="s">
        <v>11</v>
      </c>
      <c r="D13" s="2">
        <f t="shared" si="1"/>
        <v>30</v>
      </c>
      <c r="E13" s="4">
        <v>7.0668603509873824</v>
      </c>
      <c r="F13" s="5">
        <v>1.5626443518739146</v>
      </c>
      <c r="G13" s="6">
        <v>4.4474966741118462E-6</v>
      </c>
      <c r="H13" s="2">
        <v>2.1999999999999999E-2</v>
      </c>
      <c r="I13" s="2">
        <v>2.7E-2</v>
      </c>
      <c r="J13" s="5">
        <v>1.4590000000000001</v>
      </c>
      <c r="L13" s="28">
        <v>0.49923611111111116</v>
      </c>
      <c r="M13" s="24">
        <v>20.67311668</v>
      </c>
      <c r="N13" s="24">
        <v>2.3010000000000002</v>
      </c>
      <c r="O13" s="24"/>
      <c r="P13" s="24">
        <v>3.117393E-3</v>
      </c>
      <c r="Q13" s="24">
        <v>2.63398E-2</v>
      </c>
      <c r="S13" s="28">
        <v>8.009259259259259E-2</v>
      </c>
      <c r="T13" s="5">
        <v>27.990450320000001</v>
      </c>
      <c r="U13" s="5">
        <v>2.8639999999999999</v>
      </c>
      <c r="V13" s="5"/>
      <c r="X13" s="28">
        <v>0.10590277777777778</v>
      </c>
      <c r="Y13" s="5">
        <v>26.223059899999999</v>
      </c>
      <c r="Z13" s="5">
        <v>2.7330000000000001</v>
      </c>
      <c r="AA13" s="5"/>
      <c r="AC13" s="28">
        <v>0.44232638888888887</v>
      </c>
      <c r="AD13" s="5">
        <v>33.532346449999999</v>
      </c>
      <c r="AE13" s="5">
        <v>2.2829999999999999</v>
      </c>
      <c r="AF13" s="5"/>
      <c r="AH13" s="25">
        <v>0.47210648148148149</v>
      </c>
      <c r="AI13" s="24">
        <v>41.608876559999999</v>
      </c>
      <c r="AJ13" s="24">
        <v>2.7559999999999998</v>
      </c>
      <c r="AK13" s="24"/>
      <c r="AL13" s="24">
        <v>4.058E-3</v>
      </c>
      <c r="AM13" s="24">
        <v>2.1035000000000002E-2</v>
      </c>
    </row>
    <row r="14" spans="1:49" x14ac:dyDescent="0.25">
      <c r="A14" s="2" t="s">
        <v>27</v>
      </c>
      <c r="B14" s="3">
        <f t="shared" si="0"/>
        <v>0.74961111111109835</v>
      </c>
      <c r="C14" s="2" t="s">
        <v>11</v>
      </c>
      <c r="D14" s="2">
        <f t="shared" si="1"/>
        <v>33</v>
      </c>
      <c r="E14" s="4">
        <v>12.436951564983044</v>
      </c>
      <c r="F14" s="5">
        <v>2.8765823670330759</v>
      </c>
      <c r="G14" s="6">
        <v>4.6887855651876298E-5</v>
      </c>
      <c r="H14" s="2">
        <v>1.9E-2</v>
      </c>
      <c r="I14" s="2">
        <v>2.5999999999999999E-2</v>
      </c>
      <c r="J14" s="5">
        <v>1.6379999999999999</v>
      </c>
      <c r="L14" s="28">
        <v>0.49935185185185182</v>
      </c>
      <c r="M14" s="24">
        <v>12.54810105</v>
      </c>
      <c r="N14" s="24">
        <v>2.3130000000000002</v>
      </c>
      <c r="O14" s="24">
        <v>3.2415982130000001</v>
      </c>
      <c r="P14" s="24">
        <v>2.571158E-3</v>
      </c>
      <c r="Q14" s="24">
        <v>1.9266599999999998E-2</v>
      </c>
      <c r="S14" s="28">
        <v>8.020833333333334E-2</v>
      </c>
      <c r="T14" s="5">
        <v>16.57275439</v>
      </c>
      <c r="U14" s="5">
        <v>2.76</v>
      </c>
      <c r="V14" s="5">
        <v>2.771444281</v>
      </c>
      <c r="X14" s="28">
        <v>0.10601851851851851</v>
      </c>
      <c r="Y14" s="5">
        <v>17.731993580000001</v>
      </c>
      <c r="Z14" s="5">
        <v>2.7559999999999998</v>
      </c>
      <c r="AA14" s="5">
        <v>3.2584248140000001</v>
      </c>
      <c r="AC14" s="28">
        <v>0.44244212962962964</v>
      </c>
      <c r="AD14" s="5">
        <v>23.144321380000001</v>
      </c>
      <c r="AE14" s="5">
        <v>2.202</v>
      </c>
      <c r="AF14" s="5"/>
      <c r="AH14" s="25">
        <v>0.47222222222222227</v>
      </c>
      <c r="AI14" s="24">
        <v>27.029240720000001</v>
      </c>
      <c r="AJ14" s="24">
        <v>2.883</v>
      </c>
      <c r="AK14" s="24"/>
      <c r="AL14" s="24">
        <v>3.3760000000000001E-3</v>
      </c>
      <c r="AM14" s="24">
        <v>2.2803E-2</v>
      </c>
    </row>
    <row r="15" spans="1:49" x14ac:dyDescent="0.25">
      <c r="A15" s="2" t="s">
        <v>28</v>
      </c>
      <c r="B15" s="3">
        <f t="shared" si="0"/>
        <v>0.7517222222222083</v>
      </c>
      <c r="C15" s="2" t="s">
        <v>11</v>
      </c>
      <c r="D15" s="2">
        <f t="shared" si="1"/>
        <v>36</v>
      </c>
      <c r="E15" s="4">
        <v>8.095527221210272</v>
      </c>
      <c r="F15" s="5">
        <v>2.2126150321267621</v>
      </c>
      <c r="G15" s="6">
        <v>1.4986210786444661E-4</v>
      </c>
      <c r="H15" s="2">
        <v>0.02</v>
      </c>
      <c r="I15" s="2">
        <v>3.1E-2</v>
      </c>
      <c r="J15" s="5">
        <v>1.7050000000000001</v>
      </c>
      <c r="L15" s="28">
        <v>0.49945601851851856</v>
      </c>
      <c r="M15" s="24">
        <v>10.726957670000001</v>
      </c>
      <c r="N15" s="24">
        <v>2.3079999999999998</v>
      </c>
      <c r="O15" s="24"/>
      <c r="P15" s="24">
        <v>2.6005389999999998E-3</v>
      </c>
      <c r="Q15" s="24">
        <v>2.1034899999999999E-2</v>
      </c>
      <c r="S15" s="28">
        <v>8.0324074074074062E-2</v>
      </c>
      <c r="T15" s="5">
        <v>18.368539699999999</v>
      </c>
      <c r="U15" s="5">
        <v>2.7690000000000001</v>
      </c>
      <c r="V15" s="5"/>
      <c r="X15" s="28">
        <v>0.10613425925925928</v>
      </c>
      <c r="Y15" s="5">
        <v>18.922254219999999</v>
      </c>
      <c r="Z15" s="5">
        <v>2.7850000000000001</v>
      </c>
      <c r="AA15" s="5"/>
      <c r="AH15" s="25">
        <v>0.47233796296296293</v>
      </c>
      <c r="AI15" s="24">
        <v>22.11845662</v>
      </c>
      <c r="AJ15" s="24">
        <v>2.84</v>
      </c>
      <c r="AK15" s="24"/>
      <c r="AL15" s="24">
        <v>3.4789999999999999E-3</v>
      </c>
      <c r="AM15" s="24">
        <v>2.4572E-2</v>
      </c>
    </row>
    <row r="16" spans="1:49" x14ac:dyDescent="0.25">
      <c r="A16" s="2" t="s">
        <v>29</v>
      </c>
      <c r="B16" s="3">
        <f t="shared" si="0"/>
        <v>0.75383333333331826</v>
      </c>
      <c r="C16" s="2" t="s">
        <v>11</v>
      </c>
      <c r="D16" s="2">
        <f t="shared" si="1"/>
        <v>39</v>
      </c>
      <c r="E16" s="4">
        <v>10.855405992184116</v>
      </c>
      <c r="F16" s="5">
        <v>2.5675322748057079</v>
      </c>
      <c r="G16" s="6">
        <v>5.1576641217063925E-5</v>
      </c>
      <c r="H16" s="2">
        <v>0.02</v>
      </c>
      <c r="I16" s="2">
        <v>2.4E-2</v>
      </c>
      <c r="J16" s="5">
        <v>1.7070000000000001</v>
      </c>
      <c r="L16" s="28">
        <v>0.49958333333333332</v>
      </c>
      <c r="M16" s="24">
        <v>6.5843621399999996</v>
      </c>
      <c r="N16" s="24">
        <v>2.214</v>
      </c>
      <c r="O16" s="24"/>
      <c r="P16" s="24">
        <v>2.288628E-3</v>
      </c>
      <c r="Q16" s="24">
        <v>2.2803199999999999E-2</v>
      </c>
      <c r="S16" s="28">
        <v>8.0439814814814811E-2</v>
      </c>
      <c r="T16" s="5">
        <v>6.458383789</v>
      </c>
      <c r="U16" s="5">
        <v>2.7410000000000001</v>
      </c>
      <c r="V16" s="5"/>
    </row>
    <row r="17" spans="1:49" x14ac:dyDescent="0.25">
      <c r="A17" s="2" t="s">
        <v>30</v>
      </c>
      <c r="B17" s="3">
        <f t="shared" si="0"/>
        <v>0.75594444444442821</v>
      </c>
      <c r="C17" s="2" t="s">
        <v>11</v>
      </c>
      <c r="D17" s="2">
        <f t="shared" si="1"/>
        <v>42</v>
      </c>
      <c r="E17" s="4">
        <v>6.0885448377837434</v>
      </c>
      <c r="F17" s="5">
        <v>2.2312408401110857</v>
      </c>
      <c r="G17" s="6">
        <v>4.8981773007164672E-4</v>
      </c>
      <c r="H17" s="2">
        <v>2.1999999999999999E-2</v>
      </c>
      <c r="I17" s="2">
        <v>2.5000000000000001E-2</v>
      </c>
      <c r="J17" s="5">
        <v>1.681</v>
      </c>
      <c r="S17" s="28">
        <v>8.0555555555555561E-2</v>
      </c>
      <c r="T17" s="5">
        <v>11.36179192</v>
      </c>
      <c r="U17" s="5">
        <v>2.7519999999999998</v>
      </c>
      <c r="V17" s="5"/>
    </row>
    <row r="18" spans="1:49" x14ac:dyDescent="0.25">
      <c r="A18" s="2" t="s">
        <v>31</v>
      </c>
      <c r="B18" s="3">
        <f t="shared" si="0"/>
        <v>0.75805555555553816</v>
      </c>
      <c r="C18" s="2" t="s">
        <v>11</v>
      </c>
      <c r="D18" s="2">
        <f t="shared" si="1"/>
        <v>45</v>
      </c>
      <c r="E18" s="4">
        <v>11.464181780769531</v>
      </c>
      <c r="F18" s="5">
        <v>2.7825557685143458</v>
      </c>
      <c r="G18" s="6">
        <v>4.9120610682918029E-5</v>
      </c>
      <c r="H18" s="2">
        <v>2.1000000000000001E-2</v>
      </c>
      <c r="I18" s="2">
        <v>0.03</v>
      </c>
      <c r="J18" s="5">
        <v>1.262</v>
      </c>
      <c r="S18" s="28">
        <v>8.0671296296296297E-2</v>
      </c>
      <c r="T18" s="5">
        <v>11.501807429999999</v>
      </c>
      <c r="U18" s="5">
        <v>2.7389999999999999</v>
      </c>
      <c r="V18" s="5"/>
    </row>
    <row r="19" spans="1:49" x14ac:dyDescent="0.25">
      <c r="M19" s="8"/>
      <c r="N19" s="8"/>
      <c r="O19" s="8"/>
      <c r="P19" s="8"/>
      <c r="Q19" s="8"/>
      <c r="R19" s="8"/>
      <c r="S19" s="8"/>
    </row>
    <row r="20" spans="1:49" x14ac:dyDescent="0.25">
      <c r="D20" s="7" t="s">
        <v>32</v>
      </c>
      <c r="E20" s="16">
        <f>MAX(E3:E18)</f>
        <v>240.0916933100078</v>
      </c>
      <c r="F20" s="9">
        <f t="shared" ref="F20:AM20" si="2">MAX(F3:F18)</f>
        <v>38.658748032082826</v>
      </c>
      <c r="G20" s="11">
        <f t="shared" si="2"/>
        <v>2.3927254516111322E-3</v>
      </c>
      <c r="H20" s="15">
        <f t="shared" si="2"/>
        <v>2.4E-2</v>
      </c>
      <c r="I20" s="14">
        <f t="shared" si="2"/>
        <v>0.11799999999999999</v>
      </c>
      <c r="J20" s="9">
        <f t="shared" si="2"/>
        <v>2.1269999999999998</v>
      </c>
      <c r="K20" s="16"/>
      <c r="L20" s="7" t="s">
        <v>32</v>
      </c>
      <c r="M20" s="9">
        <f>MAX(M3:M18)</f>
        <v>167.04416760000001</v>
      </c>
      <c r="N20" s="9">
        <f t="shared" si="2"/>
        <v>2.64</v>
      </c>
      <c r="O20" s="9">
        <f t="shared" si="2"/>
        <v>12.33049707</v>
      </c>
      <c r="P20" s="9">
        <f t="shared" si="2"/>
        <v>2.2338385999999998E-2</v>
      </c>
      <c r="Q20" s="9">
        <f t="shared" si="2"/>
        <v>2.9876400000000001E-2</v>
      </c>
      <c r="R20" s="9"/>
      <c r="S20" s="7" t="s">
        <v>32</v>
      </c>
      <c r="T20" s="9">
        <f t="shared" si="2"/>
        <v>162.5418607</v>
      </c>
      <c r="U20" s="9">
        <f t="shared" si="2"/>
        <v>3.0089999999999999</v>
      </c>
      <c r="V20" s="9">
        <f t="shared" si="2"/>
        <v>12.04121088</v>
      </c>
      <c r="X20" s="7" t="s">
        <v>32</v>
      </c>
      <c r="Y20" s="9">
        <f t="shared" si="2"/>
        <v>174.6761387</v>
      </c>
      <c r="Z20" s="9">
        <f t="shared" si="2"/>
        <v>2.8980000000000001</v>
      </c>
      <c r="AA20" s="9">
        <f t="shared" si="2"/>
        <v>10.93014432</v>
      </c>
      <c r="AC20" s="7" t="s">
        <v>32</v>
      </c>
      <c r="AD20" s="9">
        <f t="shared" si="2"/>
        <v>287.8289474</v>
      </c>
      <c r="AE20" s="9">
        <f t="shared" si="2"/>
        <v>2.3029999999999999</v>
      </c>
      <c r="AF20" s="9">
        <f t="shared" si="2"/>
        <v>24.660150940000001</v>
      </c>
      <c r="AH20" s="7" t="s">
        <v>32</v>
      </c>
      <c r="AI20" s="9">
        <f t="shared" si="2"/>
        <v>243.34662650000001</v>
      </c>
      <c r="AJ20" s="9">
        <f t="shared" si="2"/>
        <v>2.883</v>
      </c>
      <c r="AK20" s="9">
        <f t="shared" si="2"/>
        <v>20.72610796</v>
      </c>
      <c r="AL20" s="9">
        <f t="shared" si="2"/>
        <v>2.3321000000000001E-2</v>
      </c>
      <c r="AM20" s="9">
        <f t="shared" si="2"/>
        <v>2.6339999999999999E-2</v>
      </c>
      <c r="AO20" s="7" t="s">
        <v>32</v>
      </c>
      <c r="AP20" s="9">
        <f>MAX(AP3:AP18)</f>
        <v>44.890630100000003</v>
      </c>
      <c r="AQ20" s="9">
        <f>MAX(AQ3:AQ18)</f>
        <v>3.641</v>
      </c>
      <c r="AR20" s="9">
        <f>MAX(AR3:AR18)</f>
        <v>4.9322235059999997</v>
      </c>
      <c r="AT20" s="7" t="s">
        <v>32</v>
      </c>
      <c r="AU20" s="9">
        <f>MAX(AU3:AU12)</f>
        <v>240.01979539999999</v>
      </c>
      <c r="AV20" s="9">
        <f>MAX(AV3:AV12)</f>
        <v>3.1349999999999998</v>
      </c>
      <c r="AW20" s="9">
        <f>MAX(AW3:AW18)</f>
        <v>17.196570690000001</v>
      </c>
    </row>
    <row r="21" spans="1:49" x14ac:dyDescent="0.25">
      <c r="D21" s="7" t="s">
        <v>34</v>
      </c>
      <c r="E21" s="7">
        <f>D8</f>
        <v>15</v>
      </c>
      <c r="F21" s="7">
        <f>D8</f>
        <v>15</v>
      </c>
      <c r="G21" s="7">
        <f>D8</f>
        <v>15</v>
      </c>
      <c r="H21" s="7">
        <f>D5</f>
        <v>6</v>
      </c>
      <c r="I21" s="7">
        <f>D8</f>
        <v>15</v>
      </c>
      <c r="J21" s="7">
        <f>D3</f>
        <v>0</v>
      </c>
      <c r="L21" s="7" t="s">
        <v>34</v>
      </c>
      <c r="M21" s="26">
        <f>L3</f>
        <v>0.49802083333333336</v>
      </c>
      <c r="N21" s="26">
        <f>L3</f>
        <v>0.49802083333333336</v>
      </c>
      <c r="O21" s="26">
        <f>L4</f>
        <v>0.49815972222222221</v>
      </c>
      <c r="P21" s="26">
        <f>L4</f>
        <v>0.49815972222222221</v>
      </c>
      <c r="Q21" s="26">
        <f>L6</f>
        <v>0.49840277777777775</v>
      </c>
      <c r="S21" s="7" t="s">
        <v>34</v>
      </c>
      <c r="X21" s="7" t="s">
        <v>34</v>
      </c>
      <c r="AC21" s="7" t="s">
        <v>34</v>
      </c>
      <c r="AH21" s="7" t="s">
        <v>34</v>
      </c>
      <c r="AO21" s="7" t="s">
        <v>34</v>
      </c>
      <c r="AT21" s="7" t="s">
        <v>34</v>
      </c>
    </row>
    <row r="22" spans="1:49" x14ac:dyDescent="0.25">
      <c r="D22" s="7" t="s">
        <v>33</v>
      </c>
      <c r="E22" s="9">
        <f>E3</f>
        <v>3.4553255204584259</v>
      </c>
      <c r="F22" s="9">
        <f t="shared" ref="F22:P22" si="3">F3</f>
        <v>1.1019061775871011</v>
      </c>
      <c r="G22" s="9">
        <f>G3</f>
        <v>5.1576641217063925E-5</v>
      </c>
      <c r="H22" s="15">
        <f>H3</f>
        <v>2.3E-2</v>
      </c>
      <c r="I22" s="9">
        <f t="shared" si="3"/>
        <v>0.03</v>
      </c>
      <c r="J22" s="9">
        <f t="shared" si="3"/>
        <v>2.1269999999999998</v>
      </c>
      <c r="K22" s="9"/>
      <c r="L22" s="7" t="s">
        <v>33</v>
      </c>
      <c r="M22" s="9">
        <f t="shared" si="3"/>
        <v>167.04416760000001</v>
      </c>
      <c r="N22" s="9">
        <f t="shared" si="3"/>
        <v>2.64</v>
      </c>
      <c r="O22" s="9">
        <f t="shared" si="3"/>
        <v>10.97452421</v>
      </c>
      <c r="P22" s="9">
        <f t="shared" si="3"/>
        <v>1.0039344E-2</v>
      </c>
      <c r="Q22" s="9">
        <f>Q3</f>
        <v>2.45715E-2</v>
      </c>
      <c r="R22" s="9"/>
      <c r="S22" s="7" t="s">
        <v>33</v>
      </c>
      <c r="T22" s="9">
        <f t="shared" ref="T22:AV22" si="4">T3</f>
        <v>22.819885899999999</v>
      </c>
      <c r="U22" s="9">
        <f t="shared" si="4"/>
        <v>2.718</v>
      </c>
      <c r="V22" s="9">
        <f t="shared" si="4"/>
        <v>3.3278897669999998</v>
      </c>
      <c r="X22" s="7" t="s">
        <v>33</v>
      </c>
      <c r="Y22" s="9">
        <f>Y3</f>
        <v>52.16959258</v>
      </c>
      <c r="Z22" s="9">
        <f t="shared" si="4"/>
        <v>2.8980000000000001</v>
      </c>
      <c r="AA22" s="9">
        <f t="shared" si="4"/>
        <v>4.5952285179999999</v>
      </c>
      <c r="AC22" s="7" t="s">
        <v>33</v>
      </c>
      <c r="AD22" s="9">
        <f t="shared" si="4"/>
        <v>70.553888569999998</v>
      </c>
      <c r="AE22" s="9">
        <f t="shared" si="4"/>
        <v>2.1829999999999998</v>
      </c>
      <c r="AF22" s="9">
        <f t="shared" si="4"/>
        <v>8.3572964289999998</v>
      </c>
      <c r="AH22" s="7" t="s">
        <v>33</v>
      </c>
      <c r="AI22" s="9">
        <f t="shared" si="4"/>
        <v>62.139769450000003</v>
      </c>
      <c r="AJ22" s="9">
        <f t="shared" si="4"/>
        <v>2.6309999999999998</v>
      </c>
      <c r="AK22" s="9">
        <f t="shared" si="4"/>
        <v>5.3161272320000004</v>
      </c>
      <c r="AL22" s="9">
        <f t="shared" si="4"/>
        <v>8.0739999999999996E-3</v>
      </c>
      <c r="AM22" s="9">
        <f t="shared" si="4"/>
        <v>2.2803E-2</v>
      </c>
      <c r="AO22" s="7" t="s">
        <v>33</v>
      </c>
      <c r="AP22" s="9">
        <f>AP3</f>
        <v>9.0053213260000007</v>
      </c>
      <c r="AQ22" s="9">
        <f t="shared" ref="AQ22" si="5">AQ3</f>
        <v>3.0289999999999999</v>
      </c>
      <c r="AR22" s="9">
        <f>AR4</f>
        <v>2.38341665</v>
      </c>
      <c r="AT22" s="7" t="s">
        <v>33</v>
      </c>
      <c r="AU22" s="9">
        <f>AU3</f>
        <v>46.45476773</v>
      </c>
      <c r="AV22" s="9">
        <f t="shared" si="4"/>
        <v>3.0339999999999998</v>
      </c>
      <c r="AW22" s="9">
        <f>AW3</f>
        <v>5.5154976969999998</v>
      </c>
    </row>
    <row r="23" spans="1:49" x14ac:dyDescent="0.25">
      <c r="D23" s="122" t="s">
        <v>140</v>
      </c>
      <c r="E23" s="123">
        <v>4.905691029216193</v>
      </c>
      <c r="F23" s="9">
        <v>2.1794107993905221</v>
      </c>
      <c r="G23" s="9">
        <v>0</v>
      </c>
      <c r="H23" s="123">
        <v>1.6934366666666666E-2</v>
      </c>
      <c r="J23" s="123">
        <v>2.6933749999999996</v>
      </c>
      <c r="L23" s="122" t="s">
        <v>140</v>
      </c>
      <c r="M23" s="123">
        <v>4.905691029216193</v>
      </c>
      <c r="N23" s="123">
        <v>2.6933749999999996</v>
      </c>
      <c r="O23" s="9">
        <v>2.1794107993905221</v>
      </c>
      <c r="P23" s="9">
        <v>0</v>
      </c>
      <c r="Q23" s="123">
        <v>1.6934366666666666E-2</v>
      </c>
      <c r="S23" s="122" t="s">
        <v>140</v>
      </c>
      <c r="T23" s="123">
        <v>4.905691029216193</v>
      </c>
      <c r="U23" s="123">
        <v>2.6933749999999996</v>
      </c>
      <c r="V23" s="9">
        <v>2.1794107993905221</v>
      </c>
      <c r="X23" s="122" t="s">
        <v>140</v>
      </c>
      <c r="Y23" s="123">
        <v>4.905691029216193</v>
      </c>
      <c r="Z23" s="123">
        <v>2.6933749999999996</v>
      </c>
      <c r="AA23" s="9">
        <v>2.1794107993905221</v>
      </c>
      <c r="AC23" s="122" t="s">
        <v>140</v>
      </c>
      <c r="AD23" s="123">
        <v>4.905691029216193</v>
      </c>
      <c r="AE23" s="123">
        <v>2.6933749999999996</v>
      </c>
      <c r="AF23" s="9">
        <v>2.1794107993905221</v>
      </c>
      <c r="AH23" s="122" t="s">
        <v>140</v>
      </c>
      <c r="AI23" s="123">
        <v>4.905691029216193</v>
      </c>
      <c r="AJ23" s="123">
        <v>2.6933749999999996</v>
      </c>
      <c r="AK23" s="9">
        <v>2.1794107993905221</v>
      </c>
      <c r="AL23" s="9">
        <v>0</v>
      </c>
      <c r="AM23" s="123">
        <v>1.6934366666666666E-2</v>
      </c>
      <c r="AO23" s="122" t="s">
        <v>140</v>
      </c>
      <c r="AP23" s="123">
        <v>4.905691029216193</v>
      </c>
      <c r="AQ23" s="123">
        <v>2.6933749999999996</v>
      </c>
      <c r="AR23" s="9">
        <v>2.1794107993905221</v>
      </c>
      <c r="AT23" s="122" t="s">
        <v>140</v>
      </c>
      <c r="AU23" s="123">
        <v>4.905691029216193</v>
      </c>
      <c r="AV23" s="123">
        <v>2.6933749999999996</v>
      </c>
      <c r="AW23" s="9">
        <v>2.1794107993905221</v>
      </c>
    </row>
    <row r="24" spans="1:49" x14ac:dyDescent="0.25">
      <c r="D24" s="17" t="s">
        <v>35</v>
      </c>
      <c r="E24" s="18">
        <f>E20/E22</f>
        <v>69.484536808026789</v>
      </c>
      <c r="F24" s="18">
        <f t="shared" ref="F24:I26" si="6">F20/F22</f>
        <v>35.08352055592956</v>
      </c>
      <c r="G24" s="18">
        <f>G20/G22</f>
        <v>46.391649303823002</v>
      </c>
      <c r="H24" s="18">
        <f t="shared" si="6"/>
        <v>1.0434782608695652</v>
      </c>
      <c r="I24" s="18">
        <f t="shared" si="6"/>
        <v>3.9333333333333331</v>
      </c>
      <c r="J24" s="18">
        <f>J20/J22</f>
        <v>1</v>
      </c>
      <c r="K24" s="27"/>
      <c r="L24" s="17" t="s">
        <v>35</v>
      </c>
      <c r="M24" s="18">
        <f t="shared" ref="M24:P24" si="7">M20/M22</f>
        <v>1</v>
      </c>
      <c r="N24" s="18">
        <f t="shared" si="7"/>
        <v>1</v>
      </c>
      <c r="O24" s="18">
        <f t="shared" si="7"/>
        <v>1.1235564142967069</v>
      </c>
      <c r="P24" s="18">
        <f t="shared" si="7"/>
        <v>2.2250842286109527</v>
      </c>
      <c r="Q24" s="18">
        <f>Q20/Q22</f>
        <v>1.2158964654172517</v>
      </c>
      <c r="S24" s="17" t="s">
        <v>35</v>
      </c>
      <c r="T24" s="18">
        <f t="shared" ref="T24:AW24" si="8">T20/T22</f>
        <v>7.1228165387102136</v>
      </c>
      <c r="U24" s="18">
        <f t="shared" si="8"/>
        <v>1.1070640176600441</v>
      </c>
      <c r="V24" s="18">
        <f t="shared" si="8"/>
        <v>3.6182721553469053</v>
      </c>
      <c r="X24" s="17" t="s">
        <v>35</v>
      </c>
      <c r="Y24" s="18">
        <f t="shared" si="8"/>
        <v>3.348236588816389</v>
      </c>
      <c r="Z24" s="18">
        <f>Z20/Z22</f>
        <v>1</v>
      </c>
      <c r="AA24" s="18">
        <f t="shared" si="8"/>
        <v>2.3785855865895376</v>
      </c>
      <c r="AC24" s="17" t="s">
        <v>35</v>
      </c>
      <c r="AD24" s="18">
        <f t="shared" si="8"/>
        <v>4.0795617822599626</v>
      </c>
      <c r="AE24" s="18">
        <f t="shared" si="8"/>
        <v>1.05497022446175</v>
      </c>
      <c r="AF24" s="18">
        <f t="shared" si="8"/>
        <v>2.9507330689418581</v>
      </c>
      <c r="AH24" s="17" t="s">
        <v>35</v>
      </c>
      <c r="AI24" s="18">
        <f t="shared" si="8"/>
        <v>3.916117305452925</v>
      </c>
      <c r="AJ24" s="18">
        <f t="shared" si="8"/>
        <v>1.0957810718358039</v>
      </c>
      <c r="AK24" s="18">
        <f t="shared" si="8"/>
        <v>3.8987230845870018</v>
      </c>
      <c r="AL24" s="18">
        <f t="shared" si="8"/>
        <v>2.8884072330938819</v>
      </c>
      <c r="AM24" s="18">
        <f t="shared" si="8"/>
        <v>1.1551111695829495</v>
      </c>
      <c r="AO24" s="17" t="s">
        <v>35</v>
      </c>
      <c r="AP24" s="18">
        <f t="shared" si="8"/>
        <v>4.9849004244182371</v>
      </c>
      <c r="AQ24" s="18">
        <f t="shared" si="8"/>
        <v>1.2020468801584683</v>
      </c>
      <c r="AR24" s="18">
        <f t="shared" si="8"/>
        <v>2.0693920662172096</v>
      </c>
      <c r="AT24" s="17" t="s">
        <v>35</v>
      </c>
      <c r="AU24" s="18">
        <f t="shared" si="8"/>
        <v>5.1667419110783266</v>
      </c>
      <c r="AV24" s="18">
        <f t="shared" si="8"/>
        <v>1.0332893869479236</v>
      </c>
      <c r="AW24" s="18">
        <f t="shared" si="8"/>
        <v>3.117863814783858</v>
      </c>
    </row>
    <row r="25" spans="1:49" x14ac:dyDescent="0.25">
      <c r="D25" s="7"/>
      <c r="E25" s="20" t="s">
        <v>37</v>
      </c>
      <c r="F25" s="20" t="s">
        <v>36</v>
      </c>
      <c r="G25" s="20" t="s">
        <v>38</v>
      </c>
      <c r="H25" s="20" t="s">
        <v>39</v>
      </c>
      <c r="I25" s="20" t="s">
        <v>40</v>
      </c>
      <c r="J25" s="20" t="s">
        <v>41</v>
      </c>
      <c r="L25" s="7"/>
      <c r="M25" s="20" t="s">
        <v>37</v>
      </c>
      <c r="N25" s="20" t="s">
        <v>41</v>
      </c>
      <c r="O25" s="20" t="s">
        <v>36</v>
      </c>
      <c r="P25" s="20" t="s">
        <v>38</v>
      </c>
      <c r="Q25" s="20" t="s">
        <v>39</v>
      </c>
      <c r="S25" s="7"/>
      <c r="T25" s="20" t="s">
        <v>37</v>
      </c>
      <c r="U25" s="20" t="s">
        <v>41</v>
      </c>
      <c r="V25" s="20" t="s">
        <v>36</v>
      </c>
      <c r="X25" s="7"/>
      <c r="Y25" s="20" t="s">
        <v>37</v>
      </c>
      <c r="Z25" s="20" t="s">
        <v>41</v>
      </c>
      <c r="AA25" s="20" t="s">
        <v>36</v>
      </c>
      <c r="AC25" s="7"/>
      <c r="AD25" s="20" t="s">
        <v>37</v>
      </c>
      <c r="AE25" s="20" t="s">
        <v>41</v>
      </c>
      <c r="AF25" s="20" t="s">
        <v>36</v>
      </c>
      <c r="AH25" s="7"/>
      <c r="AI25" s="20" t="s">
        <v>37</v>
      </c>
      <c r="AJ25" s="20" t="s">
        <v>41</v>
      </c>
      <c r="AK25" s="20" t="s">
        <v>36</v>
      </c>
      <c r="AL25" s="20" t="s">
        <v>38</v>
      </c>
      <c r="AM25" s="20" t="s">
        <v>39</v>
      </c>
      <c r="AO25" s="7"/>
      <c r="AP25" s="20" t="s">
        <v>37</v>
      </c>
      <c r="AQ25" s="20" t="s">
        <v>41</v>
      </c>
      <c r="AR25" s="20" t="s">
        <v>36</v>
      </c>
      <c r="AT25" s="7"/>
      <c r="AU25" s="20" t="s">
        <v>37</v>
      </c>
      <c r="AV25" s="20" t="s">
        <v>41</v>
      </c>
      <c r="AW25" s="20" t="s">
        <v>36</v>
      </c>
    </row>
    <row r="26" spans="1:49" x14ac:dyDescent="0.25">
      <c r="D26" s="124" t="s">
        <v>35</v>
      </c>
      <c r="E26" s="125">
        <f>E20/E23</f>
        <v>48.941462452511701</v>
      </c>
      <c r="F26" s="125">
        <f t="shared" ref="F26:AW26" si="9">F20/F23</f>
        <v>17.738164848450712</v>
      </c>
      <c r="G26" s="125" t="e">
        <f>G20/G23</f>
        <v>#DIV/0!</v>
      </c>
      <c r="H26" s="125">
        <f t="shared" si="9"/>
        <v>1.4172363497503107</v>
      </c>
      <c r="I26" s="125" t="e">
        <f t="shared" si="9"/>
        <v>#DIV/0!</v>
      </c>
      <c r="J26" s="125">
        <f t="shared" si="9"/>
        <v>0.78971550563883608</v>
      </c>
      <c r="L26" s="124" t="s">
        <v>35</v>
      </c>
      <c r="M26" s="125">
        <f t="shared" si="9"/>
        <v>34.051098327464274</v>
      </c>
      <c r="N26" s="125">
        <f t="shared" si="9"/>
        <v>0.98018285608205336</v>
      </c>
      <c r="O26" s="125">
        <f t="shared" si="9"/>
        <v>5.6577204597904425</v>
      </c>
      <c r="P26" s="125" t="e">
        <f t="shared" si="9"/>
        <v>#DIV/0!</v>
      </c>
      <c r="Q26" s="125">
        <f t="shared" si="9"/>
        <v>1.7642466699866741</v>
      </c>
      <c r="S26" s="124" t="s">
        <v>35</v>
      </c>
      <c r="T26" s="125">
        <f t="shared" si="9"/>
        <v>33.133326116946698</v>
      </c>
      <c r="U26" s="125">
        <f t="shared" si="9"/>
        <v>1.1171856871026129</v>
      </c>
      <c r="V26" s="125">
        <f t="shared" si="9"/>
        <v>5.5249844973546773</v>
      </c>
      <c r="W26" s="125"/>
      <c r="X26" s="124" t="s">
        <v>35</v>
      </c>
      <c r="Y26" s="125">
        <f t="shared" si="9"/>
        <v>35.606836561802155</v>
      </c>
      <c r="Z26" s="125">
        <f t="shared" si="9"/>
        <v>1.0759734533809813</v>
      </c>
      <c r="AA26" s="125">
        <f t="shared" si="9"/>
        <v>5.0151831509032823</v>
      </c>
      <c r="AC26" s="124" t="s">
        <v>35</v>
      </c>
      <c r="AD26" s="125">
        <f t="shared" si="9"/>
        <v>58.672457292115254</v>
      </c>
      <c r="AE26" s="125">
        <f t="shared" si="9"/>
        <v>0.85506102937763973</v>
      </c>
      <c r="AF26" s="125">
        <f t="shared" si="9"/>
        <v>11.315054026022207</v>
      </c>
      <c r="AH26" s="124" t="s">
        <v>35</v>
      </c>
      <c r="AI26" s="125">
        <f t="shared" si="9"/>
        <v>49.604963918585945</v>
      </c>
      <c r="AJ26" s="125">
        <f t="shared" si="9"/>
        <v>1.0704042326077878</v>
      </c>
      <c r="AK26" s="125">
        <f t="shared" si="9"/>
        <v>9.5099592815618372</v>
      </c>
      <c r="AL26" s="125" t="e">
        <f t="shared" si="9"/>
        <v>#DIV/0!</v>
      </c>
      <c r="AM26" s="125">
        <f t="shared" si="9"/>
        <v>1.5554168938509658</v>
      </c>
      <c r="AO26" s="124" t="s">
        <v>35</v>
      </c>
      <c r="AP26" s="125">
        <f t="shared" si="9"/>
        <v>9.1507251134754828</v>
      </c>
      <c r="AQ26" s="125">
        <f t="shared" si="9"/>
        <v>1.3518355223464986</v>
      </c>
      <c r="AR26" s="125">
        <f t="shared" si="9"/>
        <v>2.2630995071600584</v>
      </c>
      <c r="AT26" s="124" t="s">
        <v>35</v>
      </c>
      <c r="AU26" s="125">
        <f t="shared" si="9"/>
        <v>48.92680643166171</v>
      </c>
      <c r="AV26" s="125">
        <f t="shared" si="9"/>
        <v>1.1639671415974382</v>
      </c>
      <c r="AW26" s="125">
        <f t="shared" si="9"/>
        <v>7.8904677790938118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5D7B-E5AE-462C-A8A4-12DAD1B38FE3}">
  <dimension ref="A1:AU41"/>
  <sheetViews>
    <sheetView tabSelected="1" topLeftCell="A12" workbookViewId="0">
      <selection activeCell="H29" sqref="H29"/>
    </sheetView>
  </sheetViews>
  <sheetFormatPr defaultRowHeight="15" x14ac:dyDescent="0.25"/>
  <cols>
    <col min="1" max="1" width="19" customWidth="1"/>
    <col min="2" max="2" width="10.5703125" customWidth="1"/>
    <col min="5" max="5" width="9.140625" customWidth="1"/>
    <col min="7" max="7" width="21.28515625" customWidth="1"/>
    <col min="9" max="9" width="14.85546875" customWidth="1"/>
    <col min="10" max="10" width="12.85546875" customWidth="1"/>
    <col min="15" max="15" width="21.42578125" customWidth="1"/>
    <col min="17" max="17" width="20" customWidth="1"/>
    <col min="21" max="21" width="14.140625" customWidth="1"/>
    <col min="23" max="23" width="18.85546875" customWidth="1"/>
    <col min="25" max="25" width="17.42578125" customWidth="1"/>
    <col min="29" max="29" width="14" customWidth="1"/>
    <col min="31" max="31" width="18.7109375" customWidth="1"/>
    <col min="33" max="33" width="17.140625" customWidth="1"/>
    <col min="39" max="39" width="15.7109375" customWidth="1"/>
    <col min="41" max="41" width="19.140625" customWidth="1"/>
    <col min="47" max="47" width="15.42578125" customWidth="1"/>
  </cols>
  <sheetData>
    <row r="1" spans="1:47" ht="25.5" customHeight="1" x14ac:dyDescent="0.25">
      <c r="A1" s="30" t="s">
        <v>53</v>
      </c>
      <c r="B1" s="31" t="s">
        <v>37</v>
      </c>
      <c r="C1" s="31" t="s">
        <v>36</v>
      </c>
      <c r="D1" s="31" t="s">
        <v>41</v>
      </c>
      <c r="E1" s="32" t="s">
        <v>38</v>
      </c>
      <c r="F1" s="31" t="s">
        <v>39</v>
      </c>
      <c r="G1" s="31" t="s">
        <v>54</v>
      </c>
      <c r="I1" s="30" t="s">
        <v>53</v>
      </c>
      <c r="J1" s="31" t="s">
        <v>37</v>
      </c>
      <c r="K1" s="31" t="s">
        <v>36</v>
      </c>
      <c r="L1" s="31" t="s">
        <v>41</v>
      </c>
      <c r="M1" s="32" t="s">
        <v>38</v>
      </c>
      <c r="N1" s="31" t="s">
        <v>39</v>
      </c>
      <c r="O1" s="31" t="s">
        <v>54</v>
      </c>
      <c r="Q1" s="30" t="s">
        <v>53</v>
      </c>
      <c r="R1" s="31" t="s">
        <v>37</v>
      </c>
      <c r="S1" s="31" t="s">
        <v>36</v>
      </c>
      <c r="T1" s="31" t="s">
        <v>41</v>
      </c>
      <c r="U1" s="32" t="s">
        <v>38</v>
      </c>
      <c r="V1" s="31" t="s">
        <v>39</v>
      </c>
      <c r="W1" s="31" t="s">
        <v>54</v>
      </c>
      <c r="Y1" s="30" t="s">
        <v>53</v>
      </c>
      <c r="Z1" s="31" t="s">
        <v>37</v>
      </c>
      <c r="AA1" s="31" t="s">
        <v>36</v>
      </c>
      <c r="AB1" s="31" t="s">
        <v>41</v>
      </c>
      <c r="AC1" s="32" t="s">
        <v>38</v>
      </c>
      <c r="AD1" s="31" t="s">
        <v>39</v>
      </c>
      <c r="AE1" s="31" t="s">
        <v>54</v>
      </c>
      <c r="AG1" s="30" t="s">
        <v>53</v>
      </c>
      <c r="AH1" s="31" t="s">
        <v>37</v>
      </c>
      <c r="AI1" s="31" t="s">
        <v>36</v>
      </c>
      <c r="AJ1" s="31" t="s">
        <v>41</v>
      </c>
      <c r="AK1" s="32" t="s">
        <v>38</v>
      </c>
      <c r="AL1" s="31" t="s">
        <v>39</v>
      </c>
      <c r="AM1" s="31" t="s">
        <v>54</v>
      </c>
      <c r="AO1" s="30" t="s">
        <v>53</v>
      </c>
      <c r="AP1" s="31" t="s">
        <v>37</v>
      </c>
      <c r="AQ1" s="31" t="s">
        <v>36</v>
      </c>
      <c r="AR1" s="31" t="s">
        <v>41</v>
      </c>
      <c r="AS1" s="32" t="s">
        <v>38</v>
      </c>
      <c r="AT1" s="31" t="s">
        <v>39</v>
      </c>
      <c r="AU1" s="31" t="s">
        <v>54</v>
      </c>
    </row>
    <row r="2" spans="1:47" x14ac:dyDescent="0.25">
      <c r="A2" s="2" t="s">
        <v>100</v>
      </c>
      <c r="B2" s="5">
        <v>4.4095649029999997</v>
      </c>
      <c r="C2" s="5">
        <v>2.8646407539999998</v>
      </c>
      <c r="D2" s="5">
        <v>1.754</v>
      </c>
      <c r="E2" s="5">
        <v>0</v>
      </c>
      <c r="F2" s="5">
        <v>2.6249999999999999E-2</v>
      </c>
      <c r="G2" s="23"/>
      <c r="H2" s="7"/>
      <c r="I2" s="2" t="s">
        <v>100</v>
      </c>
      <c r="J2" s="2">
        <v>2.927</v>
      </c>
      <c r="K2" s="2">
        <v>1.82</v>
      </c>
      <c r="L2" s="2">
        <v>2.8039999999999998</v>
      </c>
      <c r="M2" s="2">
        <v>0</v>
      </c>
      <c r="N2" s="2">
        <v>2E-3</v>
      </c>
      <c r="O2" s="23"/>
      <c r="P2" s="7"/>
      <c r="Q2" s="2"/>
      <c r="R2" s="2">
        <v>2.927</v>
      </c>
      <c r="S2" s="2">
        <v>1.52</v>
      </c>
      <c r="T2" s="2">
        <v>2.8039999999999998</v>
      </c>
      <c r="U2" s="2">
        <v>0</v>
      </c>
      <c r="V2" s="2">
        <v>2E-3</v>
      </c>
      <c r="W2" s="23">
        <v>44781.552083333336</v>
      </c>
      <c r="X2" s="7"/>
      <c r="Y2" s="2"/>
      <c r="Z2" s="5">
        <v>13.33333333</v>
      </c>
      <c r="AA2" s="5">
        <v>1.5244913860512195</v>
      </c>
      <c r="AB2" s="2">
        <v>2.8039999999999998</v>
      </c>
      <c r="AC2" s="2"/>
      <c r="AD2" s="2">
        <v>1.9785000000000011E-3</v>
      </c>
      <c r="AE2" s="2"/>
      <c r="AF2" s="7"/>
      <c r="AG2" s="2"/>
      <c r="AH2" s="2">
        <v>13.33</v>
      </c>
      <c r="AI2" s="5">
        <v>1.5244913860512195</v>
      </c>
      <c r="AJ2" s="2">
        <v>3.4510000000000001</v>
      </c>
      <c r="AK2" s="2"/>
      <c r="AL2" s="2">
        <v>1.9785000000000011E-3</v>
      </c>
      <c r="AM2" s="2"/>
      <c r="AN2" s="7"/>
      <c r="AO2" s="2"/>
      <c r="AP2" s="2">
        <v>13.33</v>
      </c>
      <c r="AQ2" s="5">
        <v>1.5244913860512195</v>
      </c>
      <c r="AR2" s="2">
        <v>1.1220000000000001</v>
      </c>
      <c r="AS2" s="2"/>
      <c r="AT2" s="2">
        <v>1.9785000000000011E-3</v>
      </c>
      <c r="AU2" s="2"/>
    </row>
    <row r="3" spans="1:47" x14ac:dyDescent="0.25">
      <c r="A3" s="33" t="s">
        <v>55</v>
      </c>
      <c r="B3" s="104">
        <v>562.3258328827518</v>
      </c>
      <c r="C3" s="34">
        <v>51.659921769552554</v>
      </c>
      <c r="D3" s="35">
        <v>9.1790000000000003</v>
      </c>
      <c r="E3" s="79">
        <v>3.6945714904795007E-2</v>
      </c>
      <c r="F3" s="33">
        <v>6.2E-2</v>
      </c>
      <c r="G3" s="36">
        <v>44400.659722222219</v>
      </c>
      <c r="I3" s="80" t="s">
        <v>61</v>
      </c>
      <c r="J3" s="81">
        <v>57.726093867648203</v>
      </c>
      <c r="K3" s="82">
        <v>6.7843516799317234</v>
      </c>
      <c r="L3" s="83">
        <v>4.9130000000000003</v>
      </c>
      <c r="M3" s="106">
        <v>1.4822795047059564E-2</v>
      </c>
      <c r="N3" s="106">
        <v>1.49059E-2</v>
      </c>
      <c r="O3" s="84">
        <v>44776.626388888886</v>
      </c>
      <c r="Q3" s="85" t="s">
        <v>68</v>
      </c>
      <c r="R3" s="86">
        <v>8.4796065462560257</v>
      </c>
      <c r="S3" s="87">
        <v>1.5244913860512195</v>
      </c>
      <c r="T3" s="88">
        <v>3.359</v>
      </c>
      <c r="U3" s="85"/>
      <c r="V3" s="85"/>
      <c r="W3" s="89">
        <v>44781.571527777778</v>
      </c>
      <c r="Y3" s="90" t="s">
        <v>80</v>
      </c>
      <c r="Z3" s="108">
        <v>187.00000000000023</v>
      </c>
      <c r="AA3" s="91">
        <v>29.943162613702402</v>
      </c>
      <c r="AB3" s="92">
        <v>2.7629999999999999</v>
      </c>
      <c r="AC3" s="90"/>
      <c r="AD3" s="90">
        <v>1.89E-2</v>
      </c>
      <c r="AE3" s="93">
        <v>45136.619444444441</v>
      </c>
      <c r="AG3" s="94" t="s">
        <v>87</v>
      </c>
      <c r="AH3" s="95">
        <v>76.153846153846203</v>
      </c>
      <c r="AI3" s="96">
        <v>7.7777750198526157</v>
      </c>
      <c r="AJ3" s="97">
        <v>4.4729999999999999</v>
      </c>
      <c r="AK3" s="94"/>
      <c r="AL3" s="94">
        <v>6.83E-2</v>
      </c>
      <c r="AM3" s="98">
        <v>45151.78125</v>
      </c>
      <c r="AO3" s="99" t="s">
        <v>92</v>
      </c>
      <c r="AP3" s="100">
        <v>77.894736842105289</v>
      </c>
      <c r="AQ3" s="101">
        <v>12.669565136980157</v>
      </c>
      <c r="AR3" s="102">
        <v>3.1040000000000001</v>
      </c>
      <c r="AS3" s="99"/>
      <c r="AT3" s="99">
        <v>5.8700000000000002E-2</v>
      </c>
      <c r="AU3" s="103">
        <v>45166.513888888891</v>
      </c>
    </row>
    <row r="4" spans="1:47" x14ac:dyDescent="0.25">
      <c r="A4" s="33" t="s">
        <v>56</v>
      </c>
      <c r="B4" s="104">
        <v>528.03483941208492</v>
      </c>
      <c r="C4" s="34">
        <v>50.228119059076299</v>
      </c>
      <c r="D4" s="35">
        <v>12.625</v>
      </c>
      <c r="E4" s="79">
        <v>5.0585795410334304E-2</v>
      </c>
      <c r="F4" s="33">
        <v>8.7999999999999995E-2</v>
      </c>
      <c r="G4" s="36">
        <v>44400.67291666667</v>
      </c>
      <c r="I4" s="40" t="s">
        <v>62</v>
      </c>
      <c r="J4" s="41">
        <v>48.064760941057514</v>
      </c>
      <c r="K4" s="42">
        <v>5.7154758689570473</v>
      </c>
      <c r="L4" s="43">
        <v>6.55</v>
      </c>
      <c r="M4" s="107">
        <v>1.2251002525840798E-2</v>
      </c>
      <c r="N4" s="107">
        <v>7.15306E-2</v>
      </c>
      <c r="O4" s="44">
        <v>44776.636805555558</v>
      </c>
      <c r="Q4" s="50" t="s">
        <v>69</v>
      </c>
      <c r="R4" s="51">
        <v>10.743801652892525</v>
      </c>
      <c r="S4" s="52">
        <v>1.7083325626172676</v>
      </c>
      <c r="T4" s="53">
        <v>3.4239999999999999</v>
      </c>
      <c r="U4" s="50">
        <v>2.9850936095853161E-3</v>
      </c>
      <c r="V4" s="50">
        <v>1.1474099999999999E-2</v>
      </c>
      <c r="W4" s="54">
        <v>44781.581944444442</v>
      </c>
      <c r="Y4" s="60" t="s">
        <v>81</v>
      </c>
      <c r="Z4" s="109">
        <v>109.9999999999999</v>
      </c>
      <c r="AA4" s="61">
        <v>9.5728041053928887</v>
      </c>
      <c r="AB4" s="62">
        <v>3.1280000000000001</v>
      </c>
      <c r="AC4" s="60"/>
      <c r="AD4" s="60">
        <v>6.9500000000000006E-2</v>
      </c>
      <c r="AE4" s="63">
        <v>45136.629861111112</v>
      </c>
      <c r="AG4" s="64" t="s">
        <v>88</v>
      </c>
      <c r="AH4" s="65">
        <v>41.200000000000017</v>
      </c>
      <c r="AI4" s="66">
        <v>4.5347124072625604</v>
      </c>
      <c r="AJ4" s="67">
        <v>3.9359999999999999</v>
      </c>
      <c r="AK4" s="64"/>
      <c r="AL4" s="64">
        <v>9.6100000000000005E-2</v>
      </c>
      <c r="AM4" s="68">
        <v>45151.790277777778</v>
      </c>
      <c r="AO4" s="69" t="s">
        <v>93</v>
      </c>
      <c r="AP4" s="70">
        <v>42.999999999999986</v>
      </c>
      <c r="AQ4" s="71">
        <v>6.2713144462450501</v>
      </c>
      <c r="AR4" s="72">
        <v>3.3050000000000002</v>
      </c>
      <c r="AS4" s="69"/>
      <c r="AT4" s="69">
        <v>0.12139999999999999</v>
      </c>
      <c r="AU4" s="73">
        <v>45166.524305555555</v>
      </c>
    </row>
    <row r="5" spans="1:47" x14ac:dyDescent="0.25">
      <c r="A5" s="33" t="s">
        <v>57</v>
      </c>
      <c r="B5" s="104">
        <v>143.16904685207069</v>
      </c>
      <c r="C5" s="34">
        <v>14.502380030123016</v>
      </c>
      <c r="D5" s="35">
        <v>13.388</v>
      </c>
      <c r="E5" s="79">
        <v>2.3866610111074854E-2</v>
      </c>
      <c r="F5" s="33">
        <v>8.7999999999999995E-2</v>
      </c>
      <c r="G5" s="36">
        <v>44400.694444444445</v>
      </c>
      <c r="I5" s="40" t="s">
        <v>63</v>
      </c>
      <c r="J5" s="41">
        <v>55.003694277973992</v>
      </c>
      <c r="K5" s="42">
        <v>5.1903043978196211</v>
      </c>
      <c r="L5" s="43">
        <v>8.0350000000000001</v>
      </c>
      <c r="M5" s="107">
        <v>4.2785937557953402E-3</v>
      </c>
      <c r="N5" s="107">
        <v>5.4371599999999999E-2</v>
      </c>
      <c r="O5" s="44">
        <v>44776.657638888886</v>
      </c>
      <c r="Q5" s="50" t="s">
        <v>70</v>
      </c>
      <c r="R5" s="51">
        <v>19.837989750371843</v>
      </c>
      <c r="S5" s="52">
        <v>3.0587693766699737</v>
      </c>
      <c r="T5" s="53">
        <v>3.9</v>
      </c>
      <c r="U5" s="50"/>
      <c r="V5" s="50"/>
      <c r="W5" s="54">
        <v>44781.592361111114</v>
      </c>
      <c r="Y5" s="60" t="s">
        <v>82</v>
      </c>
      <c r="Z5" s="109">
        <v>53.333333333333321</v>
      </c>
      <c r="AA5" s="61">
        <v>6.9336039123826678</v>
      </c>
      <c r="AB5" s="62">
        <v>3.5529999999999999</v>
      </c>
      <c r="AC5" s="60"/>
      <c r="AD5" s="60">
        <v>4.1099999999999998E-2</v>
      </c>
      <c r="AE5" s="63">
        <v>45136.640277777777</v>
      </c>
      <c r="AG5" s="64" t="s">
        <v>89</v>
      </c>
      <c r="AH5" s="65">
        <v>39.60000000000008</v>
      </c>
      <c r="AI5" s="66">
        <v>5.8892721735776004</v>
      </c>
      <c r="AJ5" s="67">
        <v>3.9430000000000001</v>
      </c>
      <c r="AK5" s="64"/>
      <c r="AL5" s="64">
        <v>9.6799999999999997E-2</v>
      </c>
      <c r="AM5" s="68">
        <v>45151.793055555558</v>
      </c>
      <c r="AO5" s="69" t="s">
        <v>94</v>
      </c>
      <c r="AP5" s="70">
        <v>35.999999999999922</v>
      </c>
      <c r="AQ5" s="71">
        <v>5.6727429240268501</v>
      </c>
      <c r="AR5" s="72">
        <v>3.3359999999999999</v>
      </c>
      <c r="AS5" s="69"/>
      <c r="AT5" s="69">
        <v>2.3699999999999999E-2</v>
      </c>
      <c r="AU5" s="73">
        <v>45166.534722222219</v>
      </c>
    </row>
    <row r="6" spans="1:47" x14ac:dyDescent="0.25">
      <c r="A6" s="33" t="s">
        <v>58</v>
      </c>
      <c r="B6" s="104">
        <v>82.761404925313002</v>
      </c>
      <c r="C6" s="34">
        <v>11.68107543204323</v>
      </c>
      <c r="D6" s="35">
        <v>12.997</v>
      </c>
      <c r="E6" s="79">
        <v>1.5604214566257921E-2</v>
      </c>
      <c r="F6" s="33">
        <v>8.3000000000000004E-2</v>
      </c>
      <c r="G6" s="36">
        <v>44400.704861111109</v>
      </c>
      <c r="I6" s="40" t="s">
        <v>64</v>
      </c>
      <c r="J6" s="41">
        <v>45.164039198977413</v>
      </c>
      <c r="K6" s="42">
        <v>5.4588115887677189</v>
      </c>
      <c r="L6" s="43">
        <v>8.6910000000000007</v>
      </c>
      <c r="M6" s="107"/>
      <c r="N6" s="107"/>
      <c r="O6" s="44">
        <v>44776.678472222222</v>
      </c>
      <c r="Q6" s="50" t="s">
        <v>71</v>
      </c>
      <c r="R6" s="51">
        <v>49.091801669121296</v>
      </c>
      <c r="S6" s="52">
        <v>5.365091662580971</v>
      </c>
      <c r="T6" s="53">
        <v>5.2789999999999999</v>
      </c>
      <c r="U6" s="50">
        <v>5.2553679903234417E-3</v>
      </c>
      <c r="V6" s="50">
        <v>2.6917199999999999E-2</v>
      </c>
      <c r="W6" s="54">
        <v>44781.602777777778</v>
      </c>
      <c r="Y6" s="60" t="s">
        <v>83</v>
      </c>
      <c r="Z6" s="109">
        <v>80.000000000000071</v>
      </c>
      <c r="AA6" s="61">
        <v>7.4831808175628005</v>
      </c>
      <c r="AB6" s="62">
        <v>3.9260000000000002</v>
      </c>
      <c r="AC6" s="60"/>
      <c r="AD6" s="60">
        <v>7.5700000000000003E-2</v>
      </c>
      <c r="AE6" s="63">
        <v>45136.650694444441</v>
      </c>
      <c r="AG6" s="64" t="s">
        <v>90</v>
      </c>
      <c r="AH6" s="65">
        <v>27.600000000000069</v>
      </c>
      <c r="AI6" s="66">
        <v>4.8035399241483203</v>
      </c>
      <c r="AJ6" s="67">
        <v>4.0389999999999997</v>
      </c>
      <c r="AK6" s="64"/>
      <c r="AL6" s="64">
        <v>9.06E-2</v>
      </c>
      <c r="AM6" s="68">
        <v>45151.798611111109</v>
      </c>
      <c r="AO6" s="69" t="s">
        <v>95</v>
      </c>
      <c r="AP6" s="70">
        <v>28.837209302325505</v>
      </c>
      <c r="AQ6" s="71">
        <v>4.6491381895576511</v>
      </c>
      <c r="AR6" s="72">
        <v>3.1989999999999998</v>
      </c>
      <c r="AS6" s="69"/>
      <c r="AT6" s="69">
        <v>9.7699999999999995E-2</v>
      </c>
      <c r="AU6" s="73">
        <v>45166.545138888891</v>
      </c>
    </row>
    <row r="7" spans="1:47" x14ac:dyDescent="0.25">
      <c r="A7" s="33" t="s">
        <v>59</v>
      </c>
      <c r="B7" s="104">
        <v>36.920031971986397</v>
      </c>
      <c r="C7" s="34">
        <v>6.4107928979951785</v>
      </c>
      <c r="D7" s="35">
        <v>12.868</v>
      </c>
      <c r="E7" s="79">
        <v>2.9612697020832686E-3</v>
      </c>
      <c r="F7" s="33">
        <v>5.2999999999999999E-2</v>
      </c>
      <c r="G7" s="36">
        <v>44400.804861111108</v>
      </c>
      <c r="I7" s="40" t="s">
        <v>65</v>
      </c>
      <c r="J7" s="41">
        <v>17.425939756036765</v>
      </c>
      <c r="K7" s="42">
        <v>2.0882180227795768</v>
      </c>
      <c r="L7" s="43">
        <v>8.1240000000000006</v>
      </c>
      <c r="M7" s="107"/>
      <c r="N7" s="107"/>
      <c r="O7" s="44">
        <v>44776.751388888886</v>
      </c>
      <c r="Q7" s="50" t="s">
        <v>72</v>
      </c>
      <c r="R7" s="51">
        <v>35.385121790651731</v>
      </c>
      <c r="S7" s="52">
        <v>5.1217720387423311</v>
      </c>
      <c r="T7" s="53">
        <v>7.2069999999999999</v>
      </c>
      <c r="U7" s="50"/>
      <c r="V7" s="50"/>
      <c r="W7" s="54">
        <v>44781.613194444442</v>
      </c>
      <c r="Y7" s="60" t="s">
        <v>84</v>
      </c>
      <c r="Z7" s="109">
        <v>43.333333333333179</v>
      </c>
      <c r="AA7" s="61">
        <v>5.9264264545775553</v>
      </c>
      <c r="AB7" s="62">
        <v>4.1580000000000004</v>
      </c>
      <c r="AC7" s="60"/>
      <c r="AD7" s="60">
        <v>6.6299999999999998E-2</v>
      </c>
      <c r="AE7" s="63">
        <v>45136.661111111112</v>
      </c>
      <c r="AG7" s="64" t="s">
        <v>91</v>
      </c>
      <c r="AH7" s="65">
        <v>20.833333333333353</v>
      </c>
      <c r="AI7" s="66">
        <v>2.9207235211948697</v>
      </c>
      <c r="AJ7" s="67">
        <v>2.786</v>
      </c>
      <c r="AK7" s="64"/>
      <c r="AL7" s="64">
        <v>3.9199999999999999E-2</v>
      </c>
      <c r="AM7" s="68">
        <v>45151.876388888886</v>
      </c>
      <c r="AO7" s="69" t="s">
        <v>96</v>
      </c>
      <c r="AP7" s="70">
        <v>29.545454545454572</v>
      </c>
      <c r="AQ7" s="71">
        <v>5.4238349889706816</v>
      </c>
      <c r="AR7" s="72">
        <v>3.226</v>
      </c>
      <c r="AS7" s="69"/>
      <c r="AT7" s="69">
        <v>0.17730000000000001</v>
      </c>
      <c r="AU7" s="73">
        <v>45166.555555555555</v>
      </c>
    </row>
    <row r="8" spans="1:47" x14ac:dyDescent="0.25">
      <c r="A8" s="33" t="s">
        <v>60</v>
      </c>
      <c r="B8" s="105">
        <v>22.011886418665991</v>
      </c>
      <c r="C8" s="37">
        <v>4.8049034388889487</v>
      </c>
      <c r="D8" s="38">
        <v>11.551</v>
      </c>
      <c r="E8" s="79">
        <v>2.196020992868742E-3</v>
      </c>
      <c r="F8" s="33">
        <v>4.7E-2</v>
      </c>
      <c r="G8" s="39">
        <v>44400.876388888886</v>
      </c>
      <c r="I8" s="40" t="s">
        <v>66</v>
      </c>
      <c r="J8" s="41">
        <v>11.446324912108677</v>
      </c>
      <c r="K8" s="42">
        <v>3.1493521090486243</v>
      </c>
      <c r="L8" s="43">
        <v>8.0730000000000004</v>
      </c>
      <c r="M8" s="107">
        <v>2.4609459226812001E-3</v>
      </c>
      <c r="N8" s="107">
        <v>2.8633100000000002E-2</v>
      </c>
      <c r="O8" s="44">
        <v>44776.761805555558</v>
      </c>
      <c r="Q8" s="50" t="s">
        <v>73</v>
      </c>
      <c r="R8" s="51">
        <v>23.681202025150956</v>
      </c>
      <c r="S8" s="52">
        <v>2.2666249098999622</v>
      </c>
      <c r="T8" s="53">
        <v>7.75</v>
      </c>
      <c r="U8" s="50">
        <v>9.1131643713273404E-3</v>
      </c>
      <c r="V8" s="50">
        <v>5.09398E-2</v>
      </c>
      <c r="W8" s="54">
        <v>44781.640972222223</v>
      </c>
      <c r="Y8" s="60" t="s">
        <v>85</v>
      </c>
      <c r="Z8" s="109">
        <v>92.222222222222243</v>
      </c>
      <c r="AA8" s="61">
        <v>8.2845715359535532</v>
      </c>
      <c r="AB8" s="62">
        <v>4.5709999999999997</v>
      </c>
      <c r="AC8" s="60"/>
      <c r="AD8" s="60">
        <v>3.6499999999999998E-2</v>
      </c>
      <c r="AE8" s="63">
        <v>45136.671527777777</v>
      </c>
      <c r="AO8" s="69" t="s">
        <v>97</v>
      </c>
      <c r="AP8" s="70">
        <v>26.842105263157862</v>
      </c>
      <c r="AQ8" s="71">
        <v>4.495745790718118</v>
      </c>
      <c r="AR8" s="72">
        <v>3.206</v>
      </c>
      <c r="AS8" s="69"/>
      <c r="AT8" s="69"/>
      <c r="AU8" s="73">
        <v>45166.586805555555</v>
      </c>
    </row>
    <row r="9" spans="1:47" ht="15.75" thickBot="1" x14ac:dyDescent="0.3">
      <c r="I9" s="45" t="s">
        <v>67</v>
      </c>
      <c r="J9" s="46">
        <v>6.5306122448979194</v>
      </c>
      <c r="K9" s="47">
        <v>2.1601520222996071</v>
      </c>
      <c r="L9" s="48">
        <v>3.1280000000000001</v>
      </c>
      <c r="M9" s="46"/>
      <c r="N9" s="46"/>
      <c r="O9" s="49">
        <v>44776.793055555558</v>
      </c>
      <c r="Q9" s="50" t="s">
        <v>74</v>
      </c>
      <c r="R9" s="51">
        <v>9.8887515451172572</v>
      </c>
      <c r="S9" s="52">
        <v>1.9722023113621858</v>
      </c>
      <c r="T9" s="53">
        <v>8.41</v>
      </c>
      <c r="U9" s="50">
        <v>3.3189019617674057E-3</v>
      </c>
      <c r="V9" s="50">
        <v>3.8928499999999998E-2</v>
      </c>
      <c r="W9" s="54">
        <v>44781.675694444442</v>
      </c>
      <c r="Y9" s="60" t="s">
        <v>86</v>
      </c>
      <c r="Z9" s="109">
        <v>52.222222222222328</v>
      </c>
      <c r="AA9" s="61">
        <v>10.349461276137333</v>
      </c>
      <c r="AB9" s="62">
        <v>5.15</v>
      </c>
      <c r="AC9" s="60"/>
      <c r="AD9" s="60">
        <v>2.12E-2</v>
      </c>
      <c r="AE9" s="63">
        <v>45136.681944444441</v>
      </c>
      <c r="AO9" s="69" t="s">
        <v>98</v>
      </c>
      <c r="AP9" s="70">
        <v>24.000000000000131</v>
      </c>
      <c r="AQ9" s="71"/>
      <c r="AR9" s="72">
        <v>3.262</v>
      </c>
      <c r="AS9" s="69"/>
      <c r="AT9" s="69">
        <v>6.9000000000000006E-2</v>
      </c>
      <c r="AU9" s="73">
        <v>45166.607638888891</v>
      </c>
    </row>
    <row r="10" spans="1:47" ht="15.75" thickBot="1" x14ac:dyDescent="0.3">
      <c r="Q10" s="50" t="s">
        <v>75</v>
      </c>
      <c r="R10" s="51">
        <v>7.9500000000000943</v>
      </c>
      <c r="S10" s="52">
        <v>1.5392300064882425</v>
      </c>
      <c r="T10" s="53">
        <v>2.7050000000000001</v>
      </c>
      <c r="U10" s="51"/>
      <c r="V10" s="50"/>
      <c r="W10" s="54">
        <v>44781.696527777778</v>
      </c>
      <c r="AO10" s="74" t="s">
        <v>99</v>
      </c>
      <c r="AP10" s="75">
        <v>23.571428571428555</v>
      </c>
      <c r="AQ10" s="76"/>
      <c r="AR10" s="77">
        <v>4.2779999999999996</v>
      </c>
      <c r="AS10" s="74"/>
      <c r="AT10" s="74"/>
      <c r="AU10" s="78">
        <v>45166.638888888891</v>
      </c>
    </row>
    <row r="11" spans="1:47" x14ac:dyDescent="0.25">
      <c r="Q11" s="50" t="s">
        <v>76</v>
      </c>
      <c r="R11" s="51">
        <v>4.080633314290381</v>
      </c>
      <c r="S11" s="52">
        <v>1.5186721608603606</v>
      </c>
      <c r="T11" s="53">
        <v>8.4209999999999994</v>
      </c>
      <c r="U11" s="50"/>
      <c r="V11" s="50"/>
      <c r="W11" s="54">
        <v>44781.706944444442</v>
      </c>
    </row>
    <row r="12" spans="1:47" x14ac:dyDescent="0.25">
      <c r="Q12" s="50" t="s">
        <v>77</v>
      </c>
      <c r="R12" s="51">
        <v>1.6455487905216861</v>
      </c>
      <c r="S12" s="52">
        <v>1.6114551232671432</v>
      </c>
      <c r="T12" s="53">
        <v>8.1829999999999998</v>
      </c>
      <c r="U12" s="50"/>
      <c r="V12" s="50"/>
      <c r="W12" s="54">
        <v>44781.727777777778</v>
      </c>
    </row>
    <row r="13" spans="1:47" x14ac:dyDescent="0.25">
      <c r="Q13" s="50" t="s">
        <v>78</v>
      </c>
      <c r="R13" s="51">
        <v>0.84473728670397652</v>
      </c>
      <c r="S13" s="52">
        <v>1.7405149401873126</v>
      </c>
      <c r="T13" s="53">
        <v>2.742</v>
      </c>
      <c r="U13" s="50"/>
      <c r="V13" s="50"/>
      <c r="W13" s="54">
        <v>44781.748611111114</v>
      </c>
    </row>
    <row r="14" spans="1:47" ht="15.75" thickBot="1" x14ac:dyDescent="0.3">
      <c r="Q14" s="55" t="s">
        <v>79</v>
      </c>
      <c r="R14" s="56">
        <v>5.7194215213659483</v>
      </c>
      <c r="S14" s="57">
        <v>1.4926887941071181</v>
      </c>
      <c r="T14" s="58">
        <v>8.0850000000000009</v>
      </c>
      <c r="U14" s="55">
        <v>1.875785042347305E-3</v>
      </c>
      <c r="V14" s="55">
        <v>3.0349000000000001E-2</v>
      </c>
      <c r="W14" s="59">
        <v>44781.759027777778</v>
      </c>
    </row>
    <row r="15" spans="1:47" x14ac:dyDescent="0.25">
      <c r="A15" s="7" t="s">
        <v>110</v>
      </c>
      <c r="I15" s="7" t="s">
        <v>111</v>
      </c>
      <c r="Q15" s="7" t="s">
        <v>112</v>
      </c>
      <c r="Y15" s="7" t="s">
        <v>113</v>
      </c>
      <c r="AG15" s="7" t="s">
        <v>114</v>
      </c>
      <c r="AO15" s="7" t="s">
        <v>115</v>
      </c>
    </row>
    <row r="16" spans="1:47" x14ac:dyDescent="0.25">
      <c r="B16" s="31" t="s">
        <v>37</v>
      </c>
      <c r="C16" s="31" t="s">
        <v>36</v>
      </c>
      <c r="D16" s="31" t="s">
        <v>41</v>
      </c>
      <c r="E16" s="32" t="s">
        <v>38</v>
      </c>
      <c r="F16" s="31" t="s">
        <v>39</v>
      </c>
      <c r="J16" s="31" t="s">
        <v>37</v>
      </c>
      <c r="K16" s="31" t="s">
        <v>36</v>
      </c>
      <c r="L16" s="31" t="s">
        <v>41</v>
      </c>
      <c r="M16" s="32" t="s">
        <v>38</v>
      </c>
      <c r="N16" s="31" t="s">
        <v>39</v>
      </c>
      <c r="R16" s="31" t="s">
        <v>37</v>
      </c>
      <c r="S16" s="31" t="s">
        <v>36</v>
      </c>
      <c r="T16" s="31" t="s">
        <v>41</v>
      </c>
      <c r="U16" s="32" t="s">
        <v>38</v>
      </c>
      <c r="V16" s="31" t="s">
        <v>39</v>
      </c>
      <c r="Z16" s="31" t="s">
        <v>37</v>
      </c>
      <c r="AA16" s="31" t="s">
        <v>36</v>
      </c>
      <c r="AB16" s="31" t="s">
        <v>41</v>
      </c>
      <c r="AC16" s="32" t="s">
        <v>38</v>
      </c>
      <c r="AD16" s="31" t="s">
        <v>39</v>
      </c>
      <c r="AH16" s="31" t="s">
        <v>37</v>
      </c>
      <c r="AI16" s="31" t="s">
        <v>36</v>
      </c>
      <c r="AJ16" s="31" t="s">
        <v>41</v>
      </c>
      <c r="AK16" s="32" t="s">
        <v>38</v>
      </c>
      <c r="AL16" s="31" t="s">
        <v>39</v>
      </c>
      <c r="AP16" s="31" t="s">
        <v>37</v>
      </c>
      <c r="AQ16" s="31" t="s">
        <v>36</v>
      </c>
      <c r="AR16" s="31" t="s">
        <v>41</v>
      </c>
      <c r="AS16" s="32" t="s">
        <v>38</v>
      </c>
      <c r="AT16" s="31" t="s">
        <v>39</v>
      </c>
    </row>
    <row r="17" spans="1:46" x14ac:dyDescent="0.25">
      <c r="A17" s="7" t="s">
        <v>32</v>
      </c>
      <c r="B17" s="14">
        <f>MAX(B2:B15)</f>
        <v>562.3258328827518</v>
      </c>
      <c r="C17" s="14">
        <f>MAX(C2:C15)</f>
        <v>51.659921769552554</v>
      </c>
      <c r="D17" s="14">
        <f>MAX(D2:D15)</f>
        <v>13.388</v>
      </c>
      <c r="E17" s="14">
        <f>MAX(E2:E15)</f>
        <v>5.0585795410334304E-2</v>
      </c>
      <c r="F17" s="14">
        <f>MAX(F2:F15)</f>
        <v>8.7999999999999995E-2</v>
      </c>
      <c r="I17" s="7" t="s">
        <v>32</v>
      </c>
      <c r="J17" s="14">
        <f>MAX(J2:J15)</f>
        <v>57.726093867648203</v>
      </c>
      <c r="K17" s="14">
        <f>MAX(K2:K15)</f>
        <v>6.7843516799317234</v>
      </c>
      <c r="L17" s="14">
        <f>MAX(L2:L15)</f>
        <v>8.6910000000000007</v>
      </c>
      <c r="M17" s="14">
        <f>MAX(M2:M15)</f>
        <v>1.4822795047059564E-2</v>
      </c>
      <c r="N17" s="14">
        <f>MAX(N2:N15)</f>
        <v>7.15306E-2</v>
      </c>
      <c r="Q17" s="7" t="s">
        <v>32</v>
      </c>
      <c r="R17" s="14">
        <f>MAX(R2:R15)</f>
        <v>49.091801669121296</v>
      </c>
      <c r="S17" s="14">
        <f>MAX(S2:S15)</f>
        <v>5.365091662580971</v>
      </c>
      <c r="T17" s="14">
        <f>MAX(T2:T15)</f>
        <v>8.4209999999999994</v>
      </c>
      <c r="U17" s="14">
        <f>MAX(U2:U15)</f>
        <v>9.1131643713273404E-3</v>
      </c>
      <c r="V17" s="14">
        <f>MAX(V2:V15)</f>
        <v>5.09398E-2</v>
      </c>
      <c r="Y17" s="7" t="s">
        <v>32</v>
      </c>
      <c r="Z17" s="14">
        <f>MAX(Z2:Z15)</f>
        <v>187.00000000000023</v>
      </c>
      <c r="AA17" s="14">
        <f>MAX(AA2:AA15)</f>
        <v>29.943162613702402</v>
      </c>
      <c r="AB17" s="14">
        <f>MAX(AB2:AB15)</f>
        <v>5.15</v>
      </c>
      <c r="AC17" s="14">
        <f>MAX(AC2:AC15)</f>
        <v>0</v>
      </c>
      <c r="AD17" s="14">
        <f>MAX(AD2:AD15)</f>
        <v>7.5700000000000003E-2</v>
      </c>
      <c r="AG17" s="7" t="s">
        <v>32</v>
      </c>
      <c r="AH17" s="14">
        <f>MAX(AH2:AH15)</f>
        <v>76.153846153846203</v>
      </c>
      <c r="AI17" s="14">
        <f>MAX(AI2:AI15)</f>
        <v>7.7777750198526157</v>
      </c>
      <c r="AJ17" s="14">
        <f>MAX(AJ2:AJ15)</f>
        <v>4.4729999999999999</v>
      </c>
      <c r="AK17" s="14">
        <f>MAX(AK2:AK15)</f>
        <v>0</v>
      </c>
      <c r="AL17" s="14">
        <f>MAX(AL2:AL15)</f>
        <v>9.6799999999999997E-2</v>
      </c>
      <c r="AO17" s="7" t="s">
        <v>32</v>
      </c>
      <c r="AP17" s="14">
        <f>MAX(AP2:AP15)</f>
        <v>77.894736842105289</v>
      </c>
      <c r="AQ17" s="14">
        <f>MAX(AQ2:AQ15)</f>
        <v>12.669565136980157</v>
      </c>
      <c r="AR17" s="14">
        <f>MAX(AR2:AR15)</f>
        <v>4.2779999999999996</v>
      </c>
      <c r="AS17" s="14">
        <f>MAX(AS2:AS15)</f>
        <v>0</v>
      </c>
      <c r="AT17" s="14">
        <f>MAX(AT2:AT15)</f>
        <v>0.17730000000000001</v>
      </c>
    </row>
    <row r="18" spans="1:46" x14ac:dyDescent="0.25">
      <c r="A18" s="7" t="s">
        <v>33</v>
      </c>
      <c r="B18" s="9">
        <f>B2</f>
        <v>4.4095649029999997</v>
      </c>
      <c r="C18" s="9">
        <f>C2</f>
        <v>2.8646407539999998</v>
      </c>
      <c r="D18" s="9">
        <f>D2</f>
        <v>1.754</v>
      </c>
      <c r="E18" s="9">
        <f>E3</f>
        <v>3.6945714904795007E-2</v>
      </c>
      <c r="F18" s="9">
        <f>F2</f>
        <v>2.6249999999999999E-2</v>
      </c>
      <c r="I18" s="7" t="s">
        <v>33</v>
      </c>
      <c r="J18" s="9">
        <f>J2</f>
        <v>2.927</v>
      </c>
      <c r="K18" s="9">
        <f>K2</f>
        <v>1.82</v>
      </c>
      <c r="L18" s="9">
        <f>L2</f>
        <v>2.8039999999999998</v>
      </c>
      <c r="M18" s="9">
        <f>M3</f>
        <v>1.4822795047059564E-2</v>
      </c>
      <c r="N18" s="9">
        <f>N2</f>
        <v>2E-3</v>
      </c>
      <c r="Q18" s="7" t="s">
        <v>33</v>
      </c>
      <c r="R18" s="9">
        <f>R2</f>
        <v>2.927</v>
      </c>
      <c r="S18" s="9">
        <f>S2</f>
        <v>1.52</v>
      </c>
      <c r="T18" s="9">
        <f>T2</f>
        <v>2.8039999999999998</v>
      </c>
      <c r="U18" s="9">
        <f>U4</f>
        <v>2.9850936095853161E-3</v>
      </c>
      <c r="V18" s="9">
        <f>V2</f>
        <v>2E-3</v>
      </c>
      <c r="Y18" s="7" t="s">
        <v>33</v>
      </c>
      <c r="Z18" s="9">
        <f>Z2</f>
        <v>13.33333333</v>
      </c>
      <c r="AA18" s="9">
        <f>AA2</f>
        <v>1.5244913860512195</v>
      </c>
      <c r="AB18" s="9">
        <f>AB2</f>
        <v>2.8039999999999998</v>
      </c>
      <c r="AC18" s="9">
        <f>AC2</f>
        <v>0</v>
      </c>
      <c r="AD18" s="9">
        <f>AD2</f>
        <v>1.9785000000000011E-3</v>
      </c>
      <c r="AG18" s="7" t="s">
        <v>33</v>
      </c>
      <c r="AH18" s="9">
        <f>AH2</f>
        <v>13.33</v>
      </c>
      <c r="AI18" s="9">
        <f>AI2</f>
        <v>1.5244913860512195</v>
      </c>
      <c r="AJ18" s="9">
        <f>AJ2</f>
        <v>3.4510000000000001</v>
      </c>
      <c r="AK18" s="9">
        <f>AK2</f>
        <v>0</v>
      </c>
      <c r="AL18" s="9">
        <f>AL2</f>
        <v>1.9785000000000011E-3</v>
      </c>
      <c r="AO18" s="7" t="s">
        <v>33</v>
      </c>
      <c r="AP18" s="9">
        <f>AP2</f>
        <v>13.33</v>
      </c>
      <c r="AQ18" s="9">
        <f>AQ2</f>
        <v>1.5244913860512195</v>
      </c>
      <c r="AR18" s="9">
        <f>AR2</f>
        <v>1.1220000000000001</v>
      </c>
      <c r="AS18" s="9">
        <f>AS2</f>
        <v>0</v>
      </c>
      <c r="AT18" s="9">
        <f>AT2</f>
        <v>1.9785000000000011E-3</v>
      </c>
    </row>
    <row r="19" spans="1:46" x14ac:dyDescent="0.25">
      <c r="A19" s="17" t="s">
        <v>35</v>
      </c>
      <c r="B19" s="19">
        <f>B17/B18</f>
        <v>127.52410844439085</v>
      </c>
      <c r="C19" s="19">
        <f>C17/C18</f>
        <v>18.033647569042632</v>
      </c>
      <c r="D19" s="19">
        <f>D17/D18</f>
        <v>7.6328392246294188</v>
      </c>
      <c r="E19" s="19">
        <f>E17/E18</f>
        <v>1.3691924906768826</v>
      </c>
      <c r="F19" s="19">
        <f>F17/F18</f>
        <v>3.3523809523809525</v>
      </c>
      <c r="I19" s="17" t="s">
        <v>35</v>
      </c>
      <c r="J19" s="19">
        <f>J17/J18</f>
        <v>19.721931625434987</v>
      </c>
      <c r="K19" s="19">
        <f>K17/K18</f>
        <v>3.7276657582042434</v>
      </c>
      <c r="L19" s="19">
        <f>L17/L18</f>
        <v>3.099500713266762</v>
      </c>
      <c r="M19" s="19">
        <f>M17/M18</f>
        <v>1</v>
      </c>
      <c r="N19" s="19">
        <f>N17/N18</f>
        <v>35.765299999999996</v>
      </c>
      <c r="Q19" s="17" t="s">
        <v>35</v>
      </c>
      <c r="R19" s="19">
        <f>R17/R18</f>
        <v>16.772053867140858</v>
      </c>
      <c r="S19" s="19">
        <f>S17/S18</f>
        <v>3.5296655674874811</v>
      </c>
      <c r="T19" s="19">
        <f>T17/T18</f>
        <v>3.0032097004279601</v>
      </c>
      <c r="U19" s="19">
        <f>U17/U18</f>
        <v>3.0528906504186062</v>
      </c>
      <c r="V19" s="19">
        <f>V17/V18</f>
        <v>25.469899999999999</v>
      </c>
      <c r="Y19" s="17" t="s">
        <v>35</v>
      </c>
      <c r="Z19" s="19">
        <f>Z17/Z18</f>
        <v>14.025000003506266</v>
      </c>
      <c r="AA19" s="19">
        <f>AA17/AA18</f>
        <v>19.641411481675881</v>
      </c>
      <c r="AB19" s="19">
        <f>AB17/AB18</f>
        <v>1.8366619115549219</v>
      </c>
      <c r="AC19" s="19" t="e">
        <f>AC17/AC18</f>
        <v>#DIV/0!</v>
      </c>
      <c r="AD19" s="19">
        <f>AD17/AD18</f>
        <v>38.261309072529677</v>
      </c>
      <c r="AG19" s="17" t="s">
        <v>35</v>
      </c>
      <c r="AH19" s="19">
        <f>AH17/AH18</f>
        <v>5.7129667032142688</v>
      </c>
      <c r="AI19" s="19">
        <f>AI17/AI18</f>
        <v>5.1018819069872396</v>
      </c>
      <c r="AJ19" s="19">
        <f>AJ17/AJ18</f>
        <v>1.2961460446247464</v>
      </c>
      <c r="AK19" s="19" t="e">
        <f>AK17/AK18</f>
        <v>#DIV/0!</v>
      </c>
      <c r="AL19" s="19">
        <f>AL17/AL18</f>
        <v>48.925954005559738</v>
      </c>
      <c r="AO19" s="17" t="s">
        <v>35</v>
      </c>
      <c r="AP19" s="19">
        <f>AP17/AP18</f>
        <v>5.8435661546965711</v>
      </c>
      <c r="AQ19" s="19">
        <f>AQ17/AQ18</f>
        <v>8.3106833222568888</v>
      </c>
      <c r="AR19" s="19">
        <f>AR17/AR18</f>
        <v>3.8128342245989297</v>
      </c>
      <c r="AS19" s="19" t="e">
        <f>AS17/AS18</f>
        <v>#DIV/0!</v>
      </c>
      <c r="AT19" s="19">
        <f>AT17/AT18</f>
        <v>89.613343442001479</v>
      </c>
    </row>
    <row r="20" spans="1:46" x14ac:dyDescent="0.25">
      <c r="A20" s="122" t="s">
        <v>140</v>
      </c>
      <c r="B20" s="123">
        <v>4.905691029216193</v>
      </c>
      <c r="C20" s="9">
        <v>2.1794107993905221</v>
      </c>
      <c r="D20" s="123">
        <v>2.6933749999999996</v>
      </c>
      <c r="E20" s="9">
        <v>0</v>
      </c>
      <c r="F20" s="123">
        <v>1.6934366666666666E-2</v>
      </c>
      <c r="I20" s="122" t="s">
        <v>140</v>
      </c>
      <c r="J20" s="123">
        <v>4.905691029216193</v>
      </c>
      <c r="K20" s="9">
        <v>2.1794107993905221</v>
      </c>
      <c r="L20" s="123">
        <v>2.6933749999999996</v>
      </c>
      <c r="M20" s="9">
        <v>0</v>
      </c>
      <c r="N20" s="123">
        <v>1.6934366666666666E-2</v>
      </c>
      <c r="Q20" s="122" t="s">
        <v>140</v>
      </c>
      <c r="R20" s="123">
        <v>4.905691029216193</v>
      </c>
      <c r="S20" s="9">
        <v>2.1794107993905221</v>
      </c>
      <c r="T20" s="123">
        <v>2.6933749999999996</v>
      </c>
      <c r="U20" s="9">
        <v>0</v>
      </c>
      <c r="V20" s="123">
        <v>1.6934366666666666E-2</v>
      </c>
      <c r="Y20" s="122" t="s">
        <v>140</v>
      </c>
      <c r="Z20" s="123">
        <v>4.905691029216193</v>
      </c>
      <c r="AA20" s="9">
        <v>2.1794107993905221</v>
      </c>
      <c r="AB20" s="123">
        <v>2.6933749999999996</v>
      </c>
      <c r="AC20" s="9">
        <v>0</v>
      </c>
      <c r="AD20" s="123">
        <v>1.6934366666666666E-2</v>
      </c>
      <c r="AG20" s="122" t="s">
        <v>140</v>
      </c>
      <c r="AH20" s="123">
        <v>4.905691029216193</v>
      </c>
      <c r="AI20" s="9">
        <v>2.1794107993905221</v>
      </c>
      <c r="AJ20" s="123">
        <v>2.6933749999999996</v>
      </c>
      <c r="AK20" s="9">
        <v>0</v>
      </c>
      <c r="AL20" s="123">
        <v>1.6934366666666666E-2</v>
      </c>
      <c r="AO20" s="122" t="s">
        <v>140</v>
      </c>
      <c r="AP20" s="123">
        <v>4.905691029216193</v>
      </c>
      <c r="AQ20" s="9">
        <v>2.1794107993905221</v>
      </c>
      <c r="AR20" s="123">
        <v>2.6933749999999996</v>
      </c>
      <c r="AS20" s="9">
        <v>0</v>
      </c>
      <c r="AT20" s="123">
        <v>1.6934366666666666E-2</v>
      </c>
    </row>
    <row r="21" spans="1:46" x14ac:dyDescent="0.25">
      <c r="A21" s="124" t="s">
        <v>35</v>
      </c>
      <c r="B21" s="125">
        <f>B17/B20</f>
        <v>114.62724202029442</v>
      </c>
      <c r="C21" s="125">
        <f t="shared" ref="C21:F21" si="0">C17/C20</f>
        <v>23.703618328402975</v>
      </c>
      <c r="D21" s="125">
        <f t="shared" si="0"/>
        <v>4.9707151807676251</v>
      </c>
      <c r="E21" s="125" t="e">
        <f t="shared" si="0"/>
        <v>#DIV/0!</v>
      </c>
      <c r="F21" s="125">
        <f t="shared" si="0"/>
        <v>5.1965332824178052</v>
      </c>
      <c r="I21" s="124" t="s">
        <v>35</v>
      </c>
      <c r="J21" s="125">
        <f>J17/J20</f>
        <v>11.767168687113871</v>
      </c>
      <c r="K21" s="125">
        <f t="shared" ref="K21" si="1">K17/K20</f>
        <v>3.112929275118296</v>
      </c>
      <c r="L21" s="125">
        <f t="shared" ref="L21" si="2">L17/L20</f>
        <v>3.2268065159883053</v>
      </c>
      <c r="M21" s="125" t="e">
        <f t="shared" ref="M21" si="3">M17/M20</f>
        <v>#DIV/0!</v>
      </c>
      <c r="N21" s="125">
        <f t="shared" ref="N21" si="4">N17/N20</f>
        <v>4.2239902683103985</v>
      </c>
      <c r="Q21" s="124" t="s">
        <v>35</v>
      </c>
      <c r="R21" s="125">
        <f>R17/R20</f>
        <v>10.007112428555237</v>
      </c>
      <c r="S21" s="125">
        <f t="shared" ref="S21" si="5">S17/S20</f>
        <v>2.4617165630643534</v>
      </c>
      <c r="T21" s="125">
        <f t="shared" ref="T21" si="6">T17/T20</f>
        <v>3.126560542070822</v>
      </c>
      <c r="U21" s="125" t="e">
        <f t="shared" ref="U21" si="7">U17/U20</f>
        <v>#DIV/0!</v>
      </c>
      <c r="V21" s="125">
        <f t="shared" ref="V21" si="8">V17/V20</f>
        <v>3.0080723420421198</v>
      </c>
      <c r="Y21" s="124" t="s">
        <v>35</v>
      </c>
      <c r="Z21" s="125">
        <f>Z17/Z20</f>
        <v>38.118992591728336</v>
      </c>
      <c r="AA21" s="125">
        <f t="shared" ref="AA21" si="9">AA17/AA20</f>
        <v>13.73910903904674</v>
      </c>
      <c r="AB21" s="125">
        <f t="shared" ref="AB21" si="10">AB17/AB20</f>
        <v>1.9120991321297633</v>
      </c>
      <c r="AC21" s="125" t="e">
        <f t="shared" ref="AC21" si="11">AC17/AC20</f>
        <v>#DIV/0!</v>
      </c>
      <c r="AD21" s="125">
        <f t="shared" ref="AD21" si="12">AD17/AD20</f>
        <v>4.4701996531707717</v>
      </c>
      <c r="AG21" s="124" t="s">
        <v>35</v>
      </c>
      <c r="AH21" s="125">
        <f>AH17/AH20</f>
        <v>15.523571643690264</v>
      </c>
      <c r="AI21" s="125">
        <f t="shared" ref="AI21" si="13">AI17/AI20</f>
        <v>3.5687512524154195</v>
      </c>
      <c r="AJ21" s="125">
        <f t="shared" ref="AJ21" si="14">AJ17/AJ20</f>
        <v>1.6607416345662971</v>
      </c>
      <c r="AK21" s="125" t="e">
        <f t="shared" ref="AK21" si="15">AK17/AK20</f>
        <v>#DIV/0!</v>
      </c>
      <c r="AL21" s="125">
        <f t="shared" ref="AL21" si="16">AL17/AL20</f>
        <v>5.7161866106595856</v>
      </c>
      <c r="AO21" s="124" t="s">
        <v>35</v>
      </c>
      <c r="AP21" s="125">
        <f>AP17/AP20</f>
        <v>15.878443297426932</v>
      </c>
      <c r="AQ21" s="125">
        <f t="shared" ref="AQ21" si="17">AQ17/AQ20</f>
        <v>5.8132983192169343</v>
      </c>
      <c r="AR21" s="125">
        <f t="shared" ref="AR21" si="18">AR17/AR20</f>
        <v>1.5883417645147817</v>
      </c>
      <c r="AS21" s="125" t="e">
        <f t="shared" ref="AS21" si="19">AS17/AS20</f>
        <v>#DIV/0!</v>
      </c>
      <c r="AT21" s="125">
        <f t="shared" ref="AT21" si="20">AT17/AT20</f>
        <v>10.46983353378042</v>
      </c>
    </row>
    <row r="24" spans="1:46" x14ac:dyDescent="0.25">
      <c r="A24" s="7" t="str">
        <f>A33</f>
        <v>Event 1</v>
      </c>
      <c r="E24" s="7" t="str">
        <f>E33</f>
        <v>Event 2</v>
      </c>
      <c r="I24" s="7" t="str">
        <f>I33</f>
        <v>Event 3</v>
      </c>
      <c r="M24" s="7" t="str">
        <f>M33</f>
        <v>Event 4</v>
      </c>
      <c r="Q24" s="7" t="str">
        <f>Q33</f>
        <v>Event 5</v>
      </c>
      <c r="U24" s="7" t="str">
        <f>U33</f>
        <v>Event 6</v>
      </c>
      <c r="Y24" s="7" t="str">
        <f>Y33</f>
        <v>Event 7</v>
      </c>
      <c r="AC24" s="7" t="str">
        <f>AC33</f>
        <v>Event 8</v>
      </c>
      <c r="AG24" s="7" t="str">
        <f>AG33</f>
        <v>Event 9</v>
      </c>
      <c r="AK24" s="7" t="str">
        <f>AK33</f>
        <v>Event 10</v>
      </c>
    </row>
    <row r="25" spans="1:46" x14ac:dyDescent="0.25">
      <c r="B25" s="31" t="s">
        <v>37</v>
      </c>
      <c r="C25" s="31" t="s">
        <v>41</v>
      </c>
      <c r="F25" s="31" t="s">
        <v>37</v>
      </c>
      <c r="G25" s="31" t="s">
        <v>41</v>
      </c>
      <c r="J25" s="31" t="s">
        <v>37</v>
      </c>
      <c r="K25" s="31" t="s">
        <v>41</v>
      </c>
      <c r="N25" s="31" t="s">
        <v>37</v>
      </c>
      <c r="O25" s="31" t="s">
        <v>41</v>
      </c>
      <c r="R25" s="31" t="s">
        <v>37</v>
      </c>
      <c r="S25" s="31" t="s">
        <v>41</v>
      </c>
      <c r="V25" s="31" t="s">
        <v>37</v>
      </c>
      <c r="W25" s="31" t="s">
        <v>41</v>
      </c>
      <c r="Z25" s="31" t="s">
        <v>37</v>
      </c>
      <c r="AA25" s="31" t="s">
        <v>41</v>
      </c>
      <c r="AD25" s="31" t="s">
        <v>37</v>
      </c>
      <c r="AE25" s="31" t="s">
        <v>41</v>
      </c>
      <c r="AH25" s="31" t="s">
        <v>37</v>
      </c>
      <c r="AI25" s="31" t="s">
        <v>41</v>
      </c>
      <c r="AL25" s="31" t="s">
        <v>37</v>
      </c>
      <c r="AM25" s="31" t="s">
        <v>41</v>
      </c>
    </row>
    <row r="26" spans="1:46" x14ac:dyDescent="0.25">
      <c r="A26" s="7" t="s">
        <v>32</v>
      </c>
      <c r="B26" s="14">
        <f>MAX(B35:B45)</f>
        <v>23.15789474</v>
      </c>
      <c r="C26" s="14">
        <f>MAX(C35:C45)</f>
        <v>3.806</v>
      </c>
      <c r="E26" s="7" t="s">
        <v>32</v>
      </c>
      <c r="F26" s="14">
        <f>MAX(F35:F45)</f>
        <v>23</v>
      </c>
      <c r="G26" s="14">
        <f>MAX(G35:G45)</f>
        <v>3.6539999999999999</v>
      </c>
      <c r="I26" s="7" t="s">
        <v>32</v>
      </c>
      <c r="J26" s="14">
        <f>MAX(J35:J45)</f>
        <v>10.34482759</v>
      </c>
      <c r="K26" s="14">
        <f>MAX(K35:K45)</f>
        <v>3.3380000000000001</v>
      </c>
      <c r="M26" s="7" t="s">
        <v>32</v>
      </c>
      <c r="N26" s="14">
        <f>MAX(N35:N45)</f>
        <v>26.086956520000001</v>
      </c>
      <c r="O26" s="14">
        <f>MAX(O35:O45)</f>
        <v>3.37</v>
      </c>
      <c r="Q26" s="7" t="s">
        <v>32</v>
      </c>
      <c r="R26" s="14">
        <f>MAX(R35:R45)</f>
        <v>8.125</v>
      </c>
      <c r="S26" s="14">
        <f>MAX(S35:S45)</f>
        <v>3.2989999999999999</v>
      </c>
      <c r="U26" s="7" t="s">
        <v>32</v>
      </c>
      <c r="V26" s="14">
        <f>MAX(V35:V45)</f>
        <v>12.67</v>
      </c>
      <c r="W26" s="14">
        <f>MAX(W35:W45)</f>
        <v>3.1309999999999998</v>
      </c>
      <c r="Y26" s="7" t="s">
        <v>32</v>
      </c>
      <c r="Z26" s="14">
        <f>MAX(Z35:Z45)</f>
        <v>42</v>
      </c>
      <c r="AA26" s="14">
        <f>MAX(AA35:AA45)</f>
        <v>3.7759999999999998</v>
      </c>
      <c r="AC26" s="7" t="s">
        <v>32</v>
      </c>
      <c r="AD26" s="14">
        <f>MAX(AD35:AD45)</f>
        <v>18</v>
      </c>
      <c r="AE26" s="14">
        <f>MAX(AE35:AE45)</f>
        <v>3.0609999999999999</v>
      </c>
      <c r="AG26" s="7" t="s">
        <v>32</v>
      </c>
      <c r="AH26" s="14">
        <f>MAX(AH35:AH45)</f>
        <v>20.666666670000001</v>
      </c>
      <c r="AI26" s="14">
        <f>MAX(AI35:AI45)</f>
        <v>3.5110000000000001</v>
      </c>
      <c r="AK26" s="7" t="s">
        <v>32</v>
      </c>
      <c r="AL26" s="14">
        <f>MAX(AL35:AL45)</f>
        <v>9.3333333330000006</v>
      </c>
      <c r="AM26" s="14">
        <f>MAX(AM35:AM45)</f>
        <v>3.2719999999999998</v>
      </c>
    </row>
    <row r="27" spans="1:46" x14ac:dyDescent="0.25">
      <c r="A27" s="7" t="s">
        <v>33</v>
      </c>
      <c r="B27" s="9">
        <f>B35</f>
        <v>5.5</v>
      </c>
      <c r="C27" s="9">
        <f>C35</f>
        <v>3.0910000000000002</v>
      </c>
      <c r="E27" s="7" t="s">
        <v>33</v>
      </c>
      <c r="F27" s="9">
        <f>F35</f>
        <v>7.5</v>
      </c>
      <c r="G27" s="9">
        <f>G35</f>
        <v>3.3530000000000002</v>
      </c>
      <c r="I27" s="7" t="s">
        <v>33</v>
      </c>
      <c r="J27" s="9">
        <f>J35</f>
        <v>10.34482759</v>
      </c>
      <c r="K27" s="9">
        <f>K35</f>
        <v>3.2440000000000002</v>
      </c>
      <c r="M27" s="7" t="s">
        <v>33</v>
      </c>
      <c r="N27" s="9">
        <f>N35</f>
        <v>14.19354839</v>
      </c>
      <c r="O27" s="9">
        <f>O35</f>
        <v>3.0910000000000002</v>
      </c>
      <c r="Q27" s="7" t="s">
        <v>33</v>
      </c>
      <c r="R27" s="9">
        <f>R35</f>
        <v>4.1176470590000003</v>
      </c>
      <c r="S27" s="9">
        <f>S35</f>
        <v>2.774</v>
      </c>
      <c r="U27" s="7" t="s">
        <v>33</v>
      </c>
      <c r="V27" s="9">
        <f>V35</f>
        <v>5.33</v>
      </c>
      <c r="W27" s="9">
        <f>W35</f>
        <v>2.6429999999999998</v>
      </c>
      <c r="Y27" s="7" t="s">
        <v>33</v>
      </c>
      <c r="Z27" s="9">
        <f>Z35</f>
        <v>9.375</v>
      </c>
      <c r="AA27" s="9">
        <f>AA35</f>
        <v>2.8889999999999998</v>
      </c>
      <c r="AC27" s="7" t="s">
        <v>33</v>
      </c>
      <c r="AD27" s="9">
        <f>AD35</f>
        <v>18</v>
      </c>
      <c r="AE27" s="9">
        <f>AE35</f>
        <v>2.9209999999999998</v>
      </c>
      <c r="AG27" s="7" t="s">
        <v>33</v>
      </c>
      <c r="AH27" s="9">
        <f>AH35</f>
        <v>2.8571428569999999</v>
      </c>
      <c r="AI27" s="9">
        <f>AI35</f>
        <v>2.923</v>
      </c>
      <c r="AK27" s="7" t="s">
        <v>33</v>
      </c>
      <c r="AL27" s="9">
        <f>AL35</f>
        <v>4.6666666670000003</v>
      </c>
      <c r="AM27" s="9">
        <f>AM35</f>
        <v>2.9329999999999998</v>
      </c>
    </row>
    <row r="29" spans="1:46" x14ac:dyDescent="0.25">
      <c r="A29" s="17" t="s">
        <v>35</v>
      </c>
      <c r="B29" s="19">
        <f>B26/B27</f>
        <v>4.2105263163636364</v>
      </c>
      <c r="C29" s="19">
        <f>C26/C27</f>
        <v>1.2313167259786477</v>
      </c>
      <c r="E29" s="17" t="s">
        <v>35</v>
      </c>
      <c r="F29" s="19">
        <f>F26/F27</f>
        <v>3.0666666666666669</v>
      </c>
      <c r="G29" s="19">
        <f>G26/G27</f>
        <v>1.0897703549060542</v>
      </c>
      <c r="I29" s="17" t="s">
        <v>35</v>
      </c>
      <c r="J29" s="19">
        <f>J26/J27</f>
        <v>1</v>
      </c>
      <c r="K29" s="19">
        <f>K26/K27</f>
        <v>1.028976572133169</v>
      </c>
      <c r="M29" s="17" t="s">
        <v>35</v>
      </c>
      <c r="N29" s="19">
        <f>N26/N27</f>
        <v>1.8379446635331478</v>
      </c>
      <c r="O29" s="19">
        <f>O26/O27</f>
        <v>1.0902620511161436</v>
      </c>
      <c r="Q29" s="17" t="s">
        <v>35</v>
      </c>
      <c r="R29" s="19">
        <f>R26/R27</f>
        <v>1.9732142856297192</v>
      </c>
      <c r="S29" s="19">
        <f>S26/S27</f>
        <v>1.1892573900504686</v>
      </c>
      <c r="U29" s="17" t="s">
        <v>35</v>
      </c>
      <c r="V29" s="19">
        <f>V26/V27</f>
        <v>2.3771106941838647</v>
      </c>
      <c r="W29" s="19">
        <f>W26/W27</f>
        <v>1.1846386681800984</v>
      </c>
      <c r="Y29" s="17" t="s">
        <v>35</v>
      </c>
      <c r="Z29" s="19">
        <f>Z26/Z27</f>
        <v>4.4800000000000004</v>
      </c>
      <c r="AA29" s="19">
        <f>AA26/AA27</f>
        <v>1.3070266528210455</v>
      </c>
      <c r="AC29" s="17" t="s">
        <v>35</v>
      </c>
      <c r="AD29" s="19">
        <f>AD26/AD27</f>
        <v>1</v>
      </c>
      <c r="AE29" s="19">
        <f>AE26/AE27</f>
        <v>1.047928791509757</v>
      </c>
      <c r="AG29" s="17" t="s">
        <v>35</v>
      </c>
      <c r="AH29" s="19">
        <f>AH26/AH27</f>
        <v>7.2333333348616673</v>
      </c>
      <c r="AI29" s="19">
        <f>AI26/AI27</f>
        <v>1.2011631885049607</v>
      </c>
      <c r="AK29" s="17" t="s">
        <v>35</v>
      </c>
      <c r="AL29" s="19">
        <f>AL26/AL27</f>
        <v>1.9999999997857143</v>
      </c>
      <c r="AM29" s="19">
        <f>AM26/AM27</f>
        <v>1.115581316058643</v>
      </c>
    </row>
    <row r="33" spans="1:39" x14ac:dyDescent="0.25">
      <c r="A33" t="s">
        <v>101</v>
      </c>
      <c r="E33" t="s">
        <v>102</v>
      </c>
      <c r="I33" t="s">
        <v>103</v>
      </c>
      <c r="M33" t="s">
        <v>104</v>
      </c>
      <c r="Q33" t="s">
        <v>105</v>
      </c>
      <c r="U33" t="s">
        <v>106</v>
      </c>
      <c r="Y33" t="s">
        <v>107</v>
      </c>
      <c r="AC33" t="s">
        <v>108</v>
      </c>
      <c r="AG33" t="s">
        <v>109</v>
      </c>
      <c r="AK33" t="s">
        <v>116</v>
      </c>
    </row>
    <row r="34" spans="1:39" x14ac:dyDescent="0.25">
      <c r="A34" s="32" t="s">
        <v>54</v>
      </c>
      <c r="B34" s="32" t="s">
        <v>37</v>
      </c>
      <c r="C34" s="30" t="s">
        <v>41</v>
      </c>
      <c r="E34" s="32" t="s">
        <v>54</v>
      </c>
      <c r="F34" s="32" t="s">
        <v>37</v>
      </c>
      <c r="G34" s="30" t="s">
        <v>41</v>
      </c>
      <c r="I34" s="32" t="s">
        <v>54</v>
      </c>
      <c r="J34" s="32" t="s">
        <v>37</v>
      </c>
      <c r="K34" s="30" t="s">
        <v>41</v>
      </c>
      <c r="M34" s="32" t="s">
        <v>54</v>
      </c>
      <c r="N34" s="32" t="s">
        <v>37</v>
      </c>
      <c r="O34" s="30" t="s">
        <v>41</v>
      </c>
      <c r="Q34" s="32" t="s">
        <v>54</v>
      </c>
      <c r="R34" s="32" t="s">
        <v>37</v>
      </c>
      <c r="S34" s="30" t="s">
        <v>41</v>
      </c>
      <c r="U34" s="32" t="s">
        <v>54</v>
      </c>
      <c r="V34" s="32" t="s">
        <v>37</v>
      </c>
      <c r="W34" s="30" t="s">
        <v>41</v>
      </c>
      <c r="Y34" s="32" t="s">
        <v>54</v>
      </c>
      <c r="Z34" s="32" t="s">
        <v>37</v>
      </c>
      <c r="AA34" s="30" t="s">
        <v>41</v>
      </c>
      <c r="AC34" s="32" t="s">
        <v>54</v>
      </c>
      <c r="AD34" s="32" t="s">
        <v>37</v>
      </c>
      <c r="AE34" s="30" t="s">
        <v>41</v>
      </c>
      <c r="AG34" s="32" t="s">
        <v>54</v>
      </c>
      <c r="AH34" s="32" t="s">
        <v>37</v>
      </c>
      <c r="AI34" s="30" t="s">
        <v>41</v>
      </c>
      <c r="AK34" s="32" t="s">
        <v>54</v>
      </c>
      <c r="AL34" s="32" t="s">
        <v>37</v>
      </c>
      <c r="AM34" s="30" t="s">
        <v>41</v>
      </c>
    </row>
    <row r="35" spans="1:39" x14ac:dyDescent="0.25">
      <c r="A35" s="22">
        <v>45033.520833333336</v>
      </c>
      <c r="B35" s="14">
        <v>5.5</v>
      </c>
      <c r="C35">
        <v>3.0910000000000002</v>
      </c>
      <c r="E35" s="22">
        <v>45034.520833333336</v>
      </c>
      <c r="F35" s="7">
        <v>7.5</v>
      </c>
      <c r="G35" s="7">
        <v>3.3530000000000002</v>
      </c>
      <c r="I35" s="21">
        <v>45039.666666666664</v>
      </c>
      <c r="J35" s="15">
        <v>10.34482759</v>
      </c>
      <c r="K35" s="7">
        <v>3.2440000000000002</v>
      </c>
      <c r="M35" s="21">
        <v>45040.5</v>
      </c>
      <c r="N35" s="9">
        <v>14.19354839</v>
      </c>
      <c r="O35" s="7">
        <v>3.0910000000000002</v>
      </c>
      <c r="Q35" s="21">
        <v>45043.416666666664</v>
      </c>
      <c r="R35">
        <v>4.1176470590000003</v>
      </c>
      <c r="S35">
        <v>2.774</v>
      </c>
      <c r="U35" s="21">
        <v>45045.5</v>
      </c>
      <c r="V35" s="9">
        <v>5.33</v>
      </c>
      <c r="W35" s="9">
        <v>2.6429999999999998</v>
      </c>
      <c r="Y35" s="21">
        <v>45046.541666666664</v>
      </c>
      <c r="Z35" s="9">
        <v>9.375</v>
      </c>
      <c r="AA35" s="7">
        <v>2.8889999999999998</v>
      </c>
      <c r="AC35" s="21">
        <v>45048.708333333336</v>
      </c>
      <c r="AD35" s="7">
        <v>18</v>
      </c>
      <c r="AE35" s="7">
        <v>2.9209999999999998</v>
      </c>
      <c r="AG35" s="21">
        <v>45049.583333333336</v>
      </c>
      <c r="AH35" s="14">
        <v>2.8571428569999999</v>
      </c>
      <c r="AI35" s="7">
        <v>2.923</v>
      </c>
      <c r="AK35" s="21">
        <v>45050.458333333336</v>
      </c>
      <c r="AL35" s="14">
        <v>4.6666666670000003</v>
      </c>
      <c r="AM35" s="7">
        <v>2.9329999999999998</v>
      </c>
    </row>
    <row r="36" spans="1:39" x14ac:dyDescent="0.25">
      <c r="A36" s="22">
        <v>45033.6875</v>
      </c>
      <c r="B36" s="14">
        <v>23.15789474</v>
      </c>
      <c r="C36">
        <v>3.206</v>
      </c>
      <c r="E36" s="22">
        <v>45034.6875</v>
      </c>
      <c r="F36" s="7">
        <v>23</v>
      </c>
      <c r="G36" s="7">
        <v>3.5139999999999998</v>
      </c>
      <c r="I36" s="21">
        <v>45039.875</v>
      </c>
      <c r="J36" s="15">
        <v>5.3333333329999997</v>
      </c>
      <c r="K36" s="7">
        <v>3.3380000000000001</v>
      </c>
      <c r="M36" s="21">
        <v>45040.708333333336</v>
      </c>
      <c r="N36" s="9">
        <v>14.73684211</v>
      </c>
      <c r="O36" s="7">
        <v>3.26</v>
      </c>
      <c r="Q36" s="21">
        <v>45043.625</v>
      </c>
      <c r="R36">
        <v>8.125</v>
      </c>
      <c r="S36">
        <v>3.0510000000000002</v>
      </c>
      <c r="U36" s="21">
        <v>45045.708333333336</v>
      </c>
      <c r="V36" s="9">
        <v>12.67</v>
      </c>
      <c r="W36" s="9">
        <v>2.9510000000000001</v>
      </c>
      <c r="Y36" s="21">
        <v>45046.75</v>
      </c>
      <c r="Z36" s="9">
        <v>42</v>
      </c>
      <c r="AA36" s="7">
        <v>3.7759999999999998</v>
      </c>
      <c r="AC36" s="21">
        <v>45049</v>
      </c>
      <c r="AD36" s="9">
        <v>9.3333333330000006</v>
      </c>
      <c r="AE36" s="7">
        <v>3.0609999999999999</v>
      </c>
      <c r="AG36" s="21">
        <v>45049.833333333336</v>
      </c>
      <c r="AH36" s="14">
        <v>20.666666670000001</v>
      </c>
      <c r="AI36" s="7">
        <v>3.5110000000000001</v>
      </c>
      <c r="AK36" s="21">
        <v>45050.083333333336</v>
      </c>
      <c r="AL36" s="14">
        <v>8.75</v>
      </c>
      <c r="AM36" s="7">
        <v>3.1819999999999999</v>
      </c>
    </row>
    <row r="37" spans="1:39" x14ac:dyDescent="0.25">
      <c r="A37" s="22">
        <v>45033.854166666664</v>
      </c>
      <c r="B37" s="14">
        <v>15</v>
      </c>
      <c r="C37">
        <v>3.6629999999999998</v>
      </c>
      <c r="E37" s="22">
        <v>45034.895833333336</v>
      </c>
      <c r="F37" s="7">
        <v>15</v>
      </c>
      <c r="G37" s="7">
        <v>3.6539999999999999</v>
      </c>
      <c r="I37" s="21">
        <v>45040.083333333336</v>
      </c>
      <c r="J37" s="15">
        <v>6.4285714289999998</v>
      </c>
      <c r="K37" s="7">
        <v>3.2010000000000001</v>
      </c>
      <c r="M37" s="21">
        <v>45040.916666666664</v>
      </c>
      <c r="N37" s="9">
        <v>18.94736842</v>
      </c>
      <c r="O37" s="7">
        <v>3.37</v>
      </c>
      <c r="Q37" s="21">
        <v>45043.833333333336</v>
      </c>
      <c r="R37">
        <v>6.875</v>
      </c>
      <c r="S37">
        <v>3.2709999999999999</v>
      </c>
      <c r="U37" s="21">
        <v>45045.916666666664</v>
      </c>
      <c r="V37" s="9">
        <v>10.67</v>
      </c>
      <c r="W37" s="9">
        <v>3.1309999999999998</v>
      </c>
      <c r="Y37" s="21">
        <v>45046.958333333336</v>
      </c>
      <c r="Z37" s="9">
        <v>17.41935484</v>
      </c>
      <c r="AA37" s="7">
        <v>3.4470000000000001</v>
      </c>
      <c r="AC37" s="21">
        <v>45049.291666666664</v>
      </c>
      <c r="AD37" s="9">
        <v>5.7142857139999998</v>
      </c>
      <c r="AE37" s="7">
        <v>2.823</v>
      </c>
      <c r="AG37" s="21">
        <v>45049.958333333336</v>
      </c>
      <c r="AH37" s="14"/>
      <c r="AI37" s="7"/>
      <c r="AK37" s="21">
        <v>45050.708333333336</v>
      </c>
      <c r="AL37" s="14">
        <v>9.3333333330000006</v>
      </c>
      <c r="AM37" s="7">
        <v>3.2719999999999998</v>
      </c>
    </row>
    <row r="38" spans="1:39" x14ac:dyDescent="0.25">
      <c r="A38" s="22">
        <v>45034.020833333336</v>
      </c>
      <c r="B38" s="14">
        <v>8.9473684210000002</v>
      </c>
      <c r="C38">
        <v>3.806</v>
      </c>
      <c r="E38" s="22">
        <v>45035.104166666664</v>
      </c>
      <c r="F38" s="16">
        <v>9.0909090910000003</v>
      </c>
      <c r="G38" s="7">
        <v>3.5760000000000001</v>
      </c>
      <c r="I38" s="21">
        <v>45040.291666666664</v>
      </c>
      <c r="J38" s="15">
        <v>6.4285714289999998</v>
      </c>
      <c r="K38" s="7">
        <v>3.056</v>
      </c>
      <c r="M38" s="21">
        <v>45041.125</v>
      </c>
      <c r="N38" s="9">
        <v>26.086956520000001</v>
      </c>
      <c r="O38" s="7">
        <v>3.246</v>
      </c>
      <c r="Q38" s="21">
        <v>45044.041666666664</v>
      </c>
      <c r="R38">
        <v>4.8275862070000004</v>
      </c>
      <c r="S38">
        <v>3.2989999999999999</v>
      </c>
      <c r="U38" s="21">
        <v>45046.125</v>
      </c>
      <c r="V38" s="9">
        <v>7.86</v>
      </c>
      <c r="W38" s="9">
        <v>2.8330000000000002</v>
      </c>
      <c r="Y38" s="21">
        <v>45047.166666666664</v>
      </c>
      <c r="Z38" s="9">
        <v>6.6666666670000003</v>
      </c>
      <c r="AA38" s="7">
        <v>3.1629999999999998</v>
      </c>
      <c r="AG38" s="21">
        <v>45050.083333333336</v>
      </c>
      <c r="AH38" s="14">
        <v>11.875</v>
      </c>
      <c r="AI38" s="7">
        <v>3.1459999999999999</v>
      </c>
      <c r="AK38" s="21">
        <v>45050.958333333336</v>
      </c>
      <c r="AL38" s="14">
        <v>7.1428571429999996</v>
      </c>
      <c r="AM38" s="7">
        <v>3.0419999999999998</v>
      </c>
    </row>
    <row r="39" spans="1:39" x14ac:dyDescent="0.25">
      <c r="A39" s="22">
        <v>45034.1875</v>
      </c>
      <c r="B39" s="14">
        <v>9.5</v>
      </c>
      <c r="C39">
        <v>3.391</v>
      </c>
      <c r="E39" s="22">
        <v>45035.3125</v>
      </c>
      <c r="F39" s="7">
        <v>7.5</v>
      </c>
      <c r="G39" s="7">
        <v>3.3889999999999998</v>
      </c>
      <c r="M39" s="21">
        <v>45041.333333333336</v>
      </c>
      <c r="N39" s="9">
        <v>7.2727272730000001</v>
      </c>
      <c r="O39" s="7">
        <v>2.9489999999999998</v>
      </c>
      <c r="Q39" s="21">
        <v>45044.25</v>
      </c>
      <c r="R39">
        <v>2.3529411759999999</v>
      </c>
      <c r="S39">
        <v>2.8559999999999999</v>
      </c>
      <c r="U39" s="21">
        <v>45046.333333333336</v>
      </c>
      <c r="V39" s="9">
        <v>8.67</v>
      </c>
      <c r="W39" s="9">
        <v>2.7509999999999999</v>
      </c>
      <c r="Y39" s="21">
        <v>45047.375</v>
      </c>
      <c r="Z39" s="9">
        <v>2.5</v>
      </c>
      <c r="AA39" s="7">
        <v>2.9590000000000001</v>
      </c>
      <c r="AG39" s="21">
        <v>45050.208333333336</v>
      </c>
      <c r="AH39" s="14"/>
      <c r="AI39" s="7"/>
      <c r="AK39" s="21">
        <v>45051.083333333336</v>
      </c>
    </row>
    <row r="40" spans="1:39" x14ac:dyDescent="0.25">
      <c r="A40" s="22">
        <v>45034.354166666664</v>
      </c>
      <c r="B40" s="14">
        <v>4.2857142860000002</v>
      </c>
      <c r="C40">
        <v>3.3119999999999998</v>
      </c>
      <c r="Q40" s="21">
        <v>45044.458333333336</v>
      </c>
      <c r="R40">
        <v>5.3333333329999997</v>
      </c>
      <c r="S40">
        <v>2.7429999999999999</v>
      </c>
      <c r="U40" s="21">
        <v>45046.541666666664</v>
      </c>
      <c r="V40" s="9">
        <v>9.3800000000000008</v>
      </c>
      <c r="W40" s="9">
        <v>2.8889999999999998</v>
      </c>
      <c r="AG40" s="21">
        <v>45050.333333333336</v>
      </c>
      <c r="AH40" s="14">
        <v>2.8571428569999999</v>
      </c>
      <c r="AI40" s="7">
        <v>2.8879999999999999</v>
      </c>
      <c r="AL40" s="14"/>
      <c r="AM40" s="7"/>
    </row>
    <row r="41" spans="1:39" x14ac:dyDescent="0.25">
      <c r="Q41" s="21">
        <v>45044.666666666664</v>
      </c>
      <c r="R41">
        <v>5.2941176470000002</v>
      </c>
      <c r="S41">
        <v>2.7890000000000001</v>
      </c>
      <c r="AG41" s="21">
        <v>45050.458333333336</v>
      </c>
      <c r="AH41" s="14"/>
      <c r="AI4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D787-BEC8-4379-8C40-73E6824C21FF}">
  <dimension ref="A1:W56"/>
  <sheetViews>
    <sheetView workbookViewId="0">
      <selection activeCell="Q17" sqref="Q17:W17"/>
    </sheetView>
  </sheetViews>
  <sheetFormatPr defaultRowHeight="15" x14ac:dyDescent="0.25"/>
  <cols>
    <col min="7" max="7" width="13.5703125" customWidth="1"/>
    <col min="8" max="8" width="17.28515625" customWidth="1"/>
  </cols>
  <sheetData>
    <row r="1" spans="1:22" ht="15.75" thickBot="1" x14ac:dyDescent="0.3">
      <c r="A1" s="117"/>
      <c r="B1" s="115" t="s">
        <v>37</v>
      </c>
      <c r="C1" s="115" t="s">
        <v>36</v>
      </c>
      <c r="D1" s="115" t="s">
        <v>41</v>
      </c>
      <c r="E1" s="115" t="s">
        <v>38</v>
      </c>
      <c r="F1" s="115" t="s">
        <v>39</v>
      </c>
      <c r="G1" s="121" t="s">
        <v>131</v>
      </c>
      <c r="H1" s="121" t="s">
        <v>132</v>
      </c>
      <c r="K1" s="119" t="s">
        <v>137</v>
      </c>
      <c r="R1" s="119" t="s">
        <v>138</v>
      </c>
    </row>
    <row r="2" spans="1:22" ht="15.75" thickBot="1" x14ac:dyDescent="0.3">
      <c r="A2" s="116" t="s">
        <v>117</v>
      </c>
      <c r="B2" s="113">
        <v>69.484536808026789</v>
      </c>
      <c r="C2" s="113">
        <v>35.08352055592956</v>
      </c>
      <c r="D2" s="113">
        <v>1</v>
      </c>
      <c r="E2" s="113">
        <v>46.391649303823002</v>
      </c>
      <c r="F2" s="114">
        <v>1.0434782608695652</v>
      </c>
      <c r="G2" s="120" t="s">
        <v>133</v>
      </c>
      <c r="H2" s="120" t="s">
        <v>136</v>
      </c>
      <c r="K2" s="115" t="s">
        <v>37</v>
      </c>
      <c r="L2" s="115" t="s">
        <v>36</v>
      </c>
      <c r="M2" s="115" t="s">
        <v>41</v>
      </c>
      <c r="N2" s="115" t="s">
        <v>38</v>
      </c>
      <c r="O2" s="115" t="s">
        <v>39</v>
      </c>
      <c r="R2" s="115" t="s">
        <v>37</v>
      </c>
      <c r="S2" s="115" t="s">
        <v>36</v>
      </c>
      <c r="T2" s="115" t="s">
        <v>41</v>
      </c>
      <c r="U2" s="115" t="s">
        <v>38</v>
      </c>
      <c r="V2" s="115" t="s">
        <v>39</v>
      </c>
    </row>
    <row r="3" spans="1:22" x14ac:dyDescent="0.25">
      <c r="A3" s="112" t="s">
        <v>118</v>
      </c>
      <c r="B3" s="110">
        <v>1</v>
      </c>
      <c r="C3" s="110">
        <v>1.1235564142967069</v>
      </c>
      <c r="D3" s="110">
        <v>1</v>
      </c>
      <c r="E3" s="110">
        <v>2.2250842286109527</v>
      </c>
      <c r="F3" s="110">
        <v>1.2158964654172517</v>
      </c>
      <c r="G3" s="2" t="s">
        <v>134</v>
      </c>
      <c r="H3" s="2" t="s">
        <v>135</v>
      </c>
      <c r="J3" s="112" t="s">
        <v>119</v>
      </c>
      <c r="K3" s="110">
        <v>7.12281653871021</v>
      </c>
      <c r="L3" s="110">
        <v>3.6182721553469053</v>
      </c>
      <c r="M3" s="110">
        <v>1.1070640176600441</v>
      </c>
      <c r="N3" s="110"/>
      <c r="O3" s="110"/>
      <c r="Q3" s="112" t="s">
        <v>123</v>
      </c>
      <c r="R3" s="110">
        <v>4.9849004244182371</v>
      </c>
      <c r="S3" s="110">
        <v>2.0693920662172096</v>
      </c>
      <c r="T3" s="110">
        <v>1.2020468801584683</v>
      </c>
      <c r="U3" s="110"/>
      <c r="V3" s="110"/>
    </row>
    <row r="4" spans="1:22" x14ac:dyDescent="0.25">
      <c r="A4" s="112" t="s">
        <v>119</v>
      </c>
      <c r="B4" s="110">
        <v>7.12281653871021</v>
      </c>
      <c r="C4" s="110">
        <v>3.6182721553469053</v>
      </c>
      <c r="D4" s="110">
        <v>1.1070640176600441</v>
      </c>
      <c r="E4" s="110"/>
      <c r="F4" s="110"/>
      <c r="G4" s="2" t="s">
        <v>133</v>
      </c>
      <c r="H4" s="2" t="s">
        <v>135</v>
      </c>
      <c r="J4" s="112" t="s">
        <v>120</v>
      </c>
      <c r="K4" s="110">
        <v>3.348236588816389</v>
      </c>
      <c r="L4" s="110">
        <v>2.3785855865895376</v>
      </c>
      <c r="M4" s="110">
        <v>1</v>
      </c>
      <c r="N4" s="110"/>
      <c r="O4" s="110"/>
      <c r="Q4" s="62" t="s">
        <v>129</v>
      </c>
      <c r="R4" s="109">
        <v>5.7129667032142688</v>
      </c>
      <c r="S4" s="109">
        <v>5.1018819069872396</v>
      </c>
      <c r="T4" s="109">
        <v>1.2961460446247464</v>
      </c>
      <c r="U4" s="109"/>
      <c r="V4" s="109">
        <v>48.925954005559738</v>
      </c>
    </row>
    <row r="5" spans="1:22" x14ac:dyDescent="0.25">
      <c r="A5" s="112" t="s">
        <v>120</v>
      </c>
      <c r="B5" s="110">
        <v>3.348236588816389</v>
      </c>
      <c r="C5" s="110">
        <v>2.3785855865895376</v>
      </c>
      <c r="D5" s="110">
        <v>1</v>
      </c>
      <c r="E5" s="110"/>
      <c r="F5" s="110"/>
      <c r="G5" s="2" t="s">
        <v>133</v>
      </c>
      <c r="H5" s="2" t="s">
        <v>135</v>
      </c>
      <c r="J5" s="112" t="s">
        <v>121</v>
      </c>
      <c r="K5" s="110">
        <v>4.0795617822599626</v>
      </c>
      <c r="L5" s="110">
        <v>2.9507330689418581</v>
      </c>
      <c r="M5" s="110">
        <v>1.05497022446175</v>
      </c>
      <c r="N5" s="110"/>
      <c r="O5" s="110"/>
      <c r="Q5" s="62" t="s">
        <v>130</v>
      </c>
      <c r="R5" s="109">
        <v>5.8435661546965711</v>
      </c>
      <c r="S5" s="109">
        <v>8.3106833222568888</v>
      </c>
      <c r="T5" s="109">
        <v>3.8128342245989297</v>
      </c>
      <c r="U5" s="109"/>
      <c r="V5" s="109">
        <v>89.613343442001479</v>
      </c>
    </row>
    <row r="6" spans="1:22" x14ac:dyDescent="0.25">
      <c r="A6" s="112" t="s">
        <v>121</v>
      </c>
      <c r="B6" s="110">
        <v>4.0795617822599626</v>
      </c>
      <c r="C6" s="110">
        <v>2.9507330689418581</v>
      </c>
      <c r="D6" s="110">
        <v>1.05497022446175</v>
      </c>
      <c r="E6" s="110"/>
      <c r="F6" s="110"/>
      <c r="G6" s="2" t="s">
        <v>133</v>
      </c>
      <c r="H6" s="2" t="s">
        <v>135</v>
      </c>
      <c r="J6" s="112" t="s">
        <v>122</v>
      </c>
      <c r="K6" s="110">
        <v>3.916117305452925</v>
      </c>
      <c r="L6" s="110">
        <v>3.8987230845870018</v>
      </c>
      <c r="M6" s="110">
        <v>1.0957810718358039</v>
      </c>
      <c r="N6" s="110">
        <v>2.8884072330938819</v>
      </c>
      <c r="O6" s="110">
        <v>1.1551111695829495</v>
      </c>
      <c r="Q6" s="50" t="s">
        <v>101</v>
      </c>
      <c r="R6" s="111">
        <v>4.2105263163636364</v>
      </c>
      <c r="S6" s="118"/>
      <c r="T6" s="111">
        <v>1.2313167259786477</v>
      </c>
      <c r="U6" s="118"/>
      <c r="V6" s="118"/>
    </row>
    <row r="7" spans="1:22" x14ac:dyDescent="0.25">
      <c r="A7" s="112" t="s">
        <v>122</v>
      </c>
      <c r="B7" s="110">
        <v>3.916117305452925</v>
      </c>
      <c r="C7" s="110">
        <v>3.8987230845870018</v>
      </c>
      <c r="D7" s="110">
        <v>1.0957810718358039</v>
      </c>
      <c r="E7" s="110">
        <v>2.8884072330938819</v>
      </c>
      <c r="F7" s="110">
        <v>1.1551111695829495</v>
      </c>
      <c r="G7" s="2" t="s">
        <v>133</v>
      </c>
      <c r="H7" s="2" t="s">
        <v>135</v>
      </c>
      <c r="J7" s="62" t="s">
        <v>126</v>
      </c>
      <c r="K7" s="109">
        <v>19.721931625434987</v>
      </c>
      <c r="L7" s="109">
        <v>3.7276657582042434</v>
      </c>
      <c r="M7" s="109">
        <v>3.099500713266762</v>
      </c>
      <c r="N7" s="109">
        <v>1</v>
      </c>
      <c r="O7" s="109">
        <v>35.765299999999996</v>
      </c>
      <c r="P7" s="7"/>
      <c r="Q7" s="50" t="s">
        <v>102</v>
      </c>
      <c r="R7" s="111">
        <v>3.0666666666666669</v>
      </c>
      <c r="S7" s="118"/>
      <c r="T7" s="111">
        <v>1.0897703549060542</v>
      </c>
      <c r="U7" s="118"/>
      <c r="V7" s="118"/>
    </row>
    <row r="8" spans="1:22" x14ac:dyDescent="0.25">
      <c r="A8" s="112" t="s">
        <v>123</v>
      </c>
      <c r="B8" s="110">
        <v>4.9849004244182371</v>
      </c>
      <c r="C8" s="110">
        <v>2.0693920662172096</v>
      </c>
      <c r="D8" s="110">
        <v>1.2020468801584683</v>
      </c>
      <c r="E8" s="110"/>
      <c r="F8" s="110"/>
      <c r="G8" s="2" t="s">
        <v>133</v>
      </c>
      <c r="H8" s="2" t="s">
        <v>134</v>
      </c>
      <c r="I8" s="7"/>
      <c r="J8" s="62" t="s">
        <v>127</v>
      </c>
      <c r="K8" s="109">
        <v>16.772053867140858</v>
      </c>
      <c r="L8" s="109">
        <v>3.5296655674874811</v>
      </c>
      <c r="M8" s="109">
        <v>3.0032097004279601</v>
      </c>
      <c r="N8" s="109">
        <v>3.0528906504186062</v>
      </c>
      <c r="O8" s="109">
        <v>25.469899999999999</v>
      </c>
      <c r="Q8" s="50" t="s">
        <v>104</v>
      </c>
      <c r="R8" s="111">
        <v>1.8379446635331478</v>
      </c>
      <c r="S8" s="118"/>
      <c r="T8" s="111">
        <v>1.0902620511161436</v>
      </c>
      <c r="U8" s="118"/>
      <c r="V8" s="118"/>
    </row>
    <row r="9" spans="1:22" x14ac:dyDescent="0.25">
      <c r="A9" s="112" t="s">
        <v>124</v>
      </c>
      <c r="B9" s="110">
        <v>5.1667419110783266</v>
      </c>
      <c r="C9" s="110">
        <v>3.117863814783858</v>
      </c>
      <c r="D9" s="110">
        <v>1.0332893869479236</v>
      </c>
      <c r="E9" s="110"/>
      <c r="F9" s="110"/>
      <c r="G9" s="2" t="s">
        <v>133</v>
      </c>
      <c r="H9" s="2" t="s">
        <v>136</v>
      </c>
      <c r="J9" s="62" t="s">
        <v>128</v>
      </c>
      <c r="K9" s="109">
        <v>14.025000003506266</v>
      </c>
      <c r="L9" s="109">
        <v>19.641411481675881</v>
      </c>
      <c r="M9" s="109">
        <v>1.8366619115549219</v>
      </c>
      <c r="N9" s="109"/>
      <c r="O9" s="109">
        <v>38.261309072529677</v>
      </c>
    </row>
    <row r="10" spans="1:22" x14ac:dyDescent="0.25">
      <c r="A10" s="62" t="s">
        <v>125</v>
      </c>
      <c r="B10" s="109">
        <v>127.52410844439085</v>
      </c>
      <c r="C10" s="109">
        <v>18.033647569042632</v>
      </c>
      <c r="D10" s="109">
        <v>7.6328392246294188</v>
      </c>
      <c r="E10" s="109">
        <v>1.3691924906768826</v>
      </c>
      <c r="F10" s="109">
        <v>3.3523809523809525</v>
      </c>
      <c r="G10" s="2" t="s">
        <v>133</v>
      </c>
      <c r="H10" s="2" t="s">
        <v>136</v>
      </c>
      <c r="J10" s="50" t="s">
        <v>105</v>
      </c>
      <c r="K10" s="111">
        <v>1.9732142856297192</v>
      </c>
      <c r="L10" s="118"/>
      <c r="M10" s="111">
        <v>1.1892573900504686</v>
      </c>
      <c r="N10" s="118"/>
      <c r="O10" s="118"/>
    </row>
    <row r="11" spans="1:22" x14ac:dyDescent="0.25">
      <c r="A11" s="62" t="s">
        <v>126</v>
      </c>
      <c r="B11" s="109">
        <v>19.721931625434987</v>
      </c>
      <c r="C11" s="109">
        <v>3.7276657582042434</v>
      </c>
      <c r="D11" s="109">
        <v>3.099500713266762</v>
      </c>
      <c r="E11" s="109">
        <v>1</v>
      </c>
      <c r="F11" s="109">
        <v>35.765299999999996</v>
      </c>
      <c r="G11" s="2" t="s">
        <v>133</v>
      </c>
      <c r="H11" s="2" t="s">
        <v>135</v>
      </c>
      <c r="J11" s="50" t="s">
        <v>106</v>
      </c>
      <c r="K11" s="111">
        <v>2.3771106941838647</v>
      </c>
      <c r="L11" s="118"/>
      <c r="M11" s="111">
        <v>1.1846386681800984</v>
      </c>
      <c r="N11" s="118"/>
      <c r="O11" s="118"/>
    </row>
    <row r="12" spans="1:22" x14ac:dyDescent="0.25">
      <c r="A12" s="62" t="s">
        <v>127</v>
      </c>
      <c r="B12" s="109">
        <v>16.772053867140858</v>
      </c>
      <c r="C12" s="109">
        <v>3.5296655674874811</v>
      </c>
      <c r="D12" s="109">
        <v>3.0032097004279601</v>
      </c>
      <c r="E12" s="109">
        <v>3.0528906504186062</v>
      </c>
      <c r="F12" s="109">
        <v>25.469899999999999</v>
      </c>
      <c r="G12" s="2" t="s">
        <v>133</v>
      </c>
      <c r="H12" s="2" t="s">
        <v>135</v>
      </c>
      <c r="J12" s="50" t="s">
        <v>107</v>
      </c>
      <c r="K12" s="111">
        <v>4.4800000000000004</v>
      </c>
      <c r="L12" s="118"/>
      <c r="M12" s="111">
        <v>1.3070266528210455</v>
      </c>
      <c r="N12" s="118"/>
      <c r="O12" s="118"/>
    </row>
    <row r="13" spans="1:22" x14ac:dyDescent="0.25">
      <c r="A13" s="62" t="s">
        <v>128</v>
      </c>
      <c r="B13" s="109">
        <v>14.025000003506266</v>
      </c>
      <c r="C13" s="109">
        <v>19.641411481675881</v>
      </c>
      <c r="D13" s="109">
        <v>1.8366619115549219</v>
      </c>
      <c r="E13" s="109"/>
      <c r="F13" s="109">
        <v>38.261309072529677</v>
      </c>
      <c r="G13" s="2" t="s">
        <v>133</v>
      </c>
      <c r="H13" s="2" t="s">
        <v>135</v>
      </c>
      <c r="J13" s="50" t="s">
        <v>108</v>
      </c>
      <c r="K13" s="111">
        <v>1</v>
      </c>
      <c r="L13" s="118"/>
      <c r="M13" s="111">
        <v>1.047928791509757</v>
      </c>
      <c r="N13" s="118"/>
      <c r="O13" s="118"/>
      <c r="P13" s="20"/>
      <c r="Q13" s="20"/>
    </row>
    <row r="14" spans="1:22" x14ac:dyDescent="0.25">
      <c r="A14" s="62" t="s">
        <v>129</v>
      </c>
      <c r="B14" s="109">
        <v>5.7129667032142688</v>
      </c>
      <c r="C14" s="109">
        <v>5.1018819069872396</v>
      </c>
      <c r="D14" s="109">
        <v>1.2961460446247464</v>
      </c>
      <c r="E14" s="109"/>
      <c r="F14" s="109">
        <v>48.925954005559738</v>
      </c>
      <c r="G14" s="2" t="s">
        <v>133</v>
      </c>
      <c r="H14" s="2" t="s">
        <v>134</v>
      </c>
      <c r="J14" s="50" t="s">
        <v>109</v>
      </c>
      <c r="K14" s="111">
        <v>7.2333333348616673</v>
      </c>
      <c r="L14" s="118"/>
      <c r="M14" s="111">
        <v>1.2011631885049607</v>
      </c>
      <c r="N14" s="118"/>
      <c r="O14" s="118"/>
      <c r="R14" s="20"/>
      <c r="S14" s="20"/>
    </row>
    <row r="15" spans="1:22" x14ac:dyDescent="0.25">
      <c r="A15" s="62" t="s">
        <v>130</v>
      </c>
      <c r="B15" s="109">
        <v>5.8435661546965711</v>
      </c>
      <c r="C15" s="109">
        <v>8.3106833222568888</v>
      </c>
      <c r="D15" s="109">
        <v>3.8128342245989297</v>
      </c>
      <c r="E15" s="109"/>
      <c r="F15" s="109">
        <v>89.613343442001479</v>
      </c>
      <c r="G15" s="2" t="s">
        <v>133</v>
      </c>
      <c r="H15" s="2" t="s">
        <v>134</v>
      </c>
      <c r="J15" s="50" t="s">
        <v>116</v>
      </c>
      <c r="K15" s="111">
        <v>1.9999999997857143</v>
      </c>
      <c r="L15" s="118"/>
      <c r="M15" s="111">
        <v>1.115581316058643</v>
      </c>
      <c r="N15" s="118"/>
      <c r="O15" s="118"/>
    </row>
    <row r="16" spans="1:22" x14ac:dyDescent="0.25">
      <c r="A16" s="50" t="s">
        <v>101</v>
      </c>
      <c r="B16" s="111">
        <v>4.2105263163636364</v>
      </c>
      <c r="C16" s="118"/>
      <c r="D16" s="111">
        <v>1.2313167259786477</v>
      </c>
      <c r="E16" s="118"/>
      <c r="F16" s="118"/>
      <c r="G16" s="2" t="s">
        <v>133</v>
      </c>
      <c r="H16" s="2" t="s">
        <v>134</v>
      </c>
    </row>
    <row r="17" spans="1:23" x14ac:dyDescent="0.25">
      <c r="A17" s="50" t="s">
        <v>102</v>
      </c>
      <c r="B17" s="111">
        <v>3.0666666666666669</v>
      </c>
      <c r="C17" s="118"/>
      <c r="D17" s="111">
        <v>1.0897703549060542</v>
      </c>
      <c r="E17" s="118"/>
      <c r="F17" s="118"/>
      <c r="G17" s="2" t="s">
        <v>133</v>
      </c>
      <c r="H17" s="2" t="s">
        <v>134</v>
      </c>
      <c r="J17" s="122" t="s">
        <v>139</v>
      </c>
      <c r="K17" s="9">
        <f>AVERAGE(K3:K15)</f>
        <v>6.7730289250601983</v>
      </c>
      <c r="L17" s="9">
        <f t="shared" ref="L17:O17" si="0">AVERAGE(L3:L15)</f>
        <v>5.6778652432618442</v>
      </c>
      <c r="M17" s="9">
        <f t="shared" si="0"/>
        <v>1.4802141266409394</v>
      </c>
      <c r="N17" s="9">
        <f t="shared" si="0"/>
        <v>2.3137659611708297</v>
      </c>
      <c r="O17" s="9">
        <f t="shared" si="0"/>
        <v>25.162905060528153</v>
      </c>
      <c r="Q17" s="122" t="s">
        <v>139</v>
      </c>
      <c r="R17" s="9">
        <f>AVERAGE(R3:R8)</f>
        <v>4.2760951548154216</v>
      </c>
      <c r="S17" s="9">
        <f t="shared" ref="S17:V17" si="1">AVERAGE(S3:S8)</f>
        <v>5.1606524318204459</v>
      </c>
      <c r="T17" s="9">
        <f t="shared" si="1"/>
        <v>1.620396046897165</v>
      </c>
      <c r="U17" s="9"/>
      <c r="V17" s="9">
        <f t="shared" si="1"/>
        <v>69.269648723780605</v>
      </c>
      <c r="W17" s="7"/>
    </row>
    <row r="18" spans="1:23" x14ac:dyDescent="0.25">
      <c r="A18" s="50" t="s">
        <v>103</v>
      </c>
      <c r="B18" s="111">
        <v>1</v>
      </c>
      <c r="C18" s="118"/>
      <c r="D18" s="111">
        <v>1.028976572133169</v>
      </c>
      <c r="E18" s="118"/>
      <c r="F18" s="118"/>
      <c r="G18" s="2" t="s">
        <v>134</v>
      </c>
      <c r="H18" s="2" t="s">
        <v>135</v>
      </c>
    </row>
    <row r="19" spans="1:23" x14ac:dyDescent="0.25">
      <c r="A19" s="50" t="s">
        <v>104</v>
      </c>
      <c r="B19" s="111">
        <v>1.8379446635331478</v>
      </c>
      <c r="C19" s="118"/>
      <c r="D19" s="111">
        <v>1.0902620511161436</v>
      </c>
      <c r="E19" s="118"/>
      <c r="F19" s="118"/>
      <c r="G19" s="2" t="s">
        <v>133</v>
      </c>
      <c r="H19" s="2" t="s">
        <v>134</v>
      </c>
    </row>
    <row r="20" spans="1:23" x14ac:dyDescent="0.25">
      <c r="A20" s="50" t="s">
        <v>105</v>
      </c>
      <c r="B20" s="111">
        <v>1.9732142856297192</v>
      </c>
      <c r="C20" s="118"/>
      <c r="D20" s="111">
        <v>1.1892573900504686</v>
      </c>
      <c r="E20" s="118"/>
      <c r="F20" s="118"/>
      <c r="G20" s="2" t="s">
        <v>133</v>
      </c>
      <c r="H20" s="2" t="s">
        <v>135</v>
      </c>
    </row>
    <row r="21" spans="1:23" x14ac:dyDescent="0.25">
      <c r="A21" s="50" t="s">
        <v>106</v>
      </c>
      <c r="B21" s="111">
        <v>2.3771106941838647</v>
      </c>
      <c r="C21" s="118"/>
      <c r="D21" s="111">
        <v>1.1846386681800984</v>
      </c>
      <c r="E21" s="118"/>
      <c r="F21" s="118"/>
      <c r="G21" s="2" t="s">
        <v>133</v>
      </c>
      <c r="H21" s="2" t="s">
        <v>135</v>
      </c>
    </row>
    <row r="22" spans="1:23" x14ac:dyDescent="0.25">
      <c r="A22" s="50" t="s">
        <v>107</v>
      </c>
      <c r="B22" s="111">
        <v>4.4800000000000004</v>
      </c>
      <c r="C22" s="118"/>
      <c r="D22" s="111">
        <v>1.3070266528210455</v>
      </c>
      <c r="E22" s="118"/>
      <c r="F22" s="118"/>
      <c r="G22" s="2" t="s">
        <v>133</v>
      </c>
      <c r="H22" s="2" t="s">
        <v>135</v>
      </c>
    </row>
    <row r="23" spans="1:23" x14ac:dyDescent="0.25">
      <c r="A23" s="50" t="s">
        <v>108</v>
      </c>
      <c r="B23" s="111">
        <v>1</v>
      </c>
      <c r="C23" s="118"/>
      <c r="D23" s="111">
        <v>1.047928791509757</v>
      </c>
      <c r="E23" s="118"/>
      <c r="F23" s="118"/>
      <c r="G23" s="2" t="s">
        <v>134</v>
      </c>
      <c r="H23" s="2" t="s">
        <v>135</v>
      </c>
    </row>
    <row r="24" spans="1:23" x14ac:dyDescent="0.25">
      <c r="A24" s="50" t="s">
        <v>109</v>
      </c>
      <c r="B24" s="111">
        <v>7.2333333348616673</v>
      </c>
      <c r="C24" s="118"/>
      <c r="D24" s="111">
        <v>1.2011631885049607</v>
      </c>
      <c r="E24" s="118"/>
      <c r="F24" s="118"/>
      <c r="G24" s="2" t="s">
        <v>133</v>
      </c>
      <c r="H24" s="2" t="s">
        <v>135</v>
      </c>
    </row>
    <row r="25" spans="1:23" x14ac:dyDescent="0.25">
      <c r="A25" s="50" t="s">
        <v>116</v>
      </c>
      <c r="B25" s="111">
        <v>1.9999999997857143</v>
      </c>
      <c r="C25" s="118"/>
      <c r="D25" s="111">
        <v>1.115581316058643</v>
      </c>
      <c r="E25" s="118"/>
      <c r="F25" s="118"/>
      <c r="G25" s="2" t="s">
        <v>133</v>
      </c>
      <c r="H25" s="2" t="s">
        <v>135</v>
      </c>
    </row>
    <row r="31" spans="1:23" x14ac:dyDescent="0.25">
      <c r="A31" t="s">
        <v>142</v>
      </c>
    </row>
    <row r="32" spans="1:23" ht="15.75" thickBot="1" x14ac:dyDescent="0.3">
      <c r="A32" s="117"/>
      <c r="B32" s="127" t="s">
        <v>37</v>
      </c>
      <c r="C32" s="128" t="s">
        <v>36</v>
      </c>
      <c r="D32" s="128" t="s">
        <v>41</v>
      </c>
      <c r="E32" s="128" t="s">
        <v>38</v>
      </c>
      <c r="F32" s="128" t="s">
        <v>39</v>
      </c>
      <c r="G32" s="121" t="s">
        <v>141</v>
      </c>
      <c r="H32" s="126" t="s">
        <v>132</v>
      </c>
      <c r="K32" s="7"/>
      <c r="L32" s="20"/>
      <c r="M32" s="20"/>
      <c r="N32" s="20"/>
      <c r="O32" s="20"/>
      <c r="P32" s="20"/>
      <c r="Q32" s="20"/>
    </row>
    <row r="33" spans="1:17" x14ac:dyDescent="0.25">
      <c r="A33" s="116" t="s">
        <v>117</v>
      </c>
      <c r="B33" s="129">
        <v>48.941462452511701</v>
      </c>
      <c r="C33" s="129">
        <v>17.738164848450712</v>
      </c>
      <c r="D33" s="129">
        <v>0.78971550563883608</v>
      </c>
      <c r="E33" s="110"/>
      <c r="F33" s="129">
        <v>1.4172363497503107</v>
      </c>
      <c r="G33" s="120" t="s">
        <v>133</v>
      </c>
      <c r="H33" s="120" t="s">
        <v>136</v>
      </c>
      <c r="K33" s="20"/>
      <c r="L33" s="20"/>
      <c r="M33" s="20"/>
      <c r="N33" s="20"/>
      <c r="O33" s="20"/>
      <c r="P33" s="20"/>
      <c r="Q33" s="20"/>
    </row>
    <row r="34" spans="1:17" x14ac:dyDescent="0.25">
      <c r="A34" s="112" t="s">
        <v>118</v>
      </c>
      <c r="B34" s="129">
        <v>34.051098327464274</v>
      </c>
      <c r="C34" s="129">
        <v>5.6577204597904425</v>
      </c>
      <c r="D34" s="129">
        <v>0.98018285608205336</v>
      </c>
      <c r="E34" s="110"/>
      <c r="F34" s="129">
        <v>1.7642466699866741</v>
      </c>
      <c r="G34" s="2" t="s">
        <v>133</v>
      </c>
      <c r="H34" s="2" t="s">
        <v>135</v>
      </c>
      <c r="M34" s="20"/>
      <c r="N34" s="20"/>
      <c r="O34" s="20"/>
      <c r="P34" s="20"/>
      <c r="Q34" s="20"/>
    </row>
    <row r="35" spans="1:17" x14ac:dyDescent="0.25">
      <c r="A35" s="112" t="s">
        <v>119</v>
      </c>
      <c r="B35" s="129">
        <v>33.133326116946698</v>
      </c>
      <c r="C35" s="129">
        <v>5.5249844973546773</v>
      </c>
      <c r="D35" s="129">
        <v>1.1171856871026129</v>
      </c>
      <c r="E35" s="110"/>
      <c r="F35" s="110"/>
      <c r="G35" s="2" t="s">
        <v>133</v>
      </c>
      <c r="H35" s="2" t="s">
        <v>135</v>
      </c>
      <c r="O35" s="20"/>
      <c r="P35" s="20"/>
      <c r="Q35" s="20"/>
    </row>
    <row r="36" spans="1:17" x14ac:dyDescent="0.25">
      <c r="A36" s="112" t="s">
        <v>120</v>
      </c>
      <c r="B36" s="129">
        <v>35.606836561802155</v>
      </c>
      <c r="C36" s="129">
        <v>5.0151831509032823</v>
      </c>
      <c r="D36" s="129">
        <v>1.0759734533809813</v>
      </c>
      <c r="E36" s="110"/>
      <c r="F36" s="110"/>
      <c r="G36" s="2" t="s">
        <v>133</v>
      </c>
      <c r="H36" s="2" t="s">
        <v>135</v>
      </c>
    </row>
    <row r="37" spans="1:17" x14ac:dyDescent="0.25">
      <c r="A37" s="112" t="s">
        <v>121</v>
      </c>
      <c r="B37" s="129">
        <v>58.672457292115254</v>
      </c>
      <c r="C37" s="129">
        <v>11.315054026022207</v>
      </c>
      <c r="D37" s="129">
        <v>0.85506102937763973</v>
      </c>
      <c r="E37" s="130"/>
      <c r="F37" s="110"/>
      <c r="G37" s="2" t="s">
        <v>133</v>
      </c>
      <c r="H37" s="2" t="s">
        <v>135</v>
      </c>
    </row>
    <row r="38" spans="1:17" x14ac:dyDescent="0.25">
      <c r="A38" s="112" t="s">
        <v>122</v>
      </c>
      <c r="B38" s="129">
        <v>49.604963918585945</v>
      </c>
      <c r="C38" s="129">
        <v>9.5099592815618372</v>
      </c>
      <c r="D38" s="129">
        <v>1.0704042326077878</v>
      </c>
      <c r="E38" s="110"/>
      <c r="F38" s="129">
        <v>1.5554168938509658</v>
      </c>
      <c r="G38" s="2" t="s">
        <v>133</v>
      </c>
      <c r="H38" s="2" t="s">
        <v>135</v>
      </c>
    </row>
    <row r="39" spans="1:17" x14ac:dyDescent="0.25">
      <c r="A39" s="112" t="s">
        <v>123</v>
      </c>
      <c r="B39" s="129">
        <v>9.1507251134754828</v>
      </c>
      <c r="C39" s="129">
        <v>2.2630995071600584</v>
      </c>
      <c r="D39" s="129">
        <v>1.3518355223464986</v>
      </c>
      <c r="E39" s="110"/>
      <c r="F39" s="110"/>
      <c r="G39" s="2" t="s">
        <v>133</v>
      </c>
      <c r="H39" s="2" t="s">
        <v>134</v>
      </c>
    </row>
    <row r="40" spans="1:17" x14ac:dyDescent="0.25">
      <c r="A40" s="112" t="s">
        <v>124</v>
      </c>
      <c r="B40" s="129">
        <v>48.92680643166171</v>
      </c>
      <c r="C40" s="129">
        <v>7.8904677790938118</v>
      </c>
      <c r="D40" s="129">
        <v>1.1639671415974382</v>
      </c>
      <c r="E40" s="110"/>
      <c r="F40" s="110"/>
      <c r="G40" s="2" t="s">
        <v>133</v>
      </c>
      <c r="H40" s="2" t="s">
        <v>136</v>
      </c>
      <c r="O40" s="20"/>
      <c r="P40" s="20"/>
      <c r="Q40" s="20"/>
    </row>
    <row r="41" spans="1:17" x14ac:dyDescent="0.25">
      <c r="A41" s="62" t="s">
        <v>125</v>
      </c>
      <c r="B41" s="129">
        <v>114.62724202029442</v>
      </c>
      <c r="C41" s="129">
        <v>23.703618328402975</v>
      </c>
      <c r="D41" s="129">
        <v>4.9707151807676251</v>
      </c>
      <c r="E41" s="129"/>
      <c r="F41" s="129">
        <v>5.1965332824178052</v>
      </c>
      <c r="G41" s="2" t="s">
        <v>133</v>
      </c>
      <c r="H41" s="2" t="s">
        <v>136</v>
      </c>
    </row>
    <row r="42" spans="1:17" x14ac:dyDescent="0.25">
      <c r="A42" s="62" t="s">
        <v>126</v>
      </c>
      <c r="B42" s="129">
        <v>11.767168687113871</v>
      </c>
      <c r="C42" s="129">
        <v>3.112929275118296</v>
      </c>
      <c r="D42" s="129">
        <v>3.2268065159883053</v>
      </c>
      <c r="E42" s="129"/>
      <c r="F42" s="129">
        <v>4.2239902683103985</v>
      </c>
      <c r="G42" s="2" t="s">
        <v>133</v>
      </c>
      <c r="H42" s="2" t="s">
        <v>135</v>
      </c>
    </row>
    <row r="43" spans="1:17" x14ac:dyDescent="0.25">
      <c r="A43" s="62" t="s">
        <v>127</v>
      </c>
      <c r="B43" s="129">
        <v>10.007112428555237</v>
      </c>
      <c r="C43" s="129">
        <v>2.4617165630643534</v>
      </c>
      <c r="D43" s="129">
        <v>3.126560542070822</v>
      </c>
      <c r="E43" s="129"/>
      <c r="F43" s="129">
        <v>3.0080723420421198</v>
      </c>
      <c r="G43" s="2" t="s">
        <v>133</v>
      </c>
      <c r="H43" s="2" t="s">
        <v>135</v>
      </c>
    </row>
    <row r="44" spans="1:17" x14ac:dyDescent="0.25">
      <c r="A44" s="62" t="s">
        <v>128</v>
      </c>
      <c r="B44" s="129">
        <v>38.118992591728336</v>
      </c>
      <c r="C44" s="129">
        <v>13.73910903904674</v>
      </c>
      <c r="D44" s="129">
        <v>1.9120991321297633</v>
      </c>
      <c r="E44" s="129"/>
      <c r="F44" s="129">
        <v>4.4701996531707717</v>
      </c>
      <c r="G44" s="2" t="s">
        <v>133</v>
      </c>
      <c r="H44" s="2" t="s">
        <v>135</v>
      </c>
    </row>
    <row r="45" spans="1:17" x14ac:dyDescent="0.25">
      <c r="A45" s="62" t="s">
        <v>129</v>
      </c>
      <c r="B45" s="129">
        <v>15.523571643690264</v>
      </c>
      <c r="C45" s="129">
        <v>3.5687512524154195</v>
      </c>
      <c r="D45" s="129">
        <v>1.6607416345662971</v>
      </c>
      <c r="E45" s="129"/>
      <c r="F45" s="129">
        <v>5.7161866106595856</v>
      </c>
      <c r="G45" s="2" t="s">
        <v>133</v>
      </c>
      <c r="H45" s="2" t="s">
        <v>134</v>
      </c>
    </row>
    <row r="46" spans="1:17" x14ac:dyDescent="0.25">
      <c r="A46" s="62" t="s">
        <v>130</v>
      </c>
      <c r="B46" s="129">
        <v>15.878443297426932</v>
      </c>
      <c r="C46" s="129">
        <v>5.8132983192169343</v>
      </c>
      <c r="D46" s="129">
        <v>1.5883417645147817</v>
      </c>
      <c r="E46" s="129"/>
      <c r="F46" s="129">
        <v>10.46983353378042</v>
      </c>
      <c r="G46" s="2" t="s">
        <v>133</v>
      </c>
      <c r="H46" s="2" t="s">
        <v>134</v>
      </c>
    </row>
    <row r="47" spans="1:17" x14ac:dyDescent="0.25">
      <c r="A47" s="50" t="s">
        <v>101</v>
      </c>
      <c r="B47" s="111">
        <v>4.2105263163636364</v>
      </c>
      <c r="C47" s="118"/>
      <c r="D47" s="111">
        <v>1.2313167259786477</v>
      </c>
      <c r="E47" s="118"/>
      <c r="F47" s="118"/>
      <c r="G47" s="2" t="s">
        <v>133</v>
      </c>
      <c r="H47" s="2" t="s">
        <v>134</v>
      </c>
    </row>
    <row r="48" spans="1:17" x14ac:dyDescent="0.25">
      <c r="A48" s="50" t="s">
        <v>102</v>
      </c>
      <c r="B48" s="111">
        <v>3.0666666666666669</v>
      </c>
      <c r="C48" s="118"/>
      <c r="D48" s="111">
        <v>1.0897703549060542</v>
      </c>
      <c r="E48" s="118"/>
      <c r="F48" s="118"/>
      <c r="G48" s="2" t="s">
        <v>133</v>
      </c>
      <c r="H48" s="2" t="s">
        <v>134</v>
      </c>
    </row>
    <row r="49" spans="1:8" x14ac:dyDescent="0.25">
      <c r="A49" s="50" t="s">
        <v>103</v>
      </c>
      <c r="B49" s="111">
        <v>1</v>
      </c>
      <c r="C49" s="118"/>
      <c r="D49" s="111">
        <v>1.028976572133169</v>
      </c>
      <c r="E49" s="118"/>
      <c r="F49" s="118"/>
      <c r="G49" s="2" t="s">
        <v>134</v>
      </c>
      <c r="H49" s="2" t="s">
        <v>135</v>
      </c>
    </row>
    <row r="50" spans="1:8" x14ac:dyDescent="0.25">
      <c r="A50" s="50" t="s">
        <v>104</v>
      </c>
      <c r="B50" s="111">
        <v>1.8379446635331478</v>
      </c>
      <c r="C50" s="118"/>
      <c r="D50" s="111">
        <v>1.0902620511161436</v>
      </c>
      <c r="E50" s="118"/>
      <c r="F50" s="118"/>
      <c r="G50" s="2" t="s">
        <v>133</v>
      </c>
      <c r="H50" s="2" t="s">
        <v>134</v>
      </c>
    </row>
    <row r="51" spans="1:8" x14ac:dyDescent="0.25">
      <c r="A51" s="50" t="s">
        <v>105</v>
      </c>
      <c r="B51" s="111">
        <v>1.9732142856297192</v>
      </c>
      <c r="C51" s="118"/>
      <c r="D51" s="111">
        <v>1.1892573900504686</v>
      </c>
      <c r="E51" s="118"/>
      <c r="F51" s="118"/>
      <c r="G51" s="2" t="s">
        <v>133</v>
      </c>
      <c r="H51" s="2" t="s">
        <v>135</v>
      </c>
    </row>
    <row r="52" spans="1:8" x14ac:dyDescent="0.25">
      <c r="A52" s="50" t="s">
        <v>106</v>
      </c>
      <c r="B52" s="111">
        <v>2.3771106941838647</v>
      </c>
      <c r="C52" s="118"/>
      <c r="D52" s="111">
        <v>1.1846386681800984</v>
      </c>
      <c r="E52" s="118"/>
      <c r="F52" s="118"/>
      <c r="G52" s="2" t="s">
        <v>133</v>
      </c>
      <c r="H52" s="2" t="s">
        <v>135</v>
      </c>
    </row>
    <row r="53" spans="1:8" x14ac:dyDescent="0.25">
      <c r="A53" s="50" t="s">
        <v>107</v>
      </c>
      <c r="B53" s="111">
        <v>4.4800000000000004</v>
      </c>
      <c r="C53" s="118"/>
      <c r="D53" s="111">
        <v>1.3070266528210455</v>
      </c>
      <c r="E53" s="118"/>
      <c r="F53" s="118"/>
      <c r="G53" s="2" t="s">
        <v>133</v>
      </c>
      <c r="H53" s="2" t="s">
        <v>135</v>
      </c>
    </row>
    <row r="54" spans="1:8" x14ac:dyDescent="0.25">
      <c r="A54" s="50" t="s">
        <v>108</v>
      </c>
      <c r="B54" s="111">
        <v>1</v>
      </c>
      <c r="C54" s="118"/>
      <c r="D54" s="111">
        <v>1.047928791509757</v>
      </c>
      <c r="E54" s="118"/>
      <c r="F54" s="118"/>
      <c r="G54" s="2" t="s">
        <v>134</v>
      </c>
      <c r="H54" s="2" t="s">
        <v>135</v>
      </c>
    </row>
    <row r="55" spans="1:8" x14ac:dyDescent="0.25">
      <c r="A55" s="50" t="s">
        <v>109</v>
      </c>
      <c r="B55" s="111">
        <v>7.2333333348616673</v>
      </c>
      <c r="C55" s="118"/>
      <c r="D55" s="111">
        <v>1.2011631885049607</v>
      </c>
      <c r="E55" s="118"/>
      <c r="F55" s="118"/>
      <c r="G55" s="2" t="s">
        <v>133</v>
      </c>
      <c r="H55" s="2" t="s">
        <v>135</v>
      </c>
    </row>
    <row r="56" spans="1:8" x14ac:dyDescent="0.25">
      <c r="A56" s="50" t="s">
        <v>116</v>
      </c>
      <c r="B56" s="111">
        <v>1.9999999997857143</v>
      </c>
      <c r="C56" s="118"/>
      <c r="D56" s="111">
        <v>1.115581316058643</v>
      </c>
      <c r="E56" s="118"/>
      <c r="F56" s="118"/>
      <c r="G56" s="2" t="s">
        <v>133</v>
      </c>
      <c r="H56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Experiments</vt:lpstr>
      <vt:lpstr>Natural Events 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2015-06-05T18:17:20Z</dcterms:created>
  <dcterms:modified xsi:type="dcterms:W3CDTF">2026-07-23T02:08:03Z</dcterms:modified>
</cp:coreProperties>
</file>