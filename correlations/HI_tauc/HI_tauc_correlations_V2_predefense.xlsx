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hysteresis\correlations\HI_tauc\"/>
    </mc:Choice>
  </mc:AlternateContent>
  <xr:revisionPtr revIDLastSave="0" documentId="13_ncr:1_{FD21562E-84D3-4651-B1DE-FB64BEE5625F}" xr6:coauthVersionLast="47" xr6:coauthVersionMax="47" xr10:uidLastSave="{00000000-0000-0000-0000-000000000000}"/>
  <bookViews>
    <workbookView xWindow="-25320" yWindow="360" windowWidth="25440" windowHeight="15270" activeTab="1" xr2:uid="{867610DC-2157-4A8B-BAD4-C3624B9432BC}"/>
  </bookViews>
  <sheets>
    <sheet name="with st7" sheetId="1" r:id="rId1"/>
    <sheet name="no st7" sheetId="3" r:id="rId2"/>
    <sheet name="turb vs SS HI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7" i="3" l="1"/>
  <c r="I57" i="3"/>
  <c r="I38" i="3"/>
  <c r="I18" i="3"/>
  <c r="E18" i="3"/>
  <c r="E38" i="3"/>
  <c r="I79" i="3"/>
  <c r="I78" i="3"/>
  <c r="I76" i="3"/>
  <c r="I75" i="3"/>
  <c r="I74" i="3"/>
  <c r="I72" i="3"/>
  <c r="I67" i="3"/>
  <c r="I66" i="3"/>
  <c r="I65" i="3"/>
  <c r="I59" i="3"/>
  <c r="E59" i="3"/>
  <c r="I58" i="3"/>
  <c r="E58" i="3"/>
  <c r="E57" i="3"/>
  <c r="I56" i="3"/>
  <c r="E56" i="3"/>
  <c r="I55" i="3"/>
  <c r="E55" i="3"/>
  <c r="I54" i="3"/>
  <c r="E54" i="3"/>
  <c r="I52" i="3"/>
  <c r="E52" i="3"/>
  <c r="I47" i="3"/>
  <c r="E47" i="3"/>
  <c r="I46" i="3"/>
  <c r="I45" i="3"/>
  <c r="I40" i="3"/>
  <c r="E40" i="3"/>
  <c r="I39" i="3"/>
  <c r="E39" i="3"/>
  <c r="I37" i="3"/>
  <c r="E37" i="3"/>
  <c r="I36" i="3"/>
  <c r="E36" i="3"/>
  <c r="I35" i="3"/>
  <c r="E35" i="3"/>
  <c r="I33" i="3"/>
  <c r="E33" i="3"/>
  <c r="I28" i="3"/>
  <c r="I27" i="3"/>
  <c r="I26" i="3"/>
  <c r="I20" i="3"/>
  <c r="E20" i="3"/>
  <c r="I19" i="3"/>
  <c r="E19" i="3"/>
  <c r="I17" i="3"/>
  <c r="E17" i="3"/>
  <c r="I16" i="3"/>
  <c r="E16" i="3"/>
  <c r="I15" i="3"/>
  <c r="E15" i="3"/>
  <c r="I13" i="3"/>
  <c r="E13" i="3"/>
  <c r="I8" i="3"/>
  <c r="E8" i="3"/>
  <c r="I7" i="3"/>
  <c r="E7" i="3"/>
  <c r="I6" i="3"/>
  <c r="E6" i="3"/>
  <c r="I7" i="1"/>
  <c r="I26" i="1"/>
  <c r="I27" i="1"/>
  <c r="I28" i="1"/>
  <c r="I31" i="1"/>
  <c r="I70" i="1"/>
  <c r="E70" i="1"/>
  <c r="I45" i="1"/>
  <c r="I46" i="1"/>
  <c r="I47" i="1"/>
  <c r="I50" i="1"/>
  <c r="I65" i="1"/>
  <c r="I66" i="1"/>
  <c r="I67" i="1"/>
  <c r="E50" i="1"/>
  <c r="E31" i="1"/>
  <c r="I11" i="1"/>
  <c r="E11" i="1"/>
  <c r="I58" i="1"/>
  <c r="I39" i="1"/>
  <c r="I80" i="1"/>
  <c r="I79" i="1"/>
  <c r="I78" i="1"/>
  <c r="I77" i="1"/>
  <c r="I76" i="1"/>
  <c r="I75" i="1"/>
  <c r="I73" i="1"/>
  <c r="I60" i="1"/>
  <c r="I59" i="1"/>
  <c r="I57" i="1"/>
  <c r="I56" i="1"/>
  <c r="I55" i="1"/>
  <c r="I53" i="1"/>
  <c r="I41" i="1"/>
  <c r="I40" i="1"/>
  <c r="I38" i="1"/>
  <c r="I37" i="1"/>
  <c r="I36" i="1"/>
  <c r="I34" i="1"/>
  <c r="I21" i="1"/>
  <c r="I6" i="1"/>
  <c r="I8" i="1"/>
  <c r="I14" i="1"/>
  <c r="I16" i="1"/>
  <c r="I17" i="1"/>
  <c r="I18" i="1"/>
  <c r="I19" i="1"/>
  <c r="I20" i="1"/>
  <c r="E20" i="1"/>
  <c r="E56" i="1"/>
  <c r="E6" i="1"/>
  <c r="E60" i="1"/>
  <c r="E59" i="1"/>
  <c r="E58" i="1"/>
  <c r="E57" i="1"/>
  <c r="E55" i="1"/>
  <c r="E41" i="1"/>
  <c r="E40" i="1"/>
  <c r="E39" i="1"/>
  <c r="E38" i="1"/>
  <c r="E37" i="1"/>
  <c r="E36" i="1"/>
  <c r="E7" i="1"/>
  <c r="E8" i="1"/>
  <c r="E14" i="1"/>
  <c r="E16" i="1"/>
  <c r="E17" i="1"/>
  <c r="E18" i="1"/>
  <c r="E19" i="1"/>
  <c r="E21" i="1"/>
  <c r="E47" i="1"/>
  <c r="E53" i="1"/>
  <c r="E34" i="1" l="1"/>
</calcChain>
</file>

<file path=xl/sharedStrings.xml><?xml version="1.0" encoding="utf-8"?>
<sst xmlns="http://schemas.openxmlformats.org/spreadsheetml/2006/main" count="913" uniqueCount="87">
  <si>
    <t>Storm</t>
  </si>
  <si>
    <t xml:space="preserve">Aich (2014) </t>
  </si>
  <si>
    <t>SSC (mg/L)</t>
  </si>
  <si>
    <t>POC (mg/L)</t>
  </si>
  <si>
    <t>DOC (mg/L)</t>
  </si>
  <si>
    <t>fDOM RFU</t>
  </si>
  <si>
    <t>Turnidity FNU</t>
  </si>
  <si>
    <t>Clockwise</t>
  </si>
  <si>
    <t>Counter-Clockwise</t>
  </si>
  <si>
    <t>tau_c50</t>
  </si>
  <si>
    <t>Time between events τc exceedance (hrs)</t>
  </si>
  <si>
    <t xml:space="preserve">Peak Tau (Pa) </t>
  </si>
  <si>
    <t>τpeak / τc50</t>
  </si>
  <si>
    <t>st1</t>
  </si>
  <si>
    <t>st2</t>
  </si>
  <si>
    <t>st3</t>
  </si>
  <si>
    <t>st4</t>
  </si>
  <si>
    <t>st5</t>
  </si>
  <si>
    <t>st6</t>
  </si>
  <si>
    <t>event 1</t>
  </si>
  <si>
    <t>event2</t>
  </si>
  <si>
    <t>Event</t>
  </si>
  <si>
    <t>tau_c50 exceedance</t>
  </si>
  <si>
    <t>event3 (6)</t>
  </si>
  <si>
    <t>event4 (7)</t>
  </si>
  <si>
    <t>event5 (8)</t>
  </si>
  <si>
    <t>event6 (9)</t>
  </si>
  <si>
    <t>event7 (10)</t>
  </si>
  <si>
    <t>event8 (12)</t>
  </si>
  <si>
    <t>event9 (13)</t>
  </si>
  <si>
    <t>event10 (14)</t>
  </si>
  <si>
    <t>Time τ &gt; τc (hrs)</t>
  </si>
  <si>
    <t>∆time τ&gt;τc (hrs)</t>
  </si>
  <si>
    <t>SS</t>
  </si>
  <si>
    <t>DOC</t>
  </si>
  <si>
    <t>Turbidity</t>
  </si>
  <si>
    <t>fDOM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</si>
  <si>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</si>
  <si>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</si>
  <si>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</si>
  <si>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</si>
  <si>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</si>
  <si>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</si>
  <si>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</si>
  <si>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</si>
  <si>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</si>
  <si>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</si>
  <si>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</si>
  <si>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</si>
  <si>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</si>
  <si>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</si>
  <si>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</si>
  <si>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</si>
  <si>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</si>
  <si>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</si>
  <si>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</si>
  <si>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</si>
  <si>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</si>
  <si>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</si>
  <si>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SSC</t>
  </si>
  <si>
    <t xml:space="preserve">DOC </t>
  </si>
  <si>
    <t xml:space="preserve">Excess Balance </t>
  </si>
  <si>
    <t xml:space="preserve">τpeak / τc50 </t>
  </si>
  <si>
    <t xml:space="preserve">Rising limb transport </t>
  </si>
  <si>
    <t>Falling limb transport</t>
  </si>
  <si>
    <t>st7</t>
  </si>
  <si>
    <t>SUMMARY OUTPUT</t>
  </si>
  <si>
    <t>X Variable 1</t>
  </si>
  <si>
    <t xml:space="preserve">SS - ALL DATA </t>
  </si>
  <si>
    <t>SS - SUMMER</t>
  </si>
  <si>
    <t xml:space="preserve">SS - SPRING </t>
  </si>
  <si>
    <t>DOC ALL</t>
  </si>
  <si>
    <t>DOC SUMMER</t>
  </si>
  <si>
    <t xml:space="preserve">DOC SPRING </t>
  </si>
  <si>
    <t xml:space="preserve">Turbidity ALL </t>
  </si>
  <si>
    <t>Turbidity Summer</t>
  </si>
  <si>
    <t>Turbidity Spring</t>
  </si>
  <si>
    <t>fDOM ALL</t>
  </si>
  <si>
    <t xml:space="preserve">fDOM Spring </t>
  </si>
  <si>
    <t>TURBIDITY</t>
  </si>
  <si>
    <t>FDOM</t>
  </si>
  <si>
    <t>time between events</t>
  </si>
  <si>
    <t>tauc relative to peak (hrs)</t>
  </si>
  <si>
    <t>Clay</t>
  </si>
  <si>
    <t>Silt</t>
  </si>
  <si>
    <t xml:space="preserve">Fine Sand </t>
  </si>
  <si>
    <t>∆transport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</si>
</sst>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6" fontId="0" fillId="0" borderId="3" xfId="0" applyNumberFormat="1" applyBorder="1"/>
    <xf numFmtId="0" fontId="0" fillId="0" borderId="4" xfId="0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/>
    <xf numFmtId="0" fontId="3" fillId="4" borderId="6" xfId="0" applyFont="1" applyFill="1" applyBorder="1" applyAlignment="1">
      <alignment horizontal="centerContinuous"/>
    </xf>
    <xf numFmtId="0" fontId="3" fillId="4" borderId="6" xfId="0" applyFont="1" applyFill="1" applyBorder="1" applyAlignment="1">
      <alignment horizontal="center"/>
    </xf>
    <xf numFmtId="0" fontId="0" fillId="6" borderId="0" xfId="0" applyFill="1"/>
    <xf numFmtId="0" fontId="3" fillId="6" borderId="6" xfId="0" applyFont="1" applyFill="1" applyBorder="1" applyAlignment="1">
      <alignment horizontal="centerContinuous"/>
    </xf>
    <xf numFmtId="0" fontId="0" fillId="6" borderId="5" xfId="0" applyFill="1" applyBorder="1"/>
    <xf numFmtId="0" fontId="3" fillId="6" borderId="6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Continuous"/>
    </xf>
    <xf numFmtId="0" fontId="0" fillId="7" borderId="0" xfId="0" applyFill="1"/>
    <xf numFmtId="0" fontId="3" fillId="7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2" fontId="0" fillId="2" borderId="0" xfId="0" applyNumberFormat="1" applyFill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4" borderId="5" xfId="0" applyFill="1" applyBorder="1"/>
    <xf numFmtId="0" fontId="1" fillId="5" borderId="0" xfId="0" applyFont="1" applyFill="1"/>
    <xf numFmtId="0" fontId="1" fillId="5" borderId="5" xfId="0" applyFont="1" applyFill="1" applyBorder="1"/>
    <xf numFmtId="0" fontId="0" fillId="7" borderId="5" xfId="0" applyFill="1" applyBorder="1"/>
    <xf numFmtId="0" fontId="4" fillId="3" borderId="0" xfId="0" applyFont="1" applyFill="1"/>
    <xf numFmtId="0" fontId="5" fillId="3" borderId="6" xfId="0" applyFont="1" applyFill="1" applyBorder="1" applyAlignment="1">
      <alignment horizontal="centerContinuous"/>
    </xf>
    <xf numFmtId="0" fontId="4" fillId="3" borderId="5" xfId="0" applyFont="1" applyFill="1" applyBorder="1"/>
    <xf numFmtId="0" fontId="5" fillId="3" borderId="6" xfId="0" applyFont="1" applyFill="1" applyBorder="1" applyAlignment="1">
      <alignment horizontal="center"/>
    </xf>
    <xf numFmtId="0" fontId="6" fillId="5" borderId="0" xfId="0" applyFont="1" applyFill="1"/>
    <xf numFmtId="0" fontId="6" fillId="5" borderId="5" xfId="0" applyFont="1" applyFill="1" applyBorder="1"/>
    <xf numFmtId="2" fontId="0" fillId="0" borderId="3" xfId="0" applyNumberFormat="1" applyBorder="1"/>
    <xf numFmtId="0" fontId="3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/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Continuous"/>
    </xf>
    <xf numFmtId="166" fontId="0" fillId="3" borderId="2" xfId="0" applyNumberFormat="1" applyFill="1" applyBorder="1" applyAlignment="1">
      <alignment horizontal="center"/>
    </xf>
    <xf numFmtId="166" fontId="0" fillId="7" borderId="3" xfId="0" applyNumberForma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8" xfId="0" applyBorder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86447129231622"/>
          <c:y val="0.16881658193755791"/>
          <c:w val="0.71225510689966409"/>
          <c:h val="0.60779316659887139"/>
        </c:manualLayout>
      </c:layout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3770980629177085E-2"/>
                  <c:y val="-0.38524548743578119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st7'!$B$5:$B$21</c:f>
              <c:numCache>
                <c:formatCode>0.000</c:formatCode>
                <c:ptCount val="17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-4.1760232547360499E-2</c:v>
                </c:pt>
                <c:pt idx="7">
                  <c:v>9.4513218106104094E-2</c:v>
                </c:pt>
                <c:pt idx="8">
                  <c:v>4.2663094228711902E-2</c:v>
                </c:pt>
                <c:pt idx="9">
                  <c:v>8.8732929175135894E-2</c:v>
                </c:pt>
                <c:pt idx="10">
                  <c:v>-1.9463558010346702E-2</c:v>
                </c:pt>
                <c:pt idx="11">
                  <c:v>0.10415722716452799</c:v>
                </c:pt>
                <c:pt idx="12">
                  <c:v>4.66251429291673E-2</c:v>
                </c:pt>
                <c:pt idx="13">
                  <c:v>9.0894558490112708E-3</c:v>
                </c:pt>
                <c:pt idx="14">
                  <c:v>-1.7278096303121701E-2</c:v>
                </c:pt>
                <c:pt idx="15">
                  <c:v>2.0373962034653699E-2</c:v>
                </c:pt>
                <c:pt idx="16">
                  <c:v>-2.50118292734785E-2</c:v>
                </c:pt>
              </c:numCache>
            </c:numRef>
          </c:xVal>
          <c:yVal>
            <c:numRef>
              <c:f>'with st7'!$C$5:$C$21</c:f>
              <c:numCache>
                <c:formatCode>0.00</c:formatCode>
                <c:ptCount val="17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  <c:pt idx="6">
                  <c:v>67.505054000000001</c:v>
                </c:pt>
                <c:pt idx="9">
                  <c:v>110.72040256</c:v>
                </c:pt>
                <c:pt idx="11">
                  <c:v>111.66319882000001</c:v>
                </c:pt>
                <c:pt idx="12">
                  <c:v>114.89097618</c:v>
                </c:pt>
                <c:pt idx="13">
                  <c:v>116.55531655999999</c:v>
                </c:pt>
                <c:pt idx="14">
                  <c:v>120.40602251999999</c:v>
                </c:pt>
                <c:pt idx="15">
                  <c:v>118.75512236</c:v>
                </c:pt>
                <c:pt idx="16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8-4D6B-89DE-404887265DD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6575153326146361E-2"/>
                  <c:y val="-8.111884345002187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st7'!$B$5:$B$11</c:f>
              <c:numCache>
                <c:formatCode>0.000</c:formatCode>
                <c:ptCount val="7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-4.1760232547360499E-2</c:v>
                </c:pt>
              </c:numCache>
            </c:numRef>
          </c:xVal>
          <c:yVal>
            <c:numRef>
              <c:f>'with st7'!$C$5:$C$11</c:f>
              <c:numCache>
                <c:formatCode>0.00</c:formatCode>
                <c:ptCount val="7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CE-4ED2-9D4B-2F95E529620B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430288689409487"/>
                  <c:y val="-8.129325207357812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st7'!$B$12:$B$21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'with st7'!$C$12:$C$21</c:f>
              <c:numCache>
                <c:formatCode>0.00</c:formatCode>
                <c:ptCount val="10"/>
                <c:pt idx="2">
                  <c:v>110.72040256</c:v>
                </c:pt>
                <c:pt idx="4">
                  <c:v>111.66319882000001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120.40602251999999</c:v>
                </c:pt>
                <c:pt idx="8">
                  <c:v>118.75512236</c:v>
                </c:pt>
                <c:pt idx="9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CE-4ED2-9D4B-2F95E5296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7359775592744585"/>
              <c:y val="0.82721497778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9298461587901339E-2"/>
                  <c:y val="0.3095259616157979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st7'!$B$26:$B$41</c:f>
              <c:numCache>
                <c:formatCode>0.00</c:formatCode>
                <c:ptCount val="16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 formatCode="0.000">
                  <c:v>-4.74716361793363E-2</c:v>
                </c:pt>
                <c:pt idx="6">
                  <c:v>3.4332675043980999E-2</c:v>
                </c:pt>
                <c:pt idx="7">
                  <c:v>2.8668980226143202E-2</c:v>
                </c:pt>
                <c:pt idx="8">
                  <c:v>1.20306787922476E-2</c:v>
                </c:pt>
                <c:pt idx="9">
                  <c:v>2.7386597361713599E-2</c:v>
                </c:pt>
                <c:pt idx="10">
                  <c:v>2.8615745110634201E-2</c:v>
                </c:pt>
                <c:pt idx="11">
                  <c:v>4.4113621235337297E-2</c:v>
                </c:pt>
                <c:pt idx="12">
                  <c:v>-8.0536265843332393E-3</c:v>
                </c:pt>
                <c:pt idx="13">
                  <c:v>-2.13677287576714E-2</c:v>
                </c:pt>
                <c:pt idx="14">
                  <c:v>2.7450804091866201E-2</c:v>
                </c:pt>
                <c:pt idx="15">
                  <c:v>-4.0077224600602597E-2</c:v>
                </c:pt>
              </c:numCache>
            </c:numRef>
          </c:xVal>
          <c:yVal>
            <c:numRef>
              <c:f>'with st7'!$C$26:$C$41</c:f>
              <c:numCache>
                <c:formatCode>0.000</c:formatCode>
                <c:ptCount val="16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5" formatCode="0.00">
                  <c:v>67.505054000000001</c:v>
                </c:pt>
                <c:pt idx="8">
                  <c:v>110.72040256</c:v>
                </c:pt>
                <c:pt idx="10">
                  <c:v>111.66319882000001</c:v>
                </c:pt>
                <c:pt idx="11">
                  <c:v>114.89097618</c:v>
                </c:pt>
                <c:pt idx="12">
                  <c:v>116.55531655999999</c:v>
                </c:pt>
                <c:pt idx="13">
                  <c:v>120.40602251999999</c:v>
                </c:pt>
                <c:pt idx="14">
                  <c:v>118.75512236</c:v>
                </c:pt>
                <c:pt idx="15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63-422C-AC08-70B09C432EC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932847982002424"/>
                  <c:y val="0.1235763664296562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st7'!$B$25:$B$31</c:f>
              <c:numCache>
                <c:formatCode>0.00</c:formatCode>
                <c:ptCount val="7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  <c:pt idx="6" formatCode="0.000">
                  <c:v>-4.74716361793363E-2</c:v>
                </c:pt>
              </c:numCache>
            </c:numRef>
          </c:xVal>
          <c:yVal>
            <c:numRef>
              <c:f>'with st7'!$C$25:$C$31</c:f>
              <c:numCache>
                <c:formatCode>0.000</c:formatCode>
                <c:ptCount val="7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  <c:pt idx="6" formatCode="0.00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E8-4DC9-A850-01B3DB8028F3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274976205126232"/>
                  <c:y val="0.2194907817364371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st7'!$B$32:$B$41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'with st7'!$C$32:$C$41</c:f>
              <c:numCache>
                <c:formatCode>0.000</c:formatCode>
                <c:ptCount val="10"/>
                <c:pt idx="2">
                  <c:v>110.72040256</c:v>
                </c:pt>
                <c:pt idx="4">
                  <c:v>111.66319882000001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120.40602251999999</c:v>
                </c:pt>
                <c:pt idx="8">
                  <c:v>118.75512236</c:v>
                </c:pt>
                <c:pt idx="9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E8-4DC9-A850-01B3DB802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244999228037671"/>
          <c:y val="3.88888888888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9281727584894915"/>
                  <c:y val="-0.1055005036323671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st7'!$B$45:$B$60</c:f>
              <c:numCache>
                <c:formatCode>0.00</c:formatCode>
                <c:ptCount val="16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>
                  <c:v>-6.7271555006068101E-2</c:v>
                </c:pt>
                <c:pt idx="6" formatCode="0.000">
                  <c:v>5.1856335362832198E-2</c:v>
                </c:pt>
                <c:pt idx="7" formatCode="0.000">
                  <c:v>0.103368750113241</c:v>
                </c:pt>
                <c:pt idx="8" formatCode="0.000">
                  <c:v>0.15621819275209001</c:v>
                </c:pt>
                <c:pt idx="9" formatCode="0.000">
                  <c:v>0.15071577677020101</c:v>
                </c:pt>
                <c:pt idx="10" formatCode="0.000">
                  <c:v>5.5397551503622099E-2</c:v>
                </c:pt>
                <c:pt idx="11" formatCode="0.000">
                  <c:v>6.9883057908481996E-2</c:v>
                </c:pt>
                <c:pt idx="12" formatCode="0.000">
                  <c:v>7.8645648239850305E-2</c:v>
                </c:pt>
                <c:pt idx="13" formatCode="0.000">
                  <c:v>2.1496979213356301E-3</c:v>
                </c:pt>
                <c:pt idx="14" formatCode="0.000">
                  <c:v>0.101236914763633</c:v>
                </c:pt>
                <c:pt idx="15" formatCode="0.000">
                  <c:v>0.107400232693555</c:v>
                </c:pt>
              </c:numCache>
            </c:numRef>
          </c:xVal>
          <c:yVal>
            <c:numRef>
              <c:f>'with st7'!$C$45:$C$60</c:f>
              <c:numCache>
                <c:formatCode>0.000</c:formatCode>
                <c:ptCount val="16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5" formatCode="0.00">
                  <c:v>67.505054000000001</c:v>
                </c:pt>
                <c:pt idx="8">
                  <c:v>110.72040256</c:v>
                </c:pt>
                <c:pt idx="10">
                  <c:v>111.66319882000001</c:v>
                </c:pt>
                <c:pt idx="11">
                  <c:v>114.89097618</c:v>
                </c:pt>
                <c:pt idx="12">
                  <c:v>116.55531655999999</c:v>
                </c:pt>
                <c:pt idx="13">
                  <c:v>120.40602251999999</c:v>
                </c:pt>
                <c:pt idx="14">
                  <c:v>118.75512236</c:v>
                </c:pt>
                <c:pt idx="15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87-40ED-8FBC-2287F011599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6821297495183758E-2"/>
                  <c:y val="-5.385080154956625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st7'!$B$44:$B$50</c:f>
              <c:numCache>
                <c:formatCode>0.00</c:formatCode>
                <c:ptCount val="7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-6.7271555006068101E-2</c:v>
                </c:pt>
              </c:numCache>
            </c:numRef>
          </c:xVal>
          <c:yVal>
            <c:numRef>
              <c:f>'with st7'!$C$44:$C$50</c:f>
              <c:numCache>
                <c:formatCode>0.000</c:formatCode>
                <c:ptCount val="7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  <c:pt idx="6" formatCode="0.00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18-4962-BB09-E7EDEC87F4F1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878232793136263"/>
                  <c:y val="-7.597875928685078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st7'!$B$51:$B$60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2.1496979213356301E-3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xVal>
          <c:yVal>
            <c:numRef>
              <c:f>'with st7'!$C$51:$C$60</c:f>
              <c:numCache>
                <c:formatCode>0.000</c:formatCode>
                <c:ptCount val="10"/>
                <c:pt idx="2">
                  <c:v>110.72040256</c:v>
                </c:pt>
                <c:pt idx="4">
                  <c:v>111.66319882000001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120.40602251999999</c:v>
                </c:pt>
                <c:pt idx="8">
                  <c:v>118.75512236</c:v>
                </c:pt>
                <c:pt idx="9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18-4962-BB09-E7EDEC87F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3223151112090599"/>
          <c:y val="4.4138301609936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38337802210887"/>
                  <c:y val="-3.5132644334015882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st7'!$B$64:$B$80</c:f>
              <c:numCache>
                <c:formatCode>0.00</c:formatCode>
                <c:ptCount val="17"/>
                <c:pt idx="0">
                  <c:v>-0.62489073949006502</c:v>
                </c:pt>
                <c:pt idx="1">
                  <c:v>-0.54117535564386998</c:v>
                </c:pt>
                <c:pt idx="2">
                  <c:v>-0.511670862423525</c:v>
                </c:pt>
                <c:pt idx="3">
                  <c:v>-0.22155858359451899</c:v>
                </c:pt>
                <c:pt idx="4">
                  <c:v>9.6450074853088597E-2</c:v>
                </c:pt>
                <c:pt idx="5">
                  <c:v>-0.24313716774511701</c:v>
                </c:pt>
                <c:pt idx="6" formatCode="0.000">
                  <c:v>-0.37958282657101999</c:v>
                </c:pt>
                <c:pt idx="7" formatCode="0.000">
                  <c:v>1.3430417175947699E-2</c:v>
                </c:pt>
                <c:pt idx="8" formatCode="0.000">
                  <c:v>-1.61778645652975E-2</c:v>
                </c:pt>
                <c:pt idx="9" formatCode="0.000">
                  <c:v>2.95836818188689E-2</c:v>
                </c:pt>
                <c:pt idx="10" formatCode="0.000">
                  <c:v>-5.4892758010415703E-2</c:v>
                </c:pt>
                <c:pt idx="11" formatCode="0.000">
                  <c:v>8.8641812543785899E-3</c:v>
                </c:pt>
                <c:pt idx="12" formatCode="0.000">
                  <c:v>1.32778322661357E-2</c:v>
                </c:pt>
                <c:pt idx="13" formatCode="0.000">
                  <c:v>-6.0975544853349099E-2</c:v>
                </c:pt>
                <c:pt idx="14" formatCode="0.000">
                  <c:v>-1.77749404385871E-2</c:v>
                </c:pt>
                <c:pt idx="15" formatCode="0.000">
                  <c:v>3.08855730575289E-3</c:v>
                </c:pt>
                <c:pt idx="16" formatCode="0.000">
                  <c:v>-5.3081166180475401E-3</c:v>
                </c:pt>
              </c:numCache>
            </c:numRef>
          </c:xVal>
          <c:yVal>
            <c:numRef>
              <c:f>'with st7'!$C$64:$C$80</c:f>
              <c:numCache>
                <c:formatCode>0.000</c:formatCode>
                <c:ptCount val="17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  <c:pt idx="6" formatCode="0.00">
                  <c:v>67.505054000000001</c:v>
                </c:pt>
                <c:pt idx="9">
                  <c:v>110.72040256</c:v>
                </c:pt>
                <c:pt idx="11">
                  <c:v>111.66319882000001</c:v>
                </c:pt>
                <c:pt idx="12">
                  <c:v>114.89097618</c:v>
                </c:pt>
                <c:pt idx="13">
                  <c:v>116.55531655999999</c:v>
                </c:pt>
                <c:pt idx="14">
                  <c:v>120.40602251999999</c:v>
                </c:pt>
                <c:pt idx="15">
                  <c:v>118.75512236</c:v>
                </c:pt>
                <c:pt idx="16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20-404E-BB99-5A6384BD13A2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960705841839546"/>
                  <c:y val="-3.250545255146425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st7'!$B$64:$B$69</c:f>
              <c:numCache>
                <c:formatCode>0.00</c:formatCode>
                <c:ptCount val="6"/>
                <c:pt idx="0">
                  <c:v>-0.62489073949006502</c:v>
                </c:pt>
                <c:pt idx="1">
                  <c:v>-0.54117535564386998</c:v>
                </c:pt>
                <c:pt idx="2">
                  <c:v>-0.511670862423525</c:v>
                </c:pt>
                <c:pt idx="3">
                  <c:v>-0.22155858359451899</c:v>
                </c:pt>
                <c:pt idx="4">
                  <c:v>9.6450074853088597E-2</c:v>
                </c:pt>
                <c:pt idx="5">
                  <c:v>-0.24313716774511701</c:v>
                </c:pt>
              </c:numCache>
            </c:numRef>
          </c:xVal>
          <c:yVal>
            <c:numRef>
              <c:f>'with st7'!$C$64:$C$69</c:f>
              <c:numCache>
                <c:formatCode>0.000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F-4C70-9FBA-3B5C755EA716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729054370888608"/>
                  <c:y val="4.72213632821679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st7'!$B$71:$B$80</c:f>
              <c:numCache>
                <c:formatCode>0.000</c:formatCode>
                <c:ptCount val="10"/>
                <c:pt idx="0">
                  <c:v>1.3430417175947699E-2</c:v>
                </c:pt>
                <c:pt idx="1">
                  <c:v>-1.61778645652975E-2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-1.77749404385871E-2</c:v>
                </c:pt>
                <c:pt idx="8">
                  <c:v>3.08855730575289E-3</c:v>
                </c:pt>
                <c:pt idx="9">
                  <c:v>-5.3081166180475401E-3</c:v>
                </c:pt>
              </c:numCache>
            </c:numRef>
          </c:xVal>
          <c:yVal>
            <c:numRef>
              <c:f>'with st7'!$C$71:$C$80</c:f>
              <c:numCache>
                <c:formatCode>0.000</c:formatCode>
                <c:ptCount val="10"/>
                <c:pt idx="2">
                  <c:v>110.72040256</c:v>
                </c:pt>
                <c:pt idx="4">
                  <c:v>111.66319882000001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120.40602251999999</c:v>
                </c:pt>
                <c:pt idx="8">
                  <c:v>118.75512236</c:v>
                </c:pt>
                <c:pt idx="9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2F-4C70-9FBA-3B5C755EA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6362876732890055"/>
                  <c:y val="-6.992488743861509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st7'!$B$5:$B$21</c:f>
              <c:numCache>
                <c:formatCode>0.000</c:formatCode>
                <c:ptCount val="17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-4.1760232547360499E-2</c:v>
                </c:pt>
                <c:pt idx="7">
                  <c:v>9.4513218106104094E-2</c:v>
                </c:pt>
                <c:pt idx="8">
                  <c:v>4.2663094228711902E-2</c:v>
                </c:pt>
                <c:pt idx="9">
                  <c:v>8.8732929175135894E-2</c:v>
                </c:pt>
                <c:pt idx="10">
                  <c:v>-1.9463558010346702E-2</c:v>
                </c:pt>
                <c:pt idx="11">
                  <c:v>0.10415722716452799</c:v>
                </c:pt>
                <c:pt idx="12">
                  <c:v>4.66251429291673E-2</c:v>
                </c:pt>
                <c:pt idx="13">
                  <c:v>9.0894558490112708E-3</c:v>
                </c:pt>
                <c:pt idx="14">
                  <c:v>-1.7278096303121701E-2</c:v>
                </c:pt>
                <c:pt idx="15">
                  <c:v>2.0373962034653699E-2</c:v>
                </c:pt>
                <c:pt idx="16">
                  <c:v>-2.50118292734785E-2</c:v>
                </c:pt>
              </c:numCache>
            </c:numRef>
          </c:xVal>
          <c:yVal>
            <c:numRef>
              <c:f>'with st7'!$E$5:$E$21</c:f>
              <c:numCache>
                <c:formatCode>0.00</c:formatCode>
                <c:ptCount val="17"/>
                <c:pt idx="1">
                  <c:v>1.1737788669959504</c:v>
                </c:pt>
                <c:pt idx="2">
                  <c:v>1.0182769682576838</c:v>
                </c:pt>
                <c:pt idx="3">
                  <c:v>1</c:v>
                </c:pt>
                <c:pt idx="6">
                  <c:v>1.045397189964473</c:v>
                </c:pt>
                <c:pt idx="9">
                  <c:v>1.0393698938576728</c:v>
                </c:pt>
                <c:pt idx="11">
                  <c:v>1.0331150820718804</c:v>
                </c:pt>
                <c:pt idx="12">
                  <c:v>1.0275460447393339</c:v>
                </c:pt>
                <c:pt idx="13">
                  <c:v>1.0275826446035865</c:v>
                </c:pt>
                <c:pt idx="14">
                  <c:v>1.0396485920727681</c:v>
                </c:pt>
                <c:pt idx="15">
                  <c:v>1.0831630031367767</c:v>
                </c:pt>
                <c:pt idx="16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A3-4932-9C0C-F1CE9CFCC9EE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427770598232401"/>
                  <c:y val="-8.356274578305698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st7'!$B$6:$B$10</c:f>
              <c:numCache>
                <c:formatCode>0.000</c:formatCode>
                <c:ptCount val="5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0.36516163611226798</c:v>
                </c:pt>
                <c:pt idx="4">
                  <c:v>4.1333778886518201E-2</c:v>
                </c:pt>
              </c:numCache>
            </c:numRef>
          </c:xVal>
          <c:yVal>
            <c:numRef>
              <c:f>'with st7'!$E$6:$E$10</c:f>
              <c:numCache>
                <c:formatCode>0.00</c:formatCode>
                <c:ptCount val="5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C-484F-8D1E-7898ABA5348D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'with st7'!$B$12:$B$21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'with st7'!$E$12:$E$21</c:f>
              <c:numCache>
                <c:formatCode>0.00</c:formatCode>
                <c:ptCount val="10"/>
                <c:pt idx="2">
                  <c:v>1.0393698938576728</c:v>
                </c:pt>
                <c:pt idx="4">
                  <c:v>1.0331150820718804</c:v>
                </c:pt>
                <c:pt idx="5">
                  <c:v>1.0275460447393339</c:v>
                </c:pt>
                <c:pt idx="6">
                  <c:v>1.0275826446035865</c:v>
                </c:pt>
                <c:pt idx="7">
                  <c:v>1.0396485920727681</c:v>
                </c:pt>
                <c:pt idx="8">
                  <c:v>1.0831630031367767</c:v>
                </c:pt>
                <c:pt idx="9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C-484F-8D1E-7898ABA53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7626986338890439"/>
                  <c:y val="-0.1168568115353898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st7'!$B$26:$B$41</c:f>
              <c:numCache>
                <c:formatCode>0.00</c:formatCode>
                <c:ptCount val="16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 formatCode="0.000">
                  <c:v>-4.74716361793363E-2</c:v>
                </c:pt>
                <c:pt idx="6">
                  <c:v>3.4332675043980999E-2</c:v>
                </c:pt>
                <c:pt idx="7">
                  <c:v>2.8668980226143202E-2</c:v>
                </c:pt>
                <c:pt idx="8">
                  <c:v>1.20306787922476E-2</c:v>
                </c:pt>
                <c:pt idx="9">
                  <c:v>2.7386597361713599E-2</c:v>
                </c:pt>
                <c:pt idx="10">
                  <c:v>2.8615745110634201E-2</c:v>
                </c:pt>
                <c:pt idx="11">
                  <c:v>4.4113621235337297E-2</c:v>
                </c:pt>
                <c:pt idx="12">
                  <c:v>-8.0536265843332393E-3</c:v>
                </c:pt>
                <c:pt idx="13">
                  <c:v>-2.13677287576714E-2</c:v>
                </c:pt>
                <c:pt idx="14">
                  <c:v>2.7450804091866201E-2</c:v>
                </c:pt>
                <c:pt idx="15">
                  <c:v>-4.0077224600602597E-2</c:v>
                </c:pt>
              </c:numCache>
            </c:numRef>
          </c:xVal>
          <c:yVal>
            <c:numRef>
              <c:f>'with st7'!$E$26:$E$41</c:f>
              <c:numCache>
                <c:formatCode>0.00</c:formatCode>
                <c:ptCount val="16"/>
                <c:pt idx="0">
                  <c:v>1.1737788669959499</c:v>
                </c:pt>
                <c:pt idx="1">
                  <c:v>1.01827696825768</c:v>
                </c:pt>
                <c:pt idx="2">
                  <c:v>1</c:v>
                </c:pt>
                <c:pt idx="5">
                  <c:v>1.045397189964473</c:v>
                </c:pt>
                <c:pt idx="8">
                  <c:v>1.0393698938576728</c:v>
                </c:pt>
                <c:pt idx="10">
                  <c:v>1.0331150820718804</c:v>
                </c:pt>
                <c:pt idx="11">
                  <c:v>1.0275460447393339</c:v>
                </c:pt>
                <c:pt idx="12">
                  <c:v>1.0275826446035865</c:v>
                </c:pt>
                <c:pt idx="13">
                  <c:v>1.0396485920727681</c:v>
                </c:pt>
                <c:pt idx="14">
                  <c:v>1.0831630031367767</c:v>
                </c:pt>
                <c:pt idx="15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67-40B8-85F7-18F462AF33D3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244638677422335"/>
                  <c:y val="0.3932315937329780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st7'!$B$25:$B$30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xVal>
          <c:yVal>
            <c:numRef>
              <c:f>'with st7'!$E$25:$E$30</c:f>
              <c:numCache>
                <c:formatCode>0.00</c:formatCode>
                <c:ptCount val="6"/>
                <c:pt idx="1">
                  <c:v>1.1737788669959499</c:v>
                </c:pt>
                <c:pt idx="2">
                  <c:v>1.01827696825768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F3-454F-8D58-7431093C518B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9148961722252447E-2"/>
                  <c:y val="0.22006237713487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st7'!$B$32:$B$41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'with st7'!$E$32:$E$41</c:f>
              <c:numCache>
                <c:formatCode>0.00</c:formatCode>
                <c:ptCount val="10"/>
                <c:pt idx="2">
                  <c:v>1.0393698938576728</c:v>
                </c:pt>
                <c:pt idx="4">
                  <c:v>1.0331150820718804</c:v>
                </c:pt>
                <c:pt idx="5">
                  <c:v>1.0275460447393339</c:v>
                </c:pt>
                <c:pt idx="6">
                  <c:v>1.0275826446035865</c:v>
                </c:pt>
                <c:pt idx="7">
                  <c:v>1.0396485920727681</c:v>
                </c:pt>
                <c:pt idx="8">
                  <c:v>1.0831630031367767</c:v>
                </c:pt>
                <c:pt idx="9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F3-454F-8D58-7431093C5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2"/>
          <c:min val="-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46249423221326"/>
          <c:y val="0.1560734208370308"/>
          <c:w val="0.74782772471482706"/>
          <c:h val="0.64792315492758235"/>
        </c:manualLayout>
      </c:layout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490010807472596"/>
                  <c:y val="-0.25063675633029597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st7'!$B$45:$B$60</c:f>
              <c:numCache>
                <c:formatCode>0.00</c:formatCode>
                <c:ptCount val="16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>
                  <c:v>-6.7271555006068101E-2</c:v>
                </c:pt>
                <c:pt idx="6" formatCode="0.000">
                  <c:v>5.1856335362832198E-2</c:v>
                </c:pt>
                <c:pt idx="7" formatCode="0.000">
                  <c:v>0.103368750113241</c:v>
                </c:pt>
                <c:pt idx="8" formatCode="0.000">
                  <c:v>0.15621819275209001</c:v>
                </c:pt>
                <c:pt idx="9" formatCode="0.000">
                  <c:v>0.15071577677020101</c:v>
                </c:pt>
                <c:pt idx="10" formatCode="0.000">
                  <c:v>5.5397551503622099E-2</c:v>
                </c:pt>
                <c:pt idx="11" formatCode="0.000">
                  <c:v>6.9883057908481996E-2</c:v>
                </c:pt>
                <c:pt idx="12" formatCode="0.000">
                  <c:v>7.8645648239850305E-2</c:v>
                </c:pt>
                <c:pt idx="13" formatCode="0.000">
                  <c:v>2.1496979213356301E-3</c:v>
                </c:pt>
                <c:pt idx="14" formatCode="0.000">
                  <c:v>0.101236914763633</c:v>
                </c:pt>
                <c:pt idx="15" formatCode="0.000">
                  <c:v>0.107400232693555</c:v>
                </c:pt>
              </c:numCache>
            </c:numRef>
          </c:xVal>
          <c:yVal>
            <c:numRef>
              <c:f>'with st7'!$E$45:$E$60</c:f>
              <c:numCache>
                <c:formatCode>0.00</c:formatCode>
                <c:ptCount val="16"/>
                <c:pt idx="0">
                  <c:v>1.1737788669959499</c:v>
                </c:pt>
                <c:pt idx="1">
                  <c:v>1.01827696825768</c:v>
                </c:pt>
                <c:pt idx="2">
                  <c:v>1</c:v>
                </c:pt>
                <c:pt idx="5">
                  <c:v>1.045397189964473</c:v>
                </c:pt>
                <c:pt idx="8">
                  <c:v>1.0393698938576728</c:v>
                </c:pt>
                <c:pt idx="10">
                  <c:v>1.0331150820718804</c:v>
                </c:pt>
                <c:pt idx="11">
                  <c:v>1.0275460447393339</c:v>
                </c:pt>
                <c:pt idx="12">
                  <c:v>1.0275826446035865</c:v>
                </c:pt>
                <c:pt idx="13">
                  <c:v>1.0396485920727681</c:v>
                </c:pt>
                <c:pt idx="14">
                  <c:v>1.0831630031367767</c:v>
                </c:pt>
                <c:pt idx="15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34-4EB5-811C-3247AEFDEC81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473032736287508E-2"/>
                  <c:y val="-9.850261210318743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st7'!$B$45:$B$49</c:f>
              <c:numCache>
                <c:formatCode>0.00</c:formatCode>
                <c:ptCount val="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</c:numCache>
            </c:numRef>
          </c:xVal>
          <c:yVal>
            <c:numRef>
              <c:f>'with st7'!$E$45:$E$49</c:f>
              <c:numCache>
                <c:formatCode>0.00</c:formatCode>
                <c:ptCount val="5"/>
                <c:pt idx="0">
                  <c:v>1.1737788669959499</c:v>
                </c:pt>
                <c:pt idx="1">
                  <c:v>1.01827696825768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24-41E9-964A-2A0867FD68C8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04135767784481"/>
                  <c:y val="-0.167626331592277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st7'!$B$51:$B$60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2.1496979213356301E-3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xVal>
          <c:yVal>
            <c:numRef>
              <c:f>'with st7'!$E$51:$E$60</c:f>
              <c:numCache>
                <c:formatCode>0.00</c:formatCode>
                <c:ptCount val="10"/>
                <c:pt idx="2">
                  <c:v>1.0393698938576728</c:v>
                </c:pt>
                <c:pt idx="4">
                  <c:v>1.0331150820718804</c:v>
                </c:pt>
                <c:pt idx="5">
                  <c:v>1.0275460447393339</c:v>
                </c:pt>
                <c:pt idx="6">
                  <c:v>1.0275826446035865</c:v>
                </c:pt>
                <c:pt idx="7">
                  <c:v>1.0396485920727681</c:v>
                </c:pt>
                <c:pt idx="8">
                  <c:v>1.0831630031367767</c:v>
                </c:pt>
                <c:pt idx="9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24-41E9-964A-2A0867FD6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1.2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fDOM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385043809006317"/>
                  <c:y val="-0.25059227007443791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st7'!$B$65:$B$80</c:f>
              <c:numCache>
                <c:formatCode>0.00</c:formatCode>
                <c:ptCount val="16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  <c:pt idx="5" formatCode="0.000">
                  <c:v>-0.37958282657101999</c:v>
                </c:pt>
                <c:pt idx="6" formatCode="0.000">
                  <c:v>1.3430417175947699E-2</c:v>
                </c:pt>
                <c:pt idx="7" formatCode="0.000">
                  <c:v>-1.61778645652975E-2</c:v>
                </c:pt>
                <c:pt idx="8" formatCode="0.000">
                  <c:v>2.95836818188689E-2</c:v>
                </c:pt>
                <c:pt idx="9" formatCode="0.000">
                  <c:v>-5.4892758010415703E-2</c:v>
                </c:pt>
                <c:pt idx="10" formatCode="0.000">
                  <c:v>8.8641812543785899E-3</c:v>
                </c:pt>
                <c:pt idx="11" formatCode="0.000">
                  <c:v>1.32778322661357E-2</c:v>
                </c:pt>
                <c:pt idx="12" formatCode="0.000">
                  <c:v>-6.0975544853349099E-2</c:v>
                </c:pt>
                <c:pt idx="13" formatCode="0.000">
                  <c:v>-1.77749404385871E-2</c:v>
                </c:pt>
                <c:pt idx="14" formatCode="0.000">
                  <c:v>3.08855730575289E-3</c:v>
                </c:pt>
                <c:pt idx="15" formatCode="0.000">
                  <c:v>-5.3081166180475401E-3</c:v>
                </c:pt>
              </c:numCache>
            </c:numRef>
          </c:xVal>
          <c:yVal>
            <c:numRef>
              <c:f>'with st7'!$E$65:$E$80</c:f>
              <c:numCache>
                <c:formatCode>0.00</c:formatCode>
                <c:ptCount val="16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5">
                  <c:v>1.045397189964473</c:v>
                </c:pt>
                <c:pt idx="8">
                  <c:v>1.0393698938576728</c:v>
                </c:pt>
                <c:pt idx="10" formatCode="0.000">
                  <c:v>1.0331150820718804</c:v>
                </c:pt>
                <c:pt idx="11" formatCode="0.000">
                  <c:v>1.0275460447393339</c:v>
                </c:pt>
                <c:pt idx="12" formatCode="0.000">
                  <c:v>1.0275826446035865</c:v>
                </c:pt>
                <c:pt idx="13" formatCode="0.000">
                  <c:v>1.0396485920727681</c:v>
                </c:pt>
                <c:pt idx="14" formatCode="0.000">
                  <c:v>1.0831630031367767</c:v>
                </c:pt>
                <c:pt idx="15" formatCode="0.000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EF-48B8-94AD-C7C6FAF40EDA}"/>
            </c:ext>
          </c:extLst>
        </c:ser>
        <c:ser>
          <c:idx val="1"/>
          <c:order val="1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131516671223167"/>
                  <c:y val="-9.992416190264000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st7'!$B$71:$B$80</c:f>
              <c:numCache>
                <c:formatCode>0.000</c:formatCode>
                <c:ptCount val="10"/>
                <c:pt idx="0">
                  <c:v>1.3430417175947699E-2</c:v>
                </c:pt>
                <c:pt idx="1">
                  <c:v>-1.61778645652975E-2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-1.77749404385871E-2</c:v>
                </c:pt>
                <c:pt idx="8">
                  <c:v>3.08855730575289E-3</c:v>
                </c:pt>
                <c:pt idx="9">
                  <c:v>-5.3081166180475401E-3</c:v>
                </c:pt>
              </c:numCache>
            </c:numRef>
          </c:xVal>
          <c:yVal>
            <c:numRef>
              <c:f>'with st7'!$E$71:$E$80</c:f>
              <c:numCache>
                <c:formatCode>0.00</c:formatCode>
                <c:ptCount val="10"/>
                <c:pt idx="2">
                  <c:v>1.0393698938576728</c:v>
                </c:pt>
                <c:pt idx="4" formatCode="0.000">
                  <c:v>1.0331150820718804</c:v>
                </c:pt>
                <c:pt idx="5" formatCode="0.000">
                  <c:v>1.0275460447393339</c:v>
                </c:pt>
                <c:pt idx="6" formatCode="0.000">
                  <c:v>1.0275826446035865</c:v>
                </c:pt>
                <c:pt idx="7" formatCode="0.000">
                  <c:v>1.0396485920727681</c:v>
                </c:pt>
                <c:pt idx="8" formatCode="0.000">
                  <c:v>1.0831630031367767</c:v>
                </c:pt>
                <c:pt idx="9" formatCode="0.000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41-49CB-B36C-8321121D3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∆time </a:t>
            </a:r>
            <a:r>
              <a:rPr lang="el-GR"/>
              <a:t>τ&gt;τ</a:t>
            </a:r>
            <a:r>
              <a:rPr lang="en-US"/>
              <a:t>c (hrs)</a:t>
            </a:r>
          </a:p>
        </c:rich>
      </c:tx>
      <c:layout>
        <c:manualLayout>
          <c:xMode val="edge"/>
          <c:yMode val="edge"/>
          <c:x val="0.26679360303630667"/>
          <c:y val="6.1458330619016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8067090122825644E-2"/>
                  <c:y val="-4.0963851103748212E-4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st7'!$B$5:$B$21</c:f>
              <c:numCache>
                <c:formatCode>0.000</c:formatCode>
                <c:ptCount val="17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-4.1760232547360499E-2</c:v>
                </c:pt>
                <c:pt idx="7">
                  <c:v>9.4513218106104094E-2</c:v>
                </c:pt>
                <c:pt idx="8">
                  <c:v>4.2663094228711902E-2</c:v>
                </c:pt>
                <c:pt idx="9">
                  <c:v>8.8732929175135894E-2</c:v>
                </c:pt>
                <c:pt idx="10">
                  <c:v>-1.9463558010346702E-2</c:v>
                </c:pt>
                <c:pt idx="11">
                  <c:v>0.10415722716452799</c:v>
                </c:pt>
                <c:pt idx="12">
                  <c:v>4.66251429291673E-2</c:v>
                </c:pt>
                <c:pt idx="13">
                  <c:v>9.0894558490112708E-3</c:v>
                </c:pt>
                <c:pt idx="14">
                  <c:v>-1.7278096303121701E-2</c:v>
                </c:pt>
                <c:pt idx="15">
                  <c:v>2.0373962034653699E-2</c:v>
                </c:pt>
                <c:pt idx="16">
                  <c:v>-2.50118292734785E-2</c:v>
                </c:pt>
              </c:numCache>
            </c:numRef>
          </c:xVal>
          <c:yVal>
            <c:numRef>
              <c:f>'with st7'!$I$5:$I$21</c:f>
              <c:numCache>
                <c:formatCode>General</c:formatCode>
                <c:ptCount val="17"/>
                <c:pt idx="1">
                  <c:v>0.25</c:v>
                </c:pt>
                <c:pt idx="2">
                  <c:v>-3.25</c:v>
                </c:pt>
                <c:pt idx="3">
                  <c:v>0</c:v>
                </c:pt>
                <c:pt idx="6">
                  <c:v>-0.5</c:v>
                </c:pt>
                <c:pt idx="9">
                  <c:v>-0.75</c:v>
                </c:pt>
                <c:pt idx="11">
                  <c:v>-1</c:v>
                </c:pt>
                <c:pt idx="12">
                  <c:v>-1.25</c:v>
                </c:pt>
                <c:pt idx="13">
                  <c:v>-3.5</c:v>
                </c:pt>
                <c:pt idx="14">
                  <c:v>0.75</c:v>
                </c:pt>
                <c:pt idx="15">
                  <c:v>-3.5</c:v>
                </c:pt>
                <c:pt idx="16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45-4EDB-90E9-95B8D2AA5EC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6850777180758805"/>
                  <c:y val="-9.114546913730545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st7'!$B$5:$B$11</c:f>
              <c:numCache>
                <c:formatCode>0.000</c:formatCode>
                <c:ptCount val="7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-4.1760232547360499E-2</c:v>
                </c:pt>
              </c:numCache>
            </c:numRef>
          </c:xVal>
          <c:yVal>
            <c:numRef>
              <c:f>'with st7'!$I$5:$I$11</c:f>
              <c:numCache>
                <c:formatCode>General</c:formatCode>
                <c:ptCount val="7"/>
                <c:pt idx="1">
                  <c:v>0.25</c:v>
                </c:pt>
                <c:pt idx="2">
                  <c:v>-3.25</c:v>
                </c:pt>
                <c:pt idx="3">
                  <c:v>0</c:v>
                </c:pt>
                <c:pt idx="6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45-4EDB-90E9-95B8D2AA5EC2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601345707046846"/>
                  <c:y val="-0.1965892128525426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st7'!$B$12:$B$21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'with st7'!$I$12:$I$21</c:f>
              <c:numCache>
                <c:formatCode>General</c:formatCode>
                <c:ptCount val="10"/>
                <c:pt idx="2">
                  <c:v>-0.75</c:v>
                </c:pt>
                <c:pt idx="4">
                  <c:v>-1</c:v>
                </c:pt>
                <c:pt idx="5">
                  <c:v>-1.25</c:v>
                </c:pt>
                <c:pt idx="6">
                  <c:v>-3.5</c:v>
                </c:pt>
                <c:pt idx="7">
                  <c:v>0.75</c:v>
                </c:pt>
                <c:pt idx="8">
                  <c:v>-3.5</c:v>
                </c:pt>
                <c:pt idx="9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45-4EDB-90E9-95B8D2AA5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∆time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τ&gt;τ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(hrs)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171086133135266"/>
                  <c:y val="-2.550737848385848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st7'!$B$26:$B$41</c:f>
              <c:numCache>
                <c:formatCode>0.00</c:formatCode>
                <c:ptCount val="16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 formatCode="0.000">
                  <c:v>-4.74716361793363E-2</c:v>
                </c:pt>
                <c:pt idx="6">
                  <c:v>3.4332675043980999E-2</c:v>
                </c:pt>
                <c:pt idx="7">
                  <c:v>2.8668980226143202E-2</c:v>
                </c:pt>
                <c:pt idx="8">
                  <c:v>1.20306787922476E-2</c:v>
                </c:pt>
                <c:pt idx="9">
                  <c:v>2.7386597361713599E-2</c:v>
                </c:pt>
                <c:pt idx="10">
                  <c:v>2.8615745110634201E-2</c:v>
                </c:pt>
                <c:pt idx="11">
                  <c:v>4.4113621235337297E-2</c:v>
                </c:pt>
                <c:pt idx="12">
                  <c:v>-8.0536265843332393E-3</c:v>
                </c:pt>
                <c:pt idx="13">
                  <c:v>-2.13677287576714E-2</c:v>
                </c:pt>
                <c:pt idx="14">
                  <c:v>2.7450804091866201E-2</c:v>
                </c:pt>
                <c:pt idx="15">
                  <c:v>-4.0077224600602597E-2</c:v>
                </c:pt>
              </c:numCache>
            </c:numRef>
          </c:xVal>
          <c:yVal>
            <c:numRef>
              <c:f>'with st7'!$I$26:$I$41</c:f>
              <c:numCache>
                <c:formatCode>General</c:formatCode>
                <c:ptCount val="16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  <c:pt idx="5">
                  <c:v>-0.5</c:v>
                </c:pt>
                <c:pt idx="8">
                  <c:v>-0.75</c:v>
                </c:pt>
                <c:pt idx="10">
                  <c:v>-1</c:v>
                </c:pt>
                <c:pt idx="11">
                  <c:v>-1.25</c:v>
                </c:pt>
                <c:pt idx="12">
                  <c:v>-3.5</c:v>
                </c:pt>
                <c:pt idx="13">
                  <c:v>-0.75</c:v>
                </c:pt>
                <c:pt idx="14">
                  <c:v>-3.5</c:v>
                </c:pt>
                <c:pt idx="15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8-425B-BB9E-F0277704C46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846626415202888E-2"/>
                  <c:y val="0.112282515924596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st7'!$B$25:$B$31</c:f>
              <c:numCache>
                <c:formatCode>0.00</c:formatCode>
                <c:ptCount val="7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  <c:pt idx="6" formatCode="0.000">
                  <c:v>-4.74716361793363E-2</c:v>
                </c:pt>
              </c:numCache>
            </c:numRef>
          </c:xVal>
          <c:yVal>
            <c:numRef>
              <c:f>'with st7'!$I$25:$I$31</c:f>
              <c:numCache>
                <c:formatCode>General</c:formatCode>
                <c:ptCount val="7"/>
                <c:pt idx="1">
                  <c:v>0.25</c:v>
                </c:pt>
                <c:pt idx="2">
                  <c:v>-3.25</c:v>
                </c:pt>
                <c:pt idx="3">
                  <c:v>0</c:v>
                </c:pt>
                <c:pt idx="6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D8-425B-BB9E-F0277704C46B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9640500531956999E-2"/>
                  <c:y val="0.271364480272237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st7'!$B$32:$B$41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'with st7'!$I$32:$I$41</c:f>
              <c:numCache>
                <c:formatCode>General</c:formatCode>
                <c:ptCount val="10"/>
                <c:pt idx="2">
                  <c:v>-0.75</c:v>
                </c:pt>
                <c:pt idx="4">
                  <c:v>-1</c:v>
                </c:pt>
                <c:pt idx="5">
                  <c:v>-1.25</c:v>
                </c:pt>
                <c:pt idx="6">
                  <c:v>-3.5</c:v>
                </c:pt>
                <c:pt idx="7">
                  <c:v>-0.75</c:v>
                </c:pt>
                <c:pt idx="8">
                  <c:v>-3.5</c:v>
                </c:pt>
                <c:pt idx="9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D8-425B-BB9E-F0277704C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∆time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τ&gt;τ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(hrs)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7980501810624083"/>
          <c:y val="5.8726297394096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100434864176353"/>
                  <c:y val="2.570363915515166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st7'!$B$45:$B$60</c:f>
              <c:numCache>
                <c:formatCode>0.00</c:formatCode>
                <c:ptCount val="16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>
                  <c:v>-6.7271555006068101E-2</c:v>
                </c:pt>
                <c:pt idx="6" formatCode="0.000">
                  <c:v>5.1856335362832198E-2</c:v>
                </c:pt>
                <c:pt idx="7" formatCode="0.000">
                  <c:v>0.103368750113241</c:v>
                </c:pt>
                <c:pt idx="8" formatCode="0.000">
                  <c:v>0.15621819275209001</c:v>
                </c:pt>
                <c:pt idx="9" formatCode="0.000">
                  <c:v>0.15071577677020101</c:v>
                </c:pt>
                <c:pt idx="10" formatCode="0.000">
                  <c:v>5.5397551503622099E-2</c:v>
                </c:pt>
                <c:pt idx="11" formatCode="0.000">
                  <c:v>6.9883057908481996E-2</c:v>
                </c:pt>
                <c:pt idx="12" formatCode="0.000">
                  <c:v>7.8645648239850305E-2</c:v>
                </c:pt>
                <c:pt idx="13" formatCode="0.000">
                  <c:v>2.1496979213356301E-3</c:v>
                </c:pt>
                <c:pt idx="14" formatCode="0.000">
                  <c:v>0.101236914763633</c:v>
                </c:pt>
                <c:pt idx="15" formatCode="0.000">
                  <c:v>0.107400232693555</c:v>
                </c:pt>
              </c:numCache>
            </c:numRef>
          </c:xVal>
          <c:yVal>
            <c:numRef>
              <c:f>'with st7'!$I$45:$I$60</c:f>
              <c:numCache>
                <c:formatCode>General</c:formatCode>
                <c:ptCount val="16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  <c:pt idx="5">
                  <c:v>-0.5</c:v>
                </c:pt>
                <c:pt idx="8">
                  <c:v>-0.75</c:v>
                </c:pt>
                <c:pt idx="10">
                  <c:v>-1</c:v>
                </c:pt>
                <c:pt idx="11">
                  <c:v>-1.25</c:v>
                </c:pt>
                <c:pt idx="12">
                  <c:v>-3.5</c:v>
                </c:pt>
                <c:pt idx="13">
                  <c:v>-0.75</c:v>
                </c:pt>
                <c:pt idx="14">
                  <c:v>-3.5</c:v>
                </c:pt>
                <c:pt idx="15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5B-4D83-9151-A9C5136EB83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1624661428068863"/>
                  <c:y val="-5.66443420888833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st7'!$B$44:$B$50</c:f>
              <c:numCache>
                <c:formatCode>0.00</c:formatCode>
                <c:ptCount val="7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-6.7271555006068101E-2</c:v>
                </c:pt>
              </c:numCache>
            </c:numRef>
          </c:xVal>
          <c:yVal>
            <c:numRef>
              <c:f>'with st7'!$I$44:$I$50</c:f>
              <c:numCache>
                <c:formatCode>General</c:formatCode>
                <c:ptCount val="7"/>
                <c:pt idx="1">
                  <c:v>0.25</c:v>
                </c:pt>
                <c:pt idx="2">
                  <c:v>-3.25</c:v>
                </c:pt>
                <c:pt idx="3">
                  <c:v>0</c:v>
                </c:pt>
                <c:pt idx="6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3-4FFE-BFF3-89E9997E4BB7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138723264250145"/>
                  <c:y val="8.861911282625835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st7'!$B$51:$B$60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2.1496979213356301E-3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xVal>
          <c:yVal>
            <c:numRef>
              <c:f>'with st7'!$I$51:$I$60</c:f>
              <c:numCache>
                <c:formatCode>General</c:formatCode>
                <c:ptCount val="10"/>
                <c:pt idx="2">
                  <c:v>-0.75</c:v>
                </c:pt>
                <c:pt idx="4">
                  <c:v>-1</c:v>
                </c:pt>
                <c:pt idx="5">
                  <c:v>-1.25</c:v>
                </c:pt>
                <c:pt idx="6">
                  <c:v>-3.5</c:v>
                </c:pt>
                <c:pt idx="7">
                  <c:v>-0.75</c:v>
                </c:pt>
                <c:pt idx="8">
                  <c:v>-3.5</c:v>
                </c:pt>
                <c:pt idx="9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73-4FFE-BFF3-89E9997E4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fDOM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∆time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τ&gt;τ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(hrs)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8829930919669133"/>
          <c:y val="3.8929708885476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375290822874192"/>
                  <c:y val="2.982445828596187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st7'!$B$65:$B$80</c:f>
              <c:numCache>
                <c:formatCode>0.00</c:formatCode>
                <c:ptCount val="16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  <c:pt idx="5" formatCode="0.000">
                  <c:v>-0.37958282657101999</c:v>
                </c:pt>
                <c:pt idx="6" formatCode="0.000">
                  <c:v>1.3430417175947699E-2</c:v>
                </c:pt>
                <c:pt idx="7" formatCode="0.000">
                  <c:v>-1.61778645652975E-2</c:v>
                </c:pt>
                <c:pt idx="8" formatCode="0.000">
                  <c:v>2.95836818188689E-2</c:v>
                </c:pt>
                <c:pt idx="9" formatCode="0.000">
                  <c:v>-5.4892758010415703E-2</c:v>
                </c:pt>
                <c:pt idx="10" formatCode="0.000">
                  <c:v>8.8641812543785899E-3</c:v>
                </c:pt>
                <c:pt idx="11" formatCode="0.000">
                  <c:v>1.32778322661357E-2</c:v>
                </c:pt>
                <c:pt idx="12" formatCode="0.000">
                  <c:v>-6.0975544853349099E-2</c:v>
                </c:pt>
                <c:pt idx="13" formatCode="0.000">
                  <c:v>-1.77749404385871E-2</c:v>
                </c:pt>
                <c:pt idx="14" formatCode="0.000">
                  <c:v>3.08855730575289E-3</c:v>
                </c:pt>
                <c:pt idx="15" formatCode="0.000">
                  <c:v>-5.3081166180475401E-3</c:v>
                </c:pt>
              </c:numCache>
            </c:numRef>
          </c:xVal>
          <c:yVal>
            <c:numRef>
              <c:f>'with st7'!$I$65:$I$80</c:f>
              <c:numCache>
                <c:formatCode>General</c:formatCode>
                <c:ptCount val="16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  <c:pt idx="5">
                  <c:v>-0.5</c:v>
                </c:pt>
                <c:pt idx="8">
                  <c:v>-0.75</c:v>
                </c:pt>
                <c:pt idx="10">
                  <c:v>-1</c:v>
                </c:pt>
                <c:pt idx="11">
                  <c:v>-1.25</c:v>
                </c:pt>
                <c:pt idx="12">
                  <c:v>-3.5</c:v>
                </c:pt>
                <c:pt idx="13">
                  <c:v>0.75</c:v>
                </c:pt>
                <c:pt idx="14">
                  <c:v>-3.5</c:v>
                </c:pt>
                <c:pt idx="15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5D-4521-82B2-A0CD39EBBA5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8978944283771502E-2"/>
                  <c:y val="0.1003219300352158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st7'!$B$65:$B$70</c:f>
              <c:numCache>
                <c:formatCode>0.00</c:formatCode>
                <c:ptCount val="6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  <c:pt idx="5" formatCode="0.000">
                  <c:v>-0.37958282657101999</c:v>
                </c:pt>
              </c:numCache>
            </c:numRef>
          </c:xVal>
          <c:yVal>
            <c:numRef>
              <c:f>'with st7'!$I$65:$I$70</c:f>
              <c:numCache>
                <c:formatCode>General</c:formatCode>
                <c:ptCount val="6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  <c:pt idx="5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2A-444A-AE23-E86D868B3AE8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7096127956770594E-2"/>
                  <c:y val="0.158589419132081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st7'!$B$71:$B$80</c:f>
              <c:numCache>
                <c:formatCode>0.000</c:formatCode>
                <c:ptCount val="10"/>
                <c:pt idx="0">
                  <c:v>1.3430417175947699E-2</c:v>
                </c:pt>
                <c:pt idx="1">
                  <c:v>-1.61778645652975E-2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-1.77749404385871E-2</c:v>
                </c:pt>
                <c:pt idx="8">
                  <c:v>3.08855730575289E-3</c:v>
                </c:pt>
                <c:pt idx="9">
                  <c:v>-5.3081166180475401E-3</c:v>
                </c:pt>
              </c:numCache>
            </c:numRef>
          </c:xVal>
          <c:yVal>
            <c:numRef>
              <c:f>'with st7'!$I$71:$I$80</c:f>
              <c:numCache>
                <c:formatCode>General</c:formatCode>
                <c:ptCount val="10"/>
                <c:pt idx="2">
                  <c:v>-0.75</c:v>
                </c:pt>
                <c:pt idx="4">
                  <c:v>-1</c:v>
                </c:pt>
                <c:pt idx="5">
                  <c:v>-1.25</c:v>
                </c:pt>
                <c:pt idx="6">
                  <c:v>-3.5</c:v>
                </c:pt>
                <c:pt idx="7">
                  <c:v>0.75</c:v>
                </c:pt>
                <c:pt idx="8">
                  <c:v>-3.5</c:v>
                </c:pt>
                <c:pt idx="9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2A-444A-AE23-E86D868B3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 HI vs SS HI </a:t>
            </a:r>
          </a:p>
        </c:rich>
      </c:tx>
      <c:layout>
        <c:manualLayout>
          <c:xMode val="edge"/>
          <c:yMode val="edge"/>
          <c:x val="0.4146456692913385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0048118985128"/>
          <c:y val="0.16245370370370371"/>
          <c:w val="0.84757174103237098"/>
          <c:h val="0.59625801983085447"/>
        </c:manualLayout>
      </c:layout>
      <c:scatterChart>
        <c:scatterStyle val="lineMarker"/>
        <c:varyColors val="0"/>
        <c:ser>
          <c:idx val="0"/>
          <c:order val="0"/>
          <c:tx>
            <c:v>not including ST1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017672790901138"/>
                  <c:y val="-0.225190288713910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st7'!$B$6:$B$21</c:f>
              <c:numCache>
                <c:formatCode>0.000</c:formatCode>
                <c:ptCount val="16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0.36516163611226798</c:v>
                </c:pt>
                <c:pt idx="4">
                  <c:v>4.1333778886518201E-2</c:v>
                </c:pt>
                <c:pt idx="5">
                  <c:v>-4.1760232547360499E-2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'with st7'!$B$45:$B$60</c:f>
              <c:numCache>
                <c:formatCode>0.00</c:formatCode>
                <c:ptCount val="16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>
                  <c:v>-6.7271555006068101E-2</c:v>
                </c:pt>
                <c:pt idx="6" formatCode="0.000">
                  <c:v>5.1856335362832198E-2</c:v>
                </c:pt>
                <c:pt idx="7" formatCode="0.000">
                  <c:v>0.103368750113241</c:v>
                </c:pt>
                <c:pt idx="8" formatCode="0.000">
                  <c:v>0.15621819275209001</c:v>
                </c:pt>
                <c:pt idx="9" formatCode="0.000">
                  <c:v>0.15071577677020101</c:v>
                </c:pt>
                <c:pt idx="10" formatCode="0.000">
                  <c:v>5.5397551503622099E-2</c:v>
                </c:pt>
                <c:pt idx="11" formatCode="0.000">
                  <c:v>6.9883057908481996E-2</c:v>
                </c:pt>
                <c:pt idx="12" formatCode="0.000">
                  <c:v>7.8645648239850305E-2</c:v>
                </c:pt>
                <c:pt idx="13" formatCode="0.000">
                  <c:v>2.1496979213356301E-3</c:v>
                </c:pt>
                <c:pt idx="14" formatCode="0.000">
                  <c:v>0.101236914763633</c:v>
                </c:pt>
                <c:pt idx="15" formatCode="0.000">
                  <c:v>0.107400232693555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B-47BC-BFA7-04D7A1E70C8C}"/>
            </c:ext>
          </c:extLst>
        </c:ser>
        <c:ser>
          <c:idx val="1"/>
          <c:order val="1"/>
          <c:tx>
            <c:v>including ST1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934733158355206"/>
                  <c:y val="-7.871682706328375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st7'!$B$5:$B$21</c:f>
              <c:numCache>
                <c:formatCode>0.000</c:formatCode>
                <c:ptCount val="17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-4.1760232547360499E-2</c:v>
                </c:pt>
                <c:pt idx="7">
                  <c:v>9.4513218106104094E-2</c:v>
                </c:pt>
                <c:pt idx="8">
                  <c:v>4.2663094228711902E-2</c:v>
                </c:pt>
                <c:pt idx="9">
                  <c:v>8.8732929175135894E-2</c:v>
                </c:pt>
                <c:pt idx="10">
                  <c:v>-1.9463558010346702E-2</c:v>
                </c:pt>
                <c:pt idx="11">
                  <c:v>0.10415722716452799</c:v>
                </c:pt>
                <c:pt idx="12">
                  <c:v>4.66251429291673E-2</c:v>
                </c:pt>
                <c:pt idx="13">
                  <c:v>9.0894558490112708E-3</c:v>
                </c:pt>
                <c:pt idx="14">
                  <c:v>-1.7278096303121701E-2</c:v>
                </c:pt>
                <c:pt idx="15">
                  <c:v>2.0373962034653699E-2</c:v>
                </c:pt>
                <c:pt idx="16">
                  <c:v>-2.50118292734785E-2</c:v>
                </c:pt>
              </c:numCache>
            </c:numRef>
          </c:xVal>
          <c:yVal>
            <c:numRef>
              <c:f>'with st7'!$B$44:$B$60</c:f>
              <c:numCache>
                <c:formatCode>0.00</c:formatCode>
                <c:ptCount val="17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-6.7271555006068101E-2</c:v>
                </c:pt>
                <c:pt idx="7" formatCode="0.000">
                  <c:v>5.1856335362832198E-2</c:v>
                </c:pt>
                <c:pt idx="8" formatCode="0.000">
                  <c:v>0.103368750113241</c:v>
                </c:pt>
                <c:pt idx="9" formatCode="0.000">
                  <c:v>0.15621819275209001</c:v>
                </c:pt>
                <c:pt idx="10" formatCode="0.000">
                  <c:v>0.15071577677020101</c:v>
                </c:pt>
                <c:pt idx="11" formatCode="0.000">
                  <c:v>5.5397551503622099E-2</c:v>
                </c:pt>
                <c:pt idx="12" formatCode="0.000">
                  <c:v>6.9883057908481996E-2</c:v>
                </c:pt>
                <c:pt idx="13" formatCode="0.000">
                  <c:v>7.8645648239850305E-2</c:v>
                </c:pt>
                <c:pt idx="14" formatCode="0.000">
                  <c:v>2.1496979213356301E-3</c:v>
                </c:pt>
                <c:pt idx="15" formatCode="0.000">
                  <c:v>0.101236914763633</c:v>
                </c:pt>
                <c:pt idx="16" formatCode="0.000">
                  <c:v>0.107400232693555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1B-47BC-BFA7-04D7A1E70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35888"/>
        <c:axId val="220129840"/>
      </c:scatterChart>
      <c:valAx>
        <c:axId val="58673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129840"/>
        <c:crosses val="autoZero"/>
        <c:crossBetween val="midCat"/>
      </c:valAx>
      <c:valAx>
        <c:axId val="220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3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860629921259844"/>
                  <c:y val="-0.4240762613006707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6538385826771653"/>
                  <c:y val="-0.2480719597550306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st7'!$Y$5:$Y$15</c:f>
              <c:numCache>
                <c:formatCode>0.000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8.8732929175135894E-2</c:v>
                </c:pt>
                <c:pt idx="4">
                  <c:v>0.10415722716452799</c:v>
                </c:pt>
                <c:pt idx="5">
                  <c:v>4.66251429291673E-2</c:v>
                </c:pt>
                <c:pt idx="7">
                  <c:v>9.0894558490112708E-3</c:v>
                </c:pt>
                <c:pt idx="8">
                  <c:v>-1.7278096303121701E-2</c:v>
                </c:pt>
                <c:pt idx="9">
                  <c:v>2.0373962034653699E-2</c:v>
                </c:pt>
                <c:pt idx="10">
                  <c:v>-2.50118292734785E-2</c:v>
                </c:pt>
              </c:numCache>
            </c:numRef>
          </c:xVal>
          <c:yVal>
            <c:numRef>
              <c:f>'with st7'!$AF$5:$AF$15</c:f>
              <c:numCache>
                <c:formatCode>0.00</c:formatCode>
                <c:ptCount val="11"/>
                <c:pt idx="0">
                  <c:v>0.30708458237534503</c:v>
                </c:pt>
                <c:pt idx="1">
                  <c:v>0.49664162355941199</c:v>
                </c:pt>
                <c:pt idx="2">
                  <c:v>0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7">
                  <c:v>5.4056282725128302E-2</c:v>
                </c:pt>
                <c:pt idx="8">
                  <c:v>0.26690920736687102</c:v>
                </c:pt>
                <c:pt idx="9">
                  <c:v>0.45125668170602201</c:v>
                </c:pt>
                <c:pt idx="1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A3-41B9-8292-B4462D6A3C56}"/>
            </c:ext>
          </c:extLst>
        </c:ser>
        <c:ser>
          <c:idx val="1"/>
          <c:order val="1"/>
          <c:tx>
            <c:strRef>
              <c:f>'with st7'!$Z$4</c:f>
              <c:strCache>
                <c:ptCount val="1"/>
                <c:pt idx="0">
                  <c:v>DOC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104505686789146"/>
                  <c:y val="-0.2778335520559930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st7'!$Z$5:$Z$15</c:f>
              <c:numCache>
                <c:formatCode>0.00</c:formatCode>
                <c:ptCount val="11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1.20306787922476E-2</c:v>
                </c:pt>
                <c:pt idx="4">
                  <c:v>2.8615745110634201E-2</c:v>
                </c:pt>
                <c:pt idx="5">
                  <c:v>4.4113621235337297E-2</c:v>
                </c:pt>
                <c:pt idx="7">
                  <c:v>-8.0536265843332393E-3</c:v>
                </c:pt>
                <c:pt idx="8">
                  <c:v>-2.13677287576714E-2</c:v>
                </c:pt>
                <c:pt idx="9">
                  <c:v>2.7450804091866201E-2</c:v>
                </c:pt>
                <c:pt idx="10">
                  <c:v>-4.0077224600602597E-2</c:v>
                </c:pt>
              </c:numCache>
            </c:numRef>
          </c:xVal>
          <c:yVal>
            <c:numRef>
              <c:f>'with st7'!$AF$5:$AF$15</c:f>
              <c:numCache>
                <c:formatCode>0.00</c:formatCode>
                <c:ptCount val="11"/>
                <c:pt idx="0">
                  <c:v>0.30708458237534503</c:v>
                </c:pt>
                <c:pt idx="1">
                  <c:v>0.49664162355941199</c:v>
                </c:pt>
                <c:pt idx="2">
                  <c:v>0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7">
                  <c:v>5.4056282725128302E-2</c:v>
                </c:pt>
                <c:pt idx="8">
                  <c:v>0.26690920736687102</c:v>
                </c:pt>
                <c:pt idx="9">
                  <c:v>0.45125668170602201</c:v>
                </c:pt>
                <c:pt idx="1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A3-41B9-8292-B4462D6A3C56}"/>
            </c:ext>
          </c:extLst>
        </c:ser>
        <c:ser>
          <c:idx val="2"/>
          <c:order val="2"/>
          <c:tx>
            <c:strRef>
              <c:f>'with st7'!$AA$4</c:f>
              <c:strCache>
                <c:ptCount val="1"/>
                <c:pt idx="0">
                  <c:v>Turbidity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'with st7'!$AA$5:$AA$15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0.14884070399999999</c:v>
                </c:pt>
                <c:pt idx="3" formatCode="0.000">
                  <c:v>0.15621819275209001</c:v>
                </c:pt>
                <c:pt idx="4" formatCode="0.000">
                  <c:v>5.5397551503622099E-2</c:v>
                </c:pt>
                <c:pt idx="5" formatCode="0.000">
                  <c:v>6.9883057908481996E-2</c:v>
                </c:pt>
                <c:pt idx="7" formatCode="0.000">
                  <c:v>7.8645648239850305E-2</c:v>
                </c:pt>
                <c:pt idx="8" formatCode="0.000">
                  <c:v>2.1496979213356301E-3</c:v>
                </c:pt>
                <c:pt idx="9" formatCode="0.000">
                  <c:v>0.101236914763633</c:v>
                </c:pt>
                <c:pt idx="10" formatCode="0.000">
                  <c:v>0.107400232693555</c:v>
                </c:pt>
              </c:numCache>
            </c:numRef>
          </c:xVal>
          <c:yVal>
            <c:numRef>
              <c:f>'with st7'!$AF$5:$AF$15</c:f>
              <c:numCache>
                <c:formatCode>0.00</c:formatCode>
                <c:ptCount val="11"/>
                <c:pt idx="0">
                  <c:v>0.30708458237534503</c:v>
                </c:pt>
                <c:pt idx="1">
                  <c:v>0.49664162355941199</c:v>
                </c:pt>
                <c:pt idx="2">
                  <c:v>0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7">
                  <c:v>5.4056282725128302E-2</c:v>
                </c:pt>
                <c:pt idx="8">
                  <c:v>0.26690920736687102</c:v>
                </c:pt>
                <c:pt idx="9">
                  <c:v>0.45125668170602201</c:v>
                </c:pt>
                <c:pt idx="1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A3-41B9-8292-B4462D6A3C56}"/>
            </c:ext>
          </c:extLst>
        </c:ser>
        <c:ser>
          <c:idx val="3"/>
          <c:order val="3"/>
          <c:tx>
            <c:strRef>
              <c:f>'with st7'!$AB$4</c:f>
              <c:strCache>
                <c:ptCount val="1"/>
                <c:pt idx="0">
                  <c:v>fDOM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8245188101487311E-2"/>
                  <c:y val="-0.117567439486730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st7'!$AB$5:$AB$15</c:f>
              <c:numCache>
                <c:formatCode>0.00</c:formatCode>
                <c:ptCount val="11"/>
                <c:pt idx="0">
                  <c:v>-0.64117535564386996</c:v>
                </c:pt>
                <c:pt idx="1">
                  <c:v>-0.511670862423525</c:v>
                </c:pt>
                <c:pt idx="2">
                  <c:v>-0.22155858359451899</c:v>
                </c:pt>
                <c:pt idx="3" formatCode="0.000">
                  <c:v>2.95836818188689E-2</c:v>
                </c:pt>
                <c:pt idx="4" formatCode="0.000">
                  <c:v>8.8641812543785899E-3</c:v>
                </c:pt>
                <c:pt idx="5" formatCode="0.000">
                  <c:v>1.32778322661357E-2</c:v>
                </c:pt>
                <c:pt idx="7" formatCode="0.000">
                  <c:v>-6.0975544853349099E-2</c:v>
                </c:pt>
                <c:pt idx="8" formatCode="0.000">
                  <c:v>-1.77749404385871E-2</c:v>
                </c:pt>
                <c:pt idx="9" formatCode="0.000">
                  <c:v>3.08855730575289E-3</c:v>
                </c:pt>
                <c:pt idx="10" formatCode="0.000">
                  <c:v>-5.3081166180475401E-3</c:v>
                </c:pt>
              </c:numCache>
            </c:numRef>
          </c:xVal>
          <c:yVal>
            <c:numRef>
              <c:f>'with st7'!$AF$5:$AF$15</c:f>
              <c:numCache>
                <c:formatCode>0.00</c:formatCode>
                <c:ptCount val="11"/>
                <c:pt idx="0">
                  <c:v>0.30708458237534503</c:v>
                </c:pt>
                <c:pt idx="1">
                  <c:v>0.49664162355941199</c:v>
                </c:pt>
                <c:pt idx="2">
                  <c:v>0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7">
                  <c:v>5.4056282725128302E-2</c:v>
                </c:pt>
                <c:pt idx="8">
                  <c:v>0.26690920736687102</c:v>
                </c:pt>
                <c:pt idx="9">
                  <c:v>0.45125668170602201</c:v>
                </c:pt>
                <c:pt idx="10">
                  <c:v>0.51242235468873398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A3-41B9-8292-B4462D6A3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100080"/>
        <c:axId val="2008078000"/>
      </c:scatterChart>
      <c:valAx>
        <c:axId val="85010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78000"/>
        <c:crosses val="autoZero"/>
        <c:crossBetween val="midCat"/>
      </c:valAx>
      <c:valAx>
        <c:axId val="200807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10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fDOM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0480160568164275E-2"/>
                  <c:y val="9.3622243457098075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'with st7'!$E$64:$E$80</c:f>
              <c:numCache>
                <c:formatCode>0.00</c:formatCode>
                <c:ptCount val="17"/>
                <c:pt idx="1">
                  <c:v>1.1737788669959504</c:v>
                </c:pt>
                <c:pt idx="2">
                  <c:v>1.0182769682576838</c:v>
                </c:pt>
                <c:pt idx="3">
                  <c:v>1</c:v>
                </c:pt>
                <c:pt idx="6">
                  <c:v>1.045397189964473</c:v>
                </c:pt>
                <c:pt idx="9">
                  <c:v>1.0393698938576728</c:v>
                </c:pt>
                <c:pt idx="11" formatCode="0.000">
                  <c:v>1.0331150820718804</c:v>
                </c:pt>
                <c:pt idx="12" formatCode="0.000">
                  <c:v>1.0275460447393339</c:v>
                </c:pt>
                <c:pt idx="13" formatCode="0.000">
                  <c:v>1.0275826446035865</c:v>
                </c:pt>
                <c:pt idx="14" formatCode="0.000">
                  <c:v>1.0396485920727681</c:v>
                </c:pt>
                <c:pt idx="15" formatCode="0.000">
                  <c:v>1.0831630031367767</c:v>
                </c:pt>
                <c:pt idx="16" formatCode="0.000">
                  <c:v>1.0183454205725238</c:v>
                </c:pt>
              </c:numCache>
            </c:numRef>
          </c:xVal>
          <c:yVal>
            <c:numRef>
              <c:f>'with st7'!$B$64:$B$80</c:f>
              <c:numCache>
                <c:formatCode>0.00</c:formatCode>
                <c:ptCount val="17"/>
                <c:pt idx="0">
                  <c:v>-0.62489073949006502</c:v>
                </c:pt>
                <c:pt idx="1">
                  <c:v>-0.54117535564386998</c:v>
                </c:pt>
                <c:pt idx="2">
                  <c:v>-0.511670862423525</c:v>
                </c:pt>
                <c:pt idx="3">
                  <c:v>-0.22155858359451899</c:v>
                </c:pt>
                <c:pt idx="4">
                  <c:v>9.6450074853088597E-2</c:v>
                </c:pt>
                <c:pt idx="5">
                  <c:v>-0.24313716774511701</c:v>
                </c:pt>
                <c:pt idx="6" formatCode="0.000">
                  <c:v>-0.37958282657101999</c:v>
                </c:pt>
                <c:pt idx="7" formatCode="0.000">
                  <c:v>1.3430417175947699E-2</c:v>
                </c:pt>
                <c:pt idx="8" formatCode="0.000">
                  <c:v>-1.61778645652975E-2</c:v>
                </c:pt>
                <c:pt idx="9" formatCode="0.000">
                  <c:v>2.95836818188689E-2</c:v>
                </c:pt>
                <c:pt idx="10" formatCode="0.000">
                  <c:v>-5.4892758010415703E-2</c:v>
                </c:pt>
                <c:pt idx="11" formatCode="0.000">
                  <c:v>8.8641812543785899E-3</c:v>
                </c:pt>
                <c:pt idx="12" formatCode="0.000">
                  <c:v>1.32778322661357E-2</c:v>
                </c:pt>
                <c:pt idx="13" formatCode="0.000">
                  <c:v>-6.0975544853349099E-2</c:v>
                </c:pt>
                <c:pt idx="14" formatCode="0.000">
                  <c:v>-1.77749404385871E-2</c:v>
                </c:pt>
                <c:pt idx="15" formatCode="0.000">
                  <c:v>3.08855730575289E-3</c:v>
                </c:pt>
                <c:pt idx="16" formatCode="0.000">
                  <c:v>-5.3081166180475401E-3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7-4E42-9079-86E703A7E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86447129231622"/>
          <c:y val="0.16881658193755791"/>
          <c:w val="0.71225510689966409"/>
          <c:h val="0.60779316659887139"/>
        </c:manualLayout>
      </c:layout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3770980629177085E-2"/>
                  <c:y val="-0.38524548743578119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'no st7'!$C$5:$C$20</c:f>
              <c:numCache>
                <c:formatCode>0.00</c:formatCode>
                <c:ptCount val="1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  <c:pt idx="8">
                  <c:v>110.72040256</c:v>
                </c:pt>
                <c:pt idx="10">
                  <c:v>111.66319882000001</c:v>
                </c:pt>
                <c:pt idx="11">
                  <c:v>114.89097618</c:v>
                </c:pt>
                <c:pt idx="12">
                  <c:v>116.55531655999999</c:v>
                </c:pt>
                <c:pt idx="13">
                  <c:v>120.40602251999999</c:v>
                </c:pt>
                <c:pt idx="14">
                  <c:v>118.75512236</c:v>
                </c:pt>
                <c:pt idx="15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D3-4008-BAB5-F8E61DF1AF2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6575153326146361E-2"/>
                  <c:y val="-8.111884345002187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st7'!$B$5:$B$10</c:f>
              <c:numCache>
                <c:formatCode>0.000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'no st7'!$C$5:$C$10</c:f>
              <c:numCache>
                <c:formatCode>0.00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D3-4008-BAB5-F8E61DF1AF22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430288689409487"/>
                  <c:y val="-8.129325207357812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st7'!$B$11:$B$20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'no st7'!$C$11:$C$20</c:f>
              <c:numCache>
                <c:formatCode>0.00</c:formatCode>
                <c:ptCount val="10"/>
                <c:pt idx="2">
                  <c:v>110.72040256</c:v>
                </c:pt>
                <c:pt idx="4">
                  <c:v>111.66319882000001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120.40602251999999</c:v>
                </c:pt>
                <c:pt idx="8">
                  <c:v>118.75512236</c:v>
                </c:pt>
                <c:pt idx="9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D3-4008-BAB5-F8E61DF1A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7359775592744585"/>
              <c:y val="0.82721497778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9298461587901339E-2"/>
                  <c:y val="0.3095259616157979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st7'!$B$26:$B$40</c:f>
              <c:numCache>
                <c:formatCode>0.00</c:formatCode>
                <c:ptCount val="15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>
                  <c:v>3.4332675043980999E-2</c:v>
                </c:pt>
                <c:pt idx="6">
                  <c:v>2.8668980226143202E-2</c:v>
                </c:pt>
                <c:pt idx="7">
                  <c:v>1.20306787922476E-2</c:v>
                </c:pt>
                <c:pt idx="8">
                  <c:v>2.7386597361713599E-2</c:v>
                </c:pt>
                <c:pt idx="9">
                  <c:v>2.8615745110634201E-2</c:v>
                </c:pt>
                <c:pt idx="10">
                  <c:v>4.4113621235337297E-2</c:v>
                </c:pt>
                <c:pt idx="11">
                  <c:v>-8.0536265843332393E-3</c:v>
                </c:pt>
                <c:pt idx="12">
                  <c:v>-2.13677287576714E-2</c:v>
                </c:pt>
                <c:pt idx="13">
                  <c:v>2.7450804091866201E-2</c:v>
                </c:pt>
                <c:pt idx="14">
                  <c:v>-4.0077224600602597E-2</c:v>
                </c:pt>
              </c:numCache>
            </c:numRef>
          </c:xVal>
          <c:yVal>
            <c:numRef>
              <c:f>'no st7'!$C$26:$C$40</c:f>
              <c:numCache>
                <c:formatCode>0.000</c:formatCode>
                <c:ptCount val="15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7">
                  <c:v>110.72040256</c:v>
                </c:pt>
                <c:pt idx="9">
                  <c:v>111.66319882000001</c:v>
                </c:pt>
                <c:pt idx="10">
                  <c:v>114.89097618</c:v>
                </c:pt>
                <c:pt idx="11">
                  <c:v>116.55531655999999</c:v>
                </c:pt>
                <c:pt idx="12">
                  <c:v>120.40602251999999</c:v>
                </c:pt>
                <c:pt idx="13">
                  <c:v>118.75512236</c:v>
                </c:pt>
                <c:pt idx="14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CB-4A4F-8CF5-A02BC8C2AA24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8932847982002424"/>
                  <c:y val="0.1235763664296562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st7'!$B$25:$B$30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xVal>
          <c:yVal>
            <c:numRef>
              <c:f>'no st7'!$C$25:$C$30</c:f>
              <c:numCache>
                <c:formatCode>0.000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CB-4A4F-8CF5-A02BC8C2AA24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274976205126232"/>
                  <c:y val="0.2194907817364371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st7'!$B$31:$B$40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'no st7'!$C$31:$C$40</c:f>
              <c:numCache>
                <c:formatCode>0.000</c:formatCode>
                <c:ptCount val="10"/>
                <c:pt idx="2">
                  <c:v>110.72040256</c:v>
                </c:pt>
                <c:pt idx="4">
                  <c:v>111.66319882000001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120.40602251999999</c:v>
                </c:pt>
                <c:pt idx="8">
                  <c:v>118.75512236</c:v>
                </c:pt>
                <c:pt idx="9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CB-4A4F-8CF5-A02BC8C2A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244999228037671"/>
          <c:y val="3.88888888888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9281727584894915"/>
                  <c:y val="-0.1055005036323671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st7'!$B$45:$B$59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0.12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xVal>
          <c:yVal>
            <c:numRef>
              <c:f>'no st7'!$C$45:$C$59</c:f>
              <c:numCache>
                <c:formatCode>0.000</c:formatCode>
                <c:ptCount val="15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7">
                  <c:v>110.72040256</c:v>
                </c:pt>
                <c:pt idx="9">
                  <c:v>111.66319882000001</c:v>
                </c:pt>
                <c:pt idx="10">
                  <c:v>114.89097618</c:v>
                </c:pt>
                <c:pt idx="11">
                  <c:v>116.55531655999999</c:v>
                </c:pt>
                <c:pt idx="12">
                  <c:v>120.40602251999999</c:v>
                </c:pt>
                <c:pt idx="13">
                  <c:v>118.75512236</c:v>
                </c:pt>
                <c:pt idx="14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3A-4F01-BC12-AF7B039E5F5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6821297495183758E-2"/>
                  <c:y val="-5.385080154956625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st7'!$B$44:$B$49</c:f>
              <c:numCache>
                <c:formatCode>0.00</c:formatCode>
                <c:ptCount val="6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</c:numCache>
            </c:numRef>
          </c:xVal>
          <c:yVal>
            <c:numRef>
              <c:f>'no st7'!$C$44:$C$49</c:f>
              <c:numCache>
                <c:formatCode>0.000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3A-4F01-BC12-AF7B039E5F5B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878232793136263"/>
                  <c:y val="-7.597875928685078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st7'!$B$50:$B$59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0.12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xVal>
          <c:yVal>
            <c:numRef>
              <c:f>'no st7'!$C$50:$C$59</c:f>
              <c:numCache>
                <c:formatCode>0.000</c:formatCode>
                <c:ptCount val="10"/>
                <c:pt idx="2">
                  <c:v>110.72040256</c:v>
                </c:pt>
                <c:pt idx="4">
                  <c:v>111.66319882000001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120.40602251999999</c:v>
                </c:pt>
                <c:pt idx="8">
                  <c:v>118.75512236</c:v>
                </c:pt>
                <c:pt idx="9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3A-4F01-BC12-AF7B039E5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3223151112090599"/>
          <c:y val="4.4138301609936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38337802210887"/>
                  <c:y val="-3.5132644334015882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st7'!$B$64:$B$79</c:f>
              <c:numCache>
                <c:formatCode>0.00</c:formatCode>
                <c:ptCount val="16"/>
                <c:pt idx="0">
                  <c:v>-0.62489073949006502</c:v>
                </c:pt>
                <c:pt idx="1">
                  <c:v>-0.54117535564386998</c:v>
                </c:pt>
                <c:pt idx="2">
                  <c:v>-0.511670862423525</c:v>
                </c:pt>
                <c:pt idx="3">
                  <c:v>-0.22155858359451899</c:v>
                </c:pt>
                <c:pt idx="4">
                  <c:v>9.6450074853088597E-2</c:v>
                </c:pt>
                <c:pt idx="5">
                  <c:v>-0.24313716774511701</c:v>
                </c:pt>
                <c:pt idx="6" formatCode="0.000">
                  <c:v>1.3430417175947699E-2</c:v>
                </c:pt>
                <c:pt idx="7" formatCode="0.000">
                  <c:v>-1.61778645652975E-2</c:v>
                </c:pt>
                <c:pt idx="8" formatCode="0.000">
                  <c:v>2.95836818188689E-2</c:v>
                </c:pt>
                <c:pt idx="9" formatCode="0.000">
                  <c:v>-5.4892758010415703E-2</c:v>
                </c:pt>
                <c:pt idx="10" formatCode="0.000">
                  <c:v>8.8641812543785899E-3</c:v>
                </c:pt>
                <c:pt idx="11" formatCode="0.000">
                  <c:v>1.32778322661357E-2</c:v>
                </c:pt>
                <c:pt idx="12" formatCode="0.000">
                  <c:v>-6.0975544853349099E-2</c:v>
                </c:pt>
                <c:pt idx="13" formatCode="0.000">
                  <c:v>-1.77749404385871E-2</c:v>
                </c:pt>
                <c:pt idx="14" formatCode="0.000">
                  <c:v>3.08855730575289E-3</c:v>
                </c:pt>
                <c:pt idx="15" formatCode="0.000">
                  <c:v>-5.3081166180475401E-3</c:v>
                </c:pt>
              </c:numCache>
            </c:numRef>
          </c:xVal>
          <c:yVal>
            <c:numRef>
              <c:f>'no st7'!$C$64:$C$79</c:f>
              <c:numCache>
                <c:formatCode>0.000</c:formatCode>
                <c:ptCount val="1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  <c:pt idx="8">
                  <c:v>110.72040256</c:v>
                </c:pt>
                <c:pt idx="10">
                  <c:v>111.66319882000001</c:v>
                </c:pt>
                <c:pt idx="11">
                  <c:v>114.89097618</c:v>
                </c:pt>
                <c:pt idx="12">
                  <c:v>116.55531655999999</c:v>
                </c:pt>
                <c:pt idx="13">
                  <c:v>120.40602251999999</c:v>
                </c:pt>
                <c:pt idx="14">
                  <c:v>118.75512236</c:v>
                </c:pt>
                <c:pt idx="15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7-44BD-A151-2F69332AA3B2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960705841839546"/>
                  <c:y val="-3.250545255146425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st7'!$B$64:$B$69</c:f>
              <c:numCache>
                <c:formatCode>0.00</c:formatCode>
                <c:ptCount val="6"/>
                <c:pt idx="0">
                  <c:v>-0.62489073949006502</c:v>
                </c:pt>
                <c:pt idx="1">
                  <c:v>-0.54117535564386998</c:v>
                </c:pt>
                <c:pt idx="2">
                  <c:v>-0.511670862423525</c:v>
                </c:pt>
                <c:pt idx="3">
                  <c:v>-0.22155858359451899</c:v>
                </c:pt>
                <c:pt idx="4">
                  <c:v>9.6450074853088597E-2</c:v>
                </c:pt>
                <c:pt idx="5">
                  <c:v>-0.24313716774511701</c:v>
                </c:pt>
              </c:numCache>
            </c:numRef>
          </c:xVal>
          <c:yVal>
            <c:numRef>
              <c:f>'no st7'!$C$64:$C$69</c:f>
              <c:numCache>
                <c:formatCode>0.000</c:formatCode>
                <c:ptCount val="6"/>
                <c:pt idx="1">
                  <c:v>60.588347259999999</c:v>
                </c:pt>
                <c:pt idx="2">
                  <c:v>73.387016439999996</c:v>
                </c:pt>
                <c:pt idx="3">
                  <c:v>79.767295559999994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07-44BD-A151-2F69332AA3B2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729054370888608"/>
                  <c:y val="4.72213632821679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st7'!$B$70:$B$79</c:f>
              <c:numCache>
                <c:formatCode>0.000</c:formatCode>
                <c:ptCount val="10"/>
                <c:pt idx="0">
                  <c:v>1.3430417175947699E-2</c:v>
                </c:pt>
                <c:pt idx="1">
                  <c:v>-1.61778645652975E-2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-1.77749404385871E-2</c:v>
                </c:pt>
                <c:pt idx="8">
                  <c:v>3.08855730575289E-3</c:v>
                </c:pt>
                <c:pt idx="9">
                  <c:v>-5.3081166180475401E-3</c:v>
                </c:pt>
              </c:numCache>
            </c:numRef>
          </c:xVal>
          <c:yVal>
            <c:numRef>
              <c:f>'no st7'!$C$70:$C$79</c:f>
              <c:numCache>
                <c:formatCode>0.000</c:formatCode>
                <c:ptCount val="10"/>
                <c:pt idx="2">
                  <c:v>110.72040256</c:v>
                </c:pt>
                <c:pt idx="4">
                  <c:v>111.66319882000001</c:v>
                </c:pt>
                <c:pt idx="5">
                  <c:v>114.89097618</c:v>
                </c:pt>
                <c:pt idx="6">
                  <c:v>116.55531655999999</c:v>
                </c:pt>
                <c:pt idx="7">
                  <c:v>120.40602251999999</c:v>
                </c:pt>
                <c:pt idx="8">
                  <c:v>118.75512236</c:v>
                </c:pt>
                <c:pt idx="9">
                  <c:v>125.12197168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07-44BD-A151-2F69332AA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6362876732890055"/>
                  <c:y val="-6.992488743861509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'no st7'!$E$5:$E$20</c:f>
              <c:numCache>
                <c:formatCode>0.00</c:formatCode>
                <c:ptCount val="16"/>
                <c:pt idx="1">
                  <c:v>1.1737788669959504</c:v>
                </c:pt>
                <c:pt idx="2">
                  <c:v>1.0182769682576838</c:v>
                </c:pt>
                <c:pt idx="3">
                  <c:v>1</c:v>
                </c:pt>
                <c:pt idx="8">
                  <c:v>1.0393698938576728</c:v>
                </c:pt>
                <c:pt idx="10">
                  <c:v>1.0331150820718804</c:v>
                </c:pt>
                <c:pt idx="11">
                  <c:v>1.0275460447393339</c:v>
                </c:pt>
                <c:pt idx="12">
                  <c:v>1.0275826446035865</c:v>
                </c:pt>
                <c:pt idx="13">
                  <c:v>1.0396485920727681</c:v>
                </c:pt>
                <c:pt idx="14">
                  <c:v>1.0831630031367767</c:v>
                </c:pt>
                <c:pt idx="15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13-4207-864F-B6F26C90E7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427770598232401"/>
                  <c:y val="-8.356274578305698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st7'!$B$6:$B$10</c:f>
              <c:numCache>
                <c:formatCode>0.000</c:formatCode>
                <c:ptCount val="5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0.36516163611226798</c:v>
                </c:pt>
                <c:pt idx="4">
                  <c:v>4.1333778886518201E-2</c:v>
                </c:pt>
              </c:numCache>
            </c:numRef>
          </c:xVal>
          <c:yVal>
            <c:numRef>
              <c:f>'no st7'!$E$6:$E$10</c:f>
              <c:numCache>
                <c:formatCode>0.00</c:formatCode>
                <c:ptCount val="5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13-4207-864F-B6F26C90E7CA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'no st7'!$B$11:$B$20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'no st7'!$E$11:$E$20</c:f>
              <c:numCache>
                <c:formatCode>0.00</c:formatCode>
                <c:ptCount val="10"/>
                <c:pt idx="2">
                  <c:v>1.0393698938576728</c:v>
                </c:pt>
                <c:pt idx="4">
                  <c:v>1.0331150820718804</c:v>
                </c:pt>
                <c:pt idx="5">
                  <c:v>1.0275460447393339</c:v>
                </c:pt>
                <c:pt idx="6">
                  <c:v>1.0275826446035865</c:v>
                </c:pt>
                <c:pt idx="7">
                  <c:v>1.0396485920727681</c:v>
                </c:pt>
                <c:pt idx="8">
                  <c:v>1.0831630031367767</c:v>
                </c:pt>
                <c:pt idx="9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13-4207-864F-B6F26C90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7626986338890439"/>
                  <c:y val="-0.1168568115353898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st7'!$B$26:$B$40</c:f>
              <c:numCache>
                <c:formatCode>0.00</c:formatCode>
                <c:ptCount val="15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>
                  <c:v>3.4332675043980999E-2</c:v>
                </c:pt>
                <c:pt idx="6">
                  <c:v>2.8668980226143202E-2</c:v>
                </c:pt>
                <c:pt idx="7">
                  <c:v>1.20306787922476E-2</c:v>
                </c:pt>
                <c:pt idx="8">
                  <c:v>2.7386597361713599E-2</c:v>
                </c:pt>
                <c:pt idx="9">
                  <c:v>2.8615745110634201E-2</c:v>
                </c:pt>
                <c:pt idx="10">
                  <c:v>4.4113621235337297E-2</c:v>
                </c:pt>
                <c:pt idx="11">
                  <c:v>-8.0536265843332393E-3</c:v>
                </c:pt>
                <c:pt idx="12">
                  <c:v>-2.13677287576714E-2</c:v>
                </c:pt>
                <c:pt idx="13">
                  <c:v>2.7450804091866201E-2</c:v>
                </c:pt>
                <c:pt idx="14">
                  <c:v>-4.0077224600602597E-2</c:v>
                </c:pt>
              </c:numCache>
            </c:numRef>
          </c:xVal>
          <c:yVal>
            <c:numRef>
              <c:f>'no st7'!$E$26:$E$40</c:f>
              <c:numCache>
                <c:formatCode>0.00</c:formatCode>
                <c:ptCount val="15"/>
                <c:pt idx="0">
                  <c:v>1.1737788669959499</c:v>
                </c:pt>
                <c:pt idx="1">
                  <c:v>1.01827696825768</c:v>
                </c:pt>
                <c:pt idx="2">
                  <c:v>1</c:v>
                </c:pt>
                <c:pt idx="7">
                  <c:v>1.0393698938576728</c:v>
                </c:pt>
                <c:pt idx="9">
                  <c:v>1.0331150820718804</c:v>
                </c:pt>
                <c:pt idx="10">
                  <c:v>1.0275460447393339</c:v>
                </c:pt>
                <c:pt idx="11">
                  <c:v>1.0275826446035865</c:v>
                </c:pt>
                <c:pt idx="12">
                  <c:v>1.0396485920727681</c:v>
                </c:pt>
                <c:pt idx="13">
                  <c:v>1.0831630031367767</c:v>
                </c:pt>
                <c:pt idx="14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8F-48A8-897D-B1520D75F71E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244638677422335"/>
                  <c:y val="0.3932315937329780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st7'!$B$25:$B$30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xVal>
          <c:yVal>
            <c:numRef>
              <c:f>'no st7'!$E$25:$E$30</c:f>
              <c:numCache>
                <c:formatCode>0.00</c:formatCode>
                <c:ptCount val="6"/>
                <c:pt idx="1">
                  <c:v>1.1737788669959499</c:v>
                </c:pt>
                <c:pt idx="2">
                  <c:v>1.01827696825768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8F-48A8-897D-B1520D75F71E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9148961722252447E-2"/>
                  <c:y val="0.22006237713487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st7'!$B$31:$B$40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'no st7'!$E$31:$E$40</c:f>
              <c:numCache>
                <c:formatCode>0.00</c:formatCode>
                <c:ptCount val="10"/>
                <c:pt idx="2">
                  <c:v>1.0393698938576728</c:v>
                </c:pt>
                <c:pt idx="4">
                  <c:v>1.0331150820718804</c:v>
                </c:pt>
                <c:pt idx="5">
                  <c:v>1.0275460447393339</c:v>
                </c:pt>
                <c:pt idx="6">
                  <c:v>1.0275826446035865</c:v>
                </c:pt>
                <c:pt idx="7">
                  <c:v>1.0396485920727681</c:v>
                </c:pt>
                <c:pt idx="8">
                  <c:v>1.0831630031367767</c:v>
                </c:pt>
                <c:pt idx="9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8F-48A8-897D-B1520D75F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2"/>
          <c:min val="-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46249423221326"/>
          <c:y val="0.1560734208370308"/>
          <c:w val="0.74782772471482706"/>
          <c:h val="0.64792315492758235"/>
        </c:manualLayout>
      </c:layout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490010807472596"/>
                  <c:y val="-0.25063675633029597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st7'!$B$45:$B$59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0.12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xVal>
          <c:yVal>
            <c:numRef>
              <c:f>'no st7'!$E$45:$E$59</c:f>
              <c:numCache>
                <c:formatCode>0.00</c:formatCode>
                <c:ptCount val="15"/>
                <c:pt idx="0">
                  <c:v>1.1737788669959499</c:v>
                </c:pt>
                <c:pt idx="1">
                  <c:v>1.01827696825768</c:v>
                </c:pt>
                <c:pt idx="2">
                  <c:v>1</c:v>
                </c:pt>
                <c:pt idx="7">
                  <c:v>1.0393698938576728</c:v>
                </c:pt>
                <c:pt idx="9">
                  <c:v>1.0331150820718804</c:v>
                </c:pt>
                <c:pt idx="10">
                  <c:v>1.0275460447393339</c:v>
                </c:pt>
                <c:pt idx="11">
                  <c:v>1.0275826446035865</c:v>
                </c:pt>
                <c:pt idx="12">
                  <c:v>1.0396485920727681</c:v>
                </c:pt>
                <c:pt idx="13">
                  <c:v>1.0831630031367767</c:v>
                </c:pt>
                <c:pt idx="14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5A-4B74-829B-B2CEEDA31BDC}"/>
            </c:ext>
          </c:extLst>
        </c:ser>
        <c:ser>
          <c:idx val="0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473032736287508E-2"/>
                  <c:y val="-9.850261210318743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st7'!$B$45:$B$49</c:f>
              <c:numCache>
                <c:formatCode>0.00</c:formatCode>
                <c:ptCount val="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</c:numCache>
            </c:numRef>
          </c:xVal>
          <c:yVal>
            <c:numRef>
              <c:f>'no st7'!$E$45:$E$49</c:f>
              <c:numCache>
                <c:formatCode>0.00</c:formatCode>
                <c:ptCount val="5"/>
                <c:pt idx="0">
                  <c:v>1.1737788669959499</c:v>
                </c:pt>
                <c:pt idx="1">
                  <c:v>1.01827696825768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5A-4B74-829B-B2CEEDA31BDC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04135767784481"/>
                  <c:y val="-0.167626331592277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st7'!$B$50:$B$59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0.12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xVal>
          <c:yVal>
            <c:numRef>
              <c:f>'no st7'!$E$50:$E$59</c:f>
              <c:numCache>
                <c:formatCode>0.00</c:formatCode>
                <c:ptCount val="10"/>
                <c:pt idx="2">
                  <c:v>1.0393698938576728</c:v>
                </c:pt>
                <c:pt idx="4">
                  <c:v>1.0331150820718804</c:v>
                </c:pt>
                <c:pt idx="5">
                  <c:v>1.0275460447393339</c:v>
                </c:pt>
                <c:pt idx="6">
                  <c:v>1.0275826446035865</c:v>
                </c:pt>
                <c:pt idx="7">
                  <c:v>1.0396485920727681</c:v>
                </c:pt>
                <c:pt idx="8">
                  <c:v>1.0831630031367767</c:v>
                </c:pt>
                <c:pt idx="9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5A-4B74-829B-B2CEEDA31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1.2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fDOM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052740466265245"/>
                  <c:y val="-0.45165578142301516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st7'!$B$65:$B$67</c:f>
              <c:numCache>
                <c:formatCode>0.00</c:formatCode>
                <c:ptCount val="3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</c:numCache>
            </c:numRef>
          </c:xVal>
          <c:yVal>
            <c:numRef>
              <c:f>'no st7'!$E$65:$E$67</c:f>
              <c:numCache>
                <c:formatCode>0.00</c:formatCode>
                <c:ptCount val="3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7E-4F81-976C-CCC29A8B87B3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131516671223167"/>
                  <c:y val="-9.992416190264000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st7'!$B$70:$B$79</c:f>
              <c:numCache>
                <c:formatCode>0.000</c:formatCode>
                <c:ptCount val="10"/>
                <c:pt idx="0">
                  <c:v>1.3430417175947699E-2</c:v>
                </c:pt>
                <c:pt idx="1">
                  <c:v>-1.61778645652975E-2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-1.77749404385871E-2</c:v>
                </c:pt>
                <c:pt idx="8">
                  <c:v>3.08855730575289E-3</c:v>
                </c:pt>
                <c:pt idx="9">
                  <c:v>-5.3081166180475401E-3</c:v>
                </c:pt>
              </c:numCache>
            </c:numRef>
          </c:xVal>
          <c:yVal>
            <c:numRef>
              <c:f>'no st7'!$E$70:$E$79</c:f>
              <c:numCache>
                <c:formatCode>0.00</c:formatCode>
                <c:ptCount val="10"/>
                <c:pt idx="2">
                  <c:v>1.0393698938576728</c:v>
                </c:pt>
                <c:pt idx="4" formatCode="0.000">
                  <c:v>1.0331150820718804</c:v>
                </c:pt>
                <c:pt idx="5" formatCode="0.000">
                  <c:v>1.0275460447393339</c:v>
                </c:pt>
                <c:pt idx="6" formatCode="0.000">
                  <c:v>1.0275826446035865</c:v>
                </c:pt>
                <c:pt idx="7" formatCode="0.000">
                  <c:v>1.0396485920727681</c:v>
                </c:pt>
                <c:pt idx="8" formatCode="0.000">
                  <c:v>1.0831630031367767</c:v>
                </c:pt>
                <c:pt idx="9" formatCode="0.000">
                  <c:v>1.0183454205725238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7E-4F81-976C-CCC29A8B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1"/>
                <c:tx>
                  <c:v>all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0"/>
                  <c:trendlineLbl>
                    <c:layout>
                      <c:manualLayout>
                        <c:x val="-0.12385043809006317"/>
                        <c:y val="-0.25059227007443791"/>
                      </c:manualLayout>
                    </c:layout>
                    <c:numFmt formatCode="General" sourceLinked="0"/>
                    <c:spPr>
                      <a:solidFill>
                        <a:schemeClr val="accent6">
                          <a:lumMod val="20000"/>
                          <a:lumOff val="80000"/>
                        </a:schemeClr>
                      </a:solidFill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'no st7'!$B$65:$B$79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-0.54117535564386998</c:v>
                      </c:pt>
                      <c:pt idx="1">
                        <c:v>-0.511670862423525</c:v>
                      </c:pt>
                      <c:pt idx="2">
                        <c:v>-0.22155858359451899</c:v>
                      </c:pt>
                      <c:pt idx="3">
                        <c:v>9.6450074853088597E-2</c:v>
                      </c:pt>
                      <c:pt idx="4">
                        <c:v>-0.24313716774511701</c:v>
                      </c:pt>
                      <c:pt idx="5" formatCode="0.000">
                        <c:v>1.3430417175947699E-2</c:v>
                      </c:pt>
                      <c:pt idx="6" formatCode="0.000">
                        <c:v>-1.61778645652975E-2</c:v>
                      </c:pt>
                      <c:pt idx="7" formatCode="0.000">
                        <c:v>2.95836818188689E-2</c:v>
                      </c:pt>
                      <c:pt idx="8" formatCode="0.000">
                        <c:v>-5.4892758010415703E-2</c:v>
                      </c:pt>
                      <c:pt idx="9" formatCode="0.000">
                        <c:v>8.8641812543785899E-3</c:v>
                      </c:pt>
                      <c:pt idx="10" formatCode="0.000">
                        <c:v>1.32778322661357E-2</c:v>
                      </c:pt>
                      <c:pt idx="11" formatCode="0.000">
                        <c:v>-6.0975544853349099E-2</c:v>
                      </c:pt>
                      <c:pt idx="12" formatCode="0.000">
                        <c:v>-1.77749404385871E-2</c:v>
                      </c:pt>
                      <c:pt idx="13" formatCode="0.000">
                        <c:v>3.08855730575289E-3</c:v>
                      </c:pt>
                      <c:pt idx="14" formatCode="0.000">
                        <c:v>-5.3081166180475401E-3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'no st7'!$E$65:$E$79</c15:sqref>
                        </c15:formulaRef>
                      </c:ext>
                    </c:extLst>
                    <c:numCache>
                      <c:formatCode>0.00</c:formatCode>
                      <c:ptCount val="15"/>
                      <c:pt idx="0">
                        <c:v>1.1737788669959504</c:v>
                      </c:pt>
                      <c:pt idx="1">
                        <c:v>1.0182769682576838</c:v>
                      </c:pt>
                      <c:pt idx="2">
                        <c:v>1</c:v>
                      </c:pt>
                      <c:pt idx="7">
                        <c:v>1.0393698938576728</c:v>
                      </c:pt>
                      <c:pt idx="9" formatCode="0.000">
                        <c:v>1.0331150820718804</c:v>
                      </c:pt>
                      <c:pt idx="10" formatCode="0.000">
                        <c:v>1.0275460447393339</c:v>
                      </c:pt>
                      <c:pt idx="11" formatCode="0.000">
                        <c:v>1.0275826446035865</c:v>
                      </c:pt>
                      <c:pt idx="12" formatCode="0.000">
                        <c:v>1.0396485920727681</c:v>
                      </c:pt>
                      <c:pt idx="13" formatCode="0.000">
                        <c:v>1.0831630031367767</c:v>
                      </c:pt>
                      <c:pt idx="14" formatCode="0.000">
                        <c:v>1.0183454205725238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A7E-4F81-976C-CCC29A8B87B3}"/>
                  </c:ext>
                </c:extLst>
              </c15:ser>
            </c15:filteredScatterSeries>
          </c:ext>
        </c:extLst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∆</a:t>
            </a:r>
            <a:r>
              <a:rPr lang="es-CL"/>
              <a:t>transport</a:t>
            </a:r>
            <a:r>
              <a:rPr lang="es-CL" baseline="0"/>
              <a:t> time</a:t>
            </a:r>
            <a:endParaRPr lang="en-US"/>
          </a:p>
        </c:rich>
      </c:tx>
      <c:layout>
        <c:manualLayout>
          <c:xMode val="edge"/>
          <c:yMode val="edge"/>
          <c:x val="0.26679360303630667"/>
          <c:y val="6.1458330619016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8067090122825644E-2"/>
                  <c:y val="-4.0963851103748212E-4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'no st7'!$I$5:$I$20</c:f>
              <c:numCache>
                <c:formatCode>General</c:formatCode>
                <c:ptCount val="16"/>
                <c:pt idx="1">
                  <c:v>0.25</c:v>
                </c:pt>
                <c:pt idx="2">
                  <c:v>-3.25</c:v>
                </c:pt>
                <c:pt idx="3">
                  <c:v>0</c:v>
                </c:pt>
                <c:pt idx="8">
                  <c:v>-0.75</c:v>
                </c:pt>
                <c:pt idx="10">
                  <c:v>-1</c:v>
                </c:pt>
                <c:pt idx="11">
                  <c:v>-1.25</c:v>
                </c:pt>
                <c:pt idx="12">
                  <c:v>-3.5</c:v>
                </c:pt>
                <c:pt idx="13">
                  <c:v>-0.75</c:v>
                </c:pt>
                <c:pt idx="14">
                  <c:v>-3.5</c:v>
                </c:pt>
                <c:pt idx="15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9-48F3-ADF8-1366CBB0C8F8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6282448303286547"/>
                  <c:y val="3.8771925998862707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st7'!$B$5:$B$10</c:f>
              <c:numCache>
                <c:formatCode>0.000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'no st7'!$I$5:$I$10</c:f>
              <c:numCache>
                <c:formatCode>General</c:formatCode>
                <c:ptCount val="6"/>
                <c:pt idx="1">
                  <c:v>0.25</c:v>
                </c:pt>
                <c:pt idx="2">
                  <c:v>-3.25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69-48F3-ADF8-1366CBB0C8F8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601345707046846"/>
                  <c:y val="-0.1965892128525426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st7'!$B$11:$B$20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'no st7'!$I$11:$I$20</c:f>
              <c:numCache>
                <c:formatCode>General</c:formatCode>
                <c:ptCount val="10"/>
                <c:pt idx="2">
                  <c:v>-0.75</c:v>
                </c:pt>
                <c:pt idx="4">
                  <c:v>-1</c:v>
                </c:pt>
                <c:pt idx="5">
                  <c:v>-1.25</c:v>
                </c:pt>
                <c:pt idx="6">
                  <c:v>-3.5</c:v>
                </c:pt>
                <c:pt idx="7">
                  <c:v>-0.75</c:v>
                </c:pt>
                <c:pt idx="8">
                  <c:v>-3.5</c:v>
                </c:pt>
                <c:pt idx="9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69-48F3-ADF8-1366CBB0C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∆</a:t>
            </a:r>
            <a:r>
              <a:rPr lang="es-CL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transport time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171086133135266"/>
                  <c:y val="-2.550737848385848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st7'!$B$26:$B$40</c:f>
              <c:numCache>
                <c:formatCode>0.00</c:formatCode>
                <c:ptCount val="15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>
                  <c:v>3.4332675043980999E-2</c:v>
                </c:pt>
                <c:pt idx="6">
                  <c:v>2.8668980226143202E-2</c:v>
                </c:pt>
                <c:pt idx="7">
                  <c:v>1.20306787922476E-2</c:v>
                </c:pt>
                <c:pt idx="8">
                  <c:v>2.7386597361713599E-2</c:v>
                </c:pt>
                <c:pt idx="9">
                  <c:v>2.8615745110634201E-2</c:v>
                </c:pt>
                <c:pt idx="10">
                  <c:v>4.4113621235337297E-2</c:v>
                </c:pt>
                <c:pt idx="11">
                  <c:v>-8.0536265843332393E-3</c:v>
                </c:pt>
                <c:pt idx="12">
                  <c:v>-2.13677287576714E-2</c:v>
                </c:pt>
                <c:pt idx="13">
                  <c:v>2.7450804091866201E-2</c:v>
                </c:pt>
                <c:pt idx="14">
                  <c:v>-4.0077224600602597E-2</c:v>
                </c:pt>
              </c:numCache>
            </c:numRef>
          </c:xVal>
          <c:yVal>
            <c:numRef>
              <c:f>'no st7'!$I$26:$I$40</c:f>
              <c:numCache>
                <c:formatCode>General</c:formatCode>
                <c:ptCount val="15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  <c:pt idx="7">
                  <c:v>-0.75</c:v>
                </c:pt>
                <c:pt idx="9">
                  <c:v>-1</c:v>
                </c:pt>
                <c:pt idx="10">
                  <c:v>-1.25</c:v>
                </c:pt>
                <c:pt idx="11">
                  <c:v>-3.5</c:v>
                </c:pt>
                <c:pt idx="12">
                  <c:v>-0.75</c:v>
                </c:pt>
                <c:pt idx="13">
                  <c:v>-3.5</c:v>
                </c:pt>
                <c:pt idx="14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02-4A1E-B5DE-BCF850597E37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846626415202888E-2"/>
                  <c:y val="0.112282515924596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st7'!$B$25:$B$30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xVal>
          <c:yVal>
            <c:numRef>
              <c:f>'no st7'!$I$25:$I$30</c:f>
              <c:numCache>
                <c:formatCode>General</c:formatCode>
                <c:ptCount val="6"/>
                <c:pt idx="1">
                  <c:v>0.25</c:v>
                </c:pt>
                <c:pt idx="2">
                  <c:v>-3.25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02-4A1E-B5DE-BCF850597E37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930052142550085"/>
                  <c:y val="-0.217695031745532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st7'!$B$31:$B$40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'no st7'!$I$31:$I$40</c:f>
              <c:numCache>
                <c:formatCode>General</c:formatCode>
                <c:ptCount val="10"/>
                <c:pt idx="2">
                  <c:v>-0.75</c:v>
                </c:pt>
                <c:pt idx="4">
                  <c:v>-1</c:v>
                </c:pt>
                <c:pt idx="5">
                  <c:v>-1.25</c:v>
                </c:pt>
                <c:pt idx="6">
                  <c:v>-3.5</c:v>
                </c:pt>
                <c:pt idx="7">
                  <c:v>-0.75</c:v>
                </c:pt>
                <c:pt idx="8">
                  <c:v>-3.5</c:v>
                </c:pt>
                <c:pt idx="9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02-4A1E-B5DE-BCF850597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HI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∆</a:t>
            </a:r>
            <a:r>
              <a:rPr lang="es-CL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transport time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7980501810624083"/>
          <c:y val="5.8726297394096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100434864176353"/>
                  <c:y val="2.570363915515166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st7'!$B$45:$B$59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0.12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xVal>
          <c:yVal>
            <c:numRef>
              <c:f>'no st7'!$I$45:$I$59</c:f>
              <c:numCache>
                <c:formatCode>General</c:formatCode>
                <c:ptCount val="15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  <c:pt idx="7">
                  <c:v>-0.75</c:v>
                </c:pt>
                <c:pt idx="9">
                  <c:v>-1</c:v>
                </c:pt>
                <c:pt idx="10">
                  <c:v>-1.25</c:v>
                </c:pt>
                <c:pt idx="11">
                  <c:v>-3.5</c:v>
                </c:pt>
                <c:pt idx="12">
                  <c:v>-0.75</c:v>
                </c:pt>
                <c:pt idx="13">
                  <c:v>-3.5</c:v>
                </c:pt>
                <c:pt idx="14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B4-40CD-912A-19915CB6135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367811697219027"/>
                  <c:y val="0.3229942835299062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st7'!$B$44:$B$49</c:f>
              <c:numCache>
                <c:formatCode>0.00</c:formatCode>
                <c:ptCount val="6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</c:numCache>
            </c:numRef>
          </c:xVal>
          <c:yVal>
            <c:numRef>
              <c:f>'no st7'!$I$44:$I$49</c:f>
              <c:numCache>
                <c:formatCode>General</c:formatCode>
                <c:ptCount val="6"/>
                <c:pt idx="1">
                  <c:v>0.25</c:v>
                </c:pt>
                <c:pt idx="2">
                  <c:v>-3.25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B4-40CD-912A-19915CB6135D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780468970600734"/>
                  <c:y val="0.1446537760877810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st7'!$B$50:$B$59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0.12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xVal>
          <c:yVal>
            <c:numRef>
              <c:f>'no st7'!$I$50:$I$59</c:f>
              <c:numCache>
                <c:formatCode>General</c:formatCode>
                <c:ptCount val="10"/>
                <c:pt idx="2">
                  <c:v>-0.75</c:v>
                </c:pt>
                <c:pt idx="4">
                  <c:v>-1</c:v>
                </c:pt>
                <c:pt idx="5">
                  <c:v>-1.25</c:v>
                </c:pt>
                <c:pt idx="6">
                  <c:v>-3.5</c:v>
                </c:pt>
                <c:pt idx="7">
                  <c:v>-0.75</c:v>
                </c:pt>
                <c:pt idx="8">
                  <c:v>-3.5</c:v>
                </c:pt>
                <c:pt idx="9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B4-40CD-912A-19915CB6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fDOM HI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∆</a:t>
            </a:r>
            <a:r>
              <a:rPr lang="es-CL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transport time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8829930919669133"/>
          <c:y val="3.8929708885476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375290822874192"/>
                  <c:y val="2.982445828596187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st7'!$B$65:$B$79</c:f>
              <c:numCache>
                <c:formatCode>0.00</c:formatCode>
                <c:ptCount val="15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  <c:pt idx="5" formatCode="0.000">
                  <c:v>1.3430417175947699E-2</c:v>
                </c:pt>
                <c:pt idx="6" formatCode="0.000">
                  <c:v>-1.61778645652975E-2</c:v>
                </c:pt>
                <c:pt idx="7" formatCode="0.000">
                  <c:v>2.95836818188689E-2</c:v>
                </c:pt>
                <c:pt idx="8" formatCode="0.000">
                  <c:v>-5.4892758010415703E-2</c:v>
                </c:pt>
                <c:pt idx="9" formatCode="0.000">
                  <c:v>8.8641812543785899E-3</c:v>
                </c:pt>
                <c:pt idx="10" formatCode="0.000">
                  <c:v>1.32778322661357E-2</c:v>
                </c:pt>
                <c:pt idx="11" formatCode="0.000">
                  <c:v>-6.0975544853349099E-2</c:v>
                </c:pt>
                <c:pt idx="12" formatCode="0.000">
                  <c:v>-1.77749404385871E-2</c:v>
                </c:pt>
                <c:pt idx="13" formatCode="0.000">
                  <c:v>3.08855730575289E-3</c:v>
                </c:pt>
                <c:pt idx="14" formatCode="0.000">
                  <c:v>-5.3081166180475401E-3</c:v>
                </c:pt>
              </c:numCache>
            </c:numRef>
          </c:xVal>
          <c:yVal>
            <c:numRef>
              <c:f>'no st7'!$I$65:$I$79</c:f>
              <c:numCache>
                <c:formatCode>General</c:formatCode>
                <c:ptCount val="15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  <c:pt idx="7">
                  <c:v>-0.75</c:v>
                </c:pt>
                <c:pt idx="9">
                  <c:v>-1</c:v>
                </c:pt>
                <c:pt idx="10">
                  <c:v>-1.25</c:v>
                </c:pt>
                <c:pt idx="11">
                  <c:v>-3.5</c:v>
                </c:pt>
                <c:pt idx="12">
                  <c:v>-0.75</c:v>
                </c:pt>
                <c:pt idx="13">
                  <c:v>-3.5</c:v>
                </c:pt>
                <c:pt idx="14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8A-45EB-B5CB-693C6CC150B5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8978944283771502E-2"/>
                  <c:y val="0.1003219300352158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st7'!$B$65:$B$69</c:f>
              <c:numCache>
                <c:formatCode>0.00</c:formatCode>
                <c:ptCount val="5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</c:numCache>
            </c:numRef>
          </c:xVal>
          <c:yVal>
            <c:numRef>
              <c:f>'no st7'!$I$65:$I$69</c:f>
              <c:numCache>
                <c:formatCode>General</c:formatCode>
                <c:ptCount val="5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8A-45EB-B5CB-693C6CC150B5}"/>
            </c:ext>
          </c:extLst>
        </c:ser>
        <c:ser>
          <c:idx val="1"/>
          <c:order val="2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7096127956770594E-2"/>
                  <c:y val="0.158589419132081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st7'!$B$70:$B$79</c:f>
              <c:numCache>
                <c:formatCode>0.000</c:formatCode>
                <c:ptCount val="10"/>
                <c:pt idx="0">
                  <c:v>1.3430417175947699E-2</c:v>
                </c:pt>
                <c:pt idx="1">
                  <c:v>-1.61778645652975E-2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-1.77749404385871E-2</c:v>
                </c:pt>
                <c:pt idx="8">
                  <c:v>3.08855730575289E-3</c:v>
                </c:pt>
                <c:pt idx="9">
                  <c:v>-5.3081166180475401E-3</c:v>
                </c:pt>
              </c:numCache>
            </c:numRef>
          </c:xVal>
          <c:yVal>
            <c:numRef>
              <c:f>'no st7'!$I$70:$I$79</c:f>
              <c:numCache>
                <c:formatCode>General</c:formatCode>
                <c:ptCount val="10"/>
                <c:pt idx="2">
                  <c:v>-0.75</c:v>
                </c:pt>
                <c:pt idx="4">
                  <c:v>-1</c:v>
                </c:pt>
                <c:pt idx="5">
                  <c:v>-1.25</c:v>
                </c:pt>
                <c:pt idx="6">
                  <c:v>-3.5</c:v>
                </c:pt>
                <c:pt idx="7">
                  <c:v>-0.75</c:v>
                </c:pt>
                <c:pt idx="8">
                  <c:v>-3.5</c:v>
                </c:pt>
                <c:pt idx="9">
                  <c:v>-4.25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8A-45EB-B5CB-693C6CC15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 HI vs SS HI </a:t>
            </a:r>
          </a:p>
        </c:rich>
      </c:tx>
      <c:layout>
        <c:manualLayout>
          <c:xMode val="edge"/>
          <c:yMode val="edge"/>
          <c:x val="0.4146456692913385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0048118985128"/>
          <c:y val="0.16245370370370371"/>
          <c:w val="0.84757174103237098"/>
          <c:h val="0.59625801983085447"/>
        </c:manualLayout>
      </c:layout>
      <c:scatterChart>
        <c:scatterStyle val="lineMarker"/>
        <c:varyColors val="0"/>
        <c:ser>
          <c:idx val="0"/>
          <c:order val="0"/>
          <c:tx>
            <c:v>not including ST1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017672790901138"/>
                  <c:y val="-0.225190288713910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st7'!$B$6:$B$20</c:f>
              <c:numCache>
                <c:formatCode>0.000</c:formatCode>
                <c:ptCount val="15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0.36516163611226798</c:v>
                </c:pt>
                <c:pt idx="4">
                  <c:v>4.1333778886518201E-2</c:v>
                </c:pt>
                <c:pt idx="5">
                  <c:v>9.4513218106104094E-2</c:v>
                </c:pt>
                <c:pt idx="6">
                  <c:v>4.2663094228711902E-2</c:v>
                </c:pt>
                <c:pt idx="7">
                  <c:v>8.8732929175135894E-2</c:v>
                </c:pt>
                <c:pt idx="8">
                  <c:v>-1.9463558010346702E-2</c:v>
                </c:pt>
                <c:pt idx="9">
                  <c:v>0.10415722716452799</c:v>
                </c:pt>
                <c:pt idx="10">
                  <c:v>4.66251429291673E-2</c:v>
                </c:pt>
                <c:pt idx="11">
                  <c:v>9.0894558490112708E-3</c:v>
                </c:pt>
                <c:pt idx="12">
                  <c:v>-1.7278096303121701E-2</c:v>
                </c:pt>
                <c:pt idx="13">
                  <c:v>2.0373962034653699E-2</c:v>
                </c:pt>
                <c:pt idx="14">
                  <c:v>-2.50118292734785E-2</c:v>
                </c:pt>
              </c:numCache>
            </c:numRef>
          </c:xVal>
          <c:yVal>
            <c:numRef>
              <c:f>'no st7'!$B$45:$B$59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0.12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2E-4D29-A88C-28549554B07C}"/>
            </c:ext>
          </c:extLst>
        </c:ser>
        <c:ser>
          <c:idx val="1"/>
          <c:order val="1"/>
          <c:tx>
            <c:v>including ST1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934733158355206"/>
                  <c:y val="-7.871682706328375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'no st7'!$B$44:$B$59</c:f>
              <c:numCache>
                <c:formatCode>0.00</c:formatCode>
                <c:ptCount val="16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  <c:pt idx="6" formatCode="0.000">
                  <c:v>5.1856335362832198E-2</c:v>
                </c:pt>
                <c:pt idx="7" formatCode="0.000">
                  <c:v>0.103368750113241</c:v>
                </c:pt>
                <c:pt idx="8" formatCode="0.000">
                  <c:v>0.15621819275209001</c:v>
                </c:pt>
                <c:pt idx="9" formatCode="0.000">
                  <c:v>0.15071577677020101</c:v>
                </c:pt>
                <c:pt idx="10" formatCode="0.000">
                  <c:v>5.5397551503622099E-2</c:v>
                </c:pt>
                <c:pt idx="11" formatCode="0.000">
                  <c:v>6.9883057908481996E-2</c:v>
                </c:pt>
                <c:pt idx="12" formatCode="0.000">
                  <c:v>7.8645648239850305E-2</c:v>
                </c:pt>
                <c:pt idx="13" formatCode="0.000">
                  <c:v>0.12</c:v>
                </c:pt>
                <c:pt idx="14" formatCode="0.000">
                  <c:v>0.101236914763633</c:v>
                </c:pt>
                <c:pt idx="15" formatCode="0.000">
                  <c:v>0.107400232693555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2E-4D29-A88C-28549554B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35888"/>
        <c:axId val="220129840"/>
      </c:scatterChart>
      <c:valAx>
        <c:axId val="58673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129840"/>
        <c:crosses val="autoZero"/>
        <c:crossBetween val="midCat"/>
      </c:valAx>
      <c:valAx>
        <c:axId val="220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3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time between events</a:t>
            </a:r>
          </a:p>
        </c:rich>
      </c:tx>
      <c:layout>
        <c:manualLayout>
          <c:xMode val="edge"/>
          <c:yMode val="edge"/>
          <c:x val="0.18335180296335879"/>
          <c:y val="6.5671504142474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8067090122825644E-2"/>
                  <c:y val="-4.0963851103748212E-4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st7'!$B$5:$B$20</c:f>
              <c:numCache>
                <c:formatCode>0.000</c:formatCode>
                <c:ptCount val="1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9.4513218106104094E-2</c:v>
                </c:pt>
                <c:pt idx="7">
                  <c:v>4.2663094228711902E-2</c:v>
                </c:pt>
                <c:pt idx="8">
                  <c:v>8.8732929175135894E-2</c:v>
                </c:pt>
                <c:pt idx="9">
                  <c:v>-1.9463558010346702E-2</c:v>
                </c:pt>
                <c:pt idx="10">
                  <c:v>0.10415722716452799</c:v>
                </c:pt>
                <c:pt idx="11">
                  <c:v>4.66251429291673E-2</c:v>
                </c:pt>
                <c:pt idx="12">
                  <c:v>9.0894558490112708E-3</c:v>
                </c:pt>
                <c:pt idx="13">
                  <c:v>-1.7278096303121701E-2</c:v>
                </c:pt>
                <c:pt idx="14">
                  <c:v>2.0373962034653699E-2</c:v>
                </c:pt>
                <c:pt idx="15">
                  <c:v>-2.50118292734785E-2</c:v>
                </c:pt>
              </c:numCache>
            </c:numRef>
          </c:xVal>
          <c:yVal>
            <c:numRef>
              <c:f>'no st7'!$J$5:$J$20</c:f>
              <c:numCache>
                <c:formatCode>0.0</c:formatCode>
                <c:ptCount val="16"/>
                <c:pt idx="1">
                  <c:v>-1.2333333333333301</c:v>
                </c:pt>
                <c:pt idx="2">
                  <c:v>-0.233333333333333</c:v>
                </c:pt>
                <c:pt idx="3">
                  <c:v>0</c:v>
                </c:pt>
                <c:pt idx="8" formatCode="General">
                  <c:v>-3.05</c:v>
                </c:pt>
                <c:pt idx="10" formatCode="General">
                  <c:v>-5.3</c:v>
                </c:pt>
                <c:pt idx="11" formatCode="General">
                  <c:v>11.95</c:v>
                </c:pt>
                <c:pt idx="12" formatCode="General">
                  <c:v>-6.3</c:v>
                </c:pt>
                <c:pt idx="13" formatCode="General">
                  <c:v>-4.3</c:v>
                </c:pt>
                <c:pt idx="14" formatCode="General">
                  <c:v>-8.3000000000000007</c:v>
                </c:pt>
                <c:pt idx="15" formatCode="General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F3-42D8-90A9-484DB08F571C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52308995763144051"/>
                  <c:y val="0.2211704042418640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st7'!$B$5:$B$10</c:f>
              <c:numCache>
                <c:formatCode>0.000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'no st7'!$J$5:$J$10</c:f>
              <c:numCache>
                <c:formatCode>0.0</c:formatCode>
                <c:ptCount val="6"/>
                <c:pt idx="1">
                  <c:v>-1.2333333333333301</c:v>
                </c:pt>
                <c:pt idx="2">
                  <c:v>-0.233333333333333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F3-42D8-90A9-484DB08F571C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24871802412712"/>
                  <c:y val="-0.1183857918472177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st7'!$B$11:$B$20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'no st7'!$J$11:$J$20</c:f>
              <c:numCache>
                <c:formatCode>0.0</c:formatCode>
                <c:ptCount val="10"/>
                <c:pt idx="2" formatCode="General">
                  <c:v>-3.05</c:v>
                </c:pt>
                <c:pt idx="4" formatCode="General">
                  <c:v>-5.3</c:v>
                </c:pt>
                <c:pt idx="5" formatCode="General">
                  <c:v>11.95</c:v>
                </c:pt>
                <c:pt idx="6" formatCode="General">
                  <c:v>-6.3</c:v>
                </c:pt>
                <c:pt idx="7" formatCode="General">
                  <c:v>-4.3</c:v>
                </c:pt>
                <c:pt idx="8" formatCode="General">
                  <c:v>-8.3000000000000007</c:v>
                </c:pt>
                <c:pt idx="9" formatCode="General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F3-42D8-90A9-484DB08F5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ax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time between events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171086133135266"/>
                  <c:y val="-2.550737848385848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st7'!$B$26:$B$40</c:f>
              <c:numCache>
                <c:formatCode>0.00</c:formatCode>
                <c:ptCount val="15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0.39449354239977702</c:v>
                </c:pt>
                <c:pt idx="4">
                  <c:v>-0.17371472956907899</c:v>
                </c:pt>
                <c:pt idx="5">
                  <c:v>3.4332675043980999E-2</c:v>
                </c:pt>
                <c:pt idx="6">
                  <c:v>2.8668980226143202E-2</c:v>
                </c:pt>
                <c:pt idx="7">
                  <c:v>1.20306787922476E-2</c:v>
                </c:pt>
                <c:pt idx="8">
                  <c:v>2.7386597361713599E-2</c:v>
                </c:pt>
                <c:pt idx="9">
                  <c:v>2.8615745110634201E-2</c:v>
                </c:pt>
                <c:pt idx="10">
                  <c:v>4.4113621235337297E-2</c:v>
                </c:pt>
                <c:pt idx="11">
                  <c:v>-8.0536265843332393E-3</c:v>
                </c:pt>
                <c:pt idx="12">
                  <c:v>-2.13677287576714E-2</c:v>
                </c:pt>
                <c:pt idx="13">
                  <c:v>2.7450804091866201E-2</c:v>
                </c:pt>
                <c:pt idx="14">
                  <c:v>-4.0077224600602597E-2</c:v>
                </c:pt>
              </c:numCache>
            </c:numRef>
          </c:xVal>
          <c:yVal>
            <c:numRef>
              <c:f>'no st7'!$J$26:$J$40</c:f>
              <c:numCache>
                <c:formatCode>0.0</c:formatCode>
                <c:ptCount val="15"/>
                <c:pt idx="0">
                  <c:v>-1.2333333333333301</c:v>
                </c:pt>
                <c:pt idx="1">
                  <c:v>-0.233333333333333</c:v>
                </c:pt>
                <c:pt idx="2">
                  <c:v>0</c:v>
                </c:pt>
                <c:pt idx="7" formatCode="General">
                  <c:v>-3.05</c:v>
                </c:pt>
                <c:pt idx="9" formatCode="General">
                  <c:v>-5.3</c:v>
                </c:pt>
                <c:pt idx="10" formatCode="General">
                  <c:v>11.95</c:v>
                </c:pt>
                <c:pt idx="11" formatCode="General">
                  <c:v>-6.3</c:v>
                </c:pt>
                <c:pt idx="12" formatCode="General">
                  <c:v>-4.3</c:v>
                </c:pt>
                <c:pt idx="13" formatCode="General">
                  <c:v>-8.3000000000000007</c:v>
                </c:pt>
                <c:pt idx="14" formatCode="General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0D-41BC-B4C2-5A8D4BB97B8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846626415202888E-2"/>
                  <c:y val="0.1122825159245960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st7'!$B$25:$B$30</c:f>
              <c:numCache>
                <c:formatCode>0.00</c:formatCode>
                <c:ptCount val="6"/>
                <c:pt idx="0">
                  <c:v>-0.69015600278604705</c:v>
                </c:pt>
                <c:pt idx="1">
                  <c:v>1.7836570943256701E-2</c:v>
                </c:pt>
                <c:pt idx="2">
                  <c:v>-0.54160608613664096</c:v>
                </c:pt>
                <c:pt idx="3">
                  <c:v>-0.17637365181995501</c:v>
                </c:pt>
                <c:pt idx="4">
                  <c:v>0.39449354239977702</c:v>
                </c:pt>
                <c:pt idx="5">
                  <c:v>-0.17371472956907899</c:v>
                </c:pt>
              </c:numCache>
            </c:numRef>
          </c:xVal>
          <c:yVal>
            <c:numRef>
              <c:f>'no st7'!$J$25:$J$30</c:f>
              <c:numCache>
                <c:formatCode>0.0</c:formatCode>
                <c:ptCount val="6"/>
                <c:pt idx="1">
                  <c:v>-1.2333333333333301</c:v>
                </c:pt>
                <c:pt idx="2">
                  <c:v>-0.233333333333333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0D-41BC-B4C2-5A8D4BB97B8A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930052142550085"/>
                  <c:y val="-0.2176950317455321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st7'!$B$31:$B$40</c:f>
              <c:numCache>
                <c:formatCode>0.00</c:formatCode>
                <c:ptCount val="10"/>
                <c:pt idx="0">
                  <c:v>3.4332675043980999E-2</c:v>
                </c:pt>
                <c:pt idx="1">
                  <c:v>2.8668980226143202E-2</c:v>
                </c:pt>
                <c:pt idx="2">
                  <c:v>1.20306787922476E-2</c:v>
                </c:pt>
                <c:pt idx="3">
                  <c:v>2.7386597361713599E-2</c:v>
                </c:pt>
                <c:pt idx="4">
                  <c:v>2.8615745110634201E-2</c:v>
                </c:pt>
                <c:pt idx="5">
                  <c:v>4.4113621235337297E-2</c:v>
                </c:pt>
                <c:pt idx="6">
                  <c:v>-8.0536265843332393E-3</c:v>
                </c:pt>
                <c:pt idx="7">
                  <c:v>-2.13677287576714E-2</c:v>
                </c:pt>
                <c:pt idx="8">
                  <c:v>2.7450804091866201E-2</c:v>
                </c:pt>
                <c:pt idx="9">
                  <c:v>-4.0077224600602597E-2</c:v>
                </c:pt>
              </c:numCache>
            </c:numRef>
          </c:xVal>
          <c:yVal>
            <c:numRef>
              <c:f>'no st7'!$J$31:$J$40</c:f>
              <c:numCache>
                <c:formatCode>0.0</c:formatCode>
                <c:ptCount val="10"/>
                <c:pt idx="2" formatCode="General">
                  <c:v>-3.05</c:v>
                </c:pt>
                <c:pt idx="4" formatCode="General">
                  <c:v>-5.3</c:v>
                </c:pt>
                <c:pt idx="5" formatCode="General">
                  <c:v>11.95</c:v>
                </c:pt>
                <c:pt idx="6" formatCode="General">
                  <c:v>-6.3</c:v>
                </c:pt>
                <c:pt idx="7" formatCode="General">
                  <c:v>-4.3</c:v>
                </c:pt>
                <c:pt idx="8" formatCode="General">
                  <c:v>-8.3000000000000007</c:v>
                </c:pt>
                <c:pt idx="9" formatCode="General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0D-41BC-B4C2-5A8D4BB97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Turbidity HI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time between events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997056593815901"/>
          <c:y val="4.1927614746885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1991459358461555"/>
                  <c:y val="7.1103442276283443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st7'!$B$45:$B$59</c:f>
              <c:numCache>
                <c:formatCode>0.00</c:formatCode>
                <c:ptCount val="1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  <c:pt idx="5" formatCode="0.000">
                  <c:v>5.1856335362832198E-2</c:v>
                </c:pt>
                <c:pt idx="6" formatCode="0.000">
                  <c:v>0.103368750113241</c:v>
                </c:pt>
                <c:pt idx="7" formatCode="0.000">
                  <c:v>0.15621819275209001</c:v>
                </c:pt>
                <c:pt idx="8" formatCode="0.000">
                  <c:v>0.15071577677020101</c:v>
                </c:pt>
                <c:pt idx="9" formatCode="0.000">
                  <c:v>5.5397551503622099E-2</c:v>
                </c:pt>
                <c:pt idx="10" formatCode="0.000">
                  <c:v>6.9883057908481996E-2</c:v>
                </c:pt>
                <c:pt idx="11" formatCode="0.000">
                  <c:v>7.8645648239850305E-2</c:v>
                </c:pt>
                <c:pt idx="12" formatCode="0.000">
                  <c:v>0.12</c:v>
                </c:pt>
                <c:pt idx="13" formatCode="0.000">
                  <c:v>0.101236914763633</c:v>
                </c:pt>
                <c:pt idx="14" formatCode="0.000">
                  <c:v>0.107400232693555</c:v>
                </c:pt>
              </c:numCache>
            </c:numRef>
          </c:xVal>
          <c:yVal>
            <c:numRef>
              <c:f>'no st7'!$J$45:$J$59</c:f>
              <c:numCache>
                <c:formatCode>0.0</c:formatCode>
                <c:ptCount val="15"/>
                <c:pt idx="0">
                  <c:v>-1.2333333333333301</c:v>
                </c:pt>
                <c:pt idx="1">
                  <c:v>-0.233333333333333</c:v>
                </c:pt>
                <c:pt idx="2">
                  <c:v>0</c:v>
                </c:pt>
                <c:pt idx="7" formatCode="General">
                  <c:v>-3.05</c:v>
                </c:pt>
                <c:pt idx="9" formatCode="General">
                  <c:v>-5.3</c:v>
                </c:pt>
                <c:pt idx="10" formatCode="General">
                  <c:v>11.95</c:v>
                </c:pt>
                <c:pt idx="11" formatCode="General">
                  <c:v>-6.3</c:v>
                </c:pt>
                <c:pt idx="12" formatCode="General">
                  <c:v>-4.3</c:v>
                </c:pt>
                <c:pt idx="13" formatCode="General">
                  <c:v>-8.3000000000000007</c:v>
                </c:pt>
                <c:pt idx="14" formatCode="General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9E-4D18-BF00-14CDCBB1EDE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583506144579783"/>
                  <c:y val="-0.1571894563405137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st7'!$B$45:$B$49</c:f>
              <c:numCache>
                <c:formatCode>0.00</c:formatCode>
                <c:ptCount val="5"/>
                <c:pt idx="0">
                  <c:v>0.13233171245622599</c:v>
                </c:pt>
                <c:pt idx="1">
                  <c:v>8.9326261366187695E-2</c:v>
                </c:pt>
                <c:pt idx="2">
                  <c:v>0.14884070399999999</c:v>
                </c:pt>
                <c:pt idx="3">
                  <c:v>0.164262280281398</c:v>
                </c:pt>
                <c:pt idx="4">
                  <c:v>-4.45444212598241E-2</c:v>
                </c:pt>
              </c:numCache>
            </c:numRef>
          </c:xVal>
          <c:yVal>
            <c:numRef>
              <c:f>'no st7'!$J$45:$J$49</c:f>
              <c:numCache>
                <c:formatCode>0.0</c:formatCode>
                <c:ptCount val="5"/>
                <c:pt idx="0">
                  <c:v>-1.2333333333333301</c:v>
                </c:pt>
                <c:pt idx="1">
                  <c:v>-0.233333333333333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9E-4D18-BF00-14CDCBB1EDEB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7067478025523597E-2"/>
                  <c:y val="-0.1728951239597525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st7'!$B$50:$B$59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0.12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xVal>
          <c:yVal>
            <c:numRef>
              <c:f>'no st7'!$J$50:$J$59</c:f>
              <c:numCache>
                <c:formatCode>0.0</c:formatCode>
                <c:ptCount val="10"/>
                <c:pt idx="2" formatCode="General">
                  <c:v>-3.05</c:v>
                </c:pt>
                <c:pt idx="4" formatCode="General">
                  <c:v>-5.3</c:v>
                </c:pt>
                <c:pt idx="5" formatCode="General">
                  <c:v>11.95</c:v>
                </c:pt>
                <c:pt idx="6" formatCode="General">
                  <c:v>-6.3</c:v>
                </c:pt>
                <c:pt idx="7" formatCode="General">
                  <c:v>-4.3</c:v>
                </c:pt>
                <c:pt idx="8" formatCode="General">
                  <c:v>-8.3000000000000007</c:v>
                </c:pt>
                <c:pt idx="9" formatCode="General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9E-4D18-BF00-14CDCBB1E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fDOM HI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time between events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8829930919669133"/>
          <c:y val="3.8929708885476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375290822874192"/>
                  <c:y val="2.982445828596187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st7'!$B$65:$B$79</c:f>
              <c:numCache>
                <c:formatCode>0.00</c:formatCode>
                <c:ptCount val="15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  <c:pt idx="5" formatCode="0.000">
                  <c:v>1.3430417175947699E-2</c:v>
                </c:pt>
                <c:pt idx="6" formatCode="0.000">
                  <c:v>-1.61778645652975E-2</c:v>
                </c:pt>
                <c:pt idx="7" formatCode="0.000">
                  <c:v>2.95836818188689E-2</c:v>
                </c:pt>
                <c:pt idx="8" formatCode="0.000">
                  <c:v>-5.4892758010415703E-2</c:v>
                </c:pt>
                <c:pt idx="9" formatCode="0.000">
                  <c:v>8.8641812543785899E-3</c:v>
                </c:pt>
                <c:pt idx="10" formatCode="0.000">
                  <c:v>1.32778322661357E-2</c:v>
                </c:pt>
                <c:pt idx="11" formatCode="0.000">
                  <c:v>-6.0975544853349099E-2</c:v>
                </c:pt>
                <c:pt idx="12" formatCode="0.000">
                  <c:v>-1.77749404385871E-2</c:v>
                </c:pt>
                <c:pt idx="13" formatCode="0.000">
                  <c:v>3.08855730575289E-3</c:v>
                </c:pt>
                <c:pt idx="14" formatCode="0.000">
                  <c:v>-5.3081166180475401E-3</c:v>
                </c:pt>
              </c:numCache>
            </c:numRef>
          </c:xVal>
          <c:yVal>
            <c:numRef>
              <c:f>'no st7'!$J$65:$J$79</c:f>
              <c:numCache>
                <c:formatCode>0.0</c:formatCode>
                <c:ptCount val="15"/>
                <c:pt idx="0">
                  <c:v>-1.2333333333333301</c:v>
                </c:pt>
                <c:pt idx="1">
                  <c:v>-0.233333333333333</c:v>
                </c:pt>
                <c:pt idx="2">
                  <c:v>0</c:v>
                </c:pt>
                <c:pt idx="7" formatCode="General">
                  <c:v>-3.05</c:v>
                </c:pt>
                <c:pt idx="9" formatCode="General">
                  <c:v>-5.3</c:v>
                </c:pt>
                <c:pt idx="10" formatCode="General">
                  <c:v>11.95</c:v>
                </c:pt>
                <c:pt idx="11" formatCode="General">
                  <c:v>-6.3</c:v>
                </c:pt>
                <c:pt idx="12" formatCode="General">
                  <c:v>-4.3</c:v>
                </c:pt>
                <c:pt idx="13" formatCode="General">
                  <c:v>-8.3000000000000007</c:v>
                </c:pt>
                <c:pt idx="14" formatCode="General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32-4705-AC02-B47444E11B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8978944283771502E-2"/>
                  <c:y val="0.1003219300352158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st7'!$B$65:$B$69</c:f>
              <c:numCache>
                <c:formatCode>0.00</c:formatCode>
                <c:ptCount val="5"/>
                <c:pt idx="0">
                  <c:v>-0.54117535564386998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9.6450074853088597E-2</c:v>
                </c:pt>
                <c:pt idx="4">
                  <c:v>-0.24313716774511701</c:v>
                </c:pt>
              </c:numCache>
            </c:numRef>
          </c:xVal>
          <c:yVal>
            <c:numRef>
              <c:f>'no st7'!$J$65:$J$69</c:f>
              <c:numCache>
                <c:formatCode>0.0</c:formatCode>
                <c:ptCount val="5"/>
                <c:pt idx="0">
                  <c:v>-1.2333333333333301</c:v>
                </c:pt>
                <c:pt idx="1">
                  <c:v>-0.233333333333333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32-4705-AC02-B47444E11BCA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7096127956770594E-2"/>
                  <c:y val="0.158589419132081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st7'!$B$70:$B$79</c:f>
              <c:numCache>
                <c:formatCode>0.000</c:formatCode>
                <c:ptCount val="10"/>
                <c:pt idx="0">
                  <c:v>1.3430417175947699E-2</c:v>
                </c:pt>
                <c:pt idx="1">
                  <c:v>-1.61778645652975E-2</c:v>
                </c:pt>
                <c:pt idx="2">
                  <c:v>2.95836818188689E-2</c:v>
                </c:pt>
                <c:pt idx="3">
                  <c:v>-5.4892758010415703E-2</c:v>
                </c:pt>
                <c:pt idx="4">
                  <c:v>8.8641812543785899E-3</c:v>
                </c:pt>
                <c:pt idx="5">
                  <c:v>1.32778322661357E-2</c:v>
                </c:pt>
                <c:pt idx="6">
                  <c:v>-6.0975544853349099E-2</c:v>
                </c:pt>
                <c:pt idx="7">
                  <c:v>-1.77749404385871E-2</c:v>
                </c:pt>
                <c:pt idx="8">
                  <c:v>3.08855730575289E-3</c:v>
                </c:pt>
                <c:pt idx="9">
                  <c:v>-5.3081166180475401E-3</c:v>
                </c:pt>
              </c:numCache>
            </c:numRef>
          </c:xVal>
          <c:yVal>
            <c:numRef>
              <c:f>'no st7'!$J$70:$J$79</c:f>
              <c:numCache>
                <c:formatCode>0.0</c:formatCode>
                <c:ptCount val="10"/>
                <c:pt idx="2" formatCode="General">
                  <c:v>-3.05</c:v>
                </c:pt>
                <c:pt idx="4" formatCode="General">
                  <c:v>-5.3</c:v>
                </c:pt>
                <c:pt idx="5" formatCode="General">
                  <c:v>11.95</c:v>
                </c:pt>
                <c:pt idx="6" formatCode="General">
                  <c:v>-6.3</c:v>
                </c:pt>
                <c:pt idx="7" formatCode="General">
                  <c:v>-4.3</c:v>
                </c:pt>
                <c:pt idx="8" formatCode="General">
                  <c:v>-8.3000000000000007</c:v>
                </c:pt>
                <c:pt idx="9" formatCode="General">
                  <c:v>-9.8000000000000007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32-4705-AC02-B47444E11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∆time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τ&gt;τ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 (hrs</a:t>
                </a:r>
                <a:endParaRPr lang="en-US"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Clay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 /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212164765087942"/>
          <c:y val="4.2457904826093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86447129231622"/>
          <c:y val="0.16881658193755791"/>
          <c:w val="0.71225510689966409"/>
          <c:h val="0.60779316659887139"/>
        </c:manualLayout>
      </c:layout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292271315313644"/>
                  <c:y val="7.6931049031190843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st7'!$C$95:$C$97</c:f>
              <c:numCache>
                <c:formatCode>0.0000</c:formatCode>
                <c:ptCount val="3"/>
                <c:pt idx="0">
                  <c:v>0.111966393265454</c:v>
                </c:pt>
                <c:pt idx="1">
                  <c:v>8.5194138495455596E-2</c:v>
                </c:pt>
                <c:pt idx="2">
                  <c:v>0.13829255988935801</c:v>
                </c:pt>
              </c:numCache>
            </c:numRef>
          </c:xVal>
          <c:yVal>
            <c:numRef>
              <c:f>'no st7'!$G$95:$G$97</c:f>
              <c:numCache>
                <c:formatCode>0.00</c:formatCode>
                <c:ptCount val="3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71-45F0-A3EE-1C1EC068B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7359775592744585"/>
              <c:y val="0.82721497778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Silt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 /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212164765087942"/>
          <c:y val="4.2457904826093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86447129231622"/>
          <c:y val="0.16881658193755791"/>
          <c:w val="0.71225510689966409"/>
          <c:h val="0.60779316659887139"/>
        </c:manualLayout>
      </c:layout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292271315313644"/>
                  <c:y val="7.6931049031190843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st7'!$D$95:$D$97</c:f>
              <c:numCache>
                <c:formatCode>0.0000</c:formatCode>
                <c:ptCount val="3"/>
                <c:pt idx="0">
                  <c:v>0.120049397034174</c:v>
                </c:pt>
                <c:pt idx="1">
                  <c:v>0.10817436709775199</c:v>
                </c:pt>
                <c:pt idx="2">
                  <c:v>0.136626644156328</c:v>
                </c:pt>
              </c:numCache>
            </c:numRef>
          </c:xVal>
          <c:yVal>
            <c:numRef>
              <c:f>'no st7'!$G$95:$G$97</c:f>
              <c:numCache>
                <c:formatCode>0.00</c:formatCode>
                <c:ptCount val="3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68-42F8-BCBF-D8719E60D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7359775592744585"/>
              <c:y val="0.82721497778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Fine Sand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 /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</a:t>
            </a:r>
            <a:endParaRPr lang="en-US"/>
          </a:p>
        </c:rich>
      </c:tx>
      <c:layout>
        <c:manualLayout>
          <c:xMode val="edge"/>
          <c:yMode val="edge"/>
          <c:x val="0.3212164765087942"/>
          <c:y val="4.2457904826093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86447129231622"/>
          <c:y val="0.16881658193755791"/>
          <c:w val="0.71225510689966409"/>
          <c:h val="0.60779316659887139"/>
        </c:manualLayout>
      </c:layout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292271315313644"/>
                  <c:y val="7.6931049031190843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st7'!$E$95:$E$97</c:f>
              <c:numCache>
                <c:formatCode>0.0000</c:formatCode>
                <c:ptCount val="3"/>
                <c:pt idx="0">
                  <c:v>0.19303664781799701</c:v>
                </c:pt>
                <c:pt idx="1">
                  <c:v>8.8535674621076102E-2</c:v>
                </c:pt>
                <c:pt idx="2">
                  <c:v>0.135540384510944</c:v>
                </c:pt>
              </c:numCache>
            </c:numRef>
          </c:xVal>
          <c:yVal>
            <c:numRef>
              <c:f>'no st7'!$G$95:$G$97</c:f>
              <c:numCache>
                <c:formatCode>0.00</c:formatCode>
                <c:ptCount val="3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6E-4192-A2EA-491150145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7359775592744585"/>
              <c:y val="0.82721497778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Clay to ∆transport</a:t>
            </a:r>
          </a:p>
        </c:rich>
      </c:tx>
      <c:layout>
        <c:manualLayout>
          <c:xMode val="edge"/>
          <c:yMode val="edge"/>
          <c:x val="0.3212164765087942"/>
          <c:y val="4.2457904826093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86447129231622"/>
          <c:y val="0.16881658193755791"/>
          <c:w val="0.71225510689966409"/>
          <c:h val="0.60779316659887139"/>
        </c:manualLayout>
      </c:layout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292271315313644"/>
                  <c:y val="7.6931049031190843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st7'!$C$95:$C$97</c:f>
              <c:numCache>
                <c:formatCode>0.0000</c:formatCode>
                <c:ptCount val="3"/>
                <c:pt idx="0">
                  <c:v>0.111966393265454</c:v>
                </c:pt>
                <c:pt idx="1">
                  <c:v>8.5194138495455596E-2</c:v>
                </c:pt>
                <c:pt idx="2">
                  <c:v>0.13829255988935801</c:v>
                </c:pt>
              </c:numCache>
            </c:numRef>
          </c:xVal>
          <c:yVal>
            <c:numRef>
              <c:f>'no st7'!$H$95:$H$97</c:f>
              <c:numCache>
                <c:formatCode>General</c:formatCode>
                <c:ptCount val="3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C0-4853-AF4C-614DA99CD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7359775592744585"/>
              <c:y val="0.82721497778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Silt to ∆transport</a:t>
            </a:r>
          </a:p>
        </c:rich>
      </c:tx>
      <c:layout>
        <c:manualLayout>
          <c:xMode val="edge"/>
          <c:yMode val="edge"/>
          <c:x val="0.3212164765087942"/>
          <c:y val="4.2457904826093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86447129231622"/>
          <c:y val="0.16881658193755791"/>
          <c:w val="0.71225510689966409"/>
          <c:h val="0.60779316659887139"/>
        </c:manualLayout>
      </c:layout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292271315313644"/>
                  <c:y val="7.6931049031190843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st7'!$D$95:$D$97</c:f>
              <c:numCache>
                <c:formatCode>0.0000</c:formatCode>
                <c:ptCount val="3"/>
                <c:pt idx="0">
                  <c:v>0.120049397034174</c:v>
                </c:pt>
                <c:pt idx="1">
                  <c:v>0.10817436709775199</c:v>
                </c:pt>
                <c:pt idx="2">
                  <c:v>0.136626644156328</c:v>
                </c:pt>
              </c:numCache>
            </c:numRef>
          </c:xVal>
          <c:yVal>
            <c:numRef>
              <c:f>'no st7'!$H$95:$H$97</c:f>
              <c:numCache>
                <c:formatCode>General</c:formatCode>
                <c:ptCount val="3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9E-4FCA-8835-92777AA69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7359775592744585"/>
              <c:y val="0.82721497778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Fine Sand to ∆transport</a:t>
            </a:r>
          </a:p>
        </c:rich>
      </c:tx>
      <c:layout>
        <c:manualLayout>
          <c:xMode val="edge"/>
          <c:yMode val="edge"/>
          <c:x val="0.3212164765087942"/>
          <c:y val="4.2457904826093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86447129231622"/>
          <c:y val="0.16881658193755791"/>
          <c:w val="0.71225510689966409"/>
          <c:h val="0.60779316659887139"/>
        </c:manualLayout>
      </c:layout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292271315313644"/>
                  <c:y val="7.6931049031190843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st7'!$E$95:$E$97</c:f>
              <c:numCache>
                <c:formatCode>0.0000</c:formatCode>
                <c:ptCount val="3"/>
                <c:pt idx="0">
                  <c:v>0.19303664781799701</c:v>
                </c:pt>
                <c:pt idx="1">
                  <c:v>8.8535674621076102E-2</c:v>
                </c:pt>
                <c:pt idx="2">
                  <c:v>0.135540384510944</c:v>
                </c:pt>
              </c:numCache>
            </c:numRef>
          </c:xVal>
          <c:yVal>
            <c:numRef>
              <c:f>'no st7'!$H$95:$H$97</c:f>
              <c:numCache>
                <c:formatCode>General</c:formatCode>
                <c:ptCount val="3"/>
                <c:pt idx="0">
                  <c:v>0.25</c:v>
                </c:pt>
                <c:pt idx="1">
                  <c:v>-3.25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56-48A7-A26C-5A19D552F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7359775592744585"/>
              <c:y val="0.82721497778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024278215223098E-2"/>
                  <c:y val="-0.135576334208223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'turb vs SS HI'!$B$8:$B$17</c:f>
              <c:numCache>
                <c:formatCode>0.000</c:formatCode>
                <c:ptCount val="10"/>
                <c:pt idx="0">
                  <c:v>9.4513218106104094E-2</c:v>
                </c:pt>
                <c:pt idx="1">
                  <c:v>4.2663094228711902E-2</c:v>
                </c:pt>
                <c:pt idx="2">
                  <c:v>8.8732929175135894E-2</c:v>
                </c:pt>
                <c:pt idx="3">
                  <c:v>-1.9463558010346702E-2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-1.7278096303121701E-2</c:v>
                </c:pt>
                <c:pt idx="8">
                  <c:v>2.0373962034653699E-2</c:v>
                </c:pt>
                <c:pt idx="9">
                  <c:v>-2.50118292734785E-2</c:v>
                </c:pt>
              </c:numCache>
            </c:numRef>
          </c:xVal>
          <c:yVal>
            <c:numRef>
              <c:f>'turb vs SS HI'!$C$8:$C$17</c:f>
              <c:numCache>
                <c:formatCode>0.000</c:formatCode>
                <c:ptCount val="10"/>
                <c:pt idx="0">
                  <c:v>5.1856335362832198E-2</c:v>
                </c:pt>
                <c:pt idx="1">
                  <c:v>0.103368750113241</c:v>
                </c:pt>
                <c:pt idx="2">
                  <c:v>0.15621819275209001</c:v>
                </c:pt>
                <c:pt idx="3">
                  <c:v>0.15071577677020101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0.12</c:v>
                </c:pt>
                <c:pt idx="8">
                  <c:v>0.101236914763633</c:v>
                </c:pt>
                <c:pt idx="9">
                  <c:v>0.107400232693555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7-4489-96F6-9F19D9716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336592"/>
        <c:axId val="1113722480"/>
      </c:scatterChart>
      <c:valAx>
        <c:axId val="129933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22480"/>
        <c:crosses val="autoZero"/>
        <c:crossBetween val="midCat"/>
      </c:valAx>
      <c:valAx>
        <c:axId val="111372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33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952209098862641"/>
                  <c:y val="-3.71168708078156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'turb vs SS HI'!$B$2:$B$7</c:f>
              <c:numCache>
                <c:formatCode>0.000</c:formatCode>
                <c:ptCount val="6"/>
                <c:pt idx="0">
                  <c:v>0.78479742735639801</c:v>
                </c:pt>
                <c:pt idx="1">
                  <c:v>0.17369777575697301</c:v>
                </c:pt>
                <c:pt idx="2">
                  <c:v>9.9143945152060597E-2</c:v>
                </c:pt>
                <c:pt idx="3">
                  <c:v>0.21234239309632399</c:v>
                </c:pt>
                <c:pt idx="4">
                  <c:v>0.36516163611226798</c:v>
                </c:pt>
                <c:pt idx="5">
                  <c:v>4.1333778886518201E-2</c:v>
                </c:pt>
              </c:numCache>
            </c:numRef>
          </c:xVal>
          <c:yVal>
            <c:numRef>
              <c:f>'turb vs SS HI'!$C$2:$C$7</c:f>
              <c:numCache>
                <c:formatCode>0.00</c:formatCode>
                <c:ptCount val="6"/>
                <c:pt idx="0">
                  <c:v>0.57681691180727601</c:v>
                </c:pt>
                <c:pt idx="1">
                  <c:v>0.13233171245622599</c:v>
                </c:pt>
                <c:pt idx="2">
                  <c:v>8.9326261366187695E-2</c:v>
                </c:pt>
                <c:pt idx="3">
                  <c:v>0.14884070399999999</c:v>
                </c:pt>
                <c:pt idx="4">
                  <c:v>0.164262280281398</c:v>
                </c:pt>
                <c:pt idx="5">
                  <c:v>-4.45444212598241E-2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C-477A-96C7-97827DE0B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180048"/>
        <c:axId val="1113714800"/>
      </c:scatterChart>
      <c:valAx>
        <c:axId val="135118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14800"/>
        <c:crosses val="autoZero"/>
        <c:crossBetween val="midCat"/>
      </c:valAx>
      <c:valAx>
        <c:axId val="11137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18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18" Type="http://schemas.openxmlformats.org/officeDocument/2006/relationships/chart" Target="../charts/chart33.xml"/><Relationship Id="rId3" Type="http://schemas.openxmlformats.org/officeDocument/2006/relationships/chart" Target="../charts/chart18.xml"/><Relationship Id="rId21" Type="http://schemas.openxmlformats.org/officeDocument/2006/relationships/chart" Target="../charts/chart36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17" Type="http://schemas.openxmlformats.org/officeDocument/2006/relationships/chart" Target="../charts/chart32.xml"/><Relationship Id="rId2" Type="http://schemas.openxmlformats.org/officeDocument/2006/relationships/chart" Target="../charts/chart17.xml"/><Relationship Id="rId16" Type="http://schemas.openxmlformats.org/officeDocument/2006/relationships/chart" Target="../charts/chart31.xml"/><Relationship Id="rId20" Type="http://schemas.openxmlformats.org/officeDocument/2006/relationships/chart" Target="../charts/chart35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23" Type="http://schemas.openxmlformats.org/officeDocument/2006/relationships/chart" Target="../charts/chart38.xml"/><Relationship Id="rId10" Type="http://schemas.openxmlformats.org/officeDocument/2006/relationships/chart" Target="../charts/chart25.xml"/><Relationship Id="rId19" Type="http://schemas.openxmlformats.org/officeDocument/2006/relationships/chart" Target="../charts/chart34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Relationship Id="rId22" Type="http://schemas.openxmlformats.org/officeDocument/2006/relationships/chart" Target="../charts/chart3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3</xdr:row>
      <xdr:rowOff>47625</xdr:rowOff>
    </xdr:from>
    <xdr:to>
      <xdr:col>11</xdr:col>
      <xdr:colOff>647700</xdr:colOff>
      <xdr:row>16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418078-92AB-49A6-9747-BE910D3E0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552450</xdr:colOff>
      <xdr:row>16</xdr:row>
      <xdr:rowOff>114300</xdr:rowOff>
    </xdr:from>
    <xdr:to>
      <xdr:col>11</xdr:col>
      <xdr:colOff>628650</xdr:colOff>
      <xdr:row>28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FE8B61-85F7-4AA3-99F3-44DA72B9C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432088</xdr:colOff>
      <xdr:row>29</xdr:row>
      <xdr:rowOff>99147</xdr:rowOff>
    </xdr:from>
    <xdr:to>
      <xdr:col>11</xdr:col>
      <xdr:colOff>520411</xdr:colOff>
      <xdr:row>43</xdr:row>
      <xdr:rowOff>172545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0A4EAE-0452-4446-8267-F80490106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226666</xdr:colOff>
      <xdr:row>44</xdr:row>
      <xdr:rowOff>166580</xdr:rowOff>
    </xdr:from>
    <xdr:to>
      <xdr:col>11</xdr:col>
      <xdr:colOff>627531</xdr:colOff>
      <xdr:row>59</xdr:row>
      <xdr:rowOff>62524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3C7E6C-9BFA-45A4-8418-0AC79AD7A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691404</xdr:colOff>
      <xdr:row>3</xdr:row>
      <xdr:rowOff>33618</xdr:rowOff>
    </xdr:from>
    <xdr:to>
      <xdr:col>14</xdr:col>
      <xdr:colOff>756398</xdr:colOff>
      <xdr:row>16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A980D-71A1-46B9-A372-D3C19DD87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705972</xdr:colOff>
      <xdr:row>16</xdr:row>
      <xdr:rowOff>89087</xdr:rowOff>
    </xdr:from>
    <xdr:to>
      <xdr:col>14</xdr:col>
      <xdr:colOff>770966</xdr:colOff>
      <xdr:row>28</xdr:row>
      <xdr:rowOff>89087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A07124-DA7D-4152-A0E3-B3775578E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638736</xdr:colOff>
      <xdr:row>29</xdr:row>
      <xdr:rowOff>22412</xdr:rowOff>
    </xdr:from>
    <xdr:to>
      <xdr:col>14</xdr:col>
      <xdr:colOff>705971</xdr:colOff>
      <xdr:row>43</xdr:row>
      <xdr:rowOff>134471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6736E8-E340-442A-8038-96B90EA7E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717176</xdr:colOff>
      <xdr:row>44</xdr:row>
      <xdr:rowOff>67235</xdr:rowOff>
    </xdr:from>
    <xdr:to>
      <xdr:col>14</xdr:col>
      <xdr:colOff>784411</xdr:colOff>
      <xdr:row>59</xdr:row>
      <xdr:rowOff>145677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EECF61-D751-453A-A043-536654193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822064</xdr:colOff>
      <xdr:row>3</xdr:row>
      <xdr:rowOff>63123</xdr:rowOff>
    </xdr:from>
    <xdr:to>
      <xdr:col>17</xdr:col>
      <xdr:colOff>891861</xdr:colOff>
      <xdr:row>16</xdr:row>
      <xdr:rowOff>63123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18EF471-A995-4AAB-B300-8F0CD26C1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836632</xdr:colOff>
      <xdr:row>16</xdr:row>
      <xdr:rowOff>128278</xdr:rowOff>
    </xdr:from>
    <xdr:to>
      <xdr:col>17</xdr:col>
      <xdr:colOff>906429</xdr:colOff>
      <xdr:row>28</xdr:row>
      <xdr:rowOff>128278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4F75C8E-66C5-4D6B-908B-67EBE3885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816478</xdr:colOff>
      <xdr:row>28</xdr:row>
      <xdr:rowOff>190287</xdr:rowOff>
    </xdr:from>
    <xdr:to>
      <xdr:col>17</xdr:col>
      <xdr:colOff>880898</xdr:colOff>
      <xdr:row>43</xdr:row>
      <xdr:rowOff>121532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3EF1C12-13A5-4C65-91DD-88CEC84DA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847836</xdr:colOff>
      <xdr:row>44</xdr:row>
      <xdr:rowOff>106426</xdr:rowOff>
    </xdr:from>
    <xdr:to>
      <xdr:col>17</xdr:col>
      <xdr:colOff>919874</xdr:colOff>
      <xdr:row>59</xdr:row>
      <xdr:rowOff>184868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5533866-CC37-412D-9AF5-E6E7C64B2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463826</xdr:colOff>
      <xdr:row>81</xdr:row>
      <xdr:rowOff>171011</xdr:rowOff>
    </xdr:from>
    <xdr:to>
      <xdr:col>5</xdr:col>
      <xdr:colOff>935935</xdr:colOff>
      <xdr:row>96</xdr:row>
      <xdr:rowOff>56711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B863CB0-5165-4DED-BA6B-D8460DC68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469846</xdr:colOff>
      <xdr:row>2</xdr:row>
      <xdr:rowOff>133191</xdr:rowOff>
    </xdr:from>
    <xdr:to>
      <xdr:col>41</xdr:col>
      <xdr:colOff>193700</xdr:colOff>
      <xdr:row>15</xdr:row>
      <xdr:rowOff>86126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2BCA740-709D-A9DB-FF9D-D565193CE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0</xdr:colOff>
      <xdr:row>71</xdr:row>
      <xdr:rowOff>0</xdr:rowOff>
    </xdr:from>
    <xdr:to>
      <xdr:col>12</xdr:col>
      <xdr:colOff>616324</xdr:colOff>
      <xdr:row>85</xdr:row>
      <xdr:rowOff>134471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80980F-DF29-4665-AD45-A3C8CCF24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483041</xdr:colOff>
      <xdr:row>3</xdr:row>
      <xdr:rowOff>47625</xdr:rowOff>
    </xdr:from>
    <xdr:to>
      <xdr:col>12</xdr:col>
      <xdr:colOff>647700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B08CE-A3CB-4EEB-8503-E6F38A85E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463991</xdr:colOff>
      <xdr:row>16</xdr:row>
      <xdr:rowOff>114300</xdr:rowOff>
    </xdr:from>
    <xdr:to>
      <xdr:col>12</xdr:col>
      <xdr:colOff>628650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58AB8B-914D-4782-9DA6-4508207B5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347383</xdr:colOff>
      <xdr:row>29</xdr:row>
      <xdr:rowOff>99147</xdr:rowOff>
    </xdr:from>
    <xdr:to>
      <xdr:col>12</xdr:col>
      <xdr:colOff>520411</xdr:colOff>
      <xdr:row>43</xdr:row>
      <xdr:rowOff>172545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B04F13-E630-4D99-AE32-80B787F71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238753</xdr:colOff>
      <xdr:row>44</xdr:row>
      <xdr:rowOff>166580</xdr:rowOff>
    </xdr:from>
    <xdr:to>
      <xdr:col>12</xdr:col>
      <xdr:colOff>627531</xdr:colOff>
      <xdr:row>59</xdr:row>
      <xdr:rowOff>62524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37324-6CAD-465B-97AC-F61EE280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691404</xdr:colOff>
      <xdr:row>3</xdr:row>
      <xdr:rowOff>33618</xdr:rowOff>
    </xdr:from>
    <xdr:to>
      <xdr:col>15</xdr:col>
      <xdr:colOff>756398</xdr:colOff>
      <xdr:row>16</xdr:row>
      <xdr:rowOff>33618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50642D-833F-469A-A007-46AD1FDB1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705972</xdr:colOff>
      <xdr:row>16</xdr:row>
      <xdr:rowOff>89087</xdr:rowOff>
    </xdr:from>
    <xdr:to>
      <xdr:col>15</xdr:col>
      <xdr:colOff>770966</xdr:colOff>
      <xdr:row>28</xdr:row>
      <xdr:rowOff>89087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20AC11-004E-44EE-93BF-196F4630A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638736</xdr:colOff>
      <xdr:row>29</xdr:row>
      <xdr:rowOff>22412</xdr:rowOff>
    </xdr:from>
    <xdr:to>
      <xdr:col>15</xdr:col>
      <xdr:colOff>705971</xdr:colOff>
      <xdr:row>43</xdr:row>
      <xdr:rowOff>134471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5D008B-DC74-4881-8C47-F9D62735E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750793</xdr:colOff>
      <xdr:row>44</xdr:row>
      <xdr:rowOff>44823</xdr:rowOff>
    </xdr:from>
    <xdr:to>
      <xdr:col>15</xdr:col>
      <xdr:colOff>818028</xdr:colOff>
      <xdr:row>59</xdr:row>
      <xdr:rowOff>123265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C1CC70E-7BBE-4337-9532-9EDA0DDA4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822064</xdr:colOff>
      <xdr:row>3</xdr:row>
      <xdr:rowOff>63123</xdr:rowOff>
    </xdr:from>
    <xdr:to>
      <xdr:col>18</xdr:col>
      <xdr:colOff>891861</xdr:colOff>
      <xdr:row>16</xdr:row>
      <xdr:rowOff>63123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A11AFC1-CD95-490F-9EC9-6447CAF60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836632</xdr:colOff>
      <xdr:row>16</xdr:row>
      <xdr:rowOff>128278</xdr:rowOff>
    </xdr:from>
    <xdr:to>
      <xdr:col>18</xdr:col>
      <xdr:colOff>906429</xdr:colOff>
      <xdr:row>28</xdr:row>
      <xdr:rowOff>128278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B435B07-F0AC-4119-BC8D-85418B6A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816478</xdr:colOff>
      <xdr:row>28</xdr:row>
      <xdr:rowOff>190287</xdr:rowOff>
    </xdr:from>
    <xdr:to>
      <xdr:col>18</xdr:col>
      <xdr:colOff>880898</xdr:colOff>
      <xdr:row>43</xdr:row>
      <xdr:rowOff>121532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B737BB4-10F3-42B7-96E6-7F0256032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847836</xdr:colOff>
      <xdr:row>44</xdr:row>
      <xdr:rowOff>106426</xdr:rowOff>
    </xdr:from>
    <xdr:to>
      <xdr:col>18</xdr:col>
      <xdr:colOff>919874</xdr:colOff>
      <xdr:row>59</xdr:row>
      <xdr:rowOff>184868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7BB6731-000F-41AD-90AA-E939A7A76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574204</xdr:colOff>
      <xdr:row>80</xdr:row>
      <xdr:rowOff>110499</xdr:rowOff>
    </xdr:from>
    <xdr:to>
      <xdr:col>10</xdr:col>
      <xdr:colOff>656909</xdr:colOff>
      <xdr:row>94</xdr:row>
      <xdr:rowOff>186699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0EDE2D7-C51D-44A1-97AA-84F13AA47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997323</xdr:colOff>
      <xdr:row>3</xdr:row>
      <xdr:rowOff>78441</xdr:rowOff>
    </xdr:from>
    <xdr:to>
      <xdr:col>21</xdr:col>
      <xdr:colOff>462002</xdr:colOff>
      <xdr:row>16</xdr:row>
      <xdr:rowOff>78441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991B31E-673B-4EDD-8AD2-F61440588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986118</xdr:colOff>
      <xdr:row>16</xdr:row>
      <xdr:rowOff>156882</xdr:rowOff>
    </xdr:from>
    <xdr:to>
      <xdr:col>21</xdr:col>
      <xdr:colOff>450797</xdr:colOff>
      <xdr:row>28</xdr:row>
      <xdr:rowOff>156882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E58A08D-B5BE-4261-9F8C-2E2E00226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952500</xdr:colOff>
      <xdr:row>29</xdr:row>
      <xdr:rowOff>112059</xdr:rowOff>
    </xdr:from>
    <xdr:to>
      <xdr:col>21</xdr:col>
      <xdr:colOff>411802</xdr:colOff>
      <xdr:row>44</xdr:row>
      <xdr:rowOff>43304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456104A-F8E3-4257-9A9F-1A706F0D5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18</xdr:col>
      <xdr:colOff>907677</xdr:colOff>
      <xdr:row>44</xdr:row>
      <xdr:rowOff>123265</xdr:rowOff>
    </xdr:from>
    <xdr:to>
      <xdr:col>21</xdr:col>
      <xdr:colOff>374597</xdr:colOff>
      <xdr:row>60</xdr:row>
      <xdr:rowOff>11207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F62E60F-19F4-4307-BB06-7917DDABA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560294</xdr:colOff>
      <xdr:row>110</xdr:row>
      <xdr:rowOff>22412</xdr:rowOff>
    </xdr:from>
    <xdr:to>
      <xdr:col>3</xdr:col>
      <xdr:colOff>321541</xdr:colOff>
      <xdr:row>125</xdr:row>
      <xdr:rowOff>123265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5B209B-69A1-4A79-85A8-3B885D416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381000</xdr:colOff>
      <xdr:row>110</xdr:row>
      <xdr:rowOff>33618</xdr:rowOff>
    </xdr:from>
    <xdr:to>
      <xdr:col>6</xdr:col>
      <xdr:colOff>142248</xdr:colOff>
      <xdr:row>125</xdr:row>
      <xdr:rowOff>134471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52FA6D5-B479-4F0D-BBFA-726FB6F25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224119</xdr:colOff>
      <xdr:row>110</xdr:row>
      <xdr:rowOff>11205</xdr:rowOff>
    </xdr:from>
    <xdr:to>
      <xdr:col>8</xdr:col>
      <xdr:colOff>1173190</xdr:colOff>
      <xdr:row>125</xdr:row>
      <xdr:rowOff>112058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94BFFB9-CB7A-4022-83BE-5440A663A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605118</xdr:colOff>
      <xdr:row>126</xdr:row>
      <xdr:rowOff>11206</xdr:rowOff>
    </xdr:from>
    <xdr:to>
      <xdr:col>3</xdr:col>
      <xdr:colOff>366365</xdr:colOff>
      <xdr:row>141</xdr:row>
      <xdr:rowOff>156882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C96F5E7-9976-4404-94CD-BDD3F357B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403412</xdr:colOff>
      <xdr:row>126</xdr:row>
      <xdr:rowOff>1</xdr:rowOff>
    </xdr:from>
    <xdr:to>
      <xdr:col>6</xdr:col>
      <xdr:colOff>164660</xdr:colOff>
      <xdr:row>141</xdr:row>
      <xdr:rowOff>145677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593A4F3-2E57-4DC8-B851-D3B108E84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235323</xdr:colOff>
      <xdr:row>125</xdr:row>
      <xdr:rowOff>156883</xdr:rowOff>
    </xdr:from>
    <xdr:to>
      <xdr:col>8</xdr:col>
      <xdr:colOff>1184394</xdr:colOff>
      <xdr:row>141</xdr:row>
      <xdr:rowOff>112059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1A32339-AE25-4246-979D-81BC431FF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2</xdr:row>
      <xdr:rowOff>119062</xdr:rowOff>
    </xdr:from>
    <xdr:to>
      <xdr:col>13</xdr:col>
      <xdr:colOff>285750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D4148-200F-AFE3-F125-B8F3B18F0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157162</xdr:colOff>
      <xdr:row>19</xdr:row>
      <xdr:rowOff>42862</xdr:rowOff>
    </xdr:from>
    <xdr:to>
      <xdr:col>13</xdr:col>
      <xdr:colOff>461962</xdr:colOff>
      <xdr:row>33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EE037C-C8A8-F31B-4620-C3A1C958B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AP94"/>
  <sheetViews>
    <sheetView topLeftCell="F1" zoomScale="85" zoomScaleNormal="85" workbookViewId="0">
      <selection activeCell="G36" sqref="G36"/>
    </sheetView>
  </sheetViews>
  <sheetFormatPr defaultRowHeight="15" x14ac:dyDescent="0.25"/>
  <cols>
    <col min="1" max="1" width="19.140625" customWidth="1"/>
    <col min="2" max="2" width="18.7109375" customWidth="1"/>
    <col min="3" max="3" width="15.5703125" customWidth="1"/>
    <col min="4" max="9" width="17.85546875" customWidth="1"/>
    <col min="10" max="11" width="23.7109375" customWidth="1"/>
    <col min="12" max="12" width="15.5703125" customWidth="1"/>
    <col min="13" max="14" width="16" customWidth="1"/>
    <col min="15" max="15" width="13" customWidth="1"/>
    <col min="16" max="16" width="16.28515625" customWidth="1"/>
    <col min="17" max="17" width="17.7109375" customWidth="1"/>
    <col min="18" max="21" width="18.7109375" customWidth="1"/>
    <col min="23" max="23" width="14.85546875" customWidth="1"/>
    <col min="24" max="25" width="16.42578125" customWidth="1"/>
    <col min="26" max="26" width="15.85546875" customWidth="1"/>
    <col min="27" max="27" width="19" customWidth="1"/>
    <col min="28" max="29" width="18" customWidth="1"/>
    <col min="30" max="30" width="13" customWidth="1"/>
    <col min="31" max="31" width="14.42578125" customWidth="1"/>
    <col min="32" max="32" width="14.7109375" customWidth="1"/>
    <col min="35" max="35" width="13.140625" customWidth="1"/>
    <col min="43" max="43" width="14.7109375" customWidth="1"/>
    <col min="44" max="44" width="20.7109375" customWidth="1"/>
    <col min="51" max="51" width="13" customWidth="1"/>
  </cols>
  <sheetData>
    <row r="1" spans="1:32" x14ac:dyDescent="0.25">
      <c r="A1" s="4" t="s">
        <v>7</v>
      </c>
      <c r="K1" s="3"/>
    </row>
    <row r="2" spans="1:32" x14ac:dyDescent="0.25">
      <c r="A2" s="5" t="s">
        <v>8</v>
      </c>
      <c r="K2" s="3"/>
    </row>
    <row r="3" spans="1:32" x14ac:dyDescent="0.25">
      <c r="A3" s="7" t="s">
        <v>2</v>
      </c>
      <c r="B3" s="7"/>
      <c r="C3" s="7"/>
      <c r="D3" s="1"/>
      <c r="E3" s="1"/>
      <c r="F3" s="1"/>
      <c r="G3" s="1"/>
      <c r="H3" s="1"/>
      <c r="I3" s="1"/>
      <c r="K3" s="3"/>
      <c r="L3" s="1"/>
      <c r="AD3" s="1"/>
      <c r="AE3" s="1"/>
      <c r="AF3" s="1"/>
    </row>
    <row r="4" spans="1:32" ht="54.75" customHeight="1" x14ac:dyDescent="0.25">
      <c r="A4" s="11" t="s">
        <v>21</v>
      </c>
      <c r="B4" s="11" t="s">
        <v>1</v>
      </c>
      <c r="C4" s="12" t="s">
        <v>22</v>
      </c>
      <c r="D4" s="13" t="s">
        <v>11</v>
      </c>
      <c r="E4" s="13" t="s">
        <v>12</v>
      </c>
      <c r="F4" s="13" t="s">
        <v>31</v>
      </c>
      <c r="G4" s="13" t="s">
        <v>63</v>
      </c>
      <c r="H4" s="13" t="s">
        <v>64</v>
      </c>
      <c r="I4" s="13" t="s">
        <v>32</v>
      </c>
      <c r="J4" s="3"/>
      <c r="K4" s="1"/>
      <c r="L4" s="1"/>
      <c r="X4" s="11" t="s">
        <v>21</v>
      </c>
      <c r="Y4" s="11" t="s">
        <v>33</v>
      </c>
      <c r="Z4" s="11" t="s">
        <v>34</v>
      </c>
      <c r="AA4" s="11" t="s">
        <v>35</v>
      </c>
      <c r="AB4" s="10" t="s">
        <v>36</v>
      </c>
      <c r="AC4" s="13" t="s">
        <v>62</v>
      </c>
      <c r="AD4" s="13" t="s">
        <v>32</v>
      </c>
      <c r="AE4" s="13" t="s">
        <v>31</v>
      </c>
      <c r="AF4" s="37" t="s">
        <v>61</v>
      </c>
    </row>
    <row r="5" spans="1:32" x14ac:dyDescent="0.25">
      <c r="A5" s="15" t="s">
        <v>13</v>
      </c>
      <c r="B5" s="16">
        <v>0.78479742735639801</v>
      </c>
      <c r="C5" s="17"/>
      <c r="D5" s="18">
        <v>133.4714286</v>
      </c>
      <c r="E5" s="18"/>
      <c r="F5" s="25"/>
      <c r="G5" s="15"/>
      <c r="H5" s="15"/>
      <c r="I5" s="15"/>
      <c r="J5" s="1"/>
      <c r="K5" s="1"/>
      <c r="L5" s="1"/>
      <c r="X5" s="15" t="s">
        <v>14</v>
      </c>
      <c r="Y5" s="16">
        <v>0.17369777575697301</v>
      </c>
      <c r="Z5" s="23">
        <v>1.7836570943256701E-2</v>
      </c>
      <c r="AA5" s="38">
        <v>0.13984116014494999</v>
      </c>
      <c r="AB5" s="22">
        <v>-0.64117535564386996</v>
      </c>
      <c r="AC5" s="39">
        <v>1.1737788669959504</v>
      </c>
      <c r="AD5" s="18">
        <v>-1.5</v>
      </c>
      <c r="AE5" s="18">
        <v>4</v>
      </c>
      <c r="AF5" s="9">
        <v>0.30708458237534503</v>
      </c>
    </row>
    <row r="6" spans="1:32" x14ac:dyDescent="0.25">
      <c r="A6" s="15" t="s">
        <v>14</v>
      </c>
      <c r="B6" s="16">
        <v>0.17369777575697301</v>
      </c>
      <c r="C6" s="18">
        <v>60.588347259999999</v>
      </c>
      <c r="D6" s="18">
        <v>71.117321599999997</v>
      </c>
      <c r="E6" s="18">
        <f>D6/C6</f>
        <v>1.1737788669959504</v>
      </c>
      <c r="F6" s="18">
        <v>4</v>
      </c>
      <c r="G6" s="15">
        <v>0.25</v>
      </c>
      <c r="H6" s="15">
        <v>0</v>
      </c>
      <c r="I6" s="15">
        <f t="shared" ref="I6:I21" si="0">G6-H6</f>
        <v>0.25</v>
      </c>
      <c r="J6" s="1"/>
      <c r="K6" s="1"/>
      <c r="L6" s="1"/>
      <c r="X6" s="15" t="s">
        <v>15</v>
      </c>
      <c r="Y6" s="16">
        <v>9.9143945152060597E-2</v>
      </c>
      <c r="Z6" s="22">
        <v>-0.54160608613664096</v>
      </c>
      <c r="AA6" s="23">
        <v>8.9326261366187695E-2</v>
      </c>
      <c r="AB6" s="22">
        <v>-0.511670862423525</v>
      </c>
      <c r="AC6" s="39">
        <v>1.0182769682576838</v>
      </c>
      <c r="AD6" s="18">
        <v>-0.63852552807902296</v>
      </c>
      <c r="AE6" s="18">
        <v>1.1385255280790201</v>
      </c>
      <c r="AF6" s="9">
        <v>0.49664162355941199</v>
      </c>
    </row>
    <row r="7" spans="1:32" x14ac:dyDescent="0.25">
      <c r="A7" s="15" t="s">
        <v>15</v>
      </c>
      <c r="B7" s="16">
        <v>9.9143945152060597E-2</v>
      </c>
      <c r="C7" s="18">
        <v>73.387016439999996</v>
      </c>
      <c r="D7" s="18">
        <v>74.728308609999999</v>
      </c>
      <c r="E7" s="18">
        <f>D7/C7</f>
        <v>1.0182769682576838</v>
      </c>
      <c r="F7" s="18">
        <v>1.1385255280790201</v>
      </c>
      <c r="G7" s="15">
        <v>0.25</v>
      </c>
      <c r="H7" s="15">
        <v>3.5</v>
      </c>
      <c r="I7" s="15">
        <f>G7-H7</f>
        <v>-3.25</v>
      </c>
      <c r="J7" s="1"/>
      <c r="K7" s="1"/>
      <c r="L7" s="1"/>
      <c r="X7" s="15" t="s">
        <v>16</v>
      </c>
      <c r="Y7" s="16">
        <v>0.21234239309632399</v>
      </c>
      <c r="Z7" s="22">
        <v>-0.17637365181995501</v>
      </c>
      <c r="AA7" s="23">
        <v>0.14884070399999999</v>
      </c>
      <c r="AB7" s="22">
        <v>-0.22155858359451899</v>
      </c>
      <c r="AC7" s="39">
        <v>1</v>
      </c>
      <c r="AD7" s="18">
        <v>0</v>
      </c>
      <c r="AE7" s="18">
        <v>0</v>
      </c>
      <c r="AF7" s="9">
        <v>0</v>
      </c>
    </row>
    <row r="8" spans="1:32" x14ac:dyDescent="0.25">
      <c r="A8" s="15" t="s">
        <v>16</v>
      </c>
      <c r="B8" s="16">
        <v>0.21234239309632399</v>
      </c>
      <c r="C8" s="18">
        <v>79.767295559999994</v>
      </c>
      <c r="D8" s="18">
        <v>79.767295559999994</v>
      </c>
      <c r="E8" s="18">
        <f>D8/C8</f>
        <v>1</v>
      </c>
      <c r="F8" s="18">
        <v>0</v>
      </c>
      <c r="G8" s="15">
        <v>0</v>
      </c>
      <c r="H8" s="15">
        <v>0</v>
      </c>
      <c r="I8" s="15">
        <f t="shared" si="0"/>
        <v>0</v>
      </c>
      <c r="J8" s="1"/>
      <c r="K8" s="1"/>
      <c r="L8" s="1"/>
      <c r="X8" s="15" t="s">
        <v>23</v>
      </c>
      <c r="Y8" s="16">
        <v>8.8732929175135894E-2</v>
      </c>
      <c r="Z8" s="23">
        <v>1.20306787922476E-2</v>
      </c>
      <c r="AA8" s="16">
        <v>0.15621819275209001</v>
      </c>
      <c r="AB8" s="16">
        <v>2.95836818188689E-2</v>
      </c>
      <c r="AC8" s="39">
        <v>1.0393698938576728</v>
      </c>
      <c r="AD8" s="18">
        <v>-1.9243966466520197</v>
      </c>
      <c r="AE8" s="18">
        <v>8.1761484496582497</v>
      </c>
      <c r="AF8" s="9">
        <v>0.19059894727801999</v>
      </c>
    </row>
    <row r="9" spans="1:32" x14ac:dyDescent="0.25">
      <c r="A9" s="15" t="s">
        <v>17</v>
      </c>
      <c r="B9" s="16">
        <v>0.36516163611226798</v>
      </c>
      <c r="C9" s="18"/>
      <c r="D9" s="18">
        <v>68.631809730000001</v>
      </c>
      <c r="E9" s="18"/>
      <c r="F9" s="18"/>
      <c r="G9" s="15"/>
      <c r="H9" s="15"/>
      <c r="I9" s="15"/>
      <c r="J9" s="1"/>
      <c r="K9" s="1"/>
      <c r="L9" s="1"/>
      <c r="X9" s="15" t="s">
        <v>25</v>
      </c>
      <c r="Y9" s="16">
        <v>0.10415722716452799</v>
      </c>
      <c r="Z9" s="23">
        <v>2.8615745110634201E-2</v>
      </c>
      <c r="AA9" s="16">
        <v>5.5397551503622099E-2</v>
      </c>
      <c r="AB9" s="16">
        <v>8.8641812543785899E-3</v>
      </c>
      <c r="AC9" s="39">
        <v>1.0331150820718804</v>
      </c>
      <c r="AD9" s="18">
        <v>-8.5529249332917008</v>
      </c>
      <c r="AE9" s="18">
        <v>19.594840851392899</v>
      </c>
      <c r="AF9" s="9">
        <v>0.499861288181496</v>
      </c>
    </row>
    <row r="10" spans="1:32" x14ac:dyDescent="0.25">
      <c r="A10" s="15" t="s">
        <v>18</v>
      </c>
      <c r="B10" s="55">
        <v>4.1333778886518201E-2</v>
      </c>
      <c r="C10" s="18"/>
      <c r="D10" s="18">
        <v>69.696396059999998</v>
      </c>
      <c r="E10" s="18"/>
      <c r="F10" s="18"/>
      <c r="G10" s="15"/>
      <c r="H10" s="15"/>
      <c r="I10" s="15"/>
      <c r="J10" s="1"/>
      <c r="K10" s="1"/>
      <c r="L10" s="1"/>
      <c r="X10" s="15" t="s">
        <v>26</v>
      </c>
      <c r="Y10" s="16">
        <v>4.66251429291673E-2</v>
      </c>
      <c r="Z10" s="23">
        <v>4.4113621235337297E-2</v>
      </c>
      <c r="AA10" s="16">
        <v>6.9883057908481996E-2</v>
      </c>
      <c r="AB10" s="16">
        <v>1.32778322661357E-2</v>
      </c>
      <c r="AC10" s="39">
        <v>1.0275460447393339</v>
      </c>
      <c r="AD10" s="18">
        <v>-6.8910153198931301</v>
      </c>
      <c r="AE10" s="18">
        <v>17.2552427011953</v>
      </c>
      <c r="AF10" s="9">
        <v>0.40695810522245701</v>
      </c>
    </row>
    <row r="11" spans="1:32" x14ac:dyDescent="0.25">
      <c r="A11" s="15" t="s">
        <v>65</v>
      </c>
      <c r="B11" s="54">
        <v>-4.1760232547360499E-2</v>
      </c>
      <c r="C11" s="18">
        <v>67.505054000000001</v>
      </c>
      <c r="D11" s="18">
        <v>70.569593760000004</v>
      </c>
      <c r="E11" s="18">
        <f>D11/C11</f>
        <v>1.045397189964473</v>
      </c>
      <c r="F11" s="18">
        <v>4.5222851684946201</v>
      </c>
      <c r="G11" s="15">
        <v>0</v>
      </c>
      <c r="H11" s="15">
        <v>0.5</v>
      </c>
      <c r="I11" s="15">
        <f t="shared" si="0"/>
        <v>-0.5</v>
      </c>
      <c r="J11" s="1"/>
      <c r="K11" s="1"/>
      <c r="L11" s="1"/>
      <c r="X11" s="15"/>
      <c r="Y11" s="16"/>
      <c r="Z11" s="23"/>
      <c r="AA11" s="16"/>
      <c r="AB11" s="16"/>
      <c r="AC11" s="39"/>
      <c r="AD11" s="18"/>
      <c r="AE11" s="18"/>
      <c r="AF11" s="9"/>
    </row>
    <row r="12" spans="1:32" x14ac:dyDescent="0.25">
      <c r="A12" s="15" t="s">
        <v>19</v>
      </c>
      <c r="B12" s="55">
        <v>9.4513218106104094E-2</v>
      </c>
      <c r="C12" s="50"/>
      <c r="D12" s="18">
        <v>112.55085055666601</v>
      </c>
      <c r="E12" s="18"/>
      <c r="F12" s="18"/>
      <c r="G12" s="15"/>
      <c r="H12" s="15"/>
      <c r="I12" s="15"/>
      <c r="J12" s="1"/>
      <c r="K12" s="1"/>
      <c r="L12" s="1"/>
      <c r="X12" s="15" t="s">
        <v>27</v>
      </c>
      <c r="Y12" s="16">
        <v>9.0894558490112708E-3</v>
      </c>
      <c r="Z12" s="22">
        <v>-8.0536265843332393E-3</v>
      </c>
      <c r="AA12" s="16">
        <v>7.8645648239850305E-2</v>
      </c>
      <c r="AB12" s="24">
        <v>-6.0975544853349099E-2</v>
      </c>
      <c r="AC12" s="39">
        <v>1.0275826446035865</v>
      </c>
      <c r="AD12" s="18">
        <v>-4.3261384988685592</v>
      </c>
      <c r="AE12" s="18">
        <v>17.024424898784201</v>
      </c>
      <c r="AF12" s="9">
        <v>5.4056282725128302E-2</v>
      </c>
    </row>
    <row r="13" spans="1:32" x14ac:dyDescent="0.25">
      <c r="A13" s="15" t="s">
        <v>20</v>
      </c>
      <c r="B13" s="55">
        <v>4.2663094228711902E-2</v>
      </c>
      <c r="C13" s="50"/>
      <c r="D13" s="18">
        <v>117.49299123</v>
      </c>
      <c r="E13" s="18"/>
      <c r="F13" s="18"/>
      <c r="G13" s="15"/>
      <c r="H13" s="15"/>
      <c r="I13" s="15"/>
      <c r="J13" s="1"/>
      <c r="K13" s="1"/>
      <c r="L13" s="1"/>
      <c r="X13" s="15" t="s">
        <v>28</v>
      </c>
      <c r="Y13" s="16">
        <v>-1.7278096303121701E-2</v>
      </c>
      <c r="Z13" s="22">
        <v>-2.13677287576714E-2</v>
      </c>
      <c r="AA13" s="16">
        <v>2.1496979213356301E-3</v>
      </c>
      <c r="AB13" s="24">
        <v>-1.77749404385871E-2</v>
      </c>
      <c r="AC13" s="39">
        <v>1.0396485920727681</v>
      </c>
      <c r="AD13" s="18">
        <v>-8.6900508235792202</v>
      </c>
      <c r="AE13" s="18">
        <v>15.1069524712688</v>
      </c>
      <c r="AF13" s="9">
        <v>0.26690920736687102</v>
      </c>
    </row>
    <row r="14" spans="1:32" x14ac:dyDescent="0.25">
      <c r="A14" s="15" t="s">
        <v>23</v>
      </c>
      <c r="B14" s="55">
        <v>8.8732929175135894E-2</v>
      </c>
      <c r="C14" s="18">
        <v>110.72040256</v>
      </c>
      <c r="D14" s="18">
        <v>115.079453056666</v>
      </c>
      <c r="E14" s="18">
        <f>D14/C14</f>
        <v>1.0393698938576728</v>
      </c>
      <c r="F14" s="18">
        <v>8.1761484496582497</v>
      </c>
      <c r="G14" s="15">
        <v>0.5</v>
      </c>
      <c r="H14" s="15">
        <v>1.25</v>
      </c>
      <c r="I14" s="15">
        <f t="shared" si="0"/>
        <v>-0.75</v>
      </c>
      <c r="J14" s="1"/>
      <c r="K14" s="1"/>
      <c r="L14" s="1"/>
      <c r="X14" s="15" t="s">
        <v>29</v>
      </c>
      <c r="Y14" s="16">
        <v>2.0373962034653699E-2</v>
      </c>
      <c r="Z14" s="23">
        <v>2.7450804091866201E-2</v>
      </c>
      <c r="AA14" s="16">
        <v>0.101236914763633</v>
      </c>
      <c r="AB14" s="16">
        <v>3.08855730575289E-3</v>
      </c>
      <c r="AC14" s="39">
        <v>1.0831630031367767</v>
      </c>
      <c r="AD14" s="18">
        <v>-7.4420412056407592</v>
      </c>
      <c r="AE14" s="18">
        <v>21.9579587943592</v>
      </c>
      <c r="AF14" s="9">
        <v>0.45125668170602201</v>
      </c>
    </row>
    <row r="15" spans="1:32" x14ac:dyDescent="0.25">
      <c r="A15" s="15" t="s">
        <v>24</v>
      </c>
      <c r="B15" s="55">
        <v>-1.9463558010346702E-2</v>
      </c>
      <c r="C15" s="18"/>
      <c r="D15" s="18">
        <v>119.222878299999</v>
      </c>
      <c r="E15" s="18"/>
      <c r="F15" s="18"/>
      <c r="G15" s="15"/>
      <c r="H15" s="15"/>
      <c r="I15" s="15"/>
      <c r="J15" s="1"/>
      <c r="K15" s="1"/>
      <c r="L15" s="1"/>
      <c r="X15" s="15" t="s">
        <v>30</v>
      </c>
      <c r="Y15" s="16">
        <v>-2.50118292734785E-2</v>
      </c>
      <c r="Z15" s="22">
        <v>-4.0077224600602597E-2</v>
      </c>
      <c r="AA15" s="16">
        <v>0.107400232693555</v>
      </c>
      <c r="AB15" s="24">
        <v>-5.3081166180475401E-3</v>
      </c>
      <c r="AC15" s="39">
        <v>1.0183454205725238</v>
      </c>
      <c r="AD15" s="18">
        <v>-8.2060847497882605</v>
      </c>
      <c r="AE15" s="18">
        <v>16.640165980770899</v>
      </c>
      <c r="AF15" s="9">
        <v>0.51242235468873398</v>
      </c>
    </row>
    <row r="16" spans="1:32" x14ac:dyDescent="0.25">
      <c r="A16" s="15" t="s">
        <v>25</v>
      </c>
      <c r="B16" s="16">
        <v>0.10415722716452799</v>
      </c>
      <c r="C16" s="18">
        <v>111.66319882000001</v>
      </c>
      <c r="D16" s="18">
        <v>115.360934813333</v>
      </c>
      <c r="E16" s="18">
        <f t="shared" ref="E16:E21" si="1">D16/C16</f>
        <v>1.0331150820718804</v>
      </c>
      <c r="F16" s="18">
        <v>19.594840851392899</v>
      </c>
      <c r="G16" s="15">
        <v>0.5</v>
      </c>
      <c r="H16" s="15">
        <v>1.5</v>
      </c>
      <c r="I16" s="15">
        <f t="shared" si="0"/>
        <v>-1</v>
      </c>
      <c r="J16" s="1"/>
      <c r="K16" s="1"/>
      <c r="L16" s="1"/>
    </row>
    <row r="17" spans="1:42" x14ac:dyDescent="0.25">
      <c r="A17" s="15" t="s">
        <v>26</v>
      </c>
      <c r="B17" s="16">
        <v>4.66251429291673E-2</v>
      </c>
      <c r="C17" s="18">
        <v>114.89097618</v>
      </c>
      <c r="D17" s="18">
        <v>118.05576815000001</v>
      </c>
      <c r="E17" s="18">
        <f t="shared" si="1"/>
        <v>1.0275460447393339</v>
      </c>
      <c r="F17" s="18">
        <v>17.2552427011953</v>
      </c>
      <c r="G17" s="15">
        <v>0</v>
      </c>
      <c r="H17" s="15">
        <v>1.25</v>
      </c>
      <c r="I17" s="15">
        <f t="shared" si="0"/>
        <v>-1.25</v>
      </c>
      <c r="J17" s="1"/>
      <c r="K17" s="1"/>
      <c r="L17" s="1"/>
    </row>
    <row r="18" spans="1:42" x14ac:dyDescent="0.25">
      <c r="A18" s="15" t="s">
        <v>27</v>
      </c>
      <c r="B18" s="16">
        <v>9.0894558490112708E-3</v>
      </c>
      <c r="C18" s="18">
        <v>116.55531655999999</v>
      </c>
      <c r="D18" s="18">
        <v>119.77022043333299</v>
      </c>
      <c r="E18" s="18">
        <f t="shared" si="1"/>
        <v>1.0275826446035865</v>
      </c>
      <c r="F18" s="18">
        <v>17.024424898784201</v>
      </c>
      <c r="G18" s="15">
        <v>1.25</v>
      </c>
      <c r="H18" s="15">
        <v>4.75</v>
      </c>
      <c r="I18" s="15">
        <f t="shared" si="0"/>
        <v>-3.5</v>
      </c>
      <c r="J18" s="1"/>
      <c r="K18" s="1"/>
      <c r="L18" s="1"/>
    </row>
    <row r="19" spans="1:42" x14ac:dyDescent="0.25">
      <c r="A19" s="15" t="s">
        <v>28</v>
      </c>
      <c r="B19" s="16">
        <v>-1.7278096303121701E-2</v>
      </c>
      <c r="C19" s="18">
        <v>120.40602251999999</v>
      </c>
      <c r="D19" s="18">
        <v>125.17995179</v>
      </c>
      <c r="E19" s="18">
        <f t="shared" si="1"/>
        <v>1.0396485920727681</v>
      </c>
      <c r="F19" s="18">
        <v>15.1069524712688</v>
      </c>
      <c r="G19" s="15">
        <v>2</v>
      </c>
      <c r="H19" s="15">
        <v>1.25</v>
      </c>
      <c r="I19" s="15">
        <f t="shared" si="0"/>
        <v>0.75</v>
      </c>
      <c r="J19" s="1"/>
      <c r="K19" s="1"/>
      <c r="L19" s="1"/>
    </row>
    <row r="20" spans="1:42" ht="15.75" thickBot="1" x14ac:dyDescent="0.3">
      <c r="A20" s="15" t="s">
        <v>29</v>
      </c>
      <c r="B20" s="16">
        <v>2.0373962034653699E-2</v>
      </c>
      <c r="C20" s="18">
        <v>118.75512236</v>
      </c>
      <c r="D20" s="18">
        <v>128.631154973333</v>
      </c>
      <c r="E20" s="18">
        <f t="shared" si="1"/>
        <v>1.0831630031367767</v>
      </c>
      <c r="F20" s="18">
        <v>21.9579587943592</v>
      </c>
      <c r="G20" s="15">
        <v>3.75</v>
      </c>
      <c r="H20" s="15">
        <v>7.25</v>
      </c>
      <c r="I20" s="15">
        <f t="shared" si="0"/>
        <v>-3.5</v>
      </c>
      <c r="K20" s="1"/>
      <c r="L20" s="1"/>
      <c r="X20" s="26" t="s">
        <v>59</v>
      </c>
      <c r="Y20" s="27"/>
      <c r="Z20" s="27"/>
      <c r="AA20" s="27"/>
      <c r="AB20" s="27"/>
      <c r="AC20" s="27"/>
      <c r="AD20" s="27"/>
      <c r="AE20" s="27"/>
      <c r="AF20" s="27"/>
      <c r="AG20" s="1"/>
      <c r="AH20" s="30" t="s">
        <v>60</v>
      </c>
      <c r="AI20" s="30"/>
      <c r="AJ20" s="30"/>
      <c r="AK20" s="30"/>
      <c r="AL20" s="30"/>
      <c r="AM20" s="30"/>
      <c r="AN20" s="30"/>
      <c r="AO20" s="30"/>
      <c r="AP20" s="30"/>
    </row>
    <row r="21" spans="1:42" x14ac:dyDescent="0.25">
      <c r="A21" s="15" t="s">
        <v>30</v>
      </c>
      <c r="B21" s="16">
        <v>-2.50118292734785E-2</v>
      </c>
      <c r="C21" s="18">
        <v>125.12197168</v>
      </c>
      <c r="D21" s="18">
        <v>127.417386873333</v>
      </c>
      <c r="E21" s="18">
        <f t="shared" si="1"/>
        <v>1.0183454205725238</v>
      </c>
      <c r="F21" s="18">
        <v>16.640165980770899</v>
      </c>
      <c r="G21" s="15">
        <v>0.5</v>
      </c>
      <c r="H21" s="15">
        <v>4.75</v>
      </c>
      <c r="I21" s="15">
        <f t="shared" si="0"/>
        <v>-4.25</v>
      </c>
      <c r="K21" s="1"/>
      <c r="L21" s="1"/>
      <c r="X21" s="28" t="s">
        <v>37</v>
      </c>
      <c r="Y21" s="28"/>
      <c r="Z21" s="27"/>
      <c r="AA21" s="27"/>
      <c r="AB21" s="27"/>
      <c r="AC21" s="27"/>
      <c r="AD21" s="27"/>
      <c r="AE21" s="27"/>
      <c r="AF21" s="27"/>
      <c r="AG21" s="1"/>
      <c r="AH21" s="31" t="s">
        <v>37</v>
      </c>
      <c r="AI21" s="31"/>
      <c r="AJ21" s="30"/>
      <c r="AK21" s="30"/>
      <c r="AL21" s="30"/>
      <c r="AM21" s="30"/>
      <c r="AN21" s="30"/>
      <c r="AO21" s="30"/>
      <c r="AP21" s="30"/>
    </row>
    <row r="22" spans="1:42" x14ac:dyDescent="0.25">
      <c r="A22" s="1"/>
      <c r="B22" s="6"/>
      <c r="D22" s="9"/>
      <c r="E22" s="6"/>
      <c r="F22" s="6"/>
      <c r="G22" s="6"/>
      <c r="H22" s="6"/>
      <c r="I22" s="6"/>
      <c r="J22" s="8"/>
      <c r="K22" s="1"/>
      <c r="L22" s="1"/>
      <c r="X22" s="27" t="s">
        <v>38</v>
      </c>
      <c r="Y22" s="41">
        <v>0.76444358594083117</v>
      </c>
      <c r="Z22" s="27"/>
      <c r="AA22" s="27"/>
      <c r="AB22" s="27"/>
      <c r="AC22" s="27"/>
      <c r="AD22" s="27"/>
      <c r="AE22" s="27"/>
      <c r="AF22" s="27"/>
      <c r="AG22" s="1"/>
      <c r="AH22" s="30" t="s">
        <v>38</v>
      </c>
      <c r="AI22" s="41">
        <v>0.61098104839357625</v>
      </c>
      <c r="AJ22" s="30"/>
      <c r="AK22" s="30"/>
      <c r="AL22" s="30"/>
      <c r="AM22" s="30"/>
      <c r="AN22" s="30"/>
      <c r="AO22" s="30"/>
      <c r="AP22" s="30"/>
    </row>
    <row r="23" spans="1:42" x14ac:dyDescent="0.25">
      <c r="A23" s="7" t="s">
        <v>4</v>
      </c>
      <c r="B23" s="7"/>
      <c r="C23" s="7"/>
      <c r="D23" s="9"/>
      <c r="E23" s="6"/>
      <c r="F23" s="6"/>
      <c r="G23" s="6"/>
      <c r="H23" s="6"/>
      <c r="I23" s="6"/>
      <c r="K23" s="1"/>
      <c r="L23" s="1"/>
      <c r="X23" s="27" t="s">
        <v>39</v>
      </c>
      <c r="Y23" s="41">
        <v>0.58437399608607699</v>
      </c>
      <c r="Z23" s="27"/>
      <c r="AA23" s="27"/>
      <c r="AB23" s="27"/>
      <c r="AC23" s="27"/>
      <c r="AD23" s="27"/>
      <c r="AE23" s="27"/>
      <c r="AF23" s="27"/>
      <c r="AG23" s="1"/>
      <c r="AH23" s="30" t="s">
        <v>39</v>
      </c>
      <c r="AI23" s="41">
        <v>0.373297841496114</v>
      </c>
      <c r="AJ23" s="30"/>
      <c r="AK23" s="30"/>
      <c r="AL23" s="30"/>
      <c r="AM23" s="30"/>
      <c r="AN23" s="30"/>
      <c r="AO23" s="30"/>
      <c r="AP23" s="30"/>
    </row>
    <row r="24" spans="1:42" ht="30" x14ac:dyDescent="0.25">
      <c r="A24" s="11" t="s">
        <v>0</v>
      </c>
      <c r="B24" s="11" t="s">
        <v>1</v>
      </c>
      <c r="C24" s="12" t="s">
        <v>22</v>
      </c>
      <c r="D24" s="13" t="s">
        <v>11</v>
      </c>
      <c r="E24" s="13" t="s">
        <v>12</v>
      </c>
      <c r="F24" s="13" t="s">
        <v>31</v>
      </c>
      <c r="G24" s="13" t="s">
        <v>63</v>
      </c>
      <c r="H24" s="13" t="s">
        <v>64</v>
      </c>
      <c r="I24" s="13" t="s">
        <v>32</v>
      </c>
      <c r="J24" s="8"/>
      <c r="K24" s="1"/>
      <c r="L24" s="1"/>
      <c r="X24" s="27" t="s">
        <v>40</v>
      </c>
      <c r="Y24" s="41">
        <v>0.46562370925352753</v>
      </c>
      <c r="Z24" s="27"/>
      <c r="AA24" s="27"/>
      <c r="AB24" s="27"/>
      <c r="AC24" s="27"/>
      <c r="AD24" s="27"/>
      <c r="AE24" s="27"/>
      <c r="AF24" s="27"/>
      <c r="AG24" s="1"/>
      <c r="AH24" s="30" t="s">
        <v>40</v>
      </c>
      <c r="AI24" s="41">
        <v>0.19424008192357453</v>
      </c>
      <c r="AJ24" s="30"/>
      <c r="AK24" s="30"/>
      <c r="AL24" s="30"/>
      <c r="AM24" s="30"/>
      <c r="AN24" s="30"/>
      <c r="AO24" s="30"/>
      <c r="AP24" s="30"/>
    </row>
    <row r="25" spans="1:42" x14ac:dyDescent="0.25">
      <c r="A25" s="14" t="s">
        <v>13</v>
      </c>
      <c r="B25" s="22">
        <v>-0.69015600278604705</v>
      </c>
      <c r="C25" s="17"/>
      <c r="D25" s="18">
        <v>133.4714286</v>
      </c>
      <c r="E25" s="18"/>
      <c r="F25" s="25"/>
      <c r="G25" s="15"/>
      <c r="H25" s="15"/>
      <c r="I25" s="15"/>
      <c r="J25" s="1"/>
      <c r="K25" s="1"/>
      <c r="L25" s="1"/>
      <c r="X25" s="27" t="s">
        <v>41</v>
      </c>
      <c r="Y25" s="27">
        <v>5.8038237190838761E-2</v>
      </c>
      <c r="Z25" s="27"/>
      <c r="AA25" s="27"/>
      <c r="AB25" s="27"/>
      <c r="AC25" s="27"/>
      <c r="AD25" s="27"/>
      <c r="AE25" s="27"/>
      <c r="AF25" s="27"/>
      <c r="AG25" s="1"/>
      <c r="AH25" s="30" t="s">
        <v>41</v>
      </c>
      <c r="AI25" s="41">
        <v>0.16038868504292825</v>
      </c>
      <c r="AJ25" s="30"/>
      <c r="AK25" s="30"/>
      <c r="AL25" s="30"/>
      <c r="AM25" s="30"/>
      <c r="AN25" s="30"/>
      <c r="AO25" s="30"/>
      <c r="AP25" s="30"/>
    </row>
    <row r="26" spans="1:42" ht="15.75" thickBot="1" x14ac:dyDescent="0.3">
      <c r="A26" s="14" t="s">
        <v>14</v>
      </c>
      <c r="B26" s="23">
        <v>1.7836570943256701E-2</v>
      </c>
      <c r="C26" s="17">
        <v>60.588347259999999</v>
      </c>
      <c r="D26" s="18">
        <v>71.117321599999997</v>
      </c>
      <c r="E26" s="18">
        <v>1.1737788669959499</v>
      </c>
      <c r="F26" s="18">
        <v>4</v>
      </c>
      <c r="G26" s="15">
        <v>0.25</v>
      </c>
      <c r="H26" s="15">
        <v>0</v>
      </c>
      <c r="I26" s="15">
        <f t="shared" ref="I26:I28" si="2">G26-H26</f>
        <v>0.25</v>
      </c>
      <c r="J26" s="1"/>
      <c r="K26" s="1"/>
      <c r="L26" s="1"/>
      <c r="X26" s="40" t="s">
        <v>42</v>
      </c>
      <c r="Y26" s="40">
        <v>10</v>
      </c>
      <c r="Z26" s="27"/>
      <c r="AA26" s="27"/>
      <c r="AB26" s="27"/>
      <c r="AC26" s="27"/>
      <c r="AD26" s="27"/>
      <c r="AE26" s="27"/>
      <c r="AF26" s="27"/>
      <c r="AG26" s="1"/>
      <c r="AH26" s="32" t="s">
        <v>42</v>
      </c>
      <c r="AI26" s="32">
        <v>10</v>
      </c>
      <c r="AJ26" s="30"/>
      <c r="AK26" s="30"/>
      <c r="AL26" s="30"/>
      <c r="AM26" s="30"/>
      <c r="AN26" s="30"/>
      <c r="AO26" s="30"/>
      <c r="AP26" s="30"/>
    </row>
    <row r="27" spans="1:42" x14ac:dyDescent="0.25">
      <c r="A27" s="14" t="s">
        <v>15</v>
      </c>
      <c r="B27" s="22">
        <v>-0.54160608613664096</v>
      </c>
      <c r="C27" s="17">
        <v>73.387016439999996</v>
      </c>
      <c r="D27" s="18">
        <v>74.728308609999999</v>
      </c>
      <c r="E27" s="18">
        <v>1.01827696825768</v>
      </c>
      <c r="F27" s="18">
        <v>1.1385255280790201</v>
      </c>
      <c r="G27" s="15">
        <v>0.25</v>
      </c>
      <c r="H27" s="15">
        <v>3.5</v>
      </c>
      <c r="I27" s="15">
        <f t="shared" si="2"/>
        <v>-3.25</v>
      </c>
      <c r="J27" s="1"/>
      <c r="K27" s="1"/>
      <c r="L27" s="1"/>
      <c r="X27" s="27"/>
      <c r="Y27" s="27"/>
      <c r="Z27" s="27"/>
      <c r="AA27" s="27"/>
      <c r="AB27" s="27"/>
      <c r="AC27" s="27"/>
      <c r="AD27" s="27"/>
      <c r="AE27" s="27"/>
      <c r="AF27" s="27"/>
      <c r="AG27" s="1"/>
      <c r="AH27" s="30"/>
      <c r="AI27" s="30"/>
      <c r="AJ27" s="30"/>
      <c r="AK27" s="30"/>
      <c r="AL27" s="30"/>
      <c r="AM27" s="30"/>
      <c r="AN27" s="30"/>
      <c r="AO27" s="30"/>
      <c r="AP27" s="30"/>
    </row>
    <row r="28" spans="1:42" ht="15.75" thickBot="1" x14ac:dyDescent="0.3">
      <c r="A28" s="14" t="s">
        <v>16</v>
      </c>
      <c r="B28" s="22">
        <v>-0.17637365181995501</v>
      </c>
      <c r="C28" s="17">
        <v>79.767295559999994</v>
      </c>
      <c r="D28" s="18">
        <v>79.767295559999994</v>
      </c>
      <c r="E28" s="18">
        <v>1</v>
      </c>
      <c r="F28" s="18">
        <v>0</v>
      </c>
      <c r="G28" s="15">
        <v>0</v>
      </c>
      <c r="H28" s="15">
        <v>0</v>
      </c>
      <c r="I28" s="15">
        <f t="shared" si="2"/>
        <v>0</v>
      </c>
      <c r="J28" s="1"/>
      <c r="K28" s="1"/>
      <c r="L28" s="1"/>
      <c r="X28" s="27" t="s">
        <v>43</v>
      </c>
      <c r="Y28" s="27"/>
      <c r="Z28" s="27"/>
      <c r="AA28" s="27"/>
      <c r="AB28" s="27"/>
      <c r="AC28" s="27"/>
      <c r="AD28" s="27"/>
      <c r="AE28" s="27"/>
      <c r="AF28" s="27"/>
      <c r="AG28" s="1"/>
      <c r="AH28" s="30" t="s">
        <v>43</v>
      </c>
      <c r="AI28" s="30"/>
      <c r="AJ28" s="30"/>
      <c r="AK28" s="30"/>
      <c r="AL28" s="30"/>
      <c r="AM28" s="30"/>
      <c r="AN28" s="30"/>
      <c r="AO28" s="30"/>
      <c r="AP28" s="30"/>
    </row>
    <row r="29" spans="1:42" x14ac:dyDescent="0.25">
      <c r="A29" s="14" t="s">
        <v>17</v>
      </c>
      <c r="B29" s="23">
        <v>0.39449354239977702</v>
      </c>
      <c r="C29" s="17"/>
      <c r="D29" s="18">
        <v>68.631809730000001</v>
      </c>
      <c r="E29" s="18"/>
      <c r="F29" s="18"/>
      <c r="G29" s="15"/>
      <c r="H29" s="15"/>
      <c r="I29" s="15"/>
      <c r="J29" s="1"/>
      <c r="K29" s="1"/>
      <c r="L29" s="1"/>
      <c r="X29" s="29"/>
      <c r="Y29" s="29" t="s">
        <v>48</v>
      </c>
      <c r="Z29" s="29" t="s">
        <v>33</v>
      </c>
      <c r="AA29" s="29" t="s">
        <v>49</v>
      </c>
      <c r="AB29" s="29" t="s">
        <v>50</v>
      </c>
      <c r="AC29" s="29" t="s">
        <v>51</v>
      </c>
      <c r="AD29" s="27"/>
      <c r="AE29" s="27"/>
      <c r="AF29" s="27"/>
      <c r="AG29" s="1"/>
      <c r="AH29" s="33"/>
      <c r="AI29" s="33" t="s">
        <v>48</v>
      </c>
      <c r="AJ29" s="33" t="s">
        <v>33</v>
      </c>
      <c r="AK29" s="33" t="s">
        <v>49</v>
      </c>
      <c r="AL29" s="33" t="s">
        <v>50</v>
      </c>
      <c r="AM29" s="33" t="s">
        <v>51</v>
      </c>
      <c r="AN29" s="30"/>
      <c r="AO29" s="30"/>
      <c r="AP29" s="30"/>
    </row>
    <row r="30" spans="1:42" x14ac:dyDescent="0.25">
      <c r="A30" s="21" t="s">
        <v>18</v>
      </c>
      <c r="B30" s="22">
        <v>-0.17371472956907899</v>
      </c>
      <c r="C30" s="17"/>
      <c r="D30" s="18">
        <v>69.696396059999998</v>
      </c>
      <c r="E30" s="18"/>
      <c r="F30" s="18"/>
      <c r="G30" s="15"/>
      <c r="H30" s="15"/>
      <c r="I30" s="15"/>
      <c r="J30" s="1"/>
      <c r="K30" s="1"/>
      <c r="L30" s="1"/>
      <c r="X30" s="27" t="s">
        <v>44</v>
      </c>
      <c r="Y30" s="27">
        <v>2</v>
      </c>
      <c r="Z30" s="27">
        <v>3.315237426135248E-2</v>
      </c>
      <c r="AA30" s="27">
        <v>1.657618713067624E-2</v>
      </c>
      <c r="AB30" s="27">
        <v>4.9210322911481184</v>
      </c>
      <c r="AC30" s="27">
        <v>4.6287048710281858E-2</v>
      </c>
      <c r="AD30" s="27"/>
      <c r="AE30" s="27"/>
      <c r="AF30" s="27"/>
      <c r="AG30" s="1"/>
      <c r="AH30" s="30" t="s">
        <v>44</v>
      </c>
      <c r="AI30" s="30">
        <v>2</v>
      </c>
      <c r="AJ30" s="30">
        <v>0.10726049129184273</v>
      </c>
      <c r="AK30" s="30">
        <v>5.3630245645921365E-2</v>
      </c>
      <c r="AL30" s="30">
        <v>2.0847900833076429</v>
      </c>
      <c r="AM30" s="30">
        <v>0.19485617214277737</v>
      </c>
      <c r="AN30" s="30"/>
      <c r="AO30" s="30"/>
      <c r="AP30" s="30"/>
    </row>
    <row r="31" spans="1:42" x14ac:dyDescent="0.25">
      <c r="A31" s="21" t="s">
        <v>65</v>
      </c>
      <c r="B31" s="24">
        <v>-4.74716361793363E-2</v>
      </c>
      <c r="C31" s="18">
        <v>67.505054000000001</v>
      </c>
      <c r="D31" s="18">
        <v>70.569593760000004</v>
      </c>
      <c r="E31" s="18">
        <f>D31/C31</f>
        <v>1.045397189964473</v>
      </c>
      <c r="F31" s="18">
        <v>4.5222851684946201</v>
      </c>
      <c r="G31" s="15">
        <v>0</v>
      </c>
      <c r="H31" s="15">
        <v>0.5</v>
      </c>
      <c r="I31" s="15">
        <f t="shared" ref="I31" si="3">G31-H31</f>
        <v>-0.5</v>
      </c>
      <c r="J31" s="1"/>
      <c r="K31" s="1"/>
      <c r="L31" s="1"/>
      <c r="X31" s="27"/>
      <c r="Y31" s="27"/>
      <c r="Z31" s="27"/>
      <c r="AA31" s="27"/>
      <c r="AB31" s="27"/>
      <c r="AC31" s="27"/>
      <c r="AD31" s="27"/>
      <c r="AE31" s="27"/>
      <c r="AF31" s="27"/>
      <c r="AG31" s="1"/>
      <c r="AH31" s="30"/>
      <c r="AI31" s="30"/>
      <c r="AJ31" s="30"/>
      <c r="AK31" s="30"/>
      <c r="AL31" s="30"/>
      <c r="AM31" s="30"/>
      <c r="AN31" s="30"/>
      <c r="AO31" s="30"/>
      <c r="AP31" s="30"/>
    </row>
    <row r="32" spans="1:42" x14ac:dyDescent="0.25">
      <c r="A32" s="15" t="s">
        <v>19</v>
      </c>
      <c r="B32" s="23">
        <v>3.4332675043980999E-2</v>
      </c>
      <c r="C32" s="20"/>
      <c r="D32" s="18">
        <v>112.55085055666601</v>
      </c>
      <c r="E32" s="18"/>
      <c r="F32" s="18"/>
      <c r="G32" s="15"/>
      <c r="H32" s="15"/>
      <c r="I32" s="15"/>
      <c r="J32" s="1"/>
      <c r="K32" s="1"/>
      <c r="L32" s="1"/>
      <c r="X32" s="27" t="s">
        <v>45</v>
      </c>
      <c r="Y32" s="27">
        <v>7</v>
      </c>
      <c r="Z32" s="27">
        <v>2.3579058833540417E-2</v>
      </c>
      <c r="AA32" s="27">
        <v>3.3684369762200595E-3</v>
      </c>
      <c r="AB32" s="27"/>
      <c r="AC32" s="27"/>
      <c r="AD32" s="27"/>
      <c r="AE32" s="27"/>
      <c r="AF32" s="27"/>
      <c r="AG32" s="1"/>
      <c r="AH32" s="30" t="s">
        <v>45</v>
      </c>
      <c r="AI32" s="30">
        <v>7</v>
      </c>
      <c r="AJ32" s="30">
        <v>0.18007171202859745</v>
      </c>
      <c r="AK32" s="30">
        <v>2.5724530289799635E-2</v>
      </c>
      <c r="AL32" s="30"/>
      <c r="AM32" s="30"/>
      <c r="AN32" s="30"/>
      <c r="AO32" s="30"/>
      <c r="AP32" s="30"/>
    </row>
    <row r="33" spans="1:42" ht="15.75" thickBot="1" x14ac:dyDescent="0.3">
      <c r="A33" s="15" t="s">
        <v>20</v>
      </c>
      <c r="B33" s="23">
        <v>2.8668980226143202E-2</v>
      </c>
      <c r="C33" s="20"/>
      <c r="D33" s="18">
        <v>117.49299123</v>
      </c>
      <c r="E33" s="18"/>
      <c r="F33" s="18"/>
      <c r="G33" s="15"/>
      <c r="H33" s="15"/>
      <c r="I33" s="15"/>
      <c r="J33" s="1"/>
      <c r="K33" s="1"/>
      <c r="L33" s="1"/>
      <c r="X33" s="40" t="s">
        <v>46</v>
      </c>
      <c r="Y33" s="40">
        <v>9</v>
      </c>
      <c r="Z33" s="40">
        <v>5.6731433094892897E-2</v>
      </c>
      <c r="AA33" s="40"/>
      <c r="AB33" s="40"/>
      <c r="AC33" s="40"/>
      <c r="AD33" s="27"/>
      <c r="AE33" s="27"/>
      <c r="AF33" s="27"/>
      <c r="AG33" s="1"/>
      <c r="AH33" s="32" t="s">
        <v>46</v>
      </c>
      <c r="AI33" s="32">
        <v>9</v>
      </c>
      <c r="AJ33" s="32">
        <v>0.28733220332044018</v>
      </c>
      <c r="AK33" s="32"/>
      <c r="AL33" s="32"/>
      <c r="AM33" s="32"/>
      <c r="AN33" s="30"/>
      <c r="AO33" s="30"/>
      <c r="AP33" s="30"/>
    </row>
    <row r="34" spans="1:42" ht="15.75" thickBot="1" x14ac:dyDescent="0.3">
      <c r="A34" s="15" t="s">
        <v>23</v>
      </c>
      <c r="B34" s="23">
        <v>1.20306787922476E-2</v>
      </c>
      <c r="C34" s="17">
        <v>110.72040256</v>
      </c>
      <c r="D34" s="18">
        <v>115.079453056666</v>
      </c>
      <c r="E34" s="18">
        <f>D34/C34</f>
        <v>1.0393698938576728</v>
      </c>
      <c r="F34" s="18">
        <v>8.1761484496582497</v>
      </c>
      <c r="G34" s="15">
        <v>0.5</v>
      </c>
      <c r="H34" s="15">
        <v>1.25</v>
      </c>
      <c r="I34" s="15">
        <f t="shared" ref="I34" si="4">G34-H34</f>
        <v>-0.75</v>
      </c>
      <c r="J34" s="1"/>
      <c r="K34" s="1"/>
      <c r="L34" s="1"/>
      <c r="X34" s="27"/>
      <c r="Y34" s="27"/>
      <c r="Z34" s="27"/>
      <c r="AA34" s="27"/>
      <c r="AB34" s="27"/>
      <c r="AC34" s="27"/>
      <c r="AD34" s="27"/>
      <c r="AE34" s="27"/>
      <c r="AF34" s="27"/>
      <c r="AG34" s="1"/>
      <c r="AH34" s="30"/>
      <c r="AI34" s="30"/>
      <c r="AJ34" s="30"/>
      <c r="AK34" s="30"/>
      <c r="AL34" s="30"/>
      <c r="AM34" s="30"/>
      <c r="AN34" s="30"/>
      <c r="AO34" s="30"/>
      <c r="AP34" s="30"/>
    </row>
    <row r="35" spans="1:42" x14ac:dyDescent="0.25">
      <c r="A35" s="15" t="s">
        <v>24</v>
      </c>
      <c r="B35" s="23">
        <v>2.7386597361713599E-2</v>
      </c>
      <c r="C35" s="17"/>
      <c r="D35" s="18">
        <v>119.222878299999</v>
      </c>
      <c r="E35" s="18"/>
      <c r="F35" s="18"/>
      <c r="G35" s="15"/>
      <c r="H35" s="15"/>
      <c r="I35" s="15"/>
      <c r="J35" s="1"/>
      <c r="K35" s="1"/>
      <c r="L35" s="1"/>
      <c r="X35" s="29"/>
      <c r="Y35" s="29" t="s">
        <v>52</v>
      </c>
      <c r="Z35" s="29" t="s">
        <v>41</v>
      </c>
      <c r="AA35" s="29" t="s">
        <v>53</v>
      </c>
      <c r="AB35" s="29" t="s">
        <v>54</v>
      </c>
      <c r="AC35" s="29" t="s">
        <v>55</v>
      </c>
      <c r="AD35" s="29" t="s">
        <v>56</v>
      </c>
      <c r="AE35" s="29" t="s">
        <v>57</v>
      </c>
      <c r="AF35" s="29" t="s">
        <v>58</v>
      </c>
      <c r="AG35" s="1"/>
      <c r="AH35" s="33"/>
      <c r="AI35" s="33" t="s">
        <v>52</v>
      </c>
      <c r="AJ35" s="33" t="s">
        <v>41</v>
      </c>
      <c r="AK35" s="33" t="s">
        <v>53</v>
      </c>
      <c r="AL35" s="33" t="s">
        <v>54</v>
      </c>
      <c r="AM35" s="33" t="s">
        <v>55</v>
      </c>
      <c r="AN35" s="33" t="s">
        <v>56</v>
      </c>
      <c r="AO35" s="33" t="s">
        <v>57</v>
      </c>
      <c r="AP35" s="33" t="s">
        <v>58</v>
      </c>
    </row>
    <row r="36" spans="1:42" x14ac:dyDescent="0.25">
      <c r="A36" s="15" t="s">
        <v>25</v>
      </c>
      <c r="B36" s="23">
        <v>2.8615745110634201E-2</v>
      </c>
      <c r="C36" s="17">
        <v>111.66319882000001</v>
      </c>
      <c r="D36" s="18">
        <v>115.360934813333</v>
      </c>
      <c r="E36" s="18">
        <f t="shared" ref="E36:E41" si="5">D36/C36</f>
        <v>1.0331150820718804</v>
      </c>
      <c r="F36" s="18">
        <v>19.594840851392899</v>
      </c>
      <c r="G36" s="15">
        <v>0.5</v>
      </c>
      <c r="H36" s="15">
        <v>1.5</v>
      </c>
      <c r="I36" s="15">
        <f t="shared" ref="I36:I41" si="6">G36-H36</f>
        <v>-1</v>
      </c>
      <c r="J36" s="1"/>
      <c r="K36" s="1"/>
      <c r="L36" s="1"/>
      <c r="X36" s="27" t="s">
        <v>47</v>
      </c>
      <c r="Y36" s="27">
        <v>-0.10711095089458646</v>
      </c>
      <c r="Z36" s="27">
        <v>0.41296001163183188</v>
      </c>
      <c r="AA36" s="27">
        <v>-0.25937366301238768</v>
      </c>
      <c r="AB36" s="41">
        <v>0.80280949286419134</v>
      </c>
      <c r="AC36" s="27">
        <v>-1.0836062093372547</v>
      </c>
      <c r="AD36" s="27">
        <v>0.86938430754808171</v>
      </c>
      <c r="AE36" s="27">
        <v>-1.0836062093372547</v>
      </c>
      <c r="AF36" s="27">
        <v>0.86938430754808171</v>
      </c>
      <c r="AG36" s="1"/>
      <c r="AH36" s="30" t="s">
        <v>47</v>
      </c>
      <c r="AI36" s="30">
        <v>-1.1835468513327072</v>
      </c>
      <c r="AJ36" s="30">
        <v>1.0507983115177904</v>
      </c>
      <c r="AK36" s="30">
        <v>-1.1263311316356921</v>
      </c>
      <c r="AL36" s="41">
        <v>0.29715241337808557</v>
      </c>
      <c r="AM36" s="30">
        <v>-3.6682900222804244</v>
      </c>
      <c r="AN36" s="30">
        <v>1.30119631961501</v>
      </c>
      <c r="AO36" s="30">
        <v>-3.6682900222804244</v>
      </c>
      <c r="AP36" s="30">
        <v>1.30119631961501</v>
      </c>
    </row>
    <row r="37" spans="1:42" x14ac:dyDescent="0.25">
      <c r="A37" s="15" t="s">
        <v>26</v>
      </c>
      <c r="B37" s="23">
        <v>4.4113621235337297E-2</v>
      </c>
      <c r="C37" s="17">
        <v>114.89097618</v>
      </c>
      <c r="D37" s="18">
        <v>118.05576815000001</v>
      </c>
      <c r="E37" s="18">
        <f t="shared" si="5"/>
        <v>1.0275460447393339</v>
      </c>
      <c r="F37" s="18">
        <v>17.2552427011953</v>
      </c>
      <c r="G37" s="15">
        <v>0</v>
      </c>
      <c r="H37" s="15">
        <v>1.25</v>
      </c>
      <c r="I37" s="15">
        <f t="shared" si="6"/>
        <v>-1.25</v>
      </c>
      <c r="J37" s="1"/>
      <c r="K37" s="1"/>
      <c r="L37" s="1"/>
      <c r="X37" s="27" t="s">
        <v>62</v>
      </c>
      <c r="Y37" s="27">
        <v>0.24640880866478085</v>
      </c>
      <c r="Z37" s="27">
        <v>0.39090774190003369</v>
      </c>
      <c r="AA37" s="27">
        <v>0.63035029049845381</v>
      </c>
      <c r="AB37" s="41">
        <v>0.54848269619738965</v>
      </c>
      <c r="AC37" s="27">
        <v>-0.67794111796741185</v>
      </c>
      <c r="AD37" s="27">
        <v>1.1707587352969735</v>
      </c>
      <c r="AE37" s="27">
        <v>-0.67794111796741185</v>
      </c>
      <c r="AF37" s="27">
        <v>1.1707587352969735</v>
      </c>
      <c r="AG37" s="1"/>
      <c r="AH37" s="30" t="s">
        <v>12</v>
      </c>
      <c r="AI37" s="30">
        <v>0.94345136573787258</v>
      </c>
      <c r="AJ37" s="30">
        <v>1.0023985812272547</v>
      </c>
      <c r="AK37" s="30">
        <v>0.94119383587194227</v>
      </c>
      <c r="AL37" s="41">
        <v>0.3779426283901085</v>
      </c>
      <c r="AM37" s="30">
        <v>-1.426844629194294</v>
      </c>
      <c r="AN37" s="30">
        <v>3.3137473606700389</v>
      </c>
      <c r="AO37" s="30">
        <v>-1.426844629194294</v>
      </c>
      <c r="AP37" s="30">
        <v>3.3137473606700389</v>
      </c>
    </row>
    <row r="38" spans="1:42" ht="15.75" thickBot="1" x14ac:dyDescent="0.3">
      <c r="A38" s="15" t="s">
        <v>27</v>
      </c>
      <c r="B38" s="22">
        <v>-8.0536265843332393E-3</v>
      </c>
      <c r="C38" s="17">
        <v>116.55531655999999</v>
      </c>
      <c r="D38" s="18">
        <v>119.77022043333299</v>
      </c>
      <c r="E38" s="18">
        <f t="shared" si="5"/>
        <v>1.0275826446035865</v>
      </c>
      <c r="F38" s="18">
        <v>17.024424898784201</v>
      </c>
      <c r="G38" s="15">
        <v>1.25</v>
      </c>
      <c r="H38" s="15">
        <v>4.75</v>
      </c>
      <c r="I38" s="15">
        <f t="shared" si="6"/>
        <v>-3.5</v>
      </c>
      <c r="J38" s="1"/>
      <c r="K38" s="1"/>
      <c r="L38" s="1"/>
      <c r="X38" s="40" t="s">
        <v>32</v>
      </c>
      <c r="Y38" s="40">
        <v>1.6496532218056408E-2</v>
      </c>
      <c r="Z38" s="40">
        <v>5.5166414100202782E-3</v>
      </c>
      <c r="AA38" s="40">
        <v>2.9903216453570014</v>
      </c>
      <c r="AB38" s="42">
        <v>2.0217138054056741E-2</v>
      </c>
      <c r="AC38" s="40">
        <v>3.4517481525814415E-3</v>
      </c>
      <c r="AD38" s="40">
        <v>2.9541316283531373E-2</v>
      </c>
      <c r="AE38" s="40">
        <v>3.4517481525814415E-3</v>
      </c>
      <c r="AF38" s="40">
        <v>2.9541316283531373E-2</v>
      </c>
      <c r="AG38" s="1"/>
      <c r="AH38" s="32" t="s">
        <v>32</v>
      </c>
      <c r="AI38" s="32">
        <v>-2.6333080593606905E-2</v>
      </c>
      <c r="AJ38" s="32">
        <v>1.5209815707078248E-2</v>
      </c>
      <c r="AK38" s="32">
        <v>-1.731321476916527</v>
      </c>
      <c r="AL38" s="42">
        <v>0.12700526854237526</v>
      </c>
      <c r="AM38" s="32">
        <v>-6.2298579676820995E-2</v>
      </c>
      <c r="AN38" s="32">
        <v>9.6324184896071814E-3</v>
      </c>
      <c r="AO38" s="32">
        <v>-6.2298579676820995E-2</v>
      </c>
      <c r="AP38" s="32">
        <v>9.6324184896071814E-3</v>
      </c>
    </row>
    <row r="39" spans="1:42" x14ac:dyDescent="0.25">
      <c r="A39" s="15" t="s">
        <v>28</v>
      </c>
      <c r="B39" s="22">
        <v>-2.13677287576714E-2</v>
      </c>
      <c r="C39" s="17">
        <v>120.40602251999999</v>
      </c>
      <c r="D39" s="18">
        <v>125.17995179</v>
      </c>
      <c r="E39" s="18">
        <f t="shared" si="5"/>
        <v>1.0396485920727681</v>
      </c>
      <c r="F39" s="18">
        <v>15.1069524712688</v>
      </c>
      <c r="G39" s="15">
        <v>1.25</v>
      </c>
      <c r="H39" s="15">
        <v>2</v>
      </c>
      <c r="I39" s="15">
        <f t="shared" si="6"/>
        <v>-0.75</v>
      </c>
      <c r="J39" s="1"/>
      <c r="K39" s="1"/>
      <c r="L39" s="1"/>
      <c r="AG39" s="1"/>
    </row>
    <row r="40" spans="1:42" ht="15.75" thickBot="1" x14ac:dyDescent="0.3">
      <c r="A40" s="15" t="s">
        <v>29</v>
      </c>
      <c r="B40" s="23">
        <v>2.7450804091866201E-2</v>
      </c>
      <c r="C40" s="17">
        <v>118.75512236</v>
      </c>
      <c r="D40" s="18">
        <v>128.631154973333</v>
      </c>
      <c r="E40" s="18">
        <f t="shared" si="5"/>
        <v>1.0831630031367767</v>
      </c>
      <c r="F40" s="18">
        <v>21.9579587943592</v>
      </c>
      <c r="G40" s="15">
        <v>3.75</v>
      </c>
      <c r="H40" s="15">
        <v>7.25</v>
      </c>
      <c r="I40" s="15">
        <f t="shared" si="6"/>
        <v>-3.5</v>
      </c>
      <c r="J40" s="1"/>
      <c r="K40" s="1"/>
      <c r="L40" s="1"/>
      <c r="X40" s="35" t="s">
        <v>35</v>
      </c>
      <c r="Y40" s="35"/>
      <c r="Z40" s="35"/>
      <c r="AA40" s="35"/>
      <c r="AB40" s="35"/>
      <c r="AC40" s="35"/>
      <c r="AD40" s="35"/>
      <c r="AE40" s="35"/>
      <c r="AF40" s="35"/>
      <c r="AG40" s="1"/>
      <c r="AH40" s="44"/>
      <c r="AI40" s="44"/>
      <c r="AJ40" s="44"/>
      <c r="AK40" s="44"/>
      <c r="AL40" s="44"/>
      <c r="AM40" s="44"/>
      <c r="AN40" s="44"/>
      <c r="AO40" s="44"/>
      <c r="AP40" s="44"/>
    </row>
    <row r="41" spans="1:42" x14ac:dyDescent="0.25">
      <c r="A41" s="15" t="s">
        <v>30</v>
      </c>
      <c r="B41" s="22">
        <v>-4.0077224600602597E-2</v>
      </c>
      <c r="C41" s="17">
        <v>125.12197168</v>
      </c>
      <c r="D41" s="18">
        <v>127.417386873333</v>
      </c>
      <c r="E41" s="18">
        <f t="shared" si="5"/>
        <v>1.0183454205725238</v>
      </c>
      <c r="F41" s="18">
        <v>16.640165980770899</v>
      </c>
      <c r="G41" s="15">
        <v>0.5</v>
      </c>
      <c r="H41" s="15">
        <v>4.75</v>
      </c>
      <c r="I41" s="15">
        <f t="shared" si="6"/>
        <v>-4.25</v>
      </c>
      <c r="J41" s="1"/>
      <c r="K41" s="1"/>
      <c r="L41" s="1"/>
      <c r="X41" s="34" t="s">
        <v>37</v>
      </c>
      <c r="Y41" s="34"/>
      <c r="Z41" s="35"/>
      <c r="AA41" s="35"/>
      <c r="AB41" s="35"/>
      <c r="AC41" s="35"/>
      <c r="AD41" s="35"/>
      <c r="AE41" s="35"/>
      <c r="AF41" s="35"/>
      <c r="AG41" s="1"/>
      <c r="AH41" s="45" t="s">
        <v>37</v>
      </c>
      <c r="AI41" s="45"/>
      <c r="AJ41" s="44"/>
      <c r="AK41" s="44"/>
      <c r="AL41" s="44"/>
      <c r="AM41" s="44"/>
      <c r="AN41" s="44"/>
      <c r="AO41" s="44"/>
      <c r="AP41" s="44"/>
    </row>
    <row r="42" spans="1:42" x14ac:dyDescent="0.25">
      <c r="J42" s="1"/>
      <c r="K42" s="1"/>
      <c r="L42" s="1"/>
      <c r="X42" s="35" t="s">
        <v>38</v>
      </c>
      <c r="Y42" s="41">
        <v>0.72180686146740602</v>
      </c>
      <c r="Z42" s="35"/>
      <c r="AA42" s="35"/>
      <c r="AB42" s="35"/>
      <c r="AC42" s="35"/>
      <c r="AD42" s="35"/>
      <c r="AE42" s="35"/>
      <c r="AF42" s="35"/>
      <c r="AG42" s="1"/>
      <c r="AH42" s="44" t="s">
        <v>38</v>
      </c>
      <c r="AI42" s="48">
        <v>0.81667320319882508</v>
      </c>
      <c r="AJ42" s="44"/>
      <c r="AK42" s="44"/>
      <c r="AL42" s="44"/>
      <c r="AM42" s="44"/>
      <c r="AN42" s="44"/>
      <c r="AO42" s="44"/>
      <c r="AP42" s="44"/>
    </row>
    <row r="43" spans="1:42" ht="30" x14ac:dyDescent="0.25">
      <c r="A43" s="11" t="s">
        <v>6</v>
      </c>
      <c r="B43" s="11" t="s">
        <v>1</v>
      </c>
      <c r="C43" s="12" t="s">
        <v>22</v>
      </c>
      <c r="D43" s="13" t="s">
        <v>11</v>
      </c>
      <c r="E43" s="13" t="s">
        <v>12</v>
      </c>
      <c r="F43" s="13" t="s">
        <v>31</v>
      </c>
      <c r="G43" s="13" t="s">
        <v>63</v>
      </c>
      <c r="H43" s="13" t="s">
        <v>64</v>
      </c>
      <c r="I43" s="13" t="s">
        <v>32</v>
      </c>
      <c r="J43" s="1"/>
      <c r="K43" s="1"/>
      <c r="L43" s="1"/>
      <c r="X43" s="35" t="s">
        <v>39</v>
      </c>
      <c r="Y43" s="41">
        <v>0.52100514526142705</v>
      </c>
      <c r="Z43" s="35"/>
      <c r="AA43" s="35"/>
      <c r="AB43" s="35"/>
      <c r="AC43" s="35"/>
      <c r="AD43" s="35"/>
      <c r="AE43" s="35"/>
      <c r="AF43" s="35"/>
      <c r="AG43" s="1"/>
      <c r="AH43" s="44" t="s">
        <v>39</v>
      </c>
      <c r="AI43" s="48">
        <v>0.66695512082302943</v>
      </c>
      <c r="AJ43" s="44"/>
      <c r="AK43" s="44"/>
      <c r="AL43" s="44"/>
      <c r="AM43" s="44"/>
      <c r="AN43" s="44"/>
      <c r="AO43" s="44"/>
      <c r="AP43" s="44"/>
    </row>
    <row r="44" spans="1:42" x14ac:dyDescent="0.25">
      <c r="A44" s="15" t="s">
        <v>13</v>
      </c>
      <c r="B44" s="23">
        <v>0.57681691180727601</v>
      </c>
      <c r="C44" s="17"/>
      <c r="D44" s="18">
        <v>133.4714286</v>
      </c>
      <c r="E44" s="18"/>
      <c r="F44" s="25"/>
      <c r="G44" s="15"/>
      <c r="H44" s="15"/>
      <c r="I44" s="15"/>
      <c r="J44" s="1"/>
      <c r="K44" s="1"/>
      <c r="L44" s="1"/>
      <c r="X44" s="35" t="s">
        <v>40</v>
      </c>
      <c r="Y44" s="41">
        <v>0.38414947247897757</v>
      </c>
      <c r="Z44" s="35"/>
      <c r="AA44" s="35"/>
      <c r="AB44" s="35"/>
      <c r="AC44" s="35"/>
      <c r="AD44" s="35"/>
      <c r="AE44" s="35"/>
      <c r="AF44" s="35"/>
      <c r="AG44" s="1"/>
      <c r="AH44" s="44" t="s">
        <v>40</v>
      </c>
      <c r="AI44" s="48">
        <v>0.5717994410581807</v>
      </c>
      <c r="AJ44" s="44"/>
      <c r="AK44" s="44"/>
      <c r="AL44" s="44"/>
      <c r="AM44" s="44"/>
      <c r="AN44" s="44"/>
      <c r="AO44" s="44"/>
      <c r="AP44" s="44"/>
    </row>
    <row r="45" spans="1:42" x14ac:dyDescent="0.25">
      <c r="A45" s="15" t="s">
        <v>14</v>
      </c>
      <c r="B45" s="23">
        <v>0.13233171245622599</v>
      </c>
      <c r="C45" s="17">
        <v>60.588347259999999</v>
      </c>
      <c r="D45" s="18">
        <v>71.117321599999997</v>
      </c>
      <c r="E45" s="18">
        <v>1.1737788669959499</v>
      </c>
      <c r="F45" s="18">
        <v>4</v>
      </c>
      <c r="G45" s="15">
        <v>0.25</v>
      </c>
      <c r="H45" s="15">
        <v>0</v>
      </c>
      <c r="I45" s="15">
        <f t="shared" ref="I45:I47" si="7">G45-H45</f>
        <v>0.25</v>
      </c>
      <c r="J45" s="1"/>
      <c r="K45" s="1"/>
      <c r="L45" s="1"/>
      <c r="X45" s="35" t="s">
        <v>41</v>
      </c>
      <c r="Y45" s="35">
        <v>3.6966086835203485E-2</v>
      </c>
      <c r="Z45" s="35"/>
      <c r="AA45" s="35"/>
      <c r="AB45" s="35"/>
      <c r="AC45" s="35"/>
      <c r="AD45" s="35"/>
      <c r="AE45" s="35"/>
      <c r="AF45" s="35"/>
      <c r="AG45" s="1"/>
      <c r="AH45" s="44" t="s">
        <v>41</v>
      </c>
      <c r="AI45" s="44">
        <v>0.1445251291895934</v>
      </c>
      <c r="AJ45" s="44"/>
      <c r="AK45" s="44"/>
      <c r="AL45" s="44"/>
      <c r="AM45" s="44"/>
      <c r="AN45" s="44"/>
      <c r="AO45" s="44"/>
      <c r="AP45" s="44"/>
    </row>
    <row r="46" spans="1:42" ht="15.75" thickBot="1" x14ac:dyDescent="0.3">
      <c r="A46" s="15" t="s">
        <v>15</v>
      </c>
      <c r="B46" s="23">
        <v>8.9326261366187695E-2</v>
      </c>
      <c r="C46" s="17">
        <v>73.387016439999996</v>
      </c>
      <c r="D46" s="18">
        <v>74.728308609999999</v>
      </c>
      <c r="E46" s="18">
        <v>1.01827696825768</v>
      </c>
      <c r="F46" s="18">
        <v>1.1385255280790201</v>
      </c>
      <c r="G46" s="15">
        <v>0.25</v>
      </c>
      <c r="H46" s="15">
        <v>3.5</v>
      </c>
      <c r="I46" s="15">
        <f t="shared" si="7"/>
        <v>-3.25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X46" s="43" t="s">
        <v>42</v>
      </c>
      <c r="Y46" s="43">
        <v>10</v>
      </c>
      <c r="Z46" s="35"/>
      <c r="AA46" s="35"/>
      <c r="AB46" s="35"/>
      <c r="AC46" s="35"/>
      <c r="AD46" s="35"/>
      <c r="AE46" s="35"/>
      <c r="AF46" s="35"/>
      <c r="AG46" s="1"/>
      <c r="AH46" s="46" t="s">
        <v>42</v>
      </c>
      <c r="AI46" s="46">
        <v>10</v>
      </c>
      <c r="AJ46" s="44"/>
      <c r="AK46" s="44"/>
      <c r="AL46" s="44"/>
      <c r="AM46" s="44"/>
      <c r="AN46" s="44"/>
      <c r="AO46" s="44"/>
      <c r="AP46" s="44"/>
    </row>
    <row r="47" spans="1:42" x14ac:dyDescent="0.25">
      <c r="A47" s="15" t="s">
        <v>16</v>
      </c>
      <c r="B47" s="23">
        <v>0.14884070399999999</v>
      </c>
      <c r="C47" s="17">
        <v>79.767295559999994</v>
      </c>
      <c r="D47" s="18">
        <v>79.767295559999994</v>
      </c>
      <c r="E47" s="18">
        <f>D47/C47</f>
        <v>1</v>
      </c>
      <c r="F47" s="18">
        <v>0</v>
      </c>
      <c r="G47" s="15">
        <v>0</v>
      </c>
      <c r="H47" s="15">
        <v>0</v>
      </c>
      <c r="I47" s="15">
        <f t="shared" si="7"/>
        <v>0</v>
      </c>
      <c r="L47" s="1"/>
      <c r="V47" s="1"/>
      <c r="X47" s="35"/>
      <c r="Y47" s="35"/>
      <c r="Z47" s="35"/>
      <c r="AA47" s="35"/>
      <c r="AB47" s="35"/>
      <c r="AC47" s="35"/>
      <c r="AD47" s="35"/>
      <c r="AE47" s="35"/>
      <c r="AF47" s="35"/>
      <c r="AG47" s="1"/>
      <c r="AH47" s="44"/>
      <c r="AI47" s="44"/>
      <c r="AJ47" s="44"/>
      <c r="AK47" s="44"/>
      <c r="AL47" s="44"/>
      <c r="AM47" s="44"/>
      <c r="AN47" s="44"/>
      <c r="AO47" s="44"/>
      <c r="AP47" s="44"/>
    </row>
    <row r="48" spans="1:42" ht="15.75" thickBot="1" x14ac:dyDescent="0.3">
      <c r="A48" s="15" t="s">
        <v>17</v>
      </c>
      <c r="B48" s="23">
        <v>0.164262280281398</v>
      </c>
      <c r="C48" s="17"/>
      <c r="D48" s="18">
        <v>68.631809730000001</v>
      </c>
      <c r="E48" s="18"/>
      <c r="F48" s="18"/>
      <c r="G48" s="15"/>
      <c r="H48" s="15"/>
      <c r="I48" s="15"/>
      <c r="K48" s="2"/>
      <c r="L48" s="1"/>
      <c r="V48" s="1"/>
      <c r="X48" s="35" t="s">
        <v>43</v>
      </c>
      <c r="Y48" s="35"/>
      <c r="Z48" s="35"/>
      <c r="AA48" s="35"/>
      <c r="AB48" s="35"/>
      <c r="AC48" s="35"/>
      <c r="AD48" s="35"/>
      <c r="AE48" s="35"/>
      <c r="AF48" s="35"/>
      <c r="AH48" s="44" t="s">
        <v>43</v>
      </c>
      <c r="AI48" s="44"/>
      <c r="AJ48" s="44"/>
      <c r="AK48" s="44"/>
      <c r="AL48" s="44"/>
      <c r="AM48" s="44"/>
      <c r="AN48" s="44"/>
      <c r="AO48" s="44"/>
      <c r="AP48" s="44"/>
    </row>
    <row r="49" spans="1:42" x14ac:dyDescent="0.25">
      <c r="A49" s="15" t="s">
        <v>18</v>
      </c>
      <c r="B49" s="22">
        <v>-4.45444212598241E-2</v>
      </c>
      <c r="C49" s="17"/>
      <c r="D49" s="18">
        <v>69.696396059999998</v>
      </c>
      <c r="E49" s="18"/>
      <c r="F49" s="18"/>
      <c r="G49" s="15"/>
      <c r="H49" s="15"/>
      <c r="I49" s="15"/>
      <c r="K49" s="2"/>
      <c r="L49" s="1"/>
      <c r="V49" s="1"/>
      <c r="X49" s="36"/>
      <c r="Y49" s="36" t="s">
        <v>48</v>
      </c>
      <c r="Z49" s="36" t="s">
        <v>33</v>
      </c>
      <c r="AA49" s="36" t="s">
        <v>49</v>
      </c>
      <c r="AB49" s="36" t="s">
        <v>50</v>
      </c>
      <c r="AC49" s="36" t="s">
        <v>51</v>
      </c>
      <c r="AD49" s="35"/>
      <c r="AE49" s="35"/>
      <c r="AF49" s="35"/>
      <c r="AH49" s="47"/>
      <c r="AI49" s="47" t="s">
        <v>48</v>
      </c>
      <c r="AJ49" s="47" t="s">
        <v>33</v>
      </c>
      <c r="AK49" s="47" t="s">
        <v>49</v>
      </c>
      <c r="AL49" s="47" t="s">
        <v>50</v>
      </c>
      <c r="AM49" s="47" t="s">
        <v>51</v>
      </c>
      <c r="AN49" s="44"/>
      <c r="AO49" s="44"/>
      <c r="AP49" s="44"/>
    </row>
    <row r="50" spans="1:42" x14ac:dyDescent="0.25">
      <c r="A50" s="15" t="s">
        <v>65</v>
      </c>
      <c r="B50" s="38">
        <v>-6.7271555006068101E-2</v>
      </c>
      <c r="C50" s="18">
        <v>67.505054000000001</v>
      </c>
      <c r="D50" s="18">
        <v>70.569593760000004</v>
      </c>
      <c r="E50" s="18">
        <f>D50/C50</f>
        <v>1.045397189964473</v>
      </c>
      <c r="F50" s="18">
        <v>4.5222851684946201</v>
      </c>
      <c r="G50" s="15">
        <v>0</v>
      </c>
      <c r="H50" s="15">
        <v>0.5</v>
      </c>
      <c r="I50" s="15">
        <f t="shared" ref="I50" si="8">G50-H50</f>
        <v>-0.5</v>
      </c>
      <c r="K50" s="2"/>
      <c r="L50" s="1"/>
      <c r="V50" s="1"/>
      <c r="X50" s="51"/>
      <c r="Y50" s="51"/>
      <c r="Z50" s="51"/>
      <c r="AA50" s="51"/>
      <c r="AB50" s="51"/>
      <c r="AC50" s="51"/>
      <c r="AD50" s="35"/>
      <c r="AE50" s="35"/>
      <c r="AF50" s="35"/>
      <c r="AH50" s="52"/>
      <c r="AI50" s="52"/>
      <c r="AJ50" s="52"/>
      <c r="AK50" s="52"/>
      <c r="AL50" s="52"/>
      <c r="AM50" s="52"/>
      <c r="AN50" s="44"/>
      <c r="AO50" s="44"/>
      <c r="AP50" s="44"/>
    </row>
    <row r="51" spans="1:42" x14ac:dyDescent="0.25">
      <c r="A51" s="15" t="s">
        <v>19</v>
      </c>
      <c r="B51" s="16">
        <v>5.1856335362832198E-2</v>
      </c>
      <c r="C51" s="20"/>
      <c r="D51" s="18">
        <v>112.55085055666601</v>
      </c>
      <c r="E51" s="18"/>
      <c r="F51" s="18"/>
      <c r="G51" s="15"/>
      <c r="H51" s="15"/>
      <c r="I51" s="15"/>
      <c r="K51" s="2"/>
      <c r="L51" s="1"/>
      <c r="V51" s="1"/>
      <c r="X51" s="35" t="s">
        <v>44</v>
      </c>
      <c r="Y51" s="35">
        <v>2</v>
      </c>
      <c r="Z51" s="35">
        <v>1.0404378971357675E-2</v>
      </c>
      <c r="AA51" s="35">
        <v>5.2021894856788377E-3</v>
      </c>
      <c r="AB51" s="35">
        <v>3.8069678418784658</v>
      </c>
      <c r="AC51" s="35">
        <v>7.6060288642534488E-2</v>
      </c>
      <c r="AD51" s="35"/>
      <c r="AE51" s="35"/>
      <c r="AF51" s="35"/>
      <c r="AH51" s="44" t="s">
        <v>44</v>
      </c>
      <c r="AI51" s="44">
        <v>2</v>
      </c>
      <c r="AJ51" s="44">
        <v>0.29280509096680318</v>
      </c>
      <c r="AK51" s="44">
        <v>0.14640254548340159</v>
      </c>
      <c r="AL51" s="44">
        <v>7.0090941756837504</v>
      </c>
      <c r="AM51" s="44">
        <v>2.1318648130072754E-2</v>
      </c>
      <c r="AN51" s="44"/>
      <c r="AO51" s="44"/>
      <c r="AP51" s="44"/>
    </row>
    <row r="52" spans="1:42" x14ac:dyDescent="0.25">
      <c r="A52" s="15" t="s">
        <v>20</v>
      </c>
      <c r="B52" s="16">
        <v>0.103368750113241</v>
      </c>
      <c r="C52" s="20"/>
      <c r="D52" s="18">
        <v>117.49299123</v>
      </c>
      <c r="E52" s="18"/>
      <c r="F52" s="18"/>
      <c r="G52" s="15"/>
      <c r="H52" s="15"/>
      <c r="I52" s="15"/>
      <c r="K52" s="2"/>
      <c r="L52" s="1"/>
      <c r="V52" s="1"/>
      <c r="X52" s="35" t="s">
        <v>45</v>
      </c>
      <c r="Y52" s="35">
        <v>7</v>
      </c>
      <c r="Z52" s="35">
        <v>9.5654410313546299E-3</v>
      </c>
      <c r="AA52" s="35">
        <v>1.3664915759078044E-3</v>
      </c>
      <c r="AB52" s="35"/>
      <c r="AC52" s="35"/>
      <c r="AD52" s="35"/>
      <c r="AE52" s="35"/>
      <c r="AF52" s="35"/>
      <c r="AH52" s="44" t="s">
        <v>45</v>
      </c>
      <c r="AI52" s="44">
        <v>7</v>
      </c>
      <c r="AJ52" s="44">
        <v>0.14621259077088064</v>
      </c>
      <c r="AK52" s="44">
        <v>2.0887512967268661E-2</v>
      </c>
      <c r="AL52" s="44"/>
      <c r="AM52" s="44"/>
      <c r="AN52" s="44"/>
      <c r="AO52" s="44"/>
      <c r="AP52" s="44"/>
    </row>
    <row r="53" spans="1:42" ht="15.75" thickBot="1" x14ac:dyDescent="0.3">
      <c r="A53" s="15" t="s">
        <v>23</v>
      </c>
      <c r="B53" s="16">
        <v>0.15621819275209001</v>
      </c>
      <c r="C53" s="17">
        <v>110.72040256</v>
      </c>
      <c r="D53" s="18">
        <v>115.079453056666</v>
      </c>
      <c r="E53" s="18">
        <f>D53/C53</f>
        <v>1.0393698938576728</v>
      </c>
      <c r="F53" s="18">
        <v>8.1761484496582497</v>
      </c>
      <c r="G53" s="15">
        <v>0.5</v>
      </c>
      <c r="H53" s="15">
        <v>1.25</v>
      </c>
      <c r="I53" s="15">
        <f t="shared" ref="I53" si="9">G53-H53</f>
        <v>-0.75</v>
      </c>
      <c r="K53" s="2"/>
      <c r="L53" s="1"/>
      <c r="V53" s="1"/>
      <c r="X53" s="43" t="s">
        <v>46</v>
      </c>
      <c r="Y53" s="43">
        <v>9</v>
      </c>
      <c r="Z53" s="43">
        <v>1.9969820002712305E-2</v>
      </c>
      <c r="AA53" s="43"/>
      <c r="AB53" s="43"/>
      <c r="AC53" s="43"/>
      <c r="AD53" s="35"/>
      <c r="AE53" s="35"/>
      <c r="AF53" s="35"/>
      <c r="AH53" s="46" t="s">
        <v>46</v>
      </c>
      <c r="AI53" s="46">
        <v>9</v>
      </c>
      <c r="AJ53" s="46">
        <v>0.43901768173768385</v>
      </c>
      <c r="AK53" s="46"/>
      <c r="AL53" s="46"/>
      <c r="AM53" s="46"/>
      <c r="AN53" s="44"/>
      <c r="AO53" s="44"/>
      <c r="AP53" s="44"/>
    </row>
    <row r="54" spans="1:42" ht="15.75" thickBot="1" x14ac:dyDescent="0.3">
      <c r="A54" s="15" t="s">
        <v>24</v>
      </c>
      <c r="B54" s="16">
        <v>0.15071577677020101</v>
      </c>
      <c r="C54" s="17"/>
      <c r="D54" s="18">
        <v>119.222878299999</v>
      </c>
      <c r="E54" s="18"/>
      <c r="F54" s="18"/>
      <c r="G54" s="15"/>
      <c r="H54" s="15"/>
      <c r="I54" s="15"/>
      <c r="K54" s="2"/>
      <c r="L54" s="1"/>
      <c r="V54" s="1"/>
      <c r="X54" s="35"/>
      <c r="Y54" s="35"/>
      <c r="Z54" s="35"/>
      <c r="AA54" s="35"/>
      <c r="AB54" s="35"/>
      <c r="AC54" s="35"/>
      <c r="AD54" s="35"/>
      <c r="AE54" s="35"/>
      <c r="AF54" s="35"/>
      <c r="AH54" s="44"/>
      <c r="AI54" s="44"/>
      <c r="AJ54" s="44"/>
      <c r="AK54" s="44"/>
      <c r="AL54" s="44"/>
      <c r="AM54" s="44"/>
      <c r="AN54" s="44"/>
      <c r="AO54" s="44"/>
      <c r="AP54" s="44"/>
    </row>
    <row r="55" spans="1:42" x14ac:dyDescent="0.25">
      <c r="A55" s="15" t="s">
        <v>25</v>
      </c>
      <c r="B55" s="16">
        <v>5.5397551503622099E-2</v>
      </c>
      <c r="C55" s="17">
        <v>111.66319882000001</v>
      </c>
      <c r="D55" s="18">
        <v>115.360934813333</v>
      </c>
      <c r="E55" s="18">
        <f t="shared" ref="E55:E60" si="10">D55/C55</f>
        <v>1.0331150820718804</v>
      </c>
      <c r="F55" s="18">
        <v>19.594840851392899</v>
      </c>
      <c r="G55" s="15">
        <v>0.5</v>
      </c>
      <c r="H55" s="15">
        <v>1.5</v>
      </c>
      <c r="I55" s="15">
        <f t="shared" ref="I55:I60" si="11">G55-H55</f>
        <v>-1</v>
      </c>
      <c r="K55" s="2"/>
      <c r="L55" s="1"/>
      <c r="V55" s="1"/>
      <c r="X55" s="36"/>
      <c r="Y55" s="36" t="s">
        <v>52</v>
      </c>
      <c r="Z55" s="36" t="s">
        <v>41</v>
      </c>
      <c r="AA55" s="36" t="s">
        <v>53</v>
      </c>
      <c r="AB55" s="36" t="s">
        <v>54</v>
      </c>
      <c r="AC55" s="36" t="s">
        <v>55</v>
      </c>
      <c r="AD55" s="36" t="s">
        <v>56</v>
      </c>
      <c r="AE55" s="36" t="s">
        <v>57</v>
      </c>
      <c r="AF55" s="36" t="s">
        <v>58</v>
      </c>
      <c r="AH55" s="47"/>
      <c r="AI55" s="47" t="s">
        <v>52</v>
      </c>
      <c r="AJ55" s="47" t="s">
        <v>41</v>
      </c>
      <c r="AK55" s="47" t="s">
        <v>53</v>
      </c>
      <c r="AL55" s="47" t="s">
        <v>54</v>
      </c>
      <c r="AM55" s="47" t="s">
        <v>55</v>
      </c>
      <c r="AN55" s="47" t="s">
        <v>56</v>
      </c>
      <c r="AO55" s="47" t="s">
        <v>57</v>
      </c>
      <c r="AP55" s="47" t="s">
        <v>58</v>
      </c>
    </row>
    <row r="56" spans="1:42" x14ac:dyDescent="0.25">
      <c r="A56" s="15" t="s">
        <v>26</v>
      </c>
      <c r="B56" s="16">
        <v>6.9883057908481996E-2</v>
      </c>
      <c r="C56" s="17">
        <v>114.89097618</v>
      </c>
      <c r="D56" s="18">
        <v>118.05576815000001</v>
      </c>
      <c r="E56" s="18">
        <f t="shared" si="10"/>
        <v>1.0275460447393339</v>
      </c>
      <c r="F56" s="18">
        <v>17.2552427011953</v>
      </c>
      <c r="G56" s="15">
        <v>0</v>
      </c>
      <c r="H56" s="15">
        <v>1.25</v>
      </c>
      <c r="I56" s="15">
        <f t="shared" si="11"/>
        <v>-1.25</v>
      </c>
      <c r="K56" s="2"/>
      <c r="L56" s="1"/>
      <c r="V56" s="1"/>
      <c r="X56" s="35" t="s">
        <v>47</v>
      </c>
      <c r="Y56" s="35">
        <v>-1.2574616091818591E-2</v>
      </c>
      <c r="Z56" s="35">
        <v>0.26302514322158932</v>
      </c>
      <c r="AA56" s="35">
        <v>-4.7807657997261978E-2</v>
      </c>
      <c r="AB56" s="41">
        <v>0.96320493852416367</v>
      </c>
      <c r="AC56" s="35">
        <v>-0.63453024853225437</v>
      </c>
      <c r="AD56" s="35">
        <v>0.60938101634861708</v>
      </c>
      <c r="AE56" s="35">
        <v>-0.63453024853225437</v>
      </c>
      <c r="AF56" s="35">
        <v>0.60938101634861708</v>
      </c>
      <c r="AH56" s="44" t="s">
        <v>47</v>
      </c>
      <c r="AI56" s="44">
        <v>1.4361728029697169</v>
      </c>
      <c r="AJ56" s="44">
        <v>0.93644034793985709</v>
      </c>
      <c r="AK56" s="44">
        <v>1.5336511355253513</v>
      </c>
      <c r="AL56" s="48">
        <v>0.1689841959294115</v>
      </c>
      <c r="AM56" s="44">
        <v>-0.77815675393885453</v>
      </c>
      <c r="AN56" s="44">
        <v>3.6505023598782884</v>
      </c>
      <c r="AO56" s="44">
        <v>-0.77815675393885453</v>
      </c>
      <c r="AP56" s="44">
        <v>3.6505023598782884</v>
      </c>
    </row>
    <row r="57" spans="1:42" x14ac:dyDescent="0.25">
      <c r="A57" s="15" t="s">
        <v>27</v>
      </c>
      <c r="B57" s="16">
        <v>7.8645648239850305E-2</v>
      </c>
      <c r="C57" s="17">
        <v>116.55531655999999</v>
      </c>
      <c r="D57" s="18">
        <v>119.77022043333299</v>
      </c>
      <c r="E57" s="18">
        <f t="shared" si="10"/>
        <v>1.0275826446035865</v>
      </c>
      <c r="F57" s="18">
        <v>17.024424898784201</v>
      </c>
      <c r="G57" s="15">
        <v>1.25</v>
      </c>
      <c r="H57" s="15">
        <v>4.75</v>
      </c>
      <c r="I57" s="15">
        <f t="shared" si="11"/>
        <v>-3.5</v>
      </c>
      <c r="K57" s="2"/>
      <c r="L57" s="1"/>
      <c r="V57" s="1"/>
      <c r="X57" s="35" t="s">
        <v>62</v>
      </c>
      <c r="Y57" s="35">
        <v>0.14514560486276945</v>
      </c>
      <c r="Z57" s="35">
        <v>0.24897946993315845</v>
      </c>
      <c r="AA57" s="35">
        <v>0.58296214102205113</v>
      </c>
      <c r="AB57" s="41">
        <v>0.57820722298127447</v>
      </c>
      <c r="AC57" s="35">
        <v>-0.44359728788989367</v>
      </c>
      <c r="AD57" s="35">
        <v>0.73388849761543251</v>
      </c>
      <c r="AE57" s="35">
        <v>-0.44359728788989367</v>
      </c>
      <c r="AF57" s="35">
        <v>0.73388849761543251</v>
      </c>
      <c r="AH57" s="44" t="s">
        <v>12</v>
      </c>
      <c r="AI57" s="44">
        <v>-1.7036514188702609</v>
      </c>
      <c r="AJ57" s="44">
        <v>0.89368571318009815</v>
      </c>
      <c r="AK57" s="44">
        <v>-1.9063205260470983</v>
      </c>
      <c r="AL57" s="48">
        <v>9.8288110769124692E-2</v>
      </c>
      <c r="AM57" s="44">
        <v>-3.8168823295579148</v>
      </c>
      <c r="AN57" s="44">
        <v>0.40957949181739295</v>
      </c>
      <c r="AO57" s="44">
        <v>-3.8168823295579148</v>
      </c>
      <c r="AP57" s="44">
        <v>0.40957949181739295</v>
      </c>
    </row>
    <row r="58" spans="1:42" ht="15.75" thickBot="1" x14ac:dyDescent="0.3">
      <c r="A58" s="15" t="s">
        <v>28</v>
      </c>
      <c r="B58" s="16">
        <v>2.1496979213356301E-3</v>
      </c>
      <c r="C58" s="17">
        <v>120.40602251999999</v>
      </c>
      <c r="D58" s="18">
        <v>125.17995179</v>
      </c>
      <c r="E58" s="18">
        <f t="shared" si="10"/>
        <v>1.0396485920727681</v>
      </c>
      <c r="F58" s="18">
        <v>15.1069524712688</v>
      </c>
      <c r="G58" s="15">
        <v>1.25</v>
      </c>
      <c r="H58" s="15">
        <v>2</v>
      </c>
      <c r="I58" s="15">
        <f t="shared" si="11"/>
        <v>-0.75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X58" s="43" t="s">
        <v>32</v>
      </c>
      <c r="Y58" s="43">
        <v>9.2100179192589095E-3</v>
      </c>
      <c r="Z58" s="43">
        <v>3.5136946825407508E-3</v>
      </c>
      <c r="AA58" s="43">
        <v>2.6211776353314655</v>
      </c>
      <c r="AB58" s="42">
        <v>3.4350324161060167E-2</v>
      </c>
      <c r="AC58" s="43">
        <v>9.0145026023043945E-4</v>
      </c>
      <c r="AD58" s="43">
        <v>1.751858557828738E-2</v>
      </c>
      <c r="AE58" s="43">
        <v>9.0145026023043945E-4</v>
      </c>
      <c r="AF58" s="43">
        <v>1.751858557828738E-2</v>
      </c>
      <c r="AH58" s="46" t="s">
        <v>32</v>
      </c>
      <c r="AI58" s="46">
        <v>-4.8419684545285259E-2</v>
      </c>
      <c r="AJ58" s="46">
        <v>1.385503060115428E-2</v>
      </c>
      <c r="AK58" s="46">
        <v>-3.4947367450239595</v>
      </c>
      <c r="AL58" s="49">
        <v>1.0064173436446097E-2</v>
      </c>
      <c r="AM58" s="46">
        <v>-8.118162591133482E-2</v>
      </c>
      <c r="AN58" s="46">
        <v>-1.5657743179235691E-2</v>
      </c>
      <c r="AO58" s="46">
        <v>-8.118162591133482E-2</v>
      </c>
      <c r="AP58" s="46">
        <v>-1.5657743179235691E-2</v>
      </c>
    </row>
    <row r="59" spans="1:42" x14ac:dyDescent="0.25">
      <c r="A59" s="15" t="s">
        <v>29</v>
      </c>
      <c r="B59" s="16">
        <v>0.101236914763633</v>
      </c>
      <c r="C59" s="17">
        <v>118.75512236</v>
      </c>
      <c r="D59" s="18">
        <v>128.631154973333</v>
      </c>
      <c r="E59" s="18">
        <f t="shared" si="10"/>
        <v>1.0831630031367767</v>
      </c>
      <c r="F59" s="18">
        <v>21.9579587943592</v>
      </c>
      <c r="G59" s="15">
        <v>3.75</v>
      </c>
      <c r="H59" s="15">
        <v>7.25</v>
      </c>
      <c r="I59" s="15">
        <f t="shared" si="11"/>
        <v>-3.5</v>
      </c>
    </row>
    <row r="60" spans="1:42" x14ac:dyDescent="0.25">
      <c r="A60" s="15" t="s">
        <v>30</v>
      </c>
      <c r="B60" s="16">
        <v>0.107400232693555</v>
      </c>
      <c r="C60" s="17">
        <v>125.12197168</v>
      </c>
      <c r="D60" s="18">
        <v>127.417386873333</v>
      </c>
      <c r="E60" s="18">
        <f t="shared" si="10"/>
        <v>1.0183454205725238</v>
      </c>
      <c r="F60" s="18">
        <v>16.640165980770899</v>
      </c>
      <c r="G60" s="15">
        <v>0.5</v>
      </c>
      <c r="H60" s="15">
        <v>4.75</v>
      </c>
      <c r="I60" s="15">
        <f t="shared" si="11"/>
        <v>-4.25</v>
      </c>
    </row>
    <row r="61" spans="1:42" x14ac:dyDescent="0.25">
      <c r="D61" s="1"/>
      <c r="E61" s="1"/>
      <c r="F61" s="1"/>
      <c r="G61" s="1"/>
      <c r="H61" s="1"/>
      <c r="I61" s="1"/>
    </row>
    <row r="62" spans="1:42" x14ac:dyDescent="0.25">
      <c r="D62" s="1"/>
      <c r="E62" s="1"/>
      <c r="F62" s="1"/>
      <c r="G62" s="1"/>
      <c r="H62" s="1"/>
      <c r="I62" s="1"/>
      <c r="J62" s="2"/>
      <c r="K62" s="1"/>
    </row>
    <row r="63" spans="1:42" ht="30" x14ac:dyDescent="0.25">
      <c r="A63" s="10" t="s">
        <v>5</v>
      </c>
      <c r="B63" s="10" t="s">
        <v>1</v>
      </c>
      <c r="C63" s="12" t="s">
        <v>22</v>
      </c>
      <c r="D63" s="13" t="s">
        <v>11</v>
      </c>
      <c r="E63" s="13" t="s">
        <v>12</v>
      </c>
      <c r="F63" s="13" t="s">
        <v>31</v>
      </c>
      <c r="G63" s="13" t="s">
        <v>63</v>
      </c>
      <c r="H63" s="13" t="s">
        <v>64</v>
      </c>
      <c r="I63" s="13" t="s">
        <v>32</v>
      </c>
    </row>
    <row r="64" spans="1:42" x14ac:dyDescent="0.25">
      <c r="A64" s="15" t="s">
        <v>13</v>
      </c>
      <c r="B64" s="22">
        <v>-0.62489073949006502</v>
      </c>
      <c r="C64" s="17"/>
      <c r="D64" s="18">
        <v>133.4714286</v>
      </c>
      <c r="E64" s="18"/>
      <c r="F64" s="25"/>
      <c r="G64" s="15"/>
      <c r="H64" s="15"/>
      <c r="I64" s="15"/>
    </row>
    <row r="65" spans="1:9" x14ac:dyDescent="0.25">
      <c r="A65" s="15" t="s">
        <v>14</v>
      </c>
      <c r="B65" s="22">
        <v>-0.54117535564386998</v>
      </c>
      <c r="C65" s="17">
        <v>60.588347259999999</v>
      </c>
      <c r="D65" s="18">
        <v>71.117321599999997</v>
      </c>
      <c r="E65" s="18">
        <v>1.1737788669959504</v>
      </c>
      <c r="F65" s="18">
        <v>4</v>
      </c>
      <c r="G65" s="15">
        <v>0.25</v>
      </c>
      <c r="H65" s="15">
        <v>0</v>
      </c>
      <c r="I65" s="15">
        <f t="shared" ref="I65:I67" si="12">G65-H65</f>
        <v>0.25</v>
      </c>
    </row>
    <row r="66" spans="1:9" x14ac:dyDescent="0.25">
      <c r="A66" s="15" t="s">
        <v>15</v>
      </c>
      <c r="B66" s="22">
        <v>-0.511670862423525</v>
      </c>
      <c r="C66" s="17">
        <v>73.387016439999996</v>
      </c>
      <c r="D66" s="18">
        <v>74.728308609999999</v>
      </c>
      <c r="E66" s="18">
        <v>1.0182769682576838</v>
      </c>
      <c r="F66" s="18">
        <v>1.1385255280790201</v>
      </c>
      <c r="G66" s="15">
        <v>0.25</v>
      </c>
      <c r="H66" s="15">
        <v>3.5</v>
      </c>
      <c r="I66" s="15">
        <f t="shared" si="12"/>
        <v>-3.25</v>
      </c>
    </row>
    <row r="67" spans="1:9" x14ac:dyDescent="0.25">
      <c r="A67" s="15" t="s">
        <v>16</v>
      </c>
      <c r="B67" s="22">
        <v>-0.22155858359451899</v>
      </c>
      <c r="C67" s="17">
        <v>79.767295559999994</v>
      </c>
      <c r="D67" s="18">
        <v>79.767295559999994</v>
      </c>
      <c r="E67" s="18">
        <v>1</v>
      </c>
      <c r="F67" s="18">
        <v>0</v>
      </c>
      <c r="G67" s="15">
        <v>0</v>
      </c>
      <c r="H67" s="15">
        <v>0</v>
      </c>
      <c r="I67" s="15">
        <f t="shared" si="12"/>
        <v>0</v>
      </c>
    </row>
    <row r="68" spans="1:9" x14ac:dyDescent="0.25">
      <c r="A68" s="15" t="s">
        <v>17</v>
      </c>
      <c r="B68" s="23">
        <v>9.6450074853088597E-2</v>
      </c>
      <c r="C68" s="17"/>
      <c r="D68" s="18">
        <v>68.631809730000001</v>
      </c>
      <c r="E68" s="18"/>
      <c r="F68" s="18"/>
      <c r="G68" s="15"/>
      <c r="H68" s="15"/>
      <c r="I68" s="15"/>
    </row>
    <row r="69" spans="1:9" x14ac:dyDescent="0.25">
      <c r="A69" s="15" t="s">
        <v>18</v>
      </c>
      <c r="B69" s="22">
        <v>-0.24313716774511701</v>
      </c>
      <c r="C69" s="17"/>
      <c r="D69" s="18">
        <v>69.696396059999998</v>
      </c>
      <c r="E69" s="18"/>
      <c r="F69" s="18"/>
      <c r="G69" s="15"/>
      <c r="H69" s="15"/>
      <c r="I69" s="15"/>
    </row>
    <row r="70" spans="1:9" x14ac:dyDescent="0.25">
      <c r="A70" s="56" t="s">
        <v>65</v>
      </c>
      <c r="B70" s="8">
        <v>-0.37958282657101999</v>
      </c>
      <c r="C70" s="18">
        <v>67.505054000000001</v>
      </c>
      <c r="D70" s="18">
        <v>70.569593760000004</v>
      </c>
      <c r="E70" s="18">
        <f>D70/C70</f>
        <v>1.045397189964473</v>
      </c>
      <c r="F70" s="18">
        <v>4.5222851684946201</v>
      </c>
      <c r="G70" s="15">
        <v>0</v>
      </c>
      <c r="H70" s="15">
        <v>0.5</v>
      </c>
      <c r="I70" s="15">
        <f t="shared" ref="I70" si="13">G70-H70</f>
        <v>-0.5</v>
      </c>
    </row>
    <row r="71" spans="1:9" x14ac:dyDescent="0.25">
      <c r="A71" s="15" t="s">
        <v>19</v>
      </c>
      <c r="B71" s="16">
        <v>1.3430417175947699E-2</v>
      </c>
      <c r="C71" s="20"/>
      <c r="D71" s="18">
        <v>112.55085055666601</v>
      </c>
      <c r="E71" s="18"/>
      <c r="F71" s="18"/>
      <c r="G71" s="15"/>
      <c r="H71" s="15"/>
      <c r="I71" s="15"/>
    </row>
    <row r="72" spans="1:9" x14ac:dyDescent="0.25">
      <c r="A72" s="15" t="s">
        <v>20</v>
      </c>
      <c r="B72" s="24">
        <v>-1.61778645652975E-2</v>
      </c>
      <c r="C72" s="20"/>
      <c r="D72" s="18">
        <v>117.49299123</v>
      </c>
      <c r="E72" s="18"/>
      <c r="F72" s="18"/>
      <c r="G72" s="15"/>
      <c r="H72" s="15"/>
      <c r="I72" s="15"/>
    </row>
    <row r="73" spans="1:9" x14ac:dyDescent="0.25">
      <c r="A73" s="15" t="s">
        <v>23</v>
      </c>
      <c r="B73" s="16">
        <v>2.95836818188689E-2</v>
      </c>
      <c r="C73" s="17">
        <v>110.72040256</v>
      </c>
      <c r="D73" s="18">
        <v>115.079453056666</v>
      </c>
      <c r="E73" s="18">
        <v>1.0393698938576728</v>
      </c>
      <c r="F73" s="18">
        <v>8.1761484496582497</v>
      </c>
      <c r="G73" s="15">
        <v>0.5</v>
      </c>
      <c r="H73" s="15">
        <v>1.25</v>
      </c>
      <c r="I73" s="15">
        <f t="shared" ref="I73" si="14">G73-H73</f>
        <v>-0.75</v>
      </c>
    </row>
    <row r="74" spans="1:9" x14ac:dyDescent="0.25">
      <c r="A74" s="15" t="s">
        <v>24</v>
      </c>
      <c r="B74" s="24">
        <v>-5.4892758010415703E-2</v>
      </c>
      <c r="C74" s="17"/>
      <c r="D74" s="18">
        <v>119.222878299999</v>
      </c>
      <c r="E74" s="18"/>
      <c r="F74" s="18"/>
      <c r="G74" s="15"/>
      <c r="H74" s="15"/>
      <c r="I74" s="15"/>
    </row>
    <row r="75" spans="1:9" x14ac:dyDescent="0.25">
      <c r="A75" s="15" t="s">
        <v>25</v>
      </c>
      <c r="B75" s="16">
        <v>8.8641812543785899E-3</v>
      </c>
      <c r="C75" s="17">
        <v>111.66319882000001</v>
      </c>
      <c r="D75" s="18">
        <v>115.360934813333</v>
      </c>
      <c r="E75" s="17">
        <v>1.0331150820718804</v>
      </c>
      <c r="F75" s="18">
        <v>19.594840851392899</v>
      </c>
      <c r="G75" s="15">
        <v>0.5</v>
      </c>
      <c r="H75" s="15">
        <v>1.5</v>
      </c>
      <c r="I75" s="15">
        <f t="shared" ref="I75:I80" si="15">G75-H75</f>
        <v>-1</v>
      </c>
    </row>
    <row r="76" spans="1:9" x14ac:dyDescent="0.25">
      <c r="A76" s="15" t="s">
        <v>26</v>
      </c>
      <c r="B76" s="16">
        <v>1.32778322661357E-2</v>
      </c>
      <c r="C76" s="17">
        <v>114.89097618</v>
      </c>
      <c r="D76" s="18">
        <v>118.05576815000001</v>
      </c>
      <c r="E76" s="17">
        <v>1.0275460447393339</v>
      </c>
      <c r="F76" s="18">
        <v>17.2552427011953</v>
      </c>
      <c r="G76" s="15">
        <v>0</v>
      </c>
      <c r="H76" s="15">
        <v>1.25</v>
      </c>
      <c r="I76" s="15">
        <f t="shared" si="15"/>
        <v>-1.25</v>
      </c>
    </row>
    <row r="77" spans="1:9" x14ac:dyDescent="0.25">
      <c r="A77" s="15" t="s">
        <v>27</v>
      </c>
      <c r="B77" s="24">
        <v>-6.0975544853349099E-2</v>
      </c>
      <c r="C77" s="17">
        <v>116.55531655999999</v>
      </c>
      <c r="D77" s="18">
        <v>119.77022043333299</v>
      </c>
      <c r="E77" s="17">
        <v>1.0275826446035865</v>
      </c>
      <c r="F77" s="18">
        <v>17.024424898784201</v>
      </c>
      <c r="G77" s="15">
        <v>1.25</v>
      </c>
      <c r="H77" s="15">
        <v>4.75</v>
      </c>
      <c r="I77" s="15">
        <f t="shared" si="15"/>
        <v>-3.5</v>
      </c>
    </row>
    <row r="78" spans="1:9" x14ac:dyDescent="0.25">
      <c r="A78" s="15" t="s">
        <v>28</v>
      </c>
      <c r="B78" s="24">
        <v>-1.77749404385871E-2</v>
      </c>
      <c r="C78" s="17">
        <v>120.40602251999999</v>
      </c>
      <c r="D78" s="18">
        <v>125.17995179</v>
      </c>
      <c r="E78" s="17">
        <v>1.0396485920727681</v>
      </c>
      <c r="F78" s="18">
        <v>15.1069524712688</v>
      </c>
      <c r="G78" s="15">
        <v>2</v>
      </c>
      <c r="H78" s="15">
        <v>1.25</v>
      </c>
      <c r="I78" s="15">
        <f t="shared" si="15"/>
        <v>0.75</v>
      </c>
    </row>
    <row r="79" spans="1:9" x14ac:dyDescent="0.25">
      <c r="A79" s="15" t="s">
        <v>29</v>
      </c>
      <c r="B79" s="16">
        <v>3.08855730575289E-3</v>
      </c>
      <c r="C79" s="17">
        <v>118.75512236</v>
      </c>
      <c r="D79" s="18">
        <v>128.631154973333</v>
      </c>
      <c r="E79" s="17">
        <v>1.0831630031367767</v>
      </c>
      <c r="F79" s="18">
        <v>21.9579587943592</v>
      </c>
      <c r="G79" s="15">
        <v>3.75</v>
      </c>
      <c r="H79" s="15">
        <v>7.25</v>
      </c>
      <c r="I79" s="15">
        <f t="shared" si="15"/>
        <v>-3.5</v>
      </c>
    </row>
    <row r="80" spans="1:9" x14ac:dyDescent="0.25">
      <c r="A80" s="15" t="s">
        <v>30</v>
      </c>
      <c r="B80" s="24">
        <v>-5.3081166180475401E-3</v>
      </c>
      <c r="C80" s="17">
        <v>125.12197168</v>
      </c>
      <c r="D80" s="18">
        <v>127.417386873333</v>
      </c>
      <c r="E80" s="17">
        <v>1.0183454205725238</v>
      </c>
      <c r="F80" s="18">
        <v>16.640165980770899</v>
      </c>
      <c r="G80" s="15">
        <v>0.5</v>
      </c>
      <c r="H80" s="15">
        <v>4.75</v>
      </c>
      <c r="I80" s="15">
        <f t="shared" si="15"/>
        <v>-4.25</v>
      </c>
    </row>
    <row r="82" spans="1:3" x14ac:dyDescent="0.25">
      <c r="A82" s="10" t="s">
        <v>3</v>
      </c>
      <c r="B82" s="10"/>
      <c r="C82" s="10"/>
    </row>
    <row r="83" spans="1:3" x14ac:dyDescent="0.25">
      <c r="A83" s="11" t="s">
        <v>0</v>
      </c>
      <c r="B83" s="11" t="s">
        <v>1</v>
      </c>
      <c r="C83" s="11" t="s">
        <v>9</v>
      </c>
    </row>
    <row r="84" spans="1:3" x14ac:dyDescent="0.25">
      <c r="A84" s="14" t="s">
        <v>13</v>
      </c>
      <c r="B84" s="23">
        <v>0.735611704001494</v>
      </c>
      <c r="C84" s="17"/>
    </row>
    <row r="85" spans="1:3" x14ac:dyDescent="0.25">
      <c r="A85" s="14" t="s">
        <v>14</v>
      </c>
      <c r="B85" s="23">
        <v>0.199680501000808</v>
      </c>
      <c r="C85" s="17">
        <v>60.588347259999999</v>
      </c>
    </row>
    <row r="86" spans="1:3" x14ac:dyDescent="0.25">
      <c r="A86" s="14" t="s">
        <v>15</v>
      </c>
      <c r="B86" s="23">
        <v>0.12535086320927399</v>
      </c>
      <c r="C86" s="17">
        <v>73.387016439999996</v>
      </c>
    </row>
    <row r="87" spans="1:3" x14ac:dyDescent="0.25">
      <c r="A87" s="14" t="s">
        <v>16</v>
      </c>
      <c r="B87" s="23">
        <v>0.42964915677977999</v>
      </c>
      <c r="C87" s="17">
        <v>79.767295559999994</v>
      </c>
    </row>
    <row r="88" spans="1:3" x14ac:dyDescent="0.25">
      <c r="A88" s="14" t="s">
        <v>17</v>
      </c>
      <c r="B88" s="23">
        <v>4.3375577562074601E-2</v>
      </c>
      <c r="C88" s="17"/>
    </row>
    <row r="89" spans="1:3" x14ac:dyDescent="0.25">
      <c r="A89" s="14" t="s">
        <v>18</v>
      </c>
      <c r="B89" s="23">
        <v>4.5262412029273197E-2</v>
      </c>
      <c r="C89" s="17"/>
    </row>
    <row r="90" spans="1:3" x14ac:dyDescent="0.25">
      <c r="A90" s="1"/>
      <c r="B90" s="53">
        <v>-6.6277814143714905E-2</v>
      </c>
      <c r="C90" s="8"/>
    </row>
    <row r="91" spans="1:3" x14ac:dyDescent="0.25">
      <c r="A91" s="1"/>
      <c r="B91" s="2"/>
      <c r="C91" s="8"/>
    </row>
    <row r="92" spans="1:3" x14ac:dyDescent="0.25">
      <c r="A92" s="1"/>
      <c r="B92" s="2"/>
      <c r="C92" s="8"/>
    </row>
    <row r="93" spans="1:3" x14ac:dyDescent="0.25">
      <c r="A93" s="1"/>
      <c r="B93" s="2"/>
      <c r="C93" s="8"/>
    </row>
    <row r="94" spans="1:3" x14ac:dyDescent="0.25">
      <c r="A94" s="1"/>
      <c r="B94" s="2"/>
      <c r="C94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1544-FB3E-4E0C-B5D5-8229E7D4E682}">
  <dimension ref="A1:BB128"/>
  <sheetViews>
    <sheetView tabSelected="1" topLeftCell="A106" zoomScale="85" zoomScaleNormal="85" workbookViewId="0">
      <selection activeCell="K125" sqref="K125"/>
    </sheetView>
  </sheetViews>
  <sheetFormatPr defaultRowHeight="15" x14ac:dyDescent="0.25"/>
  <cols>
    <col min="1" max="1" width="19.140625" customWidth="1"/>
    <col min="2" max="2" width="18.7109375" customWidth="1"/>
    <col min="3" max="3" width="15.5703125" customWidth="1"/>
    <col min="4" max="9" width="17.85546875" customWidth="1"/>
    <col min="10" max="12" width="23.7109375" customWidth="1"/>
    <col min="13" max="13" width="15.5703125" customWidth="1"/>
    <col min="14" max="15" width="16" customWidth="1"/>
    <col min="16" max="16" width="13" customWidth="1"/>
    <col min="17" max="17" width="16.28515625" customWidth="1"/>
    <col min="18" max="18" width="17.7109375" customWidth="1"/>
    <col min="19" max="23" width="18.7109375" customWidth="1"/>
    <col min="25" max="25" width="14.85546875" customWidth="1"/>
    <col min="26" max="27" width="16.42578125" customWidth="1"/>
    <col min="28" max="28" width="15.85546875" customWidth="1"/>
    <col min="29" max="29" width="19" customWidth="1"/>
    <col min="30" max="31" width="18" customWidth="1"/>
    <col min="32" max="32" width="13" customWidth="1"/>
    <col min="33" max="33" width="14.42578125" customWidth="1"/>
    <col min="34" max="34" width="14.7109375" customWidth="1"/>
    <col min="37" max="37" width="13.140625" customWidth="1"/>
    <col min="45" max="45" width="14.7109375" customWidth="1"/>
    <col min="46" max="46" width="20.7109375" customWidth="1"/>
    <col min="53" max="53" width="13" customWidth="1"/>
  </cols>
  <sheetData>
    <row r="1" spans="1:51" x14ac:dyDescent="0.25">
      <c r="A1" s="4" t="s">
        <v>7</v>
      </c>
      <c r="L1" s="3"/>
    </row>
    <row r="2" spans="1:51" x14ac:dyDescent="0.25">
      <c r="A2" s="5" t="s">
        <v>8</v>
      </c>
      <c r="L2" s="3"/>
    </row>
    <row r="3" spans="1:51" x14ac:dyDescent="0.25">
      <c r="A3" s="7" t="s">
        <v>2</v>
      </c>
      <c r="B3" s="7"/>
      <c r="C3" s="7"/>
      <c r="D3" s="1"/>
      <c r="E3" s="1"/>
      <c r="F3" s="1"/>
      <c r="G3" s="1"/>
      <c r="H3" s="1"/>
      <c r="I3" s="1"/>
      <c r="L3" s="3"/>
      <c r="M3" s="1"/>
      <c r="AF3" s="1"/>
      <c r="AG3" s="1"/>
      <c r="AH3" s="1"/>
    </row>
    <row r="4" spans="1:51" ht="54.75" customHeight="1" x14ac:dyDescent="0.25">
      <c r="A4" s="11" t="s">
        <v>21</v>
      </c>
      <c r="B4" s="11" t="s">
        <v>1</v>
      </c>
      <c r="C4" s="12" t="s">
        <v>22</v>
      </c>
      <c r="D4" s="13" t="s">
        <v>11</v>
      </c>
      <c r="E4" s="13" t="s">
        <v>12</v>
      </c>
      <c r="F4" s="13" t="s">
        <v>31</v>
      </c>
      <c r="G4" s="13" t="s">
        <v>63</v>
      </c>
      <c r="H4" s="13" t="s">
        <v>64</v>
      </c>
      <c r="I4" s="13" t="s">
        <v>32</v>
      </c>
      <c r="J4" s="13" t="s">
        <v>82</v>
      </c>
      <c r="K4" s="9"/>
      <c r="L4" s="1"/>
      <c r="M4" s="1"/>
      <c r="Z4" s="11" t="s">
        <v>21</v>
      </c>
      <c r="AA4" s="11" t="s">
        <v>33</v>
      </c>
      <c r="AB4" s="11" t="s">
        <v>34</v>
      </c>
      <c r="AC4" s="11" t="s">
        <v>35</v>
      </c>
      <c r="AD4" s="10" t="s">
        <v>36</v>
      </c>
      <c r="AE4" s="13" t="s">
        <v>62</v>
      </c>
      <c r="AF4" s="13" t="s">
        <v>32</v>
      </c>
      <c r="AG4" s="63" t="s">
        <v>81</v>
      </c>
      <c r="AT4" t="s">
        <v>66</v>
      </c>
    </row>
    <row r="5" spans="1:51" ht="15.75" thickBot="1" x14ac:dyDescent="0.3">
      <c r="A5" s="15" t="s">
        <v>13</v>
      </c>
      <c r="B5" s="16">
        <v>0.78479742735639801</v>
      </c>
      <c r="C5" s="17"/>
      <c r="D5" s="18">
        <v>133.4714286</v>
      </c>
      <c r="E5" s="18"/>
      <c r="F5" s="25"/>
      <c r="G5" s="15"/>
      <c r="H5" s="64"/>
      <c r="I5" s="15"/>
      <c r="J5" s="18"/>
      <c r="K5" s="62"/>
      <c r="L5" s="1"/>
      <c r="M5" s="1"/>
      <c r="Z5" s="15" t="s">
        <v>14</v>
      </c>
      <c r="AA5" s="16">
        <v>0.17369777575697301</v>
      </c>
      <c r="AB5" s="23">
        <v>1.7836570943256701E-2</v>
      </c>
      <c r="AC5" s="23">
        <v>0.13233171245622599</v>
      </c>
      <c r="AD5" s="22">
        <v>-0.54117535564386998</v>
      </c>
      <c r="AE5" s="39">
        <v>1.1737788669959504</v>
      </c>
      <c r="AF5" s="18">
        <v>0.25</v>
      </c>
      <c r="AG5" s="19">
        <v>9023.75</v>
      </c>
    </row>
    <row r="6" spans="1:51" x14ac:dyDescent="0.25">
      <c r="A6" s="15" t="s">
        <v>14</v>
      </c>
      <c r="B6" s="16">
        <v>0.17369777575697301</v>
      </c>
      <c r="C6" s="18">
        <v>60.588347259999999</v>
      </c>
      <c r="D6" s="18">
        <v>71.117321599999997</v>
      </c>
      <c r="E6" s="18">
        <f>D6/C6</f>
        <v>1.1737788669959504</v>
      </c>
      <c r="F6" s="18">
        <v>4</v>
      </c>
      <c r="G6" s="15">
        <v>0.25</v>
      </c>
      <c r="H6" s="64">
        <v>0</v>
      </c>
      <c r="I6" s="15">
        <f t="shared" ref="I6:I8" si="0">G6-H6</f>
        <v>0.25</v>
      </c>
      <c r="J6" s="19">
        <v>-1.2333333333333301</v>
      </c>
      <c r="K6" s="62"/>
      <c r="L6" s="1"/>
      <c r="M6" s="1"/>
      <c r="Z6" s="15" t="s">
        <v>15</v>
      </c>
      <c r="AA6" s="16">
        <v>9.9143945152060597E-2</v>
      </c>
      <c r="AB6" s="22">
        <v>-0.54160608613664096</v>
      </c>
      <c r="AC6" s="23">
        <v>8.9326261366187695E-2</v>
      </c>
      <c r="AD6" s="22">
        <v>-0.511670862423525</v>
      </c>
      <c r="AE6" s="39">
        <v>1.0182769682576838</v>
      </c>
      <c r="AF6" s="18">
        <v>-3.25</v>
      </c>
      <c r="AG6" s="19">
        <v>118.5</v>
      </c>
      <c r="AT6" s="59" t="s">
        <v>37</v>
      </c>
      <c r="AU6" s="59"/>
    </row>
    <row r="7" spans="1:51" x14ac:dyDescent="0.25">
      <c r="A7" s="15" t="s">
        <v>15</v>
      </c>
      <c r="B7" s="16">
        <v>9.9143945152060597E-2</v>
      </c>
      <c r="C7" s="18">
        <v>73.387016439999996</v>
      </c>
      <c r="D7" s="18">
        <v>74.728308609999999</v>
      </c>
      <c r="E7" s="18">
        <f>D7/C7</f>
        <v>1.0182769682576838</v>
      </c>
      <c r="F7" s="18">
        <v>1.1385255280790201</v>
      </c>
      <c r="G7" s="15">
        <v>0.25</v>
      </c>
      <c r="H7" s="64">
        <v>3.5</v>
      </c>
      <c r="I7" s="15">
        <f>G7-H7</f>
        <v>-3.25</v>
      </c>
      <c r="J7" s="19">
        <v>-0.233333333333333</v>
      </c>
      <c r="K7" s="62"/>
      <c r="L7" s="1"/>
      <c r="M7" s="1"/>
      <c r="Z7" s="15" t="s">
        <v>16</v>
      </c>
      <c r="AA7" s="16">
        <v>0.21234239309632399</v>
      </c>
      <c r="AB7" s="22">
        <v>-0.17637365181995501</v>
      </c>
      <c r="AC7" s="23">
        <v>0.14884070399999999</v>
      </c>
      <c r="AD7" s="22">
        <v>-0.22155858359451899</v>
      </c>
      <c r="AE7" s="39">
        <v>1</v>
      </c>
      <c r="AF7" s="18">
        <v>0</v>
      </c>
      <c r="AG7" s="19">
        <v>2060.9499999999998</v>
      </c>
      <c r="AT7" t="s">
        <v>38</v>
      </c>
      <c r="AU7">
        <v>0.65636192277384597</v>
      </c>
    </row>
    <row r="8" spans="1:51" x14ac:dyDescent="0.25">
      <c r="A8" s="15" t="s">
        <v>16</v>
      </c>
      <c r="B8" s="16">
        <v>0.21234239309632399</v>
      </c>
      <c r="C8" s="18">
        <v>79.767295559999994</v>
      </c>
      <c r="D8" s="18">
        <v>79.767295559999994</v>
      </c>
      <c r="E8" s="18">
        <f>D8/C8</f>
        <v>1</v>
      </c>
      <c r="F8" s="18">
        <v>0</v>
      </c>
      <c r="G8" s="15">
        <v>0</v>
      </c>
      <c r="H8" s="64">
        <v>0</v>
      </c>
      <c r="I8" s="15">
        <f t="shared" si="0"/>
        <v>0</v>
      </c>
      <c r="J8" s="19">
        <v>0</v>
      </c>
      <c r="K8" s="62"/>
      <c r="L8" s="1"/>
      <c r="M8" s="1"/>
      <c r="Z8" s="15" t="s">
        <v>23</v>
      </c>
      <c r="AA8" s="16">
        <v>8.8732929175135894E-2</v>
      </c>
      <c r="AB8" s="23">
        <v>1.20306787922476E-2</v>
      </c>
      <c r="AC8" s="16">
        <v>0.15621819275209001</v>
      </c>
      <c r="AD8" s="16">
        <v>2.95836818188689E-2</v>
      </c>
      <c r="AE8" s="39">
        <v>1.0393698938576728</v>
      </c>
      <c r="AF8" s="18">
        <v>-0.75</v>
      </c>
      <c r="AG8" s="19">
        <v>21</v>
      </c>
      <c r="AT8" t="s">
        <v>39</v>
      </c>
      <c r="AU8">
        <v>0.43081097366738019</v>
      </c>
    </row>
    <row r="9" spans="1:51" x14ac:dyDescent="0.25">
      <c r="A9" s="15" t="s">
        <v>17</v>
      </c>
      <c r="B9" s="16">
        <v>0.36516163611226798</v>
      </c>
      <c r="C9" s="18"/>
      <c r="D9" s="18">
        <v>68.631809730000001</v>
      </c>
      <c r="E9" s="18"/>
      <c r="F9" s="18"/>
      <c r="G9" s="15"/>
      <c r="H9" s="64"/>
      <c r="I9" s="15"/>
      <c r="J9" s="19"/>
      <c r="K9" s="62"/>
      <c r="L9" s="1"/>
      <c r="M9" s="1"/>
      <c r="Z9" s="15" t="s">
        <v>25</v>
      </c>
      <c r="AA9" s="16">
        <v>0.10415722716452799</v>
      </c>
      <c r="AB9" s="23">
        <v>2.8615745110634201E-2</v>
      </c>
      <c r="AC9" s="16">
        <v>5.5397551503622099E-2</v>
      </c>
      <c r="AD9" s="16">
        <v>8.8641812543785899E-3</v>
      </c>
      <c r="AE9" s="39">
        <v>1.0331150820718804</v>
      </c>
      <c r="AF9" s="18">
        <v>-1</v>
      </c>
      <c r="AG9" s="19">
        <v>96.5</v>
      </c>
      <c r="AT9" t="s">
        <v>40</v>
      </c>
      <c r="AU9">
        <v>0.26818553757234598</v>
      </c>
    </row>
    <row r="10" spans="1:51" x14ac:dyDescent="0.25">
      <c r="A10" s="15" t="s">
        <v>18</v>
      </c>
      <c r="B10" s="55">
        <v>4.1333778886518201E-2</v>
      </c>
      <c r="C10" s="18"/>
      <c r="D10" s="18">
        <v>69.696396059999998</v>
      </c>
      <c r="E10" s="18"/>
      <c r="F10" s="18"/>
      <c r="G10" s="15"/>
      <c r="H10" s="64"/>
      <c r="I10" s="15"/>
      <c r="J10" s="19"/>
      <c r="K10" s="62"/>
      <c r="L10" s="1"/>
      <c r="M10" s="1"/>
      <c r="Z10" s="15" t="s">
        <v>26</v>
      </c>
      <c r="AA10" s="16">
        <v>4.66251429291673E-2</v>
      </c>
      <c r="AB10" s="23">
        <v>4.4113621235337297E-2</v>
      </c>
      <c r="AC10" s="16">
        <v>6.9883057908481996E-2</v>
      </c>
      <c r="AD10" s="16">
        <v>1.32778322661357E-2</v>
      </c>
      <c r="AE10" s="39">
        <v>1.0275460447393339</v>
      </c>
      <c r="AF10" s="18">
        <v>-1.25</v>
      </c>
      <c r="AG10" s="19">
        <v>47.5</v>
      </c>
      <c r="AT10" t="s">
        <v>41</v>
      </c>
      <c r="AU10">
        <v>6.7918973959245052E-2</v>
      </c>
    </row>
    <row r="11" spans="1:51" ht="15.75" thickBot="1" x14ac:dyDescent="0.3">
      <c r="A11" s="15" t="s">
        <v>19</v>
      </c>
      <c r="B11" s="55">
        <v>9.4513218106104094E-2</v>
      </c>
      <c r="C11" s="50"/>
      <c r="D11" s="18">
        <v>112.55085055666601</v>
      </c>
      <c r="E11" s="18"/>
      <c r="F11" s="18"/>
      <c r="G11" s="15"/>
      <c r="H11" s="64"/>
      <c r="I11" s="15"/>
      <c r="J11" s="19"/>
      <c r="K11" s="62"/>
      <c r="L11" s="1"/>
      <c r="M11" s="1"/>
      <c r="Z11" s="15" t="s">
        <v>27</v>
      </c>
      <c r="AA11" s="16">
        <v>9.0894558490112708E-3</v>
      </c>
      <c r="AB11" s="22">
        <v>-8.0536265843332393E-3</v>
      </c>
      <c r="AC11" s="16">
        <v>7.8645648239850305E-2</v>
      </c>
      <c r="AD11" s="24">
        <v>-6.0975544853349099E-2</v>
      </c>
      <c r="AE11" s="39">
        <v>1.0275826446035865</v>
      </c>
      <c r="AF11" s="18">
        <v>-3.5</v>
      </c>
      <c r="AG11" s="19">
        <v>23.5</v>
      </c>
      <c r="AT11" s="57" t="s">
        <v>42</v>
      </c>
      <c r="AU11" s="57">
        <v>10</v>
      </c>
    </row>
    <row r="12" spans="1:51" x14ac:dyDescent="0.25">
      <c r="A12" s="15" t="s">
        <v>20</v>
      </c>
      <c r="B12" s="55">
        <v>4.2663094228711902E-2</v>
      </c>
      <c r="C12" s="50"/>
      <c r="D12" s="18">
        <v>117.49299123</v>
      </c>
      <c r="E12" s="18"/>
      <c r="F12" s="18"/>
      <c r="G12" s="15"/>
      <c r="H12" s="64"/>
      <c r="I12" s="15"/>
      <c r="J12" s="19"/>
      <c r="K12" s="62"/>
      <c r="L12" s="1"/>
      <c r="M12" s="1"/>
      <c r="Z12" s="15" t="s">
        <v>28</v>
      </c>
      <c r="AA12" s="16">
        <v>-1.7278096303121701E-2</v>
      </c>
      <c r="AB12" s="22">
        <v>-2.13677287576714E-2</v>
      </c>
      <c r="AC12" s="16">
        <v>0.12</v>
      </c>
      <c r="AD12" s="24">
        <v>-1.77749404385871E-2</v>
      </c>
      <c r="AE12" s="39">
        <v>1.0396485920727681</v>
      </c>
      <c r="AF12" s="18">
        <v>0.75</v>
      </c>
      <c r="AG12" s="19">
        <v>47.75</v>
      </c>
    </row>
    <row r="13" spans="1:51" ht="15.75" thickBot="1" x14ac:dyDescent="0.3">
      <c r="A13" s="15" t="s">
        <v>23</v>
      </c>
      <c r="B13" s="55">
        <v>8.8732929175135894E-2</v>
      </c>
      <c r="C13" s="18">
        <v>110.72040256</v>
      </c>
      <c r="D13" s="18">
        <v>115.079453056666</v>
      </c>
      <c r="E13" s="18">
        <f>D13/C13</f>
        <v>1.0393698938576728</v>
      </c>
      <c r="F13" s="18">
        <v>8.1761484496582497</v>
      </c>
      <c r="G13" s="15">
        <v>0.5</v>
      </c>
      <c r="H13" s="64">
        <v>1.25</v>
      </c>
      <c r="I13" s="15">
        <f>G13-H13</f>
        <v>-0.75</v>
      </c>
      <c r="J13" s="15">
        <v>-3.05</v>
      </c>
      <c r="K13" s="62"/>
      <c r="L13" s="1"/>
      <c r="M13" s="1"/>
      <c r="Z13" s="15" t="s">
        <v>29</v>
      </c>
      <c r="AA13" s="16">
        <v>2.0373962034653699E-2</v>
      </c>
      <c r="AB13" s="23">
        <v>2.7450804091866201E-2</v>
      </c>
      <c r="AC13" s="16">
        <v>0.101236914763633</v>
      </c>
      <c r="AD13" s="16">
        <v>3.08855730575289E-3</v>
      </c>
      <c r="AE13" s="39">
        <v>1.0831630031367767</v>
      </c>
      <c r="AF13" s="18">
        <v>-3.5</v>
      </c>
      <c r="AG13" s="19">
        <v>23.75</v>
      </c>
      <c r="AT13" t="s">
        <v>43</v>
      </c>
    </row>
    <row r="14" spans="1:51" x14ac:dyDescent="0.25">
      <c r="A14" s="15" t="s">
        <v>24</v>
      </c>
      <c r="B14" s="60">
        <v>-1.9463558010346702E-2</v>
      </c>
      <c r="C14" s="18"/>
      <c r="D14" s="18">
        <v>119.222878299999</v>
      </c>
      <c r="E14" s="18"/>
      <c r="F14" s="18"/>
      <c r="G14" s="15"/>
      <c r="H14" s="64"/>
      <c r="I14" s="15"/>
      <c r="J14" s="19"/>
      <c r="K14" s="62"/>
      <c r="L14" s="1"/>
      <c r="M14" s="1"/>
      <c r="Z14" s="15" t="s">
        <v>30</v>
      </c>
      <c r="AA14" s="16">
        <v>-2.50118292734785E-2</v>
      </c>
      <c r="AB14" s="22">
        <v>-4.0077224600602597E-2</v>
      </c>
      <c r="AC14" s="16">
        <v>0.107400232693555</v>
      </c>
      <c r="AD14" s="24">
        <v>-5.3081166180475401E-3</v>
      </c>
      <c r="AE14" s="39">
        <v>1.0183454205725238</v>
      </c>
      <c r="AF14" s="18">
        <v>-4.25</v>
      </c>
      <c r="AG14" s="19">
        <v>23.5</v>
      </c>
      <c r="AT14" s="58"/>
      <c r="AU14" s="58" t="s">
        <v>48</v>
      </c>
      <c r="AV14" s="58" t="s">
        <v>33</v>
      </c>
      <c r="AW14" s="58" t="s">
        <v>49</v>
      </c>
      <c r="AX14" s="58" t="s">
        <v>50</v>
      </c>
      <c r="AY14" s="58" t="s">
        <v>51</v>
      </c>
    </row>
    <row r="15" spans="1:51" x14ac:dyDescent="0.25">
      <c r="A15" s="15" t="s">
        <v>25</v>
      </c>
      <c r="B15" s="16">
        <v>0.10415722716452799</v>
      </c>
      <c r="C15" s="18">
        <v>111.66319882000001</v>
      </c>
      <c r="D15" s="18">
        <v>115.360934813333</v>
      </c>
      <c r="E15" s="18">
        <f t="shared" ref="E15:E20" si="1">D15/C15</f>
        <v>1.0331150820718804</v>
      </c>
      <c r="F15" s="18">
        <v>19.594840851392899</v>
      </c>
      <c r="G15" s="15">
        <v>0.5</v>
      </c>
      <c r="H15" s="64">
        <v>1.5</v>
      </c>
      <c r="I15" s="15">
        <f t="shared" ref="I15:I20" si="2">G15-H15</f>
        <v>-1</v>
      </c>
      <c r="J15" s="15">
        <v>-5.3</v>
      </c>
      <c r="K15" s="62"/>
      <c r="L15" s="1"/>
      <c r="M15" s="1"/>
      <c r="AT15" t="s">
        <v>44</v>
      </c>
      <c r="AU15">
        <v>2</v>
      </c>
      <c r="AV15">
        <v>2.4440523929156646E-2</v>
      </c>
      <c r="AW15">
        <v>1.2220261964578323E-2</v>
      </c>
      <c r="AX15">
        <v>2.649099575146566</v>
      </c>
      <c r="AY15">
        <v>0.13912264145903849</v>
      </c>
    </row>
    <row r="16" spans="1:51" x14ac:dyDescent="0.25">
      <c r="A16" s="15" t="s">
        <v>26</v>
      </c>
      <c r="B16" s="16">
        <v>4.66251429291673E-2</v>
      </c>
      <c r="C16" s="18">
        <v>114.89097618</v>
      </c>
      <c r="D16" s="18">
        <v>118.05576815000001</v>
      </c>
      <c r="E16" s="18">
        <f t="shared" si="1"/>
        <v>1.0275460447393339</v>
      </c>
      <c r="F16" s="18">
        <v>17.2552427011953</v>
      </c>
      <c r="G16" s="15">
        <v>0</v>
      </c>
      <c r="H16" s="64">
        <v>1.25</v>
      </c>
      <c r="I16" s="15">
        <f t="shared" si="2"/>
        <v>-1.25</v>
      </c>
      <c r="J16" s="15">
        <v>11.95</v>
      </c>
      <c r="K16" s="62"/>
      <c r="L16" s="1"/>
      <c r="M16" s="1"/>
      <c r="AT16" t="s">
        <v>45</v>
      </c>
      <c r="AU16">
        <v>7</v>
      </c>
      <c r="AV16">
        <v>3.2290909165736251E-2</v>
      </c>
      <c r="AW16">
        <v>4.6129870236766074E-3</v>
      </c>
    </row>
    <row r="17" spans="1:54" ht="15.75" thickBot="1" x14ac:dyDescent="0.3">
      <c r="A17" s="15" t="s">
        <v>27</v>
      </c>
      <c r="B17" s="16">
        <v>9.0894558490112708E-3</v>
      </c>
      <c r="C17" s="18">
        <v>116.55531655999999</v>
      </c>
      <c r="D17" s="18">
        <v>119.77022043333299</v>
      </c>
      <c r="E17" s="18">
        <f t="shared" si="1"/>
        <v>1.0275826446035865</v>
      </c>
      <c r="F17" s="18">
        <v>17.024424898784201</v>
      </c>
      <c r="G17" s="15">
        <v>1.25</v>
      </c>
      <c r="H17" s="64">
        <v>4.75</v>
      </c>
      <c r="I17" s="15">
        <f t="shared" si="2"/>
        <v>-3.5</v>
      </c>
      <c r="J17" s="15">
        <v>-6.3</v>
      </c>
      <c r="K17" s="62"/>
      <c r="L17" s="1"/>
      <c r="M17" s="1"/>
      <c r="AT17" s="57" t="s">
        <v>46</v>
      </c>
      <c r="AU17" s="57">
        <v>9</v>
      </c>
      <c r="AV17" s="57">
        <v>5.6731433094892897E-2</v>
      </c>
      <c r="AW17" s="57"/>
      <c r="AX17" s="57"/>
      <c r="AY17" s="57"/>
    </row>
    <row r="18" spans="1:54" ht="15.75" thickBot="1" x14ac:dyDescent="0.3">
      <c r="A18" s="15" t="s">
        <v>28</v>
      </c>
      <c r="B18" s="24">
        <v>-1.7278096303121701E-2</v>
      </c>
      <c r="C18" s="18">
        <v>120.40602251999999</v>
      </c>
      <c r="D18" s="18">
        <v>125.17995179</v>
      </c>
      <c r="E18" s="18">
        <f t="shared" si="1"/>
        <v>1.0396485920727681</v>
      </c>
      <c r="F18" s="18">
        <v>15.1069524712688</v>
      </c>
      <c r="G18" s="15">
        <v>1.25</v>
      </c>
      <c r="H18" s="1">
        <v>2</v>
      </c>
      <c r="I18" s="15">
        <f t="shared" si="2"/>
        <v>-0.75</v>
      </c>
      <c r="J18" s="15">
        <v>-4.3</v>
      </c>
      <c r="K18" s="62"/>
      <c r="L18" s="1"/>
      <c r="M18" s="1"/>
    </row>
    <row r="19" spans="1:54" x14ac:dyDescent="0.25">
      <c r="A19" s="15" t="s">
        <v>29</v>
      </c>
      <c r="B19" s="16">
        <v>2.0373962034653699E-2</v>
      </c>
      <c r="C19" s="18">
        <v>118.75512236</v>
      </c>
      <c r="D19" s="18">
        <v>128.631154973333</v>
      </c>
      <c r="E19" s="18">
        <f t="shared" si="1"/>
        <v>1.0831630031367767</v>
      </c>
      <c r="F19" s="18">
        <v>21.9579587943592</v>
      </c>
      <c r="G19" s="15">
        <v>3.75</v>
      </c>
      <c r="H19" s="64">
        <v>7.25</v>
      </c>
      <c r="I19" s="15">
        <f t="shared" si="2"/>
        <v>-3.5</v>
      </c>
      <c r="J19" s="15">
        <v>-8.3000000000000007</v>
      </c>
      <c r="K19" s="62"/>
      <c r="L19" s="1"/>
      <c r="M19" s="1"/>
      <c r="AT19" s="58"/>
      <c r="AU19" s="58" t="s">
        <v>52</v>
      </c>
      <c r="AV19" s="58" t="s">
        <v>41</v>
      </c>
      <c r="AW19" s="58" t="s">
        <v>53</v>
      </c>
      <c r="AX19" s="58" t="s">
        <v>54</v>
      </c>
      <c r="AY19" s="58" t="s">
        <v>55</v>
      </c>
      <c r="AZ19" s="58" t="s">
        <v>56</v>
      </c>
      <c r="BA19" s="58" t="s">
        <v>57</v>
      </c>
      <c r="BB19" s="58" t="s">
        <v>58</v>
      </c>
    </row>
    <row r="20" spans="1:54" ht="15.75" thickBot="1" x14ac:dyDescent="0.3">
      <c r="A20" s="15" t="s">
        <v>30</v>
      </c>
      <c r="B20" s="24">
        <v>-2.50118292734785E-2</v>
      </c>
      <c r="C20" s="18">
        <v>125.12197168</v>
      </c>
      <c r="D20" s="18">
        <v>127.417386873333</v>
      </c>
      <c r="E20" s="18">
        <f t="shared" si="1"/>
        <v>1.0183454205725238</v>
      </c>
      <c r="F20" s="18">
        <v>16.640165980770899</v>
      </c>
      <c r="G20" s="15">
        <v>0.5</v>
      </c>
      <c r="H20" s="64">
        <v>4.75</v>
      </c>
      <c r="I20" s="15">
        <f t="shared" si="2"/>
        <v>-4.25</v>
      </c>
      <c r="J20" s="15">
        <v>-9.8000000000000007</v>
      </c>
      <c r="L20" s="1"/>
      <c r="M20" s="1"/>
      <c r="Z20" t="s">
        <v>33</v>
      </c>
      <c r="AI20" s="1"/>
      <c r="AJ20" t="s">
        <v>34</v>
      </c>
      <c r="AT20" t="s">
        <v>47</v>
      </c>
      <c r="AU20">
        <v>7.8036882959894027E-2</v>
      </c>
      <c r="AV20">
        <v>3.6014533374310015E-2</v>
      </c>
      <c r="AW20">
        <v>2.1668164390423423</v>
      </c>
      <c r="AX20">
        <v>6.6930901071746235E-2</v>
      </c>
      <c r="AY20">
        <v>-7.1239560667971658E-3</v>
      </c>
      <c r="AZ20">
        <v>0.16319772198658522</v>
      </c>
      <c r="BA20">
        <v>-7.1239560667971658E-3</v>
      </c>
      <c r="BB20">
        <v>0.16319772198658522</v>
      </c>
    </row>
    <row r="21" spans="1:54" x14ac:dyDescent="0.25">
      <c r="L21" s="1"/>
      <c r="M21" s="1"/>
      <c r="Z21" s="59" t="s">
        <v>37</v>
      </c>
      <c r="AA21" s="59"/>
      <c r="AI21" s="1"/>
      <c r="AJ21" s="59" t="s">
        <v>37</v>
      </c>
      <c r="AK21" s="59"/>
      <c r="AT21" t="s">
        <v>32</v>
      </c>
      <c r="AU21">
        <v>1.3203268117812653E-2</v>
      </c>
      <c r="AV21">
        <v>1.3893484876541051E-2</v>
      </c>
      <c r="AW21">
        <v>0.95032083275997803</v>
      </c>
      <c r="AX21">
        <v>0.37359840342506095</v>
      </c>
      <c r="AY21">
        <v>-1.9649603160393908E-2</v>
      </c>
      <c r="AZ21">
        <v>4.6056139396019213E-2</v>
      </c>
      <c r="BA21">
        <v>-1.9649603160393908E-2</v>
      </c>
      <c r="BB21">
        <v>4.6056139396019213E-2</v>
      </c>
    </row>
    <row r="22" spans="1:54" ht="15.75" thickBot="1" x14ac:dyDescent="0.3">
      <c r="A22" s="1"/>
      <c r="B22" s="6"/>
      <c r="D22" s="9"/>
      <c r="E22" s="6"/>
      <c r="F22" s="6"/>
      <c r="G22" s="6"/>
      <c r="H22" s="6"/>
      <c r="I22" s="6"/>
      <c r="J22" s="8"/>
      <c r="K22" s="8"/>
      <c r="L22" s="1"/>
      <c r="M22" s="1"/>
      <c r="Z22" t="s">
        <v>38</v>
      </c>
      <c r="AA22">
        <v>0.51694226139610178</v>
      </c>
      <c r="AI22" s="1"/>
      <c r="AJ22" t="s">
        <v>38</v>
      </c>
      <c r="AK22">
        <v>0.36455592352963589</v>
      </c>
      <c r="AT22" s="57" t="s">
        <v>81</v>
      </c>
      <c r="AU22" s="57">
        <v>1.3002690061220546E-5</v>
      </c>
      <c r="AV22" s="57">
        <v>8.8842575515479156E-6</v>
      </c>
      <c r="AW22" s="57">
        <v>1.4635651865985211</v>
      </c>
      <c r="AX22" s="57">
        <v>0.18671919309596385</v>
      </c>
      <c r="AY22" s="57">
        <v>-8.0052408025659929E-6</v>
      </c>
      <c r="AZ22" s="57">
        <v>3.4010620925007084E-5</v>
      </c>
      <c r="BA22" s="57">
        <v>-8.0052408025659929E-6</v>
      </c>
      <c r="BB22" s="57">
        <v>3.4010620925007084E-5</v>
      </c>
    </row>
    <row r="23" spans="1:54" x14ac:dyDescent="0.25">
      <c r="A23" s="7" t="s">
        <v>4</v>
      </c>
      <c r="B23" s="7"/>
      <c r="C23" s="7"/>
      <c r="D23" s="9"/>
      <c r="E23" s="6"/>
      <c r="F23" s="6"/>
      <c r="G23" s="6"/>
      <c r="H23" s="6"/>
      <c r="I23" s="6"/>
      <c r="L23" s="1"/>
      <c r="M23" s="1"/>
      <c r="Z23" t="s">
        <v>39</v>
      </c>
      <c r="AA23">
        <v>0.26722930161731567</v>
      </c>
      <c r="AI23" s="1"/>
      <c r="AJ23" t="s">
        <v>39</v>
      </c>
      <c r="AK23">
        <v>0.13290102138054571</v>
      </c>
    </row>
    <row r="24" spans="1:54" ht="30" x14ac:dyDescent="0.25">
      <c r="A24" s="11" t="s">
        <v>0</v>
      </c>
      <c r="B24" s="11" t="s">
        <v>1</v>
      </c>
      <c r="C24" s="12" t="s">
        <v>22</v>
      </c>
      <c r="D24" s="13" t="s">
        <v>11</v>
      </c>
      <c r="E24" s="13" t="s">
        <v>12</v>
      </c>
      <c r="F24" s="13" t="s">
        <v>31</v>
      </c>
      <c r="G24" s="13" t="s">
        <v>63</v>
      </c>
      <c r="H24" s="13" t="s">
        <v>64</v>
      </c>
      <c r="I24" s="13" t="s">
        <v>32</v>
      </c>
      <c r="J24" s="13" t="s">
        <v>10</v>
      </c>
      <c r="K24" s="8"/>
      <c r="L24" s="1"/>
      <c r="M24" s="1"/>
      <c r="Z24" t="s">
        <v>40</v>
      </c>
      <c r="AA24">
        <v>5.7866244936548697E-2</v>
      </c>
      <c r="AI24" s="1"/>
      <c r="AJ24" t="s">
        <v>40</v>
      </c>
      <c r="AK24">
        <v>-0.11484154393929837</v>
      </c>
      <c r="AT24" t="s">
        <v>66</v>
      </c>
    </row>
    <row r="25" spans="1:54" ht="15.75" thickBot="1" x14ac:dyDescent="0.3">
      <c r="A25" s="14" t="s">
        <v>13</v>
      </c>
      <c r="B25" s="22">
        <v>-0.69015600278604705</v>
      </c>
      <c r="C25" s="17"/>
      <c r="D25" s="18">
        <v>133.4714286</v>
      </c>
      <c r="E25" s="18"/>
      <c r="F25" s="25"/>
      <c r="G25" s="15"/>
      <c r="H25" s="64"/>
      <c r="I25" s="15"/>
      <c r="J25" s="18"/>
      <c r="K25" s="1"/>
      <c r="L25" s="1"/>
      <c r="M25" s="1"/>
      <c r="Z25" t="s">
        <v>41</v>
      </c>
      <c r="AA25">
        <v>7.7063176169384559E-2</v>
      </c>
      <c r="AI25" s="1"/>
      <c r="AJ25" t="s">
        <v>41</v>
      </c>
      <c r="AK25">
        <v>0.18865897427581979</v>
      </c>
    </row>
    <row r="26" spans="1:54" ht="15.75" thickBot="1" x14ac:dyDescent="0.3">
      <c r="A26" s="14" t="s">
        <v>14</v>
      </c>
      <c r="B26" s="23">
        <v>1.7836570943256701E-2</v>
      </c>
      <c r="C26" s="17">
        <v>60.588347259999999</v>
      </c>
      <c r="D26" s="18">
        <v>71.117321599999997</v>
      </c>
      <c r="E26" s="18">
        <v>1.1737788669959499</v>
      </c>
      <c r="F26" s="18">
        <v>4</v>
      </c>
      <c r="G26" s="15">
        <v>0.25</v>
      </c>
      <c r="H26" s="64">
        <v>0</v>
      </c>
      <c r="I26" s="15">
        <f t="shared" ref="I26:I28" si="3">G26-H26</f>
        <v>0.25</v>
      </c>
      <c r="J26" s="19">
        <v>-1.2333333333333301</v>
      </c>
      <c r="K26" s="1"/>
      <c r="L26" s="1"/>
      <c r="M26" s="1"/>
      <c r="Z26" s="57" t="s">
        <v>42</v>
      </c>
      <c r="AA26" s="57">
        <v>10</v>
      </c>
      <c r="AI26" s="1"/>
      <c r="AJ26" s="57" t="s">
        <v>42</v>
      </c>
      <c r="AK26" s="57">
        <v>10</v>
      </c>
      <c r="AT26" s="59" t="s">
        <v>37</v>
      </c>
      <c r="AU26" s="59"/>
    </row>
    <row r="27" spans="1:54" x14ac:dyDescent="0.25">
      <c r="A27" s="14" t="s">
        <v>15</v>
      </c>
      <c r="B27" s="22">
        <v>-0.54160608613664096</v>
      </c>
      <c r="C27" s="17">
        <v>73.387016439999996</v>
      </c>
      <c r="D27" s="18">
        <v>74.728308609999999</v>
      </c>
      <c r="E27" s="18">
        <v>1.01827696825768</v>
      </c>
      <c r="F27" s="18">
        <v>1.1385255280790201</v>
      </c>
      <c r="G27" s="15">
        <v>0.25</v>
      </c>
      <c r="H27" s="64">
        <v>3.5</v>
      </c>
      <c r="I27" s="15">
        <f t="shared" si="3"/>
        <v>-3.25</v>
      </c>
      <c r="J27" s="19">
        <v>-0.233333333333333</v>
      </c>
      <c r="K27" s="1"/>
      <c r="L27" s="1"/>
      <c r="M27" s="1"/>
      <c r="AI27" s="1"/>
      <c r="AT27" t="s">
        <v>38</v>
      </c>
      <c r="AU27">
        <v>0.47380484231928244</v>
      </c>
    </row>
    <row r="28" spans="1:54" ht="15.75" thickBot="1" x14ac:dyDescent="0.3">
      <c r="A28" s="14" t="s">
        <v>16</v>
      </c>
      <c r="B28" s="22">
        <v>-0.17637365181995501</v>
      </c>
      <c r="C28" s="17">
        <v>79.767295559999994</v>
      </c>
      <c r="D28" s="18">
        <v>79.767295559999994</v>
      </c>
      <c r="E28" s="18">
        <v>1</v>
      </c>
      <c r="F28" s="18">
        <v>0</v>
      </c>
      <c r="G28" s="15">
        <v>0</v>
      </c>
      <c r="H28" s="64">
        <v>0</v>
      </c>
      <c r="I28" s="15">
        <f t="shared" si="3"/>
        <v>0</v>
      </c>
      <c r="J28" s="19">
        <v>0</v>
      </c>
      <c r="K28" s="1"/>
      <c r="L28" s="1"/>
      <c r="M28" s="1"/>
      <c r="Z28" t="s">
        <v>43</v>
      </c>
      <c r="AI28" s="1"/>
      <c r="AJ28" t="s">
        <v>43</v>
      </c>
      <c r="AT28" t="s">
        <v>39</v>
      </c>
      <c r="AU28">
        <v>0.22449102860520009</v>
      </c>
    </row>
    <row r="29" spans="1:54" x14ac:dyDescent="0.25">
      <c r="A29" s="14" t="s">
        <v>17</v>
      </c>
      <c r="B29" s="23">
        <v>0.39449354239977702</v>
      </c>
      <c r="C29" s="17"/>
      <c r="D29" s="18">
        <v>68.631809730000001</v>
      </c>
      <c r="E29" s="18"/>
      <c r="F29" s="18"/>
      <c r="G29" s="15"/>
      <c r="H29" s="64"/>
      <c r="I29" s="15"/>
      <c r="J29" s="19"/>
      <c r="K29" s="1"/>
      <c r="L29" s="1"/>
      <c r="M29" s="1"/>
      <c r="Z29" s="58"/>
      <c r="AA29" s="58" t="s">
        <v>48</v>
      </c>
      <c r="AB29" s="58" t="s">
        <v>33</v>
      </c>
      <c r="AC29" s="58" t="s">
        <v>49</v>
      </c>
      <c r="AD29" s="58" t="s">
        <v>50</v>
      </c>
      <c r="AE29" s="58" t="s">
        <v>51</v>
      </c>
      <c r="AI29" s="1"/>
      <c r="AJ29" s="58"/>
      <c r="AK29" s="58" t="s">
        <v>48</v>
      </c>
      <c r="AL29" s="58" t="s">
        <v>33</v>
      </c>
      <c r="AM29" s="58" t="s">
        <v>49</v>
      </c>
      <c r="AN29" s="58" t="s">
        <v>50</v>
      </c>
      <c r="AO29" s="58" t="s">
        <v>51</v>
      </c>
      <c r="AT29" t="s">
        <v>40</v>
      </c>
      <c r="AU29">
        <v>2.9170367781143902E-3</v>
      </c>
    </row>
    <row r="30" spans="1:54" x14ac:dyDescent="0.25">
      <c r="A30" s="21" t="s">
        <v>18</v>
      </c>
      <c r="B30" s="22">
        <v>-0.17371472956907899</v>
      </c>
      <c r="C30" s="17"/>
      <c r="D30" s="18">
        <v>69.696396059999998</v>
      </c>
      <c r="E30" s="18"/>
      <c r="F30" s="18"/>
      <c r="G30" s="15"/>
      <c r="H30" s="64"/>
      <c r="I30" s="15"/>
      <c r="J30" s="19"/>
      <c r="K30" s="1"/>
      <c r="L30" s="1"/>
      <c r="M30" s="1"/>
      <c r="Z30" t="s">
        <v>44</v>
      </c>
      <c r="AA30">
        <v>2</v>
      </c>
      <c r="AB30">
        <v>1.5160301245697699E-2</v>
      </c>
      <c r="AC30">
        <v>7.5801506228488497E-3</v>
      </c>
      <c r="AD30">
        <v>1.2763918613625429</v>
      </c>
      <c r="AE30">
        <v>0.33681260117928441</v>
      </c>
      <c r="AI30" s="1"/>
      <c r="AJ30" t="s">
        <v>44</v>
      </c>
      <c r="AK30">
        <v>2</v>
      </c>
      <c r="AL30">
        <v>3.8186743296809128E-2</v>
      </c>
      <c r="AM30">
        <v>1.9093371648404564E-2</v>
      </c>
      <c r="AN30">
        <v>0.53644807144450923</v>
      </c>
      <c r="AO30">
        <v>0.60707222216915957</v>
      </c>
      <c r="AT30" t="s">
        <v>41</v>
      </c>
      <c r="AU30">
        <v>3.35539679008625E-2</v>
      </c>
    </row>
    <row r="31" spans="1:54" ht="15.75" thickBot="1" x14ac:dyDescent="0.3">
      <c r="A31" s="15" t="s">
        <v>19</v>
      </c>
      <c r="B31" s="23">
        <v>3.4332675043980999E-2</v>
      </c>
      <c r="C31" s="20"/>
      <c r="D31" s="18">
        <v>112.55085055666601</v>
      </c>
      <c r="E31" s="18"/>
      <c r="F31" s="18"/>
      <c r="G31" s="15"/>
      <c r="H31" s="64"/>
      <c r="I31" s="15"/>
      <c r="J31" s="19"/>
      <c r="K31" s="1"/>
      <c r="L31" s="1"/>
      <c r="M31" s="1"/>
      <c r="Z31" t="s">
        <v>45</v>
      </c>
      <c r="AA31">
        <v>7</v>
      </c>
      <c r="AB31">
        <v>4.1571131849195198E-2</v>
      </c>
      <c r="AC31">
        <v>5.9387331213135996E-3</v>
      </c>
      <c r="AI31" s="1"/>
      <c r="AJ31" t="s">
        <v>45</v>
      </c>
      <c r="AK31">
        <v>7</v>
      </c>
      <c r="AL31">
        <v>0.24914546002363105</v>
      </c>
      <c r="AM31">
        <v>3.5592208574804433E-2</v>
      </c>
      <c r="AT31" s="57" t="s">
        <v>42</v>
      </c>
      <c r="AU31" s="57">
        <v>10</v>
      </c>
    </row>
    <row r="32" spans="1:54" ht="15.75" thickBot="1" x14ac:dyDescent="0.3">
      <c r="A32" s="15" t="s">
        <v>20</v>
      </c>
      <c r="B32" s="23">
        <v>2.8668980226143202E-2</v>
      </c>
      <c r="C32" s="20"/>
      <c r="D32" s="18">
        <v>117.49299123</v>
      </c>
      <c r="E32" s="18"/>
      <c r="F32" s="18"/>
      <c r="G32" s="15"/>
      <c r="H32" s="64"/>
      <c r="I32" s="15"/>
      <c r="J32" s="19"/>
      <c r="K32" s="1"/>
      <c r="L32" s="1"/>
      <c r="M32" s="1"/>
      <c r="Z32" s="57" t="s">
        <v>46</v>
      </c>
      <c r="AA32" s="57">
        <v>9</v>
      </c>
      <c r="AB32" s="57">
        <v>5.6731433094892897E-2</v>
      </c>
      <c r="AC32" s="57"/>
      <c r="AD32" s="57"/>
      <c r="AE32" s="57"/>
      <c r="AI32" s="1"/>
      <c r="AJ32" s="57" t="s">
        <v>46</v>
      </c>
      <c r="AK32" s="57">
        <v>9</v>
      </c>
      <c r="AL32" s="57">
        <v>0.28733220332044018</v>
      </c>
      <c r="AM32" s="57"/>
      <c r="AN32" s="57"/>
      <c r="AO32" s="57"/>
    </row>
    <row r="33" spans="1:54" ht="15.75" thickBot="1" x14ac:dyDescent="0.3">
      <c r="A33" s="15" t="s">
        <v>23</v>
      </c>
      <c r="B33" s="23">
        <v>1.20306787922476E-2</v>
      </c>
      <c r="C33" s="17">
        <v>110.72040256</v>
      </c>
      <c r="D33" s="18">
        <v>115.079453056666</v>
      </c>
      <c r="E33" s="18">
        <f>D33/C33</f>
        <v>1.0393698938576728</v>
      </c>
      <c r="F33" s="18">
        <v>8.1761484496582497</v>
      </c>
      <c r="G33" s="15">
        <v>0.5</v>
      </c>
      <c r="H33" s="64">
        <v>1.25</v>
      </c>
      <c r="I33" s="15">
        <f>G33-H33</f>
        <v>-0.75</v>
      </c>
      <c r="J33" s="15">
        <v>-3.05</v>
      </c>
      <c r="K33" s="1"/>
      <c r="L33" s="1"/>
      <c r="M33" s="1"/>
      <c r="AI33" s="1"/>
      <c r="AT33" t="s">
        <v>43</v>
      </c>
    </row>
    <row r="34" spans="1:54" x14ac:dyDescent="0.25">
      <c r="A34" s="15" t="s">
        <v>24</v>
      </c>
      <c r="B34" s="23">
        <v>2.7386597361713599E-2</v>
      </c>
      <c r="C34" s="17"/>
      <c r="D34" s="18">
        <v>119.222878299999</v>
      </c>
      <c r="E34" s="18"/>
      <c r="F34" s="18"/>
      <c r="G34" s="15"/>
      <c r="H34" s="64"/>
      <c r="I34" s="15"/>
      <c r="J34" s="19"/>
      <c r="K34" s="1"/>
      <c r="L34" s="1"/>
      <c r="M34" s="1"/>
      <c r="Z34" s="58"/>
      <c r="AA34" s="58" t="s">
        <v>52</v>
      </c>
      <c r="AB34" s="58" t="s">
        <v>41</v>
      </c>
      <c r="AC34" s="58" t="s">
        <v>53</v>
      </c>
      <c r="AD34" s="58" t="s">
        <v>54</v>
      </c>
      <c r="AE34" s="58" t="s">
        <v>55</v>
      </c>
      <c r="AF34" s="58" t="s">
        <v>56</v>
      </c>
      <c r="AG34" s="58" t="s">
        <v>57</v>
      </c>
      <c r="AH34" s="58" t="s">
        <v>58</v>
      </c>
      <c r="AI34" s="1"/>
      <c r="AJ34" s="58"/>
      <c r="AK34" s="58" t="s">
        <v>52</v>
      </c>
      <c r="AL34" s="58" t="s">
        <v>41</v>
      </c>
      <c r="AM34" s="58" t="s">
        <v>53</v>
      </c>
      <c r="AN34" s="58" t="s">
        <v>54</v>
      </c>
      <c r="AO34" s="58" t="s">
        <v>55</v>
      </c>
      <c r="AP34" s="58" t="s">
        <v>56</v>
      </c>
      <c r="AQ34" s="58" t="s">
        <v>57</v>
      </c>
      <c r="AR34" s="58" t="s">
        <v>58</v>
      </c>
      <c r="AT34" s="58"/>
      <c r="AU34" s="58" t="s">
        <v>48</v>
      </c>
      <c r="AV34" s="58" t="s">
        <v>33</v>
      </c>
      <c r="AW34" s="58" t="s">
        <v>49</v>
      </c>
      <c r="AX34" s="58" t="s">
        <v>50</v>
      </c>
      <c r="AY34" s="58" t="s">
        <v>51</v>
      </c>
    </row>
    <row r="35" spans="1:54" x14ac:dyDescent="0.25">
      <c r="A35" s="15" t="s">
        <v>25</v>
      </c>
      <c r="B35" s="23">
        <v>2.8615745110634201E-2</v>
      </c>
      <c r="C35" s="17">
        <v>111.66319882000001</v>
      </c>
      <c r="D35" s="18">
        <v>115.360934813333</v>
      </c>
      <c r="E35" s="18">
        <f t="shared" ref="E35:E40" si="4">D35/C35</f>
        <v>1.0331150820718804</v>
      </c>
      <c r="F35" s="18">
        <v>19.594840851392899</v>
      </c>
      <c r="G35" s="15">
        <v>0.5</v>
      </c>
      <c r="H35" s="64">
        <v>1.5</v>
      </c>
      <c r="I35" s="15">
        <f t="shared" ref="I35:I40" si="5">G35-H35</f>
        <v>-1</v>
      </c>
      <c r="J35" s="15">
        <v>-5.3</v>
      </c>
      <c r="K35" s="1"/>
      <c r="L35" s="1"/>
      <c r="M35" s="1"/>
      <c r="Z35" t="s">
        <v>47</v>
      </c>
      <c r="AA35">
        <v>-7.2141295442709641E-2</v>
      </c>
      <c r="AB35">
        <v>0.5665371020397747</v>
      </c>
      <c r="AC35">
        <v>-0.12733728326524471</v>
      </c>
      <c r="AD35">
        <v>0.9022542431883902</v>
      </c>
      <c r="AE35">
        <v>-1.411788666353057</v>
      </c>
      <c r="AF35">
        <v>1.2675060754676377</v>
      </c>
      <c r="AG35">
        <v>-1.411788666353057</v>
      </c>
      <c r="AH35">
        <v>1.2675060754676377</v>
      </c>
      <c r="AI35" s="1"/>
      <c r="AJ35" t="s">
        <v>47</v>
      </c>
      <c r="AK35">
        <v>-1.1384414476301981</v>
      </c>
      <c r="AL35">
        <v>1.3869439837918496</v>
      </c>
      <c r="AM35">
        <v>-0.82082727271922296</v>
      </c>
      <c r="AN35">
        <v>0.43880001735556717</v>
      </c>
      <c r="AO35">
        <v>-4.4180428273051158</v>
      </c>
      <c r="AP35">
        <v>2.1411599320447197</v>
      </c>
      <c r="AQ35">
        <v>-4.4180428273051158</v>
      </c>
      <c r="AR35">
        <v>2.1411599320447197</v>
      </c>
      <c r="AT35" t="s">
        <v>44</v>
      </c>
      <c r="AU35">
        <v>2</v>
      </c>
      <c r="AV35">
        <v>2.2813818025074432E-3</v>
      </c>
      <c r="AW35">
        <v>1.1406909012537216E-3</v>
      </c>
      <c r="AX35">
        <v>1.013165068490488</v>
      </c>
      <c r="AY35">
        <v>0.41072760422250654</v>
      </c>
    </row>
    <row r="36" spans="1:54" x14ac:dyDescent="0.25">
      <c r="A36" s="15" t="s">
        <v>26</v>
      </c>
      <c r="B36" s="23">
        <v>4.4113621235337297E-2</v>
      </c>
      <c r="C36" s="17">
        <v>114.89097618</v>
      </c>
      <c r="D36" s="18">
        <v>118.05576815000001</v>
      </c>
      <c r="E36" s="18">
        <f t="shared" si="4"/>
        <v>1.0275460447393339</v>
      </c>
      <c r="F36" s="18">
        <v>17.2552427011953</v>
      </c>
      <c r="G36" s="15">
        <v>0</v>
      </c>
      <c r="H36" s="64">
        <v>1.25</v>
      </c>
      <c r="I36" s="15">
        <f t="shared" si="5"/>
        <v>-1.25</v>
      </c>
      <c r="J36" s="15">
        <v>11.95</v>
      </c>
      <c r="K36" s="1"/>
      <c r="L36" s="1"/>
      <c r="M36" s="1"/>
      <c r="Z36" t="s">
        <v>62</v>
      </c>
      <c r="AA36">
        <v>0.17005375973979706</v>
      </c>
      <c r="AB36">
        <v>0.53460296487606895</v>
      </c>
      <c r="AC36">
        <v>0.3180935589820732</v>
      </c>
      <c r="AD36">
        <v>0.7596936034157481</v>
      </c>
      <c r="AE36">
        <v>-1.0940813759795613</v>
      </c>
      <c r="AF36">
        <v>1.4341888954591555</v>
      </c>
      <c r="AG36">
        <v>-1.0940813759795613</v>
      </c>
      <c r="AH36">
        <v>1.4341888954591555</v>
      </c>
      <c r="AI36" s="1"/>
      <c r="AJ36" t="s">
        <v>62</v>
      </c>
      <c r="AK36">
        <v>1.0494670872407263</v>
      </c>
      <c r="AL36">
        <v>1.3087657687070484</v>
      </c>
      <c r="AM36">
        <v>0.80187540989669404</v>
      </c>
      <c r="AN36">
        <v>0.44898585462803231</v>
      </c>
      <c r="AO36">
        <v>-2.0452721890984336</v>
      </c>
      <c r="AP36">
        <v>4.1442063635798867</v>
      </c>
      <c r="AQ36">
        <v>-2.0452721890984336</v>
      </c>
      <c r="AR36">
        <v>4.1442063635798867</v>
      </c>
      <c r="AT36" t="s">
        <v>45</v>
      </c>
      <c r="AU36">
        <v>7</v>
      </c>
      <c r="AV36">
        <v>7.8810813332447771E-3</v>
      </c>
      <c r="AW36">
        <v>1.125868761892111E-3</v>
      </c>
    </row>
    <row r="37" spans="1:54" ht="15.75" thickBot="1" x14ac:dyDescent="0.3">
      <c r="A37" s="15" t="s">
        <v>27</v>
      </c>
      <c r="B37" s="22">
        <v>-8.0536265843332393E-3</v>
      </c>
      <c r="C37" s="17">
        <v>116.55531655999999</v>
      </c>
      <c r="D37" s="18">
        <v>119.77022043333299</v>
      </c>
      <c r="E37" s="18">
        <f t="shared" si="4"/>
        <v>1.0275826446035865</v>
      </c>
      <c r="F37" s="18">
        <v>17.024424898784201</v>
      </c>
      <c r="G37" s="15">
        <v>1.25</v>
      </c>
      <c r="H37" s="64">
        <v>4.75</v>
      </c>
      <c r="I37" s="15">
        <f t="shared" si="5"/>
        <v>-3.5</v>
      </c>
      <c r="J37" s="15">
        <v>-6.3</v>
      </c>
      <c r="K37" s="1"/>
      <c r="L37" s="1"/>
      <c r="M37" s="1"/>
      <c r="Z37" s="57" t="s">
        <v>32</v>
      </c>
      <c r="AA37" s="57">
        <v>2.094648600458297E-2</v>
      </c>
      <c r="AB37" s="57">
        <v>1.4657276674798667E-2</v>
      </c>
      <c r="AC37" s="57">
        <v>1.4290844383525763</v>
      </c>
      <c r="AD37" s="57">
        <v>0.19604882381200342</v>
      </c>
      <c r="AE37" s="57">
        <v>-1.3712465882951209E-2</v>
      </c>
      <c r="AF37" s="57">
        <v>5.5605437892117152E-2</v>
      </c>
      <c r="AG37" s="57">
        <v>-1.3712465882951209E-2</v>
      </c>
      <c r="AH37" s="57">
        <v>5.5605437892117152E-2</v>
      </c>
      <c r="AI37" s="1"/>
      <c r="AJ37" s="57" t="s">
        <v>32</v>
      </c>
      <c r="AK37" s="57">
        <v>1.523088215905319E-2</v>
      </c>
      <c r="AL37" s="57">
        <v>3.588259556115956E-2</v>
      </c>
      <c r="AM37" s="57">
        <v>0.42446433767850317</v>
      </c>
      <c r="AN37" s="57">
        <v>0.6839682584636908</v>
      </c>
      <c r="AO37" s="57">
        <v>-6.9617973514960324E-2</v>
      </c>
      <c r="AP37" s="57">
        <v>0.1000797378330667</v>
      </c>
      <c r="AQ37" s="57">
        <v>-6.9617973514960324E-2</v>
      </c>
      <c r="AR37" s="57">
        <v>0.1000797378330667</v>
      </c>
      <c r="AT37" s="57" t="s">
        <v>46</v>
      </c>
      <c r="AU37" s="57">
        <v>9</v>
      </c>
      <c r="AV37" s="57">
        <v>1.016246313575222E-2</v>
      </c>
      <c r="AW37" s="57"/>
      <c r="AX37" s="57"/>
      <c r="AY37" s="57"/>
    </row>
    <row r="38" spans="1:54" ht="15.75" thickBot="1" x14ac:dyDescent="0.3">
      <c r="A38" s="15" t="s">
        <v>28</v>
      </c>
      <c r="B38" s="22">
        <v>-2.13677287576714E-2</v>
      </c>
      <c r="C38" s="17">
        <v>120.40602251999999</v>
      </c>
      <c r="D38" s="18">
        <v>125.17995179</v>
      </c>
      <c r="E38" s="18">
        <f t="shared" si="4"/>
        <v>1.0396485920727681</v>
      </c>
      <c r="F38" s="18">
        <v>15.1069524712688</v>
      </c>
      <c r="G38" s="15">
        <v>1.25</v>
      </c>
      <c r="H38" s="1">
        <v>2</v>
      </c>
      <c r="I38" s="15">
        <f t="shared" si="5"/>
        <v>-0.75</v>
      </c>
      <c r="J38" s="15">
        <v>-4.3</v>
      </c>
      <c r="K38" s="1"/>
      <c r="L38" s="1"/>
      <c r="M38" s="1"/>
      <c r="AI38" s="1"/>
    </row>
    <row r="39" spans="1:54" x14ac:dyDescent="0.25">
      <c r="A39" s="15" t="s">
        <v>29</v>
      </c>
      <c r="B39" s="23">
        <v>2.7450804091866201E-2</v>
      </c>
      <c r="C39" s="17">
        <v>118.75512236</v>
      </c>
      <c r="D39" s="18">
        <v>128.631154973333</v>
      </c>
      <c r="E39" s="18">
        <f t="shared" si="4"/>
        <v>1.0831630031367767</v>
      </c>
      <c r="F39" s="18">
        <v>21.9579587943592</v>
      </c>
      <c r="G39" s="15">
        <v>3.75</v>
      </c>
      <c r="H39" s="64">
        <v>7.25</v>
      </c>
      <c r="I39" s="15">
        <f t="shared" si="5"/>
        <v>-3.5</v>
      </c>
      <c r="J39" s="15">
        <v>-8.3000000000000007</v>
      </c>
      <c r="K39" s="1"/>
      <c r="L39" s="1"/>
      <c r="M39" s="1"/>
      <c r="AI39" s="1"/>
      <c r="AT39" s="58"/>
      <c r="AU39" s="58" t="s">
        <v>52</v>
      </c>
      <c r="AV39" s="58" t="s">
        <v>41</v>
      </c>
      <c r="AW39" s="58" t="s">
        <v>53</v>
      </c>
      <c r="AX39" s="58" t="s">
        <v>54</v>
      </c>
      <c r="AY39" s="58" t="s">
        <v>55</v>
      </c>
      <c r="AZ39" s="58" t="s">
        <v>56</v>
      </c>
      <c r="BA39" s="58" t="s">
        <v>57</v>
      </c>
      <c r="BB39" s="58" t="s">
        <v>58</v>
      </c>
    </row>
    <row r="40" spans="1:54" ht="15.75" thickBot="1" x14ac:dyDescent="0.3">
      <c r="A40" s="15" t="s">
        <v>30</v>
      </c>
      <c r="B40" s="22">
        <v>-4.0077224600602597E-2</v>
      </c>
      <c r="C40" s="17">
        <v>125.12197168</v>
      </c>
      <c r="D40" s="18">
        <v>127.417386873333</v>
      </c>
      <c r="E40" s="18">
        <f t="shared" si="4"/>
        <v>1.0183454205725238</v>
      </c>
      <c r="F40" s="18">
        <v>16.640165980770899</v>
      </c>
      <c r="G40" s="15">
        <v>0.5</v>
      </c>
      <c r="H40" s="64">
        <v>4.75</v>
      </c>
      <c r="I40" s="15">
        <f t="shared" si="5"/>
        <v>-4.25</v>
      </c>
      <c r="J40" s="15">
        <v>-9.8000000000000007</v>
      </c>
      <c r="K40" s="1"/>
      <c r="L40" s="1"/>
      <c r="M40" s="1"/>
      <c r="Z40" t="s">
        <v>79</v>
      </c>
      <c r="AI40" s="1"/>
      <c r="AJ40" t="s">
        <v>80</v>
      </c>
      <c r="AT40" t="s">
        <v>47</v>
      </c>
      <c r="AU40">
        <v>0.1128250068170468</v>
      </c>
      <c r="AV40">
        <v>1.7792237225657464E-2</v>
      </c>
      <c r="AW40">
        <v>6.341249016978395</v>
      </c>
      <c r="AX40">
        <v>3.8846998688098645E-4</v>
      </c>
      <c r="AY40">
        <v>7.075305118316523E-2</v>
      </c>
      <c r="AZ40">
        <v>0.15489696245092838</v>
      </c>
      <c r="BA40">
        <v>7.075305118316523E-2</v>
      </c>
      <c r="BB40">
        <v>0.15489696245092838</v>
      </c>
    </row>
    <row r="41" spans="1:54" x14ac:dyDescent="0.25">
      <c r="J41" s="1"/>
      <c r="K41" s="1"/>
      <c r="L41" s="1"/>
      <c r="M41" s="1"/>
      <c r="Z41" s="59" t="s">
        <v>37</v>
      </c>
      <c r="AA41" s="59"/>
      <c r="AI41" s="1"/>
      <c r="AJ41" s="59" t="s">
        <v>37</v>
      </c>
      <c r="AK41" s="59"/>
      <c r="AT41" t="s">
        <v>32</v>
      </c>
      <c r="AU41">
        <v>6.0565857359490714E-3</v>
      </c>
      <c r="AV41">
        <v>6.8637895775385295E-3</v>
      </c>
      <c r="AW41">
        <v>0.88239676748963869</v>
      </c>
      <c r="AX41">
        <v>0.40684155545085693</v>
      </c>
      <c r="AY41">
        <v>-1.0173697556928329E-2</v>
      </c>
      <c r="AZ41">
        <v>2.2286869028826473E-2</v>
      </c>
      <c r="BA41">
        <v>-1.0173697556928329E-2</v>
      </c>
      <c r="BB41">
        <v>2.2286869028826473E-2</v>
      </c>
    </row>
    <row r="42" spans="1:54" ht="15.75" thickBot="1" x14ac:dyDescent="0.3">
      <c r="J42" s="1"/>
      <c r="K42" s="1"/>
      <c r="L42" s="1"/>
      <c r="M42" s="1"/>
      <c r="Z42" t="s">
        <v>38</v>
      </c>
      <c r="AA42">
        <v>0.43767123618496118</v>
      </c>
      <c r="AI42" s="1"/>
      <c r="AJ42" t="s">
        <v>38</v>
      </c>
      <c r="AK42">
        <v>0.44220732352193126</v>
      </c>
      <c r="AT42" s="57" t="s">
        <v>81</v>
      </c>
      <c r="AU42" s="57">
        <v>2.6956281748751023E-6</v>
      </c>
      <c r="AV42" s="57">
        <v>4.3890841591115744E-6</v>
      </c>
      <c r="AW42" s="57">
        <v>0.61416643590191344</v>
      </c>
      <c r="AX42" s="57">
        <v>0.55852959554807313</v>
      </c>
      <c r="AY42" s="57">
        <v>-7.6829066700418523E-6</v>
      </c>
      <c r="AZ42" s="57">
        <v>1.3074163019792056E-5</v>
      </c>
      <c r="BA42" s="57">
        <v>-7.6829066700418523E-6</v>
      </c>
      <c r="BB42" s="57">
        <v>1.3074163019792056E-5</v>
      </c>
    </row>
    <row r="43" spans="1:54" ht="30" x14ac:dyDescent="0.25">
      <c r="A43" s="11" t="s">
        <v>6</v>
      </c>
      <c r="B43" s="11" t="s">
        <v>1</v>
      </c>
      <c r="C43" s="12" t="s">
        <v>22</v>
      </c>
      <c r="D43" s="13" t="s">
        <v>11</v>
      </c>
      <c r="E43" s="13" t="s">
        <v>12</v>
      </c>
      <c r="F43" s="13" t="s">
        <v>31</v>
      </c>
      <c r="G43" s="13" t="s">
        <v>63</v>
      </c>
      <c r="H43" s="13" t="s">
        <v>64</v>
      </c>
      <c r="I43" s="13" t="s">
        <v>32</v>
      </c>
      <c r="J43" s="13" t="s">
        <v>10</v>
      </c>
      <c r="K43" s="1"/>
      <c r="L43" s="1"/>
      <c r="M43" s="1"/>
      <c r="Z43" t="s">
        <v>39</v>
      </c>
      <c r="AA43">
        <v>0.19155611098367209</v>
      </c>
      <c r="AI43" s="1"/>
      <c r="AJ43" t="s">
        <v>39</v>
      </c>
      <c r="AK43">
        <v>0.19554731697642999</v>
      </c>
    </row>
    <row r="44" spans="1:54" x14ac:dyDescent="0.25">
      <c r="A44" s="15" t="s">
        <v>13</v>
      </c>
      <c r="B44" s="23">
        <v>0.57681691180727601</v>
      </c>
      <c r="C44" s="17"/>
      <c r="D44" s="18">
        <v>133.4714286</v>
      </c>
      <c r="E44" s="18"/>
      <c r="F44" s="25"/>
      <c r="G44" s="15"/>
      <c r="H44" s="15"/>
      <c r="I44" s="15"/>
      <c r="J44" s="18"/>
      <c r="K44" s="1"/>
      <c r="L44" s="1"/>
      <c r="M44" s="1"/>
      <c r="Z44" t="s">
        <v>40</v>
      </c>
      <c r="AA44">
        <v>-3.9427857306707316E-2</v>
      </c>
      <c r="AI44" s="1"/>
      <c r="AJ44" t="s">
        <v>40</v>
      </c>
      <c r="AK44">
        <v>-3.429630674459002E-2</v>
      </c>
    </row>
    <row r="45" spans="1:54" x14ac:dyDescent="0.25">
      <c r="A45" s="15" t="s">
        <v>14</v>
      </c>
      <c r="B45" s="23">
        <v>0.13233171245622599</v>
      </c>
      <c r="C45" s="17">
        <v>60.588347259999999</v>
      </c>
      <c r="D45" s="18">
        <v>71.117321599999997</v>
      </c>
      <c r="E45" s="18">
        <v>1.1737788669959499</v>
      </c>
      <c r="F45" s="18">
        <v>4</v>
      </c>
      <c r="G45" s="15">
        <v>0.25</v>
      </c>
      <c r="H45" s="15">
        <v>0</v>
      </c>
      <c r="I45" s="15">
        <f t="shared" ref="I45:I47" si="6">G45-H45</f>
        <v>0.25</v>
      </c>
      <c r="J45" s="19">
        <v>-1.2333333333333301</v>
      </c>
      <c r="K45" s="1"/>
      <c r="L45" s="1"/>
      <c r="M45" s="1"/>
      <c r="Z45" t="s">
        <v>41</v>
      </c>
      <c r="AA45">
        <v>3.4259057654149952E-2</v>
      </c>
      <c r="AI45" s="1"/>
      <c r="AJ45" t="s">
        <v>41</v>
      </c>
      <c r="AK45">
        <v>0.2246168012952178</v>
      </c>
    </row>
    <row r="46" spans="1:54" ht="15.75" thickBot="1" x14ac:dyDescent="0.3">
      <c r="A46" s="15" t="s">
        <v>15</v>
      </c>
      <c r="B46" s="23">
        <v>8.9326261366187695E-2</v>
      </c>
      <c r="C46" s="17">
        <v>73.387016439999996</v>
      </c>
      <c r="D46" s="18">
        <v>74.728308609999999</v>
      </c>
      <c r="E46" s="18">
        <v>1.01827696825768</v>
      </c>
      <c r="F46" s="18">
        <v>1.1385255280790201</v>
      </c>
      <c r="G46" s="15">
        <v>0.25</v>
      </c>
      <c r="H46" s="15">
        <v>3.5</v>
      </c>
      <c r="I46" s="15">
        <f t="shared" si="6"/>
        <v>-3.25</v>
      </c>
      <c r="J46" s="19">
        <v>-0.233333333333333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Z46" s="57" t="s">
        <v>42</v>
      </c>
      <c r="AA46" s="57">
        <v>10</v>
      </c>
      <c r="AI46" s="1"/>
      <c r="AJ46" s="57" t="s">
        <v>42</v>
      </c>
      <c r="AK46" s="57">
        <v>10</v>
      </c>
    </row>
    <row r="47" spans="1:54" x14ac:dyDescent="0.25">
      <c r="A47" s="15" t="s">
        <v>16</v>
      </c>
      <c r="B47" s="23">
        <v>0.14884070399999999</v>
      </c>
      <c r="C47" s="17">
        <v>79.767295559999994</v>
      </c>
      <c r="D47" s="18">
        <v>79.767295559999994</v>
      </c>
      <c r="E47" s="18">
        <f>D47/C47</f>
        <v>1</v>
      </c>
      <c r="F47" s="18">
        <v>0</v>
      </c>
      <c r="G47" s="15">
        <v>0</v>
      </c>
      <c r="H47" s="15">
        <v>0</v>
      </c>
      <c r="I47" s="15">
        <f t="shared" si="6"/>
        <v>0</v>
      </c>
      <c r="J47" s="19">
        <v>0</v>
      </c>
      <c r="M47" s="1"/>
      <c r="X47" s="1"/>
      <c r="AI47" s="1"/>
    </row>
    <row r="48" spans="1:54" ht="15.75" thickBot="1" x14ac:dyDescent="0.3">
      <c r="A48" s="15" t="s">
        <v>17</v>
      </c>
      <c r="B48" s="23">
        <v>0.164262280281398</v>
      </c>
      <c r="C48" s="17"/>
      <c r="D48" s="18">
        <v>68.631809730000001</v>
      </c>
      <c r="E48" s="18"/>
      <c r="F48" s="18"/>
      <c r="G48" s="15"/>
      <c r="H48" s="15"/>
      <c r="I48" s="15"/>
      <c r="J48" s="19"/>
      <c r="L48" s="2"/>
      <c r="M48" s="1"/>
      <c r="X48" s="1"/>
      <c r="Z48" t="s">
        <v>43</v>
      </c>
      <c r="AJ48" t="s">
        <v>43</v>
      </c>
    </row>
    <row r="49" spans="1:44" x14ac:dyDescent="0.25">
      <c r="A49" s="15" t="s">
        <v>18</v>
      </c>
      <c r="B49" s="22">
        <v>-4.45444212598241E-2</v>
      </c>
      <c r="C49" s="17"/>
      <c r="D49" s="18">
        <v>69.696396059999998</v>
      </c>
      <c r="E49" s="18"/>
      <c r="F49" s="18"/>
      <c r="G49" s="15"/>
      <c r="H49" s="15"/>
      <c r="I49" s="15"/>
      <c r="J49" s="19"/>
      <c r="L49" s="2"/>
      <c r="M49" s="1"/>
      <c r="X49" s="1"/>
      <c r="Z49" s="58"/>
      <c r="AA49" s="58" t="s">
        <v>48</v>
      </c>
      <c r="AB49" s="58" t="s">
        <v>33</v>
      </c>
      <c r="AC49" s="58" t="s">
        <v>49</v>
      </c>
      <c r="AD49" s="58" t="s">
        <v>50</v>
      </c>
      <c r="AE49" s="58" t="s">
        <v>51</v>
      </c>
      <c r="AJ49" s="58"/>
      <c r="AK49" s="58" t="s">
        <v>48</v>
      </c>
      <c r="AL49" s="58" t="s">
        <v>33</v>
      </c>
      <c r="AM49" s="58" t="s">
        <v>49</v>
      </c>
      <c r="AN49" s="58" t="s">
        <v>50</v>
      </c>
      <c r="AO49" s="58" t="s">
        <v>51</v>
      </c>
    </row>
    <row r="50" spans="1:44" x14ac:dyDescent="0.25">
      <c r="A50" s="15" t="s">
        <v>19</v>
      </c>
      <c r="B50" s="16">
        <v>5.1856335362832198E-2</v>
      </c>
      <c r="C50" s="20"/>
      <c r="D50" s="18">
        <v>112.55085055666601</v>
      </c>
      <c r="E50" s="18"/>
      <c r="F50" s="18"/>
      <c r="G50" s="15"/>
      <c r="H50" s="15"/>
      <c r="I50" s="15"/>
      <c r="J50" s="19"/>
      <c r="L50" s="2"/>
      <c r="M50" s="1"/>
      <c r="X50" s="1"/>
      <c r="Z50" t="s">
        <v>44</v>
      </c>
      <c r="AA50">
        <v>2</v>
      </c>
      <c r="AB50">
        <v>1.9466819162996286E-3</v>
      </c>
      <c r="AC50">
        <v>9.7334095814981432E-4</v>
      </c>
      <c r="AD50">
        <v>0.82930478855943401</v>
      </c>
      <c r="AE50">
        <v>0.47508857768394674</v>
      </c>
      <c r="AJ50" t="s">
        <v>44</v>
      </c>
      <c r="AK50">
        <v>2</v>
      </c>
      <c r="AL50">
        <v>8.5848729769016308E-2</v>
      </c>
      <c r="AM50">
        <v>4.2924364884508154E-2</v>
      </c>
      <c r="AN50">
        <v>0.85078417147556695</v>
      </c>
      <c r="AO50">
        <v>0.46692998676722636</v>
      </c>
    </row>
    <row r="51" spans="1:44" x14ac:dyDescent="0.25">
      <c r="A51" s="15" t="s">
        <v>20</v>
      </c>
      <c r="B51" s="16">
        <v>0.103368750113241</v>
      </c>
      <c r="C51" s="20"/>
      <c r="D51" s="18">
        <v>117.49299123</v>
      </c>
      <c r="E51" s="18"/>
      <c r="F51" s="18"/>
      <c r="G51" s="15"/>
      <c r="H51" s="15"/>
      <c r="I51" s="15"/>
      <c r="J51" s="19"/>
      <c r="L51" s="2"/>
      <c r="M51" s="1"/>
      <c r="X51" s="1"/>
      <c r="Z51" t="s">
        <v>45</v>
      </c>
      <c r="AA51">
        <v>7</v>
      </c>
      <c r="AB51">
        <v>8.2157812194525916E-3</v>
      </c>
      <c r="AC51">
        <v>1.1736830313503702E-3</v>
      </c>
      <c r="AJ51" t="s">
        <v>45</v>
      </c>
      <c r="AK51">
        <v>7</v>
      </c>
      <c r="AL51">
        <v>0.35316895196866749</v>
      </c>
      <c r="AM51">
        <v>5.0452707424095355E-2</v>
      </c>
    </row>
    <row r="52" spans="1:44" ht="15.75" thickBot="1" x14ac:dyDescent="0.3">
      <c r="A52" s="15" t="s">
        <v>23</v>
      </c>
      <c r="B52" s="16">
        <v>0.15621819275209001</v>
      </c>
      <c r="C52" s="17">
        <v>110.72040256</v>
      </c>
      <c r="D52" s="18">
        <v>115.079453056666</v>
      </c>
      <c r="E52" s="18">
        <f>D52/C52</f>
        <v>1.0393698938576728</v>
      </c>
      <c r="F52" s="18">
        <v>8.1761484496582497</v>
      </c>
      <c r="G52" s="15">
        <v>0.5</v>
      </c>
      <c r="H52" s="15">
        <v>1.25</v>
      </c>
      <c r="I52" s="15">
        <f t="shared" ref="I52" si="7">G52-H52</f>
        <v>-0.75</v>
      </c>
      <c r="J52" s="15">
        <v>-3.05</v>
      </c>
      <c r="L52" s="2"/>
      <c r="M52" s="1"/>
      <c r="X52" s="1"/>
      <c r="Z52" s="57" t="s">
        <v>46</v>
      </c>
      <c r="AA52" s="57">
        <v>9</v>
      </c>
      <c r="AB52" s="57">
        <v>1.016246313575222E-2</v>
      </c>
      <c r="AC52" s="57"/>
      <c r="AD52" s="57"/>
      <c r="AE52" s="57"/>
      <c r="AJ52" s="57" t="s">
        <v>46</v>
      </c>
      <c r="AK52" s="57">
        <v>9</v>
      </c>
      <c r="AL52" s="57">
        <v>0.4390176817376838</v>
      </c>
      <c r="AM52" s="57"/>
      <c r="AN52" s="57"/>
      <c r="AO52" s="57"/>
    </row>
    <row r="53" spans="1:44" ht="15.75" thickBot="1" x14ac:dyDescent="0.3">
      <c r="A53" s="15" t="s">
        <v>24</v>
      </c>
      <c r="B53" s="16">
        <v>0.15071577677020101</v>
      </c>
      <c r="C53" s="17"/>
      <c r="D53" s="18">
        <v>119.222878299999</v>
      </c>
      <c r="E53" s="18"/>
      <c r="F53" s="18"/>
      <c r="G53" s="15"/>
      <c r="H53" s="15"/>
      <c r="I53" s="15"/>
      <c r="J53" s="19"/>
      <c r="L53" s="2"/>
      <c r="M53" s="1"/>
      <c r="X53" s="1"/>
    </row>
    <row r="54" spans="1:44" x14ac:dyDescent="0.25">
      <c r="A54" s="15" t="s">
        <v>25</v>
      </c>
      <c r="B54" s="16">
        <v>5.5397551503622099E-2</v>
      </c>
      <c r="C54" s="17">
        <v>111.66319882000001</v>
      </c>
      <c r="D54" s="18">
        <v>115.360934813333</v>
      </c>
      <c r="E54" s="18">
        <f t="shared" ref="E54:E59" si="8">D54/C54</f>
        <v>1.0331150820718804</v>
      </c>
      <c r="F54" s="18">
        <v>19.594840851392899</v>
      </c>
      <c r="G54" s="15">
        <v>0.5</v>
      </c>
      <c r="H54" s="15">
        <v>1.5</v>
      </c>
      <c r="I54" s="15">
        <f t="shared" ref="I54:I59" si="9">G54-H54</f>
        <v>-1</v>
      </c>
      <c r="J54" s="15">
        <v>-5.3</v>
      </c>
      <c r="L54" s="2"/>
      <c r="M54" s="1"/>
      <c r="X54" s="1"/>
      <c r="Z54" s="58"/>
      <c r="AA54" s="58" t="s">
        <v>52</v>
      </c>
      <c r="AB54" s="58" t="s">
        <v>41</v>
      </c>
      <c r="AC54" s="58" t="s">
        <v>53</v>
      </c>
      <c r="AD54" s="58" t="s">
        <v>54</v>
      </c>
      <c r="AE54" s="58" t="s">
        <v>55</v>
      </c>
      <c r="AF54" s="58" t="s">
        <v>56</v>
      </c>
      <c r="AG54" s="58" t="s">
        <v>57</v>
      </c>
      <c r="AH54" s="58" t="s">
        <v>58</v>
      </c>
      <c r="AJ54" s="58"/>
      <c r="AK54" s="58" t="s">
        <v>52</v>
      </c>
      <c r="AL54" s="58" t="s">
        <v>41</v>
      </c>
      <c r="AM54" s="58" t="s">
        <v>53</v>
      </c>
      <c r="AN54" s="58" t="s">
        <v>54</v>
      </c>
      <c r="AO54" s="58" t="s">
        <v>55</v>
      </c>
      <c r="AP54" s="58" t="s">
        <v>56</v>
      </c>
      <c r="AQ54" s="58" t="s">
        <v>57</v>
      </c>
      <c r="AR54" s="58" t="s">
        <v>58</v>
      </c>
    </row>
    <row r="55" spans="1:44" x14ac:dyDescent="0.25">
      <c r="A55" s="15" t="s">
        <v>26</v>
      </c>
      <c r="B55" s="16">
        <v>6.9883057908481996E-2</v>
      </c>
      <c r="C55" s="17">
        <v>114.89097618</v>
      </c>
      <c r="D55" s="18">
        <v>118.05576815000001</v>
      </c>
      <c r="E55" s="18">
        <f t="shared" si="8"/>
        <v>1.0275460447393339</v>
      </c>
      <c r="F55" s="18">
        <v>17.2552427011953</v>
      </c>
      <c r="G55" s="15">
        <v>0</v>
      </c>
      <c r="H55" s="15">
        <v>1.25</v>
      </c>
      <c r="I55" s="15">
        <f t="shared" si="9"/>
        <v>-1.25</v>
      </c>
      <c r="J55" s="15">
        <v>11.95</v>
      </c>
      <c r="L55" s="2"/>
      <c r="M55" s="1"/>
      <c r="X55" s="1"/>
      <c r="Z55" t="s">
        <v>47</v>
      </c>
      <c r="AA55">
        <v>4.9373958987233797E-2</v>
      </c>
      <c r="AB55">
        <v>0.25185864646085582</v>
      </c>
      <c r="AC55">
        <v>0.19603837184484973</v>
      </c>
      <c r="AD55">
        <v>0.85014973302517838</v>
      </c>
      <c r="AE55">
        <v>-0.54617710440743916</v>
      </c>
      <c r="AF55">
        <v>0.64492502238190685</v>
      </c>
      <c r="AG55">
        <v>-0.54617710440743916</v>
      </c>
      <c r="AH55">
        <v>0.64492502238190685</v>
      </c>
      <c r="AJ55" t="s">
        <v>47</v>
      </c>
      <c r="AK55">
        <v>1.9032809403152653</v>
      </c>
      <c r="AL55">
        <v>1.6512912911288959</v>
      </c>
      <c r="AM55">
        <v>1.1526015734111321</v>
      </c>
      <c r="AN55">
        <v>0.28691068167195516</v>
      </c>
      <c r="AO55">
        <v>-2.0014024931320837</v>
      </c>
      <c r="AP55">
        <v>5.8079643737626139</v>
      </c>
      <c r="AQ55">
        <v>-2.0014024931320837</v>
      </c>
      <c r="AR55">
        <v>5.8079643737626139</v>
      </c>
    </row>
    <row r="56" spans="1:44" x14ac:dyDescent="0.25">
      <c r="A56" s="15" t="s">
        <v>27</v>
      </c>
      <c r="B56" s="16">
        <v>7.8645648239850305E-2</v>
      </c>
      <c r="C56" s="17">
        <v>116.55531655999999</v>
      </c>
      <c r="D56" s="18">
        <v>119.77022043333299</v>
      </c>
      <c r="E56" s="18">
        <f t="shared" si="8"/>
        <v>1.0275826446035865</v>
      </c>
      <c r="F56" s="18">
        <v>17.024424898784201</v>
      </c>
      <c r="G56" s="15">
        <v>1.25</v>
      </c>
      <c r="H56" s="15">
        <v>4.75</v>
      </c>
      <c r="I56" s="15">
        <f t="shared" si="9"/>
        <v>-3.5</v>
      </c>
      <c r="J56" s="15">
        <v>-6.3</v>
      </c>
      <c r="L56" s="2"/>
      <c r="M56" s="1"/>
      <c r="X56" s="1"/>
      <c r="Z56" t="s">
        <v>62</v>
      </c>
      <c r="AA56">
        <v>6.580415039636632E-2</v>
      </c>
      <c r="AB56">
        <v>0.23766206774961443</v>
      </c>
      <c r="AC56">
        <v>0.27688116584802824</v>
      </c>
      <c r="AD56">
        <v>0.78986904654876833</v>
      </c>
      <c r="AE56">
        <v>-0.49617733868805947</v>
      </c>
      <c r="AF56">
        <v>0.62778563948079213</v>
      </c>
      <c r="AG56">
        <v>-0.49617733868805947</v>
      </c>
      <c r="AH56">
        <v>0.62778563948079213</v>
      </c>
      <c r="AJ56" t="s">
        <v>62</v>
      </c>
      <c r="AK56">
        <v>-1.9465861189405778</v>
      </c>
      <c r="AL56">
        <v>1.5582125458917644</v>
      </c>
      <c r="AM56">
        <v>-1.2492430022289081</v>
      </c>
      <c r="AN56">
        <v>0.25172836642194146</v>
      </c>
      <c r="AO56">
        <v>-5.6311732940923793</v>
      </c>
      <c r="AP56">
        <v>1.7380010562112238</v>
      </c>
      <c r="AQ56">
        <v>-5.6311732940923793</v>
      </c>
      <c r="AR56">
        <v>1.7380010562112238</v>
      </c>
    </row>
    <row r="57" spans="1:44" ht="15.75" thickBot="1" x14ac:dyDescent="0.3">
      <c r="A57" s="15" t="s">
        <v>28</v>
      </c>
      <c r="B57" s="61">
        <v>0.12</v>
      </c>
      <c r="C57" s="17">
        <v>120.40602251999999</v>
      </c>
      <c r="D57" s="18">
        <v>125.17995179</v>
      </c>
      <c r="E57" s="18">
        <f t="shared" si="8"/>
        <v>1.0396485920727681</v>
      </c>
      <c r="F57" s="18">
        <v>15.1069524712688</v>
      </c>
      <c r="G57">
        <v>1.25</v>
      </c>
      <c r="H57">
        <v>2</v>
      </c>
      <c r="I57" s="15">
        <f t="shared" si="9"/>
        <v>-0.75</v>
      </c>
      <c r="J57" s="15">
        <v>-4.3</v>
      </c>
      <c r="L57" s="2"/>
      <c r="M57" s="1"/>
      <c r="X57" s="1"/>
      <c r="Z57" s="57" t="s">
        <v>32</v>
      </c>
      <c r="AA57" s="57">
        <v>7.4439463962504213E-3</v>
      </c>
      <c r="AB57" s="57">
        <v>6.516010779922218E-3</v>
      </c>
      <c r="AC57" s="57">
        <v>1.1424085453000554</v>
      </c>
      <c r="AD57" s="57">
        <v>0.29084943877917607</v>
      </c>
      <c r="AE57" s="57">
        <v>-7.9639707175936728E-3</v>
      </c>
      <c r="AF57" s="57">
        <v>2.2851863510094515E-2</v>
      </c>
      <c r="AG57" s="57">
        <v>-7.9639707175936728E-3</v>
      </c>
      <c r="AH57" s="57">
        <v>2.2851863510094515E-2</v>
      </c>
      <c r="AJ57" s="57" t="s">
        <v>32</v>
      </c>
      <c r="AK57" s="57">
        <v>-1.6024930431275432E-3</v>
      </c>
      <c r="AL57" s="57">
        <v>4.2721709200719743E-2</v>
      </c>
      <c r="AM57" s="57">
        <v>-3.7510040518241847E-2</v>
      </c>
      <c r="AN57" s="57">
        <v>0.97112564824448833</v>
      </c>
      <c r="AO57" s="57">
        <v>-0.10262328268864405</v>
      </c>
      <c r="AP57" s="57">
        <v>9.9418296602388975E-2</v>
      </c>
      <c r="AQ57" s="57">
        <v>-0.10262328268864405</v>
      </c>
      <c r="AR57" s="57">
        <v>9.9418296602388975E-2</v>
      </c>
    </row>
    <row r="58" spans="1:44" x14ac:dyDescent="0.25">
      <c r="A58" s="15" t="s">
        <v>29</v>
      </c>
      <c r="B58" s="16">
        <v>0.101236914763633</v>
      </c>
      <c r="C58" s="17">
        <v>118.75512236</v>
      </c>
      <c r="D58" s="18">
        <v>128.631154973333</v>
      </c>
      <c r="E58" s="18">
        <f t="shared" si="8"/>
        <v>1.0831630031367767</v>
      </c>
      <c r="F58" s="18">
        <v>21.9579587943592</v>
      </c>
      <c r="G58" s="15">
        <v>3.75</v>
      </c>
      <c r="H58" s="15">
        <v>7.25</v>
      </c>
      <c r="I58" s="15">
        <f t="shared" si="9"/>
        <v>-3.5</v>
      </c>
      <c r="J58" s="15">
        <v>-8.3000000000000007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44" x14ac:dyDescent="0.25">
      <c r="A59" s="15" t="s">
        <v>30</v>
      </c>
      <c r="B59" s="16">
        <v>0.107400232693555</v>
      </c>
      <c r="C59" s="17">
        <v>125.12197168</v>
      </c>
      <c r="D59" s="18">
        <v>127.417386873333</v>
      </c>
      <c r="E59" s="18">
        <f t="shared" si="8"/>
        <v>1.0183454205725238</v>
      </c>
      <c r="F59" s="18">
        <v>16.640165980770899</v>
      </c>
      <c r="G59" s="15">
        <v>0.5</v>
      </c>
      <c r="H59" s="15">
        <v>4.75</v>
      </c>
      <c r="I59" s="15">
        <f t="shared" si="9"/>
        <v>-4.25</v>
      </c>
      <c r="J59" s="15">
        <v>-9.8000000000000007</v>
      </c>
    </row>
    <row r="61" spans="1:44" x14ac:dyDescent="0.25">
      <c r="D61" s="1"/>
      <c r="E61" s="1"/>
      <c r="F61" s="1"/>
      <c r="G61" s="1"/>
      <c r="H61" s="1"/>
      <c r="I61" s="1"/>
    </row>
    <row r="62" spans="1:44" x14ac:dyDescent="0.25">
      <c r="D62" s="1"/>
      <c r="E62" s="1"/>
      <c r="F62" s="1"/>
      <c r="G62" s="1"/>
      <c r="H62" s="1"/>
      <c r="I62" s="1"/>
      <c r="J62" s="2"/>
      <c r="K62" s="2"/>
      <c r="L62" s="1"/>
    </row>
    <row r="63" spans="1:44" ht="30" x14ac:dyDescent="0.25">
      <c r="A63" s="10" t="s">
        <v>5</v>
      </c>
      <c r="B63" s="10" t="s">
        <v>1</v>
      </c>
      <c r="C63" s="12" t="s">
        <v>22</v>
      </c>
      <c r="D63" s="13" t="s">
        <v>11</v>
      </c>
      <c r="E63" s="13" t="s">
        <v>12</v>
      </c>
      <c r="F63" s="13" t="s">
        <v>31</v>
      </c>
      <c r="G63" s="13" t="s">
        <v>63</v>
      </c>
      <c r="H63" s="13" t="s">
        <v>64</v>
      </c>
      <c r="I63" s="13" t="s">
        <v>32</v>
      </c>
      <c r="J63" s="13" t="s">
        <v>10</v>
      </c>
      <c r="L63" s="11" t="s">
        <v>21</v>
      </c>
      <c r="M63" s="11" t="s">
        <v>33</v>
      </c>
      <c r="N63" s="10" t="s">
        <v>34</v>
      </c>
      <c r="O63" s="10" t="s">
        <v>35</v>
      </c>
      <c r="P63" s="10" t="s">
        <v>36</v>
      </c>
      <c r="Q63" s="13" t="s">
        <v>32</v>
      </c>
    </row>
    <row r="64" spans="1:44" x14ac:dyDescent="0.25">
      <c r="A64" s="15" t="s">
        <v>13</v>
      </c>
      <c r="B64" s="22">
        <v>-0.62489073949006502</v>
      </c>
      <c r="C64" s="17"/>
      <c r="D64" s="18">
        <v>133.4714286</v>
      </c>
      <c r="E64" s="18"/>
      <c r="F64" s="25"/>
      <c r="G64" s="15"/>
      <c r="H64" s="15"/>
      <c r="I64" s="15"/>
      <c r="J64" s="18"/>
      <c r="L64" s="15" t="s">
        <v>14</v>
      </c>
      <c r="M64" s="16">
        <v>0.17369777575697301</v>
      </c>
      <c r="N64" s="23">
        <v>1.7836570943256701E-2</v>
      </c>
      <c r="O64" s="23">
        <v>0.13233171245622599</v>
      </c>
      <c r="P64" s="22">
        <v>-0.54117535564386998</v>
      </c>
      <c r="Q64" s="15">
        <v>0.25</v>
      </c>
    </row>
    <row r="65" spans="1:44" x14ac:dyDescent="0.25">
      <c r="A65" s="15" t="s">
        <v>14</v>
      </c>
      <c r="B65" s="22">
        <v>-0.54117535564386998</v>
      </c>
      <c r="C65" s="17">
        <v>60.588347259999999</v>
      </c>
      <c r="D65" s="18">
        <v>71.117321599999997</v>
      </c>
      <c r="E65" s="18">
        <v>1.1737788669959504</v>
      </c>
      <c r="F65" s="18">
        <v>4</v>
      </c>
      <c r="G65" s="15">
        <v>0.25</v>
      </c>
      <c r="H65" s="15">
        <v>0</v>
      </c>
      <c r="I65" s="15">
        <f t="shared" ref="I65:I67" si="10">G65-H65</f>
        <v>0.25</v>
      </c>
      <c r="J65" s="19">
        <v>-1.2333333333333301</v>
      </c>
      <c r="L65" s="15" t="s">
        <v>15</v>
      </c>
      <c r="M65" s="16">
        <v>9.9143945152060597E-2</v>
      </c>
      <c r="N65" s="22">
        <v>-0.54160608613664096</v>
      </c>
      <c r="O65" s="23">
        <v>8.9326261366187695E-2</v>
      </c>
      <c r="P65" s="22">
        <v>-0.511670862423525</v>
      </c>
      <c r="Q65" s="15">
        <v>-3.25</v>
      </c>
    </row>
    <row r="66" spans="1:44" x14ac:dyDescent="0.25">
      <c r="A66" s="15" t="s">
        <v>15</v>
      </c>
      <c r="B66" s="22">
        <v>-0.511670862423525</v>
      </c>
      <c r="C66" s="17">
        <v>73.387016439999996</v>
      </c>
      <c r="D66" s="18">
        <v>74.728308609999999</v>
      </c>
      <c r="E66" s="18">
        <v>1.0182769682576838</v>
      </c>
      <c r="F66" s="18">
        <v>1.1385255280790201</v>
      </c>
      <c r="G66" s="15">
        <v>0.25</v>
      </c>
      <c r="H66" s="15">
        <v>3.5</v>
      </c>
      <c r="I66" s="15">
        <f t="shared" si="10"/>
        <v>-3.25</v>
      </c>
      <c r="J66" s="19">
        <v>-0.233333333333333</v>
      </c>
      <c r="L66" s="15" t="s">
        <v>16</v>
      </c>
      <c r="M66" s="16">
        <v>0.21234239309632399</v>
      </c>
      <c r="N66" s="22">
        <v>-0.17637365181995501</v>
      </c>
      <c r="O66" s="23">
        <v>0.14884070399999999</v>
      </c>
      <c r="P66" s="22">
        <v>-0.22155858359451899</v>
      </c>
      <c r="Q66" s="15">
        <v>0</v>
      </c>
    </row>
    <row r="67" spans="1:44" x14ac:dyDescent="0.25">
      <c r="A67" s="15" t="s">
        <v>16</v>
      </c>
      <c r="B67" s="22">
        <v>-0.22155858359451899</v>
      </c>
      <c r="C67" s="17">
        <v>79.767295559999994</v>
      </c>
      <c r="D67" s="18">
        <v>79.767295559999994</v>
      </c>
      <c r="E67" s="18">
        <v>1</v>
      </c>
      <c r="F67" s="18">
        <v>0</v>
      </c>
      <c r="G67" s="15">
        <v>0</v>
      </c>
      <c r="H67" s="15">
        <v>0</v>
      </c>
      <c r="I67" s="15">
        <f t="shared" si="10"/>
        <v>0</v>
      </c>
      <c r="J67" s="19">
        <v>0</v>
      </c>
      <c r="L67" s="15" t="s">
        <v>23</v>
      </c>
      <c r="M67" s="55">
        <v>8.8732929175135894E-2</v>
      </c>
      <c r="N67" s="23">
        <v>1.20306787922476E-2</v>
      </c>
      <c r="O67" s="16">
        <v>0.15621819275209001</v>
      </c>
      <c r="P67" s="16">
        <v>2.95836818188689E-2</v>
      </c>
      <c r="Q67" s="15">
        <v>-0.75</v>
      </c>
    </row>
    <row r="68" spans="1:44" x14ac:dyDescent="0.25">
      <c r="A68" s="15" t="s">
        <v>17</v>
      </c>
      <c r="B68" s="23">
        <v>9.6450074853088597E-2</v>
      </c>
      <c r="C68" s="17"/>
      <c r="D68" s="18">
        <v>68.631809730000001</v>
      </c>
      <c r="E68" s="18"/>
      <c r="F68" s="18"/>
      <c r="G68" s="15"/>
      <c r="H68" s="15"/>
      <c r="I68" s="15"/>
      <c r="J68" s="19"/>
      <c r="L68" s="15" t="s">
        <v>25</v>
      </c>
      <c r="M68" s="16">
        <v>0.10415722716452799</v>
      </c>
      <c r="N68" s="23">
        <v>2.8615745110634201E-2</v>
      </c>
      <c r="O68" s="16">
        <v>5.5397551503622099E-2</v>
      </c>
      <c r="P68" s="16">
        <v>8.8641812543785899E-3</v>
      </c>
      <c r="Q68" s="15">
        <v>-1</v>
      </c>
    </row>
    <row r="69" spans="1:44" x14ac:dyDescent="0.25">
      <c r="A69" s="15" t="s">
        <v>18</v>
      </c>
      <c r="B69" s="22">
        <v>-0.24313716774511701</v>
      </c>
      <c r="C69" s="17"/>
      <c r="D69" s="18">
        <v>69.696396059999998</v>
      </c>
      <c r="E69" s="18"/>
      <c r="F69" s="18"/>
      <c r="G69" s="15"/>
      <c r="H69" s="15"/>
      <c r="I69" s="15"/>
      <c r="J69" s="19"/>
      <c r="L69" s="15" t="s">
        <v>26</v>
      </c>
      <c r="M69" s="16">
        <v>4.66251429291673E-2</v>
      </c>
      <c r="N69" s="23">
        <v>4.4113621235337297E-2</v>
      </c>
      <c r="O69" s="16">
        <v>6.9883057908481996E-2</v>
      </c>
      <c r="P69" s="16">
        <v>1.32778322661357E-2</v>
      </c>
      <c r="Q69" s="15">
        <v>-1.25</v>
      </c>
    </row>
    <row r="70" spans="1:44" x14ac:dyDescent="0.25">
      <c r="A70" s="15" t="s">
        <v>19</v>
      </c>
      <c r="B70" s="16">
        <v>1.3430417175947699E-2</v>
      </c>
      <c r="C70" s="20"/>
      <c r="D70" s="18">
        <v>112.55085055666601</v>
      </c>
      <c r="E70" s="18"/>
      <c r="F70" s="18"/>
      <c r="G70" s="15"/>
      <c r="H70" s="15"/>
      <c r="I70" s="15"/>
      <c r="J70" s="19"/>
      <c r="L70" s="15" t="s">
        <v>27</v>
      </c>
      <c r="M70" s="16">
        <v>9.0894558490112708E-3</v>
      </c>
      <c r="N70" s="22">
        <v>-8.0536265843332393E-3</v>
      </c>
      <c r="O70" s="16">
        <v>7.8645648239850305E-2</v>
      </c>
      <c r="P70" s="24">
        <v>-6.0975544853349099E-2</v>
      </c>
      <c r="Q70" s="15">
        <v>-3.5</v>
      </c>
    </row>
    <row r="71" spans="1:44" x14ac:dyDescent="0.25">
      <c r="A71" s="15" t="s">
        <v>20</v>
      </c>
      <c r="B71" s="24">
        <v>-1.61778645652975E-2</v>
      </c>
      <c r="C71" s="20"/>
      <c r="D71" s="18">
        <v>117.49299123</v>
      </c>
      <c r="E71" s="18"/>
      <c r="F71" s="18"/>
      <c r="G71" s="15"/>
      <c r="H71" s="15"/>
      <c r="I71" s="15"/>
      <c r="J71" s="19"/>
      <c r="L71" s="15" t="s">
        <v>28</v>
      </c>
      <c r="M71" s="16">
        <v>-1.7278096303121701E-2</v>
      </c>
      <c r="N71" s="22">
        <v>-2.13677287576714E-2</v>
      </c>
      <c r="O71" s="16">
        <v>0.12</v>
      </c>
      <c r="P71" s="24">
        <v>-1.77749404385871E-2</v>
      </c>
      <c r="Q71" s="15">
        <v>0.75</v>
      </c>
    </row>
    <row r="72" spans="1:44" x14ac:dyDescent="0.25">
      <c r="A72" s="15" t="s">
        <v>23</v>
      </c>
      <c r="B72" s="16">
        <v>2.95836818188689E-2</v>
      </c>
      <c r="C72" s="17">
        <v>110.72040256</v>
      </c>
      <c r="D72" s="18">
        <v>115.079453056666</v>
      </c>
      <c r="E72" s="18">
        <v>1.0393698938576728</v>
      </c>
      <c r="F72" s="18">
        <v>8.1761484496582497</v>
      </c>
      <c r="G72" s="15">
        <v>0.5</v>
      </c>
      <c r="H72" s="15">
        <v>1.25</v>
      </c>
      <c r="I72" s="15">
        <f t="shared" ref="I72" si="11">G72-H72</f>
        <v>-0.75</v>
      </c>
      <c r="J72" s="15">
        <v>-3.05</v>
      </c>
      <c r="L72" s="15" t="s">
        <v>29</v>
      </c>
      <c r="M72" s="16">
        <v>2.0373962034653699E-2</v>
      </c>
      <c r="N72" s="23">
        <v>2.7450804091866201E-2</v>
      </c>
      <c r="O72" s="16">
        <v>0.101236914763633</v>
      </c>
      <c r="P72" s="16">
        <v>3.08855730575289E-3</v>
      </c>
      <c r="Q72" s="15">
        <v>-3.5</v>
      </c>
    </row>
    <row r="73" spans="1:44" x14ac:dyDescent="0.25">
      <c r="A73" s="15" t="s">
        <v>24</v>
      </c>
      <c r="B73" s="24">
        <v>-5.4892758010415703E-2</v>
      </c>
      <c r="C73" s="17"/>
      <c r="D73" s="18">
        <v>119.222878299999</v>
      </c>
      <c r="E73" s="18"/>
      <c r="F73" s="18"/>
      <c r="G73" s="15"/>
      <c r="H73" s="15"/>
      <c r="I73" s="15"/>
      <c r="J73" s="19"/>
      <c r="L73" s="15" t="s">
        <v>30</v>
      </c>
      <c r="M73" s="16">
        <v>-2.50118292734785E-2</v>
      </c>
      <c r="N73" s="22">
        <v>-4.0077224600602597E-2</v>
      </c>
      <c r="O73" s="16">
        <v>0.107400232693555</v>
      </c>
      <c r="P73" s="24">
        <v>-5.3081166180475401E-3</v>
      </c>
      <c r="Q73" s="15">
        <v>-4.25</v>
      </c>
    </row>
    <row r="74" spans="1:44" x14ac:dyDescent="0.25">
      <c r="A74" s="15" t="s">
        <v>25</v>
      </c>
      <c r="B74" s="16">
        <v>8.8641812543785899E-3</v>
      </c>
      <c r="C74" s="17">
        <v>111.66319882000001</v>
      </c>
      <c r="D74" s="18">
        <v>115.360934813333</v>
      </c>
      <c r="E74" s="17">
        <v>1.0331150820718804</v>
      </c>
      <c r="F74" s="18">
        <v>19.594840851392899</v>
      </c>
      <c r="G74" s="15">
        <v>0.5</v>
      </c>
      <c r="H74" s="15">
        <v>1.5</v>
      </c>
      <c r="I74" s="15">
        <f t="shared" ref="I74:I79" si="12">G74-H74</f>
        <v>-1</v>
      </c>
      <c r="J74" s="15">
        <v>-5.3</v>
      </c>
    </row>
    <row r="75" spans="1:44" x14ac:dyDescent="0.25">
      <c r="A75" s="15" t="s">
        <v>26</v>
      </c>
      <c r="B75" s="16">
        <v>1.32778322661357E-2</v>
      </c>
      <c r="C75" s="17">
        <v>114.89097618</v>
      </c>
      <c r="D75" s="18">
        <v>118.05576815000001</v>
      </c>
      <c r="E75" s="17">
        <v>1.0275460447393339</v>
      </c>
      <c r="F75" s="18">
        <v>17.2552427011953</v>
      </c>
      <c r="G75" s="15">
        <v>0</v>
      </c>
      <c r="H75" s="15">
        <v>1.25</v>
      </c>
      <c r="I75" s="15">
        <f t="shared" si="12"/>
        <v>-1.25</v>
      </c>
      <c r="J75" s="15">
        <v>11.95</v>
      </c>
    </row>
    <row r="76" spans="1:44" ht="15.75" thickBot="1" x14ac:dyDescent="0.3">
      <c r="A76" s="15" t="s">
        <v>27</v>
      </c>
      <c r="B76" s="24">
        <v>-6.0975544853349099E-2</v>
      </c>
      <c r="C76" s="17">
        <v>116.55531655999999</v>
      </c>
      <c r="D76" s="18">
        <v>119.77022043333299</v>
      </c>
      <c r="E76" s="17">
        <v>1.0275826446035865</v>
      </c>
      <c r="F76" s="18">
        <v>17.024424898784201</v>
      </c>
      <c r="G76" s="15">
        <v>1.25</v>
      </c>
      <c r="H76" s="15">
        <v>4.75</v>
      </c>
      <c r="I76" s="15">
        <f t="shared" si="12"/>
        <v>-3.5</v>
      </c>
      <c r="J76" s="15">
        <v>-6.3</v>
      </c>
      <c r="L76" t="s">
        <v>68</v>
      </c>
      <c r="V76" t="s">
        <v>71</v>
      </c>
      <c r="AG76" t="s">
        <v>74</v>
      </c>
      <c r="AQ76" t="s">
        <v>77</v>
      </c>
    </row>
    <row r="77" spans="1:44" x14ac:dyDescent="0.25">
      <c r="A77" s="15" t="s">
        <v>28</v>
      </c>
      <c r="B77" s="24">
        <v>-1.77749404385871E-2</v>
      </c>
      <c r="C77" s="17">
        <v>120.40602251999999</v>
      </c>
      <c r="D77" s="18">
        <v>125.17995179</v>
      </c>
      <c r="E77" s="17">
        <v>1.0396485920727681</v>
      </c>
      <c r="F77" s="18">
        <v>15.1069524712688</v>
      </c>
      <c r="G77">
        <v>1.25</v>
      </c>
      <c r="H77">
        <v>2</v>
      </c>
      <c r="I77" s="15">
        <f t="shared" si="12"/>
        <v>-0.75</v>
      </c>
      <c r="J77" s="15">
        <v>-4.3</v>
      </c>
      <c r="L77" s="59" t="s">
        <v>37</v>
      </c>
      <c r="M77" s="59"/>
      <c r="V77" s="59" t="s">
        <v>37</v>
      </c>
      <c r="W77" s="59"/>
      <c r="X77" s="59"/>
      <c r="AG77" s="59" t="s">
        <v>37</v>
      </c>
      <c r="AH77" s="59"/>
      <c r="AQ77" s="59" t="s">
        <v>37</v>
      </c>
      <c r="AR77" s="59"/>
    </row>
    <row r="78" spans="1:44" x14ac:dyDescent="0.25">
      <c r="A78" s="15" t="s">
        <v>29</v>
      </c>
      <c r="B78" s="16">
        <v>3.08855730575289E-3</v>
      </c>
      <c r="C78" s="17">
        <v>118.75512236</v>
      </c>
      <c r="D78" s="18">
        <v>128.631154973333</v>
      </c>
      <c r="E78" s="17">
        <v>1.0831630031367767</v>
      </c>
      <c r="F78" s="18">
        <v>21.9579587943592</v>
      </c>
      <c r="G78" s="15">
        <v>3.75</v>
      </c>
      <c r="H78" s="15">
        <v>7.25</v>
      </c>
      <c r="I78" s="15">
        <f t="shared" si="12"/>
        <v>-3.5</v>
      </c>
      <c r="J78" s="15">
        <v>-8.3000000000000007</v>
      </c>
      <c r="L78" t="s">
        <v>38</v>
      </c>
      <c r="M78">
        <v>0.50659377898911795</v>
      </c>
      <c r="V78" t="s">
        <v>38</v>
      </c>
      <c r="X78">
        <v>0.23076236633326122</v>
      </c>
      <c r="AG78" t="s">
        <v>38</v>
      </c>
      <c r="AH78">
        <v>0.42743669497884135</v>
      </c>
      <c r="AQ78" t="s">
        <v>38</v>
      </c>
      <c r="AR78">
        <v>0.12727689883679735</v>
      </c>
    </row>
    <row r="79" spans="1:44" x14ac:dyDescent="0.25">
      <c r="A79" s="15" t="s">
        <v>30</v>
      </c>
      <c r="B79" s="24">
        <v>-5.3081166180475401E-3</v>
      </c>
      <c r="C79" s="17">
        <v>125.12197168</v>
      </c>
      <c r="D79" s="18">
        <v>127.417386873333</v>
      </c>
      <c r="E79" s="17">
        <v>1.0183454205725238</v>
      </c>
      <c r="F79" s="18">
        <v>16.640165980770899</v>
      </c>
      <c r="G79" s="15">
        <v>0.5</v>
      </c>
      <c r="H79" s="15">
        <v>4.75</v>
      </c>
      <c r="I79" s="15">
        <f t="shared" si="12"/>
        <v>-4.25</v>
      </c>
      <c r="J79" s="15">
        <v>-9.8000000000000007</v>
      </c>
      <c r="L79" t="s">
        <v>39</v>
      </c>
      <c r="M79">
        <v>0.25663725691047523</v>
      </c>
      <c r="V79" t="s">
        <v>39</v>
      </c>
      <c r="X79">
        <v>5.3251269715726246E-2</v>
      </c>
      <c r="AG79" t="s">
        <v>39</v>
      </c>
      <c r="AH79">
        <v>0.18270212821443504</v>
      </c>
      <c r="AQ79" t="s">
        <v>39</v>
      </c>
      <c r="AR79">
        <v>1.6199408977512351E-2</v>
      </c>
    </row>
    <row r="80" spans="1:44" x14ac:dyDescent="0.25">
      <c r="L80" t="s">
        <v>40</v>
      </c>
      <c r="M80">
        <v>0.16371691402428462</v>
      </c>
      <c r="V80" t="s">
        <v>40</v>
      </c>
      <c r="X80">
        <v>-6.5092321569807973E-2</v>
      </c>
      <c r="AG80" t="s">
        <v>40</v>
      </c>
      <c r="AH80">
        <v>8.0539894241239418E-2</v>
      </c>
      <c r="AQ80" t="s">
        <v>40</v>
      </c>
      <c r="AR80">
        <v>-0.10677566490029861</v>
      </c>
    </row>
    <row r="81" spans="1:51" x14ac:dyDescent="0.25">
      <c r="L81" t="s">
        <v>41</v>
      </c>
      <c r="M81">
        <v>7.2605125270895507E-2</v>
      </c>
      <c r="V81" t="s">
        <v>41</v>
      </c>
      <c r="X81">
        <v>0.18440153153628142</v>
      </c>
      <c r="AG81" t="s">
        <v>41</v>
      </c>
      <c r="AH81">
        <v>3.2221420462460897E-2</v>
      </c>
      <c r="AQ81" t="s">
        <v>41</v>
      </c>
      <c r="AR81">
        <v>0.23235367835555554</v>
      </c>
    </row>
    <row r="82" spans="1:51" ht="15.75" thickBot="1" x14ac:dyDescent="0.3">
      <c r="A82" s="10" t="s">
        <v>3</v>
      </c>
      <c r="B82" s="10"/>
      <c r="C82" s="10"/>
      <c r="L82" s="57" t="s">
        <v>42</v>
      </c>
      <c r="M82" s="57">
        <v>10</v>
      </c>
      <c r="V82" s="57" t="s">
        <v>42</v>
      </c>
      <c r="W82" s="57"/>
      <c r="X82" s="57">
        <v>10</v>
      </c>
      <c r="AG82" s="57" t="s">
        <v>42</v>
      </c>
      <c r="AH82" s="57">
        <v>10</v>
      </c>
      <c r="AQ82" s="57" t="s">
        <v>42</v>
      </c>
      <c r="AR82" s="57">
        <v>10</v>
      </c>
    </row>
    <row r="83" spans="1:51" x14ac:dyDescent="0.25">
      <c r="A83" s="11" t="s">
        <v>0</v>
      </c>
      <c r="B83" s="11" t="s">
        <v>1</v>
      </c>
      <c r="C83" s="11" t="s">
        <v>9</v>
      </c>
    </row>
    <row r="84" spans="1:51" ht="15.75" thickBot="1" x14ac:dyDescent="0.3">
      <c r="A84" s="14" t="s">
        <v>13</v>
      </c>
      <c r="B84" s="23">
        <v>0.735611704001494</v>
      </c>
      <c r="C84" s="17"/>
      <c r="L84" t="s">
        <v>43</v>
      </c>
      <c r="V84" t="s">
        <v>43</v>
      </c>
      <c r="AG84" t="s">
        <v>43</v>
      </c>
      <c r="AQ84" t="s">
        <v>43</v>
      </c>
    </row>
    <row r="85" spans="1:51" x14ac:dyDescent="0.25">
      <c r="A85" s="14" t="s">
        <v>14</v>
      </c>
      <c r="B85" s="23">
        <v>0.199680501000808</v>
      </c>
      <c r="C85" s="17">
        <v>60.588347259999999</v>
      </c>
      <c r="L85" s="58"/>
      <c r="M85" s="58" t="s">
        <v>48</v>
      </c>
      <c r="N85" s="58" t="s">
        <v>33</v>
      </c>
      <c r="O85" s="58" t="s">
        <v>49</v>
      </c>
      <c r="P85" s="58" t="s">
        <v>50</v>
      </c>
      <c r="Q85" s="58" t="s">
        <v>51</v>
      </c>
      <c r="V85" s="58"/>
      <c r="W85" s="58"/>
      <c r="X85" s="58" t="s">
        <v>48</v>
      </c>
      <c r="Y85" s="58" t="s">
        <v>33</v>
      </c>
      <c r="Z85" s="58" t="s">
        <v>49</v>
      </c>
      <c r="AA85" s="58" t="s">
        <v>50</v>
      </c>
      <c r="AB85" s="58" t="s">
        <v>51</v>
      </c>
      <c r="AG85" s="58"/>
      <c r="AH85" s="58" t="s">
        <v>48</v>
      </c>
      <c r="AI85" s="58" t="s">
        <v>33</v>
      </c>
      <c r="AJ85" s="58" t="s">
        <v>49</v>
      </c>
      <c r="AK85" s="58" t="s">
        <v>50</v>
      </c>
      <c r="AL85" s="58" t="s">
        <v>51</v>
      </c>
      <c r="AQ85" s="58"/>
      <c r="AR85" s="58" t="s">
        <v>48</v>
      </c>
      <c r="AS85" s="58" t="s">
        <v>33</v>
      </c>
      <c r="AT85" s="58" t="s">
        <v>49</v>
      </c>
      <c r="AU85" s="58" t="s">
        <v>50</v>
      </c>
      <c r="AV85" s="58" t="s">
        <v>51</v>
      </c>
    </row>
    <row r="86" spans="1:51" x14ac:dyDescent="0.25">
      <c r="A86" s="14" t="s">
        <v>15</v>
      </c>
      <c r="B86" s="23">
        <v>0.12535086320927399</v>
      </c>
      <c r="C86" s="17">
        <v>73.387016439999996</v>
      </c>
      <c r="L86" t="s">
        <v>44</v>
      </c>
      <c r="M86">
        <v>1</v>
      </c>
      <c r="N86">
        <v>1.4559399370073466E-2</v>
      </c>
      <c r="O86">
        <v>1.4559399370073466E-2</v>
      </c>
      <c r="P86">
        <v>2.7619060470408092</v>
      </c>
      <c r="Q86">
        <v>0.13510832814324739</v>
      </c>
      <c r="V86" t="s">
        <v>44</v>
      </c>
      <c r="X86">
        <v>1</v>
      </c>
      <c r="Y86">
        <v>1.5300804657030653E-2</v>
      </c>
      <c r="Z86">
        <v>1.5300804657030653E-2</v>
      </c>
      <c r="AA86">
        <v>0.44997172332926694</v>
      </c>
      <c r="AB86">
        <v>0.52124020036226892</v>
      </c>
      <c r="AG86" t="s">
        <v>44</v>
      </c>
      <c r="AH86">
        <v>1</v>
      </c>
      <c r="AI86">
        <v>1.8567036428026717E-3</v>
      </c>
      <c r="AJ86">
        <v>1.8567036428026717E-3</v>
      </c>
      <c r="AK86">
        <v>1.7883529080067957</v>
      </c>
      <c r="AL86">
        <v>0.21790000787407429</v>
      </c>
      <c r="AQ86" t="s">
        <v>44</v>
      </c>
      <c r="AR86">
        <v>1</v>
      </c>
      <c r="AS86">
        <v>7.1118269748280949E-3</v>
      </c>
      <c r="AT86">
        <v>7.1118269748280949E-3</v>
      </c>
      <c r="AU86">
        <v>0.13172920712052766</v>
      </c>
      <c r="AV86">
        <v>0.72604832578033163</v>
      </c>
    </row>
    <row r="87" spans="1:51" x14ac:dyDescent="0.25">
      <c r="A87" s="14" t="s">
        <v>16</v>
      </c>
      <c r="B87" s="23">
        <v>0.42964915677977999</v>
      </c>
      <c r="C87" s="17">
        <v>79.767295559999994</v>
      </c>
      <c r="L87" t="s">
        <v>45</v>
      </c>
      <c r="M87">
        <v>8</v>
      </c>
      <c r="N87">
        <v>4.2172033724819431E-2</v>
      </c>
      <c r="O87">
        <v>5.2715042156024289E-3</v>
      </c>
      <c r="V87" t="s">
        <v>45</v>
      </c>
      <c r="X87">
        <v>8</v>
      </c>
      <c r="Y87">
        <v>0.27203139866340953</v>
      </c>
      <c r="Z87">
        <v>3.4003924832926191E-2</v>
      </c>
      <c r="AG87" t="s">
        <v>45</v>
      </c>
      <c r="AH87">
        <v>8</v>
      </c>
      <c r="AI87">
        <v>8.3057594929495486E-3</v>
      </c>
      <c r="AJ87">
        <v>1.0382199366186936E-3</v>
      </c>
      <c r="AQ87" t="s">
        <v>45</v>
      </c>
      <c r="AR87">
        <v>8</v>
      </c>
      <c r="AS87">
        <v>0.4319058547628557</v>
      </c>
      <c r="AT87">
        <v>5.3988231845356963E-2</v>
      </c>
    </row>
    <row r="88" spans="1:51" ht="15.75" thickBot="1" x14ac:dyDescent="0.3">
      <c r="A88" s="14" t="s">
        <v>17</v>
      </c>
      <c r="B88" s="23">
        <v>4.3375577562074601E-2</v>
      </c>
      <c r="C88" s="17"/>
      <c r="L88" s="57" t="s">
        <v>46</v>
      </c>
      <c r="M88" s="57">
        <v>9</v>
      </c>
      <c r="N88" s="57">
        <v>5.6731433094892897E-2</v>
      </c>
      <c r="O88" s="57"/>
      <c r="P88" s="57"/>
      <c r="Q88" s="57"/>
      <c r="V88" s="57" t="s">
        <v>46</v>
      </c>
      <c r="W88" s="57"/>
      <c r="X88" s="57">
        <v>9</v>
      </c>
      <c r="Y88" s="57">
        <v>0.28733220332044018</v>
      </c>
      <c r="Z88" s="57"/>
      <c r="AA88" s="57"/>
      <c r="AB88" s="57"/>
      <c r="AG88" s="57" t="s">
        <v>46</v>
      </c>
      <c r="AH88" s="57">
        <v>9</v>
      </c>
      <c r="AI88" s="57">
        <v>1.016246313575222E-2</v>
      </c>
      <c r="AJ88" s="57"/>
      <c r="AK88" s="57"/>
      <c r="AL88" s="57"/>
      <c r="AQ88" s="57" t="s">
        <v>46</v>
      </c>
      <c r="AR88" s="57">
        <v>9</v>
      </c>
      <c r="AS88" s="57">
        <v>0.4390176817376838</v>
      </c>
      <c r="AT88" s="57"/>
      <c r="AU88" s="57"/>
      <c r="AV88" s="57"/>
    </row>
    <row r="89" spans="1:51" ht="15.75" thickBot="1" x14ac:dyDescent="0.3">
      <c r="A89" s="14" t="s">
        <v>18</v>
      </c>
      <c r="B89" s="23">
        <v>4.5262412029273197E-2</v>
      </c>
      <c r="C89" s="17"/>
    </row>
    <row r="90" spans="1:51" x14ac:dyDescent="0.25">
      <c r="A90" s="1"/>
      <c r="B90" s="53">
        <v>-6.6277814143714905E-2</v>
      </c>
      <c r="C90" s="8"/>
      <c r="L90" s="58"/>
      <c r="M90" s="58" t="s">
        <v>52</v>
      </c>
      <c r="N90" s="58" t="s">
        <v>41</v>
      </c>
      <c r="O90" s="58" t="s">
        <v>53</v>
      </c>
      <c r="P90" s="58" t="s">
        <v>54</v>
      </c>
      <c r="Q90" s="58" t="s">
        <v>55</v>
      </c>
      <c r="R90" s="58" t="s">
        <v>56</v>
      </c>
      <c r="S90" s="58" t="s">
        <v>57</v>
      </c>
      <c r="T90" s="58" t="s">
        <v>58</v>
      </c>
      <c r="V90" s="58"/>
      <c r="W90" s="58"/>
      <c r="X90" s="58" t="s">
        <v>52</v>
      </c>
      <c r="Y90" s="58" t="s">
        <v>41</v>
      </c>
      <c r="Z90" s="58" t="s">
        <v>53</v>
      </c>
      <c r="AA90" s="58" t="s">
        <v>54</v>
      </c>
      <c r="AB90" s="58" t="s">
        <v>55</v>
      </c>
      <c r="AC90" s="58" t="s">
        <v>56</v>
      </c>
      <c r="AD90" s="58" t="s">
        <v>57</v>
      </c>
      <c r="AE90" s="58" t="s">
        <v>58</v>
      </c>
      <c r="AG90" s="58"/>
      <c r="AH90" s="58" t="s">
        <v>52</v>
      </c>
      <c r="AI90" s="58" t="s">
        <v>41</v>
      </c>
      <c r="AJ90" s="58" t="s">
        <v>53</v>
      </c>
      <c r="AK90" s="58" t="s">
        <v>54</v>
      </c>
      <c r="AL90" s="58" t="s">
        <v>55</v>
      </c>
      <c r="AM90" s="58" t="s">
        <v>56</v>
      </c>
      <c r="AN90" s="58" t="s">
        <v>57</v>
      </c>
      <c r="AO90" s="58" t="s">
        <v>58</v>
      </c>
      <c r="AQ90" s="58"/>
      <c r="AR90" s="58" t="s">
        <v>52</v>
      </c>
      <c r="AS90" s="58" t="s">
        <v>41</v>
      </c>
      <c r="AT90" s="58" t="s">
        <v>53</v>
      </c>
      <c r="AU90" s="58" t="s">
        <v>54</v>
      </c>
      <c r="AV90" s="58" t="s">
        <v>55</v>
      </c>
      <c r="AW90" s="58" t="s">
        <v>56</v>
      </c>
      <c r="AX90" s="58" t="s">
        <v>57</v>
      </c>
      <c r="AY90" s="58" t="s">
        <v>58</v>
      </c>
    </row>
    <row r="91" spans="1:51" x14ac:dyDescent="0.25">
      <c r="A91" s="1"/>
      <c r="B91" s="2"/>
      <c r="C91" s="8"/>
      <c r="L91" t="s">
        <v>47</v>
      </c>
      <c r="M91">
        <v>0.10775041704806361</v>
      </c>
      <c r="N91">
        <v>3.1799159059717086E-2</v>
      </c>
      <c r="O91">
        <v>3.3884675014743064</v>
      </c>
      <c r="P91">
        <v>9.5215315548850786E-3</v>
      </c>
      <c r="Q91">
        <v>3.4421424760340949E-2</v>
      </c>
      <c r="R91">
        <v>0.18107940933578626</v>
      </c>
      <c r="S91">
        <v>3.4421424760340949E-2</v>
      </c>
      <c r="T91">
        <v>0.18107940933578626</v>
      </c>
      <c r="V91" t="s">
        <v>47</v>
      </c>
      <c r="X91">
        <v>-2.8260574150480076E-2</v>
      </c>
      <c r="Y91">
        <v>8.0763081260438491E-2</v>
      </c>
      <c r="Z91">
        <v>-0.34991946455519174</v>
      </c>
      <c r="AA91">
        <v>0.73543280524645183</v>
      </c>
      <c r="AB91">
        <v>-0.21450057350888141</v>
      </c>
      <c r="AC91">
        <v>0.15797942520792124</v>
      </c>
      <c r="AD91">
        <v>-0.21450057350888141</v>
      </c>
      <c r="AE91">
        <v>0.15797942520792124</v>
      </c>
      <c r="AG91" t="s">
        <v>47</v>
      </c>
      <c r="AH91">
        <v>0.11898501211487846</v>
      </c>
      <c r="AI91">
        <v>1.411214525962045E-2</v>
      </c>
      <c r="AJ91">
        <v>8.431390828673953</v>
      </c>
      <c r="AK91">
        <v>2.9863699402098115E-5</v>
      </c>
      <c r="AL91">
        <v>8.6442346789591812E-2</v>
      </c>
      <c r="AM91">
        <v>0.1515276774401651</v>
      </c>
      <c r="AN91">
        <v>8.6442346789591812E-2</v>
      </c>
      <c r="AO91">
        <v>0.1515276774401651</v>
      </c>
      <c r="AQ91" t="s">
        <v>47</v>
      </c>
      <c r="AR91">
        <v>-0.15591910902676914</v>
      </c>
      <c r="AS91">
        <v>0.10176487608238409</v>
      </c>
      <c r="AT91">
        <v>-1.5321505319826096</v>
      </c>
      <c r="AU91">
        <v>0.16402260874002078</v>
      </c>
      <c r="AV91">
        <v>-0.39058933409128649</v>
      </c>
      <c r="AW91">
        <v>7.8751116037748203E-2</v>
      </c>
      <c r="AX91">
        <v>-0.39058933409128649</v>
      </c>
      <c r="AY91">
        <v>7.8751116037748203E-2</v>
      </c>
    </row>
    <row r="92" spans="1:51" ht="15.75" thickBot="1" x14ac:dyDescent="0.3">
      <c r="A92" s="7" t="s">
        <v>2</v>
      </c>
      <c r="B92" s="7"/>
      <c r="C92" s="8"/>
      <c r="L92" s="57" t="s">
        <v>67</v>
      </c>
      <c r="M92" s="57">
        <v>2.215947059996258E-2</v>
      </c>
      <c r="N92" s="57">
        <v>1.3333830505123935E-2</v>
      </c>
      <c r="O92" s="57">
        <v>1.6618983263246911</v>
      </c>
      <c r="P92" s="57">
        <v>0.13510832814324722</v>
      </c>
      <c r="Q92" s="57">
        <v>-8.5883976829646824E-3</v>
      </c>
      <c r="R92" s="57">
        <v>5.2907338882889843E-2</v>
      </c>
      <c r="S92" s="57">
        <v>-8.5883976829646824E-3</v>
      </c>
      <c r="T92" s="57">
        <v>5.2907338882889843E-2</v>
      </c>
      <c r="V92" s="57" t="s">
        <v>67</v>
      </c>
      <c r="W92" s="57"/>
      <c r="X92" s="57">
        <v>2.2716676134609717E-2</v>
      </c>
      <c r="Y92" s="57">
        <v>3.3865085380903118E-2</v>
      </c>
      <c r="Z92" s="57">
        <v>0.6707993167328582</v>
      </c>
      <c r="AA92" s="57">
        <v>0.52124020036226781</v>
      </c>
      <c r="AB92" s="57">
        <v>-5.5376350792795057E-2</v>
      </c>
      <c r="AC92" s="57">
        <v>0.10080970306201449</v>
      </c>
      <c r="AD92" s="57">
        <v>-5.5376350792795057E-2</v>
      </c>
      <c r="AE92" s="57">
        <v>0.10080970306201449</v>
      </c>
      <c r="AG92" s="57" t="s">
        <v>67</v>
      </c>
      <c r="AH92" s="57">
        <v>7.9133239675841498E-3</v>
      </c>
      <c r="AI92" s="57">
        <v>5.917419155710887E-3</v>
      </c>
      <c r="AJ92" s="57">
        <v>1.3372931271814705</v>
      </c>
      <c r="AK92" s="57">
        <v>0.21790000787407415</v>
      </c>
      <c r="AL92" s="57">
        <v>-5.7322690752215077E-3</v>
      </c>
      <c r="AM92" s="57">
        <v>2.1558917010389807E-2</v>
      </c>
      <c r="AN92" s="57">
        <v>-5.7322690752215077E-3</v>
      </c>
      <c r="AO92" s="57">
        <v>2.1558917010389807E-2</v>
      </c>
      <c r="AQ92" s="57" t="s">
        <v>67</v>
      </c>
      <c r="AR92" s="57">
        <v>-1.5487390263086643E-2</v>
      </c>
      <c r="AS92" s="57">
        <v>4.2671430603219304E-2</v>
      </c>
      <c r="AT92" s="57">
        <v>-0.36294518473252713</v>
      </c>
      <c r="AU92" s="57">
        <v>0.72604832578033107</v>
      </c>
      <c r="AV92" s="57">
        <v>-0.11388788568918801</v>
      </c>
      <c r="AW92" s="57">
        <v>8.2913105163014728E-2</v>
      </c>
      <c r="AX92" s="57">
        <v>-0.11388788568918801</v>
      </c>
      <c r="AY92" s="57">
        <v>8.2913105163014728E-2</v>
      </c>
    </row>
    <row r="93" spans="1:51" ht="30" x14ac:dyDescent="0.25">
      <c r="A93" s="11" t="s">
        <v>21</v>
      </c>
      <c r="B93" s="11" t="s">
        <v>1</v>
      </c>
      <c r="C93" s="65" t="s">
        <v>83</v>
      </c>
      <c r="D93" s="7" t="s">
        <v>84</v>
      </c>
      <c r="E93" s="7" t="s">
        <v>85</v>
      </c>
      <c r="F93" s="12" t="s">
        <v>22</v>
      </c>
      <c r="G93" s="13" t="s">
        <v>12</v>
      </c>
      <c r="H93" s="13" t="s">
        <v>86</v>
      </c>
    </row>
    <row r="94" spans="1:51" ht="15.75" thickBot="1" x14ac:dyDescent="0.3">
      <c r="A94" s="15" t="s">
        <v>13</v>
      </c>
      <c r="B94" s="16">
        <v>0.78479742735639801</v>
      </c>
      <c r="C94" s="6">
        <v>0.82639610482808601</v>
      </c>
      <c r="D94" s="6">
        <v>0.81089291747742998</v>
      </c>
      <c r="E94" s="6">
        <v>0.68761829144305897</v>
      </c>
      <c r="F94" s="17"/>
      <c r="G94" s="18"/>
      <c r="H94" s="15"/>
      <c r="L94" t="s">
        <v>69</v>
      </c>
      <c r="V94" t="s">
        <v>72</v>
      </c>
      <c r="AG94" t="s">
        <v>75</v>
      </c>
    </row>
    <row r="95" spans="1:51" x14ac:dyDescent="0.25">
      <c r="A95" s="15" t="s">
        <v>14</v>
      </c>
      <c r="B95" s="16">
        <v>0.17369777575697301</v>
      </c>
      <c r="C95" s="6">
        <v>0.111966393265454</v>
      </c>
      <c r="D95" s="6">
        <v>0.120049397034174</v>
      </c>
      <c r="E95" s="6">
        <v>0.19303664781799701</v>
      </c>
      <c r="F95" s="18">
        <v>60.588347259999999</v>
      </c>
      <c r="G95" s="18">
        <v>1.1737788669959504</v>
      </c>
      <c r="H95" s="15">
        <v>0.25</v>
      </c>
      <c r="L95" s="59" t="s">
        <v>37</v>
      </c>
      <c r="M95" s="59"/>
      <c r="V95" s="59" t="s">
        <v>37</v>
      </c>
      <c r="W95" s="59"/>
      <c r="X95" s="59"/>
      <c r="AG95" s="59" t="s">
        <v>37</v>
      </c>
      <c r="AH95" s="59"/>
      <c r="AQ95" s="59" t="s">
        <v>37</v>
      </c>
      <c r="AR95" s="59"/>
    </row>
    <row r="96" spans="1:51" x14ac:dyDescent="0.25">
      <c r="A96" s="15" t="s">
        <v>15</v>
      </c>
      <c r="B96" s="16">
        <v>9.9143945152060597E-2</v>
      </c>
      <c r="C96" s="6">
        <v>8.5194138495455596E-2</v>
      </c>
      <c r="D96" s="6">
        <v>0.10817436709775199</v>
      </c>
      <c r="E96" s="6">
        <v>8.8535674621076102E-2</v>
      </c>
      <c r="F96" s="18">
        <v>73.387016439999996</v>
      </c>
      <c r="G96" s="18">
        <v>1.0182769682576838</v>
      </c>
      <c r="H96" s="15">
        <v>-3.25</v>
      </c>
      <c r="L96" t="s">
        <v>38</v>
      </c>
      <c r="M96">
        <v>0.9185026256430604</v>
      </c>
      <c r="V96" t="s">
        <v>38</v>
      </c>
      <c r="X96">
        <v>0.95970687470483784</v>
      </c>
      <c r="AG96" t="s">
        <v>38</v>
      </c>
      <c r="AH96">
        <v>0.944059556923732</v>
      </c>
      <c r="AQ96" t="s">
        <v>38</v>
      </c>
      <c r="AR96">
        <v>0.36712737728751571</v>
      </c>
    </row>
    <row r="97" spans="1:51" x14ac:dyDescent="0.25">
      <c r="A97" s="15" t="s">
        <v>16</v>
      </c>
      <c r="B97" s="16">
        <v>0.21234239309632399</v>
      </c>
      <c r="C97" s="6">
        <v>0.13829255988935801</v>
      </c>
      <c r="D97" s="6">
        <v>0.136626644156328</v>
      </c>
      <c r="E97" s="6">
        <v>0.135540384510944</v>
      </c>
      <c r="F97" s="18">
        <v>79.767295559999994</v>
      </c>
      <c r="G97" s="18">
        <v>1</v>
      </c>
      <c r="H97" s="15">
        <v>0</v>
      </c>
      <c r="L97" t="s">
        <v>39</v>
      </c>
      <c r="M97">
        <v>0.84364707331319588</v>
      </c>
      <c r="V97" t="s">
        <v>39</v>
      </c>
      <c r="X97">
        <v>0.92103728535572738</v>
      </c>
      <c r="AG97" t="s">
        <v>39</v>
      </c>
      <c r="AH97">
        <v>0.89124844701903316</v>
      </c>
      <c r="AQ97" t="s">
        <v>39</v>
      </c>
      <c r="AR97">
        <v>0.13478251115400991</v>
      </c>
    </row>
    <row r="98" spans="1:51" x14ac:dyDescent="0.25">
      <c r="A98" s="15" t="s">
        <v>17</v>
      </c>
      <c r="B98" s="16">
        <v>0.36516163611226798</v>
      </c>
      <c r="C98" s="6">
        <v>-0.114348261169542</v>
      </c>
      <c r="D98" s="6">
        <v>-0.113414678070824</v>
      </c>
      <c r="E98" s="6">
        <v>0.19158277625082301</v>
      </c>
      <c r="F98" s="18"/>
      <c r="G98" s="18"/>
      <c r="H98" s="15"/>
      <c r="L98" t="s">
        <v>40</v>
      </c>
      <c r="M98">
        <v>0.68729414662639177</v>
      </c>
      <c r="V98" t="s">
        <v>40</v>
      </c>
      <c r="X98">
        <v>0.84207457071145475</v>
      </c>
      <c r="AG98" t="s">
        <v>40</v>
      </c>
      <c r="AH98">
        <v>0.78249689403806633</v>
      </c>
      <c r="AQ98" t="s">
        <v>40</v>
      </c>
      <c r="AR98">
        <v>-0.73043497769198018</v>
      </c>
    </row>
    <row r="99" spans="1:51" x14ac:dyDescent="0.25">
      <c r="A99" s="15" t="s">
        <v>18</v>
      </c>
      <c r="B99" s="16">
        <v>4.1333778886518201E-2</v>
      </c>
      <c r="C99" s="6">
        <v>4.0979442194653999E-2</v>
      </c>
      <c r="D99" s="6">
        <v>4.3152266392038501E-2</v>
      </c>
      <c r="E99" s="6">
        <v>4.9298883225582402E-2</v>
      </c>
      <c r="F99" s="18"/>
      <c r="G99" s="18"/>
      <c r="H99" s="15"/>
      <c r="L99" t="s">
        <v>41</v>
      </c>
      <c r="M99">
        <v>3.2176802256286052E-2</v>
      </c>
      <c r="V99" t="s">
        <v>41</v>
      </c>
      <c r="X99">
        <v>0.11287889738350131</v>
      </c>
      <c r="AG99" t="s">
        <v>41</v>
      </c>
      <c r="AH99">
        <v>1.4329074303957813E-2</v>
      </c>
      <c r="AQ99" t="s">
        <v>41</v>
      </c>
      <c r="AR99">
        <v>0.23235068371476744</v>
      </c>
    </row>
    <row r="100" spans="1:51" ht="15.75" thickBot="1" x14ac:dyDescent="0.3">
      <c r="A100" s="15" t="s">
        <v>19</v>
      </c>
      <c r="B100" s="16">
        <v>9.4513218106104094E-2</v>
      </c>
      <c r="C100" s="6">
        <v>3.7096821663735999E-2</v>
      </c>
      <c r="D100" s="6">
        <v>4.1729808309260499E-2</v>
      </c>
      <c r="E100" s="6">
        <v>0.417116565148758</v>
      </c>
      <c r="F100" s="50"/>
      <c r="G100" s="18"/>
      <c r="H100" s="15"/>
      <c r="L100" s="57" t="s">
        <v>42</v>
      </c>
      <c r="M100" s="57">
        <v>3</v>
      </c>
      <c r="V100" s="57" t="s">
        <v>42</v>
      </c>
      <c r="W100" s="57"/>
      <c r="X100" s="57">
        <v>3</v>
      </c>
      <c r="AG100" s="57" t="s">
        <v>42</v>
      </c>
      <c r="AH100" s="57">
        <v>3</v>
      </c>
      <c r="AQ100" s="57" t="s">
        <v>42</v>
      </c>
      <c r="AR100" s="57">
        <v>3</v>
      </c>
    </row>
    <row r="101" spans="1:51" x14ac:dyDescent="0.25">
      <c r="A101" s="15" t="s">
        <v>20</v>
      </c>
      <c r="B101" s="16">
        <v>4.2663094228711902E-2</v>
      </c>
      <c r="C101" s="6">
        <v>5.46373008647544E-2</v>
      </c>
      <c r="D101" s="6">
        <v>8.4884621005949706E-2</v>
      </c>
      <c r="E101" s="6">
        <v>9.0589300214318305E-4</v>
      </c>
      <c r="F101" s="50"/>
      <c r="G101" s="18"/>
      <c r="H101" s="15"/>
    </row>
    <row r="102" spans="1:51" ht="15.75" thickBot="1" x14ac:dyDescent="0.3">
      <c r="A102" s="15" t="s">
        <v>23</v>
      </c>
      <c r="B102" s="16">
        <v>8.8732929175135894E-2</v>
      </c>
      <c r="F102" s="18">
        <v>110.72040256</v>
      </c>
      <c r="G102" s="18">
        <v>1.0393698938576728</v>
      </c>
      <c r="H102" s="15">
        <v>-0.75</v>
      </c>
      <c r="L102" t="s">
        <v>43</v>
      </c>
      <c r="V102" t="s">
        <v>43</v>
      </c>
      <c r="AG102" t="s">
        <v>43</v>
      </c>
      <c r="AQ102" t="s">
        <v>43</v>
      </c>
    </row>
    <row r="103" spans="1:51" x14ac:dyDescent="0.25">
      <c r="A103" s="15" t="s">
        <v>24</v>
      </c>
      <c r="B103" s="24">
        <v>-1.9463558010346702E-2</v>
      </c>
      <c r="F103" s="18"/>
      <c r="G103" s="18"/>
      <c r="H103" s="15"/>
      <c r="L103" s="58"/>
      <c r="M103" s="58" t="s">
        <v>48</v>
      </c>
      <c r="N103" s="58" t="s">
        <v>33</v>
      </c>
      <c r="O103" s="58" t="s">
        <v>49</v>
      </c>
      <c r="P103" s="58" t="s">
        <v>50</v>
      </c>
      <c r="Q103" s="58" t="s">
        <v>51</v>
      </c>
      <c r="V103" s="58"/>
      <c r="W103" s="58"/>
      <c r="X103" s="58" t="s">
        <v>48</v>
      </c>
      <c r="Y103" s="58" t="s">
        <v>33</v>
      </c>
      <c r="Z103" s="58" t="s">
        <v>49</v>
      </c>
      <c r="AA103" s="58" t="s">
        <v>50</v>
      </c>
      <c r="AB103" s="58" t="s">
        <v>51</v>
      </c>
      <c r="AG103" s="58"/>
      <c r="AH103" s="58" t="s">
        <v>48</v>
      </c>
      <c r="AI103" s="58" t="s">
        <v>33</v>
      </c>
      <c r="AJ103" s="58" t="s">
        <v>49</v>
      </c>
      <c r="AK103" s="58" t="s">
        <v>50</v>
      </c>
      <c r="AL103" s="58" t="s">
        <v>51</v>
      </c>
      <c r="AQ103" s="58"/>
      <c r="AR103" s="58" t="s">
        <v>48</v>
      </c>
      <c r="AS103" s="58" t="s">
        <v>33</v>
      </c>
      <c r="AT103" s="58" t="s">
        <v>49</v>
      </c>
      <c r="AU103" s="58" t="s">
        <v>50</v>
      </c>
      <c r="AV103" s="58" t="s">
        <v>51</v>
      </c>
    </row>
    <row r="104" spans="1:51" x14ac:dyDescent="0.25">
      <c r="A104" s="15" t="s">
        <v>25</v>
      </c>
      <c r="B104" s="16">
        <v>0.10415722716452799</v>
      </c>
      <c r="F104" s="18">
        <v>111.66319882000001</v>
      </c>
      <c r="G104" s="18">
        <v>1.0331150820718804</v>
      </c>
      <c r="H104" s="15">
        <v>-1</v>
      </c>
      <c r="L104" t="s">
        <v>44</v>
      </c>
      <c r="M104">
        <v>1</v>
      </c>
      <c r="N104">
        <v>5.5865096379468489E-3</v>
      </c>
      <c r="O104">
        <v>5.5865096379468489E-3</v>
      </c>
      <c r="P104">
        <v>5.3957868982083994</v>
      </c>
      <c r="Q104">
        <v>0.25879835026214731</v>
      </c>
      <c r="V104" t="s">
        <v>44</v>
      </c>
      <c r="X104">
        <v>1</v>
      </c>
      <c r="Y104">
        <v>0.14862116394656652</v>
      </c>
      <c r="Z104">
        <v>0.14862116394656652</v>
      </c>
      <c r="AA104">
        <v>11.664204928933909</v>
      </c>
      <c r="AB104">
        <v>0.18133421153090101</v>
      </c>
      <c r="AG104" t="s">
        <v>44</v>
      </c>
      <c r="AH104">
        <v>1</v>
      </c>
      <c r="AI104">
        <v>1.6826724653461263E-3</v>
      </c>
      <c r="AJ104">
        <v>1.6826724653461263E-3</v>
      </c>
      <c r="AK104">
        <v>8.195270987762493</v>
      </c>
      <c r="AL104">
        <v>0.21394577442032442</v>
      </c>
      <c r="AQ104" t="s">
        <v>44</v>
      </c>
      <c r="AR104">
        <v>1</v>
      </c>
      <c r="AS104">
        <v>8.4100032515451381E-3</v>
      </c>
      <c r="AT104">
        <v>8.4100032515451381E-3</v>
      </c>
      <c r="AU104">
        <v>0.15577876417382658</v>
      </c>
      <c r="AV104">
        <v>0.76068262316919988</v>
      </c>
    </row>
    <row r="105" spans="1:51" x14ac:dyDescent="0.25">
      <c r="A105" s="15" t="s">
        <v>26</v>
      </c>
      <c r="B105" s="16">
        <v>4.66251429291673E-2</v>
      </c>
      <c r="F105" s="18">
        <v>114.89097618</v>
      </c>
      <c r="G105" s="18">
        <v>1.0275460447393339</v>
      </c>
      <c r="H105" s="15">
        <v>-1.25</v>
      </c>
      <c r="L105" t="s">
        <v>45</v>
      </c>
      <c r="M105">
        <v>1</v>
      </c>
      <c r="N105">
        <v>1.0353466034401352E-3</v>
      </c>
      <c r="O105">
        <v>1.0353466034401352E-3</v>
      </c>
      <c r="V105" t="s">
        <v>45</v>
      </c>
      <c r="X105">
        <v>1</v>
      </c>
      <c r="Y105">
        <v>1.2741645474515019E-2</v>
      </c>
      <c r="Z105">
        <v>1.2741645474515019E-2</v>
      </c>
      <c r="AG105" t="s">
        <v>45</v>
      </c>
      <c r="AH105">
        <v>1</v>
      </c>
      <c r="AI105">
        <v>2.0532237040834408E-4</v>
      </c>
      <c r="AJ105">
        <v>2.0532237040834408E-4</v>
      </c>
      <c r="AQ105" t="s">
        <v>45</v>
      </c>
      <c r="AR105">
        <v>1</v>
      </c>
      <c r="AS105">
        <v>5.3986840222719899E-2</v>
      </c>
      <c r="AT105">
        <v>5.3986840222719899E-2</v>
      </c>
    </row>
    <row r="106" spans="1:51" ht="15.75" thickBot="1" x14ac:dyDescent="0.3">
      <c r="A106" s="15" t="s">
        <v>27</v>
      </c>
      <c r="B106" s="16">
        <v>9.0894558490112708E-3</v>
      </c>
      <c r="F106" s="18">
        <v>116.55531655999999</v>
      </c>
      <c r="G106" s="18">
        <v>1.0275826446035865</v>
      </c>
      <c r="H106" s="15">
        <v>-3.5</v>
      </c>
      <c r="L106" s="57" t="s">
        <v>46</v>
      </c>
      <c r="M106" s="57">
        <v>2</v>
      </c>
      <c r="N106" s="57">
        <v>6.6218562413869839E-3</v>
      </c>
      <c r="O106" s="57"/>
      <c r="P106" s="57"/>
      <c r="Q106" s="57"/>
      <c r="V106" s="57" t="s">
        <v>46</v>
      </c>
      <c r="W106" s="57"/>
      <c r="X106" s="57">
        <v>2</v>
      </c>
      <c r="Y106" s="57">
        <v>0.16136280942108153</v>
      </c>
      <c r="Z106" s="57"/>
      <c r="AA106" s="57"/>
      <c r="AB106" s="57"/>
      <c r="AG106" s="57" t="s">
        <v>46</v>
      </c>
      <c r="AH106" s="57">
        <v>2</v>
      </c>
      <c r="AI106" s="57">
        <v>1.8879948357544704E-3</v>
      </c>
      <c r="AJ106" s="57"/>
      <c r="AK106" s="57"/>
      <c r="AL106" s="57"/>
      <c r="AQ106" s="57" t="s">
        <v>46</v>
      </c>
      <c r="AR106" s="57">
        <v>2</v>
      </c>
      <c r="AS106" s="57">
        <v>6.2396843474265037E-2</v>
      </c>
      <c r="AT106" s="57"/>
      <c r="AU106" s="57"/>
      <c r="AV106" s="57"/>
    </row>
    <row r="107" spans="1:51" ht="15.75" thickBot="1" x14ac:dyDescent="0.3">
      <c r="A107" s="15" t="s">
        <v>28</v>
      </c>
      <c r="B107" s="24">
        <v>-1.7278096303121701E-2</v>
      </c>
      <c r="F107" s="18">
        <v>120.40602251999999</v>
      </c>
      <c r="G107" s="18">
        <v>1.0396485920727681</v>
      </c>
      <c r="H107" s="15">
        <v>-0.75</v>
      </c>
    </row>
    <row r="108" spans="1:51" x14ac:dyDescent="0.25">
      <c r="A108" s="15" t="s">
        <v>29</v>
      </c>
      <c r="B108" s="16">
        <v>2.0373962034653699E-2</v>
      </c>
      <c r="F108" s="18">
        <v>118.75512236</v>
      </c>
      <c r="G108" s="18">
        <v>1.0831630031367767</v>
      </c>
      <c r="H108" s="15">
        <v>-3.5</v>
      </c>
      <c r="L108" s="58"/>
      <c r="M108" s="58" t="s">
        <v>52</v>
      </c>
      <c r="N108" s="58" t="s">
        <v>41</v>
      </c>
      <c r="O108" s="58" t="s">
        <v>53</v>
      </c>
      <c r="P108" s="58" t="s">
        <v>54</v>
      </c>
      <c r="Q108" s="58" t="s">
        <v>55</v>
      </c>
      <c r="R108" s="58" t="s">
        <v>56</v>
      </c>
      <c r="S108" s="58" t="s">
        <v>57</v>
      </c>
      <c r="T108" s="58" t="s">
        <v>58</v>
      </c>
      <c r="V108" s="58"/>
      <c r="W108" s="58"/>
      <c r="X108" s="58" t="s">
        <v>52</v>
      </c>
      <c r="Y108" s="58" t="s">
        <v>41</v>
      </c>
      <c r="Z108" s="58" t="s">
        <v>53</v>
      </c>
      <c r="AA108" s="58" t="s">
        <v>54</v>
      </c>
      <c r="AB108" s="58" t="s">
        <v>55</v>
      </c>
      <c r="AC108" s="58" t="s">
        <v>56</v>
      </c>
      <c r="AD108" s="58" t="s">
        <v>57</v>
      </c>
      <c r="AE108" s="58" t="s">
        <v>58</v>
      </c>
      <c r="AG108" s="58"/>
      <c r="AH108" s="58" t="s">
        <v>52</v>
      </c>
      <c r="AI108" s="58" t="s">
        <v>41</v>
      </c>
      <c r="AJ108" s="58" t="s">
        <v>53</v>
      </c>
      <c r="AK108" s="58" t="s">
        <v>54</v>
      </c>
      <c r="AL108" s="58" t="s">
        <v>55</v>
      </c>
      <c r="AM108" s="58" t="s">
        <v>56</v>
      </c>
      <c r="AN108" s="58" t="s">
        <v>57</v>
      </c>
      <c r="AO108" s="58" t="s">
        <v>58</v>
      </c>
      <c r="AQ108" s="58"/>
      <c r="AR108" s="58" t="s">
        <v>52</v>
      </c>
      <c r="AS108" s="58" t="s">
        <v>41</v>
      </c>
      <c r="AT108" s="58" t="s">
        <v>53</v>
      </c>
      <c r="AU108" s="58" t="s">
        <v>54</v>
      </c>
      <c r="AV108" s="58" t="s">
        <v>55</v>
      </c>
      <c r="AW108" s="58" t="s">
        <v>56</v>
      </c>
      <c r="AX108" s="58" t="s">
        <v>57</v>
      </c>
      <c r="AY108" s="58" t="s">
        <v>58</v>
      </c>
    </row>
    <row r="109" spans="1:51" x14ac:dyDescent="0.25">
      <c r="A109" s="15" t="s">
        <v>30</v>
      </c>
      <c r="B109" s="24">
        <v>-2.50118292734785E-2</v>
      </c>
      <c r="F109" s="18">
        <v>125.12197168</v>
      </c>
      <c r="G109" s="18">
        <v>1.0183454205725238</v>
      </c>
      <c r="H109" s="15">
        <v>-4.25</v>
      </c>
      <c r="L109" t="s">
        <v>47</v>
      </c>
      <c r="M109">
        <v>0.18879567553626506</v>
      </c>
      <c r="N109">
        <v>2.1929402536023369E-2</v>
      </c>
      <c r="O109">
        <v>8.6092484839078907</v>
      </c>
      <c r="P109">
        <v>7.3616144627763752E-2</v>
      </c>
      <c r="Q109">
        <v>-8.9843802828436709E-2</v>
      </c>
      <c r="R109">
        <v>0.46743515390096679</v>
      </c>
      <c r="S109">
        <v>-8.9843802828436709E-2</v>
      </c>
      <c r="T109">
        <v>0.46743515390096679</v>
      </c>
      <c r="V109" t="s">
        <v>47</v>
      </c>
      <c r="X109">
        <v>-9.3769809026318596E-2</v>
      </c>
      <c r="Y109">
        <v>7.6930167231322316E-2</v>
      </c>
      <c r="Z109">
        <v>-1.2188951668902648</v>
      </c>
      <c r="AA109">
        <v>0.43739967657341211</v>
      </c>
      <c r="AB109">
        <v>-1.0712602642556583</v>
      </c>
      <c r="AC109">
        <v>0.88372064620302127</v>
      </c>
      <c r="AD109">
        <v>-1.0712602642556583</v>
      </c>
      <c r="AE109">
        <v>0.88372064620302127</v>
      </c>
      <c r="AG109" t="s">
        <v>47</v>
      </c>
      <c r="AH109">
        <v>0.1383548060277589</v>
      </c>
      <c r="AI109">
        <v>9.7656701830491025E-3</v>
      </c>
      <c r="AJ109">
        <v>14.167466587998248</v>
      </c>
      <c r="AK109">
        <v>4.4860926648346434E-2</v>
      </c>
      <c r="AL109">
        <v>1.4270201295980278E-2</v>
      </c>
      <c r="AM109">
        <v>0.26243941075953753</v>
      </c>
      <c r="AN109">
        <v>1.4270201295980278E-2</v>
      </c>
      <c r="AO109">
        <v>0.26243941075953753</v>
      </c>
      <c r="AQ109" t="s">
        <v>47</v>
      </c>
      <c r="AR109">
        <v>-0.39159089074366649</v>
      </c>
      <c r="AS109">
        <v>0.1583535751041254</v>
      </c>
      <c r="AT109">
        <v>-2.4728894847254055</v>
      </c>
      <c r="AU109">
        <v>0.2446409005181292</v>
      </c>
      <c r="AV109">
        <v>-2.4036638367219014</v>
      </c>
      <c r="AW109">
        <v>1.6204820552345687</v>
      </c>
      <c r="AX109">
        <v>-2.4036638367219014</v>
      </c>
      <c r="AY109">
        <v>1.6204820552345687</v>
      </c>
    </row>
    <row r="110" spans="1:51" ht="15.75" thickBot="1" x14ac:dyDescent="0.3">
      <c r="L110" s="57" t="s">
        <v>67</v>
      </c>
      <c r="M110" s="57">
        <v>2.7067637534479213E-2</v>
      </c>
      <c r="N110" s="57">
        <v>1.1652603190141808E-2</v>
      </c>
      <c r="O110" s="57">
        <v>2.3228833156679225</v>
      </c>
      <c r="P110" s="57">
        <v>0.25879835026214726</v>
      </c>
      <c r="Q110" s="57">
        <v>-0.12099272430886512</v>
      </c>
      <c r="R110" s="57">
        <v>0.17512799937782356</v>
      </c>
      <c r="S110" s="57">
        <v>-0.12099272430886512</v>
      </c>
      <c r="T110" s="57">
        <v>0.17512799937782356</v>
      </c>
      <c r="V110" s="57" t="s">
        <v>67</v>
      </c>
      <c r="W110" s="57"/>
      <c r="X110" s="57">
        <v>0.13961124664479449</v>
      </c>
      <c r="Y110" s="57">
        <v>4.0878300748288743E-2</v>
      </c>
      <c r="Z110" s="57">
        <v>3.4152898748032947</v>
      </c>
      <c r="AA110" s="57">
        <v>0.18133421153090104</v>
      </c>
      <c r="AB110" s="57">
        <v>-0.37979681192988601</v>
      </c>
      <c r="AC110" s="57">
        <v>0.65901930521947505</v>
      </c>
      <c r="AD110" s="57">
        <v>-0.37979681192988601</v>
      </c>
      <c r="AE110" s="57">
        <v>0.65901930521947505</v>
      </c>
      <c r="AG110" s="57" t="s">
        <v>67</v>
      </c>
      <c r="AH110" s="57">
        <v>1.4855246753621005E-2</v>
      </c>
      <c r="AI110" s="57">
        <v>5.1891737288300103E-3</v>
      </c>
      <c r="AJ110" s="57">
        <v>2.8627383722167998</v>
      </c>
      <c r="AK110" s="57">
        <v>0.21394577442032442</v>
      </c>
      <c r="AL110" s="57">
        <v>-5.1079457056472238E-2</v>
      </c>
      <c r="AM110" s="57">
        <v>8.0789950563714241E-2</v>
      </c>
      <c r="AN110" s="57">
        <v>-5.1079457056472238E-2</v>
      </c>
      <c r="AO110" s="57">
        <v>8.0789950563714241E-2</v>
      </c>
      <c r="AQ110" s="57" t="s">
        <v>67</v>
      </c>
      <c r="AR110" s="57">
        <v>3.3210709810304891E-2</v>
      </c>
      <c r="AS110" s="57">
        <v>8.4144169974422936E-2</v>
      </c>
      <c r="AT110" s="57">
        <v>0.39468818600741862</v>
      </c>
      <c r="AU110" s="57">
        <v>0.76068262316919966</v>
      </c>
      <c r="AV110" s="57">
        <v>-1.0359423412401974</v>
      </c>
      <c r="AW110" s="57">
        <v>1.1023637608608072</v>
      </c>
      <c r="AX110" s="57">
        <v>-1.0359423412401974</v>
      </c>
      <c r="AY110" s="57">
        <v>1.1023637608608072</v>
      </c>
    </row>
    <row r="112" spans="1:51" ht="15.75" thickBot="1" x14ac:dyDescent="0.3">
      <c r="L112" t="s">
        <v>70</v>
      </c>
      <c r="V112" t="s">
        <v>73</v>
      </c>
      <c r="AG112" t="s">
        <v>76</v>
      </c>
      <c r="AQ112" t="s">
        <v>78</v>
      </c>
    </row>
    <row r="113" spans="12:51" x14ac:dyDescent="0.25">
      <c r="L113" s="59" t="s">
        <v>37</v>
      </c>
      <c r="M113" s="59"/>
      <c r="V113" s="59" t="s">
        <v>37</v>
      </c>
      <c r="W113" s="59"/>
      <c r="X113" s="59"/>
      <c r="AG113" s="59" t="s">
        <v>37</v>
      </c>
      <c r="AH113" s="59"/>
      <c r="AQ113" s="59" t="s">
        <v>37</v>
      </c>
      <c r="AR113" s="59"/>
    </row>
    <row r="114" spans="12:51" x14ac:dyDescent="0.25">
      <c r="L114" t="s">
        <v>38</v>
      </c>
      <c r="M114">
        <v>0.3606107512237875</v>
      </c>
      <c r="V114" t="s">
        <v>38</v>
      </c>
      <c r="X114">
        <v>0.22732386197621898</v>
      </c>
      <c r="AG114" t="s">
        <v>38</v>
      </c>
      <c r="AH114">
        <v>0.1931684215129188</v>
      </c>
      <c r="AQ114" t="s">
        <v>38</v>
      </c>
      <c r="AR114">
        <v>0.33636457193983182</v>
      </c>
    </row>
    <row r="115" spans="12:51" x14ac:dyDescent="0.25">
      <c r="L115" t="s">
        <v>39</v>
      </c>
      <c r="M115">
        <v>0.13004011389818435</v>
      </c>
      <c r="V115" t="s">
        <v>39</v>
      </c>
      <c r="X115">
        <v>5.1676138223783058E-2</v>
      </c>
      <c r="AG115" t="s">
        <v>39</v>
      </c>
      <c r="AH115">
        <v>3.7314039069792665E-2</v>
      </c>
      <c r="AQ115" t="s">
        <v>39</v>
      </c>
      <c r="AR115">
        <v>0.11314112525626628</v>
      </c>
    </row>
    <row r="116" spans="12:51" x14ac:dyDescent="0.25">
      <c r="L116" t="s">
        <v>40</v>
      </c>
      <c r="M116">
        <v>-4.3951863322178798E-2</v>
      </c>
      <c r="V116" t="s">
        <v>40</v>
      </c>
      <c r="X116">
        <v>-0.13798863413146031</v>
      </c>
      <c r="AG116" t="s">
        <v>40</v>
      </c>
      <c r="AH116">
        <v>-0.15522315311624882</v>
      </c>
      <c r="AQ116" t="s">
        <v>40</v>
      </c>
      <c r="AR116">
        <v>-6.4230649692480463E-2</v>
      </c>
    </row>
    <row r="117" spans="12:51" x14ac:dyDescent="0.25">
      <c r="L117" t="s">
        <v>41</v>
      </c>
      <c r="M117">
        <v>5.1047612014651828E-2</v>
      </c>
      <c r="V117" t="s">
        <v>41</v>
      </c>
      <c r="X117">
        <v>3.2386367204997463E-2</v>
      </c>
      <c r="AG117" t="s">
        <v>41</v>
      </c>
      <c r="AH117">
        <v>3.6583708523595E-2</v>
      </c>
      <c r="AQ117" t="s">
        <v>41</v>
      </c>
      <c r="AR117">
        <v>3.0016212161647234E-2</v>
      </c>
    </row>
    <row r="118" spans="12:51" ht="15.75" thickBot="1" x14ac:dyDescent="0.3">
      <c r="L118" s="57" t="s">
        <v>42</v>
      </c>
      <c r="M118" s="57">
        <v>7</v>
      </c>
      <c r="V118" s="57" t="s">
        <v>42</v>
      </c>
      <c r="W118" s="57"/>
      <c r="X118" s="57">
        <v>7</v>
      </c>
      <c r="AG118" s="57" t="s">
        <v>42</v>
      </c>
      <c r="AH118" s="57">
        <v>7</v>
      </c>
      <c r="AQ118" s="57" t="s">
        <v>42</v>
      </c>
      <c r="AR118" s="57">
        <v>7</v>
      </c>
    </row>
    <row r="120" spans="12:51" ht="15.75" thickBot="1" x14ac:dyDescent="0.3">
      <c r="L120" t="s">
        <v>43</v>
      </c>
      <c r="V120" t="s">
        <v>43</v>
      </c>
      <c r="AG120" t="s">
        <v>43</v>
      </c>
      <c r="AQ120" t="s">
        <v>43</v>
      </c>
    </row>
    <row r="121" spans="12:51" x14ac:dyDescent="0.25">
      <c r="L121" s="58"/>
      <c r="M121" s="58" t="s">
        <v>48</v>
      </c>
      <c r="N121" s="58" t="s">
        <v>33</v>
      </c>
      <c r="O121" s="58" t="s">
        <v>49</v>
      </c>
      <c r="P121" s="58" t="s">
        <v>50</v>
      </c>
      <c r="Q121" s="58" t="s">
        <v>51</v>
      </c>
      <c r="V121" s="58"/>
      <c r="W121" s="58"/>
      <c r="X121" s="58" t="s">
        <v>48</v>
      </c>
      <c r="Y121" s="58" t="s">
        <v>33</v>
      </c>
      <c r="Z121" s="58" t="s">
        <v>49</v>
      </c>
      <c r="AA121" s="58" t="s">
        <v>50</v>
      </c>
      <c r="AB121" s="58" t="s">
        <v>51</v>
      </c>
      <c r="AG121" s="58"/>
      <c r="AH121" s="58" t="s">
        <v>48</v>
      </c>
      <c r="AI121" s="58" t="s">
        <v>33</v>
      </c>
      <c r="AJ121" s="58" t="s">
        <v>49</v>
      </c>
      <c r="AK121" s="58" t="s">
        <v>50</v>
      </c>
      <c r="AL121" s="58" t="s">
        <v>51</v>
      </c>
      <c r="AQ121" s="58"/>
      <c r="AR121" s="58" t="s">
        <v>48</v>
      </c>
      <c r="AS121" s="58" t="s">
        <v>33</v>
      </c>
      <c r="AT121" s="58" t="s">
        <v>49</v>
      </c>
      <c r="AU121" s="58" t="s">
        <v>50</v>
      </c>
      <c r="AV121" s="58" t="s">
        <v>51</v>
      </c>
    </row>
    <row r="122" spans="12:51" x14ac:dyDescent="0.25">
      <c r="L122" t="s">
        <v>44</v>
      </c>
      <c r="M122">
        <v>1</v>
      </c>
      <c r="N122">
        <v>1.947596472984996E-3</v>
      </c>
      <c r="O122">
        <v>1.947596472984996E-3</v>
      </c>
      <c r="P122">
        <v>0.74739143709762446</v>
      </c>
      <c r="Q122">
        <v>0.42682398854131004</v>
      </c>
      <c r="V122" t="s">
        <v>44</v>
      </c>
      <c r="X122">
        <v>1</v>
      </c>
      <c r="Y122">
        <v>2.857773788353165E-4</v>
      </c>
      <c r="Z122">
        <v>2.857773788353165E-4</v>
      </c>
      <c r="AA122">
        <v>0.27246039199621797</v>
      </c>
      <c r="AB122">
        <v>0.62397660046449377</v>
      </c>
      <c r="AG122" t="s">
        <v>44</v>
      </c>
      <c r="AH122">
        <v>1</v>
      </c>
      <c r="AI122">
        <v>2.5937796835669765E-4</v>
      </c>
      <c r="AJ122">
        <v>2.5937796835669765E-4</v>
      </c>
      <c r="AK122">
        <v>0.19380172031249687</v>
      </c>
      <c r="AL122">
        <v>0.67815095475821208</v>
      </c>
      <c r="AQ122" t="s">
        <v>44</v>
      </c>
      <c r="AR122">
        <v>1</v>
      </c>
      <c r="AS122">
        <v>5.7470867746656478E-4</v>
      </c>
      <c r="AT122">
        <v>5.7470867746656478E-4</v>
      </c>
      <c r="AU122">
        <v>0.63787558809150713</v>
      </c>
      <c r="AV122">
        <v>0.46071740095907732</v>
      </c>
    </row>
    <row r="123" spans="12:51" x14ac:dyDescent="0.25">
      <c r="L123" t="s">
        <v>45</v>
      </c>
      <c r="M123">
        <v>5</v>
      </c>
      <c r="N123">
        <v>1.3029293461992129E-2</v>
      </c>
      <c r="O123">
        <v>2.6058586923984259E-3</v>
      </c>
      <c r="V123" t="s">
        <v>45</v>
      </c>
      <c r="X123">
        <v>5</v>
      </c>
      <c r="Y123">
        <v>5.2443839036846757E-3</v>
      </c>
      <c r="Z123">
        <v>1.0488767807369352E-3</v>
      </c>
      <c r="AG123" t="s">
        <v>45</v>
      </c>
      <c r="AH123">
        <v>5</v>
      </c>
      <c r="AI123">
        <v>6.6918386466967867E-3</v>
      </c>
      <c r="AJ123">
        <v>1.3383677293393574E-3</v>
      </c>
      <c r="AQ123" t="s">
        <v>45</v>
      </c>
      <c r="AR123">
        <v>5</v>
      </c>
      <c r="AS123">
        <v>4.5048649626650969E-3</v>
      </c>
      <c r="AT123">
        <v>9.0097299253301942E-4</v>
      </c>
    </row>
    <row r="124" spans="12:51" ht="15.75" thickBot="1" x14ac:dyDescent="0.3">
      <c r="L124" s="57" t="s">
        <v>46</v>
      </c>
      <c r="M124" s="57">
        <v>6</v>
      </c>
      <c r="N124" s="57">
        <v>1.4976889934977125E-2</v>
      </c>
      <c r="O124" s="57"/>
      <c r="P124" s="57"/>
      <c r="Q124" s="57"/>
      <c r="V124" s="57" t="s">
        <v>46</v>
      </c>
      <c r="W124" s="57"/>
      <c r="X124" s="57">
        <v>6</v>
      </c>
      <c r="Y124" s="57">
        <v>5.5301612825199922E-3</v>
      </c>
      <c r="Z124" s="57"/>
      <c r="AA124" s="57"/>
      <c r="AB124" s="57"/>
      <c r="AG124" s="57" t="s">
        <v>46</v>
      </c>
      <c r="AH124" s="57">
        <v>6</v>
      </c>
      <c r="AI124" s="57">
        <v>6.9512166150534844E-3</v>
      </c>
      <c r="AJ124" s="57"/>
      <c r="AK124" s="57"/>
      <c r="AL124" s="57"/>
      <c r="AQ124" s="57" t="s">
        <v>46</v>
      </c>
      <c r="AR124" s="57">
        <v>6</v>
      </c>
      <c r="AS124" s="57">
        <v>5.0795736401316616E-3</v>
      </c>
      <c r="AT124" s="57"/>
      <c r="AU124" s="57"/>
      <c r="AV124" s="57"/>
    </row>
    <row r="125" spans="12:51" ht="15.75" thickBot="1" x14ac:dyDescent="0.3"/>
    <row r="126" spans="12:51" x14ac:dyDescent="0.25">
      <c r="L126" s="58"/>
      <c r="M126" s="58" t="s">
        <v>52</v>
      </c>
      <c r="N126" s="58" t="s">
        <v>41</v>
      </c>
      <c r="O126" s="58" t="s">
        <v>53</v>
      </c>
      <c r="P126" s="58" t="s">
        <v>54</v>
      </c>
      <c r="Q126" s="58" t="s">
        <v>55</v>
      </c>
      <c r="R126" s="58" t="s">
        <v>56</v>
      </c>
      <c r="S126" s="58" t="s">
        <v>57</v>
      </c>
      <c r="T126" s="58" t="s">
        <v>58</v>
      </c>
      <c r="V126" s="58"/>
      <c r="W126" s="58"/>
      <c r="X126" s="58" t="s">
        <v>52</v>
      </c>
      <c r="Y126" s="58" t="s">
        <v>41</v>
      </c>
      <c r="Z126" s="58" t="s">
        <v>53</v>
      </c>
      <c r="AA126" s="58" t="s">
        <v>54</v>
      </c>
      <c r="AB126" s="58" t="s">
        <v>55</v>
      </c>
      <c r="AC126" s="58" t="s">
        <v>56</v>
      </c>
      <c r="AD126" s="58" t="s">
        <v>57</v>
      </c>
      <c r="AE126" s="58" t="s">
        <v>58</v>
      </c>
      <c r="AG126" s="58"/>
      <c r="AH126" s="58" t="s">
        <v>52</v>
      </c>
      <c r="AI126" s="58" t="s">
        <v>41</v>
      </c>
      <c r="AJ126" s="58" t="s">
        <v>53</v>
      </c>
      <c r="AK126" s="58" t="s">
        <v>54</v>
      </c>
      <c r="AL126" s="58" t="s">
        <v>55</v>
      </c>
      <c r="AM126" s="58" t="s">
        <v>56</v>
      </c>
      <c r="AN126" s="58" t="s">
        <v>57</v>
      </c>
      <c r="AO126" s="58" t="s">
        <v>58</v>
      </c>
      <c r="AQ126" s="58"/>
      <c r="AR126" s="58" t="s">
        <v>52</v>
      </c>
      <c r="AS126" s="58" t="s">
        <v>41</v>
      </c>
      <c r="AT126" s="58" t="s">
        <v>53</v>
      </c>
      <c r="AU126" s="58" t="s">
        <v>54</v>
      </c>
      <c r="AV126" s="58" t="s">
        <v>55</v>
      </c>
      <c r="AW126" s="58" t="s">
        <v>56</v>
      </c>
      <c r="AX126" s="58" t="s">
        <v>57</v>
      </c>
      <c r="AY126" s="58" t="s">
        <v>58</v>
      </c>
    </row>
    <row r="127" spans="12:51" x14ac:dyDescent="0.25">
      <c r="L127" t="s">
        <v>47</v>
      </c>
      <c r="M127">
        <v>5.1314348645439316E-2</v>
      </c>
      <c r="N127">
        <v>2.9184555250735465E-2</v>
      </c>
      <c r="O127">
        <v>1.758270708756001</v>
      </c>
      <c r="P127">
        <v>0.13903275884487903</v>
      </c>
      <c r="Q127">
        <v>-2.3706938963225711E-2</v>
      </c>
      <c r="R127">
        <v>0.12633563625410435</v>
      </c>
      <c r="S127">
        <v>-2.3706938963225711E-2</v>
      </c>
      <c r="T127">
        <v>0.12633563625410435</v>
      </c>
      <c r="V127" t="s">
        <v>47</v>
      </c>
      <c r="X127">
        <v>1.3353129222556138E-2</v>
      </c>
      <c r="Y127">
        <v>1.8515689290099738E-2</v>
      </c>
      <c r="Z127">
        <v>0.72117915856883608</v>
      </c>
      <c r="AA127">
        <v>0.50310072459638144</v>
      </c>
      <c r="AB127">
        <v>-3.4242965340860104E-2</v>
      </c>
      <c r="AC127">
        <v>6.0949223785972381E-2</v>
      </c>
      <c r="AD127">
        <v>-3.4242965340860104E-2</v>
      </c>
      <c r="AE127">
        <v>6.0949223785972381E-2</v>
      </c>
      <c r="AG127" t="s">
        <v>47</v>
      </c>
      <c r="AH127">
        <v>0.10530570105480742</v>
      </c>
      <c r="AI127">
        <v>2.0915361572196794E-2</v>
      </c>
      <c r="AJ127">
        <v>5.0348496578128676</v>
      </c>
      <c r="AK127">
        <v>3.9843303382965708E-3</v>
      </c>
      <c r="AL127">
        <v>5.1541052511552547E-2</v>
      </c>
      <c r="AM127">
        <v>0.15907034959806229</v>
      </c>
      <c r="AN127">
        <v>5.1541052511552547E-2</v>
      </c>
      <c r="AO127">
        <v>0.15907034959806229</v>
      </c>
      <c r="AQ127" t="s">
        <v>47</v>
      </c>
      <c r="AR127">
        <v>6.1054860940162681E-3</v>
      </c>
      <c r="AS127">
        <v>1.716064214713818E-2</v>
      </c>
      <c r="AT127">
        <v>0.35578424406655773</v>
      </c>
      <c r="AU127">
        <v>0.73652056618626793</v>
      </c>
      <c r="AV127">
        <v>-3.8007348897272114E-2</v>
      </c>
      <c r="AW127">
        <v>5.0218321085304649E-2</v>
      </c>
      <c r="AX127">
        <v>-3.8007348897272114E-2</v>
      </c>
      <c r="AY127">
        <v>5.0218321085304649E-2</v>
      </c>
    </row>
    <row r="128" spans="12:51" ht="15.75" thickBot="1" x14ac:dyDescent="0.3">
      <c r="L128" s="57" t="s">
        <v>67</v>
      </c>
      <c r="M128" s="57">
        <v>9.8156776994206864E-3</v>
      </c>
      <c r="N128" s="57">
        <v>1.1353930483895772E-2</v>
      </c>
      <c r="O128" s="57">
        <v>0.86451803746227629</v>
      </c>
      <c r="P128" s="57">
        <v>0.42682398854130932</v>
      </c>
      <c r="Q128" s="57">
        <v>-1.9370529765559221E-2</v>
      </c>
      <c r="R128" s="57">
        <v>3.900188516440059E-2</v>
      </c>
      <c r="S128" s="57">
        <v>-1.9370529765559221E-2</v>
      </c>
      <c r="T128" s="57">
        <v>3.900188516440059E-2</v>
      </c>
      <c r="V128" s="57" t="s">
        <v>67</v>
      </c>
      <c r="W128" s="57"/>
      <c r="X128" s="57">
        <v>3.7599729829936967E-3</v>
      </c>
      <c r="Y128" s="57">
        <v>7.2033254320676377E-3</v>
      </c>
      <c r="Z128" s="57">
        <v>0.52197738647973824</v>
      </c>
      <c r="AA128" s="57">
        <v>0.62397660046449377</v>
      </c>
      <c r="AB128" s="57">
        <v>-1.4756764528856482E-2</v>
      </c>
      <c r="AC128" s="57">
        <v>2.2276710494843876E-2</v>
      </c>
      <c r="AD128" s="57">
        <v>-1.4756764528856482E-2</v>
      </c>
      <c r="AE128" s="57">
        <v>2.2276710494843876E-2</v>
      </c>
      <c r="AG128" s="57" t="s">
        <v>67</v>
      </c>
      <c r="AH128" s="57">
        <v>3.5820970016607109E-3</v>
      </c>
      <c r="AI128" s="57">
        <v>8.1368915611719998E-3</v>
      </c>
      <c r="AJ128" s="57">
        <v>0.44022916794835132</v>
      </c>
      <c r="AK128" s="57">
        <v>0.67815095475821141</v>
      </c>
      <c r="AL128" s="57">
        <v>-1.7334448644030449E-2</v>
      </c>
      <c r="AM128" s="57">
        <v>2.4498642647351875E-2</v>
      </c>
      <c r="AN128" s="57">
        <v>-1.7334448644030449E-2</v>
      </c>
      <c r="AO128" s="57">
        <v>2.4498642647351875E-2</v>
      </c>
      <c r="AQ128" s="57" t="s">
        <v>67</v>
      </c>
      <c r="AR128" s="57">
        <v>5.332055697997151E-3</v>
      </c>
      <c r="AS128" s="57">
        <v>6.6761592329802151E-3</v>
      </c>
      <c r="AT128" s="57">
        <v>0.79867113888728192</v>
      </c>
      <c r="AU128" s="57">
        <v>0.46071740095907665</v>
      </c>
      <c r="AV128" s="57">
        <v>-1.1829557958117461E-2</v>
      </c>
      <c r="AW128" s="57">
        <v>2.2493669354111765E-2</v>
      </c>
      <c r="AX128" s="57">
        <v>-1.1829557958117461E-2</v>
      </c>
      <c r="AY128" s="57">
        <v>2.2493669354111765E-2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3731-F602-4487-9B88-A7F91293C15D}">
  <dimension ref="A1:C17"/>
  <sheetViews>
    <sheetView workbookViewId="0">
      <selection activeCell="R12" sqref="R12"/>
    </sheetView>
  </sheetViews>
  <sheetFormatPr defaultRowHeight="15" x14ac:dyDescent="0.25"/>
  <cols>
    <col min="1" max="1" width="15.28515625" customWidth="1"/>
    <col min="2" max="2" width="12.7109375" customWidth="1"/>
    <col min="3" max="3" width="15.140625" customWidth="1"/>
  </cols>
  <sheetData>
    <row r="1" spans="1:3" x14ac:dyDescent="0.25">
      <c r="A1" s="11" t="s">
        <v>6</v>
      </c>
      <c r="B1" s="11" t="s">
        <v>33</v>
      </c>
      <c r="C1" s="11" t="s">
        <v>35</v>
      </c>
    </row>
    <row r="2" spans="1:3" x14ac:dyDescent="0.25">
      <c r="A2" s="15" t="s">
        <v>13</v>
      </c>
      <c r="B2" s="16">
        <v>0.78479742735639801</v>
      </c>
      <c r="C2" s="23">
        <v>0.57681691180727601</v>
      </c>
    </row>
    <row r="3" spans="1:3" x14ac:dyDescent="0.25">
      <c r="A3" s="15" t="s">
        <v>14</v>
      </c>
      <c r="B3" s="16">
        <v>0.17369777575697301</v>
      </c>
      <c r="C3" s="23">
        <v>0.13233171245622599</v>
      </c>
    </row>
    <row r="4" spans="1:3" x14ac:dyDescent="0.25">
      <c r="A4" s="15" t="s">
        <v>15</v>
      </c>
      <c r="B4" s="16">
        <v>9.9143945152060597E-2</v>
      </c>
      <c r="C4" s="23">
        <v>8.9326261366187695E-2</v>
      </c>
    </row>
    <row r="5" spans="1:3" x14ac:dyDescent="0.25">
      <c r="A5" s="15" t="s">
        <v>16</v>
      </c>
      <c r="B5" s="16">
        <v>0.21234239309632399</v>
      </c>
      <c r="C5" s="23">
        <v>0.14884070399999999</v>
      </c>
    </row>
    <row r="6" spans="1:3" x14ac:dyDescent="0.25">
      <c r="A6" s="15" t="s">
        <v>17</v>
      </c>
      <c r="B6" s="16">
        <v>0.36516163611226798</v>
      </c>
      <c r="C6" s="23">
        <v>0.164262280281398</v>
      </c>
    </row>
    <row r="7" spans="1:3" x14ac:dyDescent="0.25">
      <c r="A7" s="15" t="s">
        <v>18</v>
      </c>
      <c r="B7" s="55">
        <v>4.1333778886518201E-2</v>
      </c>
      <c r="C7" s="22">
        <v>-4.45444212598241E-2</v>
      </c>
    </row>
    <row r="8" spans="1:3" x14ac:dyDescent="0.25">
      <c r="A8" s="15" t="s">
        <v>19</v>
      </c>
      <c r="B8" s="55">
        <v>9.4513218106104094E-2</v>
      </c>
      <c r="C8" s="16">
        <v>5.1856335362832198E-2</v>
      </c>
    </row>
    <row r="9" spans="1:3" x14ac:dyDescent="0.25">
      <c r="A9" s="15" t="s">
        <v>20</v>
      </c>
      <c r="B9" s="55">
        <v>4.2663094228711902E-2</v>
      </c>
      <c r="C9" s="16">
        <v>0.103368750113241</v>
      </c>
    </row>
    <row r="10" spans="1:3" x14ac:dyDescent="0.25">
      <c r="A10" s="15" t="s">
        <v>23</v>
      </c>
      <c r="B10" s="55">
        <v>8.8732929175135894E-2</v>
      </c>
      <c r="C10" s="16">
        <v>0.15621819275209001</v>
      </c>
    </row>
    <row r="11" spans="1:3" x14ac:dyDescent="0.25">
      <c r="A11" s="15" t="s">
        <v>24</v>
      </c>
      <c r="B11" s="60">
        <v>-1.9463558010346702E-2</v>
      </c>
      <c r="C11" s="16">
        <v>0.15071577677020101</v>
      </c>
    </row>
    <row r="12" spans="1:3" x14ac:dyDescent="0.25">
      <c r="A12" s="15" t="s">
        <v>25</v>
      </c>
      <c r="B12" s="16">
        <v>0.10415722716452799</v>
      </c>
      <c r="C12" s="16">
        <v>5.5397551503622099E-2</v>
      </c>
    </row>
    <row r="13" spans="1:3" x14ac:dyDescent="0.25">
      <c r="A13" s="15" t="s">
        <v>26</v>
      </c>
      <c r="B13" s="16">
        <v>4.66251429291673E-2</v>
      </c>
      <c r="C13" s="16">
        <v>6.9883057908481996E-2</v>
      </c>
    </row>
    <row r="14" spans="1:3" x14ac:dyDescent="0.25">
      <c r="A14" s="15" t="s">
        <v>27</v>
      </c>
      <c r="B14" s="16">
        <v>9.0894558490112708E-3</v>
      </c>
      <c r="C14" s="16">
        <v>7.8645648239850305E-2</v>
      </c>
    </row>
    <row r="15" spans="1:3" x14ac:dyDescent="0.25">
      <c r="A15" s="15" t="s">
        <v>28</v>
      </c>
      <c r="B15" s="24">
        <v>-1.7278096303121701E-2</v>
      </c>
      <c r="C15" s="16">
        <v>0.12</v>
      </c>
    </row>
    <row r="16" spans="1:3" x14ac:dyDescent="0.25">
      <c r="A16" s="15" t="s">
        <v>29</v>
      </c>
      <c r="B16" s="16">
        <v>2.0373962034653699E-2</v>
      </c>
      <c r="C16" s="16">
        <v>0.101236914763633</v>
      </c>
    </row>
    <row r="17" spans="1:3" x14ac:dyDescent="0.25">
      <c r="A17" s="15" t="s">
        <v>30</v>
      </c>
      <c r="B17" s="24">
        <v>-2.50118292734785E-2</v>
      </c>
      <c r="C17" s="16">
        <v>0.107400232693555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 st7</vt:lpstr>
      <vt:lpstr>no st7</vt:lpstr>
      <vt:lpstr>turb vs SS 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2026-07-23T23:30:33Z</dcterms:modified>
</cp:coreProperties>
</file>