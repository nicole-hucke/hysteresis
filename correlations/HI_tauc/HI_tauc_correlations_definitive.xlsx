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correlations\HI_tauc\"/>
    </mc:Choice>
  </mc:AlternateContent>
  <xr:revisionPtr revIDLastSave="0" documentId="13_ncr:1_{79163D1C-EF00-40B4-84B3-6325ED16D4AB}" xr6:coauthVersionLast="47" xr6:coauthVersionMax="47" xr10:uidLastSave="{00000000-0000-0000-0000-000000000000}"/>
  <bookViews>
    <workbookView xWindow="-120" yWindow="-120" windowWidth="29040" windowHeight="15720" xr2:uid="{867610DC-2157-4A8B-BAD4-C3624B9432BC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0" i="1" l="1"/>
  <c r="G13" i="1" l="1"/>
  <c r="G69" i="1"/>
  <c r="G32" i="1"/>
</calcChain>
</file>

<file path=xl/sharedStrings.xml><?xml version="1.0" encoding="utf-8"?>
<sst xmlns="http://schemas.openxmlformats.org/spreadsheetml/2006/main" count="392" uniqueCount="65">
  <si>
    <t>Storm</t>
  </si>
  <si>
    <t xml:space="preserve">Aich (2014) </t>
  </si>
  <si>
    <t>SSC (mg/L)</t>
  </si>
  <si>
    <t>POC (mg/L)</t>
  </si>
  <si>
    <t>DOC (mg/L)</t>
  </si>
  <si>
    <t>fDOM RFU</t>
  </si>
  <si>
    <t>Turnidity FNU</t>
  </si>
  <si>
    <t>Clockwise</t>
  </si>
  <si>
    <t>Counter-Clockwise</t>
  </si>
  <si>
    <t>tau_c50</t>
  </si>
  <si>
    <r>
      <t xml:space="preserve">Time between events (no </t>
    </r>
    <r>
      <rPr>
        <b/>
        <sz val="10"/>
        <color theme="1"/>
        <rFont val="Aptos"/>
        <family val="2"/>
        <charset val="1"/>
      </rPr>
      <t>τ</t>
    </r>
    <r>
      <rPr>
        <b/>
        <sz val="10"/>
        <color theme="1"/>
        <rFont val="Aptos Narrow"/>
        <family val="2"/>
      </rPr>
      <t>c exceedance)</t>
    </r>
    <r>
      <rPr>
        <b/>
        <sz val="10"/>
        <color theme="1"/>
        <rFont val="Aptos Narrow"/>
        <family val="2"/>
        <scheme val="minor"/>
      </rPr>
      <t xml:space="preserve"> (hrs)</t>
    </r>
  </si>
  <si>
    <t>Time between events τc exceedance (hrs)</t>
  </si>
  <si>
    <t xml:space="preserve">Peak Tau (Pa) </t>
  </si>
  <si>
    <t>τpeak / τc50</t>
  </si>
  <si>
    <t>st1</t>
  </si>
  <si>
    <t>st2</t>
  </si>
  <si>
    <t>st3</t>
  </si>
  <si>
    <t>st4</t>
  </si>
  <si>
    <t>st5</t>
  </si>
  <si>
    <t>st6</t>
  </si>
  <si>
    <t>event 1</t>
  </si>
  <si>
    <t>event2</t>
  </si>
  <si>
    <t>Event</t>
  </si>
  <si>
    <t>tau_c50 exceedance</t>
  </si>
  <si>
    <t>event3 (6)</t>
  </si>
  <si>
    <t>event4 (7)</t>
  </si>
  <si>
    <t>event5 (8)</t>
  </si>
  <si>
    <t>event6 (9)</t>
  </si>
  <si>
    <t>event7 (10)</t>
  </si>
  <si>
    <t>event8 (12)</t>
  </si>
  <si>
    <t>event9 (13)</t>
  </si>
  <si>
    <t>event10 (14)</t>
  </si>
  <si>
    <t>Time τ &gt; τc (hrs)</t>
  </si>
  <si>
    <t>∆time τ&gt;τc (hrs)</t>
  </si>
  <si>
    <t>SS</t>
  </si>
  <si>
    <t>DOC</t>
  </si>
  <si>
    <t>Turbidity</t>
  </si>
  <si>
    <t>fDOM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</si>
  <si>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</si>
  <si>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</si>
  <si>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</si>
  <si>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</si>
  <si>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</si>
  <si>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</si>
  <si>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</si>
  <si>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</si>
  <si>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</si>
  <si>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</si>
  <si>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</si>
  <si>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</si>
  <si>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</si>
  <si>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</si>
  <si>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</si>
  <si>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</si>
  <si>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</si>
  <si>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</si>
  <si>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</si>
  <si>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</si>
  <si>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</si>
  <si>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</si>
  <si>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</si>
  <si>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SSC</t>
  </si>
  <si>
    <t xml:space="preserve">DOC </t>
  </si>
  <si>
    <t xml:space="preserve">Excess Balance </t>
  </si>
  <si>
    <t>fDOM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</si>
</sst>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0"/>
    <numFmt numFmtId="166" formatCode="0.0000"/>
    <numFmt numFmtId="167" formatCode="0.000"/>
    <numFmt numFmtId="168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  <charset val="1"/>
    </font>
    <font>
      <b/>
      <sz val="10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7" fontId="0" fillId="2" borderId="3" xfId="0" applyNumberForma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7" fontId="0" fillId="0" borderId="3" xfId="0" applyNumberFormat="1" applyBorder="1"/>
    <xf numFmtId="0" fontId="0" fillId="0" borderId="4" xfId="0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5" xfId="0" applyFill="1" applyBorder="1" applyAlignment="1"/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Continuous"/>
    </xf>
    <xf numFmtId="0" fontId="0" fillId="4" borderId="0" xfId="0" applyFill="1" applyBorder="1" applyAlignment="1">
      <alignment horizontal="center"/>
    </xf>
    <xf numFmtId="0" fontId="0" fillId="4" borderId="0" xfId="0" applyFill="1"/>
    <xf numFmtId="0" fontId="5" fillId="4" borderId="6" xfId="0" applyFont="1" applyFill="1" applyBorder="1" applyAlignment="1">
      <alignment horizontal="centerContinuous"/>
    </xf>
    <xf numFmtId="0" fontId="0" fillId="4" borderId="0" xfId="0" applyFill="1" applyBorder="1" applyAlignment="1"/>
    <xf numFmtId="0" fontId="0" fillId="4" borderId="5" xfId="0" applyFill="1" applyBorder="1" applyAlignment="1"/>
    <xf numFmtId="0" fontId="5" fillId="4" borderId="6" xfId="0" applyFont="1" applyFill="1" applyBorder="1" applyAlignment="1">
      <alignment horizontal="center"/>
    </xf>
    <xf numFmtId="0" fontId="0" fillId="5" borderId="0" xfId="0" applyFill="1" applyBorder="1" applyAlignment="1"/>
    <xf numFmtId="0" fontId="0" fillId="6" borderId="0" xfId="0" applyFill="1"/>
    <xf numFmtId="0" fontId="5" fillId="6" borderId="6" xfId="0" applyFont="1" applyFill="1" applyBorder="1" applyAlignment="1">
      <alignment horizontal="centerContinuous"/>
    </xf>
    <xf numFmtId="0" fontId="0" fillId="6" borderId="0" xfId="0" applyFill="1" applyBorder="1" applyAlignment="1"/>
    <xf numFmtId="0" fontId="0" fillId="6" borderId="5" xfId="0" applyFill="1" applyBorder="1" applyAlignment="1"/>
    <xf numFmtId="0" fontId="5" fillId="6" borderId="6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Continuous"/>
    </xf>
    <xf numFmtId="0" fontId="0" fillId="7" borderId="0" xfId="0" applyFill="1"/>
    <xf numFmtId="0" fontId="0" fillId="7" borderId="0" xfId="0" applyFill="1" applyBorder="1" applyAlignment="1"/>
    <xf numFmtId="0" fontId="0" fillId="7" borderId="5" xfId="0" applyFill="1" applyBorder="1" applyAlignment="1"/>
    <xf numFmtId="0" fontId="5" fillId="7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2" fontId="0" fillId="2" borderId="0" xfId="0" applyNumberFormat="1" applyFill="1" applyAlignment="1">
      <alignment horizontal="center"/>
    </xf>
    <xf numFmtId="167" fontId="0" fillId="2" borderId="3" xfId="0" applyNumberFormat="1" applyFont="1" applyFill="1" applyBorder="1" applyAlignment="1">
      <alignment horizontal="center"/>
    </xf>
    <xf numFmtId="167" fontId="0" fillId="3" borderId="3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3770980629177085E-2"/>
                  <c:y val="-0.38524548743578119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all!$C$5:$C$20</c:f>
              <c:numCache>
                <c:formatCode>0.000</c:formatCode>
                <c:ptCount val="16"/>
                <c:pt idx="1">
                  <c:v>60.588347259999999</c:v>
                </c:pt>
                <c:pt idx="2">
                  <c:v>73.387016439999996</c:v>
                </c:pt>
                <c:pt idx="3" formatCode="0.00">
                  <c:v>79.767295559999994</c:v>
                </c:pt>
                <c:pt idx="8">
                  <c:v>113.72040256</c:v>
                </c:pt>
                <c:pt idx="10">
                  <c:v>112.66319882000001</c:v>
                </c:pt>
                <c:pt idx="11">
                  <c:v>114.89097618</c:v>
                </c:pt>
                <c:pt idx="12">
                  <c:v>116.55531655999999</c:v>
                </c:pt>
                <c:pt idx="13">
                  <c:v>118.40602251999999</c:v>
                </c:pt>
                <c:pt idx="14">
                  <c:v>115.75512236</c:v>
                </c:pt>
                <c:pt idx="15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8-4D6B-89DE-404887265DDB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6575153326146361E-2"/>
                  <c:y val="-8.111884345002187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all!$B$5:$B$10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all!$C$5:$C$10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 formatCode="0.00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E-4ED2-9D4B-2F95E529620B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430288689409487"/>
                  <c:y val="-8.129325207357812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all!$C$11:$C$20</c:f>
              <c:numCache>
                <c:formatCode>0.000</c:formatCode>
                <c:ptCount val="10"/>
                <c:pt idx="2">
                  <c:v>113.72040256</c:v>
                </c:pt>
                <c:pt idx="4">
                  <c:v>112.66319882000001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118.40602251999999</c:v>
                </c:pt>
                <c:pt idx="8">
                  <c:v>115.75512236</c:v>
                </c:pt>
                <c:pt idx="9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CE-4ED2-9D4B-2F95E5296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9298461587901339E-2"/>
                  <c:y val="0.309525961615797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all!$B$25:$B$39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all!$C$25:$C$39</c:f>
              <c:numCache>
                <c:formatCode>0.000</c:formatCode>
                <c:ptCount val="15"/>
                <c:pt idx="0">
                  <c:v>60.588347259999999</c:v>
                </c:pt>
                <c:pt idx="1">
                  <c:v>73.387016439999996</c:v>
                </c:pt>
                <c:pt idx="2" formatCode="0.00">
                  <c:v>79.767295559999994</c:v>
                </c:pt>
                <c:pt idx="7">
                  <c:v>113.72040256</c:v>
                </c:pt>
                <c:pt idx="9">
                  <c:v>112.66319882000001</c:v>
                </c:pt>
                <c:pt idx="10">
                  <c:v>114.89097618</c:v>
                </c:pt>
                <c:pt idx="11">
                  <c:v>116.55531655999999</c:v>
                </c:pt>
                <c:pt idx="12">
                  <c:v>118.40602251999999</c:v>
                </c:pt>
                <c:pt idx="13">
                  <c:v>115.75512236</c:v>
                </c:pt>
                <c:pt idx="14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63-422C-AC08-70B09C432EC2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932847982002424"/>
                  <c:y val="0.1235763664296562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all!$B$24:$B$29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all!$C$24:$C$29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 formatCode="0.00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E8-4DC9-A850-01B3DB8028F3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274976205126232"/>
                  <c:y val="0.2194907817364371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all!$B$30:$B$39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all!$C$30:$C$39</c:f>
              <c:numCache>
                <c:formatCode>0.000</c:formatCode>
                <c:ptCount val="10"/>
                <c:pt idx="2">
                  <c:v>113.72040256</c:v>
                </c:pt>
                <c:pt idx="4">
                  <c:v>112.66319882000001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118.40602251999999</c:v>
                </c:pt>
                <c:pt idx="8">
                  <c:v>115.75512236</c:v>
                </c:pt>
                <c:pt idx="9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E8-4DC9-A850-01B3DB802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</a:t>
            </a:r>
            <a:r>
              <a:rPr lang="en-US" baseline="0"/>
              <a:t> </a:t>
            </a:r>
            <a:r>
              <a:rPr lang="en-US"/>
              <a:t>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04904481582123"/>
          <c:y val="0.23369933958437825"/>
          <c:w val="0.76709326430536029"/>
          <c:h val="0.50352136698311734"/>
        </c:manualLayout>
      </c:layout>
      <c:scatterChart>
        <c:scatterStyle val="lineMarker"/>
        <c:varyColors val="0"/>
        <c:ser>
          <c:idx val="2"/>
          <c:order val="0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78190620713608"/>
                  <c:y val="-1.716666666666666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all!$B$80:$B$85</c:f>
              <c:numCache>
                <c:formatCode>0.00</c:formatCode>
                <c:ptCount val="6"/>
                <c:pt idx="0">
                  <c:v>0.735611704001494</c:v>
                </c:pt>
                <c:pt idx="1">
                  <c:v>0.199680501000808</c:v>
                </c:pt>
                <c:pt idx="2">
                  <c:v>0.12535086320927399</c:v>
                </c:pt>
                <c:pt idx="3">
                  <c:v>0.42964915677977999</c:v>
                </c:pt>
                <c:pt idx="4">
                  <c:v>4.3375577562074601E-2</c:v>
                </c:pt>
                <c:pt idx="5">
                  <c:v>4.5262412029273197E-2</c:v>
                </c:pt>
              </c:numCache>
            </c:numRef>
          </c:xVal>
          <c:yVal>
            <c:numRef>
              <c:f>all!$C$80:$C$85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6C-4AF0-AC4C-498C384EB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244999228037671"/>
          <c:y val="3.8888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281727584894915"/>
                  <c:y val="-0.1055005036323671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all!$B$43:$B$57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2.1496979213356301E-3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all!$C$43:$C$57</c:f>
              <c:numCache>
                <c:formatCode>0.000</c:formatCode>
                <c:ptCount val="15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7">
                  <c:v>113.72040256</c:v>
                </c:pt>
                <c:pt idx="9">
                  <c:v>112.66319882000001</c:v>
                </c:pt>
                <c:pt idx="10">
                  <c:v>114.89097618</c:v>
                </c:pt>
                <c:pt idx="11">
                  <c:v>116.55531655999999</c:v>
                </c:pt>
                <c:pt idx="12">
                  <c:v>118.40602251999999</c:v>
                </c:pt>
                <c:pt idx="13">
                  <c:v>115.75512236</c:v>
                </c:pt>
                <c:pt idx="14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87-40ED-8FBC-2287F011599A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821297495183758E-2"/>
                  <c:y val="-5.385080154956625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all!$B$42:$B$47</c:f>
              <c:numCache>
                <c:formatCode>0.00</c:formatCode>
                <c:ptCount val="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</c:numCache>
            </c:numRef>
          </c:xVal>
          <c:yVal>
            <c:numRef>
              <c:f>all!$C$42:$C$47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18-4962-BB09-E7EDEC87F4F1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878232793136263"/>
                  <c:y val="-7.597875928685078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all!$B$48:$B$57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2.1496979213356301E-3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all!$C$48:$C$57</c:f>
              <c:numCache>
                <c:formatCode>0.000</c:formatCode>
                <c:ptCount val="10"/>
                <c:pt idx="2">
                  <c:v>113.72040256</c:v>
                </c:pt>
                <c:pt idx="4">
                  <c:v>112.66319882000001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118.40602251999999</c:v>
                </c:pt>
                <c:pt idx="8">
                  <c:v>115.75512236</c:v>
                </c:pt>
                <c:pt idx="9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18-4962-BB09-E7EDEC87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3223151112090599"/>
          <c:y val="4.4138301609936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38337802210887"/>
                  <c:y val="-3.513264433401588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all!$B$61:$B$76</c:f>
              <c:numCache>
                <c:formatCode>0.00</c:formatCode>
                <c:ptCount val="16"/>
                <c:pt idx="0">
                  <c:v>-0.62489073949006502</c:v>
                </c:pt>
                <c:pt idx="1">
                  <c:v>-0.54117535564386998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  <c:pt idx="6" formatCode="0.000">
                  <c:v>1.3430417175947699E-2</c:v>
                </c:pt>
                <c:pt idx="7" formatCode="0.000">
                  <c:v>-1.61778645652975E-2</c:v>
                </c:pt>
                <c:pt idx="8" formatCode="0.000">
                  <c:v>2.95836818188689E-2</c:v>
                </c:pt>
                <c:pt idx="9" formatCode="0.000">
                  <c:v>-5.4892758010415703E-2</c:v>
                </c:pt>
                <c:pt idx="10" formatCode="0.000">
                  <c:v>8.8641812543785899E-3</c:v>
                </c:pt>
                <c:pt idx="11" formatCode="0.000">
                  <c:v>1.32778322661357E-2</c:v>
                </c:pt>
                <c:pt idx="12" formatCode="0.000">
                  <c:v>-6.0975544853349099E-2</c:v>
                </c:pt>
                <c:pt idx="13" formatCode="0.000">
                  <c:v>-1.77749404385871E-2</c:v>
                </c:pt>
                <c:pt idx="14" formatCode="0.000">
                  <c:v>3.08855730575289E-3</c:v>
                </c:pt>
                <c:pt idx="15" formatCode="0.000">
                  <c:v>-5.3081166180475401E-3</c:v>
                </c:pt>
              </c:numCache>
            </c:numRef>
          </c:xVal>
          <c:yVal>
            <c:numRef>
              <c:f>all!$C$61:$C$76</c:f>
              <c:numCache>
                <c:formatCode>0.000</c:formatCode>
                <c:ptCount val="1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8">
                  <c:v>113.72040256</c:v>
                </c:pt>
                <c:pt idx="10">
                  <c:v>112.66319882000001</c:v>
                </c:pt>
                <c:pt idx="11">
                  <c:v>114.89097618</c:v>
                </c:pt>
                <c:pt idx="12">
                  <c:v>116.55531655999999</c:v>
                </c:pt>
                <c:pt idx="13">
                  <c:v>118.40602251999999</c:v>
                </c:pt>
                <c:pt idx="14">
                  <c:v>115.75512236</c:v>
                </c:pt>
                <c:pt idx="15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20-404E-BB99-5A6384BD13A2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960705841839546"/>
                  <c:y val="-3.250545255146425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all!$B$61:$B$66</c:f>
              <c:numCache>
                <c:formatCode>0.00</c:formatCode>
                <c:ptCount val="6"/>
                <c:pt idx="0">
                  <c:v>-0.62489073949006502</c:v>
                </c:pt>
                <c:pt idx="1">
                  <c:v>-0.54117535564386998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</c:numCache>
            </c:numRef>
          </c:xVal>
          <c:yVal>
            <c:numRef>
              <c:f>all!$C$61:$C$66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F-4C70-9FBA-3B5C755EA716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29054370888608"/>
                  <c:y val="4.72213632821679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all!$B$67:$B$76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all!$C$67:$C$76</c:f>
              <c:numCache>
                <c:formatCode>0.000</c:formatCode>
                <c:ptCount val="10"/>
                <c:pt idx="2">
                  <c:v>113.72040256</c:v>
                </c:pt>
                <c:pt idx="4">
                  <c:v>112.66319882000001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118.40602251999999</c:v>
                </c:pt>
                <c:pt idx="8">
                  <c:v>115.75512236</c:v>
                </c:pt>
                <c:pt idx="9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2F-4C70-9FBA-3B5C755EA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9177649254895859"/>
                  <c:y val="-0.2936475158943283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all!$G$5:$G$20</c:f>
              <c:numCache>
                <c:formatCode>0.00</c:formatCode>
                <c:ptCount val="16"/>
                <c:pt idx="1">
                  <c:v>1.1737788669959499</c:v>
                </c:pt>
                <c:pt idx="2">
                  <c:v>1.01827696825768</c:v>
                </c:pt>
                <c:pt idx="3">
                  <c:v>1</c:v>
                </c:pt>
                <c:pt idx="8">
                  <c:v>1.0119508062412015</c:v>
                </c:pt>
                <c:pt idx="10" formatCode="0.000">
                  <c:v>1.0311456359907301</c:v>
                </c:pt>
                <c:pt idx="11" formatCode="0.000">
                  <c:v>1.0328896319418399</c:v>
                </c:pt>
                <c:pt idx="12" formatCode="0.000">
                  <c:v>1.0327006459464001</c:v>
                </c:pt>
                <c:pt idx="13" formatCode="0.000">
                  <c:v>1.06939420314209</c:v>
                </c:pt>
                <c:pt idx="14" formatCode="0.000">
                  <c:v>1.12591121276406</c:v>
                </c:pt>
                <c:pt idx="15" formatCode="0.000">
                  <c:v>1.06457347177821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A3-4932-9C0C-F1CE9CFCC9EE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69641358748951"/>
                  <c:y val="3.92265815490300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all!$B$5:$B$10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all!$G$5:$G$10</c:f>
              <c:numCache>
                <c:formatCode>0.00</c:formatCode>
                <c:ptCount val="6"/>
                <c:pt idx="1">
                  <c:v>1.1737788669959499</c:v>
                </c:pt>
                <c:pt idx="2">
                  <c:v>1.01827696825768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C-484F-8D1E-7898ABA5348D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17820081767249"/>
                  <c:y val="0.1339257125988453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all!$G$11:$G$20</c:f>
              <c:numCache>
                <c:formatCode>0.00</c:formatCode>
                <c:ptCount val="10"/>
                <c:pt idx="2">
                  <c:v>1.0119508062412015</c:v>
                </c:pt>
                <c:pt idx="4" formatCode="0.000">
                  <c:v>1.0311456359907301</c:v>
                </c:pt>
                <c:pt idx="5" formatCode="0.000">
                  <c:v>1.0328896319418399</c:v>
                </c:pt>
                <c:pt idx="6" formatCode="0.000">
                  <c:v>1.0327006459464001</c:v>
                </c:pt>
                <c:pt idx="7" formatCode="0.000">
                  <c:v>1.06939420314209</c:v>
                </c:pt>
                <c:pt idx="8" formatCode="0.000">
                  <c:v>1.12591121276406</c:v>
                </c:pt>
                <c:pt idx="9" formatCode="0.000">
                  <c:v>1.06457347177821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C-484F-8D1E-7898ABA5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7626986338890439"/>
                  <c:y val="-0.1168568115353898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all!$B$25:$B$39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all!$G$25:$G$39</c:f>
              <c:numCache>
                <c:formatCode>0.00</c:formatCode>
                <c:ptCount val="15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  <c:pt idx="7">
                  <c:v>1.0119508062412015</c:v>
                </c:pt>
                <c:pt idx="9" formatCode="0.000">
                  <c:v>1.0311456359907301</c:v>
                </c:pt>
                <c:pt idx="10" formatCode="0.000">
                  <c:v>1.0328896319418399</c:v>
                </c:pt>
                <c:pt idx="11" formatCode="0.000">
                  <c:v>1.0327006459464001</c:v>
                </c:pt>
                <c:pt idx="12" formatCode="0.000">
                  <c:v>1.06939420314209</c:v>
                </c:pt>
                <c:pt idx="13" formatCode="0.000">
                  <c:v>1.12591121276406</c:v>
                </c:pt>
                <c:pt idx="14" formatCode="0.000">
                  <c:v>1.06457347177821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67-40B8-85F7-18F462AF33D3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244638677422335"/>
                  <c:y val="0.3932315937329780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all!$B$24:$B$29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all!$G$24:$G$29</c:f>
              <c:numCache>
                <c:formatCode>0.00</c:formatCode>
                <c:ptCount val="6"/>
                <c:pt idx="1">
                  <c:v>1.1737788669959499</c:v>
                </c:pt>
                <c:pt idx="2">
                  <c:v>1.01827696825768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3-454F-8D58-7431093C518B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9148961722252447E-2"/>
                  <c:y val="0.22006237713487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all!$B$30:$B$39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all!$G$30:$G$39</c:f>
              <c:numCache>
                <c:formatCode>0.00</c:formatCode>
                <c:ptCount val="10"/>
                <c:pt idx="2">
                  <c:v>1.0119508062412015</c:v>
                </c:pt>
                <c:pt idx="4" formatCode="0.000">
                  <c:v>1.0311456359907301</c:v>
                </c:pt>
                <c:pt idx="5" formatCode="0.000">
                  <c:v>1.0328896319418399</c:v>
                </c:pt>
                <c:pt idx="6" formatCode="0.000">
                  <c:v>1.0327006459464001</c:v>
                </c:pt>
                <c:pt idx="7" formatCode="0.000">
                  <c:v>1.06939420314209</c:v>
                </c:pt>
                <c:pt idx="8" formatCode="0.000">
                  <c:v>1.12591121276406</c:v>
                </c:pt>
                <c:pt idx="9" formatCode="0.000">
                  <c:v>1.06457347177821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F3-454F-8D58-7431093C5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all!$B$4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9730605259448782E-2"/>
                  <c:y val="1.0530182121921751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all!$B$82:$B$90</c:f>
              <c:numCache>
                <c:formatCode>0.00</c:formatCode>
                <c:ptCount val="9"/>
                <c:pt idx="0">
                  <c:v>0.12535086320927399</c:v>
                </c:pt>
                <c:pt idx="1">
                  <c:v>0.42964915677977999</c:v>
                </c:pt>
                <c:pt idx="2">
                  <c:v>4.3375577562074601E-2</c:v>
                </c:pt>
                <c:pt idx="3">
                  <c:v>4.5262412029273197E-2</c:v>
                </c:pt>
              </c:numCache>
            </c:numRef>
          </c:xVal>
          <c:yVal>
            <c:numRef>
              <c:f>all!$E$26:$E$34</c:f>
              <c:numCache>
                <c:formatCode>0.0</c:formatCode>
                <c:ptCount val="9"/>
                <c:pt idx="0">
                  <c:v>118.5</c:v>
                </c:pt>
                <c:pt idx="1">
                  <c:v>2060.9499999999998</c:v>
                </c:pt>
                <c:pt idx="6">
                  <c:v>21</c:v>
                </c:pt>
                <c:pt idx="8">
                  <c:v>96.5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35-4913-85D3-14942E6E6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all!$B$4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738276973184808"/>
                  <c:y val="-0.2091418216712097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all!$B$43:$B$57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2.1496979213356301E-3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all!$G$43:$G$57</c:f>
              <c:numCache>
                <c:formatCode>0.00</c:formatCode>
                <c:ptCount val="15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  <c:pt idx="7">
                  <c:v>1.0119508062412015</c:v>
                </c:pt>
                <c:pt idx="9" formatCode="0.000">
                  <c:v>1.0311456359907301</c:v>
                </c:pt>
                <c:pt idx="10" formatCode="0.000">
                  <c:v>1.0328896319418399</c:v>
                </c:pt>
                <c:pt idx="11" formatCode="0.000">
                  <c:v>1.0327006459464001</c:v>
                </c:pt>
                <c:pt idx="12" formatCode="0.000">
                  <c:v>1.06939420314209</c:v>
                </c:pt>
                <c:pt idx="13" formatCode="0.000">
                  <c:v>1.12591121276406</c:v>
                </c:pt>
                <c:pt idx="14" formatCode="0.000">
                  <c:v>1.06457347177821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4-4EB5-811C-3247AEFD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all!$B$4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488407985197139"/>
                  <c:y val="-0.22646463159364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all!$B$62:$B$76</c:f>
              <c:numCache>
                <c:formatCode>0.00</c:formatCode>
                <c:ptCount val="15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1.3430417175947699E-2</c:v>
                </c:pt>
                <c:pt idx="6" formatCode="0.000">
                  <c:v>-1.61778645652975E-2</c:v>
                </c:pt>
                <c:pt idx="7" formatCode="0.000">
                  <c:v>2.95836818188689E-2</c:v>
                </c:pt>
                <c:pt idx="8" formatCode="0.000">
                  <c:v>-5.4892758010415703E-2</c:v>
                </c:pt>
                <c:pt idx="9" formatCode="0.000">
                  <c:v>8.8641812543785899E-3</c:v>
                </c:pt>
                <c:pt idx="10" formatCode="0.000">
                  <c:v>1.32778322661357E-2</c:v>
                </c:pt>
                <c:pt idx="11" formatCode="0.000">
                  <c:v>-6.0975544853349099E-2</c:v>
                </c:pt>
                <c:pt idx="12" formatCode="0.000">
                  <c:v>-1.77749404385871E-2</c:v>
                </c:pt>
                <c:pt idx="13" formatCode="0.000">
                  <c:v>3.08855730575289E-3</c:v>
                </c:pt>
                <c:pt idx="14" formatCode="0.000">
                  <c:v>-5.3081166180475401E-3</c:v>
                </c:pt>
              </c:numCache>
            </c:numRef>
          </c:xVal>
          <c:yVal>
            <c:numRef>
              <c:f>all!$G$62:$G$76</c:f>
              <c:numCache>
                <c:formatCode>0.00</c:formatCode>
                <c:ptCount val="15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  <c:pt idx="7">
                  <c:v>1.0119508062412015</c:v>
                </c:pt>
                <c:pt idx="9" formatCode="0.000">
                  <c:v>1.0311456359907301</c:v>
                </c:pt>
                <c:pt idx="10" formatCode="0.000">
                  <c:v>1.0328896319418399</c:v>
                </c:pt>
                <c:pt idx="11" formatCode="0.000">
                  <c:v>1.0327006459464001</c:v>
                </c:pt>
                <c:pt idx="12" formatCode="0.000">
                  <c:v>1.06939420314209</c:v>
                </c:pt>
                <c:pt idx="13" formatCode="0.000">
                  <c:v>1.12591121276406</c:v>
                </c:pt>
                <c:pt idx="14" formatCode="0.000">
                  <c:v>1.06457347177821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F-48B8-94AD-C7C6FAF40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Time </a:t>
            </a:r>
            <a:r>
              <a:rPr lang="el-GR"/>
              <a:t>τ &gt; τ</a:t>
            </a:r>
            <a:r>
              <a:rPr lang="en-US"/>
              <a:t>c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9817791872454307"/>
                  <c:y val="-0.1925222281999518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all!$H$5:$H$20</c:f>
              <c:numCache>
                <c:formatCode>0.00</c:formatCode>
                <c:ptCount val="16"/>
                <c:pt idx="1">
                  <c:v>4</c:v>
                </c:pt>
                <c:pt idx="2">
                  <c:v>1.1385255280790201</c:v>
                </c:pt>
                <c:pt idx="3">
                  <c:v>0</c:v>
                </c:pt>
                <c:pt idx="8">
                  <c:v>8.1761484496582497</c:v>
                </c:pt>
                <c:pt idx="10">
                  <c:v>19.594840851392899</c:v>
                </c:pt>
                <c:pt idx="11">
                  <c:v>17.2552427011953</c:v>
                </c:pt>
                <c:pt idx="12">
                  <c:v>17.024424898784201</c:v>
                </c:pt>
                <c:pt idx="13">
                  <c:v>15.1069524712688</c:v>
                </c:pt>
                <c:pt idx="14">
                  <c:v>21.9579587943592</c:v>
                </c:pt>
                <c:pt idx="15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DD-4820-BF30-12832106C7AC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763761592802328"/>
                  <c:y val="-0.261632692109398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all!$B$5:$B$10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all!$H$5:$H$10</c:f>
              <c:numCache>
                <c:formatCode>0.00</c:formatCode>
                <c:ptCount val="6"/>
                <c:pt idx="1">
                  <c:v>4</c:v>
                </c:pt>
                <c:pt idx="2">
                  <c:v>1.1385255280790201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DD-4820-BF30-12832106C7AC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341270038889029"/>
                  <c:y val="-0.1639856426545928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all!$H$11:$H$20</c:f>
              <c:numCache>
                <c:formatCode>0.00</c:formatCode>
                <c:ptCount val="10"/>
                <c:pt idx="2">
                  <c:v>8.1761484496582497</c:v>
                </c:pt>
                <c:pt idx="4">
                  <c:v>19.594840851392899</c:v>
                </c:pt>
                <c:pt idx="5">
                  <c:v>17.2552427011953</c:v>
                </c:pt>
                <c:pt idx="6">
                  <c:v>17.024424898784201</c:v>
                </c:pt>
                <c:pt idx="7">
                  <c:v>15.1069524712688</c:v>
                </c:pt>
                <c:pt idx="8">
                  <c:v>21.9579587943592</c:v>
                </c:pt>
                <c:pt idx="9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DD-4820-BF30-12832106C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 &gt; 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812468608815311"/>
                  <c:y val="9.981083783275110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all!$B$25:$B$39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all!$H$25:$H$39</c:f>
              <c:numCache>
                <c:formatCode>0.00</c:formatCode>
                <c:ptCount val="15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7">
                  <c:v>8.1761484496582497</c:v>
                </c:pt>
                <c:pt idx="9">
                  <c:v>19.594840851392899</c:v>
                </c:pt>
                <c:pt idx="10">
                  <c:v>17.2552427011953</c:v>
                </c:pt>
                <c:pt idx="11">
                  <c:v>17.024424898784201</c:v>
                </c:pt>
                <c:pt idx="12">
                  <c:v>15.1069524712688</c:v>
                </c:pt>
                <c:pt idx="13">
                  <c:v>21.9579587943592</c:v>
                </c:pt>
                <c:pt idx="14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F-4991-A4B4-8C2C8E6A5624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786887289459704"/>
                  <c:y val="-8.833762032087684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all!$B$24:$B$29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all!$H$24:$H$29</c:f>
              <c:numCache>
                <c:formatCode>0.00</c:formatCode>
                <c:ptCount val="6"/>
                <c:pt idx="1">
                  <c:v>4</c:v>
                </c:pt>
                <c:pt idx="2">
                  <c:v>1.1385255280790201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2F-4991-A4B4-8C2C8E6A5624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101608801997417"/>
                  <c:y val="0.1029377313404863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all!$B$30:$B$39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all!$H$30:$H$39</c:f>
              <c:numCache>
                <c:formatCode>0.00</c:formatCode>
                <c:ptCount val="10"/>
                <c:pt idx="2">
                  <c:v>8.1761484496582497</c:v>
                </c:pt>
                <c:pt idx="4">
                  <c:v>19.594840851392899</c:v>
                </c:pt>
                <c:pt idx="5">
                  <c:v>17.2552427011953</c:v>
                </c:pt>
                <c:pt idx="6">
                  <c:v>17.024424898784201</c:v>
                </c:pt>
                <c:pt idx="7">
                  <c:v>15.1069524712688</c:v>
                </c:pt>
                <c:pt idx="8">
                  <c:v>21.9579587943592</c:v>
                </c:pt>
                <c:pt idx="9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2F-4991-A4B4-8C2C8E6A5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 &gt; 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all!$B$4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738276973184808"/>
                  <c:y val="-0.2091418216712097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all!$B$43:$B$57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2.1496979213356301E-3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all!$H$43:$H$57</c:f>
              <c:numCache>
                <c:formatCode>0.00</c:formatCode>
                <c:ptCount val="15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7">
                  <c:v>8.1761484496582497</c:v>
                </c:pt>
                <c:pt idx="9">
                  <c:v>19.594840851392899</c:v>
                </c:pt>
                <c:pt idx="10">
                  <c:v>17.2552427011953</c:v>
                </c:pt>
                <c:pt idx="11">
                  <c:v>17.024424898784201</c:v>
                </c:pt>
                <c:pt idx="12">
                  <c:v>15.1069524712688</c:v>
                </c:pt>
                <c:pt idx="13">
                  <c:v>21.9579587943592</c:v>
                </c:pt>
                <c:pt idx="14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89-4A15-B05F-B2D9DA358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 &gt; 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8829930919669133"/>
          <c:y val="3.8929708885476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all!$B$4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713649072402972"/>
                  <c:y val="2.8682305987511841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all!$B$62:$B$76</c:f>
              <c:numCache>
                <c:formatCode>0.00</c:formatCode>
                <c:ptCount val="15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1.3430417175947699E-2</c:v>
                </c:pt>
                <c:pt idx="6" formatCode="0.000">
                  <c:v>-1.61778645652975E-2</c:v>
                </c:pt>
                <c:pt idx="7" formatCode="0.000">
                  <c:v>2.95836818188689E-2</c:v>
                </c:pt>
                <c:pt idx="8" formatCode="0.000">
                  <c:v>-5.4892758010415703E-2</c:v>
                </c:pt>
                <c:pt idx="9" formatCode="0.000">
                  <c:v>8.8641812543785899E-3</c:v>
                </c:pt>
                <c:pt idx="10" formatCode="0.000">
                  <c:v>1.32778322661357E-2</c:v>
                </c:pt>
                <c:pt idx="11" formatCode="0.000">
                  <c:v>-6.0975544853349099E-2</c:v>
                </c:pt>
                <c:pt idx="12" formatCode="0.000">
                  <c:v>-1.77749404385871E-2</c:v>
                </c:pt>
                <c:pt idx="13" formatCode="0.000">
                  <c:v>3.08855730575289E-3</c:v>
                </c:pt>
                <c:pt idx="14" formatCode="0.000">
                  <c:v>-5.3081166180475401E-3</c:v>
                </c:pt>
              </c:numCache>
            </c:numRef>
          </c:xVal>
          <c:yVal>
            <c:numRef>
              <c:f>all!$H$62:$H$76</c:f>
              <c:numCache>
                <c:formatCode>0.00</c:formatCode>
                <c:ptCount val="15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7">
                  <c:v>8.1761484496582497</c:v>
                </c:pt>
                <c:pt idx="9">
                  <c:v>19.594840851392899</c:v>
                </c:pt>
                <c:pt idx="10">
                  <c:v>17.2552427011953</c:v>
                </c:pt>
                <c:pt idx="11">
                  <c:v>17.024424898784201</c:v>
                </c:pt>
                <c:pt idx="12">
                  <c:v>15.1069524712688</c:v>
                </c:pt>
                <c:pt idx="13">
                  <c:v>21.9579587943592</c:v>
                </c:pt>
                <c:pt idx="14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8-40CD-A81E-8542A53A1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∆time </a:t>
            </a:r>
            <a:r>
              <a:rPr lang="el-GR"/>
              <a:t>τ&gt;τ</a:t>
            </a:r>
            <a:r>
              <a:rPr lang="en-US"/>
              <a:t>c (hrs)</a:t>
            </a:r>
          </a:p>
        </c:rich>
      </c:tx>
      <c:layout>
        <c:manualLayout>
          <c:xMode val="edge"/>
          <c:yMode val="edge"/>
          <c:x val="0.26679360303630667"/>
          <c:y val="6.1458330619016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3879405809502257"/>
                  <c:y val="5.630528597480692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all!$I$5:$I$20</c:f>
              <c:numCache>
                <c:formatCode>0.00</c:formatCode>
                <c:ptCount val="16"/>
                <c:pt idx="1">
                  <c:v>-1.5</c:v>
                </c:pt>
                <c:pt idx="2">
                  <c:v>-0.63852552807902296</c:v>
                </c:pt>
                <c:pt idx="3">
                  <c:v>0</c:v>
                </c:pt>
                <c:pt idx="8">
                  <c:v>-1.9243966466520197</c:v>
                </c:pt>
                <c:pt idx="10">
                  <c:v>-8.5529249332917008</c:v>
                </c:pt>
                <c:pt idx="11">
                  <c:v>-6.8910153198931301</c:v>
                </c:pt>
                <c:pt idx="12">
                  <c:v>-4.3261384988685592</c:v>
                </c:pt>
                <c:pt idx="13">
                  <c:v>-8.6900508235792202</c:v>
                </c:pt>
                <c:pt idx="14">
                  <c:v>-7.4420412056407592</c:v>
                </c:pt>
                <c:pt idx="15">
                  <c:v>-8.2060847497882605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5-4EDB-90E9-95B8D2AA5EC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all!$B$5:$B$10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all!$I$5:$I$10</c:f>
              <c:numCache>
                <c:formatCode>0.00</c:formatCode>
                <c:ptCount val="6"/>
                <c:pt idx="1">
                  <c:v>-1.5</c:v>
                </c:pt>
                <c:pt idx="2">
                  <c:v>-0.63852552807902296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45-4EDB-90E9-95B8D2AA5EC2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all!$I$11:$I$20</c:f>
              <c:numCache>
                <c:formatCode>0.00</c:formatCode>
                <c:ptCount val="10"/>
                <c:pt idx="2">
                  <c:v>-1.9243966466520197</c:v>
                </c:pt>
                <c:pt idx="4">
                  <c:v>-8.5529249332917008</c:v>
                </c:pt>
                <c:pt idx="5">
                  <c:v>-6.8910153198931301</c:v>
                </c:pt>
                <c:pt idx="6">
                  <c:v>-4.3261384988685592</c:v>
                </c:pt>
                <c:pt idx="7">
                  <c:v>-8.6900508235792202</c:v>
                </c:pt>
                <c:pt idx="8">
                  <c:v>-7.4420412056407592</c:v>
                </c:pt>
                <c:pt idx="9">
                  <c:v>-8.2060847497882605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45-4EDB-90E9-95B8D2AA5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∆time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171086133135266"/>
                  <c:y val="-2.55073784838584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all!$B$25:$B$39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all!$I$25:$I$39</c:f>
              <c:numCache>
                <c:formatCode>0.00</c:formatCode>
                <c:ptCount val="15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7">
                  <c:v>-1.9243966466520197</c:v>
                </c:pt>
                <c:pt idx="9">
                  <c:v>-8.5529249332917008</c:v>
                </c:pt>
                <c:pt idx="10">
                  <c:v>-6.8910153198931301</c:v>
                </c:pt>
                <c:pt idx="11">
                  <c:v>-4.3261384988685592</c:v>
                </c:pt>
                <c:pt idx="12">
                  <c:v>-8.6900508235792202</c:v>
                </c:pt>
                <c:pt idx="13">
                  <c:v>-7.4420412056407592</c:v>
                </c:pt>
                <c:pt idx="14">
                  <c:v>-8.2060847497882605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8-425B-BB9E-F0277704C4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all!$B$24:$B$29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all!$I$24:$I$29</c:f>
              <c:numCache>
                <c:formatCode>0.00</c:formatCode>
                <c:ptCount val="6"/>
                <c:pt idx="1">
                  <c:v>-1.5</c:v>
                </c:pt>
                <c:pt idx="2">
                  <c:v>-0.63852552807902296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D8-425B-BB9E-F0277704C46B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all!$B$30:$B$39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all!$I$30:$I$39</c:f>
              <c:numCache>
                <c:formatCode>0.00</c:formatCode>
                <c:ptCount val="10"/>
                <c:pt idx="2">
                  <c:v>-1.9243966466520197</c:v>
                </c:pt>
                <c:pt idx="4">
                  <c:v>-8.5529249332917008</c:v>
                </c:pt>
                <c:pt idx="5">
                  <c:v>-6.8910153198931301</c:v>
                </c:pt>
                <c:pt idx="6">
                  <c:v>-4.3261384988685592</c:v>
                </c:pt>
                <c:pt idx="7">
                  <c:v>-8.6900508235792202</c:v>
                </c:pt>
                <c:pt idx="8">
                  <c:v>-7.4420412056407592</c:v>
                </c:pt>
                <c:pt idx="9">
                  <c:v>-8.2060847497882605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D8-425B-BB9E-F0277704C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∆time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7980501810624083"/>
          <c:y val="5.8726297394096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48719232834022"/>
                  <c:y val="-8.366504562098729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all!$B$43:$B$57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2.1496979213356301E-3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all!$I$43:$I$57</c:f>
              <c:numCache>
                <c:formatCode>0.00</c:formatCode>
                <c:ptCount val="15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7">
                  <c:v>-1.9243966466520197</c:v>
                </c:pt>
                <c:pt idx="9">
                  <c:v>-8.5529249332917008</c:v>
                </c:pt>
                <c:pt idx="10">
                  <c:v>-6.8910153198931301</c:v>
                </c:pt>
                <c:pt idx="11">
                  <c:v>-4.3261384988685592</c:v>
                </c:pt>
                <c:pt idx="12">
                  <c:v>-8.6900508235792202</c:v>
                </c:pt>
                <c:pt idx="13">
                  <c:v>-7.4420412056407592</c:v>
                </c:pt>
                <c:pt idx="14">
                  <c:v>-8.2060847497882605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5B-4D83-9151-A9C5136EB832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all!$B$42:$B$47</c:f>
              <c:numCache>
                <c:formatCode>0.00</c:formatCode>
                <c:ptCount val="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</c:numCache>
            </c:numRef>
          </c:xVal>
          <c:yVal>
            <c:numRef>
              <c:f>all!$I$42:$I$47</c:f>
              <c:numCache>
                <c:formatCode>0.00</c:formatCode>
                <c:ptCount val="6"/>
                <c:pt idx="1">
                  <c:v>-1.5</c:v>
                </c:pt>
                <c:pt idx="2">
                  <c:v>-0.63852552807902296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3-4FFE-BFF3-89E9997E4BB7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all!$B$48:$B$57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2.1496979213356301E-3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all!$I$48:$I$57</c:f>
              <c:numCache>
                <c:formatCode>0.00</c:formatCode>
                <c:ptCount val="10"/>
                <c:pt idx="2">
                  <c:v>-1.9243966466520197</c:v>
                </c:pt>
                <c:pt idx="4">
                  <c:v>-8.5529249332917008</c:v>
                </c:pt>
                <c:pt idx="5">
                  <c:v>-6.8910153198931301</c:v>
                </c:pt>
                <c:pt idx="6">
                  <c:v>-4.3261384988685592</c:v>
                </c:pt>
                <c:pt idx="7">
                  <c:v>-8.6900508235792202</c:v>
                </c:pt>
                <c:pt idx="8">
                  <c:v>-7.4420412056407592</c:v>
                </c:pt>
                <c:pt idx="9">
                  <c:v>-8.2060847497882605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3-4FFE-BFF3-89E9997E4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∆time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8829930919669133"/>
          <c:y val="3.8929708885476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all!$B$4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713649072402972"/>
                  <c:y val="2.8682305987511841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all!$B$62:$B$76</c:f>
              <c:numCache>
                <c:formatCode>0.00</c:formatCode>
                <c:ptCount val="15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1.3430417175947699E-2</c:v>
                </c:pt>
                <c:pt idx="6" formatCode="0.000">
                  <c:v>-1.61778645652975E-2</c:v>
                </c:pt>
                <c:pt idx="7" formatCode="0.000">
                  <c:v>2.95836818188689E-2</c:v>
                </c:pt>
                <c:pt idx="8" formatCode="0.000">
                  <c:v>-5.4892758010415703E-2</c:v>
                </c:pt>
                <c:pt idx="9" formatCode="0.000">
                  <c:v>8.8641812543785899E-3</c:v>
                </c:pt>
                <c:pt idx="10" formatCode="0.000">
                  <c:v>1.32778322661357E-2</c:v>
                </c:pt>
                <c:pt idx="11" formatCode="0.000">
                  <c:v>-6.0975544853349099E-2</c:v>
                </c:pt>
                <c:pt idx="12" formatCode="0.000">
                  <c:v>-1.77749404385871E-2</c:v>
                </c:pt>
                <c:pt idx="13" formatCode="0.000">
                  <c:v>3.08855730575289E-3</c:v>
                </c:pt>
                <c:pt idx="14" formatCode="0.000">
                  <c:v>-5.3081166180475401E-3</c:v>
                </c:pt>
              </c:numCache>
            </c:numRef>
          </c:xVal>
          <c:yVal>
            <c:numRef>
              <c:f>all!$I$62:$I$76</c:f>
              <c:numCache>
                <c:formatCode>0.00</c:formatCode>
                <c:ptCount val="15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7">
                  <c:v>-1.9243966466520197</c:v>
                </c:pt>
                <c:pt idx="9">
                  <c:v>-8.5529249332917008</c:v>
                </c:pt>
                <c:pt idx="10">
                  <c:v>-6.8910153198931301</c:v>
                </c:pt>
                <c:pt idx="11">
                  <c:v>-4.3261384988685592</c:v>
                </c:pt>
                <c:pt idx="12">
                  <c:v>-8.6900508235792202</c:v>
                </c:pt>
                <c:pt idx="13">
                  <c:v>-7.4420412056407592</c:v>
                </c:pt>
                <c:pt idx="14">
                  <c:v>-8.2060847497882605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5D-4521-82B2-A0CD39EBB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 HI vs SS HI </a:t>
            </a:r>
          </a:p>
        </c:rich>
      </c:tx>
      <c:layout>
        <c:manualLayout>
          <c:xMode val="edge"/>
          <c:yMode val="edge"/>
          <c:x val="0.4146456692913385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0048118985128"/>
          <c:y val="0.16245370370370371"/>
          <c:w val="0.84757174103237098"/>
          <c:h val="0.59625801983085447"/>
        </c:manualLayout>
      </c:layout>
      <c:scatterChart>
        <c:scatterStyle val="lineMarker"/>
        <c:varyColors val="0"/>
        <c:ser>
          <c:idx val="0"/>
          <c:order val="0"/>
          <c:tx>
            <c:v>not including ST1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017672790901138"/>
                  <c:y val="-0.225190288713910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all!$B$6:$B$20</c:f>
              <c:numCache>
                <c:formatCode>0.000</c:formatCode>
                <c:ptCount val="15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0.36516163611226798</c:v>
                </c:pt>
                <c:pt idx="4">
                  <c:v>4.1333778886518201E-2</c:v>
                </c:pt>
                <c:pt idx="5">
                  <c:v>9.4513218106104094E-2</c:v>
                </c:pt>
                <c:pt idx="6">
                  <c:v>4.2663094228711902E-2</c:v>
                </c:pt>
                <c:pt idx="7">
                  <c:v>8.8732929175135894E-2</c:v>
                </c:pt>
                <c:pt idx="8">
                  <c:v>-1.9463558010346702E-2</c:v>
                </c:pt>
                <c:pt idx="9">
                  <c:v>0.10415722716452799</c:v>
                </c:pt>
                <c:pt idx="10">
                  <c:v>4.66251429291673E-2</c:v>
                </c:pt>
                <c:pt idx="11">
                  <c:v>9.0894558490112708E-3</c:v>
                </c:pt>
                <c:pt idx="12">
                  <c:v>-1.7278096303121701E-2</c:v>
                </c:pt>
                <c:pt idx="13">
                  <c:v>2.0373962034653699E-2</c:v>
                </c:pt>
                <c:pt idx="14">
                  <c:v>-2.50118292734785E-2</c:v>
                </c:pt>
              </c:numCache>
            </c:numRef>
          </c:xVal>
          <c:yVal>
            <c:numRef>
              <c:f>all!$B$43:$B$57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2.1496979213356301E-3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B-47BC-BFA7-04D7A1E70C8C}"/>
            </c:ext>
          </c:extLst>
        </c:ser>
        <c:ser>
          <c:idx val="1"/>
          <c:order val="1"/>
          <c:tx>
            <c:v>including ST1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934733158355206"/>
                  <c:y val="-7.871682706328375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all!$B$42:$B$57</c:f>
              <c:numCache>
                <c:formatCode>0.00</c:formatCode>
                <c:ptCount val="1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  <c:pt idx="6" formatCode="0.000">
                  <c:v>5.1856335362832198E-2</c:v>
                </c:pt>
                <c:pt idx="7" formatCode="0.000">
                  <c:v>0.103368750113241</c:v>
                </c:pt>
                <c:pt idx="8" formatCode="0.000">
                  <c:v>0.15621819275209001</c:v>
                </c:pt>
                <c:pt idx="9" formatCode="0.000">
                  <c:v>0.15071577677020101</c:v>
                </c:pt>
                <c:pt idx="10" formatCode="0.000">
                  <c:v>5.5397551503622099E-2</c:v>
                </c:pt>
                <c:pt idx="11" formatCode="0.000">
                  <c:v>6.9883057908481996E-2</c:v>
                </c:pt>
                <c:pt idx="12" formatCode="0.000">
                  <c:v>7.8645648239850305E-2</c:v>
                </c:pt>
                <c:pt idx="13" formatCode="0.000">
                  <c:v>2.1496979213356301E-3</c:v>
                </c:pt>
                <c:pt idx="14" formatCode="0.000">
                  <c:v>0.101236914763633</c:v>
                </c:pt>
                <c:pt idx="15" formatCode="0.000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1B-47BC-BFA7-04D7A1E70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35888"/>
        <c:axId val="220129840"/>
      </c:scatterChart>
      <c:valAx>
        <c:axId val="5867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129840"/>
        <c:crosses val="autoZero"/>
        <c:crossBetween val="midCat"/>
      </c:valAx>
      <c:valAx>
        <c:axId val="220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3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860629921259844"/>
                  <c:y val="-0.4240762613006707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6538385826771653"/>
                  <c:y val="-0.2480719597550306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all!$AB$5:$AB$14</c:f>
              <c:numCache>
                <c:formatCode>0.000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8.8732929175135894E-2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all!$AJ$5:$AJ$14</c:f>
              <c:numCache>
                <c:formatCode>0.00</c:formatCode>
                <c:ptCount val="10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0.26690920736687102</c:v>
                </c:pt>
                <c:pt idx="8">
                  <c:v>0.45125668170602201</c:v>
                </c:pt>
                <c:pt idx="9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A3-41B9-8292-B4462D6A3C56}"/>
            </c:ext>
          </c:extLst>
        </c:ser>
        <c:ser>
          <c:idx val="1"/>
          <c:order val="1"/>
          <c:tx>
            <c:strRef>
              <c:f>all!$AC$4</c:f>
              <c:strCache>
                <c:ptCount val="1"/>
                <c:pt idx="0">
                  <c:v>DOC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104505686789146"/>
                  <c:y val="-0.2778335520559930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all!$AC$5:$AC$14</c:f>
              <c:numCache>
                <c:formatCode>0.00</c:formatCode>
                <c:ptCount val="10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1.20306787922476E-2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all!$AJ$5:$AJ$14</c:f>
              <c:numCache>
                <c:formatCode>0.00</c:formatCode>
                <c:ptCount val="10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0.26690920736687102</c:v>
                </c:pt>
                <c:pt idx="8">
                  <c:v>0.45125668170602201</c:v>
                </c:pt>
                <c:pt idx="9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A3-41B9-8292-B4462D6A3C56}"/>
            </c:ext>
          </c:extLst>
        </c:ser>
        <c:ser>
          <c:idx val="2"/>
          <c:order val="2"/>
          <c:tx>
            <c:strRef>
              <c:f>all!$AD$4</c:f>
              <c:strCache>
                <c:ptCount val="1"/>
                <c:pt idx="0">
                  <c:v>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all!$AD$5:$AD$14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0.14884070399999999</c:v>
                </c:pt>
                <c:pt idx="3" formatCode="0.000">
                  <c:v>0.15621819275209001</c:v>
                </c:pt>
                <c:pt idx="4" formatCode="0.000">
                  <c:v>5.5397551503622099E-2</c:v>
                </c:pt>
                <c:pt idx="5" formatCode="0.000">
                  <c:v>6.9883057908481996E-2</c:v>
                </c:pt>
                <c:pt idx="6" formatCode="0.000">
                  <c:v>7.8645648239850305E-2</c:v>
                </c:pt>
                <c:pt idx="7" formatCode="0.000">
                  <c:v>2.1496979213356301E-3</c:v>
                </c:pt>
                <c:pt idx="8" formatCode="0.000">
                  <c:v>0.101236914763633</c:v>
                </c:pt>
                <c:pt idx="9" formatCode="0.000">
                  <c:v>0.107400232693555</c:v>
                </c:pt>
              </c:numCache>
            </c:numRef>
          </c:xVal>
          <c:yVal>
            <c:numRef>
              <c:f>all!$AJ$5:$AJ$14</c:f>
              <c:numCache>
                <c:formatCode>0.00</c:formatCode>
                <c:ptCount val="10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0.26690920736687102</c:v>
                </c:pt>
                <c:pt idx="8">
                  <c:v>0.45125668170602201</c:v>
                </c:pt>
                <c:pt idx="9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A3-41B9-8292-B4462D6A3C56}"/>
            </c:ext>
          </c:extLst>
        </c:ser>
        <c:ser>
          <c:idx val="3"/>
          <c:order val="3"/>
          <c:tx>
            <c:strRef>
              <c:f>all!$AF$4</c:f>
              <c:strCache>
                <c:ptCount val="1"/>
                <c:pt idx="0">
                  <c:v>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8245188101487311E-2"/>
                  <c:y val="-0.117567439486730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all!$AF$5:$AF$14</c:f>
              <c:numCache>
                <c:formatCode>0.00</c:formatCode>
                <c:ptCount val="10"/>
                <c:pt idx="0">
                  <c:v>-0.64117535564386996</c:v>
                </c:pt>
                <c:pt idx="1">
                  <c:v>-0.511670862423525</c:v>
                </c:pt>
                <c:pt idx="2">
                  <c:v>-0.22155858359451899</c:v>
                </c:pt>
                <c:pt idx="3" formatCode="0.000">
                  <c:v>2.95836818188689E-2</c:v>
                </c:pt>
                <c:pt idx="4" formatCode="0.000">
                  <c:v>8.8641812543785899E-3</c:v>
                </c:pt>
                <c:pt idx="5" formatCode="0.000">
                  <c:v>1.32778322661357E-2</c:v>
                </c:pt>
                <c:pt idx="6" formatCode="0.000">
                  <c:v>-6.0975544853349099E-2</c:v>
                </c:pt>
                <c:pt idx="7" formatCode="0.000">
                  <c:v>-1.77749404385871E-2</c:v>
                </c:pt>
                <c:pt idx="8" formatCode="0.000">
                  <c:v>3.08855730575289E-3</c:v>
                </c:pt>
                <c:pt idx="9" formatCode="0.000">
                  <c:v>-5.3081166180475401E-3</c:v>
                </c:pt>
              </c:numCache>
            </c:numRef>
          </c:xVal>
          <c:yVal>
            <c:numRef>
              <c:f>all!$AJ$5:$AJ$14</c:f>
              <c:numCache>
                <c:formatCode>0.00</c:formatCode>
                <c:ptCount val="10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0.26690920736687102</c:v>
                </c:pt>
                <c:pt idx="8">
                  <c:v>0.45125668170602201</c:v>
                </c:pt>
                <c:pt idx="9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A3-41B9-8292-B4462D6A3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100080"/>
        <c:axId val="2008078000"/>
      </c:scatterChart>
      <c:valAx>
        <c:axId val="85010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78000"/>
        <c:crosses val="autoZero"/>
        <c:crossBetween val="midCat"/>
      </c:valAx>
      <c:valAx>
        <c:axId val="200807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10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3</xdr:row>
      <xdr:rowOff>47625</xdr:rowOff>
    </xdr:from>
    <xdr:to>
      <xdr:col>14</xdr:col>
      <xdr:colOff>647700</xdr:colOff>
      <xdr:row>15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18078-92AB-49A6-9747-BE910D3E0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552450</xdr:colOff>
      <xdr:row>15</xdr:row>
      <xdr:rowOff>114300</xdr:rowOff>
    </xdr:from>
    <xdr:to>
      <xdr:col>14</xdr:col>
      <xdr:colOff>628650</xdr:colOff>
      <xdr:row>27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FE8B61-85F7-4AA3-99F3-44DA72B9C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183673</xdr:colOff>
      <xdr:row>57</xdr:row>
      <xdr:rowOff>10492</xdr:rowOff>
    </xdr:from>
    <xdr:to>
      <xdr:col>14</xdr:col>
      <xdr:colOff>773205</xdr:colOff>
      <xdr:row>69</xdr:row>
      <xdr:rowOff>67236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5A4AD7-BA9A-4A02-BEDF-4950CB522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432088</xdr:colOff>
      <xdr:row>28</xdr:row>
      <xdr:rowOff>99147</xdr:rowOff>
    </xdr:from>
    <xdr:to>
      <xdr:col>14</xdr:col>
      <xdr:colOff>520411</xdr:colOff>
      <xdr:row>41</xdr:row>
      <xdr:rowOff>172545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0A4EAE-0452-4446-8267-F80490106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226666</xdr:colOff>
      <xdr:row>42</xdr:row>
      <xdr:rowOff>166580</xdr:rowOff>
    </xdr:from>
    <xdr:to>
      <xdr:col>14</xdr:col>
      <xdr:colOff>627531</xdr:colOff>
      <xdr:row>56</xdr:row>
      <xdr:rowOff>62524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3C7E6C-9BFA-45A4-8418-0AC79AD7A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691404</xdr:colOff>
      <xdr:row>3</xdr:row>
      <xdr:rowOff>33618</xdr:rowOff>
    </xdr:from>
    <xdr:to>
      <xdr:col>17</xdr:col>
      <xdr:colOff>756398</xdr:colOff>
      <xdr:row>15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A980D-71A1-46B9-A372-D3C19DD87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705972</xdr:colOff>
      <xdr:row>15</xdr:row>
      <xdr:rowOff>89087</xdr:rowOff>
    </xdr:from>
    <xdr:to>
      <xdr:col>17</xdr:col>
      <xdr:colOff>770966</xdr:colOff>
      <xdr:row>27</xdr:row>
      <xdr:rowOff>89087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07124-DA7D-4152-A0E3-B3775578E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889341</xdr:colOff>
      <xdr:row>57</xdr:row>
      <xdr:rowOff>18898</xdr:rowOff>
    </xdr:from>
    <xdr:to>
      <xdr:col>17</xdr:col>
      <xdr:colOff>718457</xdr:colOff>
      <xdr:row>69</xdr:row>
      <xdr:rowOff>89648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E75FA9-ECE7-43FA-912C-AAFCE40F9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638736</xdr:colOff>
      <xdr:row>28</xdr:row>
      <xdr:rowOff>22412</xdr:rowOff>
    </xdr:from>
    <xdr:to>
      <xdr:col>17</xdr:col>
      <xdr:colOff>705971</xdr:colOff>
      <xdr:row>41</xdr:row>
      <xdr:rowOff>134471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6736E8-E340-442A-8038-96B90EA7E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717176</xdr:colOff>
      <xdr:row>42</xdr:row>
      <xdr:rowOff>67235</xdr:rowOff>
    </xdr:from>
    <xdr:to>
      <xdr:col>17</xdr:col>
      <xdr:colOff>784411</xdr:colOff>
      <xdr:row>56</xdr:row>
      <xdr:rowOff>145677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EECF61-D751-453A-A043-536654193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13591</xdr:colOff>
      <xdr:row>3</xdr:row>
      <xdr:rowOff>19539</xdr:rowOff>
    </xdr:from>
    <xdr:to>
      <xdr:col>21</xdr:col>
      <xdr:colOff>645201</xdr:colOff>
      <xdr:row>15</xdr:row>
      <xdr:rowOff>19539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4B87E8-8F57-495D-B90A-182916C24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28159</xdr:colOff>
      <xdr:row>15</xdr:row>
      <xdr:rowOff>75008</xdr:rowOff>
    </xdr:from>
    <xdr:to>
      <xdr:col>21</xdr:col>
      <xdr:colOff>659769</xdr:colOff>
      <xdr:row>27</xdr:row>
      <xdr:rowOff>75008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2B72A22-8002-4F79-AB46-F076AEDEF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859693</xdr:colOff>
      <xdr:row>28</xdr:row>
      <xdr:rowOff>8333</xdr:rowOff>
    </xdr:from>
    <xdr:to>
      <xdr:col>21</xdr:col>
      <xdr:colOff>594774</xdr:colOff>
      <xdr:row>41</xdr:row>
      <xdr:rowOff>120392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331E29A-6E9C-4F33-98DA-3A127287F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39363</xdr:colOff>
      <xdr:row>42</xdr:row>
      <xdr:rowOff>53156</xdr:rowOff>
    </xdr:from>
    <xdr:to>
      <xdr:col>21</xdr:col>
      <xdr:colOff>673214</xdr:colOff>
      <xdr:row>56</xdr:row>
      <xdr:rowOff>131598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C6B275C-9F6E-41C1-81F4-0B9743BF9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755389</xdr:colOff>
      <xdr:row>2</xdr:row>
      <xdr:rowOff>167898</xdr:rowOff>
    </xdr:from>
    <xdr:to>
      <xdr:col>24</xdr:col>
      <xdr:colOff>444186</xdr:colOff>
      <xdr:row>14</xdr:row>
      <xdr:rowOff>167898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18EF471-A995-4AAB-B300-8F0CD26C1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769957</xdr:colOff>
      <xdr:row>15</xdr:row>
      <xdr:rowOff>42553</xdr:rowOff>
    </xdr:from>
    <xdr:to>
      <xdr:col>24</xdr:col>
      <xdr:colOff>458754</xdr:colOff>
      <xdr:row>27</xdr:row>
      <xdr:rowOff>42553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4F75C8E-66C5-4D6B-908B-67EBE3885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766368</xdr:colOff>
      <xdr:row>27</xdr:row>
      <xdr:rowOff>179104</xdr:rowOff>
    </xdr:from>
    <xdr:to>
      <xdr:col>24</xdr:col>
      <xdr:colOff>449788</xdr:colOff>
      <xdr:row>41</xdr:row>
      <xdr:rowOff>110349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3EF1C12-13A5-4C65-91DD-88CEC84DA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781161</xdr:colOff>
      <xdr:row>42</xdr:row>
      <xdr:rowOff>20701</xdr:rowOff>
    </xdr:from>
    <xdr:to>
      <xdr:col>24</xdr:col>
      <xdr:colOff>472199</xdr:colOff>
      <xdr:row>56</xdr:row>
      <xdr:rowOff>99143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5533866-CC37-412D-9AF5-E6E7C64B2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0</xdr:colOff>
      <xdr:row>77</xdr:row>
      <xdr:rowOff>156882</xdr:rowOff>
    </xdr:from>
    <xdr:to>
      <xdr:col>6</xdr:col>
      <xdr:colOff>123264</xdr:colOff>
      <xdr:row>92</xdr:row>
      <xdr:rowOff>42582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B863CB0-5165-4DED-BA6B-D8460DC68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36</xdr:col>
      <xdr:colOff>156882</xdr:colOff>
      <xdr:row>2</xdr:row>
      <xdr:rowOff>146797</xdr:rowOff>
    </xdr:from>
    <xdr:to>
      <xdr:col>43</xdr:col>
      <xdr:colOff>493058</xdr:colOff>
      <xdr:row>14</xdr:row>
      <xdr:rowOff>99732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2BCA740-709D-A9DB-FF9D-D565193CE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BN90"/>
  <sheetViews>
    <sheetView tabSelected="1" topLeftCell="U1" zoomScale="85" zoomScaleNormal="85" workbookViewId="0">
      <selection activeCell="I24" sqref="I24"/>
    </sheetView>
  </sheetViews>
  <sheetFormatPr defaultRowHeight="15" x14ac:dyDescent="0.25"/>
  <cols>
    <col min="1" max="1" width="19.140625" customWidth="1"/>
    <col min="2" max="2" width="18.7109375" customWidth="1"/>
    <col min="3" max="3" width="15.5703125" customWidth="1"/>
    <col min="4" max="4" width="22.28515625" customWidth="1"/>
    <col min="5" max="5" width="17.5703125" customWidth="1"/>
    <col min="6" max="9" width="17.85546875" customWidth="1"/>
    <col min="10" max="10" width="16" customWidth="1"/>
    <col min="11" max="11" width="16.28515625" customWidth="1"/>
    <col min="12" max="12" width="14" customWidth="1"/>
    <col min="13" max="14" width="23.7109375" customWidth="1"/>
    <col min="15" max="15" width="15.5703125" customWidth="1"/>
    <col min="16" max="17" width="16" customWidth="1"/>
    <col min="18" max="21" width="13" customWidth="1"/>
    <col min="22" max="22" width="16.28515625" customWidth="1"/>
    <col min="23" max="23" width="17.7109375" customWidth="1"/>
    <col min="24" max="24" width="18.7109375" customWidth="1"/>
    <col min="26" max="26" width="14.85546875" customWidth="1"/>
    <col min="27" max="28" width="16.42578125" customWidth="1"/>
    <col min="29" max="29" width="15.85546875" customWidth="1"/>
    <col min="30" max="30" width="19" customWidth="1"/>
    <col min="31" max="31" width="18" customWidth="1"/>
    <col min="32" max="32" width="14.140625" customWidth="1"/>
    <col min="33" max="33" width="13" customWidth="1"/>
    <col min="34" max="34" width="14.5703125" customWidth="1"/>
    <col min="48" max="48" width="20.7109375" customWidth="1"/>
    <col min="55" max="55" width="13" customWidth="1"/>
  </cols>
  <sheetData>
    <row r="1" spans="1:59" x14ac:dyDescent="0.25">
      <c r="A1" s="4" t="s">
        <v>7</v>
      </c>
      <c r="N1" s="3"/>
    </row>
    <row r="2" spans="1:59" x14ac:dyDescent="0.25">
      <c r="A2" s="5" t="s">
        <v>8</v>
      </c>
      <c r="N2" s="3"/>
    </row>
    <row r="3" spans="1:59" x14ac:dyDescent="0.25">
      <c r="A3" s="7" t="s">
        <v>2</v>
      </c>
      <c r="B3" s="7"/>
      <c r="C3" s="7"/>
      <c r="D3" s="1"/>
      <c r="E3" s="1"/>
      <c r="F3" s="1"/>
      <c r="G3" s="1"/>
      <c r="H3" s="1"/>
      <c r="I3" s="1"/>
      <c r="J3" s="1"/>
      <c r="K3" s="1"/>
      <c r="L3" s="1"/>
      <c r="N3" s="3"/>
      <c r="O3" s="1"/>
      <c r="AF3" s="1"/>
      <c r="AG3" s="1"/>
      <c r="AH3" s="1"/>
      <c r="AI3" s="1"/>
      <c r="AJ3" s="1"/>
    </row>
    <row r="4" spans="1:59" ht="54.75" customHeight="1" x14ac:dyDescent="0.25">
      <c r="A4" s="11" t="s">
        <v>22</v>
      </c>
      <c r="B4" s="11" t="s">
        <v>1</v>
      </c>
      <c r="C4" s="12" t="s">
        <v>23</v>
      </c>
      <c r="D4" s="13" t="s">
        <v>10</v>
      </c>
      <c r="E4" s="13" t="s">
        <v>11</v>
      </c>
      <c r="F4" s="13" t="s">
        <v>12</v>
      </c>
      <c r="G4" s="13" t="s">
        <v>13</v>
      </c>
      <c r="H4" s="13" t="s">
        <v>32</v>
      </c>
      <c r="I4" s="13" t="s">
        <v>33</v>
      </c>
      <c r="J4" s="52"/>
      <c r="K4" s="52"/>
      <c r="L4" s="52"/>
      <c r="M4" s="3"/>
      <c r="N4" s="1"/>
      <c r="O4" s="1"/>
      <c r="AA4" s="11" t="s">
        <v>22</v>
      </c>
      <c r="AB4" s="11" t="s">
        <v>34</v>
      </c>
      <c r="AC4" s="11" t="s">
        <v>35</v>
      </c>
      <c r="AD4" s="11" t="s">
        <v>36</v>
      </c>
      <c r="AE4" s="51" t="s">
        <v>64</v>
      </c>
      <c r="AF4" s="10" t="s">
        <v>37</v>
      </c>
      <c r="AG4" s="13" t="s">
        <v>13</v>
      </c>
      <c r="AH4" s="13" t="s">
        <v>33</v>
      </c>
      <c r="AI4" s="13" t="s">
        <v>32</v>
      </c>
      <c r="AJ4" s="47" t="s">
        <v>63</v>
      </c>
      <c r="AV4" s="11" t="s">
        <v>22</v>
      </c>
      <c r="AW4" s="11" t="s">
        <v>34</v>
      </c>
      <c r="AX4" s="11" t="s">
        <v>35</v>
      </c>
      <c r="AY4" s="11" t="s">
        <v>36</v>
      </c>
      <c r="AZ4" s="10" t="s">
        <v>37</v>
      </c>
      <c r="BA4" s="13" t="s">
        <v>13</v>
      </c>
      <c r="BB4" s="13" t="s">
        <v>33</v>
      </c>
      <c r="BC4" s="13" t="s">
        <v>32</v>
      </c>
    </row>
    <row r="5" spans="1:59" x14ac:dyDescent="0.25">
      <c r="A5" s="15" t="s">
        <v>14</v>
      </c>
      <c r="B5" s="16">
        <v>0.78479742735639801</v>
      </c>
      <c r="C5" s="17"/>
      <c r="D5" s="18"/>
      <c r="E5" s="18"/>
      <c r="F5" s="18">
        <v>133.4714286</v>
      </c>
      <c r="G5" s="18"/>
      <c r="H5" s="25"/>
      <c r="I5" s="15"/>
      <c r="J5" s="53"/>
      <c r="K5" s="53"/>
      <c r="L5" s="53"/>
      <c r="M5" s="1"/>
      <c r="N5" s="1"/>
      <c r="O5" s="1"/>
      <c r="AA5" s="15" t="s">
        <v>15</v>
      </c>
      <c r="AB5" s="16">
        <v>0.17369777575697301</v>
      </c>
      <c r="AC5" s="23">
        <v>1.7836570943256701E-2</v>
      </c>
      <c r="AD5" s="48">
        <v>0.13984116014494999</v>
      </c>
      <c r="AE5" s="22">
        <v>-0.64117535564386996</v>
      </c>
      <c r="AF5" s="22">
        <v>-0.64117535564386996</v>
      </c>
      <c r="AG5" s="18">
        <v>1.1737788669959504</v>
      </c>
      <c r="AH5" s="18">
        <v>-1.5</v>
      </c>
      <c r="AI5" s="18">
        <v>4</v>
      </c>
      <c r="AJ5" s="9">
        <v>0.30708458237534503</v>
      </c>
      <c r="AV5" s="15" t="s">
        <v>15</v>
      </c>
      <c r="AW5" s="16">
        <v>0.17369777575697301</v>
      </c>
      <c r="AX5" s="23">
        <v>1.7836570943256701E-2</v>
      </c>
      <c r="AY5" s="23">
        <v>0.13233171245622599</v>
      </c>
      <c r="AZ5" s="22">
        <v>-0.64117535564386996</v>
      </c>
      <c r="BA5" s="18">
        <v>1.1737788669959504</v>
      </c>
      <c r="BB5" s="18">
        <v>-1.5</v>
      </c>
      <c r="BC5" s="18">
        <v>4</v>
      </c>
    </row>
    <row r="6" spans="1:59" x14ac:dyDescent="0.25">
      <c r="A6" s="15" t="s">
        <v>15</v>
      </c>
      <c r="B6" s="16">
        <v>0.17369777575697301</v>
      </c>
      <c r="C6" s="17">
        <v>60.588347259999999</v>
      </c>
      <c r="D6" s="19">
        <v>9023.75</v>
      </c>
      <c r="E6" s="19">
        <v>9023.75</v>
      </c>
      <c r="F6" s="18">
        <v>71.117321599999997</v>
      </c>
      <c r="G6" s="18">
        <v>1.1737788669959499</v>
      </c>
      <c r="H6" s="18">
        <v>4</v>
      </c>
      <c r="I6" s="18">
        <v>-1.5</v>
      </c>
      <c r="J6" s="54"/>
      <c r="K6" s="54"/>
      <c r="L6" s="54"/>
      <c r="M6" s="1"/>
      <c r="N6" s="1"/>
      <c r="O6" s="1"/>
      <c r="AA6" s="15" t="s">
        <v>16</v>
      </c>
      <c r="AB6" s="16">
        <v>9.9143945152060597E-2</v>
      </c>
      <c r="AC6" s="22">
        <v>-0.54160608613664096</v>
      </c>
      <c r="AD6" s="23">
        <v>8.9326261366187695E-2</v>
      </c>
      <c r="AE6" s="22">
        <v>-0.511670862423525</v>
      </c>
      <c r="AF6" s="22">
        <v>-0.511670862423525</v>
      </c>
      <c r="AG6" s="18">
        <v>1.0182769682576838</v>
      </c>
      <c r="AH6" s="18">
        <v>-0.63852552807902296</v>
      </c>
      <c r="AI6" s="18">
        <v>1.1385255280790201</v>
      </c>
      <c r="AJ6" s="9">
        <v>0.49664162355941199</v>
      </c>
      <c r="AV6" s="15" t="s">
        <v>16</v>
      </c>
      <c r="AW6" s="16">
        <v>9.9143945152060597E-2</v>
      </c>
      <c r="AX6" s="22">
        <v>-0.54160608613664096</v>
      </c>
      <c r="AY6" s="23">
        <v>8.9326261366187695E-2</v>
      </c>
      <c r="AZ6" s="22">
        <v>-0.511670862423525</v>
      </c>
      <c r="BA6" s="18">
        <v>1.0182769682576838</v>
      </c>
      <c r="BB6" s="18">
        <v>-0.63852552807902296</v>
      </c>
      <c r="BC6" s="18">
        <v>1.1385255280790201</v>
      </c>
    </row>
    <row r="7" spans="1:59" x14ac:dyDescent="0.25">
      <c r="A7" s="15" t="s">
        <v>16</v>
      </c>
      <c r="B7" s="16">
        <v>9.9143945152060597E-2</v>
      </c>
      <c r="C7" s="17">
        <v>73.387016439999996</v>
      </c>
      <c r="D7" s="19">
        <v>118.5</v>
      </c>
      <c r="E7" s="19">
        <v>118.5</v>
      </c>
      <c r="F7" s="18">
        <v>74.728308609999999</v>
      </c>
      <c r="G7" s="18">
        <v>1.01827696825768</v>
      </c>
      <c r="H7" s="18">
        <v>1.1385255280790201</v>
      </c>
      <c r="I7" s="18">
        <v>-0.63852552807902296</v>
      </c>
      <c r="J7" s="54"/>
      <c r="K7" s="54"/>
      <c r="L7" s="54"/>
      <c r="M7" s="1"/>
      <c r="N7" s="1"/>
      <c r="O7" s="1"/>
      <c r="AA7" s="15" t="s">
        <v>17</v>
      </c>
      <c r="AB7" s="16">
        <v>0.21234239309632399</v>
      </c>
      <c r="AC7" s="22">
        <v>-0.17637365181995501</v>
      </c>
      <c r="AD7" s="23">
        <v>0.14884070399999999</v>
      </c>
      <c r="AE7" s="22">
        <v>-0.22155858359451899</v>
      </c>
      <c r="AF7" s="22">
        <v>-0.22155858359451899</v>
      </c>
      <c r="AG7" s="18">
        <v>1</v>
      </c>
      <c r="AH7" s="18">
        <v>0</v>
      </c>
      <c r="AI7" s="18">
        <v>0</v>
      </c>
      <c r="AJ7" s="9">
        <v>0</v>
      </c>
      <c r="AV7" s="15" t="s">
        <v>17</v>
      </c>
      <c r="AW7" s="16">
        <v>0.21234239309632399</v>
      </c>
      <c r="AX7" s="22">
        <v>-0.17637365181995501</v>
      </c>
      <c r="AY7" s="23">
        <v>0.14884070399999999</v>
      </c>
      <c r="AZ7" s="22">
        <v>-0.22155858359451899</v>
      </c>
      <c r="BA7" s="18">
        <v>1</v>
      </c>
      <c r="BB7" s="18">
        <v>0</v>
      </c>
      <c r="BC7" s="18">
        <v>0</v>
      </c>
    </row>
    <row r="8" spans="1:59" x14ac:dyDescent="0.25">
      <c r="A8" s="15" t="s">
        <v>17</v>
      </c>
      <c r="B8" s="16">
        <v>0.21234239309632399</v>
      </c>
      <c r="C8" s="18">
        <v>79.767295559999994</v>
      </c>
      <c r="D8" s="19">
        <v>2036.95</v>
      </c>
      <c r="E8" s="19">
        <v>2060.9499999999998</v>
      </c>
      <c r="F8" s="18">
        <v>79.767295559999994</v>
      </c>
      <c r="G8" s="18">
        <v>1</v>
      </c>
      <c r="H8" s="18">
        <v>0</v>
      </c>
      <c r="I8" s="18">
        <v>0</v>
      </c>
      <c r="J8" s="54"/>
      <c r="K8" s="54"/>
      <c r="L8" s="54"/>
      <c r="M8" s="1"/>
      <c r="N8" s="1"/>
      <c r="O8" s="1"/>
      <c r="AA8" s="15" t="s">
        <v>24</v>
      </c>
      <c r="AB8" s="16">
        <v>8.8732929175135894E-2</v>
      </c>
      <c r="AC8" s="23">
        <v>1.20306787922476E-2</v>
      </c>
      <c r="AD8" s="16">
        <v>0.15621819275209001</v>
      </c>
      <c r="AE8" s="49">
        <v>7.1354925056258001E-3</v>
      </c>
      <c r="AF8" s="16">
        <v>2.95836818188689E-2</v>
      </c>
      <c r="AG8" s="17">
        <v>1.0155857656154901</v>
      </c>
      <c r="AH8" s="18">
        <v>-1.9243966466520197</v>
      </c>
      <c r="AI8" s="18">
        <v>8.1761484496582497</v>
      </c>
      <c r="AJ8" s="9">
        <v>0.19059894727801999</v>
      </c>
      <c r="AV8" s="15" t="s">
        <v>24</v>
      </c>
      <c r="AW8" s="16">
        <v>8.8732929175135894E-2</v>
      </c>
      <c r="AX8" s="23">
        <v>1.20306787922476E-2</v>
      </c>
      <c r="AY8" s="16">
        <v>0.15621819275209001</v>
      </c>
      <c r="AZ8" s="16">
        <v>2.95836818188689E-2</v>
      </c>
      <c r="BA8" s="18">
        <v>1.0119508062412015</v>
      </c>
      <c r="BB8" s="18">
        <v>-1.9243966466520197</v>
      </c>
      <c r="BC8" s="18">
        <v>8.1761484496582497</v>
      </c>
    </row>
    <row r="9" spans="1:59" x14ac:dyDescent="0.25">
      <c r="A9" s="15" t="s">
        <v>18</v>
      </c>
      <c r="B9" s="16">
        <v>0.36516163611226798</v>
      </c>
      <c r="C9" s="17"/>
      <c r="D9" s="19">
        <v>365</v>
      </c>
      <c r="E9" s="19"/>
      <c r="F9" s="18">
        <v>68.631809730000001</v>
      </c>
      <c r="G9" s="18"/>
      <c r="H9" s="18"/>
      <c r="I9" s="18"/>
      <c r="J9" s="54"/>
      <c r="K9" s="54"/>
      <c r="L9" s="54"/>
      <c r="M9" s="1"/>
      <c r="N9" s="1"/>
      <c r="O9" s="1"/>
      <c r="AA9" s="15" t="s">
        <v>26</v>
      </c>
      <c r="AB9" s="16">
        <v>0.10415722716452799</v>
      </c>
      <c r="AC9" s="23">
        <v>2.8615745110634201E-2</v>
      </c>
      <c r="AD9" s="16">
        <v>5.5397551503622099E-2</v>
      </c>
      <c r="AE9" s="50">
        <v>-7.3287190867590401E-3</v>
      </c>
      <c r="AF9" s="16">
        <v>8.8641812543785899E-3</v>
      </c>
      <c r="AG9" s="17">
        <v>1.0311456359907301</v>
      </c>
      <c r="AH9" s="18">
        <v>-8.5529249332917008</v>
      </c>
      <c r="AI9" s="18">
        <v>19.594840851392899</v>
      </c>
      <c r="AJ9" s="9">
        <v>0.499861288181496</v>
      </c>
      <c r="AV9" s="15" t="s">
        <v>26</v>
      </c>
      <c r="AW9" s="16">
        <v>0.10415722716452799</v>
      </c>
      <c r="AX9" s="23">
        <v>2.8615745110634201E-2</v>
      </c>
      <c r="AY9" s="16">
        <v>5.5397551503622099E-2</v>
      </c>
      <c r="AZ9" s="16">
        <v>8.8641812543785899E-3</v>
      </c>
      <c r="BA9" s="18">
        <v>1.0239451393319936</v>
      </c>
      <c r="BB9" s="18">
        <v>-8.5529249332917008</v>
      </c>
      <c r="BC9" s="18">
        <v>19.594840851392899</v>
      </c>
    </row>
    <row r="10" spans="1:59" x14ac:dyDescent="0.25">
      <c r="A10" s="15" t="s">
        <v>19</v>
      </c>
      <c r="B10" s="16">
        <v>4.1333778886518201E-2</v>
      </c>
      <c r="C10" s="17"/>
      <c r="D10" s="19">
        <v>351.5</v>
      </c>
      <c r="E10" s="19"/>
      <c r="F10" s="18">
        <v>69.696396059999998</v>
      </c>
      <c r="G10" s="18"/>
      <c r="H10" s="18"/>
      <c r="I10" s="18"/>
      <c r="J10" s="54"/>
      <c r="K10" s="54"/>
      <c r="L10" s="54"/>
      <c r="M10" s="1"/>
      <c r="N10" s="1"/>
      <c r="O10" s="1"/>
      <c r="AA10" s="15" t="s">
        <v>27</v>
      </c>
      <c r="AB10" s="16">
        <v>4.66251429291673E-2</v>
      </c>
      <c r="AC10" s="23">
        <v>4.4113621235337297E-2</v>
      </c>
      <c r="AD10" s="16">
        <v>6.9883057908481996E-2</v>
      </c>
      <c r="AE10" s="49">
        <v>0.10941628444022999</v>
      </c>
      <c r="AF10" s="16">
        <v>1.32778322661357E-2</v>
      </c>
      <c r="AG10" s="17">
        <v>1.0328896319418399</v>
      </c>
      <c r="AH10" s="18">
        <v>-6.8910153198931301</v>
      </c>
      <c r="AI10" s="18">
        <v>17.2552427011953</v>
      </c>
      <c r="AJ10" s="9">
        <v>0.40695810522245701</v>
      </c>
      <c r="AV10" s="15" t="s">
        <v>27</v>
      </c>
      <c r="AW10" s="16">
        <v>4.66251429291673E-2</v>
      </c>
      <c r="AX10" s="23">
        <v>4.4113621235337297E-2</v>
      </c>
      <c r="AY10" s="16">
        <v>6.9883057908481996E-2</v>
      </c>
      <c r="AZ10" s="16">
        <v>1.32778322661357E-2</v>
      </c>
      <c r="BA10" s="18">
        <v>1.0275460447393339</v>
      </c>
      <c r="BB10" s="18">
        <v>-6.8910153198931301</v>
      </c>
      <c r="BC10" s="18">
        <v>17.2552427011953</v>
      </c>
    </row>
    <row r="11" spans="1:59" x14ac:dyDescent="0.25">
      <c r="A11" s="15" t="s">
        <v>20</v>
      </c>
      <c r="B11" s="16">
        <v>9.4513218106104094E-2</v>
      </c>
      <c r="C11" s="20"/>
      <c r="D11" s="19"/>
      <c r="E11" s="19"/>
      <c r="F11" s="18">
        <v>112.55085055666601</v>
      </c>
      <c r="G11" s="18"/>
      <c r="H11" s="18"/>
      <c r="I11" s="18"/>
      <c r="J11" s="54"/>
      <c r="K11" s="54"/>
      <c r="L11" s="54"/>
      <c r="M11" s="1"/>
      <c r="N11" s="1"/>
      <c r="O11" s="1"/>
      <c r="AA11" s="15" t="s">
        <v>28</v>
      </c>
      <c r="AB11" s="16">
        <v>9.0894558490112708E-3</v>
      </c>
      <c r="AC11" s="22">
        <v>-8.0536265843332393E-3</v>
      </c>
      <c r="AD11" s="16">
        <v>7.8645648239850305E-2</v>
      </c>
      <c r="AE11" s="50">
        <v>-8.4675321487204705E-2</v>
      </c>
      <c r="AF11" s="24">
        <v>-6.0975544853349099E-2</v>
      </c>
      <c r="AG11" s="17">
        <v>1.0327006459464001</v>
      </c>
      <c r="AH11" s="18">
        <v>-4.3261384988685592</v>
      </c>
      <c r="AI11" s="18">
        <v>17.024424898784201</v>
      </c>
      <c r="AJ11" s="9">
        <v>5.4056282725128302E-2</v>
      </c>
      <c r="AV11" s="15" t="s">
        <v>28</v>
      </c>
      <c r="AW11" s="16">
        <v>9.0894558490112708E-3</v>
      </c>
      <c r="AX11" s="22">
        <v>-8.0536265843332393E-3</v>
      </c>
      <c r="AY11" s="16">
        <v>7.8645648239850305E-2</v>
      </c>
      <c r="AZ11" s="24">
        <v>-6.0975544853349099E-2</v>
      </c>
      <c r="BA11" s="18">
        <v>1.0275826446035865</v>
      </c>
      <c r="BB11" s="18">
        <v>-4.3261384988685592</v>
      </c>
      <c r="BC11" s="18">
        <v>17.024424898784201</v>
      </c>
    </row>
    <row r="12" spans="1:59" x14ac:dyDescent="0.25">
      <c r="A12" s="15" t="s">
        <v>21</v>
      </c>
      <c r="B12" s="16">
        <v>4.2663094228711902E-2</v>
      </c>
      <c r="C12" s="20"/>
      <c r="D12" s="19">
        <v>22</v>
      </c>
      <c r="E12" s="19"/>
      <c r="F12" s="18">
        <v>117.49299123</v>
      </c>
      <c r="G12" s="18"/>
      <c r="H12" s="18"/>
      <c r="I12" s="18"/>
      <c r="J12" s="54"/>
      <c r="K12" s="54"/>
      <c r="L12" s="54"/>
      <c r="M12" s="1"/>
      <c r="N12" s="1"/>
      <c r="O12" s="1"/>
      <c r="AA12" s="15" t="s">
        <v>29</v>
      </c>
      <c r="AB12" s="16">
        <v>-1.7278096303121701E-2</v>
      </c>
      <c r="AC12" s="22">
        <v>-2.13677287576714E-2</v>
      </c>
      <c r="AD12" s="16">
        <v>2.1496979213356301E-3</v>
      </c>
      <c r="AE12" s="50">
        <v>-4.46763074582908E-2</v>
      </c>
      <c r="AF12" s="24">
        <v>-1.77749404385871E-2</v>
      </c>
      <c r="AG12" s="17">
        <v>1.06939420314209</v>
      </c>
      <c r="AH12" s="18">
        <v>-8.6900508235792202</v>
      </c>
      <c r="AI12" s="18">
        <v>15.1069524712688</v>
      </c>
      <c r="AJ12" s="9">
        <v>0.26690920736687102</v>
      </c>
      <c r="AV12" s="15" t="s">
        <v>30</v>
      </c>
      <c r="AW12" s="16">
        <v>2.0373962034653699E-2</v>
      </c>
      <c r="AX12" s="23">
        <v>2.7450804091866201E-2</v>
      </c>
      <c r="AY12" s="16">
        <v>0.101236914763633</v>
      </c>
      <c r="AZ12" s="16">
        <v>3.08855730575289E-3</v>
      </c>
      <c r="BA12" s="18">
        <v>1.111235100018195</v>
      </c>
      <c r="BB12" s="18">
        <v>-7.4420412056407592</v>
      </c>
      <c r="BC12" s="18">
        <v>21.9579587943592</v>
      </c>
    </row>
    <row r="13" spans="1:59" x14ac:dyDescent="0.25">
      <c r="A13" s="15" t="s">
        <v>24</v>
      </c>
      <c r="B13" s="16">
        <v>8.8732929175135894E-2</v>
      </c>
      <c r="C13" s="17">
        <v>113.72040256</v>
      </c>
      <c r="D13" s="19">
        <v>21</v>
      </c>
      <c r="E13" s="19">
        <v>21</v>
      </c>
      <c r="F13" s="18">
        <v>115.079453056666</v>
      </c>
      <c r="G13" s="18">
        <f>F13/C13</f>
        <v>1.0119508062412015</v>
      </c>
      <c r="H13" s="18">
        <v>8.1761484496582497</v>
      </c>
      <c r="I13" s="18">
        <v>-1.9243966466520197</v>
      </c>
      <c r="J13" s="54"/>
      <c r="K13" s="54"/>
      <c r="L13" s="54"/>
      <c r="M13" s="1"/>
      <c r="N13" s="1"/>
      <c r="O13" s="1"/>
      <c r="AA13" s="15" t="s">
        <v>30</v>
      </c>
      <c r="AB13" s="16">
        <v>2.0373962034653699E-2</v>
      </c>
      <c r="AC13" s="23">
        <v>2.7450804091866201E-2</v>
      </c>
      <c r="AD13" s="16">
        <v>0.101236914763633</v>
      </c>
      <c r="AE13" s="50">
        <v>-1.53118918462132E-3</v>
      </c>
      <c r="AF13" s="16">
        <v>3.08855730575289E-3</v>
      </c>
      <c r="AG13" s="17">
        <v>1.12591121276406</v>
      </c>
      <c r="AH13" s="18">
        <v>-7.4420412056407592</v>
      </c>
      <c r="AI13" s="18">
        <v>21.9579587943592</v>
      </c>
      <c r="AJ13" s="9">
        <v>0.45125668170602201</v>
      </c>
    </row>
    <row r="14" spans="1:59" x14ac:dyDescent="0.25">
      <c r="A14" s="15" t="s">
        <v>25</v>
      </c>
      <c r="B14" s="16">
        <v>-1.9463558010346702E-2</v>
      </c>
      <c r="C14" s="17"/>
      <c r="D14" s="19">
        <v>21.5</v>
      </c>
      <c r="E14" s="19"/>
      <c r="F14" s="18">
        <v>119.222878299999</v>
      </c>
      <c r="G14" s="18"/>
      <c r="H14" s="18"/>
      <c r="I14" s="18"/>
      <c r="J14" s="54"/>
      <c r="K14" s="54"/>
      <c r="L14" s="54"/>
      <c r="M14" s="1"/>
      <c r="N14" s="1"/>
      <c r="O14" s="1"/>
      <c r="AA14" s="15" t="s">
        <v>31</v>
      </c>
      <c r="AB14" s="16">
        <v>-2.50118292734785E-2</v>
      </c>
      <c r="AC14" s="22">
        <v>-4.0077224600602597E-2</v>
      </c>
      <c r="AD14" s="16">
        <v>0.107400232693555</v>
      </c>
      <c r="AE14" s="50">
        <v>-0.17920927988478999</v>
      </c>
      <c r="AF14" s="24">
        <v>-5.3081166180475401E-3</v>
      </c>
      <c r="AG14" s="17">
        <v>1.06457347177821</v>
      </c>
      <c r="AH14" s="18">
        <v>-8.2060847497882605</v>
      </c>
      <c r="AI14" s="18">
        <v>16.640165980770899</v>
      </c>
      <c r="AJ14" s="9">
        <v>0.51242235468873398</v>
      </c>
    </row>
    <row r="15" spans="1:59" ht="15.75" thickBot="1" x14ac:dyDescent="0.3">
      <c r="A15" s="15" t="s">
        <v>26</v>
      </c>
      <c r="B15" s="16">
        <v>0.10415722716452799</v>
      </c>
      <c r="C15" s="17">
        <v>112.66319882000001</v>
      </c>
      <c r="D15" s="19">
        <v>75</v>
      </c>
      <c r="E15" s="19">
        <v>96.5</v>
      </c>
      <c r="F15" s="18">
        <v>115.360934813333</v>
      </c>
      <c r="G15" s="17">
        <v>1.0311456359907301</v>
      </c>
      <c r="H15" s="18">
        <v>19.594840851392899</v>
      </c>
      <c r="I15" s="18">
        <v>-8.5529249332917008</v>
      </c>
      <c r="J15" s="54"/>
      <c r="K15" s="54"/>
      <c r="L15" s="54"/>
      <c r="M15" s="1"/>
      <c r="N15" s="1"/>
      <c r="O15" s="1"/>
      <c r="AF15" s="2"/>
      <c r="AG15" s="2"/>
      <c r="AH15" s="8"/>
      <c r="AI15" s="1"/>
      <c r="AJ15" s="1"/>
      <c r="BF15" t="s">
        <v>35</v>
      </c>
    </row>
    <row r="16" spans="1:59" ht="15.75" thickBot="1" x14ac:dyDescent="0.3">
      <c r="A16" s="15" t="s">
        <v>27</v>
      </c>
      <c r="B16" s="16">
        <v>4.66251429291673E-2</v>
      </c>
      <c r="C16" s="17">
        <v>114.89097618</v>
      </c>
      <c r="D16" s="19">
        <v>47.5</v>
      </c>
      <c r="E16" s="19">
        <v>47.5</v>
      </c>
      <c r="F16" s="18">
        <v>118.05576815000001</v>
      </c>
      <c r="G16" s="17">
        <v>1.0328896319418399</v>
      </c>
      <c r="H16" s="18">
        <v>17.2552427011953</v>
      </c>
      <c r="I16" s="18">
        <v>-6.8910153198931301</v>
      </c>
      <c r="J16" s="54"/>
      <c r="K16" s="54"/>
      <c r="L16" s="54"/>
      <c r="M16" s="1"/>
      <c r="N16" s="1"/>
      <c r="O16" s="1"/>
      <c r="AJ16" s="1"/>
      <c r="AV16" t="s">
        <v>34</v>
      </c>
      <c r="BF16" s="29" t="s">
        <v>39</v>
      </c>
      <c r="BG16" s="29"/>
    </row>
    <row r="17" spans="1:66" ht="15.75" thickBot="1" x14ac:dyDescent="0.3">
      <c r="A17" s="15" t="s">
        <v>28</v>
      </c>
      <c r="B17" s="16">
        <v>9.0894558490112708E-3</v>
      </c>
      <c r="C17" s="17">
        <v>116.55531655999999</v>
      </c>
      <c r="D17" s="19">
        <v>23.5</v>
      </c>
      <c r="E17" s="19">
        <v>23.5</v>
      </c>
      <c r="F17" s="18">
        <v>119.77022043333299</v>
      </c>
      <c r="G17" s="17">
        <v>1.0327006459464001</v>
      </c>
      <c r="H17" s="18">
        <v>17.024424898784201</v>
      </c>
      <c r="I17" s="18">
        <v>-4.3261384988685592</v>
      </c>
      <c r="J17" s="54"/>
      <c r="K17" s="54"/>
      <c r="L17" s="54"/>
      <c r="M17" s="1"/>
      <c r="N17" s="1"/>
      <c r="O17" s="1"/>
      <c r="AA17" s="30" t="s">
        <v>61</v>
      </c>
      <c r="AB17" s="31"/>
      <c r="AC17" s="31"/>
      <c r="AD17" s="31"/>
      <c r="AE17" s="31"/>
      <c r="AF17" s="31"/>
      <c r="AG17" s="31"/>
      <c r="AH17" s="31"/>
      <c r="AI17" s="31"/>
      <c r="AJ17" s="1"/>
      <c r="AK17" s="37" t="s">
        <v>62</v>
      </c>
      <c r="AL17" s="37"/>
      <c r="AM17" s="37"/>
      <c r="AN17" s="37"/>
      <c r="AO17" s="37"/>
      <c r="AP17" s="37"/>
      <c r="AQ17" s="37"/>
      <c r="AR17" s="37"/>
      <c r="AS17" s="37"/>
      <c r="AV17" s="29" t="s">
        <v>39</v>
      </c>
      <c r="AW17" s="29"/>
      <c r="BF17" s="26" t="s">
        <v>40</v>
      </c>
      <c r="BG17" s="26">
        <v>0.64669026366329108</v>
      </c>
    </row>
    <row r="18" spans="1:66" x14ac:dyDescent="0.25">
      <c r="A18" s="15" t="s">
        <v>29</v>
      </c>
      <c r="B18" s="16">
        <v>-1.7278096303121701E-2</v>
      </c>
      <c r="C18" s="17">
        <v>118.40602251999999</v>
      </c>
      <c r="D18" s="19">
        <v>20</v>
      </c>
      <c r="E18" s="19">
        <v>47.75</v>
      </c>
      <c r="F18" s="18">
        <v>125.17995179</v>
      </c>
      <c r="G18" s="17">
        <v>1.06939420314209</v>
      </c>
      <c r="H18" s="18">
        <v>15.1069524712688</v>
      </c>
      <c r="I18" s="18">
        <v>-8.6900508235792202</v>
      </c>
      <c r="J18" s="54"/>
      <c r="K18" s="54"/>
      <c r="L18" s="54"/>
      <c r="M18" s="1"/>
      <c r="N18" s="1"/>
      <c r="O18" s="1"/>
      <c r="AA18" s="32" t="s">
        <v>39</v>
      </c>
      <c r="AB18" s="32"/>
      <c r="AC18" s="31"/>
      <c r="AD18" s="31"/>
      <c r="AE18" s="31"/>
      <c r="AF18" s="31"/>
      <c r="AG18" s="31"/>
      <c r="AH18" s="31"/>
      <c r="AI18" s="31"/>
      <c r="AJ18" s="1"/>
      <c r="AK18" s="38" t="s">
        <v>39</v>
      </c>
      <c r="AL18" s="38"/>
      <c r="AM18" s="37"/>
      <c r="AN18" s="37"/>
      <c r="AO18" s="37"/>
      <c r="AP18" s="37"/>
      <c r="AQ18" s="37"/>
      <c r="AR18" s="37"/>
      <c r="AS18" s="37"/>
      <c r="AV18" s="26" t="s">
        <v>40</v>
      </c>
      <c r="AW18" s="26">
        <v>0.63939641425597205</v>
      </c>
      <c r="BF18" s="26" t="s">
        <v>41</v>
      </c>
      <c r="BG18" s="26">
        <v>0.41820829711689689</v>
      </c>
    </row>
    <row r="19" spans="1:66" x14ac:dyDescent="0.25">
      <c r="A19" s="15" t="s">
        <v>30</v>
      </c>
      <c r="B19" s="16">
        <v>2.0373962034653699E-2</v>
      </c>
      <c r="C19" s="17">
        <v>115.75512236</v>
      </c>
      <c r="D19" s="19">
        <v>23.75</v>
      </c>
      <c r="E19" s="19">
        <v>23.75</v>
      </c>
      <c r="F19" s="18">
        <v>128.631154973333</v>
      </c>
      <c r="G19" s="17">
        <v>1.12591121276406</v>
      </c>
      <c r="H19" s="18">
        <v>21.9579587943592</v>
      </c>
      <c r="I19" s="18">
        <v>-7.4420412056407592</v>
      </c>
      <c r="J19" s="54"/>
      <c r="K19" s="54"/>
      <c r="L19" s="54"/>
      <c r="N19" s="1"/>
      <c r="O19" s="1"/>
      <c r="AA19" s="33" t="s">
        <v>40</v>
      </c>
      <c r="AB19" s="36">
        <v>0.75447563985903232</v>
      </c>
      <c r="AC19" s="31"/>
      <c r="AD19" s="31"/>
      <c r="AE19" s="31"/>
      <c r="AF19" s="31"/>
      <c r="AG19" s="31"/>
      <c r="AH19" s="31"/>
      <c r="AI19" s="31"/>
      <c r="AJ19" s="1"/>
      <c r="AK19" s="39" t="s">
        <v>40</v>
      </c>
      <c r="AL19" s="36">
        <v>0.61098104839357625</v>
      </c>
      <c r="AM19" s="37"/>
      <c r="AN19" s="37"/>
      <c r="AO19" s="37"/>
      <c r="AP19" s="37"/>
      <c r="AQ19" s="37"/>
      <c r="AR19" s="37"/>
      <c r="AS19" s="37"/>
      <c r="AV19" s="26" t="s">
        <v>41</v>
      </c>
      <c r="AW19" s="26">
        <v>0.40882777456339459</v>
      </c>
      <c r="BF19" s="26" t="s">
        <v>42</v>
      </c>
      <c r="BG19" s="26">
        <v>0.18549161596365565</v>
      </c>
    </row>
    <row r="20" spans="1:66" x14ac:dyDescent="0.25">
      <c r="A20" s="15" t="s">
        <v>31</v>
      </c>
      <c r="B20" s="16">
        <v>-2.50118292734785E-2</v>
      </c>
      <c r="C20" s="17">
        <v>121.12197168</v>
      </c>
      <c r="D20" s="19">
        <v>23.5</v>
      </c>
      <c r="E20" s="19">
        <v>23.5</v>
      </c>
      <c r="F20" s="18">
        <v>127.417386873333</v>
      </c>
      <c r="G20" s="17">
        <v>1.06457347177821</v>
      </c>
      <c r="H20" s="18">
        <v>16.640165980770899</v>
      </c>
      <c r="I20" s="18">
        <v>-8.2060847497882605</v>
      </c>
      <c r="J20" s="54"/>
      <c r="K20" s="54"/>
      <c r="L20" s="54"/>
      <c r="N20" s="1"/>
      <c r="O20" s="1"/>
      <c r="AA20" s="33" t="s">
        <v>41</v>
      </c>
      <c r="AB20" s="36">
        <v>0.56923349114069632</v>
      </c>
      <c r="AC20" s="31"/>
      <c r="AD20" s="31"/>
      <c r="AE20" s="31"/>
      <c r="AF20" s="31"/>
      <c r="AG20" s="31"/>
      <c r="AH20" s="31"/>
      <c r="AI20" s="31"/>
      <c r="AJ20" s="1"/>
      <c r="AK20" s="39" t="s">
        <v>41</v>
      </c>
      <c r="AL20" s="36">
        <v>0.373297841496114</v>
      </c>
      <c r="AM20" s="37"/>
      <c r="AN20" s="37"/>
      <c r="AO20" s="37"/>
      <c r="AP20" s="37"/>
      <c r="AQ20" s="37"/>
      <c r="AR20" s="37"/>
      <c r="AS20" s="37"/>
      <c r="AV20" s="26" t="s">
        <v>42</v>
      </c>
      <c r="AW20" s="26">
        <v>0.17235888438875246</v>
      </c>
      <c r="BF20" s="26" t="s">
        <v>43</v>
      </c>
      <c r="BG20" s="26">
        <v>0.18181409667905082</v>
      </c>
    </row>
    <row r="21" spans="1:66" ht="15.75" thickBot="1" x14ac:dyDescent="0.3">
      <c r="A21" s="1"/>
      <c r="B21" s="6"/>
      <c r="D21" s="1"/>
      <c r="F21" s="9"/>
      <c r="G21" s="6"/>
      <c r="H21" s="6"/>
      <c r="I21" s="6"/>
      <c r="J21" s="6"/>
      <c r="K21" s="6"/>
      <c r="L21" s="6"/>
      <c r="M21" s="8"/>
      <c r="N21" s="1"/>
      <c r="O21" s="1"/>
      <c r="AA21" s="33" t="s">
        <v>42</v>
      </c>
      <c r="AB21" s="36">
        <v>0.44615734575232391</v>
      </c>
      <c r="AC21" s="31"/>
      <c r="AD21" s="31"/>
      <c r="AE21" s="31"/>
      <c r="AF21" s="31"/>
      <c r="AG21" s="31"/>
      <c r="AH21" s="31"/>
      <c r="AI21" s="31"/>
      <c r="AJ21" s="1"/>
      <c r="AK21" s="39" t="s">
        <v>42</v>
      </c>
      <c r="AL21" s="36">
        <v>0.19424008192357453</v>
      </c>
      <c r="AM21" s="37"/>
      <c r="AN21" s="37"/>
      <c r="AO21" s="37"/>
      <c r="AP21" s="37"/>
      <c r="AQ21" s="37"/>
      <c r="AR21" s="37"/>
      <c r="AS21" s="37"/>
      <c r="AV21" s="26" t="s">
        <v>43</v>
      </c>
      <c r="AW21" s="26">
        <v>6.4684848620225263E-2</v>
      </c>
      <c r="BF21" s="27" t="s">
        <v>44</v>
      </c>
      <c r="BG21" s="27">
        <v>8</v>
      </c>
    </row>
    <row r="22" spans="1:66" ht="15.75" thickBot="1" x14ac:dyDescent="0.3">
      <c r="A22" s="7" t="s">
        <v>4</v>
      </c>
      <c r="B22" s="7"/>
      <c r="C22" s="7"/>
      <c r="D22" s="1"/>
      <c r="E22" s="1"/>
      <c r="F22" s="9"/>
      <c r="G22" s="6"/>
      <c r="H22" s="6"/>
      <c r="I22" s="6"/>
      <c r="J22" s="6"/>
      <c r="K22" s="6"/>
      <c r="L22" s="6"/>
      <c r="N22" s="1"/>
      <c r="O22" s="1"/>
      <c r="AA22" s="33" t="s">
        <v>43</v>
      </c>
      <c r="AB22" s="36">
        <v>5.9085895557559935E-2</v>
      </c>
      <c r="AC22" s="31"/>
      <c r="AD22" s="31"/>
      <c r="AE22" s="31"/>
      <c r="AF22" s="31"/>
      <c r="AG22" s="31"/>
      <c r="AH22" s="31"/>
      <c r="AI22" s="31"/>
      <c r="AJ22" s="1"/>
      <c r="AK22" s="39" t="s">
        <v>43</v>
      </c>
      <c r="AL22" s="36">
        <v>0.16038868504292825</v>
      </c>
      <c r="AM22" s="37"/>
      <c r="AN22" s="37"/>
      <c r="AO22" s="37"/>
      <c r="AP22" s="37"/>
      <c r="AQ22" s="37"/>
      <c r="AR22" s="37"/>
      <c r="AS22" s="37"/>
      <c r="AV22" s="27" t="s">
        <v>44</v>
      </c>
      <c r="AW22" s="27">
        <v>8</v>
      </c>
    </row>
    <row r="23" spans="1:66" ht="41.25" thickBot="1" x14ac:dyDescent="0.3">
      <c r="A23" s="11" t="s">
        <v>0</v>
      </c>
      <c r="B23" s="11" t="s">
        <v>1</v>
      </c>
      <c r="C23" s="12" t="s">
        <v>23</v>
      </c>
      <c r="D23" s="13" t="s">
        <v>10</v>
      </c>
      <c r="E23" s="13" t="s">
        <v>11</v>
      </c>
      <c r="F23" s="13" t="s">
        <v>12</v>
      </c>
      <c r="G23" s="13" t="s">
        <v>13</v>
      </c>
      <c r="H23" s="13" t="s">
        <v>32</v>
      </c>
      <c r="I23" s="13" t="s">
        <v>33</v>
      </c>
      <c r="J23" s="52"/>
      <c r="K23" s="52"/>
      <c r="L23" s="52"/>
      <c r="M23" s="8"/>
      <c r="N23" s="1"/>
      <c r="O23" s="1"/>
      <c r="AA23" s="34" t="s">
        <v>44</v>
      </c>
      <c r="AB23" s="34">
        <v>10</v>
      </c>
      <c r="AC23" s="31"/>
      <c r="AD23" s="31"/>
      <c r="AE23" s="31"/>
      <c r="AF23" s="31"/>
      <c r="AG23" s="31"/>
      <c r="AH23" s="31"/>
      <c r="AI23" s="31"/>
      <c r="AJ23" s="1"/>
      <c r="AK23" s="40" t="s">
        <v>44</v>
      </c>
      <c r="AL23" s="40">
        <v>10</v>
      </c>
      <c r="AM23" s="37"/>
      <c r="AN23" s="37"/>
      <c r="AO23" s="37"/>
      <c r="AP23" s="37"/>
      <c r="AQ23" s="37"/>
      <c r="AR23" s="37"/>
      <c r="AS23" s="37"/>
      <c r="BF23" t="s">
        <v>45</v>
      </c>
    </row>
    <row r="24" spans="1:66" ht="15.75" thickBot="1" x14ac:dyDescent="0.3">
      <c r="A24" s="14" t="s">
        <v>14</v>
      </c>
      <c r="B24" s="22">
        <v>-0.69015600278604705</v>
      </c>
      <c r="C24" s="17"/>
      <c r="D24" s="18"/>
      <c r="E24" s="18"/>
      <c r="F24" s="18">
        <v>133.4714286</v>
      </c>
      <c r="G24" s="18"/>
      <c r="H24" s="25"/>
      <c r="I24" s="15"/>
      <c r="J24" s="53"/>
      <c r="K24" s="53"/>
      <c r="L24" s="53"/>
      <c r="M24" s="1"/>
      <c r="N24" s="1"/>
      <c r="O24" s="1"/>
      <c r="AA24" s="31"/>
      <c r="AB24" s="31"/>
      <c r="AC24" s="31"/>
      <c r="AD24" s="31"/>
      <c r="AE24" s="31"/>
      <c r="AF24" s="31"/>
      <c r="AG24" s="31"/>
      <c r="AH24" s="31"/>
      <c r="AI24" s="31"/>
      <c r="AJ24" s="1"/>
      <c r="AK24" s="37"/>
      <c r="AL24" s="37"/>
      <c r="AM24" s="37"/>
      <c r="AN24" s="37"/>
      <c r="AO24" s="37"/>
      <c r="AP24" s="37"/>
      <c r="AQ24" s="37"/>
      <c r="AR24" s="37"/>
      <c r="AS24" s="37"/>
      <c r="AV24" t="s">
        <v>45</v>
      </c>
      <c r="BF24" s="28"/>
      <c r="BG24" s="28" t="s">
        <v>50</v>
      </c>
      <c r="BH24" s="28" t="s">
        <v>34</v>
      </c>
      <c r="BI24" s="28" t="s">
        <v>51</v>
      </c>
      <c r="BJ24" s="28" t="s">
        <v>52</v>
      </c>
      <c r="BK24" s="28" t="s">
        <v>53</v>
      </c>
    </row>
    <row r="25" spans="1:66" ht="15.75" thickBot="1" x14ac:dyDescent="0.3">
      <c r="A25" s="14" t="s">
        <v>15</v>
      </c>
      <c r="B25" s="23">
        <v>1.7836570943256701E-2</v>
      </c>
      <c r="C25" s="17">
        <v>60.588347259999999</v>
      </c>
      <c r="D25" s="19">
        <v>9023.75</v>
      </c>
      <c r="E25" s="19">
        <v>9023.75</v>
      </c>
      <c r="F25" s="18">
        <v>71.117321599999997</v>
      </c>
      <c r="G25" s="18">
        <v>1.1737788669959499</v>
      </c>
      <c r="H25" s="18">
        <v>4</v>
      </c>
      <c r="I25" s="18">
        <v>-1.5</v>
      </c>
      <c r="J25" s="54"/>
      <c r="K25" s="54"/>
      <c r="L25" s="54"/>
      <c r="M25" s="1"/>
      <c r="N25" s="1"/>
      <c r="O25" s="1"/>
      <c r="AA25" s="31" t="s">
        <v>45</v>
      </c>
      <c r="AB25" s="31"/>
      <c r="AC25" s="31"/>
      <c r="AD25" s="31"/>
      <c r="AE25" s="31"/>
      <c r="AF25" s="31"/>
      <c r="AG25" s="31"/>
      <c r="AH25" s="31"/>
      <c r="AI25" s="31"/>
      <c r="AJ25" s="1"/>
      <c r="AK25" s="37" t="s">
        <v>45</v>
      </c>
      <c r="AL25" s="37"/>
      <c r="AM25" s="37"/>
      <c r="AN25" s="37"/>
      <c r="AO25" s="37"/>
      <c r="AP25" s="37"/>
      <c r="AQ25" s="37"/>
      <c r="AR25" s="37"/>
      <c r="AS25" s="37"/>
      <c r="AV25" s="28"/>
      <c r="AW25" s="28" t="s">
        <v>50</v>
      </c>
      <c r="AX25" s="28" t="s">
        <v>34</v>
      </c>
      <c r="AY25" s="28" t="s">
        <v>51</v>
      </c>
      <c r="AZ25" s="28" t="s">
        <v>52</v>
      </c>
      <c r="BA25" s="28" t="s">
        <v>53</v>
      </c>
      <c r="BF25" s="26" t="s">
        <v>46</v>
      </c>
      <c r="BG25" s="26">
        <v>2</v>
      </c>
      <c r="BH25" s="26">
        <v>0.11880924359339304</v>
      </c>
      <c r="BI25" s="26">
        <v>5.9404621796696519E-2</v>
      </c>
      <c r="BJ25" s="26">
        <v>1.7970705625589063</v>
      </c>
      <c r="BK25" s="26">
        <v>0.25817774804985977</v>
      </c>
    </row>
    <row r="26" spans="1:66" x14ac:dyDescent="0.25">
      <c r="A26" s="14" t="s">
        <v>16</v>
      </c>
      <c r="B26" s="22">
        <v>-0.54160608613664096</v>
      </c>
      <c r="C26" s="17">
        <v>73.387016439999996</v>
      </c>
      <c r="D26" s="19">
        <v>118.5</v>
      </c>
      <c r="E26" s="19">
        <v>118.5</v>
      </c>
      <c r="F26" s="18">
        <v>74.728308609999999</v>
      </c>
      <c r="G26" s="18">
        <v>1.01827696825768</v>
      </c>
      <c r="H26" s="18">
        <v>1.1385255280790201</v>
      </c>
      <c r="I26" s="18">
        <v>-0.63852552807902296</v>
      </c>
      <c r="J26" s="54"/>
      <c r="K26" s="54"/>
      <c r="L26" s="54"/>
      <c r="M26" s="1"/>
      <c r="N26" s="1"/>
      <c r="O26" s="1"/>
      <c r="AA26" s="35"/>
      <c r="AB26" s="35" t="s">
        <v>50</v>
      </c>
      <c r="AC26" s="35" t="s">
        <v>34</v>
      </c>
      <c r="AD26" s="35" t="s">
        <v>51</v>
      </c>
      <c r="AE26" s="35" t="s">
        <v>52</v>
      </c>
      <c r="AF26" s="35" t="s">
        <v>53</v>
      </c>
      <c r="AG26" s="31"/>
      <c r="AH26" s="31"/>
      <c r="AI26" s="31"/>
      <c r="AJ26" s="1"/>
      <c r="AK26" s="41"/>
      <c r="AL26" s="41" t="s">
        <v>50</v>
      </c>
      <c r="AM26" s="41" t="s">
        <v>34</v>
      </c>
      <c r="AN26" s="41" t="s">
        <v>51</v>
      </c>
      <c r="AO26" s="41" t="s">
        <v>52</v>
      </c>
      <c r="AP26" s="41" t="s">
        <v>53</v>
      </c>
      <c r="AQ26" s="37"/>
      <c r="AR26" s="37"/>
      <c r="AS26" s="37"/>
      <c r="AV26" s="26" t="s">
        <v>46</v>
      </c>
      <c r="AW26" s="26">
        <v>2</v>
      </c>
      <c r="AX26" s="26">
        <v>1.4467767056885978E-2</v>
      </c>
      <c r="AY26" s="26">
        <v>7.233883528442989E-3</v>
      </c>
      <c r="AZ26" s="26">
        <v>1.7288860884045176</v>
      </c>
      <c r="BA26" s="26">
        <v>0.26871075823374896</v>
      </c>
      <c r="BF26" s="26" t="s">
        <v>47</v>
      </c>
      <c r="BG26" s="26">
        <v>5</v>
      </c>
      <c r="BH26" s="26">
        <v>0.16528182875609618</v>
      </c>
      <c r="BI26" s="26">
        <v>3.3056365751219237E-2</v>
      </c>
      <c r="BJ26" s="26"/>
      <c r="BK26" s="26"/>
    </row>
    <row r="27" spans="1:66" ht="15.75" thickBot="1" x14ac:dyDescent="0.3">
      <c r="A27" s="14" t="s">
        <v>17</v>
      </c>
      <c r="B27" s="22">
        <v>-0.17637365181995501</v>
      </c>
      <c r="C27" s="18">
        <v>79.767295559999994</v>
      </c>
      <c r="D27" s="19">
        <v>2036.95</v>
      </c>
      <c r="E27" s="19">
        <v>2060.9499999999998</v>
      </c>
      <c r="F27" s="18">
        <v>79.767295559999994</v>
      </c>
      <c r="G27" s="18">
        <v>1</v>
      </c>
      <c r="H27" s="18">
        <v>0</v>
      </c>
      <c r="I27" s="18">
        <v>0</v>
      </c>
      <c r="J27" s="54"/>
      <c r="K27" s="54"/>
      <c r="L27" s="54"/>
      <c r="M27" s="1"/>
      <c r="N27" s="1"/>
      <c r="O27" s="1"/>
      <c r="AA27" s="33" t="s">
        <v>46</v>
      </c>
      <c r="AB27" s="33">
        <v>2</v>
      </c>
      <c r="AC27" s="33">
        <v>3.2293431718020724E-2</v>
      </c>
      <c r="AD27" s="33">
        <v>1.6146715859010362E-2</v>
      </c>
      <c r="AE27" s="33">
        <v>4.6250513399201267</v>
      </c>
      <c r="AF27" s="33">
        <v>5.2462231167775875E-2</v>
      </c>
      <c r="AG27" s="31"/>
      <c r="AH27" s="31"/>
      <c r="AI27" s="31"/>
      <c r="AJ27" s="1"/>
      <c r="AK27" s="39" t="s">
        <v>46</v>
      </c>
      <c r="AL27" s="39">
        <v>2</v>
      </c>
      <c r="AM27" s="39">
        <v>0.10726049129184273</v>
      </c>
      <c r="AN27" s="39">
        <v>5.3630245645921365E-2</v>
      </c>
      <c r="AO27" s="39">
        <v>2.0847900833076429</v>
      </c>
      <c r="AP27" s="39">
        <v>0.19485617214277737</v>
      </c>
      <c r="AQ27" s="37"/>
      <c r="AR27" s="37"/>
      <c r="AS27" s="37"/>
      <c r="AV27" s="26" t="s">
        <v>47</v>
      </c>
      <c r="AW27" s="26">
        <v>5</v>
      </c>
      <c r="AX27" s="26">
        <v>2.0920648205107296E-2</v>
      </c>
      <c r="AY27" s="26">
        <v>4.184129641021459E-3</v>
      </c>
      <c r="AZ27" s="26"/>
      <c r="BA27" s="26"/>
      <c r="BF27" s="27" t="s">
        <v>48</v>
      </c>
      <c r="BG27" s="27">
        <v>7</v>
      </c>
      <c r="BH27" s="27">
        <v>0.28409107234948922</v>
      </c>
      <c r="BI27" s="27"/>
      <c r="BJ27" s="27"/>
      <c r="BK27" s="27"/>
    </row>
    <row r="28" spans="1:66" ht="15.75" thickBot="1" x14ac:dyDescent="0.3">
      <c r="A28" s="14" t="s">
        <v>18</v>
      </c>
      <c r="B28" s="23">
        <v>0.39449354239977702</v>
      </c>
      <c r="C28" s="17"/>
      <c r="D28" s="19">
        <v>365</v>
      </c>
      <c r="E28" s="19"/>
      <c r="F28" s="18">
        <v>68.631809730000001</v>
      </c>
      <c r="G28" s="18"/>
      <c r="H28" s="18"/>
      <c r="I28" s="18"/>
      <c r="J28" s="54"/>
      <c r="K28" s="54"/>
      <c r="L28" s="54"/>
      <c r="M28" s="1"/>
      <c r="N28" s="1"/>
      <c r="O28" s="1"/>
      <c r="AA28" s="33" t="s">
        <v>47</v>
      </c>
      <c r="AB28" s="33">
        <v>7</v>
      </c>
      <c r="AC28" s="33">
        <v>2.443800137687217E-2</v>
      </c>
      <c r="AD28" s="33">
        <v>3.4911430538388812E-3</v>
      </c>
      <c r="AE28" s="33"/>
      <c r="AF28" s="33"/>
      <c r="AG28" s="31"/>
      <c r="AH28" s="31"/>
      <c r="AI28" s="31"/>
      <c r="AJ28" s="1"/>
      <c r="AK28" s="39" t="s">
        <v>47</v>
      </c>
      <c r="AL28" s="39">
        <v>7</v>
      </c>
      <c r="AM28" s="39">
        <v>0.18007171202859745</v>
      </c>
      <c r="AN28" s="39">
        <v>2.5724530289799635E-2</v>
      </c>
      <c r="AO28" s="39"/>
      <c r="AP28" s="39"/>
      <c r="AQ28" s="37"/>
      <c r="AR28" s="37"/>
      <c r="AS28" s="37"/>
      <c r="AV28" s="27" t="s">
        <v>48</v>
      </c>
      <c r="AW28" s="27">
        <v>7</v>
      </c>
      <c r="AX28" s="27">
        <v>3.5388415261993274E-2</v>
      </c>
      <c r="AY28" s="27"/>
      <c r="AZ28" s="27"/>
      <c r="BA28" s="27"/>
    </row>
    <row r="29" spans="1:66" ht="15.75" thickBot="1" x14ac:dyDescent="0.3">
      <c r="A29" s="21" t="s">
        <v>19</v>
      </c>
      <c r="B29" s="22">
        <v>-0.17371472956907899</v>
      </c>
      <c r="C29" s="17"/>
      <c r="D29" s="19">
        <v>351.5</v>
      </c>
      <c r="E29" s="19"/>
      <c r="F29" s="18">
        <v>69.696396059999998</v>
      </c>
      <c r="G29" s="18"/>
      <c r="H29" s="18"/>
      <c r="I29" s="18"/>
      <c r="J29" s="54"/>
      <c r="K29" s="54"/>
      <c r="L29" s="54"/>
      <c r="M29" s="1"/>
      <c r="N29" s="1"/>
      <c r="O29" s="1"/>
      <c r="AA29" s="34" t="s">
        <v>48</v>
      </c>
      <c r="AB29" s="34">
        <v>9</v>
      </c>
      <c r="AC29" s="34">
        <v>5.6731433094892897E-2</v>
      </c>
      <c r="AD29" s="34"/>
      <c r="AE29" s="34"/>
      <c r="AF29" s="34"/>
      <c r="AG29" s="31"/>
      <c r="AH29" s="31"/>
      <c r="AI29" s="31"/>
      <c r="AJ29" s="1"/>
      <c r="AK29" s="40" t="s">
        <v>48</v>
      </c>
      <c r="AL29" s="40">
        <v>9</v>
      </c>
      <c r="AM29" s="40">
        <v>0.28733220332044018</v>
      </c>
      <c r="AN29" s="40"/>
      <c r="AO29" s="40"/>
      <c r="AP29" s="40"/>
      <c r="AQ29" s="37"/>
      <c r="AR29" s="37"/>
      <c r="AS29" s="37"/>
      <c r="BF29" s="28"/>
      <c r="BG29" s="28" t="s">
        <v>54</v>
      </c>
      <c r="BH29" s="28" t="s">
        <v>43</v>
      </c>
      <c r="BI29" s="28" t="s">
        <v>55</v>
      </c>
      <c r="BJ29" s="28" t="s">
        <v>56</v>
      </c>
      <c r="BK29" s="28" t="s">
        <v>57</v>
      </c>
      <c r="BL29" s="28" t="s">
        <v>58</v>
      </c>
      <c r="BM29" s="28" t="s">
        <v>59</v>
      </c>
      <c r="BN29" s="28" t="s">
        <v>60</v>
      </c>
    </row>
    <row r="30" spans="1:66" ht="15.75" thickBot="1" x14ac:dyDescent="0.3">
      <c r="A30" s="15" t="s">
        <v>20</v>
      </c>
      <c r="B30" s="23">
        <v>3.4332675043980999E-2</v>
      </c>
      <c r="C30" s="20"/>
      <c r="D30" s="19">
        <v>6055.55</v>
      </c>
      <c r="E30" s="19"/>
      <c r="F30" s="18">
        <v>112.55085055666601</v>
      </c>
      <c r="G30" s="18"/>
      <c r="H30" s="18"/>
      <c r="I30" s="18"/>
      <c r="J30" s="54"/>
      <c r="K30" s="54"/>
      <c r="L30" s="54"/>
      <c r="M30" s="1"/>
      <c r="N30" s="1"/>
      <c r="O30" s="1"/>
      <c r="AA30" s="31"/>
      <c r="AB30" s="31"/>
      <c r="AC30" s="31"/>
      <c r="AD30" s="31"/>
      <c r="AE30" s="31"/>
      <c r="AF30" s="31"/>
      <c r="AG30" s="31"/>
      <c r="AH30" s="31"/>
      <c r="AI30" s="31"/>
      <c r="AJ30" s="1"/>
      <c r="AK30" s="37"/>
      <c r="AL30" s="37"/>
      <c r="AM30" s="37"/>
      <c r="AN30" s="37"/>
      <c r="AO30" s="37"/>
      <c r="AP30" s="37"/>
      <c r="AQ30" s="37"/>
      <c r="AR30" s="37"/>
      <c r="AS30" s="37"/>
      <c r="AV30" s="28"/>
      <c r="AW30" s="28" t="s">
        <v>54</v>
      </c>
      <c r="AX30" s="28" t="s">
        <v>43</v>
      </c>
      <c r="AY30" s="28" t="s">
        <v>55</v>
      </c>
      <c r="AZ30" s="28" t="s">
        <v>56</v>
      </c>
      <c r="BA30" s="28" t="s">
        <v>57</v>
      </c>
      <c r="BB30" s="28" t="s">
        <v>58</v>
      </c>
      <c r="BC30" s="28" t="s">
        <v>59</v>
      </c>
      <c r="BD30" s="28" t="s">
        <v>60</v>
      </c>
      <c r="BF30" s="26" t="s">
        <v>49</v>
      </c>
      <c r="BG30" s="26">
        <v>-1.195315653107293</v>
      </c>
      <c r="BH30" s="26">
        <v>1.191608537898637</v>
      </c>
      <c r="BI30" s="26">
        <v>-1.0031110176628923</v>
      </c>
      <c r="BJ30" s="26">
        <v>0.36185273760739334</v>
      </c>
      <c r="BK30" s="26">
        <v>-4.2584429158186765</v>
      </c>
      <c r="BL30" s="26">
        <v>1.8678116096040904</v>
      </c>
      <c r="BM30" s="26">
        <v>-4.2584429158186765</v>
      </c>
      <c r="BN30" s="26">
        <v>1.8678116096040904</v>
      </c>
    </row>
    <row r="31" spans="1:66" x14ac:dyDescent="0.25">
      <c r="A31" s="15" t="s">
        <v>21</v>
      </c>
      <c r="B31" s="23">
        <v>2.8668980226143202E-2</v>
      </c>
      <c r="C31" s="20"/>
      <c r="D31" s="19">
        <v>22</v>
      </c>
      <c r="E31" s="19"/>
      <c r="F31" s="18">
        <v>117.49299123</v>
      </c>
      <c r="G31" s="18"/>
      <c r="H31" s="18"/>
      <c r="I31" s="18"/>
      <c r="J31" s="54"/>
      <c r="K31" s="54"/>
      <c r="L31" s="54"/>
      <c r="M31" s="1"/>
      <c r="N31" s="1"/>
      <c r="O31" s="1"/>
      <c r="AA31" s="35"/>
      <c r="AB31" s="35" t="s">
        <v>54</v>
      </c>
      <c r="AC31" s="35" t="s">
        <v>43</v>
      </c>
      <c r="AD31" s="35" t="s">
        <v>55</v>
      </c>
      <c r="AE31" s="35" t="s">
        <v>56</v>
      </c>
      <c r="AF31" s="35" t="s">
        <v>57</v>
      </c>
      <c r="AG31" s="35" t="s">
        <v>58</v>
      </c>
      <c r="AH31" s="35" t="s">
        <v>59</v>
      </c>
      <c r="AI31" s="35" t="s">
        <v>60</v>
      </c>
      <c r="AJ31" s="1"/>
      <c r="AK31" s="41"/>
      <c r="AL31" s="41" t="s">
        <v>54</v>
      </c>
      <c r="AM31" s="41" t="s">
        <v>43</v>
      </c>
      <c r="AN31" s="41" t="s">
        <v>55</v>
      </c>
      <c r="AO31" s="41" t="s">
        <v>56</v>
      </c>
      <c r="AP31" s="41" t="s">
        <v>57</v>
      </c>
      <c r="AQ31" s="41" t="s">
        <v>58</v>
      </c>
      <c r="AR31" s="41" t="s">
        <v>59</v>
      </c>
      <c r="AS31" s="41" t="s">
        <v>60</v>
      </c>
      <c r="AV31" s="26" t="s">
        <v>49</v>
      </c>
      <c r="AW31" s="26">
        <v>5.3747127857290411E-3</v>
      </c>
      <c r="AX31" s="26">
        <v>0.42394412367598661</v>
      </c>
      <c r="AY31" s="26">
        <v>1.2677880139310161E-2</v>
      </c>
      <c r="AZ31" s="26">
        <v>0.99037509317035732</v>
      </c>
      <c r="BA31" s="26">
        <v>-1.0844083508605176</v>
      </c>
      <c r="BB31" s="26">
        <v>1.0951577764319758</v>
      </c>
      <c r="BC31" s="26">
        <v>-1.0844083508605176</v>
      </c>
      <c r="BD31" s="26">
        <v>1.0951577764319758</v>
      </c>
      <c r="BF31" s="26" t="s">
        <v>13</v>
      </c>
      <c r="BG31" s="26">
        <v>0.94235237879801748</v>
      </c>
      <c r="BH31" s="26">
        <v>1.1365443595336113</v>
      </c>
      <c r="BI31" s="26">
        <v>0.82913823019166466</v>
      </c>
      <c r="BJ31" s="26">
        <v>0.44479191524306583</v>
      </c>
      <c r="BK31" s="26">
        <v>-1.9792279072139931</v>
      </c>
      <c r="BL31" s="26">
        <v>3.8639326648100281</v>
      </c>
      <c r="BM31" s="26">
        <v>-1.9792279072139931</v>
      </c>
      <c r="BN31" s="26">
        <v>3.8639326648100281</v>
      </c>
    </row>
    <row r="32" spans="1:66" ht="15.75" thickBot="1" x14ac:dyDescent="0.3">
      <c r="A32" s="15" t="s">
        <v>24</v>
      </c>
      <c r="B32" s="23">
        <v>1.20306787922476E-2</v>
      </c>
      <c r="C32" s="17">
        <v>113.72040256</v>
      </c>
      <c r="D32" s="19">
        <v>21</v>
      </c>
      <c r="E32" s="19">
        <v>21</v>
      </c>
      <c r="F32" s="18">
        <v>115.079453056666</v>
      </c>
      <c r="G32" s="18">
        <f>F32/C32</f>
        <v>1.0119508062412015</v>
      </c>
      <c r="H32" s="18">
        <v>8.1761484496582497</v>
      </c>
      <c r="I32" s="18">
        <v>-1.9243966466520197</v>
      </c>
      <c r="J32" s="54"/>
      <c r="K32" s="54"/>
      <c r="L32" s="54"/>
      <c r="M32" s="1"/>
      <c r="N32" s="1"/>
      <c r="O32" s="1"/>
      <c r="AA32" s="33" t="s">
        <v>49</v>
      </c>
      <c r="AB32" s="33">
        <v>9.4621035073114701E-3</v>
      </c>
      <c r="AC32" s="33">
        <v>0.3871056070431822</v>
      </c>
      <c r="AD32" s="33">
        <v>2.4443209643966637E-2</v>
      </c>
      <c r="AE32" s="33">
        <v>0.98118128812476257</v>
      </c>
      <c r="AF32" s="33">
        <v>-0.90589720283454389</v>
      </c>
      <c r="AG32" s="33">
        <v>0.92482140984916683</v>
      </c>
      <c r="AH32" s="33">
        <v>-0.90589720283454389</v>
      </c>
      <c r="AI32" s="33">
        <v>0.92482140984916683</v>
      </c>
      <c r="AJ32" s="1"/>
      <c r="AK32" s="39" t="s">
        <v>49</v>
      </c>
      <c r="AL32" s="39">
        <v>-1.1835468513327072</v>
      </c>
      <c r="AM32" s="39">
        <v>1.0507983115177904</v>
      </c>
      <c r="AN32" s="39">
        <v>-1.1263311316356921</v>
      </c>
      <c r="AO32" s="39">
        <v>0.29715241337808557</v>
      </c>
      <c r="AP32" s="39">
        <v>-3.6682900222804244</v>
      </c>
      <c r="AQ32" s="39">
        <v>1.30119631961501</v>
      </c>
      <c r="AR32" s="39">
        <v>-3.6682900222804244</v>
      </c>
      <c r="AS32" s="39">
        <v>1.30119631961501</v>
      </c>
      <c r="AV32" s="26" t="s">
        <v>13</v>
      </c>
      <c r="AW32" s="26">
        <v>0.13498255527153569</v>
      </c>
      <c r="AX32" s="26">
        <v>0.40435368428213525</v>
      </c>
      <c r="AY32" s="26">
        <v>0.3338229884344332</v>
      </c>
      <c r="AZ32" s="26">
        <v>0.75205857744634208</v>
      </c>
      <c r="BA32" s="26">
        <v>-0.90444168071674247</v>
      </c>
      <c r="BB32" s="26">
        <v>1.174406791259814</v>
      </c>
      <c r="BC32" s="26">
        <v>-0.90444168071674247</v>
      </c>
      <c r="BD32" s="26">
        <v>1.174406791259814</v>
      </c>
      <c r="BF32" s="27" t="s">
        <v>33</v>
      </c>
      <c r="BG32" s="27">
        <v>-3.3769292142629526E-2</v>
      </c>
      <c r="BH32" s="27">
        <v>2.0523635794965786E-2</v>
      </c>
      <c r="BI32" s="27">
        <v>-1.6453854706831597</v>
      </c>
      <c r="BJ32" s="27">
        <v>0.16080946538808036</v>
      </c>
      <c r="BK32" s="27">
        <v>-8.6526977518383855E-2</v>
      </c>
      <c r="BL32" s="27">
        <v>1.8988393233124803E-2</v>
      </c>
      <c r="BM32" s="27">
        <v>-8.6526977518383855E-2</v>
      </c>
      <c r="BN32" s="27">
        <v>1.8988393233124803E-2</v>
      </c>
    </row>
    <row r="33" spans="1:63" ht="15.75" thickBot="1" x14ac:dyDescent="0.3">
      <c r="A33" s="15" t="s">
        <v>25</v>
      </c>
      <c r="B33" s="23">
        <v>2.7386597361713599E-2</v>
      </c>
      <c r="C33" s="17"/>
      <c r="D33" s="19">
        <v>21.5</v>
      </c>
      <c r="E33" s="19"/>
      <c r="F33" s="18">
        <v>119.222878299999</v>
      </c>
      <c r="G33" s="18"/>
      <c r="H33" s="18"/>
      <c r="I33" s="18"/>
      <c r="J33" s="54"/>
      <c r="K33" s="54"/>
      <c r="L33" s="54"/>
      <c r="M33" s="1"/>
      <c r="N33" s="1"/>
      <c r="O33" s="1"/>
      <c r="AA33" s="33" t="s">
        <v>13</v>
      </c>
      <c r="AB33" s="33">
        <v>0.13685186036028596</v>
      </c>
      <c r="AC33" s="33">
        <v>0.36927553749559999</v>
      </c>
      <c r="AD33" s="33">
        <v>0.37059552140497959</v>
      </c>
      <c r="AE33" s="33">
        <v>0.72189896017696464</v>
      </c>
      <c r="AF33" s="33">
        <v>-0.73634603112177055</v>
      </c>
      <c r="AG33" s="33">
        <v>1.0100497518423426</v>
      </c>
      <c r="AH33" s="33">
        <v>-0.73634603112177055</v>
      </c>
      <c r="AI33" s="33">
        <v>1.0100497518423426</v>
      </c>
      <c r="AJ33" s="1"/>
      <c r="AK33" s="39" t="s">
        <v>13</v>
      </c>
      <c r="AL33" s="39">
        <v>0.94345136573787258</v>
      </c>
      <c r="AM33" s="39">
        <v>1.0023985812272547</v>
      </c>
      <c r="AN33" s="39">
        <v>0.94119383587194227</v>
      </c>
      <c r="AO33" s="39">
        <v>0.3779426283901085</v>
      </c>
      <c r="AP33" s="39">
        <v>-1.426844629194294</v>
      </c>
      <c r="AQ33" s="39">
        <v>3.3137473606700389</v>
      </c>
      <c r="AR33" s="39">
        <v>-1.426844629194294</v>
      </c>
      <c r="AS33" s="39">
        <v>3.3137473606700389</v>
      </c>
      <c r="AV33" s="27" t="s">
        <v>33</v>
      </c>
      <c r="AW33" s="27">
        <v>1.349066245094353E-2</v>
      </c>
      <c r="AX33" s="27">
        <v>7.3017895684816016E-3</v>
      </c>
      <c r="AY33" s="27">
        <v>1.8475830239173678</v>
      </c>
      <c r="AZ33" s="27">
        <v>0.12393324186321493</v>
      </c>
      <c r="BA33" s="27">
        <v>-5.279185181434002E-3</v>
      </c>
      <c r="BB33" s="27">
        <v>3.2260510083321065E-2</v>
      </c>
      <c r="BC33" s="27">
        <v>-5.279185181434002E-3</v>
      </c>
      <c r="BD33" s="27">
        <v>3.2260510083321065E-2</v>
      </c>
    </row>
    <row r="34" spans="1:63" ht="15.75" thickBot="1" x14ac:dyDescent="0.3">
      <c r="A34" s="15" t="s">
        <v>26</v>
      </c>
      <c r="B34" s="23">
        <v>2.8615745110634201E-2</v>
      </c>
      <c r="C34" s="17">
        <v>112.66319882000001</v>
      </c>
      <c r="D34" s="19">
        <v>75</v>
      </c>
      <c r="E34" s="19">
        <v>96.5</v>
      </c>
      <c r="F34" s="18">
        <v>115.360934813333</v>
      </c>
      <c r="G34" s="17">
        <v>1.0311456359907301</v>
      </c>
      <c r="H34" s="18">
        <v>19.594840851392899</v>
      </c>
      <c r="I34" s="18">
        <v>-8.5529249332917008</v>
      </c>
      <c r="J34" s="54"/>
      <c r="K34" s="54"/>
      <c r="L34" s="54"/>
      <c r="M34" s="1"/>
      <c r="N34" s="1"/>
      <c r="O34" s="1"/>
      <c r="AA34" s="34" t="s">
        <v>33</v>
      </c>
      <c r="AB34" s="34">
        <v>1.7026192508576152E-2</v>
      </c>
      <c r="AC34" s="34">
        <v>5.6031732043792587E-3</v>
      </c>
      <c r="AD34" s="34">
        <v>3.0386696765448962</v>
      </c>
      <c r="AE34" s="34">
        <v>1.8882296589419353E-2</v>
      </c>
      <c r="AF34" s="34">
        <v>3.7767932636261024E-3</v>
      </c>
      <c r="AG34" s="34">
        <v>3.0275591753526204E-2</v>
      </c>
      <c r="AH34" s="34">
        <v>3.7767932636261024E-3</v>
      </c>
      <c r="AI34" s="34">
        <v>3.0275591753526204E-2</v>
      </c>
      <c r="AJ34" s="1"/>
      <c r="AK34" s="40" t="s">
        <v>33</v>
      </c>
      <c r="AL34" s="40">
        <v>-2.6333080593606905E-2</v>
      </c>
      <c r="AM34" s="40">
        <v>1.5209815707078248E-2</v>
      </c>
      <c r="AN34" s="40">
        <v>-1.731321476916527</v>
      </c>
      <c r="AO34" s="40">
        <v>0.12700526854237526</v>
      </c>
      <c r="AP34" s="40">
        <v>-6.2298579676820995E-2</v>
      </c>
      <c r="AQ34" s="40">
        <v>9.6324184896071814E-3</v>
      </c>
      <c r="AR34" s="40">
        <v>-6.2298579676820995E-2</v>
      </c>
      <c r="AS34" s="40">
        <v>9.6324184896071814E-3</v>
      </c>
    </row>
    <row r="35" spans="1:63" x14ac:dyDescent="0.25">
      <c r="A35" s="15" t="s">
        <v>27</v>
      </c>
      <c r="B35" s="23">
        <v>4.4113621235337297E-2</v>
      </c>
      <c r="C35" s="17">
        <v>114.89097618</v>
      </c>
      <c r="D35" s="19">
        <v>47.5</v>
      </c>
      <c r="E35" s="19">
        <v>47.5</v>
      </c>
      <c r="F35" s="18">
        <v>118.05576815000001</v>
      </c>
      <c r="G35" s="17">
        <v>1.0328896319418399</v>
      </c>
      <c r="H35" s="18">
        <v>17.2552427011953</v>
      </c>
      <c r="I35" s="18">
        <v>-6.8910153198931301</v>
      </c>
      <c r="J35" s="54"/>
      <c r="K35" s="54"/>
      <c r="L35" s="54"/>
      <c r="M35" s="1"/>
      <c r="N35" s="1"/>
      <c r="O35" s="1"/>
      <c r="AJ35" s="1"/>
    </row>
    <row r="36" spans="1:63" ht="15.75" thickBot="1" x14ac:dyDescent="0.3">
      <c r="A36" s="15" t="s">
        <v>28</v>
      </c>
      <c r="B36" s="22">
        <v>-8.0536265843332393E-3</v>
      </c>
      <c r="C36" s="17">
        <v>116.55531655999999</v>
      </c>
      <c r="D36" s="19">
        <v>23.5</v>
      </c>
      <c r="E36" s="19">
        <v>23.5</v>
      </c>
      <c r="F36" s="18">
        <v>119.77022043333299</v>
      </c>
      <c r="G36" s="17">
        <v>1.0327006459464001</v>
      </c>
      <c r="H36" s="18">
        <v>17.024424898784201</v>
      </c>
      <c r="I36" s="18">
        <v>-4.3261384988685592</v>
      </c>
      <c r="J36" s="54"/>
      <c r="K36" s="54"/>
      <c r="L36" s="54"/>
      <c r="M36" s="1"/>
      <c r="N36" s="1"/>
      <c r="O36" s="1"/>
      <c r="AA36" s="44" t="s">
        <v>36</v>
      </c>
      <c r="AB36" s="43"/>
      <c r="AC36" s="43"/>
      <c r="AD36" s="43"/>
      <c r="AE36" s="43"/>
      <c r="AF36" s="43"/>
      <c r="AG36" s="43"/>
      <c r="AH36" s="43"/>
      <c r="AI36" s="43"/>
      <c r="AJ36" s="1"/>
      <c r="AV36" t="s">
        <v>36</v>
      </c>
    </row>
    <row r="37" spans="1:63" ht="15.75" thickBot="1" x14ac:dyDescent="0.3">
      <c r="A37" s="15" t="s">
        <v>29</v>
      </c>
      <c r="B37" s="22">
        <v>-2.13677287576714E-2</v>
      </c>
      <c r="C37" s="17">
        <v>118.40602251999999</v>
      </c>
      <c r="D37" s="19">
        <v>20</v>
      </c>
      <c r="E37" s="19">
        <v>47.75</v>
      </c>
      <c r="F37" s="18">
        <v>125.17995179</v>
      </c>
      <c r="G37" s="17">
        <v>1.06939420314209</v>
      </c>
      <c r="H37" s="18">
        <v>15.1069524712688</v>
      </c>
      <c r="I37" s="18">
        <v>-8.6900508235792202</v>
      </c>
      <c r="J37" s="54"/>
      <c r="K37" s="54"/>
      <c r="L37" s="54"/>
      <c r="M37" s="1"/>
      <c r="N37" s="1"/>
      <c r="O37" s="1"/>
      <c r="AA37" s="42" t="s">
        <v>39</v>
      </c>
      <c r="AB37" s="42"/>
      <c r="AC37" s="43"/>
      <c r="AD37" s="43"/>
      <c r="AE37" s="43"/>
      <c r="AF37" s="43"/>
      <c r="AG37" s="43"/>
      <c r="AH37" s="43"/>
      <c r="AI37" s="43"/>
      <c r="AJ37" s="1"/>
      <c r="AK37" s="29" t="s">
        <v>39</v>
      </c>
      <c r="AL37" s="29"/>
      <c r="AV37" s="29" t="s">
        <v>39</v>
      </c>
      <c r="AW37" s="29"/>
      <c r="BF37" t="s">
        <v>37</v>
      </c>
    </row>
    <row r="38" spans="1:63" x14ac:dyDescent="0.25">
      <c r="A38" s="15" t="s">
        <v>30</v>
      </c>
      <c r="B38" s="23">
        <v>2.7450804091866201E-2</v>
      </c>
      <c r="C38" s="17">
        <v>115.75512236</v>
      </c>
      <c r="D38" s="19">
        <v>23.75</v>
      </c>
      <c r="E38" s="19">
        <v>23.75</v>
      </c>
      <c r="F38" s="18">
        <v>128.631154973333</v>
      </c>
      <c r="G38" s="17">
        <v>1.12591121276406</v>
      </c>
      <c r="H38" s="18">
        <v>21.9579587943592</v>
      </c>
      <c r="I38" s="18">
        <v>-7.4420412056407592</v>
      </c>
      <c r="J38" s="54"/>
      <c r="K38" s="54"/>
      <c r="L38" s="54"/>
      <c r="M38" s="1"/>
      <c r="N38" s="1"/>
      <c r="O38" s="1"/>
      <c r="AA38" s="44" t="s">
        <v>40</v>
      </c>
      <c r="AB38" s="36">
        <v>0.71052758696385732</v>
      </c>
      <c r="AC38" s="43"/>
      <c r="AD38" s="43"/>
      <c r="AE38" s="43"/>
      <c r="AF38" s="43"/>
      <c r="AG38" s="43"/>
      <c r="AH38" s="43"/>
      <c r="AI38" s="43"/>
      <c r="AJ38" s="1"/>
      <c r="AK38" s="26" t="s">
        <v>40</v>
      </c>
      <c r="AL38" s="26">
        <v>0.81667320319882508</v>
      </c>
      <c r="AV38" s="26" t="s">
        <v>40</v>
      </c>
      <c r="AW38" s="26">
        <v>0.75433603951952644</v>
      </c>
      <c r="BF38" s="29" t="s">
        <v>39</v>
      </c>
      <c r="BG38" s="29"/>
    </row>
    <row r="39" spans="1:63" x14ac:dyDescent="0.25">
      <c r="A39" s="15" t="s">
        <v>31</v>
      </c>
      <c r="B39" s="22">
        <v>-4.0077224600602597E-2</v>
      </c>
      <c r="C39" s="17">
        <v>121.12197168</v>
      </c>
      <c r="D39" s="19">
        <v>23.5</v>
      </c>
      <c r="E39" s="19">
        <v>23.5</v>
      </c>
      <c r="F39" s="18">
        <v>127.417386873333</v>
      </c>
      <c r="G39" s="17">
        <v>1.06457347177821</v>
      </c>
      <c r="H39" s="18">
        <v>16.640165980770899</v>
      </c>
      <c r="I39" s="18">
        <v>-8.2060847497882605</v>
      </c>
      <c r="J39" s="54"/>
      <c r="K39" s="54"/>
      <c r="L39" s="54"/>
      <c r="M39" s="1"/>
      <c r="N39" s="1"/>
      <c r="O39" s="1"/>
      <c r="AA39" s="44" t="s">
        <v>41</v>
      </c>
      <c r="AB39" s="36">
        <v>0.50484945183668184</v>
      </c>
      <c r="AC39" s="43"/>
      <c r="AD39" s="43"/>
      <c r="AE39" s="43"/>
      <c r="AF39" s="43"/>
      <c r="AG39" s="43"/>
      <c r="AH39" s="43"/>
      <c r="AI39" s="43"/>
      <c r="AJ39" s="1"/>
      <c r="AK39" s="26" t="s">
        <v>41</v>
      </c>
      <c r="AL39" s="26">
        <v>0.66695512082302943</v>
      </c>
      <c r="AV39" s="26" t="s">
        <v>41</v>
      </c>
      <c r="AW39" s="26">
        <v>0.56902286051800455</v>
      </c>
      <c r="BF39" s="26" t="s">
        <v>40</v>
      </c>
      <c r="BG39" s="26">
        <v>0.83943379218723624</v>
      </c>
    </row>
    <row r="40" spans="1:63" x14ac:dyDescent="0.25">
      <c r="M40" s="1"/>
      <c r="N40" s="1"/>
      <c r="O40" s="1"/>
      <c r="AA40" s="44" t="s">
        <v>42</v>
      </c>
      <c r="AB40" s="36">
        <v>0.36337786664716237</v>
      </c>
      <c r="AC40" s="43"/>
      <c r="AD40" s="43"/>
      <c r="AE40" s="43"/>
      <c r="AF40" s="43"/>
      <c r="AG40" s="43"/>
      <c r="AH40" s="43"/>
      <c r="AI40" s="43"/>
      <c r="AJ40" s="1"/>
      <c r="AK40" s="26" t="s">
        <v>42</v>
      </c>
      <c r="AL40" s="26">
        <v>0.5717994410581807</v>
      </c>
      <c r="AV40" s="26" t="s">
        <v>42</v>
      </c>
      <c r="AW40" s="26">
        <v>0.39663200472520632</v>
      </c>
      <c r="BF40" s="26" t="s">
        <v>41</v>
      </c>
      <c r="BG40" s="26">
        <v>0.70464909146584409</v>
      </c>
    </row>
    <row r="41" spans="1:63" ht="40.5" x14ac:dyDescent="0.25">
      <c r="A41" s="11" t="s">
        <v>6</v>
      </c>
      <c r="B41" s="11" t="s">
        <v>1</v>
      </c>
      <c r="C41" s="12" t="s">
        <v>23</v>
      </c>
      <c r="D41" s="13" t="s">
        <v>10</v>
      </c>
      <c r="E41" s="13" t="s">
        <v>11</v>
      </c>
      <c r="F41" s="13" t="s">
        <v>12</v>
      </c>
      <c r="G41" s="13" t="s">
        <v>13</v>
      </c>
      <c r="H41" s="13" t="s">
        <v>32</v>
      </c>
      <c r="I41" s="13" t="s">
        <v>33</v>
      </c>
      <c r="J41" s="52"/>
      <c r="K41" s="52"/>
      <c r="L41" s="52"/>
      <c r="M41" s="1"/>
      <c r="N41" s="1"/>
      <c r="O41" s="1"/>
      <c r="AA41" s="44" t="s">
        <v>43</v>
      </c>
      <c r="AB41" s="44">
        <v>3.6992165941744759E-2</v>
      </c>
      <c r="AC41" s="43"/>
      <c r="AD41" s="43"/>
      <c r="AE41" s="43"/>
      <c r="AF41" s="43"/>
      <c r="AG41" s="43"/>
      <c r="AH41" s="43"/>
      <c r="AI41" s="43"/>
      <c r="AJ41" s="1"/>
      <c r="AK41" s="26" t="s">
        <v>43</v>
      </c>
      <c r="AL41" s="26">
        <v>0.1445251291895934</v>
      </c>
      <c r="AV41" s="26" t="s">
        <v>43</v>
      </c>
      <c r="AW41" s="26">
        <v>2.9259173820015492E-2</v>
      </c>
      <c r="BF41" s="26" t="s">
        <v>42</v>
      </c>
      <c r="BG41" s="26">
        <v>0.58650872805218168</v>
      </c>
    </row>
    <row r="42" spans="1:63" ht="15.75" thickBot="1" x14ac:dyDescent="0.3">
      <c r="A42" s="15" t="s">
        <v>14</v>
      </c>
      <c r="B42" s="23">
        <v>0.57681691180727601</v>
      </c>
      <c r="C42" s="17"/>
      <c r="D42" s="18"/>
      <c r="E42" s="18"/>
      <c r="F42" s="18">
        <v>133.4714286</v>
      </c>
      <c r="G42" s="18"/>
      <c r="H42" s="25"/>
      <c r="I42" s="15"/>
      <c r="J42" s="53"/>
      <c r="K42" s="53"/>
      <c r="L42" s="53"/>
      <c r="M42" s="1"/>
      <c r="N42" s="1"/>
      <c r="O42" s="1"/>
      <c r="AA42" s="45" t="s">
        <v>44</v>
      </c>
      <c r="AB42" s="45">
        <v>10</v>
      </c>
      <c r="AC42" s="43"/>
      <c r="AD42" s="43"/>
      <c r="AE42" s="43"/>
      <c r="AF42" s="43"/>
      <c r="AG42" s="43"/>
      <c r="AH42" s="43"/>
      <c r="AI42" s="43"/>
      <c r="AJ42" s="1"/>
      <c r="AK42" s="27" t="s">
        <v>44</v>
      </c>
      <c r="AL42" s="27">
        <v>10</v>
      </c>
      <c r="AV42" s="27" t="s">
        <v>44</v>
      </c>
      <c r="AW42" s="27">
        <v>8</v>
      </c>
      <c r="BF42" s="26" t="s">
        <v>43</v>
      </c>
      <c r="BG42" s="26">
        <v>0.1698896174772859</v>
      </c>
    </row>
    <row r="43" spans="1:63" ht="15.75" thickBot="1" x14ac:dyDescent="0.3">
      <c r="A43" s="15" t="s">
        <v>15</v>
      </c>
      <c r="B43" s="23">
        <v>0.13233171245622599</v>
      </c>
      <c r="C43" s="17">
        <v>60.588347259999999</v>
      </c>
      <c r="D43" s="19">
        <v>9023.75</v>
      </c>
      <c r="E43" s="19">
        <v>9023.75</v>
      </c>
      <c r="F43" s="18">
        <v>71.117321599999997</v>
      </c>
      <c r="G43" s="18">
        <v>1.1737788669959499</v>
      </c>
      <c r="H43" s="18">
        <v>4</v>
      </c>
      <c r="I43" s="18">
        <v>-1.5</v>
      </c>
      <c r="J43" s="54"/>
      <c r="K43" s="54"/>
      <c r="L43" s="54"/>
      <c r="M43" s="1"/>
      <c r="N43" s="1"/>
      <c r="O43" s="1"/>
      <c r="AA43" s="43"/>
      <c r="AB43" s="43"/>
      <c r="AC43" s="43"/>
      <c r="AD43" s="43"/>
      <c r="AE43" s="43"/>
      <c r="AF43" s="43"/>
      <c r="AG43" s="43"/>
      <c r="AH43" s="43"/>
      <c r="AI43" s="43"/>
      <c r="AJ43" s="1"/>
      <c r="BF43" s="27" t="s">
        <v>44</v>
      </c>
      <c r="BG43" s="27">
        <v>8</v>
      </c>
    </row>
    <row r="44" spans="1:63" ht="15.75" thickBot="1" x14ac:dyDescent="0.3">
      <c r="A44" s="15" t="s">
        <v>16</v>
      </c>
      <c r="B44" s="23">
        <v>8.9326261366187695E-2</v>
      </c>
      <c r="C44" s="17">
        <v>73.387016439999996</v>
      </c>
      <c r="D44" s="19">
        <v>118.5</v>
      </c>
      <c r="E44" s="19">
        <v>118.5</v>
      </c>
      <c r="F44" s="18">
        <v>74.728308609999999</v>
      </c>
      <c r="G44" s="18">
        <v>1.01827696825768</v>
      </c>
      <c r="H44" s="18">
        <v>1.1385255280790201</v>
      </c>
      <c r="I44" s="18">
        <v>-0.63852552807902296</v>
      </c>
      <c r="J44" s="54"/>
      <c r="K44" s="54"/>
      <c r="L44" s="5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AA44" s="43" t="s">
        <v>45</v>
      </c>
      <c r="AB44" s="43"/>
      <c r="AC44" s="43"/>
      <c r="AD44" s="43"/>
      <c r="AE44" s="43"/>
      <c r="AF44" s="43"/>
      <c r="AG44" s="43"/>
      <c r="AH44" s="43"/>
      <c r="AI44" s="43"/>
      <c r="AK44" t="s">
        <v>45</v>
      </c>
      <c r="AV44" t="s">
        <v>45</v>
      </c>
    </row>
    <row r="45" spans="1:63" ht="15.75" thickBot="1" x14ac:dyDescent="0.3">
      <c r="A45" s="15" t="s">
        <v>17</v>
      </c>
      <c r="B45" s="23">
        <v>0.14884070399999999</v>
      </c>
      <c r="C45" s="17">
        <v>79.767295559999994</v>
      </c>
      <c r="D45" s="19">
        <v>2036.95</v>
      </c>
      <c r="E45" s="19">
        <v>2060.9499999999998</v>
      </c>
      <c r="F45" s="18">
        <v>79.767295559999994</v>
      </c>
      <c r="G45" s="18">
        <v>1</v>
      </c>
      <c r="H45" s="18">
        <v>0</v>
      </c>
      <c r="I45" s="18">
        <v>0</v>
      </c>
      <c r="J45" s="54"/>
      <c r="K45" s="54"/>
      <c r="L45" s="54"/>
      <c r="O45" s="1"/>
      <c r="Y45" s="1"/>
      <c r="AA45" s="46"/>
      <c r="AB45" s="46" t="s">
        <v>50</v>
      </c>
      <c r="AC45" s="46" t="s">
        <v>34</v>
      </c>
      <c r="AD45" s="46" t="s">
        <v>51</v>
      </c>
      <c r="AE45" s="46" t="s">
        <v>52</v>
      </c>
      <c r="AF45" s="46" t="s">
        <v>53</v>
      </c>
      <c r="AG45" s="43"/>
      <c r="AH45" s="43"/>
      <c r="AI45" s="43"/>
      <c r="AK45" s="28"/>
      <c r="AL45" s="28" t="s">
        <v>50</v>
      </c>
      <c r="AM45" s="28" t="s">
        <v>34</v>
      </c>
      <c r="AN45" s="28" t="s">
        <v>51</v>
      </c>
      <c r="AO45" s="28" t="s">
        <v>52</v>
      </c>
      <c r="AP45" s="28" t="s">
        <v>53</v>
      </c>
      <c r="AV45" s="28"/>
      <c r="AW45" s="28" t="s">
        <v>50</v>
      </c>
      <c r="AX45" s="28" t="s">
        <v>34</v>
      </c>
      <c r="AY45" s="28" t="s">
        <v>51</v>
      </c>
      <c r="AZ45" s="28" t="s">
        <v>52</v>
      </c>
      <c r="BA45" s="28" t="s">
        <v>53</v>
      </c>
      <c r="BF45" t="s">
        <v>45</v>
      </c>
    </row>
    <row r="46" spans="1:63" x14ac:dyDescent="0.25">
      <c r="A46" s="15" t="s">
        <v>18</v>
      </c>
      <c r="B46" s="23">
        <v>0.164262280281398</v>
      </c>
      <c r="C46" s="17"/>
      <c r="D46" s="19">
        <v>365</v>
      </c>
      <c r="E46" s="19"/>
      <c r="F46" s="18">
        <v>68.631809730000001</v>
      </c>
      <c r="G46" s="18"/>
      <c r="H46" s="18"/>
      <c r="I46" s="18"/>
      <c r="J46" s="54"/>
      <c r="K46" s="54"/>
      <c r="L46" s="54"/>
      <c r="N46" s="2"/>
      <c r="O46" s="1"/>
      <c r="Y46" s="1"/>
      <c r="AA46" s="44" t="s">
        <v>46</v>
      </c>
      <c r="AB46" s="44">
        <v>2</v>
      </c>
      <c r="AC46" s="44">
        <v>9.7665726745286199E-3</v>
      </c>
      <c r="AD46" s="44">
        <v>4.8832863372643099E-3</v>
      </c>
      <c r="AE46" s="44">
        <v>3.568557255934969</v>
      </c>
      <c r="AF46" s="44">
        <v>8.5424102500179275E-2</v>
      </c>
      <c r="AG46" s="43"/>
      <c r="AH46" s="43"/>
      <c r="AI46" s="43"/>
      <c r="AK46" s="26" t="s">
        <v>46</v>
      </c>
      <c r="AL46" s="26">
        <v>2</v>
      </c>
      <c r="AM46" s="26">
        <v>0.29280509096680318</v>
      </c>
      <c r="AN46" s="26">
        <v>0.14640254548340159</v>
      </c>
      <c r="AO46" s="26">
        <v>7.0090941756837504</v>
      </c>
      <c r="AP46" s="26">
        <v>2.1318648130072754E-2</v>
      </c>
      <c r="AV46" s="26" t="s">
        <v>46</v>
      </c>
      <c r="AW46" s="26">
        <v>2</v>
      </c>
      <c r="AX46" s="26">
        <v>5.6515763945657136E-3</v>
      </c>
      <c r="AY46" s="26">
        <v>2.8257881972828568E-3</v>
      </c>
      <c r="AZ46" s="26">
        <v>3.300771713796296</v>
      </c>
      <c r="BA46" s="26">
        <v>0.12193702240509977</v>
      </c>
      <c r="BF46" s="28"/>
      <c r="BG46" s="28" t="s">
        <v>50</v>
      </c>
      <c r="BH46" s="28" t="s">
        <v>34</v>
      </c>
      <c r="BI46" s="28" t="s">
        <v>51</v>
      </c>
      <c r="BJ46" s="28" t="s">
        <v>52</v>
      </c>
      <c r="BK46" s="28" t="s">
        <v>53</v>
      </c>
    </row>
    <row r="47" spans="1:63" x14ac:dyDescent="0.25">
      <c r="A47" s="15" t="s">
        <v>19</v>
      </c>
      <c r="B47" s="22">
        <v>-4.45444212598241E-2</v>
      </c>
      <c r="C47" s="17"/>
      <c r="D47" s="19">
        <v>351.5</v>
      </c>
      <c r="E47" s="19"/>
      <c r="F47" s="18">
        <v>69.696396059999998</v>
      </c>
      <c r="G47" s="18"/>
      <c r="H47" s="18"/>
      <c r="I47" s="18"/>
      <c r="J47" s="54"/>
      <c r="K47" s="54"/>
      <c r="L47" s="54"/>
      <c r="N47" s="2"/>
      <c r="O47" s="1"/>
      <c r="Y47" s="1"/>
      <c r="AA47" s="44" t="s">
        <v>47</v>
      </c>
      <c r="AB47" s="44">
        <v>7</v>
      </c>
      <c r="AC47" s="44">
        <v>9.5789423874310681E-3</v>
      </c>
      <c r="AD47" s="44">
        <v>1.3684203410615811E-3</v>
      </c>
      <c r="AE47" s="44"/>
      <c r="AF47" s="44"/>
      <c r="AG47" s="43"/>
      <c r="AH47" s="43"/>
      <c r="AI47" s="43"/>
      <c r="AK47" s="26" t="s">
        <v>47</v>
      </c>
      <c r="AL47" s="26">
        <v>7</v>
      </c>
      <c r="AM47" s="26">
        <v>0.14621259077088064</v>
      </c>
      <c r="AN47" s="26">
        <v>2.0887512967268661E-2</v>
      </c>
      <c r="AO47" s="26"/>
      <c r="AP47" s="26"/>
      <c r="AV47" s="26" t="s">
        <v>47</v>
      </c>
      <c r="AW47" s="26">
        <v>5</v>
      </c>
      <c r="AX47" s="26">
        <v>4.2804962631493998E-3</v>
      </c>
      <c r="AY47" s="26">
        <v>8.5609925262987994E-4</v>
      </c>
      <c r="AZ47" s="26"/>
      <c r="BA47" s="26"/>
      <c r="BF47" s="26" t="s">
        <v>46</v>
      </c>
      <c r="BG47" s="26">
        <v>2</v>
      </c>
      <c r="BH47" s="26">
        <v>0.34430098605216819</v>
      </c>
      <c r="BI47" s="26">
        <v>0.17215049302608409</v>
      </c>
      <c r="BJ47" s="26">
        <v>5.9645075662968106</v>
      </c>
      <c r="BK47" s="26">
        <v>4.7407360725670908E-2</v>
      </c>
    </row>
    <row r="48" spans="1:63" ht="15.75" thickBot="1" x14ac:dyDescent="0.3">
      <c r="A48" s="15" t="s">
        <v>20</v>
      </c>
      <c r="B48" s="16">
        <v>5.1856335362832198E-2</v>
      </c>
      <c r="C48" s="20"/>
      <c r="D48" s="19">
        <v>6055.55</v>
      </c>
      <c r="E48" s="19"/>
      <c r="F48" s="18">
        <v>112.55085055666601</v>
      </c>
      <c r="G48" s="18"/>
      <c r="H48" s="18"/>
      <c r="I48" s="18"/>
      <c r="J48" s="54"/>
      <c r="K48" s="54"/>
      <c r="L48" s="54"/>
      <c r="N48" s="2"/>
      <c r="O48" s="1"/>
      <c r="Y48" s="1"/>
      <c r="AA48" s="45" t="s">
        <v>48</v>
      </c>
      <c r="AB48" s="45">
        <v>9</v>
      </c>
      <c r="AC48" s="45">
        <v>1.9345515061959688E-2</v>
      </c>
      <c r="AD48" s="45"/>
      <c r="AE48" s="45"/>
      <c r="AF48" s="45"/>
      <c r="AG48" s="43"/>
      <c r="AH48" s="43"/>
      <c r="AI48" s="43"/>
      <c r="AK48" s="27" t="s">
        <v>48</v>
      </c>
      <c r="AL48" s="27">
        <v>9</v>
      </c>
      <c r="AM48" s="27">
        <v>0.43901768173768385</v>
      </c>
      <c r="AN48" s="27"/>
      <c r="AO48" s="27"/>
      <c r="AP48" s="27"/>
      <c r="AV48" s="27" t="s">
        <v>48</v>
      </c>
      <c r="AW48" s="27">
        <v>7</v>
      </c>
      <c r="AX48" s="27">
        <v>9.9320726577151134E-3</v>
      </c>
      <c r="AY48" s="27"/>
      <c r="AZ48" s="27"/>
      <c r="BA48" s="27"/>
      <c r="BF48" s="26" t="s">
        <v>47</v>
      </c>
      <c r="BG48" s="26">
        <v>5</v>
      </c>
      <c r="BH48" s="26">
        <v>0.14431241063289266</v>
      </c>
      <c r="BI48" s="26">
        <v>2.8862482126578531E-2</v>
      </c>
      <c r="BJ48" s="26"/>
      <c r="BK48" s="26"/>
    </row>
    <row r="49" spans="1:66" ht="15.75" thickBot="1" x14ac:dyDescent="0.3">
      <c r="A49" s="15" t="s">
        <v>21</v>
      </c>
      <c r="B49" s="16">
        <v>0.103368750113241</v>
      </c>
      <c r="C49" s="20"/>
      <c r="D49" s="19">
        <v>22</v>
      </c>
      <c r="E49" s="19"/>
      <c r="F49" s="18">
        <v>117.49299123</v>
      </c>
      <c r="G49" s="18"/>
      <c r="H49" s="18"/>
      <c r="I49" s="18"/>
      <c r="J49" s="54"/>
      <c r="K49" s="54"/>
      <c r="L49" s="54"/>
      <c r="N49" s="2"/>
      <c r="O49" s="1"/>
      <c r="Y49" s="1"/>
      <c r="AA49" s="43"/>
      <c r="AB49" s="43"/>
      <c r="AC49" s="43"/>
      <c r="AD49" s="43"/>
      <c r="AE49" s="43"/>
      <c r="AF49" s="43"/>
      <c r="AG49" s="43"/>
      <c r="AH49" s="43"/>
      <c r="AI49" s="43"/>
      <c r="BF49" s="27" t="s">
        <v>48</v>
      </c>
      <c r="BG49" s="27">
        <v>7</v>
      </c>
      <c r="BH49" s="27">
        <v>0.48861339668506087</v>
      </c>
      <c r="BI49" s="27"/>
      <c r="BJ49" s="27"/>
      <c r="BK49" s="27"/>
    </row>
    <row r="50" spans="1:66" x14ac:dyDescent="0.25">
      <c r="A50" s="15" t="s">
        <v>24</v>
      </c>
      <c r="B50" s="16">
        <v>0.15621819275209001</v>
      </c>
      <c r="C50" s="17">
        <v>113.72040256</v>
      </c>
      <c r="D50" s="19">
        <v>21</v>
      </c>
      <c r="E50" s="19">
        <v>21</v>
      </c>
      <c r="F50" s="18">
        <v>115.079453056666</v>
      </c>
      <c r="G50" s="18">
        <f>F50/C50</f>
        <v>1.0119508062412015</v>
      </c>
      <c r="H50" s="18">
        <v>8.1761484496582497</v>
      </c>
      <c r="I50" s="18">
        <v>-1.9243966466520197</v>
      </c>
      <c r="J50" s="54"/>
      <c r="K50" s="54"/>
      <c r="L50" s="54"/>
      <c r="N50" s="2"/>
      <c r="O50" s="1"/>
      <c r="Y50" s="1"/>
      <c r="AA50" s="46"/>
      <c r="AB50" s="46" t="s">
        <v>54</v>
      </c>
      <c r="AC50" s="46" t="s">
        <v>43</v>
      </c>
      <c r="AD50" s="46" t="s">
        <v>55</v>
      </c>
      <c r="AE50" s="46" t="s">
        <v>56</v>
      </c>
      <c r="AF50" s="46" t="s">
        <v>57</v>
      </c>
      <c r="AG50" s="46" t="s">
        <v>58</v>
      </c>
      <c r="AH50" s="46" t="s">
        <v>59</v>
      </c>
      <c r="AI50" s="46" t="s">
        <v>60</v>
      </c>
      <c r="AK50" s="28"/>
      <c r="AL50" s="28" t="s">
        <v>54</v>
      </c>
      <c r="AM50" s="28" t="s">
        <v>43</v>
      </c>
      <c r="AN50" s="28" t="s">
        <v>55</v>
      </c>
      <c r="AO50" s="28" t="s">
        <v>56</v>
      </c>
      <c r="AP50" s="28" t="s">
        <v>57</v>
      </c>
      <c r="AQ50" s="28" t="s">
        <v>58</v>
      </c>
      <c r="AR50" s="28" t="s">
        <v>59</v>
      </c>
      <c r="AS50" s="28" t="s">
        <v>60</v>
      </c>
      <c r="AV50" s="28"/>
      <c r="AW50" s="28" t="s">
        <v>54</v>
      </c>
      <c r="AX50" s="28" t="s">
        <v>43</v>
      </c>
      <c r="AY50" s="28" t="s">
        <v>55</v>
      </c>
      <c r="AZ50" s="28" t="s">
        <v>56</v>
      </c>
      <c r="BA50" s="28" t="s">
        <v>57</v>
      </c>
      <c r="BB50" s="28" t="s">
        <v>58</v>
      </c>
      <c r="BC50" s="28" t="s">
        <v>59</v>
      </c>
      <c r="BD50" s="28" t="s">
        <v>60</v>
      </c>
    </row>
    <row r="51" spans="1:66" x14ac:dyDescent="0.25">
      <c r="A51" s="15" t="s">
        <v>25</v>
      </c>
      <c r="B51" s="16">
        <v>0.15071577677020101</v>
      </c>
      <c r="C51" s="17"/>
      <c r="D51" s="19">
        <v>21.5</v>
      </c>
      <c r="E51" s="19"/>
      <c r="F51" s="18">
        <v>119.222878299999</v>
      </c>
      <c r="G51" s="18"/>
      <c r="H51" s="18"/>
      <c r="I51" s="18"/>
      <c r="J51" s="54"/>
      <c r="K51" s="54"/>
      <c r="L51" s="54"/>
      <c r="N51" s="2"/>
      <c r="O51" s="1"/>
      <c r="Y51" s="1"/>
      <c r="AA51" s="44" t="s">
        <v>49</v>
      </c>
      <c r="AB51" s="44">
        <v>2.7191760812252531E-2</v>
      </c>
      <c r="AC51" s="44">
        <v>0.24235690629028694</v>
      </c>
      <c r="AD51" s="44">
        <v>0.11219717741273341</v>
      </c>
      <c r="AE51" s="44">
        <v>0.91381667616702977</v>
      </c>
      <c r="AF51" s="44">
        <v>-0.54589125734276001</v>
      </c>
      <c r="AG51" s="44">
        <v>0.600274778967265</v>
      </c>
      <c r="AH51" s="44">
        <v>-0.54589125734276001</v>
      </c>
      <c r="AI51" s="44">
        <v>0.600274778967265</v>
      </c>
      <c r="AK51" s="26" t="s">
        <v>49</v>
      </c>
      <c r="AL51" s="26">
        <v>1.4361728029697169</v>
      </c>
      <c r="AM51" s="26">
        <v>0.93644034793985709</v>
      </c>
      <c r="AN51" s="26">
        <v>1.5336511355253513</v>
      </c>
      <c r="AO51" s="26">
        <v>0.1689841959294115</v>
      </c>
      <c r="AP51" s="26">
        <v>-0.77815675393885453</v>
      </c>
      <c r="AQ51" s="26">
        <v>3.6505023598782884</v>
      </c>
      <c r="AR51" s="26">
        <v>-0.77815675393885453</v>
      </c>
      <c r="AS51" s="26">
        <v>3.6505023598782884</v>
      </c>
      <c r="AV51" s="26" t="s">
        <v>49</v>
      </c>
      <c r="AW51" s="26">
        <v>1.527779975411421E-2</v>
      </c>
      <c r="AX51" s="26">
        <v>0.19176445596150549</v>
      </c>
      <c r="AY51" s="26">
        <v>7.9669611751100808E-2</v>
      </c>
      <c r="AZ51" s="26">
        <v>0.9395904322309534</v>
      </c>
      <c r="BA51" s="26">
        <v>-0.47766842746121185</v>
      </c>
      <c r="BB51" s="26">
        <v>0.50822402696944025</v>
      </c>
      <c r="BC51" s="26">
        <v>-0.47766842746121185</v>
      </c>
      <c r="BD51" s="26">
        <v>0.50822402696944025</v>
      </c>
      <c r="BG51" t="s">
        <v>54</v>
      </c>
      <c r="BH51" t="s">
        <v>43</v>
      </c>
      <c r="BI51" t="s">
        <v>55</v>
      </c>
      <c r="BJ51" t="s">
        <v>56</v>
      </c>
      <c r="BK51" t="s">
        <v>57</v>
      </c>
      <c r="BL51" t="s">
        <v>58</v>
      </c>
      <c r="BM51" t="s">
        <v>59</v>
      </c>
      <c r="BN51" t="s">
        <v>60</v>
      </c>
    </row>
    <row r="52" spans="1:66" x14ac:dyDescent="0.25">
      <c r="A52" s="15" t="s">
        <v>26</v>
      </c>
      <c r="B52" s="16">
        <v>5.5397551503622099E-2</v>
      </c>
      <c r="C52" s="17">
        <v>112.66319882000001</v>
      </c>
      <c r="D52" s="19">
        <v>75</v>
      </c>
      <c r="E52" s="19">
        <v>96.5</v>
      </c>
      <c r="F52" s="18">
        <v>115.360934813333</v>
      </c>
      <c r="G52" s="17">
        <v>1.0311456359907301</v>
      </c>
      <c r="H52" s="18">
        <v>19.594840851392899</v>
      </c>
      <c r="I52" s="18">
        <v>-8.5529249332917008</v>
      </c>
      <c r="J52" s="54"/>
      <c r="K52" s="54"/>
      <c r="L52" s="54"/>
      <c r="N52" s="2"/>
      <c r="O52" s="1"/>
      <c r="Y52" s="1"/>
      <c r="AA52" s="44" t="s">
        <v>13</v>
      </c>
      <c r="AB52" s="44">
        <v>0.10653465358087479</v>
      </c>
      <c r="AC52" s="44">
        <v>0.23119395639788032</v>
      </c>
      <c r="AD52" s="44">
        <v>0.46080206957283393</v>
      </c>
      <c r="AE52" s="44">
        <v>0.65891493081687025</v>
      </c>
      <c r="AF52" s="44">
        <v>-0.44015218253923794</v>
      </c>
      <c r="AG52" s="44">
        <v>0.65322148970098748</v>
      </c>
      <c r="AH52" s="44">
        <v>-0.44015218253923794</v>
      </c>
      <c r="AI52" s="44">
        <v>0.65322148970098748</v>
      </c>
      <c r="AK52" s="26" t="s">
        <v>13</v>
      </c>
      <c r="AL52" s="26">
        <v>-1.7036514188702609</v>
      </c>
      <c r="AM52" s="26">
        <v>0.89368571318009815</v>
      </c>
      <c r="AN52" s="26">
        <v>-1.9063205260470983</v>
      </c>
      <c r="AO52" s="26">
        <v>9.8288110769124692E-2</v>
      </c>
      <c r="AP52" s="26">
        <v>-3.8168823295579148</v>
      </c>
      <c r="AQ52" s="26">
        <v>0.40957949181739295</v>
      </c>
      <c r="AR52" s="26">
        <v>-3.8168823295579148</v>
      </c>
      <c r="AS52" s="26">
        <v>0.40957949181739295</v>
      </c>
      <c r="AV52" s="26" t="s">
        <v>13</v>
      </c>
      <c r="AW52" s="26">
        <v>0.1156385277394375</v>
      </c>
      <c r="AX52" s="26">
        <v>0.18290302884739842</v>
      </c>
      <c r="AY52" s="26">
        <v>0.63223954501004054</v>
      </c>
      <c r="AZ52" s="26">
        <v>0.55500846573469143</v>
      </c>
      <c r="BA52" s="26">
        <v>-0.35452867589854981</v>
      </c>
      <c r="BB52" s="26">
        <v>0.58580573137742475</v>
      </c>
      <c r="BC52" s="26">
        <v>-0.35452867589854981</v>
      </c>
      <c r="BD52" s="26">
        <v>0.58580573137742475</v>
      </c>
      <c r="BF52" t="s">
        <v>49</v>
      </c>
      <c r="BG52">
        <v>1.9957897815416863</v>
      </c>
      <c r="BH52">
        <v>1.113455570189533</v>
      </c>
      <c r="BI52">
        <v>1.7924287551069162</v>
      </c>
      <c r="BJ52">
        <v>0.13304825415100546</v>
      </c>
      <c r="BK52">
        <v>-0.86643888197560326</v>
      </c>
      <c r="BL52">
        <v>4.8580184450589758</v>
      </c>
      <c r="BM52">
        <v>-0.86643888197560326</v>
      </c>
      <c r="BN52">
        <v>4.8580184450589758</v>
      </c>
    </row>
    <row r="53" spans="1:66" ht="15.75" thickBot="1" x14ac:dyDescent="0.3">
      <c r="A53" s="15" t="s">
        <v>27</v>
      </c>
      <c r="B53" s="16">
        <v>6.9883057908481996E-2</v>
      </c>
      <c r="C53" s="17">
        <v>114.89097618</v>
      </c>
      <c r="D53" s="19">
        <v>47.5</v>
      </c>
      <c r="E53" s="19">
        <v>47.5</v>
      </c>
      <c r="F53" s="18">
        <v>118.05576815000001</v>
      </c>
      <c r="G53" s="17">
        <v>1.0328896319418399</v>
      </c>
      <c r="H53" s="18">
        <v>17.2552427011953</v>
      </c>
      <c r="I53" s="18">
        <v>-6.8910153198931301</v>
      </c>
      <c r="J53" s="54"/>
      <c r="K53" s="54"/>
      <c r="L53" s="54"/>
      <c r="N53" s="2"/>
      <c r="O53" s="1"/>
      <c r="Y53" s="1"/>
      <c r="AA53" s="45" t="s">
        <v>33</v>
      </c>
      <c r="AB53" s="45">
        <v>9.3307755344889942E-3</v>
      </c>
      <c r="AC53" s="45">
        <v>3.5080032386885771E-3</v>
      </c>
      <c r="AD53" s="45">
        <v>2.659853740037363</v>
      </c>
      <c r="AE53" s="45">
        <v>3.2474019634688114E-2</v>
      </c>
      <c r="AF53" s="45">
        <v>1.0356660016199518E-3</v>
      </c>
      <c r="AG53" s="45">
        <v>1.7625885067358037E-2</v>
      </c>
      <c r="AH53" s="45">
        <v>1.0356660016199518E-3</v>
      </c>
      <c r="AI53" s="45">
        <v>1.7625885067358037E-2</v>
      </c>
      <c r="AK53" s="27" t="s">
        <v>33</v>
      </c>
      <c r="AL53" s="27">
        <v>-4.8419684545285259E-2</v>
      </c>
      <c r="AM53" s="27">
        <v>1.385503060115428E-2</v>
      </c>
      <c r="AN53" s="27">
        <v>-3.4947367450239595</v>
      </c>
      <c r="AO53" s="27">
        <v>1.0064173436446097E-2</v>
      </c>
      <c r="AP53" s="27">
        <v>-8.118162591133482E-2</v>
      </c>
      <c r="AQ53" s="27">
        <v>-1.5657743179235691E-2</v>
      </c>
      <c r="AR53" s="27">
        <v>-8.118162591133482E-2</v>
      </c>
      <c r="AS53" s="27">
        <v>-1.5657743179235691E-2</v>
      </c>
      <c r="AV53" s="27" t="s">
        <v>33</v>
      </c>
      <c r="AW53" s="27">
        <v>8.3468680187306389E-3</v>
      </c>
      <c r="AX53" s="27">
        <v>3.3028496585918894E-3</v>
      </c>
      <c r="AY53" s="27">
        <v>2.5271716491901044</v>
      </c>
      <c r="AZ53" s="27">
        <v>5.2711442145448061E-2</v>
      </c>
      <c r="BA53" s="27">
        <v>-1.4337731948327673E-4</v>
      </c>
      <c r="BB53" s="27">
        <v>1.6837113356944555E-2</v>
      </c>
      <c r="BC53" s="27">
        <v>-1.4337731948327673E-4</v>
      </c>
      <c r="BD53" s="27">
        <v>1.6837113356944555E-2</v>
      </c>
      <c r="BF53" t="s">
        <v>13</v>
      </c>
      <c r="BG53">
        <v>-2.2701558079386719</v>
      </c>
      <c r="BH53">
        <v>1.0620028370406343</v>
      </c>
      <c r="BI53">
        <v>-2.1376174608578862</v>
      </c>
      <c r="BJ53">
        <v>8.5574956094211091E-2</v>
      </c>
      <c r="BK53">
        <v>-5.0001210102295595</v>
      </c>
      <c r="BL53">
        <v>0.45980939435221613</v>
      </c>
      <c r="BM53">
        <v>-5.0001210102295595</v>
      </c>
      <c r="BN53">
        <v>0.45980939435221613</v>
      </c>
    </row>
    <row r="54" spans="1:66" x14ac:dyDescent="0.25">
      <c r="A54" s="15" t="s">
        <v>28</v>
      </c>
      <c r="B54" s="16">
        <v>7.8645648239850305E-2</v>
      </c>
      <c r="C54" s="17">
        <v>116.55531655999999</v>
      </c>
      <c r="D54" s="19">
        <v>23.5</v>
      </c>
      <c r="E54" s="19">
        <v>23.5</v>
      </c>
      <c r="F54" s="18">
        <v>119.77022043333299</v>
      </c>
      <c r="G54" s="17">
        <v>1.0327006459464001</v>
      </c>
      <c r="H54" s="18">
        <v>17.024424898784201</v>
      </c>
      <c r="I54" s="18">
        <v>-4.3261384988685592</v>
      </c>
      <c r="J54" s="54"/>
      <c r="K54" s="54"/>
      <c r="L54" s="54"/>
      <c r="N54" s="2"/>
      <c r="O54" s="1"/>
      <c r="Y54" s="1"/>
      <c r="AK54" t="s">
        <v>38</v>
      </c>
      <c r="BF54" t="s">
        <v>33</v>
      </c>
      <c r="BG54">
        <v>-5.4660834408794649E-2</v>
      </c>
      <c r="BH54">
        <v>1.9177570376211785E-2</v>
      </c>
      <c r="BI54">
        <v>-2.8502481459589357</v>
      </c>
      <c r="BJ54">
        <v>3.5813307237677498E-2</v>
      </c>
      <c r="BK54">
        <v>-0.10395834846952176</v>
      </c>
      <c r="BL54">
        <v>-5.3633203480675379E-3</v>
      </c>
      <c r="BM54">
        <v>-0.10395834846952176</v>
      </c>
      <c r="BN54">
        <v>-5.3633203480675379E-3</v>
      </c>
    </row>
    <row r="55" spans="1:66" ht="15.75" thickBot="1" x14ac:dyDescent="0.3">
      <c r="A55" s="15" t="s">
        <v>29</v>
      </c>
      <c r="B55" s="16">
        <v>2.1496979213356301E-3</v>
      </c>
      <c r="C55" s="17">
        <v>118.40602251999999</v>
      </c>
      <c r="D55" s="19">
        <v>20</v>
      </c>
      <c r="E55" s="19">
        <v>47.75</v>
      </c>
      <c r="F55" s="18">
        <v>125.17995179</v>
      </c>
      <c r="G55" s="17">
        <v>1.06939420314209</v>
      </c>
      <c r="H55" s="18">
        <v>15.1069524712688</v>
      </c>
      <c r="I55" s="18">
        <v>-8.6900508235792202</v>
      </c>
      <c r="J55" s="54"/>
      <c r="K55" s="54"/>
      <c r="L55" s="5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66" x14ac:dyDescent="0.25">
      <c r="A56" s="15" t="s">
        <v>30</v>
      </c>
      <c r="B56" s="16">
        <v>0.101236914763633</v>
      </c>
      <c r="C56" s="17">
        <v>115.75512236</v>
      </c>
      <c r="D56" s="19">
        <v>23.75</v>
      </c>
      <c r="E56" s="19">
        <v>23.75</v>
      </c>
      <c r="F56" s="18">
        <v>128.631154973333</v>
      </c>
      <c r="G56" s="17">
        <v>1.12591121276406</v>
      </c>
      <c r="H56" s="18">
        <v>21.9579587943592</v>
      </c>
      <c r="I56" s="18">
        <v>-7.4420412056407592</v>
      </c>
      <c r="J56" s="54"/>
      <c r="K56" s="54"/>
      <c r="L56" s="54"/>
      <c r="AK56" s="29" t="s">
        <v>39</v>
      </c>
      <c r="AL56" s="29"/>
    </row>
    <row r="57" spans="1:66" x14ac:dyDescent="0.25">
      <c r="A57" s="15" t="s">
        <v>31</v>
      </c>
      <c r="B57" s="16">
        <v>0.107400232693555</v>
      </c>
      <c r="C57" s="17">
        <v>121.12197168</v>
      </c>
      <c r="D57" s="19">
        <v>23.5</v>
      </c>
      <c r="E57" s="19">
        <v>23.5</v>
      </c>
      <c r="F57" s="18">
        <v>127.417386873333</v>
      </c>
      <c r="G57" s="17">
        <v>1.06457347177821</v>
      </c>
      <c r="H57" s="18">
        <v>16.640165980770899</v>
      </c>
      <c r="I57" s="18">
        <v>-8.2060847497882605</v>
      </c>
      <c r="J57" s="54"/>
      <c r="K57" s="54"/>
      <c r="L57" s="54"/>
      <c r="AK57" s="26" t="s">
        <v>40</v>
      </c>
      <c r="AL57" s="26">
        <v>0.79513133858179552</v>
      </c>
    </row>
    <row r="58" spans="1:66" x14ac:dyDescent="0.25">
      <c r="D58" s="1"/>
      <c r="E58" s="1"/>
      <c r="F58" s="1"/>
      <c r="G58" s="1"/>
      <c r="H58" s="1"/>
      <c r="I58" s="1"/>
      <c r="J58" s="1"/>
      <c r="K58" s="1"/>
      <c r="L58" s="1"/>
      <c r="AK58" s="26" t="s">
        <v>41</v>
      </c>
      <c r="AL58" s="26">
        <v>0.63223384559487794</v>
      </c>
    </row>
    <row r="59" spans="1:66" x14ac:dyDescent="0.25">
      <c r="D59" s="1"/>
      <c r="E59" s="1"/>
      <c r="F59" s="1"/>
      <c r="G59" s="1"/>
      <c r="H59" s="1"/>
      <c r="I59" s="1"/>
      <c r="J59" s="1"/>
      <c r="K59" s="1"/>
      <c r="L59" s="1"/>
      <c r="M59" s="2"/>
      <c r="N59" s="1"/>
      <c r="AK59" s="26" t="s">
        <v>42</v>
      </c>
      <c r="AL59" s="26">
        <v>0.52715780147912883</v>
      </c>
    </row>
    <row r="60" spans="1:66" ht="40.5" x14ac:dyDescent="0.25">
      <c r="A60" s="10" t="s">
        <v>5</v>
      </c>
      <c r="B60" s="10" t="s">
        <v>1</v>
      </c>
      <c r="C60" s="12" t="s">
        <v>23</v>
      </c>
      <c r="D60" s="13" t="s">
        <v>10</v>
      </c>
      <c r="E60" s="13" t="s">
        <v>11</v>
      </c>
      <c r="F60" s="13" t="s">
        <v>12</v>
      </c>
      <c r="G60" s="13" t="s">
        <v>13</v>
      </c>
      <c r="H60" s="13" t="s">
        <v>32</v>
      </c>
      <c r="I60" s="13" t="s">
        <v>33</v>
      </c>
      <c r="J60" s="52"/>
      <c r="K60" s="52"/>
      <c r="L60" s="52"/>
      <c r="AK60" s="26" t="s">
        <v>43</v>
      </c>
      <c r="AL60" s="26">
        <v>0.16642936295948313</v>
      </c>
    </row>
    <row r="61" spans="1:66" ht="15.75" thickBot="1" x14ac:dyDescent="0.3">
      <c r="A61" s="15" t="s">
        <v>14</v>
      </c>
      <c r="B61" s="22">
        <v>-0.62489073949006502</v>
      </c>
      <c r="C61" s="17"/>
      <c r="D61" s="18"/>
      <c r="E61" s="18"/>
      <c r="F61" s="18">
        <v>133.4714286</v>
      </c>
      <c r="G61" s="18"/>
      <c r="H61" s="25"/>
      <c r="I61" s="15"/>
      <c r="J61" s="53"/>
      <c r="K61" s="53"/>
      <c r="L61" s="53"/>
      <c r="AK61" s="27" t="s">
        <v>44</v>
      </c>
      <c r="AL61" s="27">
        <v>10</v>
      </c>
    </row>
    <row r="62" spans="1:66" x14ac:dyDescent="0.25">
      <c r="A62" s="15" t="s">
        <v>15</v>
      </c>
      <c r="B62" s="22">
        <v>-0.54117535564386998</v>
      </c>
      <c r="C62" s="17">
        <v>60.588347259999999</v>
      </c>
      <c r="D62" s="19">
        <v>9023.75</v>
      </c>
      <c r="E62" s="19">
        <v>9023.75</v>
      </c>
      <c r="F62" s="18">
        <v>71.117321599999997</v>
      </c>
      <c r="G62" s="18">
        <v>1.1737788669959499</v>
      </c>
      <c r="H62" s="18">
        <v>4</v>
      </c>
      <c r="I62" s="18">
        <v>-1.5</v>
      </c>
      <c r="J62" s="54"/>
      <c r="K62" s="54"/>
      <c r="L62" s="54"/>
    </row>
    <row r="63" spans="1:66" ht="15.75" thickBot="1" x14ac:dyDescent="0.3">
      <c r="A63" s="15" t="s">
        <v>16</v>
      </c>
      <c r="B63" s="22">
        <v>-0.511670862423525</v>
      </c>
      <c r="C63" s="17">
        <v>73.387016439999996</v>
      </c>
      <c r="D63" s="19">
        <v>118.5</v>
      </c>
      <c r="E63" s="19">
        <v>118.5</v>
      </c>
      <c r="F63" s="18">
        <v>74.728308609999999</v>
      </c>
      <c r="G63" s="18">
        <v>1.01827696825768</v>
      </c>
      <c r="H63" s="18">
        <v>1.1385255280790201</v>
      </c>
      <c r="I63" s="18">
        <v>-0.63852552807902296</v>
      </c>
      <c r="J63" s="54"/>
      <c r="K63" s="54"/>
      <c r="L63" s="54"/>
      <c r="AK63" t="s">
        <v>45</v>
      </c>
    </row>
    <row r="64" spans="1:66" x14ac:dyDescent="0.25">
      <c r="A64" s="15" t="s">
        <v>17</v>
      </c>
      <c r="B64" s="22">
        <v>-0.22155858359451899</v>
      </c>
      <c r="C64" s="17">
        <v>79.767295559999994</v>
      </c>
      <c r="D64" s="19">
        <v>2036.95</v>
      </c>
      <c r="E64" s="19">
        <v>2060.9499999999998</v>
      </c>
      <c r="F64" s="18">
        <v>79.767295559999994</v>
      </c>
      <c r="G64" s="18">
        <v>1</v>
      </c>
      <c r="H64" s="18">
        <v>0</v>
      </c>
      <c r="I64" s="18">
        <v>0</v>
      </c>
      <c r="J64" s="54"/>
      <c r="K64" s="54"/>
      <c r="L64" s="54"/>
      <c r="AK64" s="28"/>
      <c r="AL64" s="28" t="s">
        <v>50</v>
      </c>
      <c r="AM64" s="28" t="s">
        <v>34</v>
      </c>
      <c r="AN64" s="28" t="s">
        <v>51</v>
      </c>
      <c r="AO64" s="28" t="s">
        <v>52</v>
      </c>
      <c r="AP64" s="28" t="s">
        <v>53</v>
      </c>
    </row>
    <row r="65" spans="1:45" x14ac:dyDescent="0.25">
      <c r="A65" s="15" t="s">
        <v>18</v>
      </c>
      <c r="B65" s="23">
        <v>9.6450074853088597E-2</v>
      </c>
      <c r="C65" s="17"/>
      <c r="D65" s="19">
        <v>365</v>
      </c>
      <c r="E65" s="19"/>
      <c r="F65" s="18">
        <v>68.631809730000001</v>
      </c>
      <c r="G65" s="18"/>
      <c r="H65" s="18"/>
      <c r="I65" s="18"/>
      <c r="J65" s="54"/>
      <c r="K65" s="54"/>
      <c r="L65" s="54"/>
      <c r="AK65" s="26" t="s">
        <v>46</v>
      </c>
      <c r="AL65" s="26">
        <v>2</v>
      </c>
      <c r="AM65" s="26">
        <v>0.33332195817714266</v>
      </c>
      <c r="AN65" s="26">
        <v>0.16666097908857133</v>
      </c>
      <c r="AO65" s="26">
        <v>6.0169170900497999</v>
      </c>
      <c r="AP65" s="26">
        <v>3.0164848944561878E-2</v>
      </c>
    </row>
    <row r="66" spans="1:45" x14ac:dyDescent="0.25">
      <c r="A66" s="15" t="s">
        <v>19</v>
      </c>
      <c r="B66" s="22">
        <v>-0.24313716774511701</v>
      </c>
      <c r="C66" s="17"/>
      <c r="D66" s="19">
        <v>351.5</v>
      </c>
      <c r="E66" s="19"/>
      <c r="F66" s="18">
        <v>69.696396059999998</v>
      </c>
      <c r="G66" s="18"/>
      <c r="H66" s="18"/>
      <c r="I66" s="18"/>
      <c r="J66" s="54"/>
      <c r="K66" s="54"/>
      <c r="L66" s="54"/>
      <c r="AK66" s="26" t="s">
        <v>47</v>
      </c>
      <c r="AL66" s="26">
        <v>7</v>
      </c>
      <c r="AM66" s="26">
        <v>0.19389112998569563</v>
      </c>
      <c r="AN66" s="26">
        <v>2.7698732855099377E-2</v>
      </c>
      <c r="AO66" s="26"/>
      <c r="AP66" s="26"/>
    </row>
    <row r="67" spans="1:45" ht="15.75" thickBot="1" x14ac:dyDescent="0.3">
      <c r="A67" s="15" t="s">
        <v>20</v>
      </c>
      <c r="B67" s="16">
        <v>1.3430417175947699E-2</v>
      </c>
      <c r="C67" s="20"/>
      <c r="D67" s="19">
        <v>6055.55</v>
      </c>
      <c r="E67" s="19"/>
      <c r="F67" s="18">
        <v>112.55085055666601</v>
      </c>
      <c r="G67" s="18"/>
      <c r="H67" s="18"/>
      <c r="I67" s="18"/>
      <c r="J67" s="54"/>
      <c r="K67" s="54"/>
      <c r="L67" s="54"/>
      <c r="AK67" s="27" t="s">
        <v>48</v>
      </c>
      <c r="AL67" s="27">
        <v>9</v>
      </c>
      <c r="AM67" s="27">
        <v>0.52721308816283829</v>
      </c>
      <c r="AN67" s="27"/>
      <c r="AO67" s="27"/>
      <c r="AP67" s="27"/>
    </row>
    <row r="68" spans="1:45" ht="15.75" thickBot="1" x14ac:dyDescent="0.3">
      <c r="A68" s="15" t="s">
        <v>21</v>
      </c>
      <c r="B68" s="24">
        <v>-1.61778645652975E-2</v>
      </c>
      <c r="C68" s="20"/>
      <c r="D68" s="19">
        <v>22</v>
      </c>
      <c r="E68" s="19"/>
      <c r="F68" s="18">
        <v>117.49299123</v>
      </c>
      <c r="G68" s="18"/>
      <c r="H68" s="18"/>
      <c r="I68" s="18"/>
      <c r="J68" s="54"/>
      <c r="K68" s="54"/>
      <c r="L68" s="54"/>
    </row>
    <row r="69" spans="1:45" x14ac:dyDescent="0.25">
      <c r="A69" s="15" t="s">
        <v>24</v>
      </c>
      <c r="B69" s="16">
        <v>2.95836818188689E-2</v>
      </c>
      <c r="C69" s="17">
        <v>113.72040256</v>
      </c>
      <c r="D69" s="19">
        <v>21</v>
      </c>
      <c r="E69" s="19">
        <v>21</v>
      </c>
      <c r="F69" s="18">
        <v>115.079453056666</v>
      </c>
      <c r="G69" s="18">
        <f>F69/C69</f>
        <v>1.0119508062412015</v>
      </c>
      <c r="H69" s="18">
        <v>8.1761484496582497</v>
      </c>
      <c r="I69" s="18">
        <v>-1.9243966466520197</v>
      </c>
      <c r="J69" s="54"/>
      <c r="K69" s="54"/>
      <c r="L69" s="54"/>
      <c r="AK69" s="28"/>
      <c r="AL69" s="28" t="s">
        <v>54</v>
      </c>
      <c r="AM69" s="28" t="s">
        <v>43</v>
      </c>
      <c r="AN69" s="28" t="s">
        <v>55</v>
      </c>
      <c r="AO69" s="28" t="s">
        <v>56</v>
      </c>
      <c r="AP69" s="28" t="s">
        <v>57</v>
      </c>
      <c r="AQ69" s="28" t="s">
        <v>58</v>
      </c>
      <c r="AR69" s="28" t="s">
        <v>59</v>
      </c>
      <c r="AS69" s="28" t="s">
        <v>60</v>
      </c>
    </row>
    <row r="70" spans="1:45" x14ac:dyDescent="0.25">
      <c r="A70" s="15" t="s">
        <v>25</v>
      </c>
      <c r="B70" s="24">
        <v>-5.4892758010415703E-2</v>
      </c>
      <c r="C70" s="17"/>
      <c r="D70" s="19">
        <v>21.5</v>
      </c>
      <c r="E70" s="19"/>
      <c r="F70" s="18">
        <v>119.222878299999</v>
      </c>
      <c r="G70" s="18"/>
      <c r="H70" s="18"/>
      <c r="I70" s="18"/>
      <c r="J70" s="54"/>
      <c r="K70" s="54"/>
      <c r="L70" s="54"/>
      <c r="AK70" s="26" t="s">
        <v>49</v>
      </c>
      <c r="AL70" s="26">
        <v>1.9662212007844218</v>
      </c>
      <c r="AM70" s="26">
        <v>1.0783672807013085</v>
      </c>
      <c r="AN70" s="26">
        <v>1.8233316570080871</v>
      </c>
      <c r="AO70" s="26">
        <v>0.11102520469832426</v>
      </c>
      <c r="AP70" s="26">
        <v>-0.58371222328605632</v>
      </c>
      <c r="AQ70" s="26">
        <v>4.5161546248548996</v>
      </c>
      <c r="AR70" s="26">
        <v>-0.58371222328605632</v>
      </c>
      <c r="AS70" s="26">
        <v>4.5161546248548996</v>
      </c>
    </row>
    <row r="71" spans="1:45" x14ac:dyDescent="0.25">
      <c r="A71" s="15" t="s">
        <v>26</v>
      </c>
      <c r="B71" s="16">
        <v>8.8641812543785899E-3</v>
      </c>
      <c r="C71" s="17">
        <v>112.66319882000001</v>
      </c>
      <c r="D71" s="19">
        <v>75</v>
      </c>
      <c r="E71" s="19">
        <v>96.5</v>
      </c>
      <c r="F71" s="18">
        <v>115.360934813333</v>
      </c>
      <c r="G71" s="17">
        <v>1.0311456359907301</v>
      </c>
      <c r="H71" s="18">
        <v>19.594840851392899</v>
      </c>
      <c r="I71" s="18">
        <v>-8.5529249332917008</v>
      </c>
      <c r="J71" s="54"/>
      <c r="K71" s="54"/>
      <c r="L71" s="54"/>
      <c r="AK71" s="26" t="s">
        <v>13</v>
      </c>
      <c r="AL71" s="26">
        <v>-2.230844702283084</v>
      </c>
      <c r="AM71" s="26">
        <v>1.0291327519620364</v>
      </c>
      <c r="AN71" s="26">
        <v>-2.1676938160115786</v>
      </c>
      <c r="AO71" s="26">
        <v>6.6844252319198535E-2</v>
      </c>
      <c r="AP71" s="26">
        <v>-4.6643569656809376</v>
      </c>
      <c r="AQ71" s="26">
        <v>0.20266756111476925</v>
      </c>
      <c r="AR71" s="26">
        <v>-4.6643569656809376</v>
      </c>
      <c r="AS71" s="26">
        <v>0.20266756111476925</v>
      </c>
    </row>
    <row r="72" spans="1:45" ht="15.75" thickBot="1" x14ac:dyDescent="0.3">
      <c r="A72" s="15" t="s">
        <v>27</v>
      </c>
      <c r="B72" s="16">
        <v>1.32778322661357E-2</v>
      </c>
      <c r="C72" s="17">
        <v>114.89097618</v>
      </c>
      <c r="D72" s="19">
        <v>47.5</v>
      </c>
      <c r="E72" s="19">
        <v>47.5</v>
      </c>
      <c r="F72" s="18">
        <v>118.05576815000001</v>
      </c>
      <c r="G72" s="17">
        <v>1.0328896319418399</v>
      </c>
      <c r="H72" s="18">
        <v>17.2552427011953</v>
      </c>
      <c r="I72" s="18">
        <v>-6.8910153198931301</v>
      </c>
      <c r="J72" s="54"/>
      <c r="K72" s="54"/>
      <c r="L72" s="54"/>
      <c r="AK72" s="27" t="s">
        <v>33</v>
      </c>
      <c r="AL72" s="27">
        <v>-4.8363558671817443E-2</v>
      </c>
      <c r="AM72" s="27">
        <v>1.5954899536601057E-2</v>
      </c>
      <c r="AN72" s="27">
        <v>-3.0312668883229175</v>
      </c>
      <c r="AO72" s="27">
        <v>1.9080462138367515E-2</v>
      </c>
      <c r="AP72" s="27">
        <v>-8.6090901047790797E-2</v>
      </c>
      <c r="AQ72" s="27">
        <v>-1.0636216295844096E-2</v>
      </c>
      <c r="AR72" s="27">
        <v>-8.6090901047790797E-2</v>
      </c>
      <c r="AS72" s="27">
        <v>-1.0636216295844096E-2</v>
      </c>
    </row>
    <row r="73" spans="1:45" x14ac:dyDescent="0.25">
      <c r="A73" s="15" t="s">
        <v>28</v>
      </c>
      <c r="B73" s="24">
        <v>-6.0975544853349099E-2</v>
      </c>
      <c r="C73" s="17">
        <v>116.55531655999999</v>
      </c>
      <c r="D73" s="19">
        <v>23.5</v>
      </c>
      <c r="E73" s="19">
        <v>23.5</v>
      </c>
      <c r="F73" s="18">
        <v>119.77022043333299</v>
      </c>
      <c r="G73" s="17">
        <v>1.0327006459464001</v>
      </c>
      <c r="H73" s="18">
        <v>17.024424898784201</v>
      </c>
      <c r="I73" s="18">
        <v>-4.3261384988685592</v>
      </c>
      <c r="J73" s="54"/>
      <c r="K73" s="54"/>
      <c r="L73" s="54"/>
    </row>
    <row r="74" spans="1:45" x14ac:dyDescent="0.25">
      <c r="A74" s="15" t="s">
        <v>29</v>
      </c>
      <c r="B74" s="24">
        <v>-1.77749404385871E-2</v>
      </c>
      <c r="C74" s="17">
        <v>118.40602251999999</v>
      </c>
      <c r="D74" s="19">
        <v>20</v>
      </c>
      <c r="E74" s="19">
        <v>47.75</v>
      </c>
      <c r="F74" s="18">
        <v>125.17995179</v>
      </c>
      <c r="G74" s="17">
        <v>1.06939420314209</v>
      </c>
      <c r="H74" s="18">
        <v>15.1069524712688</v>
      </c>
      <c r="I74" s="18">
        <v>-8.6900508235792202</v>
      </c>
      <c r="J74" s="54"/>
      <c r="K74" s="54"/>
      <c r="L74" s="54"/>
    </row>
    <row r="75" spans="1:45" x14ac:dyDescent="0.25">
      <c r="A75" s="15" t="s">
        <v>30</v>
      </c>
      <c r="B75" s="16">
        <v>3.08855730575289E-3</v>
      </c>
      <c r="C75" s="17">
        <v>115.75512236</v>
      </c>
      <c r="D75" s="19">
        <v>23.75</v>
      </c>
      <c r="E75" s="19">
        <v>23.75</v>
      </c>
      <c r="F75" s="18">
        <v>128.631154973333</v>
      </c>
      <c r="G75" s="17">
        <v>1.12591121276406</v>
      </c>
      <c r="H75" s="18">
        <v>21.9579587943592</v>
      </c>
      <c r="I75" s="18">
        <v>-7.4420412056407592</v>
      </c>
      <c r="J75" s="54"/>
      <c r="K75" s="54"/>
      <c r="L75" s="54"/>
    </row>
    <row r="76" spans="1:45" x14ac:dyDescent="0.25">
      <c r="A76" s="15" t="s">
        <v>31</v>
      </c>
      <c r="B76" s="24">
        <v>-5.3081166180475401E-3</v>
      </c>
      <c r="C76" s="17">
        <v>121.12197168</v>
      </c>
      <c r="D76" s="19">
        <v>23.5</v>
      </c>
      <c r="E76" s="19">
        <v>23.5</v>
      </c>
      <c r="F76" s="18">
        <v>127.417386873333</v>
      </c>
      <c r="G76" s="17">
        <v>1.06457347177821</v>
      </c>
      <c r="H76" s="18">
        <v>16.640165980770899</v>
      </c>
      <c r="I76" s="18">
        <v>-8.2060847497882605</v>
      </c>
      <c r="J76" s="54"/>
      <c r="K76" s="54"/>
      <c r="L76" s="54"/>
    </row>
    <row r="77" spans="1:45" x14ac:dyDescent="0.25">
      <c r="D77" s="2"/>
      <c r="E77" s="2"/>
    </row>
    <row r="78" spans="1:45" x14ac:dyDescent="0.25">
      <c r="A78" s="10" t="s">
        <v>3</v>
      </c>
      <c r="B78" s="10"/>
      <c r="C78" s="10"/>
      <c r="D78" s="2"/>
    </row>
    <row r="79" spans="1:45" x14ac:dyDescent="0.25">
      <c r="A79" s="11" t="s">
        <v>0</v>
      </c>
      <c r="B79" s="11" t="s">
        <v>1</v>
      </c>
      <c r="C79" s="11" t="s">
        <v>9</v>
      </c>
      <c r="D79" s="2"/>
    </row>
    <row r="80" spans="1:45" x14ac:dyDescent="0.25">
      <c r="A80" s="14" t="s">
        <v>14</v>
      </c>
      <c r="B80" s="23">
        <v>0.735611704001494</v>
      </c>
      <c r="C80" s="17"/>
      <c r="D80" s="2"/>
    </row>
    <row r="81" spans="1:4" x14ac:dyDescent="0.25">
      <c r="A81" s="14" t="s">
        <v>15</v>
      </c>
      <c r="B81" s="23">
        <v>0.199680501000808</v>
      </c>
      <c r="C81" s="17">
        <v>60.588347259999999</v>
      </c>
      <c r="D81" s="2"/>
    </row>
    <row r="82" spans="1:4" x14ac:dyDescent="0.25">
      <c r="A82" s="14" t="s">
        <v>16</v>
      </c>
      <c r="B82" s="23">
        <v>0.12535086320927399</v>
      </c>
      <c r="C82" s="17">
        <v>73.387016439999996</v>
      </c>
    </row>
    <row r="83" spans="1:4" x14ac:dyDescent="0.25">
      <c r="A83" s="14" t="s">
        <v>17</v>
      </c>
      <c r="B83" s="23">
        <v>0.42964915677977999</v>
      </c>
      <c r="C83" s="17">
        <v>79.767295559999994</v>
      </c>
      <c r="D83" s="8"/>
    </row>
    <row r="84" spans="1:4" x14ac:dyDescent="0.25">
      <c r="A84" s="14" t="s">
        <v>18</v>
      </c>
      <c r="B84" s="23">
        <v>4.3375577562074601E-2</v>
      </c>
      <c r="C84" s="17"/>
    </row>
    <row r="85" spans="1:4" x14ac:dyDescent="0.25">
      <c r="A85" s="14" t="s">
        <v>19</v>
      </c>
      <c r="B85" s="23">
        <v>4.5262412029273197E-2</v>
      </c>
      <c r="C85" s="17"/>
    </row>
    <row r="86" spans="1:4" x14ac:dyDescent="0.25">
      <c r="A86" s="1"/>
      <c r="B86" s="2"/>
      <c r="C86" s="8"/>
    </row>
    <row r="87" spans="1:4" x14ac:dyDescent="0.25">
      <c r="A87" s="1"/>
      <c r="B87" s="2"/>
      <c r="C87" s="8"/>
    </row>
    <row r="88" spans="1:4" x14ac:dyDescent="0.25">
      <c r="A88" s="1"/>
      <c r="B88" s="2"/>
      <c r="C88" s="8"/>
    </row>
    <row r="89" spans="1:4" x14ac:dyDescent="0.25">
      <c r="A89" s="1"/>
      <c r="B89" s="2"/>
      <c r="C89" s="8"/>
    </row>
    <row r="90" spans="1:4" x14ac:dyDescent="0.25">
      <c r="A90" s="1"/>
      <c r="B90" s="2"/>
      <c r="C9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2026-07-07T23:28:04Z</dcterms:modified>
</cp:coreProperties>
</file>