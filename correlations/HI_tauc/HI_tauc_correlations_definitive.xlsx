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hysteresis\correlations\HI_tauc\"/>
    </mc:Choice>
  </mc:AlternateContent>
  <xr:revisionPtr revIDLastSave="0" documentId="13_ncr:1_{FBC3A538-CD0B-49A8-B375-B530CFE371CE}" xr6:coauthVersionLast="47" xr6:coauthVersionMax="47" xr10:uidLastSave="{00000000-0000-0000-0000-000000000000}"/>
  <bookViews>
    <workbookView xWindow="-25320" yWindow="360" windowWidth="25440" windowHeight="15270" xr2:uid="{867610DC-2157-4A8B-BAD4-C3624B9432BC}"/>
  </bookViews>
  <sheets>
    <sheet name="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7" i="1" l="1"/>
  <c r="G56" i="1"/>
  <c r="G55" i="1"/>
  <c r="G54" i="1"/>
  <c r="G53" i="1"/>
  <c r="G52" i="1"/>
  <c r="G39" i="1"/>
  <c r="G38" i="1"/>
  <c r="G37" i="1"/>
  <c r="G36" i="1"/>
  <c r="G35" i="1"/>
  <c r="G34" i="1"/>
  <c r="G7" i="1"/>
  <c r="G8" i="1"/>
  <c r="G13" i="1"/>
  <c r="G15" i="1"/>
  <c r="G16" i="1"/>
  <c r="G17" i="1"/>
  <c r="G18" i="1"/>
  <c r="G19" i="1"/>
  <c r="G20" i="1"/>
  <c r="G6" i="1"/>
  <c r="G45" i="1"/>
  <c r="G50" i="1"/>
  <c r="G69" i="1" l="1"/>
  <c r="G32" i="1"/>
</calcChain>
</file>

<file path=xl/sharedStrings.xml><?xml version="1.0" encoding="utf-8"?>
<sst xmlns="http://schemas.openxmlformats.org/spreadsheetml/2006/main" count="241" uniqueCount="65">
  <si>
    <t>Storm</t>
  </si>
  <si>
    <t xml:space="preserve">Aich (2014) </t>
  </si>
  <si>
    <t>SSC (mg/L)</t>
  </si>
  <si>
    <t>POC (mg/L)</t>
  </si>
  <si>
    <t>DOC (mg/L)</t>
  </si>
  <si>
    <t>fDOM RFU</t>
  </si>
  <si>
    <t>Turnidity FNU</t>
  </si>
  <si>
    <t>Clockwise</t>
  </si>
  <si>
    <t>Counter-Clockwise</t>
  </si>
  <si>
    <t>tau_c50</t>
  </si>
  <si>
    <r>
      <t xml:space="preserve">Time between events (no </t>
    </r>
    <r>
      <rPr>
        <b/>
        <sz val="10"/>
        <color theme="1"/>
        <rFont val="Aptos"/>
        <family val="2"/>
        <charset val="1"/>
      </rPr>
      <t>τ</t>
    </r>
    <r>
      <rPr>
        <b/>
        <sz val="10"/>
        <color theme="1"/>
        <rFont val="Aptos Narrow"/>
        <family val="2"/>
      </rPr>
      <t>c exceedance)</t>
    </r>
    <r>
      <rPr>
        <b/>
        <sz val="10"/>
        <color theme="1"/>
        <rFont val="Aptos Narrow"/>
        <family val="2"/>
        <scheme val="minor"/>
      </rPr>
      <t xml:space="preserve"> (hrs)</t>
    </r>
  </si>
  <si>
    <t>Time between events τc exceedance (hrs)</t>
  </si>
  <si>
    <t xml:space="preserve">Peak Tau (Pa) </t>
  </si>
  <si>
    <t>τpeak / τc50</t>
  </si>
  <si>
    <t>st1</t>
  </si>
  <si>
    <t>st2</t>
  </si>
  <si>
    <t>st3</t>
  </si>
  <si>
    <t>st4</t>
  </si>
  <si>
    <t>st5</t>
  </si>
  <si>
    <t>st6</t>
  </si>
  <si>
    <t>event 1</t>
  </si>
  <si>
    <t>event2</t>
  </si>
  <si>
    <t>Event</t>
  </si>
  <si>
    <t>tau_c50 exceedance</t>
  </si>
  <si>
    <t>event3 (6)</t>
  </si>
  <si>
    <t>event4 (7)</t>
  </si>
  <si>
    <t>event5 (8)</t>
  </si>
  <si>
    <t>event6 (9)</t>
  </si>
  <si>
    <t>event7 (10)</t>
  </si>
  <si>
    <t>event8 (12)</t>
  </si>
  <si>
    <t>event9 (13)</t>
  </si>
  <si>
    <t>event10 (14)</t>
  </si>
  <si>
    <t>Time τ &gt; τc (hrs)</t>
  </si>
  <si>
    <t>∆time τ&gt;τc (hrs)</t>
  </si>
  <si>
    <t>SS</t>
  </si>
  <si>
    <t>DOC</t>
  </si>
  <si>
    <t>Turbidity</t>
  </si>
  <si>
    <t>fDOM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</si>
  <si>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</si>
  <si>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</si>
  <si>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</si>
  <si>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</si>
  <si>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</si>
  <si>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</si>
  <si>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</si>
  <si>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</si>
  <si>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</si>
  <si>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</si>
  <si>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</si>
  <si>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</si>
  <si>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</si>
  <si>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</si>
  <si>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</si>
  <si>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</si>
  <si>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</si>
  <si>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</si>
  <si>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</si>
  <si>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</si>
  <si>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</si>
  <si>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</si>
  <si>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SSC</t>
  </si>
  <si>
    <t xml:space="preserve">DOC </t>
  </si>
  <si>
    <t xml:space="preserve">Excess Balance </t>
  </si>
  <si>
    <t xml:space="preserve">τpeak / τc50 </t>
  </si>
  <si>
    <t xml:space="preserve">time τc from peak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</si>
</sst>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"/>
    <numFmt numFmtId="166" formatCode="0.000"/>
    <numFmt numFmtId="167" formatCode="0.0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ptos"/>
      <family val="2"/>
      <charset val="1"/>
    </font>
    <font>
      <b/>
      <sz val="10"/>
      <color theme="1"/>
      <name val="Aptos Narrow"/>
      <family val="2"/>
    </font>
    <font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6" fontId="0" fillId="2" borderId="3" xfId="0" applyNumberFormat="1" applyFill="1" applyBorder="1" applyAlignment="1">
      <alignment horizontal="center"/>
    </xf>
    <xf numFmtId="166" fontId="0" fillId="0" borderId="3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166" fontId="0" fillId="0" borderId="3" xfId="0" applyNumberFormat="1" applyBorder="1"/>
    <xf numFmtId="0" fontId="0" fillId="0" borderId="4" xfId="0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2" fontId="0" fillId="2" borderId="3" xfId="0" applyNumberFormat="1" applyFill="1" applyBorder="1" applyAlignment="1">
      <alignment horizontal="center"/>
    </xf>
    <xf numFmtId="166" fontId="0" fillId="3" borderId="3" xfId="0" applyNumberFormat="1" applyFill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0" fillId="4" borderId="0" xfId="0" applyFill="1"/>
    <xf numFmtId="0" fontId="5" fillId="4" borderId="6" xfId="0" applyFont="1" applyFill="1" applyBorder="1" applyAlignment="1">
      <alignment horizontal="centerContinuous"/>
    </xf>
    <xf numFmtId="0" fontId="5" fillId="4" borderId="6" xfId="0" applyFont="1" applyFill="1" applyBorder="1" applyAlignment="1">
      <alignment horizontal="center"/>
    </xf>
    <xf numFmtId="0" fontId="0" fillId="6" borderId="0" xfId="0" applyFill="1"/>
    <xf numFmtId="0" fontId="5" fillId="6" borderId="6" xfId="0" applyFont="1" applyFill="1" applyBorder="1" applyAlignment="1">
      <alignment horizontal="centerContinuous"/>
    </xf>
    <xf numFmtId="0" fontId="0" fillId="6" borderId="5" xfId="0" applyFill="1" applyBorder="1"/>
    <xf numFmtId="0" fontId="5" fillId="6" borderId="6" xfId="0" applyFont="1" applyFill="1" applyBorder="1" applyAlignment="1">
      <alignment horizontal="center"/>
    </xf>
    <xf numFmtId="0" fontId="5" fillId="7" borderId="6" xfId="0" applyFont="1" applyFill="1" applyBorder="1" applyAlignment="1">
      <alignment horizontal="centerContinuous"/>
    </xf>
    <xf numFmtId="0" fontId="0" fillId="7" borderId="0" xfId="0" applyFill="1"/>
    <xf numFmtId="0" fontId="5" fillId="7" borderId="6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2" fontId="0" fillId="2" borderId="0" xfId="0" applyNumberFormat="1" applyFill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4" borderId="0" xfId="0" applyFill="1" applyBorder="1" applyAlignment="1"/>
    <xf numFmtId="0" fontId="0" fillId="4" borderId="5" xfId="0" applyFill="1" applyBorder="1" applyAlignment="1"/>
    <xf numFmtId="0" fontId="1" fillId="5" borderId="0" xfId="0" applyFont="1" applyFill="1" applyBorder="1" applyAlignment="1"/>
    <xf numFmtId="0" fontId="1" fillId="5" borderId="5" xfId="0" applyFont="1" applyFill="1" applyBorder="1" applyAlignment="1"/>
    <xf numFmtId="0" fontId="1" fillId="5" borderId="0" xfId="0" applyFont="1" applyFill="1"/>
    <xf numFmtId="0" fontId="0" fillId="7" borderId="0" xfId="0" applyFill="1" applyBorder="1" applyAlignment="1"/>
    <xf numFmtId="0" fontId="0" fillId="7" borderId="5" xfId="0" applyFill="1" applyBorder="1" applyAlignment="1"/>
    <xf numFmtId="0" fontId="6" fillId="3" borderId="0" xfId="0" applyFont="1" applyFill="1"/>
    <xf numFmtId="0" fontId="7" fillId="3" borderId="6" xfId="0" applyFont="1" applyFill="1" applyBorder="1" applyAlignment="1">
      <alignment horizontal="centerContinuous"/>
    </xf>
    <xf numFmtId="0" fontId="6" fillId="3" borderId="5" xfId="0" applyFont="1" applyFill="1" applyBorder="1"/>
    <xf numFmtId="0" fontId="7" fillId="3" borderId="6" xfId="0" applyFont="1" applyFill="1" applyBorder="1" applyAlignment="1">
      <alignment horizontal="center"/>
    </xf>
    <xf numFmtId="0" fontId="8" fillId="5" borderId="0" xfId="0" applyFont="1" applyFill="1"/>
    <xf numFmtId="0" fontId="1" fillId="5" borderId="5" xfId="0" applyFont="1" applyFill="1" applyBorder="1"/>
    <xf numFmtId="0" fontId="8" fillId="5" borderId="5" xfId="0" applyFont="1" applyFill="1" applyBorder="1"/>
    <xf numFmtId="0" fontId="2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386447129231622"/>
          <c:y val="0.16881658193755791"/>
          <c:w val="0.71225510689966409"/>
          <c:h val="0.60779316659887139"/>
        </c:manualLayout>
      </c:layout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3770980629177085E-2"/>
                  <c:y val="-0.38524548743578119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all!$C$5:$C$20</c:f>
              <c:numCache>
                <c:formatCode>0.000</c:formatCode>
                <c:ptCount val="1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8">
                  <c:v>110.72040256</c:v>
                </c:pt>
                <c:pt idx="10">
                  <c:v>111.66319882000001</c:v>
                </c:pt>
                <c:pt idx="11">
                  <c:v>114.89097618</c:v>
                </c:pt>
                <c:pt idx="12">
                  <c:v>116.55531655999999</c:v>
                </c:pt>
                <c:pt idx="13">
                  <c:v>120.40602251999999</c:v>
                </c:pt>
                <c:pt idx="14">
                  <c:v>118.75512236</c:v>
                </c:pt>
                <c:pt idx="15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C8-4D6B-89DE-404887265DDB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575153326146361E-2"/>
                  <c:y val="-8.111884345002187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all!$B$5:$B$10</c:f>
              <c:numCache>
                <c:formatCode>0.000</c:formatCode>
                <c:ptCount val="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</c:numCache>
            </c:numRef>
          </c:xVal>
          <c:yVal>
            <c:numRef>
              <c:f>all!$C$5:$C$10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CE-4ED2-9D4B-2F95E529620B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30288689409487"/>
                  <c:y val="-8.129325207357812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all!$B$11:$B$20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all!$C$11:$C$20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CE-4ED2-9D4B-2F95E5296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6000000000000000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7359775592744585"/>
              <c:y val="0.8272149777888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9298461587901339E-2"/>
                  <c:y val="0.3095259616157979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all!$B$25:$B$39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all!$C$25:$C$39</c:f>
              <c:numCache>
                <c:formatCode>0.000</c:formatCode>
                <c:ptCount val="15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7">
                  <c:v>110.72040256</c:v>
                </c:pt>
                <c:pt idx="9">
                  <c:v>111.66319882000001</c:v>
                </c:pt>
                <c:pt idx="10">
                  <c:v>114.89097618</c:v>
                </c:pt>
                <c:pt idx="11">
                  <c:v>116.55531655999999</c:v>
                </c:pt>
                <c:pt idx="12">
                  <c:v>120.40602251999999</c:v>
                </c:pt>
                <c:pt idx="13">
                  <c:v>118.75512236</c:v>
                </c:pt>
                <c:pt idx="14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363-422C-AC08-70B09C432EC2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8932847982002424"/>
                  <c:y val="0.1235763664296562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all!$B$24:$B$29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all!$C$24:$C$29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4E8-4DC9-A850-01B3DB8028F3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74976205126232"/>
                  <c:y val="0.2194907817364371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all!$B$30:$B$39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all!$C$30:$C$39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4E8-4DC9-A850-01B3DB802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244999228037671"/>
          <c:y val="3.888888888888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281727584894915"/>
                  <c:y val="-0.1055005036323671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all!$B$43:$B$57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2.1496979213356301E-3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all!$C$43:$C$57</c:f>
              <c:numCache>
                <c:formatCode>0.000</c:formatCode>
                <c:ptCount val="15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7">
                  <c:v>110.72040256</c:v>
                </c:pt>
                <c:pt idx="9">
                  <c:v>111.66319882000001</c:v>
                </c:pt>
                <c:pt idx="10">
                  <c:v>114.89097618</c:v>
                </c:pt>
                <c:pt idx="11">
                  <c:v>116.55531655999999</c:v>
                </c:pt>
                <c:pt idx="12">
                  <c:v>120.40602251999999</c:v>
                </c:pt>
                <c:pt idx="13">
                  <c:v>118.75512236</c:v>
                </c:pt>
                <c:pt idx="14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F87-40ED-8FBC-2287F011599A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821297495183758E-2"/>
                  <c:y val="-5.385080154956625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all!$B$42:$B$47</c:f>
              <c:numCache>
                <c:formatCode>0.00</c:formatCode>
                <c:ptCount val="6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</c:numCache>
            </c:numRef>
          </c:xVal>
          <c:yVal>
            <c:numRef>
              <c:f>all!$C$42:$C$47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F18-4962-BB09-E7EDEC87F4F1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878232793136263"/>
                  <c:y val="-7.597875928685078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all!$B$48:$B$57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2.1496979213356301E-3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all!$C$48:$C$57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F18-4962-BB09-E7EDEC87F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3223151112090599"/>
          <c:y val="4.41383016099365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38337802210887"/>
                  <c:y val="-3.513264433401588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all!$B$61:$B$76</c:f>
              <c:numCache>
                <c:formatCode>0.00</c:formatCode>
                <c:ptCount val="16"/>
                <c:pt idx="0">
                  <c:v>-0.62489073949006502</c:v>
                </c:pt>
                <c:pt idx="1">
                  <c:v>-0.54117535564386998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  <c:pt idx="6" formatCode="0.000">
                  <c:v>1.3430417175947699E-2</c:v>
                </c:pt>
                <c:pt idx="7" formatCode="0.000">
                  <c:v>-1.61778645652975E-2</c:v>
                </c:pt>
                <c:pt idx="8" formatCode="0.000">
                  <c:v>2.95836818188689E-2</c:v>
                </c:pt>
                <c:pt idx="9" formatCode="0.000">
                  <c:v>-5.4892758010415703E-2</c:v>
                </c:pt>
                <c:pt idx="10" formatCode="0.000">
                  <c:v>8.8641812543785899E-3</c:v>
                </c:pt>
                <c:pt idx="11" formatCode="0.000">
                  <c:v>1.32778322661357E-2</c:v>
                </c:pt>
                <c:pt idx="12" formatCode="0.000">
                  <c:v>-6.0975544853349099E-2</c:v>
                </c:pt>
                <c:pt idx="13" formatCode="0.000">
                  <c:v>-1.77749404385871E-2</c:v>
                </c:pt>
                <c:pt idx="14" formatCode="0.000">
                  <c:v>3.08855730575289E-3</c:v>
                </c:pt>
                <c:pt idx="15" formatCode="0.000">
                  <c:v>-5.3081166180475401E-3</c:v>
                </c:pt>
              </c:numCache>
            </c:numRef>
          </c:xVal>
          <c:yVal>
            <c:numRef>
              <c:f>all!$C$61:$C$76</c:f>
              <c:numCache>
                <c:formatCode>0.000</c:formatCode>
                <c:ptCount val="1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8">
                  <c:v>110.72040256</c:v>
                </c:pt>
                <c:pt idx="10">
                  <c:v>111.66319882000001</c:v>
                </c:pt>
                <c:pt idx="11">
                  <c:v>114.89097618</c:v>
                </c:pt>
                <c:pt idx="12">
                  <c:v>116.55531655999999</c:v>
                </c:pt>
                <c:pt idx="13">
                  <c:v>120.40602251999999</c:v>
                </c:pt>
                <c:pt idx="14">
                  <c:v>118.75512236</c:v>
                </c:pt>
                <c:pt idx="15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20-404E-BB99-5A6384BD13A2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1960705841839546"/>
                  <c:y val="-3.250545255146425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all!$B$61:$B$66</c:f>
              <c:numCache>
                <c:formatCode>0.00</c:formatCode>
                <c:ptCount val="6"/>
                <c:pt idx="0">
                  <c:v>-0.62489073949006502</c:v>
                </c:pt>
                <c:pt idx="1">
                  <c:v>-0.54117535564386998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</c:numCache>
            </c:numRef>
          </c:xVal>
          <c:yVal>
            <c:numRef>
              <c:f>all!$C$61:$C$66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2F-4C70-9FBA-3B5C755EA716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29054370888608"/>
                  <c:y val="4.72213632821679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all!$B$67:$B$76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all!$C$67:$C$76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52F-4C70-9FBA-3B5C755EA7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6362876732890055"/>
                  <c:y val="-6.9924887438615094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all!$G$5:$G$20</c:f>
              <c:numCache>
                <c:formatCode>0.00</c:formatCode>
                <c:ptCount val="16"/>
                <c:pt idx="1">
                  <c:v>1.1737788669959504</c:v>
                </c:pt>
                <c:pt idx="2">
                  <c:v>1.0182769682576838</c:v>
                </c:pt>
                <c:pt idx="3">
                  <c:v>1</c:v>
                </c:pt>
                <c:pt idx="8">
                  <c:v>1.0393698938576728</c:v>
                </c:pt>
                <c:pt idx="10">
                  <c:v>1.0331150820718804</c:v>
                </c:pt>
                <c:pt idx="11">
                  <c:v>1.0275460447393339</c:v>
                </c:pt>
                <c:pt idx="12">
                  <c:v>1.0275826446035865</c:v>
                </c:pt>
                <c:pt idx="13">
                  <c:v>1.0396485920727681</c:v>
                </c:pt>
                <c:pt idx="14">
                  <c:v>1.0831630031367767</c:v>
                </c:pt>
                <c:pt idx="15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3A3-4932-9C0C-F1CE9CFCC9EE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427770598232401"/>
                  <c:y val="-8.356274578305698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all!$B$6:$B$10</c:f>
              <c:numCache>
                <c:formatCode>0.000</c:formatCode>
                <c:ptCount val="5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0.36516163611226798</c:v>
                </c:pt>
                <c:pt idx="4">
                  <c:v>4.1333778886518201E-2</c:v>
                </c:pt>
              </c:numCache>
            </c:numRef>
          </c:xVal>
          <c:yVal>
            <c:numRef>
              <c:f>all!$G$6:$G$10</c:f>
              <c:numCache>
                <c:formatCode>0.00</c:formatCode>
                <c:ptCount val="5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BC-484F-8D1E-7898ABA5348D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all!$B$11:$B$20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all!$G$11:$G$20</c:f>
              <c:numCache>
                <c:formatCode>0.00</c:formatCode>
                <c:ptCount val="10"/>
                <c:pt idx="2">
                  <c:v>1.0393698938576728</c:v>
                </c:pt>
                <c:pt idx="4">
                  <c:v>1.0331150820718804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1.0396485920727681</c:v>
                </c:pt>
                <c:pt idx="8">
                  <c:v>1.0831630031367767</c:v>
                </c:pt>
                <c:pt idx="9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BC-484F-8D1E-7898ABA53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7626986338890439"/>
                  <c:y val="-0.1168568115353898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all!$B$25:$B$39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all!$G$25:$G$39</c:f>
              <c:numCache>
                <c:formatCode>0.00</c:formatCode>
                <c:ptCount val="15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  <c:pt idx="7">
                  <c:v>1.0393698938576728</c:v>
                </c:pt>
                <c:pt idx="9">
                  <c:v>1.0331150820718804</c:v>
                </c:pt>
                <c:pt idx="10">
                  <c:v>1.0275460447393339</c:v>
                </c:pt>
                <c:pt idx="11">
                  <c:v>1.0275826446035865</c:v>
                </c:pt>
                <c:pt idx="12">
                  <c:v>1.0396485920727681</c:v>
                </c:pt>
                <c:pt idx="13">
                  <c:v>1.0831630031367767</c:v>
                </c:pt>
                <c:pt idx="14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D67-40B8-85F7-18F462AF33D3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244638677422335"/>
                  <c:y val="0.3932315937329780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all!$B$24:$B$29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all!$G$24:$G$29</c:f>
              <c:numCache>
                <c:formatCode>0.00</c:formatCode>
                <c:ptCount val="6"/>
                <c:pt idx="1">
                  <c:v>1.1737788669959499</c:v>
                </c:pt>
                <c:pt idx="2">
                  <c:v>1.01827696825768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F3-454F-8D58-7431093C518B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9148961722252447E-2"/>
                  <c:y val="0.2200623771348789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all!$B$30:$B$39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all!$G$30:$G$39</c:f>
              <c:numCache>
                <c:formatCode>0.00</c:formatCode>
                <c:ptCount val="10"/>
                <c:pt idx="2">
                  <c:v>1.0393698938576728</c:v>
                </c:pt>
                <c:pt idx="4">
                  <c:v>1.0331150820718804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1.0396485920727681</c:v>
                </c:pt>
                <c:pt idx="8">
                  <c:v>1.0831630031367767</c:v>
                </c:pt>
                <c:pt idx="9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F3-454F-8D58-7431093C5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2"/>
          <c:min val="-0.6000000000000000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Turbidity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646249423221326"/>
          <c:y val="0.1560734208370308"/>
          <c:w val="0.74782772471482706"/>
          <c:h val="0.64792315492758235"/>
        </c:manualLayout>
      </c:layout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490010807472596"/>
                  <c:y val="-0.2506367563302959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all!$B$43:$B$57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2.1496979213356301E-3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all!$G$43:$G$57</c:f>
              <c:numCache>
                <c:formatCode>0.00</c:formatCode>
                <c:ptCount val="15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  <c:pt idx="7">
                  <c:v>1.0393698938576728</c:v>
                </c:pt>
                <c:pt idx="9">
                  <c:v>1.0331150820718804</c:v>
                </c:pt>
                <c:pt idx="10">
                  <c:v>1.0275460447393339</c:v>
                </c:pt>
                <c:pt idx="11">
                  <c:v>1.0275826446035865</c:v>
                </c:pt>
                <c:pt idx="12">
                  <c:v>1.0396485920727681</c:v>
                </c:pt>
                <c:pt idx="13">
                  <c:v>1.0831630031367767</c:v>
                </c:pt>
                <c:pt idx="14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734-4EB5-811C-3247AEFDEC81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5473032736287508E-2"/>
                  <c:y val="-9.850261210318743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all!$B$43:$B$47</c:f>
              <c:numCache>
                <c:formatCode>0.00</c:formatCode>
                <c:ptCount val="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</c:numCache>
            </c:numRef>
          </c:xVal>
          <c:yVal>
            <c:numRef>
              <c:f>all!$G$43:$G$47</c:f>
              <c:numCache>
                <c:formatCode>0.00</c:formatCode>
                <c:ptCount val="5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24-41E9-964A-2A0867FD68C8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04135767784481"/>
                  <c:y val="-0.1676263315922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all!$B$48:$B$57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2.1496979213356301E-3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all!$G$48:$G$57</c:f>
              <c:numCache>
                <c:formatCode>0.00</c:formatCode>
                <c:ptCount val="10"/>
                <c:pt idx="2">
                  <c:v>1.0393698938576728</c:v>
                </c:pt>
                <c:pt idx="4">
                  <c:v>1.0331150820718804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1.0396485920727681</c:v>
                </c:pt>
                <c:pt idx="8">
                  <c:v>1.0831630031367767</c:v>
                </c:pt>
                <c:pt idx="9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224-41E9-964A-2A0867FD6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1.25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385043809006317"/>
                  <c:y val="-0.2505922700744379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all!$B$62:$B$76</c:f>
              <c:numCache>
                <c:formatCode>0.00</c:formatCode>
                <c:ptCount val="15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  <c:pt idx="5" formatCode="0.000">
                  <c:v>1.3430417175947699E-2</c:v>
                </c:pt>
                <c:pt idx="6" formatCode="0.000">
                  <c:v>-1.61778645652975E-2</c:v>
                </c:pt>
                <c:pt idx="7" formatCode="0.000">
                  <c:v>2.95836818188689E-2</c:v>
                </c:pt>
                <c:pt idx="8" formatCode="0.000">
                  <c:v>-5.4892758010415703E-2</c:v>
                </c:pt>
                <c:pt idx="9" formatCode="0.000">
                  <c:v>8.8641812543785899E-3</c:v>
                </c:pt>
                <c:pt idx="10" formatCode="0.000">
                  <c:v>1.32778322661357E-2</c:v>
                </c:pt>
                <c:pt idx="11" formatCode="0.000">
                  <c:v>-6.0975544853349099E-2</c:v>
                </c:pt>
                <c:pt idx="12" formatCode="0.000">
                  <c:v>-1.77749404385871E-2</c:v>
                </c:pt>
                <c:pt idx="13" formatCode="0.000">
                  <c:v>3.08855730575289E-3</c:v>
                </c:pt>
                <c:pt idx="14" formatCode="0.000">
                  <c:v>-5.3081166180475401E-3</c:v>
                </c:pt>
              </c:numCache>
            </c:numRef>
          </c:xVal>
          <c:yVal>
            <c:numRef>
              <c:f>all!$G$62:$G$76</c:f>
              <c:numCache>
                <c:formatCode>0.00</c:formatCode>
                <c:ptCount val="15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  <c:pt idx="7">
                  <c:v>1.0393698938576728</c:v>
                </c:pt>
                <c:pt idx="9" formatCode="0.000">
                  <c:v>1.0311456359907301</c:v>
                </c:pt>
                <c:pt idx="10" formatCode="0.000">
                  <c:v>1.0328896319418399</c:v>
                </c:pt>
                <c:pt idx="11" formatCode="0.000">
                  <c:v>1.0327006459464001</c:v>
                </c:pt>
                <c:pt idx="12" formatCode="0.000">
                  <c:v>1.06939420314209</c:v>
                </c:pt>
                <c:pt idx="13" formatCode="0.000">
                  <c:v>1.12591121276406</c:v>
                </c:pt>
                <c:pt idx="14" formatCode="0.000">
                  <c:v>1.06457347177821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EF-48B8-94AD-C7C6FAF40EDA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all!$B$62:$B$66</c:f>
              <c:numCache>
                <c:formatCode>0.00</c:formatCode>
                <c:ptCount val="5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</c:numCache>
            </c:numRef>
          </c:xVal>
          <c:yVal>
            <c:numRef>
              <c:f>all!$G$62:$G$66</c:f>
              <c:numCache>
                <c:formatCode>0.00</c:formatCode>
                <c:ptCount val="5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41-49CB-B36C-8321121D3231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131516671223167"/>
                  <c:y val="-9.992416190264000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all!$B$67:$B$76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all!$G$67:$G$76</c:f>
              <c:numCache>
                <c:formatCode>0.00</c:formatCode>
                <c:ptCount val="10"/>
                <c:pt idx="2">
                  <c:v>1.0393698938576728</c:v>
                </c:pt>
                <c:pt idx="4" formatCode="0.000">
                  <c:v>1.0311456359907301</c:v>
                </c:pt>
                <c:pt idx="5" formatCode="0.000">
                  <c:v>1.0328896319418399</c:v>
                </c:pt>
                <c:pt idx="6" formatCode="0.000">
                  <c:v>1.0327006459464001</c:v>
                </c:pt>
                <c:pt idx="7" formatCode="0.000">
                  <c:v>1.06939420314209</c:v>
                </c:pt>
                <c:pt idx="8" formatCode="0.000">
                  <c:v>1.12591121276406</c:v>
                </c:pt>
                <c:pt idx="9" formatCode="0.000">
                  <c:v>1.06457347177821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41-49CB-B36C-8321121D3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∆time </a:t>
            </a:r>
            <a:r>
              <a:rPr lang="el-GR"/>
              <a:t>τ&gt;τ</a:t>
            </a:r>
            <a:r>
              <a:rPr lang="en-US"/>
              <a:t>c (hrs)</a:t>
            </a:r>
          </a:p>
        </c:rich>
      </c:tx>
      <c:layout>
        <c:manualLayout>
          <c:xMode val="edge"/>
          <c:yMode val="edge"/>
          <c:x val="0.26679360303630667"/>
          <c:y val="6.14583306190167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3879405809502257"/>
                  <c:y val="5.630528597480692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all!$I$5:$I$20</c:f>
              <c:numCache>
                <c:formatCode>0.00</c:formatCode>
                <c:ptCount val="16"/>
                <c:pt idx="1">
                  <c:v>-1.5</c:v>
                </c:pt>
                <c:pt idx="2">
                  <c:v>-0.63852552807902296</c:v>
                </c:pt>
                <c:pt idx="3">
                  <c:v>0</c:v>
                </c:pt>
                <c:pt idx="8">
                  <c:v>-1.9243966466520197</c:v>
                </c:pt>
                <c:pt idx="10">
                  <c:v>-8.5529249332917008</c:v>
                </c:pt>
                <c:pt idx="11">
                  <c:v>-6.8910153198931301</c:v>
                </c:pt>
                <c:pt idx="12">
                  <c:v>-4.3261384988685592</c:v>
                </c:pt>
                <c:pt idx="13">
                  <c:v>-8.6900508235792202</c:v>
                </c:pt>
                <c:pt idx="14">
                  <c:v>-7.4420412056407592</c:v>
                </c:pt>
                <c:pt idx="15">
                  <c:v>-8.2060847497882605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45-4EDB-90E9-95B8D2AA5EC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8980513026385437E-2"/>
                  <c:y val="0.134692168316044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all!$B$5:$B$10</c:f>
              <c:numCache>
                <c:formatCode>0.000</c:formatCode>
                <c:ptCount val="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</c:numCache>
            </c:numRef>
          </c:xVal>
          <c:yVal>
            <c:numRef>
              <c:f>all!$I$5:$I$10</c:f>
              <c:numCache>
                <c:formatCode>0.00</c:formatCode>
                <c:ptCount val="6"/>
                <c:pt idx="1">
                  <c:v>-1.5</c:v>
                </c:pt>
                <c:pt idx="2">
                  <c:v>-0.63852552807902296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45-4EDB-90E9-95B8D2AA5EC2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470230206231692"/>
                  <c:y val="0.1034741173208652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all!$B$11:$B$20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all!$I$11:$I$20</c:f>
              <c:numCache>
                <c:formatCode>0.00</c:formatCode>
                <c:ptCount val="10"/>
                <c:pt idx="2">
                  <c:v>-1.9243966466520197</c:v>
                </c:pt>
                <c:pt idx="4">
                  <c:v>-8.5529249332917008</c:v>
                </c:pt>
                <c:pt idx="5">
                  <c:v>-6.8910153198931301</c:v>
                </c:pt>
                <c:pt idx="6">
                  <c:v>-4.3261384988685592</c:v>
                </c:pt>
                <c:pt idx="7">
                  <c:v>-8.6900508235792202</c:v>
                </c:pt>
                <c:pt idx="8">
                  <c:v>-7.4420412056407592</c:v>
                </c:pt>
                <c:pt idx="9">
                  <c:v>-8.2060847497882605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45-4EDB-90E9-95B8D2AA5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∆time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τ&gt;τ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(hrs)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171086133135266"/>
                  <c:y val="-2.550737848385848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all!$B$25:$B$39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all!$I$25:$I$39</c:f>
              <c:numCache>
                <c:formatCode>0.00</c:formatCode>
                <c:ptCount val="15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7">
                  <c:v>-1.9243966466520197</c:v>
                </c:pt>
                <c:pt idx="9">
                  <c:v>-8.5529249332917008</c:v>
                </c:pt>
                <c:pt idx="10">
                  <c:v>-6.8910153198931301</c:v>
                </c:pt>
                <c:pt idx="11">
                  <c:v>-4.3261384988685592</c:v>
                </c:pt>
                <c:pt idx="12">
                  <c:v>-8.6900508235792202</c:v>
                </c:pt>
                <c:pt idx="13">
                  <c:v>-7.4420412056407592</c:v>
                </c:pt>
                <c:pt idx="14">
                  <c:v>-8.2060847497882605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D8-425B-BB9E-F0277704C46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2846626415202888E-2"/>
                  <c:y val="0.112282515924596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all!$B$24:$B$29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all!$I$24:$I$29</c:f>
              <c:numCache>
                <c:formatCode>0.00</c:formatCode>
                <c:ptCount val="6"/>
                <c:pt idx="1">
                  <c:v>-1.5</c:v>
                </c:pt>
                <c:pt idx="2">
                  <c:v>-0.63852552807902296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D8-425B-BB9E-F0277704C46B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8061976748948613"/>
                  <c:y val="-2.298502299110579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all!$B$30:$B$39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all!$I$30:$I$39</c:f>
              <c:numCache>
                <c:formatCode>0.00</c:formatCode>
                <c:ptCount val="10"/>
                <c:pt idx="2">
                  <c:v>-1.9243966466520197</c:v>
                </c:pt>
                <c:pt idx="4">
                  <c:v>-8.5529249332917008</c:v>
                </c:pt>
                <c:pt idx="5">
                  <c:v>-6.8910153198931301</c:v>
                </c:pt>
                <c:pt idx="6">
                  <c:v>-4.3261384988685592</c:v>
                </c:pt>
                <c:pt idx="7">
                  <c:v>-8.6900508235792202</c:v>
                </c:pt>
                <c:pt idx="8">
                  <c:v>-7.4420412056407592</c:v>
                </c:pt>
                <c:pt idx="9">
                  <c:v>-8.2060847497882605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ED8-425B-BB9E-F0277704C4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Turbidity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∆time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τ&gt;τ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(hrs)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7980501810624083"/>
          <c:y val="5.87262973940961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48719232834022"/>
                  <c:y val="-8.366504562098729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all!$B$43:$B$57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2.1496979213356301E-3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all!$I$43:$I$57</c:f>
              <c:numCache>
                <c:formatCode>0.00</c:formatCode>
                <c:ptCount val="15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7">
                  <c:v>-1.9243966466520197</c:v>
                </c:pt>
                <c:pt idx="9">
                  <c:v>-8.5529249332917008</c:v>
                </c:pt>
                <c:pt idx="10">
                  <c:v>-6.8910153198931301</c:v>
                </c:pt>
                <c:pt idx="11">
                  <c:v>-4.3261384988685592</c:v>
                </c:pt>
                <c:pt idx="12">
                  <c:v>-8.6900508235792202</c:v>
                </c:pt>
                <c:pt idx="13">
                  <c:v>-7.4420412056407592</c:v>
                </c:pt>
                <c:pt idx="14">
                  <c:v>-8.2060847497882605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5B-4D83-9151-A9C5136EB832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584059083950722"/>
                  <c:y val="-2.443442012490436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all!$B$42:$B$47</c:f>
              <c:numCache>
                <c:formatCode>0.00</c:formatCode>
                <c:ptCount val="6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</c:numCache>
            </c:numRef>
          </c:xVal>
          <c:yVal>
            <c:numRef>
              <c:f>all!$I$42:$I$47</c:f>
              <c:numCache>
                <c:formatCode>0.00</c:formatCode>
                <c:ptCount val="6"/>
                <c:pt idx="1">
                  <c:v>-1.5</c:v>
                </c:pt>
                <c:pt idx="2">
                  <c:v>-0.63852552807902296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73-4FFE-BFF3-89E9997E4BB7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876683361436336"/>
                  <c:y val="0.2296584638926187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all!$B$48:$B$57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2.1496979213356301E-3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all!$I$48:$I$57</c:f>
              <c:numCache>
                <c:formatCode>0.00</c:formatCode>
                <c:ptCount val="10"/>
                <c:pt idx="2">
                  <c:v>-1.9243966466520197</c:v>
                </c:pt>
                <c:pt idx="4">
                  <c:v>-8.5529249332917008</c:v>
                </c:pt>
                <c:pt idx="5">
                  <c:v>-6.8910153198931301</c:v>
                </c:pt>
                <c:pt idx="6">
                  <c:v>-4.3261384988685592</c:v>
                </c:pt>
                <c:pt idx="7">
                  <c:v>-8.6900508235792202</c:v>
                </c:pt>
                <c:pt idx="8">
                  <c:v>-7.4420412056407592</c:v>
                </c:pt>
                <c:pt idx="9">
                  <c:v>-8.2060847497882605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773-4FFE-BFF3-89E9997E4B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  <c:min val="-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∆time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τ&gt;τ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(hrs)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8829930919669133"/>
          <c:y val="3.89297088854761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8713649072402972"/>
                  <c:y val="2.8682305987511841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all!$B$62:$B$76</c:f>
              <c:numCache>
                <c:formatCode>0.00</c:formatCode>
                <c:ptCount val="15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  <c:pt idx="5" formatCode="0.000">
                  <c:v>1.3430417175947699E-2</c:v>
                </c:pt>
                <c:pt idx="6" formatCode="0.000">
                  <c:v>-1.61778645652975E-2</c:v>
                </c:pt>
                <c:pt idx="7" formatCode="0.000">
                  <c:v>2.95836818188689E-2</c:v>
                </c:pt>
                <c:pt idx="8" formatCode="0.000">
                  <c:v>-5.4892758010415703E-2</c:v>
                </c:pt>
                <c:pt idx="9" formatCode="0.000">
                  <c:v>8.8641812543785899E-3</c:v>
                </c:pt>
                <c:pt idx="10" formatCode="0.000">
                  <c:v>1.32778322661357E-2</c:v>
                </c:pt>
                <c:pt idx="11" formatCode="0.000">
                  <c:v>-6.0975544853349099E-2</c:v>
                </c:pt>
                <c:pt idx="12" formatCode="0.000">
                  <c:v>-1.77749404385871E-2</c:v>
                </c:pt>
                <c:pt idx="13" formatCode="0.000">
                  <c:v>3.08855730575289E-3</c:v>
                </c:pt>
                <c:pt idx="14" formatCode="0.000">
                  <c:v>-5.3081166180475401E-3</c:v>
                </c:pt>
              </c:numCache>
            </c:numRef>
          </c:xVal>
          <c:yVal>
            <c:numRef>
              <c:f>all!$I$62:$I$76</c:f>
              <c:numCache>
                <c:formatCode>0.00</c:formatCode>
                <c:ptCount val="15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7">
                  <c:v>-1.9243966466520197</c:v>
                </c:pt>
                <c:pt idx="9">
                  <c:v>-8.5529249332917008</c:v>
                </c:pt>
                <c:pt idx="10">
                  <c:v>-6.8910153198931301</c:v>
                </c:pt>
                <c:pt idx="11">
                  <c:v>-4.3261384988685592</c:v>
                </c:pt>
                <c:pt idx="12">
                  <c:v>-8.6900508235792202</c:v>
                </c:pt>
                <c:pt idx="13">
                  <c:v>-7.4420412056407592</c:v>
                </c:pt>
                <c:pt idx="14">
                  <c:v>-8.2060847497882605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5D-4521-82B2-A0CD39EBBA59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6108158571083106E-2"/>
                  <c:y val="3.6108633945070537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all!$B$62:$B$66</c:f>
              <c:numCache>
                <c:formatCode>0.00</c:formatCode>
                <c:ptCount val="5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</c:numCache>
            </c:numRef>
          </c:xVal>
          <c:yVal>
            <c:numRef>
              <c:f>all!$I$62:$I$66</c:f>
              <c:numCache>
                <c:formatCode>0.00</c:formatCode>
                <c:ptCount val="5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B2A-444A-AE23-E86D868B3AE8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3067617228336636E-2"/>
                  <c:y val="0.1101324657800628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all!$B$67:$B$76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all!$I$67:$I$76</c:f>
              <c:numCache>
                <c:formatCode>0.00</c:formatCode>
                <c:ptCount val="10"/>
                <c:pt idx="2">
                  <c:v>-1.9243966466520197</c:v>
                </c:pt>
                <c:pt idx="4">
                  <c:v>-8.5529249332917008</c:v>
                </c:pt>
                <c:pt idx="5">
                  <c:v>-6.8910153198931301</c:v>
                </c:pt>
                <c:pt idx="6">
                  <c:v>-4.3261384988685592</c:v>
                </c:pt>
                <c:pt idx="7">
                  <c:v>-8.6900508235792202</c:v>
                </c:pt>
                <c:pt idx="8">
                  <c:v>-7.4420412056407592</c:v>
                </c:pt>
                <c:pt idx="9">
                  <c:v>-8.2060847497882605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B2A-444A-AE23-E86D868B3A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 HI vs SS HI </a:t>
            </a:r>
          </a:p>
        </c:rich>
      </c:tx>
      <c:layout>
        <c:manualLayout>
          <c:xMode val="edge"/>
          <c:yMode val="edge"/>
          <c:x val="0.41464566929133856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40048118985128"/>
          <c:y val="0.16245370370370371"/>
          <c:w val="0.84757174103237098"/>
          <c:h val="0.59625801983085447"/>
        </c:manualLayout>
      </c:layout>
      <c:scatterChart>
        <c:scatterStyle val="lineMarker"/>
        <c:varyColors val="0"/>
        <c:ser>
          <c:idx val="0"/>
          <c:order val="0"/>
          <c:tx>
            <c:v>not including ST1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017672790901138"/>
                  <c:y val="-0.2251902887139107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all!$B$6:$B$20</c:f>
              <c:numCache>
                <c:formatCode>0.000</c:formatCode>
                <c:ptCount val="15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0.36516163611226798</c:v>
                </c:pt>
                <c:pt idx="4">
                  <c:v>4.1333778886518201E-2</c:v>
                </c:pt>
                <c:pt idx="5">
                  <c:v>9.4513218106104094E-2</c:v>
                </c:pt>
                <c:pt idx="6">
                  <c:v>4.2663094228711902E-2</c:v>
                </c:pt>
                <c:pt idx="7">
                  <c:v>8.8732929175135894E-2</c:v>
                </c:pt>
                <c:pt idx="8">
                  <c:v>-1.9463558010346702E-2</c:v>
                </c:pt>
                <c:pt idx="9">
                  <c:v>0.10415722716452799</c:v>
                </c:pt>
                <c:pt idx="10">
                  <c:v>4.66251429291673E-2</c:v>
                </c:pt>
                <c:pt idx="11">
                  <c:v>9.0894558490112708E-3</c:v>
                </c:pt>
                <c:pt idx="12">
                  <c:v>-1.7278096303121701E-2</c:v>
                </c:pt>
                <c:pt idx="13">
                  <c:v>2.0373962034653699E-2</c:v>
                </c:pt>
                <c:pt idx="14">
                  <c:v>-2.50118292734785E-2</c:v>
                </c:pt>
              </c:numCache>
            </c:numRef>
          </c:xVal>
          <c:yVal>
            <c:numRef>
              <c:f>all!$B$43:$B$57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2.1496979213356301E-3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B-47BC-BFA7-04D7A1E70C8C}"/>
            </c:ext>
          </c:extLst>
        </c:ser>
        <c:ser>
          <c:idx val="1"/>
          <c:order val="1"/>
          <c:tx>
            <c:v>including ST1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934733158355206"/>
                  <c:y val="-7.871682706328375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all!$B$42:$B$57</c:f>
              <c:numCache>
                <c:formatCode>0.00</c:formatCode>
                <c:ptCount val="16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  <c:pt idx="6" formatCode="0.000">
                  <c:v>5.1856335362832198E-2</c:v>
                </c:pt>
                <c:pt idx="7" formatCode="0.000">
                  <c:v>0.103368750113241</c:v>
                </c:pt>
                <c:pt idx="8" formatCode="0.000">
                  <c:v>0.15621819275209001</c:v>
                </c:pt>
                <c:pt idx="9" formatCode="0.000">
                  <c:v>0.15071577677020101</c:v>
                </c:pt>
                <c:pt idx="10" formatCode="0.000">
                  <c:v>5.5397551503622099E-2</c:v>
                </c:pt>
                <c:pt idx="11" formatCode="0.000">
                  <c:v>6.9883057908481996E-2</c:v>
                </c:pt>
                <c:pt idx="12" formatCode="0.000">
                  <c:v>7.8645648239850305E-2</c:v>
                </c:pt>
                <c:pt idx="13" formatCode="0.000">
                  <c:v>2.1496979213356301E-3</c:v>
                </c:pt>
                <c:pt idx="14" formatCode="0.000">
                  <c:v>0.101236914763633</c:v>
                </c:pt>
                <c:pt idx="15" formatCode="0.000">
                  <c:v>0.107400232693555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B1B-47BC-BFA7-04D7A1E70C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735888"/>
        <c:axId val="220129840"/>
      </c:scatterChart>
      <c:valAx>
        <c:axId val="586735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129840"/>
        <c:crosses val="autoZero"/>
        <c:crossBetween val="midCat"/>
      </c:valAx>
      <c:valAx>
        <c:axId val="22012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735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SS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6860629921259844"/>
                  <c:y val="-0.4240762613006707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6538385826771653"/>
                  <c:y val="-0.2480719597550306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all!$W$5:$W$14</c:f>
              <c:numCache>
                <c:formatCode>0.000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8.8732929175135894E-2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all!$AD$5:$AD$14</c:f>
              <c:numCache>
                <c:formatCode>0.00</c:formatCode>
                <c:ptCount val="10"/>
                <c:pt idx="0">
                  <c:v>0.30708458237534503</c:v>
                </c:pt>
                <c:pt idx="1">
                  <c:v>0.49664162355941199</c:v>
                </c:pt>
                <c:pt idx="2">
                  <c:v>0</c:v>
                </c:pt>
                <c:pt idx="3">
                  <c:v>0.19059894727801999</c:v>
                </c:pt>
                <c:pt idx="4">
                  <c:v>0.499861288181496</c:v>
                </c:pt>
                <c:pt idx="5">
                  <c:v>0.40695810522245701</c:v>
                </c:pt>
                <c:pt idx="6">
                  <c:v>5.4056282725128302E-2</c:v>
                </c:pt>
                <c:pt idx="7">
                  <c:v>0.26690920736687102</c:v>
                </c:pt>
                <c:pt idx="8">
                  <c:v>0.45125668170602201</c:v>
                </c:pt>
                <c:pt idx="9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A3-41B9-8292-B4462D6A3C56}"/>
            </c:ext>
          </c:extLst>
        </c:ser>
        <c:ser>
          <c:idx val="1"/>
          <c:order val="1"/>
          <c:tx>
            <c:strRef>
              <c:f>all!$X$4</c:f>
              <c:strCache>
                <c:ptCount val="1"/>
                <c:pt idx="0">
                  <c:v>DOC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104505686789146"/>
                  <c:y val="-0.2778335520559930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all!$X$5:$X$14</c:f>
              <c:numCache>
                <c:formatCode>0.00</c:formatCode>
                <c:ptCount val="10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1.20306787922476E-2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all!$AD$5:$AD$14</c:f>
              <c:numCache>
                <c:formatCode>0.00</c:formatCode>
                <c:ptCount val="10"/>
                <c:pt idx="0">
                  <c:v>0.30708458237534503</c:v>
                </c:pt>
                <c:pt idx="1">
                  <c:v>0.49664162355941199</c:v>
                </c:pt>
                <c:pt idx="2">
                  <c:v>0</c:v>
                </c:pt>
                <c:pt idx="3">
                  <c:v>0.19059894727801999</c:v>
                </c:pt>
                <c:pt idx="4">
                  <c:v>0.499861288181496</c:v>
                </c:pt>
                <c:pt idx="5">
                  <c:v>0.40695810522245701</c:v>
                </c:pt>
                <c:pt idx="6">
                  <c:v>5.4056282725128302E-2</c:v>
                </c:pt>
                <c:pt idx="7">
                  <c:v>0.26690920736687102</c:v>
                </c:pt>
                <c:pt idx="8">
                  <c:v>0.45125668170602201</c:v>
                </c:pt>
                <c:pt idx="9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1A3-41B9-8292-B4462D6A3C56}"/>
            </c:ext>
          </c:extLst>
        </c:ser>
        <c:ser>
          <c:idx val="2"/>
          <c:order val="2"/>
          <c:tx>
            <c:strRef>
              <c:f>all!$Y$4</c:f>
              <c:strCache>
                <c:ptCount val="1"/>
                <c:pt idx="0">
                  <c:v>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all!$Y$5:$Y$14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0.14884070399999999</c:v>
                </c:pt>
                <c:pt idx="3" formatCode="0.000">
                  <c:v>0.15621819275209001</c:v>
                </c:pt>
                <c:pt idx="4" formatCode="0.000">
                  <c:v>5.5397551503622099E-2</c:v>
                </c:pt>
                <c:pt idx="5" formatCode="0.000">
                  <c:v>6.9883057908481996E-2</c:v>
                </c:pt>
                <c:pt idx="6" formatCode="0.000">
                  <c:v>7.8645648239850305E-2</c:v>
                </c:pt>
                <c:pt idx="7" formatCode="0.000">
                  <c:v>2.1496979213356301E-3</c:v>
                </c:pt>
                <c:pt idx="8" formatCode="0.000">
                  <c:v>0.101236914763633</c:v>
                </c:pt>
                <c:pt idx="9" formatCode="0.000">
                  <c:v>0.107400232693555</c:v>
                </c:pt>
              </c:numCache>
            </c:numRef>
          </c:xVal>
          <c:yVal>
            <c:numRef>
              <c:f>all!$AD$5:$AD$14</c:f>
              <c:numCache>
                <c:formatCode>0.00</c:formatCode>
                <c:ptCount val="10"/>
                <c:pt idx="0">
                  <c:v>0.30708458237534503</c:v>
                </c:pt>
                <c:pt idx="1">
                  <c:v>0.49664162355941199</c:v>
                </c:pt>
                <c:pt idx="2">
                  <c:v>0</c:v>
                </c:pt>
                <c:pt idx="3">
                  <c:v>0.19059894727801999</c:v>
                </c:pt>
                <c:pt idx="4">
                  <c:v>0.499861288181496</c:v>
                </c:pt>
                <c:pt idx="5">
                  <c:v>0.40695810522245701</c:v>
                </c:pt>
                <c:pt idx="6">
                  <c:v>5.4056282725128302E-2</c:v>
                </c:pt>
                <c:pt idx="7">
                  <c:v>0.26690920736687102</c:v>
                </c:pt>
                <c:pt idx="8">
                  <c:v>0.45125668170602201</c:v>
                </c:pt>
                <c:pt idx="9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1A3-41B9-8292-B4462D6A3C56}"/>
            </c:ext>
          </c:extLst>
        </c:ser>
        <c:ser>
          <c:idx val="3"/>
          <c:order val="3"/>
          <c:tx>
            <c:strRef>
              <c:f>all!$Z$4</c:f>
              <c:strCache>
                <c:ptCount val="1"/>
                <c:pt idx="0">
                  <c:v>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8245188101487311E-2"/>
                  <c:y val="-0.1175674394867308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all!$Z$5:$Z$14</c:f>
              <c:numCache>
                <c:formatCode>0.00</c:formatCode>
                <c:ptCount val="10"/>
                <c:pt idx="0">
                  <c:v>-0.64117535564386996</c:v>
                </c:pt>
                <c:pt idx="1">
                  <c:v>-0.511670862423525</c:v>
                </c:pt>
                <c:pt idx="2">
                  <c:v>-0.22155858359451899</c:v>
                </c:pt>
                <c:pt idx="3" formatCode="0.000">
                  <c:v>2.95836818188689E-2</c:v>
                </c:pt>
                <c:pt idx="4" formatCode="0.000">
                  <c:v>8.8641812543785899E-3</c:v>
                </c:pt>
                <c:pt idx="5" formatCode="0.000">
                  <c:v>1.32778322661357E-2</c:v>
                </c:pt>
                <c:pt idx="6" formatCode="0.000">
                  <c:v>-6.0975544853349099E-2</c:v>
                </c:pt>
                <c:pt idx="7" formatCode="0.000">
                  <c:v>-1.77749404385871E-2</c:v>
                </c:pt>
                <c:pt idx="8" formatCode="0.000">
                  <c:v>3.08855730575289E-3</c:v>
                </c:pt>
                <c:pt idx="9" formatCode="0.000">
                  <c:v>-5.3081166180475401E-3</c:v>
                </c:pt>
              </c:numCache>
            </c:numRef>
          </c:xVal>
          <c:yVal>
            <c:numRef>
              <c:f>all!$AD$5:$AD$14</c:f>
              <c:numCache>
                <c:formatCode>0.00</c:formatCode>
                <c:ptCount val="10"/>
                <c:pt idx="0">
                  <c:v>0.30708458237534503</c:v>
                </c:pt>
                <c:pt idx="1">
                  <c:v>0.49664162355941199</c:v>
                </c:pt>
                <c:pt idx="2">
                  <c:v>0</c:v>
                </c:pt>
                <c:pt idx="3">
                  <c:v>0.19059894727801999</c:v>
                </c:pt>
                <c:pt idx="4">
                  <c:v>0.499861288181496</c:v>
                </c:pt>
                <c:pt idx="5">
                  <c:v>0.40695810522245701</c:v>
                </c:pt>
                <c:pt idx="6">
                  <c:v>5.4056282725128302E-2</c:v>
                </c:pt>
                <c:pt idx="7">
                  <c:v>0.26690920736687102</c:v>
                </c:pt>
                <c:pt idx="8">
                  <c:v>0.45125668170602201</c:v>
                </c:pt>
                <c:pt idx="9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1A3-41B9-8292-B4462D6A3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00080"/>
        <c:axId val="2008078000"/>
      </c:scatterChart>
      <c:valAx>
        <c:axId val="850100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078000"/>
        <c:crosses val="autoZero"/>
        <c:crossBetween val="midCat"/>
      </c:valAx>
      <c:valAx>
        <c:axId val="2008078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01000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time </a:t>
            </a:r>
            <a:r>
              <a:rPr lang="el-GR"/>
              <a:t>τ</a:t>
            </a:r>
            <a:r>
              <a:rPr lang="en-US"/>
              <a:t>c from peak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386447129231622"/>
          <c:y val="0.16881658193755791"/>
          <c:w val="0.71225510689966409"/>
          <c:h val="0.60779316659887139"/>
        </c:manualLayout>
      </c:layout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4447814590859385E-2"/>
                  <c:y val="-2.0043615928952985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all!$J$5:$J$20</c:f>
              <c:numCache>
                <c:formatCode>General</c:formatCode>
                <c:ptCount val="16"/>
                <c:pt idx="1">
                  <c:v>-0.30833333299999999</c:v>
                </c:pt>
                <c:pt idx="2">
                  <c:v>-0.20494343600000001</c:v>
                </c:pt>
                <c:pt idx="3" formatCode="0.00">
                  <c:v>0</c:v>
                </c:pt>
                <c:pt idx="8">
                  <c:v>-0.37303628</c:v>
                </c:pt>
                <c:pt idx="10">
                  <c:v>-0.27047935899999997</c:v>
                </c:pt>
                <c:pt idx="11">
                  <c:v>-0.59254314200000002</c:v>
                </c:pt>
                <c:pt idx="12">
                  <c:v>-0.37005655300000001</c:v>
                </c:pt>
                <c:pt idx="13">
                  <c:v>-0.28463715699999997</c:v>
                </c:pt>
                <c:pt idx="14">
                  <c:v>-0.37799506199999999</c:v>
                </c:pt>
                <c:pt idx="15">
                  <c:v>-0.58893643299999998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0E-488F-8082-5F80EB70A2C7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003397268471478"/>
                  <c:y val="-0.1041577308194394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all!$B$5:$B$10</c:f>
              <c:numCache>
                <c:formatCode>0.000</c:formatCode>
                <c:ptCount val="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</c:numCache>
            </c:numRef>
          </c:xVal>
          <c:yVal>
            <c:numRef>
              <c:f>all!$J$5:$J$10</c:f>
              <c:numCache>
                <c:formatCode>General</c:formatCode>
                <c:ptCount val="6"/>
                <c:pt idx="1">
                  <c:v>-0.30833333299999999</c:v>
                </c:pt>
                <c:pt idx="2">
                  <c:v>-0.20494343600000001</c:v>
                </c:pt>
                <c:pt idx="3" formatCode="0.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0E-488F-8082-5F80EB70A2C7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5652587222530433"/>
                  <c:y val="5.950116705903635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all!$B$11:$B$20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all!$J$11:$J$20</c:f>
              <c:numCache>
                <c:formatCode>0.00</c:formatCode>
                <c:ptCount val="10"/>
                <c:pt idx="2" formatCode="General">
                  <c:v>-0.37303628</c:v>
                </c:pt>
                <c:pt idx="4" formatCode="General">
                  <c:v>-0.27047935899999997</c:v>
                </c:pt>
                <c:pt idx="5" formatCode="General">
                  <c:v>-0.59254314200000002</c:v>
                </c:pt>
                <c:pt idx="6" formatCode="General">
                  <c:v>-0.37005655300000001</c:v>
                </c:pt>
                <c:pt idx="7" formatCode="General">
                  <c:v>-0.28463715699999997</c:v>
                </c:pt>
                <c:pt idx="8" formatCode="General">
                  <c:v>-0.37799506199999999</c:v>
                </c:pt>
                <c:pt idx="9" formatCode="General">
                  <c:v>-0.58893643299999998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C0E-488F-8082-5F80EB70A2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735976138084938"/>
              <c:y val="0.845448577437050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time </a:t>
            </a:r>
            <a:r>
              <a:rPr lang="el-GR"/>
              <a:t>τ</a:t>
            </a:r>
            <a:r>
              <a:rPr lang="en-US"/>
              <a:t>c from peak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754403772998391E-3"/>
                  <c:y val="7.9359809543112281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all!$B$25:$B$39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all!$J$25:$J$39</c:f>
              <c:numCache>
                <c:formatCode>General</c:formatCode>
                <c:ptCount val="15"/>
                <c:pt idx="0">
                  <c:v>-0.30833333299999999</c:v>
                </c:pt>
                <c:pt idx="1">
                  <c:v>-0.20494343600000001</c:v>
                </c:pt>
                <c:pt idx="2" formatCode="0.00">
                  <c:v>0</c:v>
                </c:pt>
                <c:pt idx="7">
                  <c:v>-0.37303628</c:v>
                </c:pt>
                <c:pt idx="9">
                  <c:v>-0.27047935899999997</c:v>
                </c:pt>
                <c:pt idx="10">
                  <c:v>-0.59254314200000002</c:v>
                </c:pt>
                <c:pt idx="11">
                  <c:v>-0.37005655300000001</c:v>
                </c:pt>
                <c:pt idx="12">
                  <c:v>-0.28463715699999997</c:v>
                </c:pt>
                <c:pt idx="13">
                  <c:v>-0.37799506199999999</c:v>
                </c:pt>
                <c:pt idx="14">
                  <c:v>-0.58893643299999998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5A-41D2-9DAE-4F82FBAE378A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989381257804147"/>
                  <c:y val="0.1831684179161366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all!$B$24:$B$29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all!$J$24:$J$29</c:f>
              <c:numCache>
                <c:formatCode>General</c:formatCode>
                <c:ptCount val="6"/>
                <c:pt idx="1">
                  <c:v>-0.30833333299999999</c:v>
                </c:pt>
                <c:pt idx="2">
                  <c:v>-0.20494343600000001</c:v>
                </c:pt>
                <c:pt idx="3" formatCode="0.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45A-41D2-9DAE-4F82FBAE378A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74976205126232"/>
                  <c:y val="0.2194907817364371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all!$B$30:$B$39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all!$J$30:$J$39</c:f>
              <c:numCache>
                <c:formatCode>0.00</c:formatCode>
                <c:ptCount val="10"/>
                <c:pt idx="2" formatCode="General">
                  <c:v>-0.37303628</c:v>
                </c:pt>
                <c:pt idx="4" formatCode="General">
                  <c:v>-0.27047935899999997</c:v>
                </c:pt>
                <c:pt idx="5" formatCode="General">
                  <c:v>-0.59254314200000002</c:v>
                </c:pt>
                <c:pt idx="6" formatCode="General">
                  <c:v>-0.37005655300000001</c:v>
                </c:pt>
                <c:pt idx="7" formatCode="General">
                  <c:v>-0.28463715699999997</c:v>
                </c:pt>
                <c:pt idx="8" formatCode="General">
                  <c:v>-0.37799506199999999</c:v>
                </c:pt>
                <c:pt idx="9" formatCode="General">
                  <c:v>-0.58893643299999998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45A-41D2-9DAE-4F82FBAE3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time </a:t>
            </a:r>
            <a:r>
              <a:rPr lang="el-GR"/>
              <a:t>τ</a:t>
            </a:r>
            <a:r>
              <a:rPr lang="en-US"/>
              <a:t>c from peak </a:t>
            </a:r>
          </a:p>
        </c:rich>
      </c:tx>
      <c:layout>
        <c:manualLayout>
          <c:xMode val="edge"/>
          <c:yMode val="edge"/>
          <c:x val="0.3244999228037671"/>
          <c:y val="3.888888888888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281727584894915"/>
                  <c:y val="-0.1055005036323671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all!$B$43:$B$57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2.1496979213356301E-3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all!$J$43:$J$57</c:f>
              <c:numCache>
                <c:formatCode>General</c:formatCode>
                <c:ptCount val="15"/>
                <c:pt idx="0">
                  <c:v>-0.30833333299999999</c:v>
                </c:pt>
                <c:pt idx="1">
                  <c:v>-0.20494343600000001</c:v>
                </c:pt>
                <c:pt idx="2" formatCode="0.00">
                  <c:v>0</c:v>
                </c:pt>
                <c:pt idx="7">
                  <c:v>-0.37303628</c:v>
                </c:pt>
                <c:pt idx="9">
                  <c:v>-0.27047935899999997</c:v>
                </c:pt>
                <c:pt idx="10">
                  <c:v>-0.59254314200000002</c:v>
                </c:pt>
                <c:pt idx="11">
                  <c:v>-0.37005655300000001</c:v>
                </c:pt>
                <c:pt idx="12">
                  <c:v>-0.28463715699999997</c:v>
                </c:pt>
                <c:pt idx="13">
                  <c:v>-0.37799506199999999</c:v>
                </c:pt>
                <c:pt idx="14">
                  <c:v>-0.58893643299999998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FE-4BEF-BA9E-778D22DFB98F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675330672316242E-2"/>
                  <c:y val="0.3858513158237238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all!$B$42:$B$47</c:f>
              <c:numCache>
                <c:formatCode>0.00</c:formatCode>
                <c:ptCount val="6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</c:numCache>
            </c:numRef>
          </c:xVal>
          <c:yVal>
            <c:numRef>
              <c:f>all!$J$42:$J$47</c:f>
              <c:numCache>
                <c:formatCode>General</c:formatCode>
                <c:ptCount val="6"/>
                <c:pt idx="1">
                  <c:v>-0.30833333299999999</c:v>
                </c:pt>
                <c:pt idx="2">
                  <c:v>-0.20494343600000001</c:v>
                </c:pt>
                <c:pt idx="3" formatCode="0.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FE-4BEF-BA9E-778D22DFB98F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6368068780088056"/>
                  <c:y val="2.3135317012890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all!$B$48:$B$57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2.1496979213356301E-3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all!$J$48:$J$57</c:f>
              <c:numCache>
                <c:formatCode>0.00</c:formatCode>
                <c:ptCount val="10"/>
                <c:pt idx="2" formatCode="General">
                  <c:v>-0.37303628</c:v>
                </c:pt>
                <c:pt idx="4" formatCode="General">
                  <c:v>-0.27047935899999997</c:v>
                </c:pt>
                <c:pt idx="5" formatCode="General">
                  <c:v>-0.59254314200000002</c:v>
                </c:pt>
                <c:pt idx="6" formatCode="General">
                  <c:v>-0.37005655300000001</c:v>
                </c:pt>
                <c:pt idx="7" formatCode="General">
                  <c:v>-0.28463715699999997</c:v>
                </c:pt>
                <c:pt idx="8" formatCode="General">
                  <c:v>-0.37799506199999999</c:v>
                </c:pt>
                <c:pt idx="9" formatCode="General">
                  <c:v>-0.58893643299999998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FE-4BEF-BA9E-778D22DFB9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time </a:t>
            </a:r>
            <a:r>
              <a:rPr lang="el-GR"/>
              <a:t>τ</a:t>
            </a:r>
            <a:r>
              <a:rPr lang="en-US"/>
              <a:t>c from peak </a:t>
            </a:r>
          </a:p>
        </c:rich>
      </c:tx>
      <c:layout>
        <c:manualLayout>
          <c:xMode val="edge"/>
          <c:yMode val="edge"/>
          <c:x val="0.33223151112090599"/>
          <c:y val="4.41383016099365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38337802210887"/>
                  <c:y val="-3.513264433401588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all!$B$61:$B$76</c:f>
              <c:numCache>
                <c:formatCode>0.00</c:formatCode>
                <c:ptCount val="16"/>
                <c:pt idx="0">
                  <c:v>-0.62489073949006502</c:v>
                </c:pt>
                <c:pt idx="1">
                  <c:v>-0.54117535564386998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  <c:pt idx="6" formatCode="0.000">
                  <c:v>1.3430417175947699E-2</c:v>
                </c:pt>
                <c:pt idx="7" formatCode="0.000">
                  <c:v>-1.61778645652975E-2</c:v>
                </c:pt>
                <c:pt idx="8" formatCode="0.000">
                  <c:v>2.95836818188689E-2</c:v>
                </c:pt>
                <c:pt idx="9" formatCode="0.000">
                  <c:v>-5.4892758010415703E-2</c:v>
                </c:pt>
                <c:pt idx="10" formatCode="0.000">
                  <c:v>8.8641812543785899E-3</c:v>
                </c:pt>
                <c:pt idx="11" formatCode="0.000">
                  <c:v>1.32778322661357E-2</c:v>
                </c:pt>
                <c:pt idx="12" formatCode="0.000">
                  <c:v>-6.0975544853349099E-2</c:v>
                </c:pt>
                <c:pt idx="13" formatCode="0.000">
                  <c:v>-1.77749404385871E-2</c:v>
                </c:pt>
                <c:pt idx="14" formatCode="0.000">
                  <c:v>3.08855730575289E-3</c:v>
                </c:pt>
                <c:pt idx="15" formatCode="0.000">
                  <c:v>-5.3081166180475401E-3</c:v>
                </c:pt>
              </c:numCache>
            </c:numRef>
          </c:xVal>
          <c:yVal>
            <c:numRef>
              <c:f>all!$J$61:$J$76</c:f>
              <c:numCache>
                <c:formatCode>General</c:formatCode>
                <c:ptCount val="16"/>
                <c:pt idx="1">
                  <c:v>-0.30833333299999999</c:v>
                </c:pt>
                <c:pt idx="2">
                  <c:v>-0.20494343600000001</c:v>
                </c:pt>
                <c:pt idx="3" formatCode="0.00">
                  <c:v>0</c:v>
                </c:pt>
                <c:pt idx="8">
                  <c:v>-0.37303628</c:v>
                </c:pt>
                <c:pt idx="10">
                  <c:v>-0.27047935899999997</c:v>
                </c:pt>
                <c:pt idx="11">
                  <c:v>-0.59254314200000002</c:v>
                </c:pt>
                <c:pt idx="12">
                  <c:v>-0.37005655300000001</c:v>
                </c:pt>
                <c:pt idx="13">
                  <c:v>-0.28463715699999997</c:v>
                </c:pt>
                <c:pt idx="14">
                  <c:v>-0.37799506199999999</c:v>
                </c:pt>
                <c:pt idx="15">
                  <c:v>-0.58893643299999998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2C-498B-B179-CB608CD026AE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1960705841839546"/>
                  <c:y val="-3.250545255146425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all!$B$61:$B$66</c:f>
              <c:numCache>
                <c:formatCode>0.00</c:formatCode>
                <c:ptCount val="6"/>
                <c:pt idx="0">
                  <c:v>-0.62489073949006502</c:v>
                </c:pt>
                <c:pt idx="1">
                  <c:v>-0.54117535564386998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</c:numCache>
            </c:numRef>
          </c:xVal>
          <c:yVal>
            <c:numRef>
              <c:f>all!$I$61:$I$66</c:f>
              <c:numCache>
                <c:formatCode>0.00</c:formatCode>
                <c:ptCount val="6"/>
                <c:pt idx="1">
                  <c:v>-1.5</c:v>
                </c:pt>
                <c:pt idx="2">
                  <c:v>-0.63852552807902296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2C-498B-B179-CB608CD026AE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7804558592095758"/>
                  <c:y val="7.074032454706481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all!$B$67:$B$76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all!$J$67:$J$76</c:f>
              <c:numCache>
                <c:formatCode>0.00</c:formatCode>
                <c:ptCount val="10"/>
                <c:pt idx="2" formatCode="General">
                  <c:v>-0.37303628</c:v>
                </c:pt>
                <c:pt idx="4" formatCode="General">
                  <c:v>-0.27047935899999997</c:v>
                </c:pt>
                <c:pt idx="5" formatCode="General">
                  <c:v>-0.59254314200000002</c:v>
                </c:pt>
                <c:pt idx="6" formatCode="General">
                  <c:v>-0.37005655300000001</c:v>
                </c:pt>
                <c:pt idx="7" formatCode="General">
                  <c:v>-0.28463715699999997</c:v>
                </c:pt>
                <c:pt idx="8" formatCode="General">
                  <c:v>-0.37799506199999999</c:v>
                </c:pt>
                <c:pt idx="9" formatCode="General">
                  <c:v>-0.58893643299999998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42C-498B-B179-CB608CD02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571500</xdr:colOff>
      <xdr:row>3</xdr:row>
      <xdr:rowOff>47625</xdr:rowOff>
    </xdr:from>
    <xdr:to>
      <xdr:col>12</xdr:col>
      <xdr:colOff>647700</xdr:colOff>
      <xdr:row>15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9418078-92AB-49A6-9747-BE910D3E00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552450</xdr:colOff>
      <xdr:row>15</xdr:row>
      <xdr:rowOff>114300</xdr:rowOff>
    </xdr:from>
    <xdr:to>
      <xdr:col>12</xdr:col>
      <xdr:colOff>628650</xdr:colOff>
      <xdr:row>27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FE8B61-85F7-4AA3-99F3-44DA72B9C6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432088</xdr:colOff>
      <xdr:row>28</xdr:row>
      <xdr:rowOff>99147</xdr:rowOff>
    </xdr:from>
    <xdr:to>
      <xdr:col>12</xdr:col>
      <xdr:colOff>520411</xdr:colOff>
      <xdr:row>41</xdr:row>
      <xdr:rowOff>172545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80A4EAE-0452-4446-8267-F80490106E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226666</xdr:colOff>
      <xdr:row>42</xdr:row>
      <xdr:rowOff>166580</xdr:rowOff>
    </xdr:from>
    <xdr:to>
      <xdr:col>12</xdr:col>
      <xdr:colOff>627531</xdr:colOff>
      <xdr:row>56</xdr:row>
      <xdr:rowOff>62524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A3C7E6C-9BFA-45A4-8418-0AC79AD7AF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691404</xdr:colOff>
      <xdr:row>3</xdr:row>
      <xdr:rowOff>33618</xdr:rowOff>
    </xdr:from>
    <xdr:to>
      <xdr:col>15</xdr:col>
      <xdr:colOff>756398</xdr:colOff>
      <xdr:row>15</xdr:row>
      <xdr:rowOff>33618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AA980D-71A1-46B9-A372-D3C19DD878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705972</xdr:colOff>
      <xdr:row>15</xdr:row>
      <xdr:rowOff>89087</xdr:rowOff>
    </xdr:from>
    <xdr:to>
      <xdr:col>15</xdr:col>
      <xdr:colOff>770966</xdr:colOff>
      <xdr:row>27</xdr:row>
      <xdr:rowOff>89087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A07124-DA7D-4152-A0E3-B3775578E1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638736</xdr:colOff>
      <xdr:row>28</xdr:row>
      <xdr:rowOff>22412</xdr:rowOff>
    </xdr:from>
    <xdr:to>
      <xdr:col>15</xdr:col>
      <xdr:colOff>705971</xdr:colOff>
      <xdr:row>41</xdr:row>
      <xdr:rowOff>134471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A6736E8-E340-442A-8038-96B90EA7E5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717176</xdr:colOff>
      <xdr:row>42</xdr:row>
      <xdr:rowOff>67235</xdr:rowOff>
    </xdr:from>
    <xdr:to>
      <xdr:col>15</xdr:col>
      <xdr:colOff>784411</xdr:colOff>
      <xdr:row>56</xdr:row>
      <xdr:rowOff>145677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BEECF61-D751-453A-A043-5366541935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822064</xdr:colOff>
      <xdr:row>3</xdr:row>
      <xdr:rowOff>63123</xdr:rowOff>
    </xdr:from>
    <xdr:to>
      <xdr:col>18</xdr:col>
      <xdr:colOff>891861</xdr:colOff>
      <xdr:row>15</xdr:row>
      <xdr:rowOff>63123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B18EF471-A995-4AAB-B300-8F0CD26C1D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15</xdr:col>
      <xdr:colOff>836632</xdr:colOff>
      <xdr:row>15</xdr:row>
      <xdr:rowOff>128278</xdr:rowOff>
    </xdr:from>
    <xdr:to>
      <xdr:col>18</xdr:col>
      <xdr:colOff>906429</xdr:colOff>
      <xdr:row>27</xdr:row>
      <xdr:rowOff>128278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84F75C8E-66C5-4D6B-908B-67EBE38852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15</xdr:col>
      <xdr:colOff>833043</xdr:colOff>
      <xdr:row>28</xdr:row>
      <xdr:rowOff>74329</xdr:rowOff>
    </xdr:from>
    <xdr:to>
      <xdr:col>18</xdr:col>
      <xdr:colOff>897463</xdr:colOff>
      <xdr:row>42</xdr:row>
      <xdr:rowOff>5574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F3EF1C12-13A5-4C65-91DD-88CEC84DAE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15</xdr:col>
      <xdr:colOff>847836</xdr:colOff>
      <xdr:row>42</xdr:row>
      <xdr:rowOff>106426</xdr:rowOff>
    </xdr:from>
    <xdr:to>
      <xdr:col>18</xdr:col>
      <xdr:colOff>919874</xdr:colOff>
      <xdr:row>56</xdr:row>
      <xdr:rowOff>184868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E5533866-CC37-412D-9AF5-E6E7C64B29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</xdr:col>
      <xdr:colOff>963706</xdr:colOff>
      <xdr:row>77</xdr:row>
      <xdr:rowOff>179294</xdr:rowOff>
    </xdr:from>
    <xdr:to>
      <xdr:col>6</xdr:col>
      <xdr:colOff>1086970</xdr:colOff>
      <xdr:row>92</xdr:row>
      <xdr:rowOff>64994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6B863CB0-5165-4DED-BA6B-D8460DC689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469846</xdr:colOff>
      <xdr:row>2</xdr:row>
      <xdr:rowOff>133191</xdr:rowOff>
    </xdr:from>
    <xdr:to>
      <xdr:col>39</xdr:col>
      <xdr:colOff>193700</xdr:colOff>
      <xdr:row>14</xdr:row>
      <xdr:rowOff>86126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2BCA740-709D-A9DB-FF9D-D565193CEB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886667</xdr:colOff>
      <xdr:row>96</xdr:row>
      <xdr:rowOff>47623</xdr:rowOff>
    </xdr:from>
    <xdr:to>
      <xdr:col>3</xdr:col>
      <xdr:colOff>534242</xdr:colOff>
      <xdr:row>110</xdr:row>
      <xdr:rowOff>166686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B56A98A-A5BF-4830-A437-FF5C2D3D60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</xdr:col>
      <xdr:colOff>769005</xdr:colOff>
      <xdr:row>97</xdr:row>
      <xdr:rowOff>56028</xdr:rowOff>
    </xdr:from>
    <xdr:to>
      <xdr:col>6</xdr:col>
      <xdr:colOff>154642</xdr:colOff>
      <xdr:row>111</xdr:row>
      <xdr:rowOff>8403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FFE13AF-ACD5-40AF-9203-F045E04C1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829237</xdr:colOff>
      <xdr:row>112</xdr:row>
      <xdr:rowOff>32215</xdr:rowOff>
    </xdr:from>
    <xdr:to>
      <xdr:col>3</xdr:col>
      <xdr:colOff>488935</xdr:colOff>
      <xdr:row>127</xdr:row>
      <xdr:rowOff>49584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4D7C658-4A8B-48F3-B109-9050029C5F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</xdr:col>
      <xdr:colOff>921685</xdr:colOff>
      <xdr:row>112</xdr:row>
      <xdr:rowOff>14006</xdr:rowOff>
    </xdr:from>
    <xdr:to>
      <xdr:col>6</xdr:col>
      <xdr:colOff>631987</xdr:colOff>
      <xdr:row>125</xdr:row>
      <xdr:rowOff>100450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372C7467-545A-4450-A8F6-B4F5A988D2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AN90"/>
  <sheetViews>
    <sheetView tabSelected="1" topLeftCell="H19" zoomScale="85" zoomScaleNormal="85" workbookViewId="0">
      <selection activeCell="U31" sqref="U31"/>
    </sheetView>
  </sheetViews>
  <sheetFormatPr defaultRowHeight="15" x14ac:dyDescent="0.25"/>
  <cols>
    <col min="1" max="1" width="19.140625" customWidth="1"/>
    <col min="2" max="2" width="18.7109375" customWidth="1"/>
    <col min="3" max="3" width="15.5703125" customWidth="1"/>
    <col min="4" max="4" width="22.28515625" customWidth="1"/>
    <col min="5" max="5" width="17.5703125" customWidth="1"/>
    <col min="6" max="10" width="17.85546875" customWidth="1"/>
    <col min="11" max="12" width="23.7109375" customWidth="1"/>
    <col min="13" max="13" width="15.5703125" customWidth="1"/>
    <col min="14" max="15" width="16" customWidth="1"/>
    <col min="16" max="16" width="13" customWidth="1"/>
    <col min="17" max="17" width="16.28515625" customWidth="1"/>
    <col min="18" max="18" width="17.7109375" customWidth="1"/>
    <col min="19" max="19" width="18.7109375" customWidth="1"/>
    <col min="21" max="21" width="14.85546875" customWidth="1"/>
    <col min="22" max="23" width="16.42578125" customWidth="1"/>
    <col min="24" max="24" width="15.85546875" customWidth="1"/>
    <col min="25" max="25" width="19" customWidth="1"/>
    <col min="26" max="27" width="18" customWidth="1"/>
    <col min="28" max="28" width="13" customWidth="1"/>
    <col min="29" max="29" width="14.42578125" customWidth="1"/>
    <col min="30" max="30" width="14.7109375" customWidth="1"/>
    <col min="33" max="33" width="13.140625" customWidth="1"/>
    <col min="41" max="41" width="14.7109375" customWidth="1"/>
    <col min="42" max="42" width="20.7109375" customWidth="1"/>
    <col min="49" max="49" width="13" customWidth="1"/>
  </cols>
  <sheetData>
    <row r="1" spans="1:30" x14ac:dyDescent="0.25">
      <c r="A1" s="4" t="s">
        <v>7</v>
      </c>
      <c r="L1" s="3"/>
    </row>
    <row r="2" spans="1:30" x14ac:dyDescent="0.25">
      <c r="A2" s="5" t="s">
        <v>8</v>
      </c>
      <c r="L2" s="3"/>
    </row>
    <row r="3" spans="1:30" x14ac:dyDescent="0.25">
      <c r="A3" s="7" t="s">
        <v>2</v>
      </c>
      <c r="B3" s="7"/>
      <c r="C3" s="7"/>
      <c r="D3" s="1"/>
      <c r="E3" s="1"/>
      <c r="F3" s="1"/>
      <c r="G3" s="1"/>
      <c r="H3" s="1"/>
      <c r="I3" s="1"/>
      <c r="J3" s="1"/>
      <c r="L3" s="3"/>
      <c r="M3" s="1"/>
      <c r="AB3" s="1"/>
      <c r="AC3" s="1"/>
      <c r="AD3" s="1"/>
    </row>
    <row r="4" spans="1:30" ht="54.75" customHeight="1" x14ac:dyDescent="0.25">
      <c r="A4" s="11" t="s">
        <v>22</v>
      </c>
      <c r="B4" s="11" t="s">
        <v>1</v>
      </c>
      <c r="C4" s="12" t="s">
        <v>23</v>
      </c>
      <c r="D4" s="13" t="s">
        <v>10</v>
      </c>
      <c r="E4" s="13" t="s">
        <v>11</v>
      </c>
      <c r="F4" s="13" t="s">
        <v>12</v>
      </c>
      <c r="G4" s="13" t="s">
        <v>13</v>
      </c>
      <c r="H4" s="13" t="s">
        <v>32</v>
      </c>
      <c r="I4" s="13" t="s">
        <v>33</v>
      </c>
      <c r="J4" s="54" t="s">
        <v>64</v>
      </c>
      <c r="K4" s="3"/>
      <c r="L4" s="1"/>
      <c r="M4" s="1"/>
      <c r="V4" s="11" t="s">
        <v>22</v>
      </c>
      <c r="W4" s="11" t="s">
        <v>34</v>
      </c>
      <c r="X4" s="11" t="s">
        <v>35</v>
      </c>
      <c r="Y4" s="11" t="s">
        <v>36</v>
      </c>
      <c r="Z4" s="10" t="s">
        <v>37</v>
      </c>
      <c r="AA4" s="13" t="s">
        <v>63</v>
      </c>
      <c r="AB4" s="13" t="s">
        <v>33</v>
      </c>
      <c r="AC4" s="13" t="s">
        <v>32</v>
      </c>
      <c r="AD4" s="37" t="s">
        <v>62</v>
      </c>
    </row>
    <row r="5" spans="1:30" x14ac:dyDescent="0.25">
      <c r="A5" s="15" t="s">
        <v>14</v>
      </c>
      <c r="B5" s="16">
        <v>0.78479742735639801</v>
      </c>
      <c r="C5" s="17"/>
      <c r="D5" s="18"/>
      <c r="E5" s="18"/>
      <c r="F5" s="18">
        <v>133.4714286</v>
      </c>
      <c r="G5" s="18"/>
      <c r="H5" s="25"/>
      <c r="I5" s="15"/>
      <c r="J5" s="55"/>
      <c r="K5" s="1"/>
      <c r="L5" s="1"/>
      <c r="M5" s="1"/>
      <c r="V5" s="15" t="s">
        <v>15</v>
      </c>
      <c r="W5" s="16">
        <v>0.17369777575697301</v>
      </c>
      <c r="X5" s="23">
        <v>1.7836570943256701E-2</v>
      </c>
      <c r="Y5" s="38">
        <v>0.13984116014494999</v>
      </c>
      <c r="Z5" s="22">
        <v>-0.64117535564386996</v>
      </c>
      <c r="AA5" s="39">
        <v>1.1737788669959504</v>
      </c>
      <c r="AB5" s="18">
        <v>-1.5</v>
      </c>
      <c r="AC5" s="18">
        <v>4</v>
      </c>
      <c r="AD5" s="9">
        <v>0.30708458237534503</v>
      </c>
    </row>
    <row r="6" spans="1:30" x14ac:dyDescent="0.25">
      <c r="A6" s="15" t="s">
        <v>15</v>
      </c>
      <c r="B6" s="16">
        <v>0.17369777575697301</v>
      </c>
      <c r="C6" s="17">
        <v>60.588347259999999</v>
      </c>
      <c r="D6" s="19">
        <v>9023.75</v>
      </c>
      <c r="E6" s="19">
        <v>9023.75</v>
      </c>
      <c r="F6" s="18">
        <v>71.117321599999997</v>
      </c>
      <c r="G6" s="18">
        <f>F6/C6</f>
        <v>1.1737788669959504</v>
      </c>
      <c r="H6" s="18">
        <v>4</v>
      </c>
      <c r="I6" s="18">
        <v>-1.5</v>
      </c>
      <c r="J6">
        <v>-0.30833333299999999</v>
      </c>
      <c r="K6" s="1"/>
      <c r="L6" s="1"/>
      <c r="M6" s="1"/>
      <c r="V6" s="15" t="s">
        <v>16</v>
      </c>
      <c r="W6" s="16">
        <v>9.9143945152060597E-2</v>
      </c>
      <c r="X6" s="22">
        <v>-0.54160608613664096</v>
      </c>
      <c r="Y6" s="23">
        <v>8.9326261366187695E-2</v>
      </c>
      <c r="Z6" s="22">
        <v>-0.511670862423525</v>
      </c>
      <c r="AA6" s="39">
        <v>1.0182769682576838</v>
      </c>
      <c r="AB6" s="18">
        <v>-0.63852552807902296</v>
      </c>
      <c r="AC6" s="18">
        <v>1.1385255280790201</v>
      </c>
      <c r="AD6" s="9">
        <v>0.49664162355941199</v>
      </c>
    </row>
    <row r="7" spans="1:30" x14ac:dyDescent="0.25">
      <c r="A7" s="15" t="s">
        <v>16</v>
      </c>
      <c r="B7" s="16">
        <v>9.9143945152060597E-2</v>
      </c>
      <c r="C7" s="17">
        <v>73.387016439999996</v>
      </c>
      <c r="D7" s="19">
        <v>118.5</v>
      </c>
      <c r="E7" s="19">
        <v>118.5</v>
      </c>
      <c r="F7" s="18">
        <v>74.728308609999999</v>
      </c>
      <c r="G7" s="18">
        <f t="shared" ref="G7:G20" si="0">F7/C7</f>
        <v>1.0182769682576838</v>
      </c>
      <c r="H7" s="18">
        <v>1.1385255280790201</v>
      </c>
      <c r="I7" s="18">
        <v>-0.63852552807902296</v>
      </c>
      <c r="J7">
        <v>-0.20494343600000001</v>
      </c>
      <c r="K7" s="1"/>
      <c r="L7" s="1"/>
      <c r="M7" s="1"/>
      <c r="V7" s="15" t="s">
        <v>17</v>
      </c>
      <c r="W7" s="16">
        <v>0.21234239309632399</v>
      </c>
      <c r="X7" s="22">
        <v>-0.17637365181995501</v>
      </c>
      <c r="Y7" s="23">
        <v>0.14884070399999999</v>
      </c>
      <c r="Z7" s="22">
        <v>-0.22155858359451899</v>
      </c>
      <c r="AA7" s="39">
        <v>1</v>
      </c>
      <c r="AB7" s="18">
        <v>0</v>
      </c>
      <c r="AC7" s="18">
        <v>0</v>
      </c>
      <c r="AD7" s="9">
        <v>0</v>
      </c>
    </row>
    <row r="8" spans="1:30" x14ac:dyDescent="0.25">
      <c r="A8" s="15" t="s">
        <v>17</v>
      </c>
      <c r="B8" s="16">
        <v>0.21234239309632399</v>
      </c>
      <c r="C8" s="17">
        <v>79.767295559999994</v>
      </c>
      <c r="D8" s="19">
        <v>2036.95</v>
      </c>
      <c r="E8" s="19">
        <v>2060.9499999999998</v>
      </c>
      <c r="F8" s="18">
        <v>79.767295559999994</v>
      </c>
      <c r="G8" s="18">
        <f t="shared" si="0"/>
        <v>1</v>
      </c>
      <c r="H8" s="18">
        <v>0</v>
      </c>
      <c r="I8" s="18">
        <v>0</v>
      </c>
      <c r="J8" s="9">
        <v>0</v>
      </c>
      <c r="K8" s="1"/>
      <c r="L8" s="1"/>
      <c r="M8" s="1"/>
      <c r="V8" s="15" t="s">
        <v>24</v>
      </c>
      <c r="W8" s="16">
        <v>8.8732929175135894E-2</v>
      </c>
      <c r="X8" s="23">
        <v>1.20306787922476E-2</v>
      </c>
      <c r="Y8" s="16">
        <v>0.15621819275209001</v>
      </c>
      <c r="Z8" s="16">
        <v>2.95836818188689E-2</v>
      </c>
      <c r="AA8" s="39">
        <v>1.0393698938576728</v>
      </c>
      <c r="AB8" s="18">
        <v>-1.9243966466520197</v>
      </c>
      <c r="AC8" s="18">
        <v>8.1761484496582497</v>
      </c>
      <c r="AD8" s="9">
        <v>0.19059894727801999</v>
      </c>
    </row>
    <row r="9" spans="1:30" x14ac:dyDescent="0.25">
      <c r="A9" s="15" t="s">
        <v>18</v>
      </c>
      <c r="B9" s="16">
        <v>0.36516163611226798</v>
      </c>
      <c r="C9" s="17"/>
      <c r="D9" s="19">
        <v>365</v>
      </c>
      <c r="E9" s="19"/>
      <c r="F9" s="18">
        <v>68.631809730000001</v>
      </c>
      <c r="G9" s="18"/>
      <c r="H9" s="18"/>
      <c r="I9" s="18"/>
      <c r="J9" s="56"/>
      <c r="K9" s="1"/>
      <c r="L9" s="1"/>
      <c r="M9" s="1"/>
      <c r="V9" s="15" t="s">
        <v>26</v>
      </c>
      <c r="W9" s="16">
        <v>0.10415722716452799</v>
      </c>
      <c r="X9" s="23">
        <v>2.8615745110634201E-2</v>
      </c>
      <c r="Y9" s="16">
        <v>5.5397551503622099E-2</v>
      </c>
      <c r="Z9" s="16">
        <v>8.8641812543785899E-3</v>
      </c>
      <c r="AA9" s="39">
        <v>1.0331150820718804</v>
      </c>
      <c r="AB9" s="18">
        <v>-8.5529249332917008</v>
      </c>
      <c r="AC9" s="18">
        <v>19.594840851392899</v>
      </c>
      <c r="AD9" s="9">
        <v>0.499861288181496</v>
      </c>
    </row>
    <row r="10" spans="1:30" x14ac:dyDescent="0.25">
      <c r="A10" s="15" t="s">
        <v>19</v>
      </c>
      <c r="B10" s="16">
        <v>4.1333778886518201E-2</v>
      </c>
      <c r="C10" s="17"/>
      <c r="D10" s="19">
        <v>351.5</v>
      </c>
      <c r="E10" s="19"/>
      <c r="F10" s="18">
        <v>69.696396059999998</v>
      </c>
      <c r="G10" s="18"/>
      <c r="H10" s="18"/>
      <c r="I10" s="18"/>
      <c r="J10" s="56"/>
      <c r="K10" s="1"/>
      <c r="L10" s="1"/>
      <c r="M10" s="1"/>
      <c r="V10" s="15" t="s">
        <v>27</v>
      </c>
      <c r="W10" s="16">
        <v>4.66251429291673E-2</v>
      </c>
      <c r="X10" s="23">
        <v>4.4113621235337297E-2</v>
      </c>
      <c r="Y10" s="16">
        <v>6.9883057908481996E-2</v>
      </c>
      <c r="Z10" s="16">
        <v>1.32778322661357E-2</v>
      </c>
      <c r="AA10" s="39">
        <v>1.0275460447393339</v>
      </c>
      <c r="AB10" s="18">
        <v>-6.8910153198931301</v>
      </c>
      <c r="AC10" s="18">
        <v>17.2552427011953</v>
      </c>
      <c r="AD10" s="9">
        <v>0.40695810522245701</v>
      </c>
    </row>
    <row r="11" spans="1:30" x14ac:dyDescent="0.25">
      <c r="A11" s="15" t="s">
        <v>20</v>
      </c>
      <c r="B11" s="16">
        <v>9.4513218106104094E-2</v>
      </c>
      <c r="C11" s="20"/>
      <c r="D11" s="19"/>
      <c r="E11" s="19"/>
      <c r="F11" s="18">
        <v>112.55085055666601</v>
      </c>
      <c r="G11" s="18"/>
      <c r="H11" s="18"/>
      <c r="I11" s="18"/>
      <c r="J11" s="56"/>
      <c r="K11" s="1"/>
      <c r="L11" s="1"/>
      <c r="M11" s="1"/>
      <c r="V11" s="15" t="s">
        <v>28</v>
      </c>
      <c r="W11" s="16">
        <v>9.0894558490112708E-3</v>
      </c>
      <c r="X11" s="22">
        <v>-8.0536265843332393E-3</v>
      </c>
      <c r="Y11" s="16">
        <v>7.8645648239850305E-2</v>
      </c>
      <c r="Z11" s="24">
        <v>-6.0975544853349099E-2</v>
      </c>
      <c r="AA11" s="39">
        <v>1.0275826446035865</v>
      </c>
      <c r="AB11" s="18">
        <v>-4.3261384988685592</v>
      </c>
      <c r="AC11" s="18">
        <v>17.024424898784201</v>
      </c>
      <c r="AD11" s="9">
        <v>5.4056282725128302E-2</v>
      </c>
    </row>
    <row r="12" spans="1:30" x14ac:dyDescent="0.25">
      <c r="A12" s="15" t="s">
        <v>21</v>
      </c>
      <c r="B12" s="16">
        <v>4.2663094228711902E-2</v>
      </c>
      <c r="C12" s="20"/>
      <c r="D12" s="19">
        <v>22</v>
      </c>
      <c r="E12" s="19"/>
      <c r="F12" s="18">
        <v>117.49299123</v>
      </c>
      <c r="G12" s="18"/>
      <c r="H12" s="18"/>
      <c r="I12" s="18"/>
      <c r="J12" s="56"/>
      <c r="K12" s="1"/>
      <c r="L12" s="1"/>
      <c r="M12" s="1"/>
      <c r="V12" s="15" t="s">
        <v>29</v>
      </c>
      <c r="W12" s="16">
        <v>-1.7278096303121701E-2</v>
      </c>
      <c r="X12" s="22">
        <v>-2.13677287576714E-2</v>
      </c>
      <c r="Y12" s="16">
        <v>2.1496979213356301E-3</v>
      </c>
      <c r="Z12" s="24">
        <v>-1.77749404385871E-2</v>
      </c>
      <c r="AA12" s="39">
        <v>1.0396485920727681</v>
      </c>
      <c r="AB12" s="18">
        <v>-8.6900508235792202</v>
      </c>
      <c r="AC12" s="18">
        <v>15.1069524712688</v>
      </c>
      <c r="AD12" s="9">
        <v>0.26690920736687102</v>
      </c>
    </row>
    <row r="13" spans="1:30" x14ac:dyDescent="0.25">
      <c r="A13" s="15" t="s">
        <v>24</v>
      </c>
      <c r="B13" s="16">
        <v>8.8732929175135894E-2</v>
      </c>
      <c r="C13" s="17">
        <v>110.72040256</v>
      </c>
      <c r="D13" s="19">
        <v>21</v>
      </c>
      <c r="E13" s="19">
        <v>21</v>
      </c>
      <c r="F13" s="18">
        <v>115.079453056666</v>
      </c>
      <c r="G13" s="18">
        <f t="shared" si="0"/>
        <v>1.0393698938576728</v>
      </c>
      <c r="H13" s="18">
        <v>8.1761484496582497</v>
      </c>
      <c r="I13" s="18">
        <v>-1.9243966466520197</v>
      </c>
      <c r="J13">
        <v>-0.37303628</v>
      </c>
      <c r="K13" s="1"/>
      <c r="L13" s="1"/>
      <c r="M13" s="1"/>
      <c r="V13" s="15" t="s">
        <v>30</v>
      </c>
      <c r="W13" s="16">
        <v>2.0373962034653699E-2</v>
      </c>
      <c r="X13" s="23">
        <v>2.7450804091866201E-2</v>
      </c>
      <c r="Y13" s="16">
        <v>0.101236914763633</v>
      </c>
      <c r="Z13" s="16">
        <v>3.08855730575289E-3</v>
      </c>
      <c r="AA13" s="39">
        <v>1.0831630031367767</v>
      </c>
      <c r="AB13" s="18">
        <v>-7.4420412056407592</v>
      </c>
      <c r="AC13" s="18">
        <v>21.9579587943592</v>
      </c>
      <c r="AD13" s="9">
        <v>0.45125668170602201</v>
      </c>
    </row>
    <row r="14" spans="1:30" x14ac:dyDescent="0.25">
      <c r="A14" s="15" t="s">
        <v>25</v>
      </c>
      <c r="B14" s="16">
        <v>-1.9463558010346702E-2</v>
      </c>
      <c r="C14" s="17"/>
      <c r="D14" s="19">
        <v>21.5</v>
      </c>
      <c r="E14" s="19"/>
      <c r="F14" s="18">
        <v>119.222878299999</v>
      </c>
      <c r="G14" s="18"/>
      <c r="H14" s="18"/>
      <c r="I14" s="18"/>
      <c r="J14" s="56"/>
      <c r="K14" s="1"/>
      <c r="L14" s="1"/>
      <c r="M14" s="1"/>
      <c r="V14" s="15" t="s">
        <v>31</v>
      </c>
      <c r="W14" s="16">
        <v>-2.50118292734785E-2</v>
      </c>
      <c r="X14" s="22">
        <v>-4.0077224600602597E-2</v>
      </c>
      <c r="Y14" s="16">
        <v>0.107400232693555</v>
      </c>
      <c r="Z14" s="24">
        <v>-5.3081166180475401E-3</v>
      </c>
      <c r="AA14" s="39">
        <v>1.0183454205725238</v>
      </c>
      <c r="AB14" s="18">
        <v>-8.2060847497882605</v>
      </c>
      <c r="AC14" s="18">
        <v>16.640165980770899</v>
      </c>
      <c r="AD14" s="9">
        <v>0.51242235468873398</v>
      </c>
    </row>
    <row r="15" spans="1:30" x14ac:dyDescent="0.25">
      <c r="A15" s="15" t="s">
        <v>26</v>
      </c>
      <c r="B15" s="16">
        <v>0.10415722716452799</v>
      </c>
      <c r="C15" s="17">
        <v>111.66319882000001</v>
      </c>
      <c r="D15" s="19">
        <v>75</v>
      </c>
      <c r="E15" s="19">
        <v>96.5</v>
      </c>
      <c r="F15" s="18">
        <v>115.360934813333</v>
      </c>
      <c r="G15" s="18">
        <f t="shared" si="0"/>
        <v>1.0331150820718804</v>
      </c>
      <c r="H15" s="18">
        <v>19.594840851392899</v>
      </c>
      <c r="I15" s="18">
        <v>-8.5529249332917008</v>
      </c>
      <c r="J15">
        <v>-0.27047935899999997</v>
      </c>
      <c r="K15" s="1"/>
      <c r="L15" s="1"/>
      <c r="M15" s="1"/>
    </row>
    <row r="16" spans="1:30" x14ac:dyDescent="0.25">
      <c r="A16" s="15" t="s">
        <v>27</v>
      </c>
      <c r="B16" s="16">
        <v>4.66251429291673E-2</v>
      </c>
      <c r="C16" s="17">
        <v>114.89097618</v>
      </c>
      <c r="D16" s="19">
        <v>47.5</v>
      </c>
      <c r="E16" s="19">
        <v>47.5</v>
      </c>
      <c r="F16" s="18">
        <v>118.05576815000001</v>
      </c>
      <c r="G16" s="18">
        <f t="shared" si="0"/>
        <v>1.0275460447393339</v>
      </c>
      <c r="H16" s="18">
        <v>17.2552427011953</v>
      </c>
      <c r="I16" s="18">
        <v>-6.8910153198931301</v>
      </c>
      <c r="J16">
        <v>-0.59254314200000002</v>
      </c>
      <c r="K16" s="1"/>
      <c r="L16" s="1"/>
      <c r="M16" s="1"/>
    </row>
    <row r="17" spans="1:40" x14ac:dyDescent="0.25">
      <c r="A17" s="15" t="s">
        <v>28</v>
      </c>
      <c r="B17" s="16">
        <v>9.0894558490112708E-3</v>
      </c>
      <c r="C17" s="17">
        <v>116.55531655999999</v>
      </c>
      <c r="D17" s="19">
        <v>23.5</v>
      </c>
      <c r="E17" s="19">
        <v>23.5</v>
      </c>
      <c r="F17" s="18">
        <v>119.77022043333299</v>
      </c>
      <c r="G17" s="18">
        <f t="shared" si="0"/>
        <v>1.0275826446035865</v>
      </c>
      <c r="H17" s="18">
        <v>17.024424898784201</v>
      </c>
      <c r="I17" s="18">
        <v>-4.3261384988685592</v>
      </c>
      <c r="J17">
        <v>-0.37005655300000001</v>
      </c>
      <c r="K17" s="1"/>
      <c r="L17" s="1"/>
      <c r="M17" s="1"/>
    </row>
    <row r="18" spans="1:40" x14ac:dyDescent="0.25">
      <c r="A18" s="15" t="s">
        <v>29</v>
      </c>
      <c r="B18" s="16">
        <v>-1.7278096303121701E-2</v>
      </c>
      <c r="C18" s="17">
        <v>120.40602251999999</v>
      </c>
      <c r="D18" s="19">
        <v>20</v>
      </c>
      <c r="E18" s="19">
        <v>47.75</v>
      </c>
      <c r="F18" s="18">
        <v>125.17995179</v>
      </c>
      <c r="G18" s="18">
        <f t="shared" si="0"/>
        <v>1.0396485920727681</v>
      </c>
      <c r="H18" s="18">
        <v>15.1069524712688</v>
      </c>
      <c r="I18" s="18">
        <v>-8.6900508235792202</v>
      </c>
      <c r="J18">
        <v>-0.28463715699999997</v>
      </c>
      <c r="K18" s="1"/>
      <c r="L18" s="1"/>
      <c r="M18" s="1"/>
    </row>
    <row r="19" spans="1:40" ht="15.75" thickBot="1" x14ac:dyDescent="0.3">
      <c r="A19" s="15" t="s">
        <v>30</v>
      </c>
      <c r="B19" s="16">
        <v>2.0373962034653699E-2</v>
      </c>
      <c r="C19" s="17">
        <v>118.75512236</v>
      </c>
      <c r="D19" s="19">
        <v>23.75</v>
      </c>
      <c r="E19" s="19">
        <v>23.75</v>
      </c>
      <c r="F19" s="18">
        <v>128.631154973333</v>
      </c>
      <c r="G19" s="18">
        <f t="shared" si="0"/>
        <v>1.0831630031367767</v>
      </c>
      <c r="H19" s="18">
        <v>21.9579587943592</v>
      </c>
      <c r="I19" s="18">
        <v>-7.4420412056407592</v>
      </c>
      <c r="J19">
        <v>-0.37799506199999999</v>
      </c>
      <c r="L19" s="1"/>
      <c r="M19" s="1"/>
      <c r="V19" s="26" t="s">
        <v>60</v>
      </c>
      <c r="W19" s="27"/>
      <c r="X19" s="27"/>
      <c r="Y19" s="27"/>
      <c r="Z19" s="27"/>
      <c r="AA19" s="27"/>
      <c r="AB19" s="27"/>
      <c r="AC19" s="27"/>
      <c r="AD19" s="27"/>
      <c r="AE19" s="1"/>
      <c r="AF19" s="30" t="s">
        <v>61</v>
      </c>
      <c r="AG19" s="30"/>
      <c r="AH19" s="30"/>
      <c r="AI19" s="30"/>
      <c r="AJ19" s="30"/>
      <c r="AK19" s="30"/>
      <c r="AL19" s="30"/>
      <c r="AM19" s="30"/>
      <c r="AN19" s="30"/>
    </row>
    <row r="20" spans="1:40" x14ac:dyDescent="0.25">
      <c r="A20" s="15" t="s">
        <v>31</v>
      </c>
      <c r="B20" s="16">
        <v>-2.50118292734785E-2</v>
      </c>
      <c r="C20" s="17">
        <v>125.12197168</v>
      </c>
      <c r="D20" s="19">
        <v>23.5</v>
      </c>
      <c r="E20" s="19">
        <v>23.5</v>
      </c>
      <c r="F20" s="18">
        <v>127.417386873333</v>
      </c>
      <c r="G20" s="18">
        <f t="shared" si="0"/>
        <v>1.0183454205725238</v>
      </c>
      <c r="H20" s="18">
        <v>16.640165980770899</v>
      </c>
      <c r="I20" s="18">
        <v>-8.2060847497882605</v>
      </c>
      <c r="J20">
        <v>-0.58893643299999998</v>
      </c>
      <c r="L20" s="1"/>
      <c r="M20" s="1"/>
      <c r="V20" s="28" t="s">
        <v>38</v>
      </c>
      <c r="W20" s="28"/>
      <c r="X20" s="27"/>
      <c r="Y20" s="27"/>
      <c r="Z20" s="27"/>
      <c r="AA20" s="27"/>
      <c r="AB20" s="27"/>
      <c r="AC20" s="27"/>
      <c r="AD20" s="27"/>
      <c r="AE20" s="1"/>
      <c r="AF20" s="31" t="s">
        <v>38</v>
      </c>
      <c r="AG20" s="31"/>
      <c r="AH20" s="30"/>
      <c r="AI20" s="30"/>
      <c r="AJ20" s="30"/>
      <c r="AK20" s="30"/>
      <c r="AL20" s="30"/>
      <c r="AM20" s="30"/>
      <c r="AN20" s="30"/>
    </row>
    <row r="21" spans="1:40" x14ac:dyDescent="0.25">
      <c r="A21" s="1"/>
      <c r="B21" s="6"/>
      <c r="D21" s="1"/>
      <c r="F21" s="9"/>
      <c r="G21" s="6"/>
      <c r="H21" s="6"/>
      <c r="I21" s="6"/>
      <c r="J21" s="6"/>
      <c r="K21" s="8"/>
      <c r="L21" s="1"/>
      <c r="M21" s="1"/>
      <c r="V21" s="40" t="s">
        <v>39</v>
      </c>
      <c r="W21" s="42">
        <v>0.76444358594083117</v>
      </c>
      <c r="X21" s="27"/>
      <c r="Y21" s="27"/>
      <c r="Z21" s="27"/>
      <c r="AA21" s="27"/>
      <c r="AB21" s="27"/>
      <c r="AC21" s="27"/>
      <c r="AD21" s="27"/>
      <c r="AE21" s="1"/>
      <c r="AF21" s="30" t="s">
        <v>39</v>
      </c>
      <c r="AG21" s="44">
        <v>0.61098104839357625</v>
      </c>
      <c r="AH21" s="30"/>
      <c r="AI21" s="30"/>
      <c r="AJ21" s="30"/>
      <c r="AK21" s="30"/>
      <c r="AL21" s="30"/>
      <c r="AM21" s="30"/>
      <c r="AN21" s="30"/>
    </row>
    <row r="22" spans="1:40" x14ac:dyDescent="0.25">
      <c r="A22" s="7" t="s">
        <v>4</v>
      </c>
      <c r="B22" s="7"/>
      <c r="C22" s="7"/>
      <c r="D22" s="1"/>
      <c r="E22" s="1"/>
      <c r="F22" s="9"/>
      <c r="G22" s="6"/>
      <c r="H22" s="6"/>
      <c r="I22" s="6"/>
      <c r="J22" s="6"/>
      <c r="L22" s="1"/>
      <c r="M22" s="1"/>
      <c r="V22" s="40" t="s">
        <v>40</v>
      </c>
      <c r="W22" s="42">
        <v>0.58437399608607699</v>
      </c>
      <c r="X22" s="27"/>
      <c r="Y22" s="27"/>
      <c r="Z22" s="27"/>
      <c r="AA22" s="27"/>
      <c r="AB22" s="27"/>
      <c r="AC22" s="27"/>
      <c r="AD22" s="27"/>
      <c r="AE22" s="1"/>
      <c r="AF22" s="30" t="s">
        <v>40</v>
      </c>
      <c r="AG22" s="44">
        <v>0.373297841496114</v>
      </c>
      <c r="AH22" s="30"/>
      <c r="AI22" s="30"/>
      <c r="AJ22" s="30"/>
      <c r="AK22" s="30"/>
      <c r="AL22" s="30"/>
      <c r="AM22" s="30"/>
      <c r="AN22" s="30"/>
    </row>
    <row r="23" spans="1:40" ht="40.5" x14ac:dyDescent="0.25">
      <c r="A23" s="11" t="s">
        <v>0</v>
      </c>
      <c r="B23" s="11" t="s">
        <v>1</v>
      </c>
      <c r="C23" s="12" t="s">
        <v>23</v>
      </c>
      <c r="D23" s="13" t="s">
        <v>10</v>
      </c>
      <c r="E23" s="13" t="s">
        <v>11</v>
      </c>
      <c r="F23" s="13" t="s">
        <v>12</v>
      </c>
      <c r="G23" s="13" t="s">
        <v>13</v>
      </c>
      <c r="H23" s="13" t="s">
        <v>32</v>
      </c>
      <c r="I23" s="13" t="s">
        <v>33</v>
      </c>
      <c r="J23" s="54"/>
      <c r="K23" s="8"/>
      <c r="L23" s="1"/>
      <c r="M23" s="1"/>
      <c r="V23" s="40" t="s">
        <v>41</v>
      </c>
      <c r="W23" s="42">
        <v>0.46562370925352753</v>
      </c>
      <c r="X23" s="27"/>
      <c r="Y23" s="27"/>
      <c r="Z23" s="27"/>
      <c r="AA23" s="27"/>
      <c r="AB23" s="27"/>
      <c r="AC23" s="27"/>
      <c r="AD23" s="27"/>
      <c r="AE23" s="1"/>
      <c r="AF23" s="30" t="s">
        <v>41</v>
      </c>
      <c r="AG23" s="44">
        <v>0.19424008192357453</v>
      </c>
      <c r="AH23" s="30"/>
      <c r="AI23" s="30"/>
      <c r="AJ23" s="30"/>
      <c r="AK23" s="30"/>
      <c r="AL23" s="30"/>
      <c r="AM23" s="30"/>
      <c r="AN23" s="30"/>
    </row>
    <row r="24" spans="1:40" x14ac:dyDescent="0.25">
      <c r="A24" s="14" t="s">
        <v>14</v>
      </c>
      <c r="B24" s="22">
        <v>-0.69015600278604705</v>
      </c>
      <c r="C24" s="17"/>
      <c r="D24" s="18"/>
      <c r="E24" s="18"/>
      <c r="F24" s="18">
        <v>133.4714286</v>
      </c>
      <c r="G24" s="18"/>
      <c r="H24" s="25"/>
      <c r="I24" s="15"/>
      <c r="J24" s="55"/>
      <c r="K24" s="1"/>
      <c r="L24" s="1"/>
      <c r="M24" s="1"/>
      <c r="V24" s="40" t="s">
        <v>42</v>
      </c>
      <c r="W24" s="40">
        <v>5.8038237190838761E-2</v>
      </c>
      <c r="X24" s="27"/>
      <c r="Y24" s="27"/>
      <c r="Z24" s="27"/>
      <c r="AA24" s="27"/>
      <c r="AB24" s="27"/>
      <c r="AC24" s="27"/>
      <c r="AD24" s="27"/>
      <c r="AE24" s="1"/>
      <c r="AF24" s="30" t="s">
        <v>42</v>
      </c>
      <c r="AG24" s="44">
        <v>0.16038868504292825</v>
      </c>
      <c r="AH24" s="30"/>
      <c r="AI24" s="30"/>
      <c r="AJ24" s="30"/>
      <c r="AK24" s="30"/>
      <c r="AL24" s="30"/>
      <c r="AM24" s="30"/>
      <c r="AN24" s="30"/>
    </row>
    <row r="25" spans="1:40" ht="15.75" thickBot="1" x14ac:dyDescent="0.3">
      <c r="A25" s="14" t="s">
        <v>15</v>
      </c>
      <c r="B25" s="23">
        <v>1.7836570943256701E-2</v>
      </c>
      <c r="C25" s="17">
        <v>60.588347259999999</v>
      </c>
      <c r="D25" s="19">
        <v>9023.75</v>
      </c>
      <c r="E25" s="19">
        <v>9023.75</v>
      </c>
      <c r="F25" s="18">
        <v>71.117321599999997</v>
      </c>
      <c r="G25" s="18">
        <v>1.1737788669959499</v>
      </c>
      <c r="H25" s="18">
        <v>4</v>
      </c>
      <c r="I25" s="18">
        <v>-1.5</v>
      </c>
      <c r="J25">
        <v>-0.30833333299999999</v>
      </c>
      <c r="K25" s="1"/>
      <c r="L25" s="1"/>
      <c r="M25" s="1"/>
      <c r="V25" s="41" t="s">
        <v>43</v>
      </c>
      <c r="W25" s="41">
        <v>10</v>
      </c>
      <c r="X25" s="27"/>
      <c r="Y25" s="27"/>
      <c r="Z25" s="27"/>
      <c r="AA25" s="27"/>
      <c r="AB25" s="27"/>
      <c r="AC25" s="27"/>
      <c r="AD25" s="27"/>
      <c r="AE25" s="1"/>
      <c r="AF25" s="32" t="s">
        <v>43</v>
      </c>
      <c r="AG25" s="32">
        <v>10</v>
      </c>
      <c r="AH25" s="30"/>
      <c r="AI25" s="30"/>
      <c r="AJ25" s="30"/>
      <c r="AK25" s="30"/>
      <c r="AL25" s="30"/>
      <c r="AM25" s="30"/>
      <c r="AN25" s="30"/>
    </row>
    <row r="26" spans="1:40" x14ac:dyDescent="0.25">
      <c r="A26" s="14" t="s">
        <v>16</v>
      </c>
      <c r="B26" s="22">
        <v>-0.54160608613664096</v>
      </c>
      <c r="C26" s="17">
        <v>73.387016439999996</v>
      </c>
      <c r="D26" s="19">
        <v>118.5</v>
      </c>
      <c r="E26" s="19">
        <v>118.5</v>
      </c>
      <c r="F26" s="18">
        <v>74.728308609999999</v>
      </c>
      <c r="G26" s="18">
        <v>1.01827696825768</v>
      </c>
      <c r="H26" s="18">
        <v>1.1385255280790201</v>
      </c>
      <c r="I26" s="18">
        <v>-0.63852552807902296</v>
      </c>
      <c r="J26">
        <v>-0.20494343600000001</v>
      </c>
      <c r="K26" s="1"/>
      <c r="L26" s="1"/>
      <c r="M26" s="1"/>
      <c r="V26" s="27"/>
      <c r="W26" s="27"/>
      <c r="X26" s="27"/>
      <c r="Y26" s="27"/>
      <c r="Z26" s="27"/>
      <c r="AA26" s="27"/>
      <c r="AB26" s="27"/>
      <c r="AC26" s="27"/>
      <c r="AD26" s="27"/>
      <c r="AE26" s="1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ht="15.75" thickBot="1" x14ac:dyDescent="0.3">
      <c r="A27" s="14" t="s">
        <v>17</v>
      </c>
      <c r="B27" s="22">
        <v>-0.17637365181995501</v>
      </c>
      <c r="C27" s="17">
        <v>79.767295559999994</v>
      </c>
      <c r="D27" s="19">
        <v>2036.95</v>
      </c>
      <c r="E27" s="19">
        <v>2060.9499999999998</v>
      </c>
      <c r="F27" s="18">
        <v>79.767295559999994</v>
      </c>
      <c r="G27" s="18">
        <v>1</v>
      </c>
      <c r="H27" s="18">
        <v>0</v>
      </c>
      <c r="I27" s="18">
        <v>0</v>
      </c>
      <c r="J27" s="9">
        <v>0</v>
      </c>
      <c r="K27" s="1"/>
      <c r="L27" s="1"/>
      <c r="M27" s="1"/>
      <c r="V27" s="27" t="s">
        <v>44</v>
      </c>
      <c r="W27" s="27"/>
      <c r="X27" s="27"/>
      <c r="Y27" s="27"/>
      <c r="Z27" s="27"/>
      <c r="AA27" s="27"/>
      <c r="AB27" s="27"/>
      <c r="AC27" s="27"/>
      <c r="AD27" s="27"/>
      <c r="AE27" s="1"/>
      <c r="AF27" s="30" t="s">
        <v>44</v>
      </c>
      <c r="AG27" s="30"/>
      <c r="AH27" s="30"/>
      <c r="AI27" s="30"/>
      <c r="AJ27" s="30"/>
      <c r="AK27" s="30"/>
      <c r="AL27" s="30"/>
      <c r="AM27" s="30"/>
      <c r="AN27" s="30"/>
    </row>
    <row r="28" spans="1:40" x14ac:dyDescent="0.25">
      <c r="A28" s="14" t="s">
        <v>18</v>
      </c>
      <c r="B28" s="23">
        <v>0.39449354239977702</v>
      </c>
      <c r="C28" s="17"/>
      <c r="D28" s="19">
        <v>365</v>
      </c>
      <c r="E28" s="19"/>
      <c r="F28" s="18">
        <v>68.631809730000001</v>
      </c>
      <c r="G28" s="18"/>
      <c r="H28" s="18"/>
      <c r="I28" s="18"/>
      <c r="J28" s="56"/>
      <c r="K28" s="1"/>
      <c r="L28" s="1"/>
      <c r="M28" s="1"/>
      <c r="V28" s="29"/>
      <c r="W28" s="29" t="s">
        <v>49</v>
      </c>
      <c r="X28" s="29" t="s">
        <v>34</v>
      </c>
      <c r="Y28" s="29" t="s">
        <v>50</v>
      </c>
      <c r="Z28" s="29" t="s">
        <v>51</v>
      </c>
      <c r="AA28" s="29" t="s">
        <v>52</v>
      </c>
      <c r="AB28" s="27"/>
      <c r="AC28" s="27"/>
      <c r="AD28" s="27"/>
      <c r="AE28" s="1"/>
      <c r="AF28" s="33"/>
      <c r="AG28" s="33" t="s">
        <v>49</v>
      </c>
      <c r="AH28" s="33" t="s">
        <v>34</v>
      </c>
      <c r="AI28" s="33" t="s">
        <v>50</v>
      </c>
      <c r="AJ28" s="33" t="s">
        <v>51</v>
      </c>
      <c r="AK28" s="33" t="s">
        <v>52</v>
      </c>
      <c r="AL28" s="30"/>
      <c r="AM28" s="30"/>
      <c r="AN28" s="30"/>
    </row>
    <row r="29" spans="1:40" x14ac:dyDescent="0.25">
      <c r="A29" s="21" t="s">
        <v>19</v>
      </c>
      <c r="B29" s="22">
        <v>-0.17371472956907899</v>
      </c>
      <c r="C29" s="17"/>
      <c r="D29" s="19">
        <v>351.5</v>
      </c>
      <c r="E29" s="19"/>
      <c r="F29" s="18">
        <v>69.696396059999998</v>
      </c>
      <c r="G29" s="18"/>
      <c r="H29" s="18"/>
      <c r="I29" s="18"/>
      <c r="J29" s="56"/>
      <c r="K29" s="1"/>
      <c r="L29" s="1"/>
      <c r="M29" s="1"/>
      <c r="V29" s="40" t="s">
        <v>45</v>
      </c>
      <c r="W29" s="40">
        <v>2</v>
      </c>
      <c r="X29" s="40">
        <v>3.315237426135248E-2</v>
      </c>
      <c r="Y29" s="40">
        <v>1.657618713067624E-2</v>
      </c>
      <c r="Z29" s="40">
        <v>4.9210322911481184</v>
      </c>
      <c r="AA29" s="40">
        <v>4.6287048710281858E-2</v>
      </c>
      <c r="AB29" s="27"/>
      <c r="AC29" s="27"/>
      <c r="AD29" s="27"/>
      <c r="AE29" s="1"/>
      <c r="AF29" s="30" t="s">
        <v>45</v>
      </c>
      <c r="AG29" s="30">
        <v>2</v>
      </c>
      <c r="AH29" s="30">
        <v>0.10726049129184273</v>
      </c>
      <c r="AI29" s="30">
        <v>5.3630245645921365E-2</v>
      </c>
      <c r="AJ29" s="30">
        <v>2.0847900833076429</v>
      </c>
      <c r="AK29" s="30">
        <v>0.19485617214277737</v>
      </c>
      <c r="AL29" s="30"/>
      <c r="AM29" s="30"/>
      <c r="AN29" s="30"/>
    </row>
    <row r="30" spans="1:40" x14ac:dyDescent="0.25">
      <c r="A30" s="15" t="s">
        <v>20</v>
      </c>
      <c r="B30" s="23">
        <v>3.4332675043980999E-2</v>
      </c>
      <c r="C30" s="20"/>
      <c r="D30" s="19">
        <v>6055.55</v>
      </c>
      <c r="E30" s="19"/>
      <c r="F30" s="18">
        <v>112.55085055666601</v>
      </c>
      <c r="G30" s="18"/>
      <c r="H30" s="18"/>
      <c r="I30" s="18"/>
      <c r="J30" s="56"/>
      <c r="K30" s="1"/>
      <c r="L30" s="1"/>
      <c r="M30" s="1"/>
      <c r="V30" s="40" t="s">
        <v>46</v>
      </c>
      <c r="W30" s="40">
        <v>7</v>
      </c>
      <c r="X30" s="40">
        <v>2.3579058833540417E-2</v>
      </c>
      <c r="Y30" s="40">
        <v>3.3684369762200595E-3</v>
      </c>
      <c r="Z30" s="40"/>
      <c r="AA30" s="40"/>
      <c r="AB30" s="27"/>
      <c r="AC30" s="27"/>
      <c r="AD30" s="27"/>
      <c r="AE30" s="1"/>
      <c r="AF30" s="30" t="s">
        <v>46</v>
      </c>
      <c r="AG30" s="30">
        <v>7</v>
      </c>
      <c r="AH30" s="30">
        <v>0.18007171202859745</v>
      </c>
      <c r="AI30" s="30">
        <v>2.5724530289799635E-2</v>
      </c>
      <c r="AJ30" s="30"/>
      <c r="AK30" s="30"/>
      <c r="AL30" s="30"/>
      <c r="AM30" s="30"/>
      <c r="AN30" s="30"/>
    </row>
    <row r="31" spans="1:40" ht="15.75" thickBot="1" x14ac:dyDescent="0.3">
      <c r="A31" s="15" t="s">
        <v>21</v>
      </c>
      <c r="B31" s="23">
        <v>2.8668980226143202E-2</v>
      </c>
      <c r="C31" s="20"/>
      <c r="D31" s="19">
        <v>22</v>
      </c>
      <c r="E31" s="19"/>
      <c r="F31" s="18">
        <v>117.49299123</v>
      </c>
      <c r="G31" s="18"/>
      <c r="H31" s="18"/>
      <c r="I31" s="18"/>
      <c r="J31" s="56"/>
      <c r="K31" s="1"/>
      <c r="L31" s="1"/>
      <c r="M31" s="1"/>
      <c r="V31" s="41" t="s">
        <v>47</v>
      </c>
      <c r="W31" s="41">
        <v>9</v>
      </c>
      <c r="X31" s="41">
        <v>5.6731433094892897E-2</v>
      </c>
      <c r="Y31" s="41"/>
      <c r="Z31" s="41"/>
      <c r="AA31" s="41"/>
      <c r="AB31" s="27"/>
      <c r="AC31" s="27"/>
      <c r="AD31" s="27"/>
      <c r="AE31" s="1"/>
      <c r="AF31" s="32" t="s">
        <v>47</v>
      </c>
      <c r="AG31" s="32">
        <v>9</v>
      </c>
      <c r="AH31" s="32">
        <v>0.28733220332044018</v>
      </c>
      <c r="AI31" s="32"/>
      <c r="AJ31" s="32"/>
      <c r="AK31" s="32"/>
      <c r="AL31" s="30"/>
      <c r="AM31" s="30"/>
      <c r="AN31" s="30"/>
    </row>
    <row r="32" spans="1:40" ht="15.75" thickBot="1" x14ac:dyDescent="0.3">
      <c r="A32" s="15" t="s">
        <v>24</v>
      </c>
      <c r="B32" s="23">
        <v>1.20306787922476E-2</v>
      </c>
      <c r="C32" s="17">
        <v>110.72040256</v>
      </c>
      <c r="D32" s="19">
        <v>21</v>
      </c>
      <c r="E32" s="19">
        <v>21</v>
      </c>
      <c r="F32" s="18">
        <v>115.079453056666</v>
      </c>
      <c r="G32" s="18">
        <f>F32/C32</f>
        <v>1.0393698938576728</v>
      </c>
      <c r="H32" s="18">
        <v>8.1761484496582497</v>
      </c>
      <c r="I32" s="18">
        <v>-1.9243966466520197</v>
      </c>
      <c r="J32">
        <v>-0.37303628</v>
      </c>
      <c r="K32" s="1"/>
      <c r="L32" s="1"/>
      <c r="M32" s="1"/>
      <c r="V32" s="27"/>
      <c r="W32" s="27"/>
      <c r="X32" s="27"/>
      <c r="Y32" s="27"/>
      <c r="Z32" s="27"/>
      <c r="AA32" s="27"/>
      <c r="AB32" s="27"/>
      <c r="AC32" s="27"/>
      <c r="AD32" s="27"/>
      <c r="AE32" s="1"/>
      <c r="AF32" s="30"/>
      <c r="AG32" s="30"/>
      <c r="AH32" s="30"/>
      <c r="AI32" s="30"/>
      <c r="AJ32" s="30"/>
      <c r="AK32" s="30"/>
      <c r="AL32" s="30"/>
      <c r="AM32" s="30"/>
      <c r="AN32" s="30"/>
    </row>
    <row r="33" spans="1:40" x14ac:dyDescent="0.25">
      <c r="A33" s="15" t="s">
        <v>25</v>
      </c>
      <c r="B33" s="23">
        <v>2.7386597361713599E-2</v>
      </c>
      <c r="C33" s="17"/>
      <c r="D33" s="19">
        <v>21.5</v>
      </c>
      <c r="E33" s="19"/>
      <c r="F33" s="18">
        <v>119.222878299999</v>
      </c>
      <c r="G33" s="18"/>
      <c r="H33" s="18"/>
      <c r="I33" s="18"/>
      <c r="J33" s="56"/>
      <c r="K33" s="1"/>
      <c r="L33" s="1"/>
      <c r="M33" s="1"/>
      <c r="V33" s="29"/>
      <c r="W33" s="29" t="s">
        <v>53</v>
      </c>
      <c r="X33" s="29" t="s">
        <v>42</v>
      </c>
      <c r="Y33" s="29" t="s">
        <v>54</v>
      </c>
      <c r="Z33" s="29" t="s">
        <v>55</v>
      </c>
      <c r="AA33" s="29" t="s">
        <v>56</v>
      </c>
      <c r="AB33" s="29" t="s">
        <v>57</v>
      </c>
      <c r="AC33" s="29" t="s">
        <v>58</v>
      </c>
      <c r="AD33" s="29" t="s">
        <v>59</v>
      </c>
      <c r="AE33" s="1"/>
      <c r="AF33" s="33"/>
      <c r="AG33" s="33" t="s">
        <v>53</v>
      </c>
      <c r="AH33" s="33" t="s">
        <v>42</v>
      </c>
      <c r="AI33" s="33" t="s">
        <v>54</v>
      </c>
      <c r="AJ33" s="33" t="s">
        <v>55</v>
      </c>
      <c r="AK33" s="33" t="s">
        <v>56</v>
      </c>
      <c r="AL33" s="33" t="s">
        <v>57</v>
      </c>
      <c r="AM33" s="33" t="s">
        <v>58</v>
      </c>
      <c r="AN33" s="33" t="s">
        <v>59</v>
      </c>
    </row>
    <row r="34" spans="1:40" x14ac:dyDescent="0.25">
      <c r="A34" s="15" t="s">
        <v>26</v>
      </c>
      <c r="B34" s="23">
        <v>2.8615745110634201E-2</v>
      </c>
      <c r="C34" s="17">
        <v>111.66319882000001</v>
      </c>
      <c r="D34" s="19">
        <v>75</v>
      </c>
      <c r="E34" s="19">
        <v>96.5</v>
      </c>
      <c r="F34" s="18">
        <v>115.360934813333</v>
      </c>
      <c r="G34" s="18">
        <f t="shared" ref="G33:G39" si="1">F34/C34</f>
        <v>1.0331150820718804</v>
      </c>
      <c r="H34" s="18">
        <v>19.594840851392899</v>
      </c>
      <c r="I34" s="18">
        <v>-8.5529249332917008</v>
      </c>
      <c r="J34">
        <v>-0.27047935899999997</v>
      </c>
      <c r="K34" s="1"/>
      <c r="L34" s="1"/>
      <c r="M34" s="1"/>
      <c r="V34" s="40" t="s">
        <v>48</v>
      </c>
      <c r="W34" s="40">
        <v>-0.10711095089458646</v>
      </c>
      <c r="X34" s="40">
        <v>0.41296001163183188</v>
      </c>
      <c r="Y34" s="40">
        <v>-0.25937366301238768</v>
      </c>
      <c r="Z34" s="42">
        <v>0.80280949286419134</v>
      </c>
      <c r="AA34" s="40">
        <v>-1.0836062093372547</v>
      </c>
      <c r="AB34" s="40">
        <v>0.86938430754808171</v>
      </c>
      <c r="AC34" s="40">
        <v>-1.0836062093372547</v>
      </c>
      <c r="AD34" s="40">
        <v>0.86938430754808171</v>
      </c>
      <c r="AE34" s="1"/>
      <c r="AF34" s="30" t="s">
        <v>48</v>
      </c>
      <c r="AG34" s="30">
        <v>-1.1835468513327072</v>
      </c>
      <c r="AH34" s="30">
        <v>1.0507983115177904</v>
      </c>
      <c r="AI34" s="30">
        <v>-1.1263311316356921</v>
      </c>
      <c r="AJ34" s="44">
        <v>0.29715241337808557</v>
      </c>
      <c r="AK34" s="30">
        <v>-3.6682900222804244</v>
      </c>
      <c r="AL34" s="30">
        <v>1.30119631961501</v>
      </c>
      <c r="AM34" s="30">
        <v>-3.6682900222804244</v>
      </c>
      <c r="AN34" s="30">
        <v>1.30119631961501</v>
      </c>
    </row>
    <row r="35" spans="1:40" x14ac:dyDescent="0.25">
      <c r="A35" s="15" t="s">
        <v>27</v>
      </c>
      <c r="B35" s="23">
        <v>4.4113621235337297E-2</v>
      </c>
      <c r="C35" s="17">
        <v>114.89097618</v>
      </c>
      <c r="D35" s="19">
        <v>47.5</v>
      </c>
      <c r="E35" s="19">
        <v>47.5</v>
      </c>
      <c r="F35" s="18">
        <v>118.05576815000001</v>
      </c>
      <c r="G35" s="18">
        <f t="shared" si="1"/>
        <v>1.0275460447393339</v>
      </c>
      <c r="H35" s="18">
        <v>17.2552427011953</v>
      </c>
      <c r="I35" s="18">
        <v>-6.8910153198931301</v>
      </c>
      <c r="J35">
        <v>-0.59254314200000002</v>
      </c>
      <c r="K35" s="1"/>
      <c r="L35" s="1"/>
      <c r="M35" s="1"/>
      <c r="V35" s="40" t="s">
        <v>63</v>
      </c>
      <c r="W35" s="40">
        <v>0.24640880866478085</v>
      </c>
      <c r="X35" s="40">
        <v>0.39090774190003369</v>
      </c>
      <c r="Y35" s="40">
        <v>0.63035029049845381</v>
      </c>
      <c r="Z35" s="42">
        <v>0.54848269619738965</v>
      </c>
      <c r="AA35" s="40">
        <v>-0.67794111796741185</v>
      </c>
      <c r="AB35" s="40">
        <v>1.1707587352969735</v>
      </c>
      <c r="AC35" s="40">
        <v>-0.67794111796741185</v>
      </c>
      <c r="AD35" s="40">
        <v>1.1707587352969735</v>
      </c>
      <c r="AE35" s="1"/>
      <c r="AF35" s="30" t="s">
        <v>13</v>
      </c>
      <c r="AG35" s="30">
        <v>0.94345136573787258</v>
      </c>
      <c r="AH35" s="30">
        <v>1.0023985812272547</v>
      </c>
      <c r="AI35" s="30">
        <v>0.94119383587194227</v>
      </c>
      <c r="AJ35" s="44">
        <v>0.3779426283901085</v>
      </c>
      <c r="AK35" s="30">
        <v>-1.426844629194294</v>
      </c>
      <c r="AL35" s="30">
        <v>3.3137473606700389</v>
      </c>
      <c r="AM35" s="30">
        <v>-1.426844629194294</v>
      </c>
      <c r="AN35" s="30">
        <v>3.3137473606700389</v>
      </c>
    </row>
    <row r="36" spans="1:40" ht="15.75" thickBot="1" x14ac:dyDescent="0.3">
      <c r="A36" s="15" t="s">
        <v>28</v>
      </c>
      <c r="B36" s="22">
        <v>-8.0536265843332393E-3</v>
      </c>
      <c r="C36" s="17">
        <v>116.55531655999999</v>
      </c>
      <c r="D36" s="19">
        <v>23.5</v>
      </c>
      <c r="E36" s="19">
        <v>23.5</v>
      </c>
      <c r="F36" s="18">
        <v>119.77022043333299</v>
      </c>
      <c r="G36" s="18">
        <f t="shared" si="1"/>
        <v>1.0275826446035865</v>
      </c>
      <c r="H36" s="18">
        <v>17.024424898784201</v>
      </c>
      <c r="I36" s="18">
        <v>-4.3261384988685592</v>
      </c>
      <c r="J36">
        <v>-0.37005655300000001</v>
      </c>
      <c r="K36" s="1"/>
      <c r="L36" s="1"/>
      <c r="M36" s="1"/>
      <c r="V36" s="41" t="s">
        <v>33</v>
      </c>
      <c r="W36" s="41">
        <v>1.6496532218056408E-2</v>
      </c>
      <c r="X36" s="41">
        <v>5.5166414100202782E-3</v>
      </c>
      <c r="Y36" s="41">
        <v>2.9903216453570014</v>
      </c>
      <c r="Z36" s="43">
        <v>2.0217138054056741E-2</v>
      </c>
      <c r="AA36" s="41">
        <v>3.4517481525814415E-3</v>
      </c>
      <c r="AB36" s="41">
        <v>2.9541316283531373E-2</v>
      </c>
      <c r="AC36" s="41">
        <v>3.4517481525814415E-3</v>
      </c>
      <c r="AD36" s="41">
        <v>2.9541316283531373E-2</v>
      </c>
      <c r="AE36" s="1"/>
      <c r="AF36" s="32" t="s">
        <v>33</v>
      </c>
      <c r="AG36" s="32">
        <v>-2.6333080593606905E-2</v>
      </c>
      <c r="AH36" s="32">
        <v>1.5209815707078248E-2</v>
      </c>
      <c r="AI36" s="32">
        <v>-1.731321476916527</v>
      </c>
      <c r="AJ36" s="52">
        <v>0.12700526854237526</v>
      </c>
      <c r="AK36" s="32">
        <v>-6.2298579676820995E-2</v>
      </c>
      <c r="AL36" s="32">
        <v>9.6324184896071814E-3</v>
      </c>
      <c r="AM36" s="32">
        <v>-6.2298579676820995E-2</v>
      </c>
      <c r="AN36" s="32">
        <v>9.6324184896071814E-3</v>
      </c>
    </row>
    <row r="37" spans="1:40" x14ac:dyDescent="0.25">
      <c r="A37" s="15" t="s">
        <v>29</v>
      </c>
      <c r="B37" s="22">
        <v>-2.13677287576714E-2</v>
      </c>
      <c r="C37" s="17">
        <v>120.40602251999999</v>
      </c>
      <c r="D37" s="19">
        <v>20</v>
      </c>
      <c r="E37" s="19">
        <v>47.75</v>
      </c>
      <c r="F37" s="18">
        <v>125.17995179</v>
      </c>
      <c r="G37" s="18">
        <f t="shared" si="1"/>
        <v>1.0396485920727681</v>
      </c>
      <c r="H37" s="18">
        <v>15.1069524712688</v>
      </c>
      <c r="I37" s="18">
        <v>-8.6900508235792202</v>
      </c>
      <c r="J37">
        <v>-0.28463715699999997</v>
      </c>
      <c r="K37" s="1"/>
      <c r="L37" s="1"/>
      <c r="M37" s="1"/>
      <c r="AE37" s="1"/>
    </row>
    <row r="38" spans="1:40" ht="15.75" thickBot="1" x14ac:dyDescent="0.3">
      <c r="A38" s="15" t="s">
        <v>30</v>
      </c>
      <c r="B38" s="23">
        <v>2.7450804091866201E-2</v>
      </c>
      <c r="C38" s="17">
        <v>118.75512236</v>
      </c>
      <c r="D38" s="19">
        <v>23.75</v>
      </c>
      <c r="E38" s="19">
        <v>23.75</v>
      </c>
      <c r="F38" s="18">
        <v>128.631154973333</v>
      </c>
      <c r="G38" s="18">
        <f t="shared" si="1"/>
        <v>1.0831630031367767</v>
      </c>
      <c r="H38" s="18">
        <v>21.9579587943592</v>
      </c>
      <c r="I38" s="18">
        <v>-7.4420412056407592</v>
      </c>
      <c r="J38">
        <v>-0.37799506199999999</v>
      </c>
      <c r="K38" s="1"/>
      <c r="L38" s="1"/>
      <c r="M38" s="1"/>
      <c r="V38" s="35" t="s">
        <v>36</v>
      </c>
      <c r="W38" s="35"/>
      <c r="X38" s="35"/>
      <c r="Y38" s="35"/>
      <c r="Z38" s="35"/>
      <c r="AA38" s="35"/>
      <c r="AB38" s="35"/>
      <c r="AC38" s="35"/>
      <c r="AD38" s="35"/>
      <c r="AE38" s="1"/>
      <c r="AF38" s="47"/>
      <c r="AG38" s="47"/>
      <c r="AH38" s="47"/>
      <c r="AI38" s="47"/>
      <c r="AJ38" s="47"/>
      <c r="AK38" s="47"/>
      <c r="AL38" s="47"/>
      <c r="AM38" s="47"/>
      <c r="AN38" s="47"/>
    </row>
    <row r="39" spans="1:40" x14ac:dyDescent="0.25">
      <c r="A39" s="15" t="s">
        <v>31</v>
      </c>
      <c r="B39" s="22">
        <v>-4.0077224600602597E-2</v>
      </c>
      <c r="C39" s="17">
        <v>125.12197168</v>
      </c>
      <c r="D39" s="19">
        <v>23.5</v>
      </c>
      <c r="E39" s="19">
        <v>23.5</v>
      </c>
      <c r="F39" s="18">
        <v>127.417386873333</v>
      </c>
      <c r="G39" s="18">
        <f t="shared" si="1"/>
        <v>1.0183454205725238</v>
      </c>
      <c r="H39" s="18">
        <v>16.640165980770899</v>
      </c>
      <c r="I39" s="18">
        <v>-8.2060847497882605</v>
      </c>
      <c r="J39">
        <v>-0.58893643299999998</v>
      </c>
      <c r="K39" s="1"/>
      <c r="L39" s="1"/>
      <c r="M39" s="1"/>
      <c r="V39" s="34" t="s">
        <v>38</v>
      </c>
      <c r="W39" s="34"/>
      <c r="X39" s="35"/>
      <c r="Y39" s="35"/>
      <c r="Z39" s="35"/>
      <c r="AA39" s="35"/>
      <c r="AB39" s="35"/>
      <c r="AC39" s="35"/>
      <c r="AD39" s="35"/>
      <c r="AE39" s="1"/>
      <c r="AF39" s="48" t="s">
        <v>38</v>
      </c>
      <c r="AG39" s="48"/>
      <c r="AH39" s="47"/>
      <c r="AI39" s="47"/>
      <c r="AJ39" s="47"/>
      <c r="AK39" s="47"/>
      <c r="AL39" s="47"/>
      <c r="AM39" s="47"/>
      <c r="AN39" s="47"/>
    </row>
    <row r="40" spans="1:40" x14ac:dyDescent="0.25">
      <c r="K40" s="1"/>
      <c r="L40" s="1"/>
      <c r="M40" s="1"/>
      <c r="V40" s="45" t="s">
        <v>39</v>
      </c>
      <c r="W40" s="42">
        <v>0.72180686146740602</v>
      </c>
      <c r="X40" s="35"/>
      <c r="Y40" s="35"/>
      <c r="Z40" s="35"/>
      <c r="AA40" s="35"/>
      <c r="AB40" s="35"/>
      <c r="AC40" s="35"/>
      <c r="AD40" s="35"/>
      <c r="AE40" s="1"/>
      <c r="AF40" s="47" t="s">
        <v>39</v>
      </c>
      <c r="AG40" s="51">
        <v>0.81667320319882508</v>
      </c>
      <c r="AH40" s="47"/>
      <c r="AI40" s="47"/>
      <c r="AJ40" s="47"/>
      <c r="AK40" s="47"/>
      <c r="AL40" s="47"/>
      <c r="AM40" s="47"/>
      <c r="AN40" s="47"/>
    </row>
    <row r="41" spans="1:40" ht="40.5" x14ac:dyDescent="0.25">
      <c r="A41" s="11" t="s">
        <v>6</v>
      </c>
      <c r="B41" s="11" t="s">
        <v>1</v>
      </c>
      <c r="C41" s="12" t="s">
        <v>23</v>
      </c>
      <c r="D41" s="13" t="s">
        <v>10</v>
      </c>
      <c r="E41" s="13" t="s">
        <v>11</v>
      </c>
      <c r="F41" s="13" t="s">
        <v>12</v>
      </c>
      <c r="G41" s="13" t="s">
        <v>13</v>
      </c>
      <c r="H41" s="13" t="s">
        <v>32</v>
      </c>
      <c r="I41" s="13" t="s">
        <v>33</v>
      </c>
      <c r="J41" s="54"/>
      <c r="K41" s="1"/>
      <c r="L41" s="1"/>
      <c r="M41" s="1"/>
      <c r="V41" s="45" t="s">
        <v>40</v>
      </c>
      <c r="W41" s="42">
        <v>0.52100514526142705</v>
      </c>
      <c r="X41" s="35"/>
      <c r="Y41" s="35"/>
      <c r="Z41" s="35"/>
      <c r="AA41" s="35"/>
      <c r="AB41" s="35"/>
      <c r="AC41" s="35"/>
      <c r="AD41" s="35"/>
      <c r="AE41" s="1"/>
      <c r="AF41" s="47" t="s">
        <v>40</v>
      </c>
      <c r="AG41" s="51">
        <v>0.66695512082302943</v>
      </c>
      <c r="AH41" s="47"/>
      <c r="AI41" s="47"/>
      <c r="AJ41" s="47"/>
      <c r="AK41" s="47"/>
      <c r="AL41" s="47"/>
      <c r="AM41" s="47"/>
      <c r="AN41" s="47"/>
    </row>
    <row r="42" spans="1:40" x14ac:dyDescent="0.25">
      <c r="A42" s="15" t="s">
        <v>14</v>
      </c>
      <c r="B42" s="23">
        <v>0.57681691180727601</v>
      </c>
      <c r="C42" s="17"/>
      <c r="D42" s="18"/>
      <c r="E42" s="18"/>
      <c r="F42" s="18">
        <v>133.4714286</v>
      </c>
      <c r="G42" s="18"/>
      <c r="H42" s="25"/>
      <c r="I42" s="15"/>
      <c r="J42" s="55"/>
      <c r="K42" s="1"/>
      <c r="L42" s="1"/>
      <c r="M42" s="1"/>
      <c r="V42" s="45" t="s">
        <v>41</v>
      </c>
      <c r="W42" s="42">
        <v>0.38414947247897757</v>
      </c>
      <c r="X42" s="35"/>
      <c r="Y42" s="35"/>
      <c r="Z42" s="35"/>
      <c r="AA42" s="35"/>
      <c r="AB42" s="35"/>
      <c r="AC42" s="35"/>
      <c r="AD42" s="35"/>
      <c r="AE42" s="1"/>
      <c r="AF42" s="47" t="s">
        <v>41</v>
      </c>
      <c r="AG42" s="51">
        <v>0.5717994410581807</v>
      </c>
      <c r="AH42" s="47"/>
      <c r="AI42" s="47"/>
      <c r="AJ42" s="47"/>
      <c r="AK42" s="47"/>
      <c r="AL42" s="47"/>
      <c r="AM42" s="47"/>
      <c r="AN42" s="47"/>
    </row>
    <row r="43" spans="1:40" x14ac:dyDescent="0.25">
      <c r="A43" s="15" t="s">
        <v>15</v>
      </c>
      <c r="B43" s="23">
        <v>0.13233171245622599</v>
      </c>
      <c r="C43" s="17">
        <v>60.588347259999999</v>
      </c>
      <c r="D43" s="19">
        <v>9023.75</v>
      </c>
      <c r="E43" s="19">
        <v>9023.75</v>
      </c>
      <c r="F43" s="18">
        <v>71.117321599999997</v>
      </c>
      <c r="G43" s="18">
        <v>1.1737788669959499</v>
      </c>
      <c r="H43" s="18">
        <v>4</v>
      </c>
      <c r="I43" s="18">
        <v>-1.5</v>
      </c>
      <c r="J43">
        <v>-0.30833333299999999</v>
      </c>
      <c r="K43" s="1"/>
      <c r="L43" s="1"/>
      <c r="M43" s="1"/>
      <c r="V43" s="45" t="s">
        <v>42</v>
      </c>
      <c r="W43" s="45">
        <v>3.6966086835203485E-2</v>
      </c>
      <c r="X43" s="35"/>
      <c r="Y43" s="35"/>
      <c r="Z43" s="35"/>
      <c r="AA43" s="35"/>
      <c r="AB43" s="35"/>
      <c r="AC43" s="35"/>
      <c r="AD43" s="35"/>
      <c r="AE43" s="1"/>
      <c r="AF43" s="47" t="s">
        <v>42</v>
      </c>
      <c r="AG43" s="47">
        <v>0.1445251291895934</v>
      </c>
      <c r="AH43" s="47"/>
      <c r="AI43" s="47"/>
      <c r="AJ43" s="47"/>
      <c r="AK43" s="47"/>
      <c r="AL43" s="47"/>
      <c r="AM43" s="47"/>
      <c r="AN43" s="47"/>
    </row>
    <row r="44" spans="1:40" ht="15.75" thickBot="1" x14ac:dyDescent="0.3">
      <c r="A44" s="15" t="s">
        <v>16</v>
      </c>
      <c r="B44" s="23">
        <v>8.9326261366187695E-2</v>
      </c>
      <c r="C44" s="17">
        <v>73.387016439999996</v>
      </c>
      <c r="D44" s="19">
        <v>118.5</v>
      </c>
      <c r="E44" s="19">
        <v>118.5</v>
      </c>
      <c r="F44" s="18">
        <v>74.728308609999999</v>
      </c>
      <c r="G44" s="18">
        <v>1.01827696825768</v>
      </c>
      <c r="H44" s="18">
        <v>1.1385255280790201</v>
      </c>
      <c r="I44" s="18">
        <v>-0.63852552807902296</v>
      </c>
      <c r="J44">
        <v>-0.20494343600000001</v>
      </c>
      <c r="K44" s="1"/>
      <c r="L44" s="1"/>
      <c r="M44" s="1"/>
      <c r="N44" s="1"/>
      <c r="O44" s="1"/>
      <c r="P44" s="1"/>
      <c r="Q44" s="1"/>
      <c r="R44" s="1"/>
      <c r="S44" s="1"/>
      <c r="T44" s="1"/>
      <c r="V44" s="46" t="s">
        <v>43</v>
      </c>
      <c r="W44" s="46">
        <v>10</v>
      </c>
      <c r="X44" s="35"/>
      <c r="Y44" s="35"/>
      <c r="Z44" s="35"/>
      <c r="AA44" s="35"/>
      <c r="AB44" s="35"/>
      <c r="AC44" s="35"/>
      <c r="AD44" s="35"/>
      <c r="AE44" s="1"/>
      <c r="AF44" s="49" t="s">
        <v>43</v>
      </c>
      <c r="AG44" s="49">
        <v>10</v>
      </c>
      <c r="AH44" s="47"/>
      <c r="AI44" s="47"/>
      <c r="AJ44" s="47"/>
      <c r="AK44" s="47"/>
      <c r="AL44" s="47"/>
      <c r="AM44" s="47"/>
      <c r="AN44" s="47"/>
    </row>
    <row r="45" spans="1:40" x14ac:dyDescent="0.25">
      <c r="A45" s="15" t="s">
        <v>17</v>
      </c>
      <c r="B45" s="23">
        <v>0.14884070399999999</v>
      </c>
      <c r="C45" s="17">
        <v>79.767295559999994</v>
      </c>
      <c r="D45" s="19">
        <v>2036.95</v>
      </c>
      <c r="E45" s="19">
        <v>2060.9499999999998</v>
      </c>
      <c r="F45" s="18">
        <v>79.767295559999994</v>
      </c>
      <c r="G45" s="18">
        <f>F45/C45</f>
        <v>1</v>
      </c>
      <c r="H45" s="18">
        <v>0</v>
      </c>
      <c r="I45" s="18">
        <v>0</v>
      </c>
      <c r="J45" s="9">
        <v>0</v>
      </c>
      <c r="M45" s="1"/>
      <c r="T45" s="1"/>
      <c r="V45" s="35"/>
      <c r="W45" s="35"/>
      <c r="X45" s="35"/>
      <c r="Y45" s="35"/>
      <c r="Z45" s="35"/>
      <c r="AA45" s="35"/>
      <c r="AB45" s="35"/>
      <c r="AC45" s="35"/>
      <c r="AD45" s="35"/>
      <c r="AE45" s="1"/>
      <c r="AF45" s="47"/>
      <c r="AG45" s="47"/>
      <c r="AH45" s="47"/>
      <c r="AI45" s="47"/>
      <c r="AJ45" s="47"/>
      <c r="AK45" s="47"/>
      <c r="AL45" s="47"/>
      <c r="AM45" s="47"/>
      <c r="AN45" s="47"/>
    </row>
    <row r="46" spans="1:40" ht="15.75" thickBot="1" x14ac:dyDescent="0.3">
      <c r="A46" s="15" t="s">
        <v>18</v>
      </c>
      <c r="B46" s="23">
        <v>0.164262280281398</v>
      </c>
      <c r="C46" s="17"/>
      <c r="D46" s="19">
        <v>365</v>
      </c>
      <c r="E46" s="19"/>
      <c r="F46" s="18">
        <v>68.631809730000001</v>
      </c>
      <c r="G46" s="18"/>
      <c r="H46" s="18"/>
      <c r="I46" s="18"/>
      <c r="J46" s="56"/>
      <c r="L46" s="2"/>
      <c r="M46" s="1"/>
      <c r="T46" s="1"/>
      <c r="V46" s="35" t="s">
        <v>44</v>
      </c>
      <c r="W46" s="35"/>
      <c r="X46" s="35"/>
      <c r="Y46" s="35"/>
      <c r="Z46" s="35"/>
      <c r="AA46" s="35"/>
      <c r="AB46" s="35"/>
      <c r="AC46" s="35"/>
      <c r="AD46" s="35"/>
      <c r="AF46" s="47" t="s">
        <v>44</v>
      </c>
      <c r="AG46" s="47"/>
      <c r="AH46" s="47"/>
      <c r="AI46" s="47"/>
      <c r="AJ46" s="47"/>
      <c r="AK46" s="47"/>
      <c r="AL46" s="47"/>
      <c r="AM46" s="47"/>
      <c r="AN46" s="47"/>
    </row>
    <row r="47" spans="1:40" x14ac:dyDescent="0.25">
      <c r="A47" s="15" t="s">
        <v>19</v>
      </c>
      <c r="B47" s="22">
        <v>-4.45444212598241E-2</v>
      </c>
      <c r="C47" s="17"/>
      <c r="D47" s="19">
        <v>351.5</v>
      </c>
      <c r="E47" s="19"/>
      <c r="F47" s="18">
        <v>69.696396059999998</v>
      </c>
      <c r="G47" s="18"/>
      <c r="H47" s="18"/>
      <c r="I47" s="18"/>
      <c r="J47" s="56"/>
      <c r="L47" s="2"/>
      <c r="M47" s="1"/>
      <c r="T47" s="1"/>
      <c r="V47" s="36"/>
      <c r="W47" s="36" t="s">
        <v>49</v>
      </c>
      <c r="X47" s="36" t="s">
        <v>34</v>
      </c>
      <c r="Y47" s="36" t="s">
        <v>50</v>
      </c>
      <c r="Z47" s="36" t="s">
        <v>51</v>
      </c>
      <c r="AA47" s="36" t="s">
        <v>52</v>
      </c>
      <c r="AB47" s="35"/>
      <c r="AC47" s="35"/>
      <c r="AD47" s="35"/>
      <c r="AF47" s="50"/>
      <c r="AG47" s="50" t="s">
        <v>49</v>
      </c>
      <c r="AH47" s="50" t="s">
        <v>34</v>
      </c>
      <c r="AI47" s="50" t="s">
        <v>50</v>
      </c>
      <c r="AJ47" s="50" t="s">
        <v>51</v>
      </c>
      <c r="AK47" s="50" t="s">
        <v>52</v>
      </c>
      <c r="AL47" s="47"/>
      <c r="AM47" s="47"/>
      <c r="AN47" s="47"/>
    </row>
    <row r="48" spans="1:40" x14ac:dyDescent="0.25">
      <c r="A48" s="15" t="s">
        <v>20</v>
      </c>
      <c r="B48" s="16">
        <v>5.1856335362832198E-2</v>
      </c>
      <c r="C48" s="20"/>
      <c r="D48" s="19">
        <v>6055.55</v>
      </c>
      <c r="E48" s="19"/>
      <c r="F48" s="18">
        <v>112.55085055666601</v>
      </c>
      <c r="G48" s="18"/>
      <c r="H48" s="18"/>
      <c r="I48" s="18"/>
      <c r="J48" s="56"/>
      <c r="L48" s="2"/>
      <c r="M48" s="1"/>
      <c r="T48" s="1"/>
      <c r="V48" s="45" t="s">
        <v>45</v>
      </c>
      <c r="W48" s="45">
        <v>2</v>
      </c>
      <c r="X48" s="45">
        <v>1.0404378971357675E-2</v>
      </c>
      <c r="Y48" s="45">
        <v>5.2021894856788377E-3</v>
      </c>
      <c r="Z48" s="45">
        <v>3.8069678418784658</v>
      </c>
      <c r="AA48" s="45">
        <v>7.6060288642534488E-2</v>
      </c>
      <c r="AB48" s="35"/>
      <c r="AC48" s="35"/>
      <c r="AD48" s="35"/>
      <c r="AF48" s="47" t="s">
        <v>45</v>
      </c>
      <c r="AG48" s="47">
        <v>2</v>
      </c>
      <c r="AH48" s="47">
        <v>0.29280509096680318</v>
      </c>
      <c r="AI48" s="47">
        <v>0.14640254548340159</v>
      </c>
      <c r="AJ48" s="47">
        <v>7.0090941756837504</v>
      </c>
      <c r="AK48" s="47">
        <v>2.1318648130072754E-2</v>
      </c>
      <c r="AL48" s="47"/>
      <c r="AM48" s="47"/>
      <c r="AN48" s="47"/>
    </row>
    <row r="49" spans="1:40" x14ac:dyDescent="0.25">
      <c r="A49" s="15" t="s">
        <v>21</v>
      </c>
      <c r="B49" s="16">
        <v>0.103368750113241</v>
      </c>
      <c r="C49" s="20"/>
      <c r="D49" s="19">
        <v>22</v>
      </c>
      <c r="E49" s="19"/>
      <c r="F49" s="18">
        <v>117.49299123</v>
      </c>
      <c r="G49" s="18"/>
      <c r="H49" s="18"/>
      <c r="I49" s="18"/>
      <c r="J49" s="56"/>
      <c r="L49" s="2"/>
      <c r="M49" s="1"/>
      <c r="T49" s="1"/>
      <c r="V49" s="45" t="s">
        <v>46</v>
      </c>
      <c r="W49" s="45">
        <v>7</v>
      </c>
      <c r="X49" s="45">
        <v>9.5654410313546299E-3</v>
      </c>
      <c r="Y49" s="45">
        <v>1.3664915759078044E-3</v>
      </c>
      <c r="Z49" s="45"/>
      <c r="AA49" s="45"/>
      <c r="AB49" s="35"/>
      <c r="AC49" s="35"/>
      <c r="AD49" s="35"/>
      <c r="AF49" s="47" t="s">
        <v>46</v>
      </c>
      <c r="AG49" s="47">
        <v>7</v>
      </c>
      <c r="AH49" s="47">
        <v>0.14621259077088064</v>
      </c>
      <c r="AI49" s="47">
        <v>2.0887512967268661E-2</v>
      </c>
      <c r="AJ49" s="47"/>
      <c r="AK49" s="47"/>
      <c r="AL49" s="47"/>
      <c r="AM49" s="47"/>
      <c r="AN49" s="47"/>
    </row>
    <row r="50" spans="1:40" ht="15.75" thickBot="1" x14ac:dyDescent="0.3">
      <c r="A50" s="15" t="s">
        <v>24</v>
      </c>
      <c r="B50" s="16">
        <v>0.15621819275209001</v>
      </c>
      <c r="C50" s="17">
        <v>110.72040256</v>
      </c>
      <c r="D50" s="19">
        <v>21</v>
      </c>
      <c r="E50" s="19">
        <v>21</v>
      </c>
      <c r="F50" s="18">
        <v>115.079453056666</v>
      </c>
      <c r="G50" s="18">
        <f>F50/C50</f>
        <v>1.0393698938576728</v>
      </c>
      <c r="H50" s="18">
        <v>8.1761484496582497</v>
      </c>
      <c r="I50" s="18">
        <v>-1.9243966466520197</v>
      </c>
      <c r="J50">
        <v>-0.37303628</v>
      </c>
      <c r="L50" s="2"/>
      <c r="M50" s="1"/>
      <c r="T50" s="1"/>
      <c r="V50" s="46" t="s">
        <v>47</v>
      </c>
      <c r="W50" s="46">
        <v>9</v>
      </c>
      <c r="X50" s="46">
        <v>1.9969820002712305E-2</v>
      </c>
      <c r="Y50" s="46"/>
      <c r="Z50" s="46"/>
      <c r="AA50" s="46"/>
      <c r="AB50" s="35"/>
      <c r="AC50" s="35"/>
      <c r="AD50" s="35"/>
      <c r="AF50" s="49" t="s">
        <v>47</v>
      </c>
      <c r="AG50" s="49">
        <v>9</v>
      </c>
      <c r="AH50" s="49">
        <v>0.43901768173768385</v>
      </c>
      <c r="AI50" s="49"/>
      <c r="AJ50" s="49"/>
      <c r="AK50" s="49"/>
      <c r="AL50" s="47"/>
      <c r="AM50" s="47"/>
      <c r="AN50" s="47"/>
    </row>
    <row r="51" spans="1:40" ht="15.75" thickBot="1" x14ac:dyDescent="0.3">
      <c r="A51" s="15" t="s">
        <v>25</v>
      </c>
      <c r="B51" s="16">
        <v>0.15071577677020101</v>
      </c>
      <c r="C51" s="17"/>
      <c r="D51" s="19">
        <v>21.5</v>
      </c>
      <c r="E51" s="19"/>
      <c r="F51" s="18">
        <v>119.222878299999</v>
      </c>
      <c r="G51" s="18"/>
      <c r="H51" s="18"/>
      <c r="I51" s="18"/>
      <c r="J51" s="56"/>
      <c r="L51" s="2"/>
      <c r="M51" s="1"/>
      <c r="T51" s="1"/>
      <c r="V51" s="35"/>
      <c r="W51" s="35"/>
      <c r="X51" s="35"/>
      <c r="Y51" s="35"/>
      <c r="Z51" s="35"/>
      <c r="AA51" s="35"/>
      <c r="AB51" s="35"/>
      <c r="AC51" s="35"/>
      <c r="AD51" s="35"/>
      <c r="AF51" s="47"/>
      <c r="AG51" s="47"/>
      <c r="AH51" s="47"/>
      <c r="AI51" s="47"/>
      <c r="AJ51" s="47"/>
      <c r="AK51" s="47"/>
      <c r="AL51" s="47"/>
      <c r="AM51" s="47"/>
      <c r="AN51" s="47"/>
    </row>
    <row r="52" spans="1:40" x14ac:dyDescent="0.25">
      <c r="A52" s="15" t="s">
        <v>26</v>
      </c>
      <c r="B52" s="16">
        <v>5.5397551503622099E-2</v>
      </c>
      <c r="C52" s="17">
        <v>111.66319882000001</v>
      </c>
      <c r="D52" s="19">
        <v>75</v>
      </c>
      <c r="E52" s="19">
        <v>96.5</v>
      </c>
      <c r="F52" s="18">
        <v>115.360934813333</v>
      </c>
      <c r="G52" s="18">
        <f t="shared" ref="G51:G57" si="2">F52/C52</f>
        <v>1.0331150820718804</v>
      </c>
      <c r="H52" s="18">
        <v>19.594840851392899</v>
      </c>
      <c r="I52" s="18">
        <v>-8.5529249332917008</v>
      </c>
      <c r="J52">
        <v>-0.27047935899999997</v>
      </c>
      <c r="L52" s="2"/>
      <c r="M52" s="1"/>
      <c r="T52" s="1"/>
      <c r="V52" s="36"/>
      <c r="W52" s="36" t="s">
        <v>53</v>
      </c>
      <c r="X52" s="36" t="s">
        <v>42</v>
      </c>
      <c r="Y52" s="36" t="s">
        <v>54</v>
      </c>
      <c r="Z52" s="36" t="s">
        <v>55</v>
      </c>
      <c r="AA52" s="36" t="s">
        <v>56</v>
      </c>
      <c r="AB52" s="36" t="s">
        <v>57</v>
      </c>
      <c r="AC52" s="36" t="s">
        <v>58</v>
      </c>
      <c r="AD52" s="36" t="s">
        <v>59</v>
      </c>
      <c r="AF52" s="50"/>
      <c r="AG52" s="50" t="s">
        <v>53</v>
      </c>
      <c r="AH52" s="50" t="s">
        <v>42</v>
      </c>
      <c r="AI52" s="50" t="s">
        <v>54</v>
      </c>
      <c r="AJ52" s="50" t="s">
        <v>55</v>
      </c>
      <c r="AK52" s="50" t="s">
        <v>56</v>
      </c>
      <c r="AL52" s="50" t="s">
        <v>57</v>
      </c>
      <c r="AM52" s="50" t="s">
        <v>58</v>
      </c>
      <c r="AN52" s="50" t="s">
        <v>59</v>
      </c>
    </row>
    <row r="53" spans="1:40" x14ac:dyDescent="0.25">
      <c r="A53" s="15" t="s">
        <v>27</v>
      </c>
      <c r="B53" s="16">
        <v>6.9883057908481996E-2</v>
      </c>
      <c r="C53" s="17">
        <v>114.89097618</v>
      </c>
      <c r="D53" s="19">
        <v>47.5</v>
      </c>
      <c r="E53" s="19">
        <v>47.5</v>
      </c>
      <c r="F53" s="18">
        <v>118.05576815000001</v>
      </c>
      <c r="G53" s="18">
        <f t="shared" si="2"/>
        <v>1.0275460447393339</v>
      </c>
      <c r="H53" s="18">
        <v>17.2552427011953</v>
      </c>
      <c r="I53" s="18">
        <v>-6.8910153198931301</v>
      </c>
      <c r="J53">
        <v>-0.59254314200000002</v>
      </c>
      <c r="L53" s="2"/>
      <c r="M53" s="1"/>
      <c r="T53" s="1"/>
      <c r="V53" s="45" t="s">
        <v>48</v>
      </c>
      <c r="W53" s="45">
        <v>-1.2574616091818591E-2</v>
      </c>
      <c r="X53" s="45">
        <v>0.26302514322158932</v>
      </c>
      <c r="Y53" s="45">
        <v>-4.7807657997261978E-2</v>
      </c>
      <c r="Z53" s="42">
        <v>0.96320493852416367</v>
      </c>
      <c r="AA53" s="45">
        <v>-0.63453024853225437</v>
      </c>
      <c r="AB53" s="45">
        <v>0.60938101634861708</v>
      </c>
      <c r="AC53" s="45">
        <v>-0.63453024853225437</v>
      </c>
      <c r="AD53" s="45">
        <v>0.60938101634861708</v>
      </c>
      <c r="AF53" s="47" t="s">
        <v>48</v>
      </c>
      <c r="AG53" s="47">
        <v>1.4361728029697169</v>
      </c>
      <c r="AH53" s="47">
        <v>0.93644034793985709</v>
      </c>
      <c r="AI53" s="47">
        <v>1.5336511355253513</v>
      </c>
      <c r="AJ53" s="51">
        <v>0.1689841959294115</v>
      </c>
      <c r="AK53" s="47">
        <v>-0.77815675393885453</v>
      </c>
      <c r="AL53" s="47">
        <v>3.6505023598782884</v>
      </c>
      <c r="AM53" s="47">
        <v>-0.77815675393885453</v>
      </c>
      <c r="AN53" s="47">
        <v>3.6505023598782884</v>
      </c>
    </row>
    <row r="54" spans="1:40" x14ac:dyDescent="0.25">
      <c r="A54" s="15" t="s">
        <v>28</v>
      </c>
      <c r="B54" s="16">
        <v>7.8645648239850305E-2</v>
      </c>
      <c r="C54" s="17">
        <v>116.55531655999999</v>
      </c>
      <c r="D54" s="19">
        <v>23.5</v>
      </c>
      <c r="E54" s="19">
        <v>23.5</v>
      </c>
      <c r="F54" s="18">
        <v>119.77022043333299</v>
      </c>
      <c r="G54" s="18">
        <f t="shared" si="2"/>
        <v>1.0275826446035865</v>
      </c>
      <c r="H54" s="18">
        <v>17.024424898784201</v>
      </c>
      <c r="I54" s="18">
        <v>-4.3261384988685592</v>
      </c>
      <c r="J54">
        <v>-0.37005655300000001</v>
      </c>
      <c r="L54" s="2"/>
      <c r="M54" s="1"/>
      <c r="T54" s="1"/>
      <c r="V54" s="45" t="s">
        <v>63</v>
      </c>
      <c r="W54" s="45">
        <v>0.14514560486276945</v>
      </c>
      <c r="X54" s="45">
        <v>0.24897946993315845</v>
      </c>
      <c r="Y54" s="45">
        <v>0.58296214102205113</v>
      </c>
      <c r="Z54" s="42">
        <v>0.57820722298127447</v>
      </c>
      <c r="AA54" s="45">
        <v>-0.44359728788989367</v>
      </c>
      <c r="AB54" s="45">
        <v>0.73388849761543251</v>
      </c>
      <c r="AC54" s="45">
        <v>-0.44359728788989367</v>
      </c>
      <c r="AD54" s="45">
        <v>0.73388849761543251</v>
      </c>
      <c r="AF54" s="47" t="s">
        <v>13</v>
      </c>
      <c r="AG54" s="47">
        <v>-1.7036514188702609</v>
      </c>
      <c r="AH54" s="47">
        <v>0.89368571318009815</v>
      </c>
      <c r="AI54" s="47">
        <v>-1.9063205260470983</v>
      </c>
      <c r="AJ54" s="51">
        <v>9.8288110769124692E-2</v>
      </c>
      <c r="AK54" s="47">
        <v>-3.8168823295579148</v>
      </c>
      <c r="AL54" s="47">
        <v>0.40957949181739295</v>
      </c>
      <c r="AM54" s="47">
        <v>-3.8168823295579148</v>
      </c>
      <c r="AN54" s="47">
        <v>0.40957949181739295</v>
      </c>
    </row>
    <row r="55" spans="1:40" ht="15.75" thickBot="1" x14ac:dyDescent="0.3">
      <c r="A55" s="15" t="s">
        <v>29</v>
      </c>
      <c r="B55" s="16">
        <v>2.1496979213356301E-3</v>
      </c>
      <c r="C55" s="17">
        <v>120.40602251999999</v>
      </c>
      <c r="D55" s="19">
        <v>20</v>
      </c>
      <c r="E55" s="19">
        <v>47.75</v>
      </c>
      <c r="F55" s="18">
        <v>125.17995179</v>
      </c>
      <c r="G55" s="18">
        <f t="shared" si="2"/>
        <v>1.0396485920727681</v>
      </c>
      <c r="H55" s="18">
        <v>15.1069524712688</v>
      </c>
      <c r="I55" s="18">
        <v>-8.6900508235792202</v>
      </c>
      <c r="J55">
        <v>-0.28463715699999997</v>
      </c>
      <c r="K55" s="1"/>
      <c r="L55" s="1"/>
      <c r="M55" s="1"/>
      <c r="N55" s="1"/>
      <c r="O55" s="1"/>
      <c r="P55" s="1"/>
      <c r="Q55" s="1"/>
      <c r="R55" s="1"/>
      <c r="S55" s="1"/>
      <c r="T55" s="1"/>
      <c r="V55" s="46" t="s">
        <v>33</v>
      </c>
      <c r="W55" s="46">
        <v>9.2100179192589095E-3</v>
      </c>
      <c r="X55" s="46">
        <v>3.5136946825407508E-3</v>
      </c>
      <c r="Y55" s="46">
        <v>2.6211776353314655</v>
      </c>
      <c r="Z55" s="43">
        <v>3.4350324161060167E-2</v>
      </c>
      <c r="AA55" s="46">
        <v>9.0145026023043945E-4</v>
      </c>
      <c r="AB55" s="46">
        <v>1.751858557828738E-2</v>
      </c>
      <c r="AC55" s="46">
        <v>9.0145026023043945E-4</v>
      </c>
      <c r="AD55" s="46">
        <v>1.751858557828738E-2</v>
      </c>
      <c r="AF55" s="49" t="s">
        <v>33</v>
      </c>
      <c r="AG55" s="49">
        <v>-4.8419684545285259E-2</v>
      </c>
      <c r="AH55" s="49">
        <v>1.385503060115428E-2</v>
      </c>
      <c r="AI55" s="49">
        <v>-3.4947367450239595</v>
      </c>
      <c r="AJ55" s="53">
        <v>1.0064173436446097E-2</v>
      </c>
      <c r="AK55" s="49">
        <v>-8.118162591133482E-2</v>
      </c>
      <c r="AL55" s="49">
        <v>-1.5657743179235691E-2</v>
      </c>
      <c r="AM55" s="49">
        <v>-8.118162591133482E-2</v>
      </c>
      <c r="AN55" s="49">
        <v>-1.5657743179235691E-2</v>
      </c>
    </row>
    <row r="56" spans="1:40" x14ac:dyDescent="0.25">
      <c r="A56" s="15" t="s">
        <v>30</v>
      </c>
      <c r="B56" s="16">
        <v>0.101236914763633</v>
      </c>
      <c r="C56" s="17">
        <v>118.75512236</v>
      </c>
      <c r="D56" s="19">
        <v>23.75</v>
      </c>
      <c r="E56" s="19">
        <v>23.75</v>
      </c>
      <c r="F56" s="18">
        <v>128.631154973333</v>
      </c>
      <c r="G56" s="18">
        <f t="shared" si="2"/>
        <v>1.0831630031367767</v>
      </c>
      <c r="H56" s="18">
        <v>21.9579587943592</v>
      </c>
      <c r="I56" s="18">
        <v>-7.4420412056407592</v>
      </c>
      <c r="J56">
        <v>-0.37799506199999999</v>
      </c>
    </row>
    <row r="57" spans="1:40" x14ac:dyDescent="0.25">
      <c r="A57" s="15" t="s">
        <v>31</v>
      </c>
      <c r="B57" s="16">
        <v>0.107400232693555</v>
      </c>
      <c r="C57" s="17">
        <v>125.12197168</v>
      </c>
      <c r="D57" s="19">
        <v>23.5</v>
      </c>
      <c r="E57" s="19">
        <v>23.5</v>
      </c>
      <c r="F57" s="18">
        <v>127.417386873333</v>
      </c>
      <c r="G57" s="18">
        <f t="shared" si="2"/>
        <v>1.0183454205725238</v>
      </c>
      <c r="H57" s="18">
        <v>16.640165980770899</v>
      </c>
      <c r="I57" s="18">
        <v>-8.2060847497882605</v>
      </c>
      <c r="J57">
        <v>-0.58893643299999998</v>
      </c>
    </row>
    <row r="58" spans="1:40" x14ac:dyDescent="0.25">
      <c r="D58" s="1"/>
      <c r="E58" s="1"/>
      <c r="F58" s="1"/>
      <c r="G58" s="1"/>
      <c r="H58" s="1"/>
      <c r="I58" s="1"/>
      <c r="J58" s="1"/>
    </row>
    <row r="59" spans="1:40" x14ac:dyDescent="0.25">
      <c r="D59" s="1"/>
      <c r="E59" s="1"/>
      <c r="F59" s="1"/>
      <c r="G59" s="1"/>
      <c r="H59" s="1"/>
      <c r="I59" s="1"/>
      <c r="J59" s="1"/>
      <c r="K59" s="2"/>
      <c r="L59" s="1"/>
    </row>
    <row r="60" spans="1:40" ht="40.5" x14ac:dyDescent="0.25">
      <c r="A60" s="10" t="s">
        <v>5</v>
      </c>
      <c r="B60" s="10" t="s">
        <v>1</v>
      </c>
      <c r="C60" s="12" t="s">
        <v>23</v>
      </c>
      <c r="D60" s="13" t="s">
        <v>10</v>
      </c>
      <c r="E60" s="13" t="s">
        <v>11</v>
      </c>
      <c r="F60" s="13" t="s">
        <v>12</v>
      </c>
      <c r="G60" s="13" t="s">
        <v>13</v>
      </c>
      <c r="H60" s="13" t="s">
        <v>32</v>
      </c>
      <c r="I60" s="13" t="s">
        <v>33</v>
      </c>
      <c r="J60" s="54"/>
    </row>
    <row r="61" spans="1:40" x14ac:dyDescent="0.25">
      <c r="A61" s="15" t="s">
        <v>14</v>
      </c>
      <c r="B61" s="22">
        <v>-0.62489073949006502</v>
      </c>
      <c r="C61" s="17"/>
      <c r="D61" s="18"/>
      <c r="E61" s="18"/>
      <c r="F61" s="18">
        <v>133.4714286</v>
      </c>
      <c r="G61" s="18"/>
      <c r="H61" s="25"/>
      <c r="I61" s="15"/>
      <c r="J61" s="55"/>
    </row>
    <row r="62" spans="1:40" x14ac:dyDescent="0.25">
      <c r="A62" s="15" t="s">
        <v>15</v>
      </c>
      <c r="B62" s="22">
        <v>-0.54117535564386998</v>
      </c>
      <c r="C62" s="17">
        <v>60.588347259999999</v>
      </c>
      <c r="D62" s="19">
        <v>9023.75</v>
      </c>
      <c r="E62" s="19">
        <v>9023.75</v>
      </c>
      <c r="F62" s="18">
        <v>71.117321599999997</v>
      </c>
      <c r="G62" s="18">
        <v>1.1737788669959499</v>
      </c>
      <c r="H62" s="18">
        <v>4</v>
      </c>
      <c r="I62" s="18">
        <v>-1.5</v>
      </c>
      <c r="J62">
        <v>-0.30833333299999999</v>
      </c>
    </row>
    <row r="63" spans="1:40" x14ac:dyDescent="0.25">
      <c r="A63" s="15" t="s">
        <v>16</v>
      </c>
      <c r="B63" s="22">
        <v>-0.511670862423525</v>
      </c>
      <c r="C63" s="17">
        <v>73.387016439999996</v>
      </c>
      <c r="D63" s="19">
        <v>118.5</v>
      </c>
      <c r="E63" s="19">
        <v>118.5</v>
      </c>
      <c r="F63" s="18">
        <v>74.728308609999999</v>
      </c>
      <c r="G63" s="18">
        <v>1.01827696825768</v>
      </c>
      <c r="H63" s="18">
        <v>1.1385255280790201</v>
      </c>
      <c r="I63" s="18">
        <v>-0.63852552807902296</v>
      </c>
      <c r="J63">
        <v>-0.20494343600000001</v>
      </c>
    </row>
    <row r="64" spans="1:40" x14ac:dyDescent="0.25">
      <c r="A64" s="15" t="s">
        <v>17</v>
      </c>
      <c r="B64" s="22">
        <v>-0.22155858359451899</v>
      </c>
      <c r="C64" s="17">
        <v>79.767295559999994</v>
      </c>
      <c r="D64" s="19">
        <v>2036.95</v>
      </c>
      <c r="E64" s="19">
        <v>2060.9499999999998</v>
      </c>
      <c r="F64" s="18">
        <v>79.767295559999994</v>
      </c>
      <c r="G64" s="18">
        <v>1</v>
      </c>
      <c r="H64" s="18">
        <v>0</v>
      </c>
      <c r="I64" s="18">
        <v>0</v>
      </c>
      <c r="J64" s="9">
        <v>0</v>
      </c>
    </row>
    <row r="65" spans="1:10" x14ac:dyDescent="0.25">
      <c r="A65" s="15" t="s">
        <v>18</v>
      </c>
      <c r="B65" s="23">
        <v>9.6450074853088597E-2</v>
      </c>
      <c r="C65" s="17"/>
      <c r="D65" s="19">
        <v>365</v>
      </c>
      <c r="E65" s="19"/>
      <c r="F65" s="18">
        <v>68.631809730000001</v>
      </c>
      <c r="G65" s="18"/>
      <c r="H65" s="18"/>
      <c r="I65" s="18"/>
      <c r="J65" s="56"/>
    </row>
    <row r="66" spans="1:10" x14ac:dyDescent="0.25">
      <c r="A66" s="15" t="s">
        <v>19</v>
      </c>
      <c r="B66" s="22">
        <v>-0.24313716774511701</v>
      </c>
      <c r="C66" s="17"/>
      <c r="D66" s="19">
        <v>351.5</v>
      </c>
      <c r="E66" s="19"/>
      <c r="F66" s="18">
        <v>69.696396059999998</v>
      </c>
      <c r="G66" s="18"/>
      <c r="H66" s="18"/>
      <c r="I66" s="18"/>
      <c r="J66" s="56"/>
    </row>
    <row r="67" spans="1:10" x14ac:dyDescent="0.25">
      <c r="A67" s="15" t="s">
        <v>20</v>
      </c>
      <c r="B67" s="16">
        <v>1.3430417175947699E-2</v>
      </c>
      <c r="C67" s="20"/>
      <c r="D67" s="19">
        <v>6055.55</v>
      </c>
      <c r="E67" s="19"/>
      <c r="F67" s="18">
        <v>112.55085055666601</v>
      </c>
      <c r="G67" s="18"/>
      <c r="H67" s="18"/>
      <c r="I67" s="18"/>
      <c r="J67" s="56"/>
    </row>
    <row r="68" spans="1:10" x14ac:dyDescent="0.25">
      <c r="A68" s="15" t="s">
        <v>21</v>
      </c>
      <c r="B68" s="24">
        <v>-1.61778645652975E-2</v>
      </c>
      <c r="C68" s="20"/>
      <c r="D68" s="19">
        <v>22</v>
      </c>
      <c r="E68" s="19"/>
      <c r="F68" s="18">
        <v>117.49299123</v>
      </c>
      <c r="G68" s="18"/>
      <c r="H68" s="18"/>
      <c r="I68" s="18"/>
      <c r="J68" s="56"/>
    </row>
    <row r="69" spans="1:10" x14ac:dyDescent="0.25">
      <c r="A69" s="15" t="s">
        <v>24</v>
      </c>
      <c r="B69" s="16">
        <v>2.95836818188689E-2</v>
      </c>
      <c r="C69" s="17">
        <v>110.72040256</v>
      </c>
      <c r="D69" s="19">
        <v>21</v>
      </c>
      <c r="E69" s="19">
        <v>21</v>
      </c>
      <c r="F69" s="18">
        <v>115.079453056666</v>
      </c>
      <c r="G69" s="18">
        <f>F69/C69</f>
        <v>1.0393698938576728</v>
      </c>
      <c r="H69" s="18">
        <v>8.1761484496582497</v>
      </c>
      <c r="I69" s="18">
        <v>-1.9243966466520197</v>
      </c>
      <c r="J69">
        <v>-0.37303628</v>
      </c>
    </row>
    <row r="70" spans="1:10" x14ac:dyDescent="0.25">
      <c r="A70" s="15" t="s">
        <v>25</v>
      </c>
      <c r="B70" s="24">
        <v>-5.4892758010415703E-2</v>
      </c>
      <c r="C70" s="17"/>
      <c r="D70" s="19">
        <v>21.5</v>
      </c>
      <c r="E70" s="19"/>
      <c r="F70" s="18">
        <v>119.222878299999</v>
      </c>
      <c r="G70" s="18"/>
      <c r="H70" s="18"/>
      <c r="I70" s="18"/>
      <c r="J70" s="56"/>
    </row>
    <row r="71" spans="1:10" x14ac:dyDescent="0.25">
      <c r="A71" s="15" t="s">
        <v>26</v>
      </c>
      <c r="B71" s="16">
        <v>8.8641812543785899E-3</v>
      </c>
      <c r="C71" s="17">
        <v>111.66319882000001</v>
      </c>
      <c r="D71" s="19">
        <v>75</v>
      </c>
      <c r="E71" s="19">
        <v>96.5</v>
      </c>
      <c r="F71" s="18">
        <v>115.360934813333</v>
      </c>
      <c r="G71" s="17">
        <v>1.0311456359907301</v>
      </c>
      <c r="H71" s="18">
        <v>19.594840851392899</v>
      </c>
      <c r="I71" s="18">
        <v>-8.5529249332917008</v>
      </c>
      <c r="J71">
        <v>-0.27047935899999997</v>
      </c>
    </row>
    <row r="72" spans="1:10" x14ac:dyDescent="0.25">
      <c r="A72" s="15" t="s">
        <v>27</v>
      </c>
      <c r="B72" s="16">
        <v>1.32778322661357E-2</v>
      </c>
      <c r="C72" s="17">
        <v>114.89097618</v>
      </c>
      <c r="D72" s="19">
        <v>47.5</v>
      </c>
      <c r="E72" s="19">
        <v>47.5</v>
      </c>
      <c r="F72" s="18">
        <v>118.05576815000001</v>
      </c>
      <c r="G72" s="17">
        <v>1.0328896319418399</v>
      </c>
      <c r="H72" s="18">
        <v>17.2552427011953</v>
      </c>
      <c r="I72" s="18">
        <v>-6.8910153198931301</v>
      </c>
      <c r="J72">
        <v>-0.59254314200000002</v>
      </c>
    </row>
    <row r="73" spans="1:10" x14ac:dyDescent="0.25">
      <c r="A73" s="15" t="s">
        <v>28</v>
      </c>
      <c r="B73" s="24">
        <v>-6.0975544853349099E-2</v>
      </c>
      <c r="C73" s="17">
        <v>116.55531655999999</v>
      </c>
      <c r="D73" s="19">
        <v>23.5</v>
      </c>
      <c r="E73" s="19">
        <v>23.5</v>
      </c>
      <c r="F73" s="18">
        <v>119.77022043333299</v>
      </c>
      <c r="G73" s="17">
        <v>1.0327006459464001</v>
      </c>
      <c r="H73" s="18">
        <v>17.024424898784201</v>
      </c>
      <c r="I73" s="18">
        <v>-4.3261384988685592</v>
      </c>
      <c r="J73">
        <v>-0.37005655300000001</v>
      </c>
    </row>
    <row r="74" spans="1:10" x14ac:dyDescent="0.25">
      <c r="A74" s="15" t="s">
        <v>29</v>
      </c>
      <c r="B74" s="24">
        <v>-1.77749404385871E-2</v>
      </c>
      <c r="C74" s="17">
        <v>120.40602251999999</v>
      </c>
      <c r="D74" s="19">
        <v>20</v>
      </c>
      <c r="E74" s="19">
        <v>47.75</v>
      </c>
      <c r="F74" s="18">
        <v>125.17995179</v>
      </c>
      <c r="G74" s="17">
        <v>1.06939420314209</v>
      </c>
      <c r="H74" s="18">
        <v>15.1069524712688</v>
      </c>
      <c r="I74" s="18">
        <v>-8.6900508235792202</v>
      </c>
      <c r="J74">
        <v>-0.28463715699999997</v>
      </c>
    </row>
    <row r="75" spans="1:10" x14ac:dyDescent="0.25">
      <c r="A75" s="15" t="s">
        <v>30</v>
      </c>
      <c r="B75" s="16">
        <v>3.08855730575289E-3</v>
      </c>
      <c r="C75" s="17">
        <v>118.75512236</v>
      </c>
      <c r="D75" s="19">
        <v>23.75</v>
      </c>
      <c r="E75" s="19">
        <v>23.75</v>
      </c>
      <c r="F75" s="18">
        <v>128.631154973333</v>
      </c>
      <c r="G75" s="17">
        <v>1.12591121276406</v>
      </c>
      <c r="H75" s="18">
        <v>21.9579587943592</v>
      </c>
      <c r="I75" s="18">
        <v>-7.4420412056407592</v>
      </c>
      <c r="J75">
        <v>-0.37799506199999999</v>
      </c>
    </row>
    <row r="76" spans="1:10" x14ac:dyDescent="0.25">
      <c r="A76" s="15" t="s">
        <v>31</v>
      </c>
      <c r="B76" s="24">
        <v>-5.3081166180475401E-3</v>
      </c>
      <c r="C76" s="17">
        <v>125.12197168</v>
      </c>
      <c r="D76" s="19">
        <v>23.5</v>
      </c>
      <c r="E76" s="19">
        <v>23.5</v>
      </c>
      <c r="F76" s="18">
        <v>127.417386873333</v>
      </c>
      <c r="G76" s="17">
        <v>1.06457347177821</v>
      </c>
      <c r="H76" s="18">
        <v>16.640165980770899</v>
      </c>
      <c r="I76" s="18">
        <v>-8.2060847497882605</v>
      </c>
      <c r="J76">
        <v>-0.58893643299999998</v>
      </c>
    </row>
    <row r="77" spans="1:10" x14ac:dyDescent="0.25">
      <c r="D77" s="2"/>
      <c r="E77" s="2"/>
    </row>
    <row r="78" spans="1:10" x14ac:dyDescent="0.25">
      <c r="A78" s="10" t="s">
        <v>3</v>
      </c>
      <c r="B78" s="10"/>
      <c r="C78" s="10"/>
      <c r="D78" s="2"/>
    </row>
    <row r="79" spans="1:10" x14ac:dyDescent="0.25">
      <c r="A79" s="11" t="s">
        <v>0</v>
      </c>
      <c r="B79" s="11" t="s">
        <v>1</v>
      </c>
      <c r="C79" s="11" t="s">
        <v>9</v>
      </c>
      <c r="D79" s="2"/>
    </row>
    <row r="80" spans="1:10" x14ac:dyDescent="0.25">
      <c r="A80" s="14" t="s">
        <v>14</v>
      </c>
      <c r="B80" s="23">
        <v>0.735611704001494</v>
      </c>
      <c r="C80" s="17"/>
      <c r="D80" s="2"/>
    </row>
    <row r="81" spans="1:4" x14ac:dyDescent="0.25">
      <c r="A81" s="14" t="s">
        <v>15</v>
      </c>
      <c r="B81" s="23">
        <v>0.199680501000808</v>
      </c>
      <c r="C81" s="17">
        <v>60.588347259999999</v>
      </c>
      <c r="D81" s="2"/>
    </row>
    <row r="82" spans="1:4" x14ac:dyDescent="0.25">
      <c r="A82" s="14" t="s">
        <v>16</v>
      </c>
      <c r="B82" s="23">
        <v>0.12535086320927399</v>
      </c>
      <c r="C82" s="17">
        <v>73.387016439999996</v>
      </c>
    </row>
    <row r="83" spans="1:4" x14ac:dyDescent="0.25">
      <c r="A83" s="14" t="s">
        <v>17</v>
      </c>
      <c r="B83" s="23">
        <v>0.42964915677977999</v>
      </c>
      <c r="C83" s="17">
        <v>79.767295559999994</v>
      </c>
      <c r="D83" s="8"/>
    </row>
    <row r="84" spans="1:4" x14ac:dyDescent="0.25">
      <c r="A84" s="14" t="s">
        <v>18</v>
      </c>
      <c r="B84" s="23">
        <v>4.3375577562074601E-2</v>
      </c>
      <c r="C84" s="17"/>
    </row>
    <row r="85" spans="1:4" x14ac:dyDescent="0.25">
      <c r="A85" s="14" t="s">
        <v>19</v>
      </c>
      <c r="B85" s="23">
        <v>4.5262412029273197E-2</v>
      </c>
      <c r="C85" s="17"/>
    </row>
    <row r="86" spans="1:4" x14ac:dyDescent="0.25">
      <c r="A86" s="1"/>
      <c r="B86" s="2"/>
      <c r="C86" s="8"/>
    </row>
    <row r="87" spans="1:4" x14ac:dyDescent="0.25">
      <c r="A87" s="1"/>
      <c r="B87" s="2"/>
      <c r="C87" s="8"/>
    </row>
    <row r="88" spans="1:4" x14ac:dyDescent="0.25">
      <c r="A88" s="1"/>
      <c r="B88" s="2"/>
      <c r="C88" s="8"/>
    </row>
    <row r="89" spans="1:4" x14ac:dyDescent="0.25">
      <c r="A89" s="1"/>
      <c r="B89" s="2"/>
      <c r="C89" s="8"/>
    </row>
    <row r="90" spans="1:4" x14ac:dyDescent="0.25">
      <c r="A90" s="1"/>
      <c r="B90" s="2"/>
      <c r="C90" s="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2026-07-08T04:41:48Z</dcterms:modified>
</cp:coreProperties>
</file>