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4A8B2914-B088-4069-B14A-B4945ADAA20A}" xr6:coauthVersionLast="47" xr6:coauthVersionMax="47" xr10:uidLastSave="{00000000-0000-0000-0000-000000000000}"/>
  <bookViews>
    <workbookView xWindow="-120" yWindow="-120" windowWidth="29040" windowHeight="15720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6" i="1" l="1"/>
  <c r="H75" i="1"/>
  <c r="H74" i="1"/>
  <c r="H73" i="1"/>
  <c r="H72" i="1"/>
  <c r="H71" i="1"/>
  <c r="H69" i="1"/>
  <c r="H57" i="1"/>
  <c r="H56" i="1"/>
  <c r="H55" i="1"/>
  <c r="H54" i="1"/>
  <c r="H53" i="1"/>
  <c r="H52" i="1"/>
  <c r="H50" i="1"/>
  <c r="H39" i="1"/>
  <c r="H38" i="1"/>
  <c r="H37" i="1"/>
  <c r="H36" i="1"/>
  <c r="H35" i="1"/>
  <c r="H34" i="1"/>
  <c r="H32" i="1"/>
  <c r="H13" i="1"/>
  <c r="H15" i="1"/>
  <c r="H16" i="1"/>
  <c r="H17" i="1"/>
  <c r="H18" i="1"/>
  <c r="H19" i="1"/>
  <c r="H20" i="1"/>
</calcChain>
</file>

<file path=xl/sharedStrings.xml><?xml version="1.0" encoding="utf-8"?>
<sst xmlns="http://schemas.openxmlformats.org/spreadsheetml/2006/main" count="263" uniqueCount="46">
  <si>
    <t>Storm</t>
  </si>
  <si>
    <t xml:space="preserve">Aich (2014) </t>
  </si>
  <si>
    <t>st2_down</t>
  </si>
  <si>
    <t>st3_down</t>
  </si>
  <si>
    <t>st4_down</t>
  </si>
  <si>
    <t>st4_up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</si>
  <si>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</si>
  <si>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</si>
  <si>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</si>
  <si>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</si>
  <si>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</si>
  <si>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</si>
  <si>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</si>
  <si>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</si>
  <si>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</si>
  <si>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</si>
  <si>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</si>
  <si>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</si>
  <si>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</si>
  <si>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</si>
  <si>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</si>
  <si>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</si>
  <si>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</si>
  <si>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Peak concentration (mg/L)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</si>
  <si>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</si>
  <si>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</si>
  <si>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</si>
  <si>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</si>
  <si>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</si>
  <si>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</si>
  <si>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</si>
  <si>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</si>
  <si>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</si>
  <si>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</si>
  <si>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</si>
  <si>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</si>
  <si>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event3</t>
  </si>
  <si>
    <t>event4</t>
  </si>
  <si>
    <t>event5</t>
  </si>
  <si>
    <t>event6</t>
  </si>
  <si>
    <t>event7</t>
  </si>
  <si>
    <t>event8</t>
  </si>
  <si>
    <t>event9</t>
  </si>
  <si>
    <t>event10</t>
  </si>
  <si>
    <t>Event</t>
  </si>
  <si>
    <t>tau_c50 exceedance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</si>
</sst>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6" formatCode="0.00000"/>
    <numFmt numFmtId="167" formatCode="0.0000"/>
    <numFmt numFmtId="168" formatCode="0.000"/>
    <numFmt numFmtId="169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8" fontId="0" fillId="2" borderId="3" xfId="0" applyNumberFormat="1" applyFill="1" applyBorder="1" applyAlignment="1">
      <alignment horizontal="center"/>
    </xf>
    <xf numFmtId="168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8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8" fontId="0" fillId="3" borderId="3" xfId="0" applyNumberFormat="1" applyFill="1" applyBorder="1" applyAlignment="1">
      <alignment horizontal="center"/>
    </xf>
    <xf numFmtId="166" fontId="0" fillId="0" borderId="0" xfId="0" applyNumberFormat="1" applyFill="1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all!$C$5:$C$20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113.72040256</c:v>
                </c:pt>
                <c:pt idx="10">
                  <c:v>112.66319882000001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118.40602251999999</c:v>
                </c:pt>
                <c:pt idx="14">
                  <c:v>115.75512236</c:v>
                </c:pt>
                <c:pt idx="15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all!$C$25:$C$39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78190620713608"/>
                  <c:y val="-1.716666666666666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all!$B$80:$B$85</c:f>
              <c:numCache>
                <c:formatCode>0.00</c:formatCode>
                <c:ptCount val="6"/>
                <c:pt idx="0">
                  <c:v>0.735611704001494</c:v>
                </c:pt>
                <c:pt idx="1">
                  <c:v>0.199680501000808</c:v>
                </c:pt>
                <c:pt idx="2">
                  <c:v>0.12535086320927399</c:v>
                </c:pt>
                <c:pt idx="3">
                  <c:v>0.42964915677977999</c:v>
                </c:pt>
                <c:pt idx="4">
                  <c:v>4.3375577562074601E-2</c:v>
                </c:pt>
                <c:pt idx="5">
                  <c:v>4.5262412029273197E-2</c:v>
                </c:pt>
              </c:numCache>
            </c:numRef>
          </c:xVal>
          <c:yVal>
            <c:numRef>
              <c:f>all!$C$80:$C$85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71708869215504"/>
                  <c:y val="6.34300206374620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all!$C$43:$C$57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-0.64117535564386996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all!$C$61:$C$76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113.72040256</c:v>
                </c:pt>
                <c:pt idx="10">
                  <c:v>112.66319882000001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118.40602251999999</c:v>
                </c:pt>
                <c:pt idx="14">
                  <c:v>115.75512236</c:v>
                </c:pt>
                <c:pt idx="15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all!$D$5:$D$20</c:f>
              <c:numCache>
                <c:formatCode>0.00</c:formatCode>
                <c:ptCount val="16"/>
                <c:pt idx="0">
                  <c:v>562.32579999999996</c:v>
                </c:pt>
                <c:pt idx="1">
                  <c:v>57.726100000000002</c:v>
                </c:pt>
                <c:pt idx="2">
                  <c:v>49.091801670000002</c:v>
                </c:pt>
                <c:pt idx="3">
                  <c:v>187</c:v>
                </c:pt>
                <c:pt idx="4">
                  <c:v>43.2</c:v>
                </c:pt>
                <c:pt idx="5">
                  <c:v>77.894736839999993</c:v>
                </c:pt>
                <c:pt idx="6">
                  <c:v>23.15789474</c:v>
                </c:pt>
                <c:pt idx="7">
                  <c:v>23</c:v>
                </c:pt>
                <c:pt idx="8">
                  <c:v>10.34482759</c:v>
                </c:pt>
                <c:pt idx="9">
                  <c:v>26.086956520000001</c:v>
                </c:pt>
                <c:pt idx="10">
                  <c:v>8.125</c:v>
                </c:pt>
                <c:pt idx="11">
                  <c:v>12.67</c:v>
                </c:pt>
                <c:pt idx="12">
                  <c:v>42</c:v>
                </c:pt>
                <c:pt idx="14">
                  <c:v>20.666666670000001</c:v>
                </c:pt>
              </c:numCache>
            </c:numRef>
          </c:xVal>
          <c:yVal>
            <c:numRef>
              <c:f>all!$C$5:$C$20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113.72040256</c:v>
                </c:pt>
                <c:pt idx="10">
                  <c:v>112.66319882000001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118.40602251999999</c:v>
                </c:pt>
                <c:pt idx="14">
                  <c:v>115.75512236</c:v>
                </c:pt>
                <c:pt idx="15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all!$D$82:$D$90</c:f>
              <c:numCache>
                <c:formatCode>0.000</c:formatCode>
                <c:ptCount val="9"/>
              </c:numCache>
            </c:numRef>
          </c:xVal>
          <c:yVal>
            <c:numRef>
              <c:f>all!$C$6:$C$10</c:f>
              <c:numCache>
                <c:formatCode>0.000</c:formatCode>
                <c:ptCount val="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all!$D$26:$D$34</c:f>
              <c:numCache>
                <c:formatCode>0.00</c:formatCode>
                <c:ptCount val="9"/>
              </c:numCache>
            </c:numRef>
          </c:xVal>
          <c:yVal>
            <c:numRef>
              <c:f>all!$C$6:$C$10</c:f>
              <c:numCache>
                <c:formatCode>0.000</c:formatCode>
                <c:ptCount val="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all!$F$4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538470776436391"/>
                  <c:y val="-0.1361191232812067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all!$F$6:$F$20</c:f>
              <c:numCache>
                <c:formatCode>0.0</c:formatCode>
                <c:ptCount val="15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7">
                  <c:v>21</c:v>
                </c:pt>
                <c:pt idx="9">
                  <c:v>96.5</c:v>
                </c:pt>
                <c:pt idx="10">
                  <c:v>47.5</c:v>
                </c:pt>
                <c:pt idx="11">
                  <c:v>23.5</c:v>
                </c:pt>
                <c:pt idx="12">
                  <c:v>47.75</c:v>
                </c:pt>
                <c:pt idx="13">
                  <c:v>23.75</c:v>
                </c:pt>
                <c:pt idx="14">
                  <c:v>23.5</c:v>
                </c:pt>
              </c:numCache>
            </c:numRef>
          </c:xVal>
          <c:yVal>
            <c:numRef>
              <c:f>all!$C$6:$C$20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all!$E$4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95659075617445"/>
                  <c:y val="-0.246571110509463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all!$E$6:$E$20</c:f>
              <c:numCache>
                <c:formatCode>0.0</c:formatCode>
                <c:ptCount val="15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365</c:v>
                </c:pt>
                <c:pt idx="4">
                  <c:v>351.5</c:v>
                </c:pt>
                <c:pt idx="6">
                  <c:v>22</c:v>
                </c:pt>
                <c:pt idx="7">
                  <c:v>21</c:v>
                </c:pt>
                <c:pt idx="8">
                  <c:v>21.5</c:v>
                </c:pt>
                <c:pt idx="9">
                  <c:v>75</c:v>
                </c:pt>
                <c:pt idx="10">
                  <c:v>47.5</c:v>
                </c:pt>
                <c:pt idx="11">
                  <c:v>23.5</c:v>
                </c:pt>
                <c:pt idx="12">
                  <c:v>20</c:v>
                </c:pt>
                <c:pt idx="13">
                  <c:v>23.75</c:v>
                </c:pt>
                <c:pt idx="14">
                  <c:v>23.5</c:v>
                </c:pt>
              </c:numCache>
            </c:numRef>
          </c:xVal>
          <c:yVal>
            <c:numRef>
              <c:f>all!$C$6:$C$20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113.72040256</c:v>
                </c:pt>
                <c:pt idx="9">
                  <c:v>112.66319882000001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118.40602251999999</c:v>
                </c:pt>
                <c:pt idx="13">
                  <c:v>115.75512236</c:v>
                </c:pt>
                <c:pt idx="1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8306448896704497E-2"/>
                  <c:y val="-0.3677414152419214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all!$H$5:$H$20</c:f>
              <c:numCache>
                <c:formatCode>0.00</c:formatCode>
                <c:ptCount val="16"/>
                <c:pt idx="1">
                  <c:v>1.0628417845850735</c:v>
                </c:pt>
                <c:pt idx="2">
                  <c:v>1.0325844789064453</c:v>
                </c:pt>
                <c:pt idx="3">
                  <c:v>1.025239233557502</c:v>
                </c:pt>
                <c:pt idx="8">
                  <c:v>1.0119508062412015</c:v>
                </c:pt>
                <c:pt idx="10">
                  <c:v>1.0239451393319936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1.0572093304532362</c:v>
                </c:pt>
                <c:pt idx="14">
                  <c:v>1.111235100018195</c:v>
                </c:pt>
                <c:pt idx="15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276309158197785E-2"/>
                  <c:y val="-0.1401080489938757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all!$H$25:$H$39</c:f>
              <c:numCache>
                <c:formatCode>0.00</c:formatCode>
                <c:ptCount val="15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7">
                  <c:v>1.0119508062412015</c:v>
                </c:pt>
                <c:pt idx="9">
                  <c:v>1.0239451393319936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1.0572093304532362</c:v>
                </c:pt>
                <c:pt idx="13">
                  <c:v>1.111235100018195</c:v>
                </c:pt>
                <c:pt idx="14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9730605259448782E-2"/>
                  <c:y val="1.053018212192175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all!$B$82:$B$90</c:f>
              <c:numCache>
                <c:formatCode>0.00</c:formatCode>
                <c:ptCount val="9"/>
                <c:pt idx="0">
                  <c:v>0.12535086320927399</c:v>
                </c:pt>
                <c:pt idx="1">
                  <c:v>0.42964915677977999</c:v>
                </c:pt>
                <c:pt idx="2">
                  <c:v>4.3375577562074601E-2</c:v>
                </c:pt>
                <c:pt idx="3">
                  <c:v>4.5262412029273197E-2</c:v>
                </c:pt>
              </c:numCache>
            </c:numRef>
          </c:xVal>
          <c:yVal>
            <c:numRef>
              <c:f>all!$F$26:$F$34</c:f>
              <c:numCache>
                <c:formatCode>0.0</c:formatCode>
                <c:ptCount val="9"/>
                <c:pt idx="0">
                  <c:v>118.5</c:v>
                </c:pt>
                <c:pt idx="1">
                  <c:v>2060.9499999999998</c:v>
                </c:pt>
                <c:pt idx="6">
                  <c:v>21</c:v>
                </c:pt>
                <c:pt idx="8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all!$E$7:$E$10</c:f>
              <c:numCache>
                <c:formatCode>0.0</c:formatCode>
                <c:ptCount val="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</c:numCache>
            </c:numRef>
          </c:xVal>
          <c:yVal>
            <c:numRef>
              <c:f>all!$D$27:$D$34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all!$E$7:$E$20</c:f>
              <c:numCache>
                <c:formatCode>0.0</c:formatCode>
                <c:ptCount val="1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  <c:pt idx="5">
                  <c:v>22</c:v>
                </c:pt>
                <c:pt idx="6">
                  <c:v>21</c:v>
                </c:pt>
                <c:pt idx="7">
                  <c:v>21.5</c:v>
                </c:pt>
                <c:pt idx="8">
                  <c:v>75</c:v>
                </c:pt>
                <c:pt idx="9">
                  <c:v>47.5</c:v>
                </c:pt>
                <c:pt idx="10">
                  <c:v>23.5</c:v>
                </c:pt>
                <c:pt idx="11">
                  <c:v>20</c:v>
                </c:pt>
                <c:pt idx="12">
                  <c:v>23.75</c:v>
                </c:pt>
                <c:pt idx="13">
                  <c:v>23.5</c:v>
                </c:pt>
              </c:numCache>
            </c:numRef>
          </c:xVal>
          <c:yVal>
            <c:numRef>
              <c:f>all!$D$7:$D$20</c:f>
              <c:numCache>
                <c:formatCode>0.00</c:formatCode>
                <c:ptCount val="14"/>
                <c:pt idx="0">
                  <c:v>49.091801670000002</c:v>
                </c:pt>
                <c:pt idx="1">
                  <c:v>187</c:v>
                </c:pt>
                <c:pt idx="2">
                  <c:v>43.2</c:v>
                </c:pt>
                <c:pt idx="3">
                  <c:v>77.894736839999993</c:v>
                </c:pt>
                <c:pt idx="4">
                  <c:v>23.15789474</c:v>
                </c:pt>
                <c:pt idx="5">
                  <c:v>23</c:v>
                </c:pt>
                <c:pt idx="6">
                  <c:v>10.34482759</c:v>
                </c:pt>
                <c:pt idx="7">
                  <c:v>26.086956520000001</c:v>
                </c:pt>
                <c:pt idx="8">
                  <c:v>8.125</c:v>
                </c:pt>
                <c:pt idx="9">
                  <c:v>12.67</c:v>
                </c:pt>
                <c:pt idx="10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all!$E$7:$E$10</c:f>
              <c:numCache>
                <c:formatCode>0.0</c:formatCode>
                <c:ptCount val="4"/>
                <c:pt idx="0">
                  <c:v>118.5</c:v>
                </c:pt>
                <c:pt idx="1">
                  <c:v>2036.95</c:v>
                </c:pt>
                <c:pt idx="2">
                  <c:v>365</c:v>
                </c:pt>
                <c:pt idx="3">
                  <c:v>351.5</c:v>
                </c:pt>
              </c:numCache>
            </c:numRef>
          </c:xVal>
          <c:yVal>
            <c:numRef>
              <c:f>all!$D$83:$D$90</c:f>
              <c:numCache>
                <c:formatCode>0.000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3453663087977852"/>
          <c:y val="0.86928278707959672"/>
          <c:w val="0.72310494493397159"/>
          <c:h val="9.23919369482388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6343302007266367"/>
          <c:y val="2.92142930430786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all!$A$22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all!$F$7:$F$10</c:f>
              <c:numCache>
                <c:formatCode>0.0</c:formatCode>
                <c:ptCount val="4"/>
                <c:pt idx="0">
                  <c:v>118.5</c:v>
                </c:pt>
                <c:pt idx="1">
                  <c:v>2060.9499999999998</c:v>
                </c:pt>
              </c:numCache>
            </c:numRef>
          </c:xVal>
          <c:yVal>
            <c:numRef>
              <c:f>all!$D$27:$D$34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66771713637276"/>
                  <c:y val="6.88380586803516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all!$F$7:$F$20</c:f>
              <c:numCache>
                <c:formatCode>0.0</c:formatCode>
                <c:ptCount val="14"/>
                <c:pt idx="0">
                  <c:v>118.5</c:v>
                </c:pt>
                <c:pt idx="1">
                  <c:v>2060.9499999999998</c:v>
                </c:pt>
                <c:pt idx="6">
                  <c:v>21</c:v>
                </c:pt>
                <c:pt idx="8">
                  <c:v>96.5</c:v>
                </c:pt>
                <c:pt idx="9">
                  <c:v>47.5</c:v>
                </c:pt>
                <c:pt idx="10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xVal>
          <c:yVal>
            <c:numRef>
              <c:f>all!$D$7:$D$20</c:f>
              <c:numCache>
                <c:formatCode>0.00</c:formatCode>
                <c:ptCount val="14"/>
                <c:pt idx="0">
                  <c:v>49.091801670000002</c:v>
                </c:pt>
                <c:pt idx="1">
                  <c:v>187</c:v>
                </c:pt>
                <c:pt idx="2">
                  <c:v>43.2</c:v>
                </c:pt>
                <c:pt idx="3">
                  <c:v>77.894736839999993</c:v>
                </c:pt>
                <c:pt idx="4">
                  <c:v>23.15789474</c:v>
                </c:pt>
                <c:pt idx="5">
                  <c:v>23</c:v>
                </c:pt>
                <c:pt idx="6">
                  <c:v>10.34482759</c:v>
                </c:pt>
                <c:pt idx="7">
                  <c:v>26.086956520000001</c:v>
                </c:pt>
                <c:pt idx="8">
                  <c:v>8.125</c:v>
                </c:pt>
                <c:pt idx="9">
                  <c:v>12.67</c:v>
                </c:pt>
                <c:pt idx="10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all!$A$78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all!$F$7:$F$10</c:f>
              <c:numCache>
                <c:formatCode>0.0</c:formatCode>
                <c:ptCount val="4"/>
                <c:pt idx="0">
                  <c:v>118.5</c:v>
                </c:pt>
                <c:pt idx="1">
                  <c:v>2060.9499999999998</c:v>
                </c:pt>
              </c:numCache>
            </c:numRef>
          </c:xVal>
          <c:yVal>
            <c:numRef>
              <c:f>all!$D$83:$D$90</c:f>
              <c:numCache>
                <c:formatCode>0.000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276309158197785E-2"/>
                  <c:y val="-0.1401080489938757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all!$H$43:$H$57</c:f>
              <c:numCache>
                <c:formatCode>0.00</c:formatCode>
                <c:ptCount val="15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7">
                  <c:v>1.0119508062412015</c:v>
                </c:pt>
                <c:pt idx="9">
                  <c:v>1.0239451393319936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1.0572093304532362</c:v>
                </c:pt>
                <c:pt idx="13">
                  <c:v>1.111235100018195</c:v>
                </c:pt>
                <c:pt idx="14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all!$B$4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276309158197785E-2"/>
                  <c:y val="-0.1401080489938757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all!$H$62:$H$76</c:f>
              <c:numCache>
                <c:formatCode>0.00</c:formatCode>
                <c:ptCount val="15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7">
                  <c:v>1.0119508062412015</c:v>
                </c:pt>
                <c:pt idx="9">
                  <c:v>1.0239451393319936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1.0572093304532362</c:v>
                </c:pt>
                <c:pt idx="13">
                  <c:v>1.111235100018195</c:v>
                </c:pt>
                <c:pt idx="14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571500</xdr:colOff>
      <xdr:row>3</xdr:row>
      <xdr:rowOff>47625</xdr:rowOff>
    </xdr:from>
    <xdr:to>
      <xdr:col>10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552450</xdr:colOff>
      <xdr:row>15</xdr:row>
      <xdr:rowOff>114300</xdr:rowOff>
    </xdr:from>
    <xdr:to>
      <xdr:col>10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183673</xdr:colOff>
      <xdr:row>57</xdr:row>
      <xdr:rowOff>10492</xdr:rowOff>
    </xdr:from>
    <xdr:to>
      <xdr:col>10</xdr:col>
      <xdr:colOff>773205</xdr:colOff>
      <xdr:row>69</xdr:row>
      <xdr:rowOff>67236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432088</xdr:colOff>
      <xdr:row>28</xdr:row>
      <xdr:rowOff>99147</xdr:rowOff>
    </xdr:from>
    <xdr:to>
      <xdr:col>10</xdr:col>
      <xdr:colOff>520411</xdr:colOff>
      <xdr:row>41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226666</xdr:colOff>
      <xdr:row>42</xdr:row>
      <xdr:rowOff>166580</xdr:rowOff>
    </xdr:from>
    <xdr:to>
      <xdr:col>10</xdr:col>
      <xdr:colOff>627531</xdr:colOff>
      <xdr:row>56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896469</xdr:colOff>
      <xdr:row>2</xdr:row>
      <xdr:rowOff>155282</xdr:rowOff>
    </xdr:from>
    <xdr:to>
      <xdr:col>18</xdr:col>
      <xdr:colOff>31375</xdr:colOff>
      <xdr:row>14</xdr:row>
      <xdr:rowOff>155282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123263</xdr:colOff>
      <xdr:row>3</xdr:row>
      <xdr:rowOff>22412</xdr:rowOff>
    </xdr:from>
    <xdr:to>
      <xdr:col>22</xdr:col>
      <xdr:colOff>524434</xdr:colOff>
      <xdr:row>14</xdr:row>
      <xdr:rowOff>67235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691404</xdr:colOff>
      <xdr:row>3</xdr:row>
      <xdr:rowOff>33618</xdr:rowOff>
    </xdr:from>
    <xdr:to>
      <xdr:col>13</xdr:col>
      <xdr:colOff>756398</xdr:colOff>
      <xdr:row>15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705972</xdr:colOff>
      <xdr:row>15</xdr:row>
      <xdr:rowOff>89087</xdr:rowOff>
    </xdr:from>
    <xdr:to>
      <xdr:col>13</xdr:col>
      <xdr:colOff>770966</xdr:colOff>
      <xdr:row>27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889341</xdr:colOff>
      <xdr:row>57</xdr:row>
      <xdr:rowOff>18898</xdr:rowOff>
    </xdr:from>
    <xdr:to>
      <xdr:col>14</xdr:col>
      <xdr:colOff>246529</xdr:colOff>
      <xdr:row>69</xdr:row>
      <xdr:rowOff>89648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895671</xdr:colOff>
      <xdr:row>15</xdr:row>
      <xdr:rowOff>26413</xdr:rowOff>
    </xdr:from>
    <xdr:to>
      <xdr:col>18</xdr:col>
      <xdr:colOff>30577</xdr:colOff>
      <xdr:row>25</xdr:row>
      <xdr:rowOff>116061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118462</xdr:colOff>
      <xdr:row>15</xdr:row>
      <xdr:rowOff>93647</xdr:rowOff>
    </xdr:from>
    <xdr:to>
      <xdr:col>22</xdr:col>
      <xdr:colOff>516431</xdr:colOff>
      <xdr:row>25</xdr:row>
      <xdr:rowOff>183295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10</xdr:col>
      <xdr:colOff>638736</xdr:colOff>
      <xdr:row>28</xdr:row>
      <xdr:rowOff>22412</xdr:rowOff>
    </xdr:from>
    <xdr:to>
      <xdr:col>13</xdr:col>
      <xdr:colOff>705971</xdr:colOff>
      <xdr:row>41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717176</xdr:colOff>
      <xdr:row>42</xdr:row>
      <xdr:rowOff>67235</xdr:rowOff>
    </xdr:from>
    <xdr:to>
      <xdr:col>13</xdr:col>
      <xdr:colOff>784411</xdr:colOff>
      <xdr:row>56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H91"/>
  <sheetViews>
    <sheetView tabSelected="1" topLeftCell="A45" zoomScale="85" zoomScaleNormal="85" workbookViewId="0">
      <selection activeCell="B61" sqref="B61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4" width="19.140625" customWidth="1"/>
    <col min="5" max="5" width="22.28515625" customWidth="1"/>
    <col min="6" max="6" width="17.5703125" customWidth="1"/>
    <col min="7" max="8" width="17.85546875" customWidth="1"/>
    <col min="9" max="10" width="23.7109375" customWidth="1"/>
    <col min="11" max="11" width="15.5703125" customWidth="1"/>
    <col min="12" max="13" width="16" customWidth="1"/>
    <col min="14" max="14" width="13" customWidth="1"/>
    <col min="15" max="15" width="16.28515625" customWidth="1"/>
    <col min="16" max="16" width="17.7109375" customWidth="1"/>
    <col min="17" max="17" width="18.7109375" customWidth="1"/>
    <col min="19" max="19" width="14.85546875" customWidth="1"/>
    <col min="20" max="20" width="9.7109375" customWidth="1"/>
  </cols>
  <sheetData>
    <row r="1" spans="1:34" x14ac:dyDescent="0.25">
      <c r="A1" s="4" t="s">
        <v>20</v>
      </c>
      <c r="J1" s="3"/>
    </row>
    <row r="2" spans="1:34" x14ac:dyDescent="0.25">
      <c r="A2" s="5" t="s">
        <v>21</v>
      </c>
      <c r="J2" s="3"/>
    </row>
    <row r="3" spans="1:34" x14ac:dyDescent="0.25">
      <c r="A3" s="9" t="s">
        <v>8</v>
      </c>
      <c r="B3" s="9"/>
      <c r="C3" s="9"/>
      <c r="D3" s="1"/>
      <c r="E3" s="1"/>
      <c r="F3" s="1"/>
      <c r="G3" s="1"/>
      <c r="H3" s="1"/>
      <c r="J3" s="3"/>
      <c r="K3" s="1"/>
      <c r="AB3" s="1"/>
      <c r="AC3" s="1"/>
      <c r="AD3" s="1"/>
      <c r="AE3" s="1"/>
      <c r="AF3" s="1"/>
      <c r="AG3" s="1"/>
      <c r="AH3" s="1"/>
    </row>
    <row r="4" spans="1:34" ht="54.75" customHeight="1" x14ac:dyDescent="0.25">
      <c r="A4" s="13" t="s">
        <v>44</v>
      </c>
      <c r="B4" s="13" t="s">
        <v>1</v>
      </c>
      <c r="C4" s="14" t="s">
        <v>45</v>
      </c>
      <c r="D4" s="14" t="s">
        <v>23</v>
      </c>
      <c r="E4" s="15" t="s">
        <v>24</v>
      </c>
      <c r="F4" s="15" t="s">
        <v>25</v>
      </c>
      <c r="G4" s="15" t="s">
        <v>26</v>
      </c>
      <c r="H4" s="15" t="s">
        <v>27</v>
      </c>
      <c r="I4" s="3"/>
      <c r="J4" s="1"/>
      <c r="K4" s="1"/>
      <c r="AB4" s="1"/>
      <c r="AC4" s="1"/>
      <c r="AD4" s="1"/>
      <c r="AE4" s="1"/>
      <c r="AF4" s="1"/>
      <c r="AG4" s="1"/>
      <c r="AH4" s="1"/>
    </row>
    <row r="5" spans="1:34" x14ac:dyDescent="0.25">
      <c r="A5" s="18" t="s">
        <v>28</v>
      </c>
      <c r="B5" s="19">
        <v>0.78479742735639801</v>
      </c>
      <c r="C5" s="20"/>
      <c r="D5" s="21">
        <v>562.32579999999996</v>
      </c>
      <c r="E5" s="21"/>
      <c r="F5" s="21"/>
      <c r="G5" s="21">
        <v>133.4714286</v>
      </c>
      <c r="H5" s="21"/>
      <c r="I5" s="1"/>
      <c r="J5" s="1"/>
      <c r="K5" s="1"/>
      <c r="AB5" s="1"/>
      <c r="AC5" s="2"/>
      <c r="AD5" s="2"/>
      <c r="AE5" s="2"/>
      <c r="AF5" s="1"/>
      <c r="AG5" s="1"/>
      <c r="AH5" s="1"/>
    </row>
    <row r="6" spans="1:34" x14ac:dyDescent="0.25">
      <c r="A6" s="18" t="s">
        <v>29</v>
      </c>
      <c r="B6" s="19">
        <v>0.17369777575697301</v>
      </c>
      <c r="C6" s="20">
        <v>60.588347259999999</v>
      </c>
      <c r="D6" s="21">
        <v>57.726100000000002</v>
      </c>
      <c r="E6" s="22">
        <v>9023.75</v>
      </c>
      <c r="F6" s="22">
        <v>9023.75</v>
      </c>
      <c r="G6" s="21">
        <v>71.117321599999997</v>
      </c>
      <c r="H6" s="21">
        <v>1.0628417845850735</v>
      </c>
      <c r="I6" s="1"/>
      <c r="J6" s="1"/>
      <c r="K6" s="1"/>
      <c r="AB6" s="1"/>
      <c r="AC6" s="2"/>
      <c r="AD6" s="2"/>
      <c r="AE6" s="2"/>
      <c r="AF6" s="1"/>
      <c r="AG6" s="1"/>
      <c r="AH6" s="1"/>
    </row>
    <row r="7" spans="1:34" x14ac:dyDescent="0.25">
      <c r="A7" s="18" t="s">
        <v>30</v>
      </c>
      <c r="B7" s="19">
        <v>9.9143945152060597E-2</v>
      </c>
      <c r="C7" s="20">
        <v>73.387016439999996</v>
      </c>
      <c r="D7" s="21">
        <v>49.091801670000002</v>
      </c>
      <c r="E7" s="22">
        <v>118.5</v>
      </c>
      <c r="F7" s="22">
        <v>118.5</v>
      </c>
      <c r="G7" s="21">
        <v>74.728308609999999</v>
      </c>
      <c r="H7" s="21">
        <v>1.0325844789064453</v>
      </c>
      <c r="I7" s="1"/>
      <c r="J7" s="1"/>
      <c r="K7" s="1"/>
      <c r="AB7" s="1"/>
      <c r="AC7" s="2"/>
      <c r="AD7" s="2"/>
      <c r="AE7" s="2"/>
      <c r="AF7" s="10"/>
      <c r="AG7" s="1"/>
      <c r="AH7" s="1"/>
    </row>
    <row r="8" spans="1:34" x14ac:dyDescent="0.25">
      <c r="A8" s="18" t="s">
        <v>31</v>
      </c>
      <c r="B8" s="19">
        <v>0.21234239309632399</v>
      </c>
      <c r="C8" s="20">
        <v>79.767295559999994</v>
      </c>
      <c r="D8" s="21">
        <v>187</v>
      </c>
      <c r="E8" s="22">
        <v>2036.95</v>
      </c>
      <c r="F8" s="22">
        <v>2060.9499999999998</v>
      </c>
      <c r="G8" s="21">
        <v>79.767295559999994</v>
      </c>
      <c r="H8" s="21">
        <v>1.025239233557502</v>
      </c>
      <c r="I8" s="1"/>
      <c r="J8" s="1"/>
      <c r="K8" s="1"/>
      <c r="AB8" s="1"/>
      <c r="AC8" s="2"/>
      <c r="AD8" s="2"/>
      <c r="AE8" s="2"/>
      <c r="AF8" s="10"/>
      <c r="AG8" s="1"/>
      <c r="AH8" s="1"/>
    </row>
    <row r="9" spans="1:34" x14ac:dyDescent="0.25">
      <c r="A9" s="18" t="s">
        <v>32</v>
      </c>
      <c r="B9" s="19">
        <v>0.36516163611226798</v>
      </c>
      <c r="C9" s="20"/>
      <c r="D9" s="21">
        <v>43.2</v>
      </c>
      <c r="E9" s="22">
        <v>365</v>
      </c>
      <c r="F9" s="22"/>
      <c r="G9" s="21">
        <v>68.631809730000001</v>
      </c>
      <c r="H9" s="21"/>
      <c r="I9" s="1"/>
      <c r="J9" s="1"/>
      <c r="K9" s="1"/>
      <c r="AB9" s="1"/>
      <c r="AC9" s="2"/>
      <c r="AD9" s="2"/>
      <c r="AE9" s="2"/>
      <c r="AF9" s="10"/>
      <c r="AG9" s="1"/>
      <c r="AH9" s="1"/>
    </row>
    <row r="10" spans="1:34" x14ac:dyDescent="0.25">
      <c r="A10" s="18" t="s">
        <v>33</v>
      </c>
      <c r="B10" s="19">
        <v>4.1333778886518201E-2</v>
      </c>
      <c r="C10" s="20"/>
      <c r="D10" s="21">
        <v>77.894736839999993</v>
      </c>
      <c r="E10" s="22">
        <v>351.5</v>
      </c>
      <c r="F10" s="22"/>
      <c r="G10" s="21">
        <v>69.696396059999998</v>
      </c>
      <c r="H10" s="21"/>
      <c r="I10" s="1"/>
      <c r="J10" s="1"/>
      <c r="K10" s="1"/>
      <c r="AB10" s="1"/>
      <c r="AC10" s="2"/>
      <c r="AD10" s="2"/>
      <c r="AE10" s="2"/>
      <c r="AF10" s="10"/>
      <c r="AG10" s="1"/>
      <c r="AH10" s="1"/>
    </row>
    <row r="11" spans="1:34" x14ac:dyDescent="0.25">
      <c r="A11" s="18" t="s">
        <v>34</v>
      </c>
      <c r="B11" s="19">
        <v>9.4513218106104094E-2</v>
      </c>
      <c r="C11" s="23"/>
      <c r="D11" s="21">
        <v>23.15789474</v>
      </c>
      <c r="E11" s="22"/>
      <c r="F11" s="22"/>
      <c r="G11" s="21">
        <v>112.55085055666601</v>
      </c>
      <c r="H11" s="21"/>
      <c r="I11" s="1"/>
      <c r="J11" s="1"/>
      <c r="K11" s="1"/>
      <c r="AB11" s="1"/>
      <c r="AC11" s="2"/>
      <c r="AD11" s="2"/>
      <c r="AE11" s="2"/>
      <c r="AF11" s="10"/>
      <c r="AG11" s="1"/>
      <c r="AH11" s="1"/>
    </row>
    <row r="12" spans="1:34" x14ac:dyDescent="0.25">
      <c r="A12" s="18" t="s">
        <v>35</v>
      </c>
      <c r="B12" s="19">
        <v>4.2663094228711902E-2</v>
      </c>
      <c r="C12" s="23"/>
      <c r="D12" s="21">
        <v>23</v>
      </c>
      <c r="E12" s="22">
        <v>22</v>
      </c>
      <c r="F12" s="22"/>
      <c r="G12" s="21">
        <v>117.49299123</v>
      </c>
      <c r="H12" s="21"/>
      <c r="I12" s="1"/>
      <c r="J12" s="1"/>
      <c r="K12" s="1"/>
      <c r="AB12" s="1"/>
      <c r="AC12" s="2"/>
      <c r="AD12" s="2"/>
      <c r="AE12" s="2"/>
      <c r="AF12" s="10"/>
      <c r="AG12" s="1"/>
      <c r="AH12" s="1"/>
    </row>
    <row r="13" spans="1:34" x14ac:dyDescent="0.25">
      <c r="A13" s="18" t="s">
        <v>36</v>
      </c>
      <c r="B13" s="19">
        <v>8.8732929175135894E-2</v>
      </c>
      <c r="C13" s="20">
        <v>113.72040256</v>
      </c>
      <c r="D13" s="21">
        <v>10.34482759</v>
      </c>
      <c r="E13" s="22">
        <v>21</v>
      </c>
      <c r="F13" s="22">
        <v>21</v>
      </c>
      <c r="G13" s="21">
        <v>115.079453056666</v>
      </c>
      <c r="H13" s="21">
        <f>G13/C13</f>
        <v>1.0119508062412015</v>
      </c>
      <c r="I13" s="1"/>
      <c r="J13" s="1"/>
      <c r="K13" s="1"/>
      <c r="AB13" s="1"/>
      <c r="AC13" s="2"/>
      <c r="AD13" s="2"/>
      <c r="AE13" s="2"/>
      <c r="AF13" s="10"/>
      <c r="AG13" s="1"/>
      <c r="AH13" s="1"/>
    </row>
    <row r="14" spans="1:34" x14ac:dyDescent="0.25">
      <c r="A14" s="18" t="s">
        <v>37</v>
      </c>
      <c r="B14" s="19">
        <v>-1.9463558010346702E-2</v>
      </c>
      <c r="C14" s="20"/>
      <c r="D14" s="21">
        <v>26.086956520000001</v>
      </c>
      <c r="E14" s="22">
        <v>21.5</v>
      </c>
      <c r="F14" s="22"/>
      <c r="G14" s="21">
        <v>119.222878299999</v>
      </c>
      <c r="H14" s="21"/>
      <c r="I14" s="1"/>
      <c r="J14" s="1"/>
      <c r="K14" s="1"/>
      <c r="AB14" s="1"/>
      <c r="AC14" s="1"/>
      <c r="AD14" s="1"/>
      <c r="AE14" s="16"/>
      <c r="AF14" s="10"/>
      <c r="AG14" s="1"/>
      <c r="AH14" s="1"/>
    </row>
    <row r="15" spans="1:34" x14ac:dyDescent="0.25">
      <c r="A15" s="18" t="s">
        <v>38</v>
      </c>
      <c r="B15" s="19">
        <v>0.10415722716452799</v>
      </c>
      <c r="C15" s="20">
        <v>112.66319882000001</v>
      </c>
      <c r="D15" s="21">
        <v>8.125</v>
      </c>
      <c r="E15" s="22">
        <v>75</v>
      </c>
      <c r="F15" s="22">
        <v>96.5</v>
      </c>
      <c r="G15" s="21">
        <v>115.360934813333</v>
      </c>
      <c r="H15" s="21">
        <f>G15/C15</f>
        <v>1.0239451393319936</v>
      </c>
      <c r="I15" s="1"/>
      <c r="J15" s="1"/>
      <c r="K15" s="1"/>
      <c r="AB15" s="1"/>
      <c r="AC15" s="1"/>
      <c r="AD15" s="1"/>
      <c r="AE15" s="16"/>
      <c r="AF15" s="10"/>
      <c r="AG15" s="1"/>
      <c r="AH15" s="1"/>
    </row>
    <row r="16" spans="1:34" x14ac:dyDescent="0.25">
      <c r="A16" s="18" t="s">
        <v>39</v>
      </c>
      <c r="B16" s="19">
        <v>4.66251429291673E-2</v>
      </c>
      <c r="C16" s="20">
        <v>114.89097618</v>
      </c>
      <c r="D16" s="21">
        <v>12.67</v>
      </c>
      <c r="E16" s="22">
        <v>47.5</v>
      </c>
      <c r="F16" s="22">
        <v>47.5</v>
      </c>
      <c r="G16" s="21">
        <v>118.05576815000001</v>
      </c>
      <c r="H16" s="21">
        <f>G16/C16</f>
        <v>1.0275460447393339</v>
      </c>
      <c r="I16" s="1"/>
      <c r="J16" s="1"/>
      <c r="K16" s="1"/>
      <c r="AB16" s="1"/>
      <c r="AC16" s="1"/>
      <c r="AD16" s="1"/>
      <c r="AE16" s="1"/>
      <c r="AF16" s="1"/>
      <c r="AG16" s="1"/>
      <c r="AH16" s="1"/>
    </row>
    <row r="17" spans="1:34" x14ac:dyDescent="0.25">
      <c r="A17" s="18" t="s">
        <v>40</v>
      </c>
      <c r="B17" s="19">
        <v>9.0894558490112708E-3</v>
      </c>
      <c r="C17" s="20">
        <v>116.55531655999999</v>
      </c>
      <c r="D17" s="21">
        <v>42</v>
      </c>
      <c r="E17" s="22">
        <v>23.5</v>
      </c>
      <c r="F17" s="22">
        <v>23.5</v>
      </c>
      <c r="G17" s="21">
        <v>119.77022043333299</v>
      </c>
      <c r="H17" s="21">
        <f>G17/C17</f>
        <v>1.0275826446035865</v>
      </c>
      <c r="I17" s="1"/>
      <c r="J17" s="1"/>
      <c r="K17" s="1"/>
      <c r="AB17" s="1"/>
      <c r="AC17" s="1"/>
      <c r="AD17" s="1"/>
      <c r="AE17" s="1"/>
      <c r="AF17" s="1"/>
      <c r="AG17" s="1"/>
      <c r="AH17" s="1"/>
    </row>
    <row r="18" spans="1:34" x14ac:dyDescent="0.25">
      <c r="A18" s="18" t="s">
        <v>41</v>
      </c>
      <c r="B18" s="19">
        <v>-1.7278096303121701E-2</v>
      </c>
      <c r="C18" s="20">
        <v>118.40602251999999</v>
      </c>
      <c r="D18" s="21"/>
      <c r="E18" s="22">
        <v>20</v>
      </c>
      <c r="F18" s="22">
        <v>47.75</v>
      </c>
      <c r="G18" s="21">
        <v>125.17995179</v>
      </c>
      <c r="H18" s="21">
        <f>G18/C18</f>
        <v>1.0572093304532362</v>
      </c>
      <c r="I18" s="1"/>
      <c r="J18" s="1"/>
      <c r="K18" s="1"/>
      <c r="AB18" s="1"/>
      <c r="AC18" s="1"/>
      <c r="AD18" s="1"/>
      <c r="AE18" s="1"/>
      <c r="AF18" s="1"/>
      <c r="AG18" s="1"/>
      <c r="AH18" s="1"/>
    </row>
    <row r="19" spans="1:34" x14ac:dyDescent="0.25">
      <c r="A19" s="18" t="s">
        <v>42</v>
      </c>
      <c r="B19" s="19">
        <v>2.0373962034653699E-2</v>
      </c>
      <c r="C19" s="20">
        <v>115.75512236</v>
      </c>
      <c r="D19" s="21">
        <v>20.666666670000001</v>
      </c>
      <c r="E19" s="22">
        <v>23.75</v>
      </c>
      <c r="F19" s="22">
        <v>23.75</v>
      </c>
      <c r="G19" s="21">
        <v>128.631154973333</v>
      </c>
      <c r="H19" s="21">
        <f>G19/C19</f>
        <v>1.111235100018195</v>
      </c>
      <c r="J19" s="1"/>
      <c r="K19" s="1"/>
      <c r="AB19" s="1"/>
      <c r="AC19" s="2"/>
      <c r="AD19" s="2"/>
      <c r="AE19" s="2"/>
      <c r="AF19" s="1"/>
      <c r="AG19" s="1"/>
      <c r="AH19" s="1"/>
    </row>
    <row r="20" spans="1:34" x14ac:dyDescent="0.25">
      <c r="A20" s="18" t="s">
        <v>43</v>
      </c>
      <c r="B20" s="19">
        <v>-2.50118292734785E-2</v>
      </c>
      <c r="C20" s="20">
        <v>121.12197168</v>
      </c>
      <c r="D20" s="21"/>
      <c r="E20" s="22">
        <v>23.5</v>
      </c>
      <c r="F20" s="22">
        <v>23.5</v>
      </c>
      <c r="G20" s="21">
        <v>127.417386873333</v>
      </c>
      <c r="H20" s="21">
        <f>G20/C20</f>
        <v>1.0519758315193652</v>
      </c>
      <c r="J20" s="1"/>
      <c r="K20" s="1"/>
      <c r="AB20" s="1"/>
      <c r="AC20" s="2"/>
      <c r="AD20" s="2"/>
      <c r="AE20" s="2"/>
      <c r="AF20" s="1"/>
      <c r="AG20" s="1"/>
      <c r="AH20" s="1"/>
    </row>
    <row r="21" spans="1:34" x14ac:dyDescent="0.25">
      <c r="A21" s="1"/>
      <c r="B21" s="8"/>
      <c r="D21" s="11"/>
      <c r="E21" s="1"/>
      <c r="G21" s="11"/>
      <c r="H21" s="8"/>
      <c r="I21" s="10"/>
      <c r="J21" s="1"/>
      <c r="K21" s="1"/>
      <c r="AB21" s="1"/>
      <c r="AC21" s="2"/>
      <c r="AD21" s="2"/>
      <c r="AE21" s="2"/>
      <c r="AF21" s="10"/>
      <c r="AG21" s="1"/>
      <c r="AH21" s="1"/>
    </row>
    <row r="22" spans="1:34" x14ac:dyDescent="0.25">
      <c r="A22" s="9" t="s">
        <v>13</v>
      </c>
      <c r="B22" s="9"/>
      <c r="C22" s="9"/>
      <c r="D22" s="1"/>
      <c r="E22" s="1"/>
      <c r="F22" s="1"/>
      <c r="G22" s="11"/>
      <c r="H22" s="8"/>
      <c r="J22" s="1"/>
      <c r="K22" s="1"/>
      <c r="AB22" s="1"/>
      <c r="AC22" s="2"/>
      <c r="AD22" s="2"/>
      <c r="AE22" s="2"/>
      <c r="AF22" s="10"/>
      <c r="AG22" s="1"/>
      <c r="AH22" s="1"/>
    </row>
    <row r="23" spans="1:34" ht="40.5" x14ac:dyDescent="0.25">
      <c r="A23" s="13" t="s">
        <v>0</v>
      </c>
      <c r="B23" s="13" t="s">
        <v>1</v>
      </c>
      <c r="C23" s="14" t="s">
        <v>45</v>
      </c>
      <c r="D23" s="14" t="s">
        <v>23</v>
      </c>
      <c r="E23" s="15" t="s">
        <v>24</v>
      </c>
      <c r="F23" s="15" t="s">
        <v>25</v>
      </c>
      <c r="G23" s="15" t="s">
        <v>26</v>
      </c>
      <c r="H23" s="15" t="s">
        <v>27</v>
      </c>
      <c r="I23" s="10"/>
      <c r="J23" s="1"/>
      <c r="K23" s="1"/>
      <c r="AB23" s="1"/>
      <c r="AC23" s="1"/>
      <c r="AD23" s="1"/>
      <c r="AE23" s="1"/>
      <c r="AF23" s="10"/>
      <c r="AG23" s="1"/>
      <c r="AH23" s="1"/>
    </row>
    <row r="24" spans="1:34" x14ac:dyDescent="0.25">
      <c r="A24" s="17" t="s">
        <v>28</v>
      </c>
      <c r="B24" s="25">
        <v>-0.69015600278604705</v>
      </c>
      <c r="C24" s="20"/>
      <c r="D24" s="21"/>
      <c r="E24" s="21"/>
      <c r="F24" s="21"/>
      <c r="G24" s="21">
        <v>133.4714286</v>
      </c>
      <c r="H24" s="21"/>
      <c r="I24" s="1"/>
      <c r="J24" s="1"/>
      <c r="K24" s="1"/>
      <c r="AB24" s="1"/>
      <c r="AC24" s="1"/>
      <c r="AD24" s="1"/>
      <c r="AE24" s="1"/>
      <c r="AF24" s="10"/>
      <c r="AG24" s="1"/>
      <c r="AH24" s="1"/>
    </row>
    <row r="25" spans="1:34" x14ac:dyDescent="0.25">
      <c r="A25" s="17" t="s">
        <v>29</v>
      </c>
      <c r="B25" s="26">
        <v>1.7836570943256701E-2</v>
      </c>
      <c r="C25" s="20">
        <v>60.588347259999999</v>
      </c>
      <c r="D25" s="21"/>
      <c r="E25" s="22">
        <v>9023.75</v>
      </c>
      <c r="F25" s="22">
        <v>9023.75</v>
      </c>
      <c r="G25" s="21">
        <v>71.117321599999997</v>
      </c>
      <c r="H25" s="21">
        <v>1.0628417845850735</v>
      </c>
      <c r="I25" s="1"/>
      <c r="J25" s="1"/>
      <c r="K25" s="1"/>
      <c r="AB25" s="1"/>
      <c r="AC25" s="1"/>
      <c r="AD25" s="1"/>
      <c r="AE25" s="1"/>
      <c r="AF25" s="10"/>
      <c r="AG25" s="1"/>
      <c r="AH25" s="1"/>
    </row>
    <row r="26" spans="1:34" x14ac:dyDescent="0.25">
      <c r="A26" s="17" t="s">
        <v>30</v>
      </c>
      <c r="B26" s="25">
        <v>-0.54160608613664096</v>
      </c>
      <c r="C26" s="20">
        <v>73.387016439999996</v>
      </c>
      <c r="D26" s="21"/>
      <c r="E26" s="22">
        <v>118.5</v>
      </c>
      <c r="F26" s="22">
        <v>118.5</v>
      </c>
      <c r="G26" s="21">
        <v>74.728308609999999</v>
      </c>
      <c r="H26" s="21">
        <v>1.0325844789064453</v>
      </c>
      <c r="I26" s="1"/>
      <c r="J26" s="1"/>
      <c r="K26" s="1"/>
      <c r="AB26" s="1"/>
      <c r="AC26" s="1"/>
      <c r="AD26" s="1"/>
      <c r="AE26" s="1"/>
      <c r="AF26" s="10"/>
      <c r="AG26" s="1"/>
      <c r="AH26" s="1"/>
    </row>
    <row r="27" spans="1:34" x14ac:dyDescent="0.25">
      <c r="A27" s="17" t="s">
        <v>31</v>
      </c>
      <c r="B27" s="25">
        <v>-0.17637365181995501</v>
      </c>
      <c r="C27" s="20">
        <v>79.767295559999994</v>
      </c>
      <c r="D27" s="21"/>
      <c r="E27" s="22">
        <v>2036.95</v>
      </c>
      <c r="F27" s="22">
        <v>2060.9499999999998</v>
      </c>
      <c r="G27" s="21">
        <v>79.767295559999994</v>
      </c>
      <c r="H27" s="21">
        <v>1.025239233557502</v>
      </c>
      <c r="I27" s="1"/>
      <c r="J27" s="1"/>
      <c r="K27" s="1"/>
      <c r="AB27" s="1"/>
      <c r="AC27" s="1"/>
      <c r="AD27" s="1"/>
      <c r="AE27" s="1"/>
      <c r="AF27" s="10"/>
      <c r="AG27" s="1"/>
      <c r="AH27" s="1"/>
    </row>
    <row r="28" spans="1:34" x14ac:dyDescent="0.25">
      <c r="A28" s="17" t="s">
        <v>32</v>
      </c>
      <c r="B28" s="26">
        <v>0.39449354239977702</v>
      </c>
      <c r="C28" s="20"/>
      <c r="D28" s="21"/>
      <c r="E28" s="22">
        <v>365</v>
      </c>
      <c r="F28" s="22"/>
      <c r="G28" s="21">
        <v>68.631809730000001</v>
      </c>
      <c r="H28" s="21"/>
      <c r="I28" s="1"/>
      <c r="J28" s="1"/>
      <c r="K28" s="1"/>
      <c r="AB28" s="1"/>
      <c r="AC28" s="1"/>
      <c r="AD28" s="1"/>
      <c r="AE28" s="1"/>
      <c r="AF28" s="10"/>
      <c r="AG28" s="1"/>
      <c r="AH28" s="1"/>
    </row>
    <row r="29" spans="1:34" x14ac:dyDescent="0.25">
      <c r="A29" s="24" t="s">
        <v>33</v>
      </c>
      <c r="B29" s="25">
        <v>-0.17371472956907899</v>
      </c>
      <c r="C29" s="20"/>
      <c r="D29" s="21"/>
      <c r="E29" s="22">
        <v>351.5</v>
      </c>
      <c r="F29" s="22"/>
      <c r="G29" s="21">
        <v>69.696396059999998</v>
      </c>
      <c r="H29" s="21"/>
      <c r="I29" s="1"/>
      <c r="J29" s="1"/>
      <c r="K29" s="1"/>
      <c r="AB29" s="1"/>
      <c r="AC29" s="1"/>
      <c r="AD29" s="1"/>
      <c r="AE29" s="1"/>
      <c r="AF29" s="10"/>
      <c r="AG29" s="1"/>
      <c r="AH29" s="1"/>
    </row>
    <row r="30" spans="1:34" x14ac:dyDescent="0.25">
      <c r="A30" s="17" t="s">
        <v>34</v>
      </c>
      <c r="B30" s="26">
        <v>3.4332675043980999E-2</v>
      </c>
      <c r="C30" s="23"/>
      <c r="D30" s="21"/>
      <c r="E30" s="22">
        <v>6055.55</v>
      </c>
      <c r="F30" s="22"/>
      <c r="G30" s="21">
        <v>112.55085055666601</v>
      </c>
      <c r="H30" s="21"/>
      <c r="I30" s="1"/>
      <c r="J30" s="1"/>
      <c r="K30" s="1"/>
      <c r="AB30" s="1"/>
      <c r="AC30" s="1"/>
      <c r="AD30" s="1"/>
      <c r="AE30" s="1"/>
      <c r="AF30" s="1"/>
      <c r="AG30" s="1"/>
      <c r="AH30" s="1"/>
    </row>
    <row r="31" spans="1:34" x14ac:dyDescent="0.25">
      <c r="A31" s="17" t="s">
        <v>35</v>
      </c>
      <c r="B31" s="26">
        <v>2.8668980226143202E-2</v>
      </c>
      <c r="C31" s="23"/>
      <c r="D31" s="21"/>
      <c r="E31" s="22">
        <v>22</v>
      </c>
      <c r="F31" s="22"/>
      <c r="G31" s="21">
        <v>117.49299123</v>
      </c>
      <c r="H31" s="21"/>
      <c r="I31" s="1"/>
      <c r="J31" s="1"/>
      <c r="K31" s="1"/>
      <c r="AB31" s="1"/>
      <c r="AC31" s="1"/>
      <c r="AD31" s="1"/>
      <c r="AE31" s="1"/>
      <c r="AF31" s="1"/>
      <c r="AG31" s="1"/>
      <c r="AH31" s="1"/>
    </row>
    <row r="32" spans="1:34" x14ac:dyDescent="0.25">
      <c r="A32" s="17" t="s">
        <v>36</v>
      </c>
      <c r="B32" s="26">
        <v>1.20306787922476E-2</v>
      </c>
      <c r="C32" s="20">
        <v>113.72040256</v>
      </c>
      <c r="D32" s="21"/>
      <c r="E32" s="22">
        <v>21</v>
      </c>
      <c r="F32" s="22">
        <v>21</v>
      </c>
      <c r="G32" s="21">
        <v>115.079453056666</v>
      </c>
      <c r="H32" s="21">
        <f>G32/C32</f>
        <v>1.0119508062412015</v>
      </c>
      <c r="I32" s="1"/>
      <c r="J32" s="1"/>
      <c r="K32" s="1"/>
      <c r="AB32" s="1"/>
      <c r="AC32" s="1"/>
      <c r="AD32" s="1"/>
      <c r="AE32" s="1"/>
      <c r="AF32" s="1"/>
      <c r="AG32" s="1"/>
      <c r="AH32" s="1"/>
    </row>
    <row r="33" spans="1:34" x14ac:dyDescent="0.25">
      <c r="A33" s="17" t="s">
        <v>37</v>
      </c>
      <c r="B33" s="26">
        <v>2.7386597361713599E-2</v>
      </c>
      <c r="C33" s="20"/>
      <c r="D33" s="21"/>
      <c r="E33" s="22">
        <v>21.5</v>
      </c>
      <c r="F33" s="22"/>
      <c r="G33" s="21">
        <v>119.222878299999</v>
      </c>
      <c r="H33" s="21"/>
      <c r="I33" s="1"/>
      <c r="J33" s="1"/>
      <c r="K33" s="1"/>
      <c r="AB33" s="1"/>
      <c r="AC33" s="2"/>
      <c r="AD33" s="2"/>
      <c r="AE33" s="2"/>
      <c r="AF33" s="1"/>
      <c r="AG33" s="1"/>
      <c r="AH33" s="1"/>
    </row>
    <row r="34" spans="1:34" x14ac:dyDescent="0.25">
      <c r="A34" s="17" t="s">
        <v>38</v>
      </c>
      <c r="B34" s="26">
        <v>2.8615745110634201E-2</v>
      </c>
      <c r="C34" s="20">
        <v>112.66319882000001</v>
      </c>
      <c r="D34" s="21"/>
      <c r="E34" s="22">
        <v>75</v>
      </c>
      <c r="F34" s="22">
        <v>96.5</v>
      </c>
      <c r="G34" s="21">
        <v>115.360934813333</v>
      </c>
      <c r="H34" s="21">
        <f>G34/C34</f>
        <v>1.0239451393319936</v>
      </c>
      <c r="I34" s="1"/>
      <c r="J34" s="1"/>
      <c r="K34" s="1"/>
      <c r="AB34" s="1"/>
      <c r="AC34" s="2"/>
      <c r="AD34" s="2"/>
      <c r="AE34" s="2"/>
      <c r="AF34" s="1"/>
      <c r="AG34" s="1"/>
      <c r="AH34" s="1"/>
    </row>
    <row r="35" spans="1:34" x14ac:dyDescent="0.25">
      <c r="A35" s="17" t="s">
        <v>39</v>
      </c>
      <c r="B35" s="26">
        <v>4.4113621235337297E-2</v>
      </c>
      <c r="C35" s="20">
        <v>114.89097618</v>
      </c>
      <c r="D35" s="21"/>
      <c r="E35" s="22">
        <v>47.5</v>
      </c>
      <c r="F35" s="22">
        <v>47.5</v>
      </c>
      <c r="G35" s="21">
        <v>118.05576815000001</v>
      </c>
      <c r="H35" s="21">
        <f>G35/C35</f>
        <v>1.0275460447393339</v>
      </c>
      <c r="I35" s="1"/>
      <c r="J35" s="1"/>
      <c r="K35" s="1"/>
      <c r="AB35" s="1"/>
      <c r="AC35" s="2"/>
      <c r="AD35" s="2"/>
      <c r="AE35" s="2"/>
      <c r="AF35" s="10"/>
      <c r="AG35" s="1"/>
      <c r="AH35" s="1"/>
    </row>
    <row r="36" spans="1:34" x14ac:dyDescent="0.25">
      <c r="A36" s="17" t="s">
        <v>40</v>
      </c>
      <c r="B36" s="25">
        <v>-8.0536265843332393E-3</v>
      </c>
      <c r="C36" s="20">
        <v>116.55531655999999</v>
      </c>
      <c r="D36" s="21"/>
      <c r="E36" s="22">
        <v>23.5</v>
      </c>
      <c r="F36" s="22">
        <v>23.5</v>
      </c>
      <c r="G36" s="21">
        <v>119.77022043333299</v>
      </c>
      <c r="H36" s="21">
        <f>G36/C36</f>
        <v>1.0275826446035865</v>
      </c>
      <c r="I36" s="1"/>
      <c r="J36" s="1"/>
      <c r="K36" s="1"/>
      <c r="AB36" s="1"/>
      <c r="AC36" s="2"/>
      <c r="AD36" s="2"/>
      <c r="AE36" s="2"/>
      <c r="AF36" s="10"/>
      <c r="AG36" s="1"/>
      <c r="AH36" s="1"/>
    </row>
    <row r="37" spans="1:34" x14ac:dyDescent="0.25">
      <c r="A37" s="17" t="s">
        <v>41</v>
      </c>
      <c r="B37" s="25">
        <v>-2.13677287576714E-2</v>
      </c>
      <c r="C37" s="20">
        <v>118.40602251999999</v>
      </c>
      <c r="D37" s="21"/>
      <c r="E37" s="22">
        <v>20</v>
      </c>
      <c r="F37" s="22">
        <v>47.75</v>
      </c>
      <c r="G37" s="21">
        <v>125.17995179</v>
      </c>
      <c r="H37" s="21">
        <f>G37/C37</f>
        <v>1.0572093304532362</v>
      </c>
      <c r="I37" s="1"/>
      <c r="J37" s="1"/>
      <c r="K37" s="1"/>
      <c r="AB37" s="1"/>
      <c r="AC37" s="1"/>
      <c r="AD37" s="1"/>
      <c r="AE37" s="1"/>
      <c r="AF37" s="10"/>
      <c r="AG37" s="1"/>
      <c r="AH37" s="1"/>
    </row>
    <row r="38" spans="1:34" x14ac:dyDescent="0.25">
      <c r="A38" s="17" t="s">
        <v>42</v>
      </c>
      <c r="B38" s="26">
        <v>2.7450804091866201E-2</v>
      </c>
      <c r="C38" s="20">
        <v>115.75512236</v>
      </c>
      <c r="D38" s="21"/>
      <c r="E38" s="22">
        <v>23.75</v>
      </c>
      <c r="F38" s="22">
        <v>23.75</v>
      </c>
      <c r="G38" s="21">
        <v>128.631154973333</v>
      </c>
      <c r="H38" s="21">
        <f>G38/C38</f>
        <v>1.111235100018195</v>
      </c>
      <c r="I38" s="1"/>
      <c r="J38" s="1"/>
      <c r="K38" s="1"/>
      <c r="AB38" s="1"/>
      <c r="AC38" s="1"/>
      <c r="AD38" s="1"/>
      <c r="AE38" s="1"/>
      <c r="AF38" s="10"/>
      <c r="AG38" s="1"/>
      <c r="AH38" s="1"/>
    </row>
    <row r="39" spans="1:34" x14ac:dyDescent="0.25">
      <c r="A39" s="17" t="s">
        <v>43</v>
      </c>
      <c r="B39" s="25">
        <v>-4.0077224600602597E-2</v>
      </c>
      <c r="C39" s="20">
        <v>121.12197168</v>
      </c>
      <c r="D39" s="21"/>
      <c r="E39" s="22">
        <v>23.5</v>
      </c>
      <c r="F39" s="22">
        <v>23.5</v>
      </c>
      <c r="G39" s="21">
        <v>127.417386873333</v>
      </c>
      <c r="H39" s="21">
        <f>G39/C39</f>
        <v>1.0519758315193652</v>
      </c>
      <c r="I39" s="1"/>
      <c r="J39" s="1"/>
      <c r="K39" s="1"/>
      <c r="AB39" s="1"/>
      <c r="AC39" s="1"/>
      <c r="AD39" s="1"/>
      <c r="AE39" s="1"/>
      <c r="AF39" s="10"/>
      <c r="AG39" s="1"/>
      <c r="AH39" s="1"/>
    </row>
    <row r="40" spans="1:34" x14ac:dyDescent="0.25">
      <c r="I40" s="1"/>
      <c r="J40" s="1"/>
      <c r="K40" s="1"/>
      <c r="AB40" s="1"/>
      <c r="AC40" s="1"/>
      <c r="AD40" s="1"/>
      <c r="AE40" s="1"/>
      <c r="AF40" s="10"/>
      <c r="AG40" s="1"/>
      <c r="AH40" s="1"/>
    </row>
    <row r="41" spans="1:34" ht="40.5" x14ac:dyDescent="0.25">
      <c r="A41" s="13" t="s">
        <v>16</v>
      </c>
      <c r="B41" s="13" t="s">
        <v>1</v>
      </c>
      <c r="C41" s="14" t="s">
        <v>45</v>
      </c>
      <c r="D41" s="14" t="s">
        <v>23</v>
      </c>
      <c r="E41" s="15" t="s">
        <v>24</v>
      </c>
      <c r="F41" s="15" t="s">
        <v>25</v>
      </c>
      <c r="G41" s="15" t="s">
        <v>26</v>
      </c>
      <c r="H41" s="15" t="s">
        <v>27</v>
      </c>
      <c r="I41" s="1"/>
      <c r="J41" s="1"/>
      <c r="K41" s="1"/>
      <c r="AB41" s="1"/>
      <c r="AC41" s="1"/>
      <c r="AD41" s="1"/>
      <c r="AE41" s="1"/>
      <c r="AF41" s="10"/>
      <c r="AG41" s="1"/>
      <c r="AH41" s="1"/>
    </row>
    <row r="42" spans="1:34" x14ac:dyDescent="0.25">
      <c r="A42" s="18" t="s">
        <v>28</v>
      </c>
      <c r="B42" s="26">
        <v>0.57681691180727601</v>
      </c>
      <c r="C42" s="20"/>
      <c r="D42" s="21"/>
      <c r="E42" s="21"/>
      <c r="F42" s="21"/>
      <c r="G42" s="21">
        <v>133.4714286</v>
      </c>
      <c r="H42" s="21"/>
      <c r="I42" s="1"/>
      <c r="J42" s="1"/>
      <c r="K42" s="1"/>
      <c r="AB42" s="1"/>
      <c r="AC42" s="1"/>
      <c r="AD42" s="1"/>
      <c r="AE42" s="1"/>
      <c r="AF42" s="10"/>
      <c r="AG42" s="1"/>
      <c r="AH42" s="1"/>
    </row>
    <row r="43" spans="1:34" x14ac:dyDescent="0.25">
      <c r="A43" s="18" t="s">
        <v>29</v>
      </c>
      <c r="B43" s="26">
        <v>0.13233171245622599</v>
      </c>
      <c r="C43" s="20">
        <v>60.588347259999999</v>
      </c>
      <c r="D43" s="21"/>
      <c r="E43" s="22">
        <v>9023.75</v>
      </c>
      <c r="F43" s="22">
        <v>9023.75</v>
      </c>
      <c r="G43" s="21">
        <v>71.117321599999997</v>
      </c>
      <c r="H43" s="21">
        <v>1.0628417845850735</v>
      </c>
      <c r="I43" s="1"/>
      <c r="J43" s="1"/>
      <c r="K43" s="1"/>
      <c r="AB43" s="1"/>
      <c r="AC43" s="1"/>
      <c r="AD43" s="1"/>
      <c r="AE43" s="1"/>
      <c r="AF43" s="10"/>
      <c r="AG43" s="1"/>
      <c r="AH43" s="1"/>
    </row>
    <row r="44" spans="1:34" x14ac:dyDescent="0.25">
      <c r="A44" s="18" t="s">
        <v>30</v>
      </c>
      <c r="B44" s="26">
        <v>8.9326261366187695E-2</v>
      </c>
      <c r="C44" s="20">
        <v>73.387016439999996</v>
      </c>
      <c r="D44" s="21"/>
      <c r="E44" s="22">
        <v>118.5</v>
      </c>
      <c r="F44" s="22">
        <v>118.5</v>
      </c>
      <c r="G44" s="21">
        <v>74.728308609999999</v>
      </c>
      <c r="H44" s="21">
        <v>1.0325844789064453</v>
      </c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34" x14ac:dyDescent="0.25">
      <c r="A45" s="18" t="s">
        <v>31</v>
      </c>
      <c r="B45" s="26">
        <v>4.6283799610675601E-2</v>
      </c>
      <c r="C45" s="20">
        <v>79.767295559999994</v>
      </c>
      <c r="D45" s="21"/>
      <c r="E45" s="22">
        <v>2036.95</v>
      </c>
      <c r="F45" s="22">
        <v>2060.9499999999998</v>
      </c>
      <c r="G45" s="21">
        <v>79.767295559999994</v>
      </c>
      <c r="H45" s="21">
        <v>1.025239233557502</v>
      </c>
      <c r="K45" s="1"/>
      <c r="R45" s="1"/>
    </row>
    <row r="46" spans="1:34" x14ac:dyDescent="0.25">
      <c r="A46" s="18" t="s">
        <v>32</v>
      </c>
      <c r="B46" s="26">
        <v>0.164262280281398</v>
      </c>
      <c r="C46" s="20"/>
      <c r="D46" s="21"/>
      <c r="E46" s="22">
        <v>365</v>
      </c>
      <c r="F46" s="22"/>
      <c r="G46" s="21">
        <v>68.631809730000001</v>
      </c>
      <c r="H46" s="21"/>
      <c r="J46" s="2"/>
      <c r="K46" s="1"/>
      <c r="R46" s="1"/>
    </row>
    <row r="47" spans="1:34" x14ac:dyDescent="0.25">
      <c r="A47" s="18" t="s">
        <v>33</v>
      </c>
      <c r="B47" s="25">
        <v>-4.45444212598241E-2</v>
      </c>
      <c r="C47" s="20"/>
      <c r="D47" s="21"/>
      <c r="E47" s="22">
        <v>351.5</v>
      </c>
      <c r="F47" s="22"/>
      <c r="G47" s="21">
        <v>69.696396059999998</v>
      </c>
      <c r="H47" s="21"/>
      <c r="J47" s="2"/>
      <c r="K47" s="1"/>
      <c r="R47" s="1"/>
    </row>
    <row r="48" spans="1:34" x14ac:dyDescent="0.25">
      <c r="A48" s="18" t="s">
        <v>34</v>
      </c>
      <c r="B48" s="19">
        <v>5.1856335362832198E-2</v>
      </c>
      <c r="C48" s="23"/>
      <c r="D48" s="21"/>
      <c r="E48" s="22">
        <v>6055.55</v>
      </c>
      <c r="F48" s="22"/>
      <c r="G48" s="21">
        <v>112.55085055666601</v>
      </c>
      <c r="H48" s="21"/>
      <c r="J48" s="2"/>
      <c r="K48" s="1"/>
      <c r="R48" s="1"/>
    </row>
    <row r="49" spans="1:18" x14ac:dyDescent="0.25">
      <c r="A49" s="18" t="s">
        <v>35</v>
      </c>
      <c r="B49" s="19">
        <v>0.103368750113241</v>
      </c>
      <c r="C49" s="23"/>
      <c r="D49" s="21"/>
      <c r="E49" s="22">
        <v>22</v>
      </c>
      <c r="F49" s="22"/>
      <c r="G49" s="21">
        <v>117.49299123</v>
      </c>
      <c r="H49" s="21"/>
      <c r="J49" s="2"/>
      <c r="K49" s="1"/>
      <c r="R49" s="1"/>
    </row>
    <row r="50" spans="1:18" x14ac:dyDescent="0.25">
      <c r="A50" s="18" t="s">
        <v>36</v>
      </c>
      <c r="B50" s="19">
        <v>0.15621819275209001</v>
      </c>
      <c r="C50" s="20">
        <v>113.72040256</v>
      </c>
      <c r="D50" s="21"/>
      <c r="E50" s="22">
        <v>21</v>
      </c>
      <c r="F50" s="22">
        <v>21</v>
      </c>
      <c r="G50" s="21">
        <v>115.079453056666</v>
      </c>
      <c r="H50" s="21">
        <f>G50/C50</f>
        <v>1.0119508062412015</v>
      </c>
      <c r="J50" s="2"/>
      <c r="K50" s="1"/>
      <c r="R50" s="1"/>
    </row>
    <row r="51" spans="1:18" x14ac:dyDescent="0.25">
      <c r="A51" s="18" t="s">
        <v>37</v>
      </c>
      <c r="B51" s="19">
        <v>0.15071577677020101</v>
      </c>
      <c r="C51" s="20"/>
      <c r="D51" s="21"/>
      <c r="E51" s="22">
        <v>21.5</v>
      </c>
      <c r="F51" s="22"/>
      <c r="G51" s="21">
        <v>119.222878299999</v>
      </c>
      <c r="H51" s="21"/>
      <c r="J51" s="2"/>
      <c r="K51" s="1"/>
      <c r="R51" s="1"/>
    </row>
    <row r="52" spans="1:18" x14ac:dyDescent="0.25">
      <c r="A52" s="18" t="s">
        <v>38</v>
      </c>
      <c r="B52" s="19">
        <v>5.5397551503622099E-2</v>
      </c>
      <c r="C52" s="20">
        <v>112.66319882000001</v>
      </c>
      <c r="D52" s="21"/>
      <c r="E52" s="22">
        <v>75</v>
      </c>
      <c r="F52" s="22">
        <v>96.5</v>
      </c>
      <c r="G52" s="21">
        <v>115.360934813333</v>
      </c>
      <c r="H52" s="21">
        <f>G52/C52</f>
        <v>1.0239451393319936</v>
      </c>
      <c r="J52" s="2"/>
      <c r="K52" s="1"/>
      <c r="R52" s="1"/>
    </row>
    <row r="53" spans="1:18" x14ac:dyDescent="0.25">
      <c r="A53" s="18" t="s">
        <v>39</v>
      </c>
      <c r="B53" s="19">
        <v>6.9883057908481996E-2</v>
      </c>
      <c r="C53" s="20">
        <v>114.89097618</v>
      </c>
      <c r="D53" s="21"/>
      <c r="E53" s="22">
        <v>47.5</v>
      </c>
      <c r="F53" s="22">
        <v>47.5</v>
      </c>
      <c r="G53" s="21">
        <v>118.05576815000001</v>
      </c>
      <c r="H53" s="21">
        <f>G53/C53</f>
        <v>1.0275460447393339</v>
      </c>
      <c r="J53" s="2"/>
      <c r="K53" s="1"/>
      <c r="R53" s="1"/>
    </row>
    <row r="54" spans="1:18" x14ac:dyDescent="0.25">
      <c r="A54" s="18" t="s">
        <v>40</v>
      </c>
      <c r="B54" s="19">
        <v>7.8645648239850305E-2</v>
      </c>
      <c r="C54" s="20">
        <v>116.55531655999999</v>
      </c>
      <c r="D54" s="21"/>
      <c r="E54" s="22">
        <v>23.5</v>
      </c>
      <c r="F54" s="22">
        <v>23.5</v>
      </c>
      <c r="G54" s="21">
        <v>119.77022043333299</v>
      </c>
      <c r="H54" s="21">
        <f>G54/C54</f>
        <v>1.0275826446035865</v>
      </c>
      <c r="J54" s="2"/>
      <c r="K54" s="1"/>
      <c r="R54" s="1"/>
    </row>
    <row r="55" spans="1:18" x14ac:dyDescent="0.25">
      <c r="A55" s="18" t="s">
        <v>41</v>
      </c>
      <c r="B55" s="19">
        <v>2.1496979213356301E-3</v>
      </c>
      <c r="C55" s="20">
        <v>118.40602251999999</v>
      </c>
      <c r="D55" s="21"/>
      <c r="E55" s="22">
        <v>20</v>
      </c>
      <c r="F55" s="22">
        <v>47.75</v>
      </c>
      <c r="G55" s="21">
        <v>125.17995179</v>
      </c>
      <c r="H55" s="21">
        <f>G55/C55</f>
        <v>1.0572093304532362</v>
      </c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8" t="s">
        <v>42</v>
      </c>
      <c r="B56" s="19">
        <v>0.101236914763633</v>
      </c>
      <c r="C56" s="20">
        <v>115.75512236</v>
      </c>
      <c r="D56" s="21"/>
      <c r="E56" s="22">
        <v>23.75</v>
      </c>
      <c r="F56" s="22">
        <v>23.75</v>
      </c>
      <c r="G56" s="21">
        <v>128.631154973333</v>
      </c>
      <c r="H56" s="21">
        <f>G56/C56</f>
        <v>1.111235100018195</v>
      </c>
    </row>
    <row r="57" spans="1:18" x14ac:dyDescent="0.25">
      <c r="A57" s="18" t="s">
        <v>43</v>
      </c>
      <c r="B57" s="19">
        <v>0.107400232693555</v>
      </c>
      <c r="C57" s="20">
        <v>121.12197168</v>
      </c>
      <c r="D57" s="21"/>
      <c r="E57" s="22">
        <v>23.5</v>
      </c>
      <c r="F57" s="22">
        <v>23.5</v>
      </c>
      <c r="G57" s="21">
        <v>127.417386873333</v>
      </c>
      <c r="H57" s="21">
        <f>G57/C57</f>
        <v>1.0519758315193652</v>
      </c>
    </row>
    <row r="58" spans="1:18" x14ac:dyDescent="0.25">
      <c r="E58" s="1"/>
      <c r="F58" s="1"/>
      <c r="G58" s="1"/>
      <c r="H58" s="1"/>
    </row>
    <row r="59" spans="1:18" x14ac:dyDescent="0.25">
      <c r="E59" s="1"/>
      <c r="F59" s="1"/>
      <c r="G59" s="1"/>
      <c r="H59" s="1"/>
      <c r="I59" s="2"/>
      <c r="J59" s="1"/>
    </row>
    <row r="60" spans="1:18" ht="40.5" x14ac:dyDescent="0.25">
      <c r="A60" s="12" t="s">
        <v>15</v>
      </c>
      <c r="B60" s="12" t="s">
        <v>1</v>
      </c>
      <c r="C60" s="14" t="s">
        <v>45</v>
      </c>
      <c r="D60" s="14" t="s">
        <v>23</v>
      </c>
      <c r="E60" s="15" t="s">
        <v>24</v>
      </c>
      <c r="F60" s="15" t="s">
        <v>25</v>
      </c>
      <c r="G60" s="15" t="s">
        <v>26</v>
      </c>
      <c r="H60" s="15" t="s">
        <v>27</v>
      </c>
    </row>
    <row r="61" spans="1:18" x14ac:dyDescent="0.25">
      <c r="A61" s="18" t="s">
        <v>28</v>
      </c>
      <c r="B61" s="25">
        <v>-0.62489073949006502</v>
      </c>
      <c r="C61" s="20"/>
      <c r="D61" s="21"/>
      <c r="E61" s="21"/>
      <c r="F61" s="21"/>
      <c r="G61" s="21">
        <v>133.4714286</v>
      </c>
      <c r="H61" s="21"/>
    </row>
    <row r="62" spans="1:18" x14ac:dyDescent="0.25">
      <c r="A62" s="18" t="s">
        <v>29</v>
      </c>
      <c r="B62" s="25">
        <v>-0.64117535564386996</v>
      </c>
      <c r="C62" s="20">
        <v>60.588347259999999</v>
      </c>
      <c r="D62" s="21"/>
      <c r="E62" s="22">
        <v>9023.75</v>
      </c>
      <c r="F62" s="22">
        <v>9023.75</v>
      </c>
      <c r="G62" s="21">
        <v>71.117321599999997</v>
      </c>
      <c r="H62" s="21">
        <v>1.0628417845850735</v>
      </c>
    </row>
    <row r="63" spans="1:18" x14ac:dyDescent="0.25">
      <c r="A63" s="18" t="s">
        <v>30</v>
      </c>
      <c r="B63" s="25">
        <v>-0.511670862423525</v>
      </c>
      <c r="C63" s="20">
        <v>73.387016439999996</v>
      </c>
      <c r="D63" s="21"/>
      <c r="E63" s="22">
        <v>118.5</v>
      </c>
      <c r="F63" s="22">
        <v>118.5</v>
      </c>
      <c r="G63" s="21">
        <v>74.728308609999999</v>
      </c>
      <c r="H63" s="21">
        <v>1.0325844789064453</v>
      </c>
    </row>
    <row r="64" spans="1:18" x14ac:dyDescent="0.25">
      <c r="A64" s="18" t="s">
        <v>31</v>
      </c>
      <c r="B64" s="25">
        <v>-0.22155858359451899</v>
      </c>
      <c r="C64" s="20">
        <v>79.767295559999994</v>
      </c>
      <c r="D64" s="21"/>
      <c r="E64" s="22">
        <v>2036.95</v>
      </c>
      <c r="F64" s="22">
        <v>2060.9499999999998</v>
      </c>
      <c r="G64" s="21">
        <v>79.767295559999994</v>
      </c>
      <c r="H64" s="21">
        <v>1.025239233557502</v>
      </c>
    </row>
    <row r="65" spans="1:8" x14ac:dyDescent="0.25">
      <c r="A65" s="18" t="s">
        <v>32</v>
      </c>
      <c r="B65" s="26">
        <v>9.6450074853088597E-2</v>
      </c>
      <c r="C65" s="20"/>
      <c r="D65" s="21"/>
      <c r="E65" s="22">
        <v>365</v>
      </c>
      <c r="F65" s="22"/>
      <c r="G65" s="21">
        <v>68.631809730000001</v>
      </c>
      <c r="H65" s="21"/>
    </row>
    <row r="66" spans="1:8" x14ac:dyDescent="0.25">
      <c r="A66" s="18" t="s">
        <v>33</v>
      </c>
      <c r="B66" s="25">
        <v>-0.24313716774511701</v>
      </c>
      <c r="C66" s="20"/>
      <c r="D66" s="21"/>
      <c r="E66" s="22">
        <v>351.5</v>
      </c>
      <c r="F66" s="22"/>
      <c r="G66" s="21">
        <v>69.696396059999998</v>
      </c>
      <c r="H66" s="21"/>
    </row>
    <row r="67" spans="1:8" x14ac:dyDescent="0.25">
      <c r="A67" s="18" t="s">
        <v>34</v>
      </c>
      <c r="B67" s="19">
        <v>1.3430417175947699E-2</v>
      </c>
      <c r="C67" s="23"/>
      <c r="D67" s="21"/>
      <c r="E67" s="22">
        <v>6055.55</v>
      </c>
      <c r="F67" s="22"/>
      <c r="G67" s="21">
        <v>112.55085055666601</v>
      </c>
      <c r="H67" s="21"/>
    </row>
    <row r="68" spans="1:8" x14ac:dyDescent="0.25">
      <c r="A68" s="18" t="s">
        <v>35</v>
      </c>
      <c r="B68" s="27">
        <v>-1.61778645652975E-2</v>
      </c>
      <c r="C68" s="23"/>
      <c r="D68" s="21"/>
      <c r="E68" s="22">
        <v>22</v>
      </c>
      <c r="F68" s="22"/>
      <c r="G68" s="21">
        <v>117.49299123</v>
      </c>
      <c r="H68" s="21"/>
    </row>
    <row r="69" spans="1:8" x14ac:dyDescent="0.25">
      <c r="A69" s="18" t="s">
        <v>36</v>
      </c>
      <c r="B69" s="19">
        <v>2.95836818188689E-2</v>
      </c>
      <c r="C69" s="20">
        <v>113.72040256</v>
      </c>
      <c r="D69" s="21"/>
      <c r="E69" s="22">
        <v>21</v>
      </c>
      <c r="F69" s="22">
        <v>21</v>
      </c>
      <c r="G69" s="21">
        <v>115.079453056666</v>
      </c>
      <c r="H69" s="21">
        <f>G69/C69</f>
        <v>1.0119508062412015</v>
      </c>
    </row>
    <row r="70" spans="1:8" x14ac:dyDescent="0.25">
      <c r="A70" s="18" t="s">
        <v>37</v>
      </c>
      <c r="B70" s="27">
        <v>-5.4892758010415703E-2</v>
      </c>
      <c r="C70" s="20"/>
      <c r="D70" s="21"/>
      <c r="E70" s="22">
        <v>21.5</v>
      </c>
      <c r="F70" s="22"/>
      <c r="G70" s="21">
        <v>119.222878299999</v>
      </c>
      <c r="H70" s="21"/>
    </row>
    <row r="71" spans="1:8" x14ac:dyDescent="0.25">
      <c r="A71" s="18" t="s">
        <v>38</v>
      </c>
      <c r="B71" s="19">
        <v>8.8641812543785899E-3</v>
      </c>
      <c r="C71" s="20">
        <v>112.66319882000001</v>
      </c>
      <c r="D71" s="21"/>
      <c r="E71" s="22">
        <v>75</v>
      </c>
      <c r="F71" s="22">
        <v>96.5</v>
      </c>
      <c r="G71" s="21">
        <v>115.360934813333</v>
      </c>
      <c r="H71" s="21">
        <f>G71/C71</f>
        <v>1.0239451393319936</v>
      </c>
    </row>
    <row r="72" spans="1:8" x14ac:dyDescent="0.25">
      <c r="A72" s="18" t="s">
        <v>39</v>
      </c>
      <c r="B72" s="19">
        <v>1.32778322661357E-2</v>
      </c>
      <c r="C72" s="20">
        <v>114.89097618</v>
      </c>
      <c r="D72" s="21"/>
      <c r="E72" s="22">
        <v>47.5</v>
      </c>
      <c r="F72" s="22">
        <v>47.5</v>
      </c>
      <c r="G72" s="21">
        <v>118.05576815000001</v>
      </c>
      <c r="H72" s="21">
        <f>G72/C72</f>
        <v>1.0275460447393339</v>
      </c>
    </row>
    <row r="73" spans="1:8" x14ac:dyDescent="0.25">
      <c r="A73" s="18" t="s">
        <v>40</v>
      </c>
      <c r="B73" s="27">
        <v>-6.0975544853349099E-2</v>
      </c>
      <c r="C73" s="20">
        <v>116.55531655999999</v>
      </c>
      <c r="D73" s="21"/>
      <c r="E73" s="22">
        <v>23.5</v>
      </c>
      <c r="F73" s="22">
        <v>23.5</v>
      </c>
      <c r="G73" s="21">
        <v>119.77022043333299</v>
      </c>
      <c r="H73" s="21">
        <f>G73/C73</f>
        <v>1.0275826446035865</v>
      </c>
    </row>
    <row r="74" spans="1:8" x14ac:dyDescent="0.25">
      <c r="A74" s="18" t="s">
        <v>41</v>
      </c>
      <c r="B74" s="27">
        <v>-1.77749404385871E-2</v>
      </c>
      <c r="C74" s="20">
        <v>118.40602251999999</v>
      </c>
      <c r="D74" s="21"/>
      <c r="E74" s="22">
        <v>20</v>
      </c>
      <c r="F74" s="22">
        <v>47.75</v>
      </c>
      <c r="G74" s="21">
        <v>125.17995179</v>
      </c>
      <c r="H74" s="21">
        <f>G74/C74</f>
        <v>1.0572093304532362</v>
      </c>
    </row>
    <row r="75" spans="1:8" x14ac:dyDescent="0.25">
      <c r="A75" s="18" t="s">
        <v>42</v>
      </c>
      <c r="B75" s="19">
        <v>3.08855730575289E-3</v>
      </c>
      <c r="C75" s="20">
        <v>115.75512236</v>
      </c>
      <c r="D75" s="21"/>
      <c r="E75" s="22">
        <v>23.75</v>
      </c>
      <c r="F75" s="22">
        <v>23.75</v>
      </c>
      <c r="G75" s="21">
        <v>128.631154973333</v>
      </c>
      <c r="H75" s="21">
        <f>G75/C75</f>
        <v>1.111235100018195</v>
      </c>
    </row>
    <row r="76" spans="1:8" x14ac:dyDescent="0.25">
      <c r="A76" s="18" t="s">
        <v>43</v>
      </c>
      <c r="B76" s="27">
        <v>-5.3081166180475401E-3</v>
      </c>
      <c r="C76" s="20">
        <v>121.12197168</v>
      </c>
      <c r="D76" s="21"/>
      <c r="E76" s="22">
        <v>23.5</v>
      </c>
      <c r="F76" s="22">
        <v>23.5</v>
      </c>
      <c r="G76" s="21">
        <v>127.417386873333</v>
      </c>
      <c r="H76" s="21">
        <f>G76/C76</f>
        <v>1.0519758315193652</v>
      </c>
    </row>
    <row r="77" spans="1:8" x14ac:dyDescent="0.25">
      <c r="D77" s="2"/>
      <c r="E77" s="2"/>
      <c r="F77" s="2"/>
    </row>
    <row r="78" spans="1:8" x14ac:dyDescent="0.25">
      <c r="A78" s="12" t="s">
        <v>12</v>
      </c>
      <c r="B78" s="12"/>
      <c r="C78" s="12"/>
      <c r="D78" s="1"/>
      <c r="E78" s="2"/>
    </row>
    <row r="79" spans="1:8" x14ac:dyDescent="0.25">
      <c r="A79" s="13" t="s">
        <v>0</v>
      </c>
      <c r="B79" s="13" t="s">
        <v>1</v>
      </c>
      <c r="C79" s="13" t="s">
        <v>22</v>
      </c>
      <c r="D79" s="14" t="s">
        <v>23</v>
      </c>
      <c r="E79" s="2"/>
    </row>
    <row r="80" spans="1:8" x14ac:dyDescent="0.25">
      <c r="A80" s="17" t="s">
        <v>28</v>
      </c>
      <c r="B80" s="26">
        <v>0.735611704001494</v>
      </c>
      <c r="C80" s="20"/>
      <c r="D80" s="10"/>
      <c r="E80" s="2"/>
    </row>
    <row r="81" spans="1:5" x14ac:dyDescent="0.25">
      <c r="A81" s="17" t="s">
        <v>29</v>
      </c>
      <c r="B81" s="26">
        <v>0.199680501000808</v>
      </c>
      <c r="C81" s="20">
        <v>60.588347259999999</v>
      </c>
      <c r="D81" s="10"/>
      <c r="E81" s="2"/>
    </row>
    <row r="82" spans="1:5" x14ac:dyDescent="0.25">
      <c r="A82" s="17" t="s">
        <v>30</v>
      </c>
      <c r="B82" s="26">
        <v>0.12535086320927399</v>
      </c>
      <c r="C82" s="20">
        <v>73.387016439999996</v>
      </c>
      <c r="D82" s="10"/>
    </row>
    <row r="83" spans="1:5" x14ac:dyDescent="0.25">
      <c r="A83" s="17" t="s">
        <v>31</v>
      </c>
      <c r="B83" s="26">
        <v>0.42964915677977999</v>
      </c>
      <c r="C83" s="20">
        <v>79.767295559999994</v>
      </c>
      <c r="D83" s="10"/>
      <c r="E83" s="10"/>
    </row>
    <row r="84" spans="1:5" x14ac:dyDescent="0.25">
      <c r="A84" s="17" t="s">
        <v>32</v>
      </c>
      <c r="B84" s="26">
        <v>4.3375577562074601E-2</v>
      </c>
      <c r="C84" s="20"/>
      <c r="D84" s="10"/>
    </row>
    <row r="85" spans="1:5" x14ac:dyDescent="0.25">
      <c r="A85" s="17" t="s">
        <v>33</v>
      </c>
      <c r="B85" s="26">
        <v>4.5262412029273197E-2</v>
      </c>
      <c r="C85" s="20"/>
      <c r="D85" s="10"/>
    </row>
    <row r="86" spans="1:5" x14ac:dyDescent="0.25">
      <c r="A86" s="1"/>
      <c r="B86" s="28"/>
      <c r="C86" s="10"/>
      <c r="D86" s="10"/>
    </row>
    <row r="87" spans="1:5" x14ac:dyDescent="0.25">
      <c r="A87" s="1"/>
      <c r="B87" s="28"/>
      <c r="C87" s="10"/>
      <c r="D87" s="10"/>
    </row>
    <row r="88" spans="1:5" x14ac:dyDescent="0.25">
      <c r="A88" s="1"/>
      <c r="B88" s="28"/>
      <c r="C88" s="10"/>
      <c r="D88" s="10"/>
    </row>
    <row r="89" spans="1:5" x14ac:dyDescent="0.25">
      <c r="A89" s="1"/>
      <c r="B89" s="28"/>
      <c r="C89" s="10"/>
      <c r="D89" s="10"/>
    </row>
    <row r="90" spans="1:5" x14ac:dyDescent="0.25">
      <c r="A90" s="1"/>
      <c r="B90" s="28"/>
      <c r="C90" s="10"/>
      <c r="D90" s="10"/>
    </row>
    <row r="91" spans="1:5" x14ac:dyDescent="0.25">
      <c r="B91" s="2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AC44" sqref="AC44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9" t="s">
        <v>8</v>
      </c>
      <c r="C2" s="9" t="s">
        <v>22</v>
      </c>
      <c r="D2" s="9" t="s">
        <v>17</v>
      </c>
      <c r="E2" s="9" t="s">
        <v>18</v>
      </c>
      <c r="F2" s="9" t="s">
        <v>1</v>
      </c>
    </row>
    <row r="3" spans="2:6" x14ac:dyDescent="0.25">
      <c r="B3" s="9" t="s">
        <v>2</v>
      </c>
      <c r="C3" s="8">
        <v>9.4725974000000004E-2</v>
      </c>
      <c r="D3" s="6">
        <v>2.1746388039620901</v>
      </c>
      <c r="E3" s="6">
        <v>0.90358482744648005</v>
      </c>
      <c r="F3" s="6">
        <v>0.17369777575697301</v>
      </c>
    </row>
    <row r="4" spans="2:6" x14ac:dyDescent="0.25">
      <c r="B4" s="9" t="s">
        <v>3</v>
      </c>
      <c r="C4" s="8">
        <v>0.102452336</v>
      </c>
      <c r="D4" s="6">
        <v>2.2792285281778502</v>
      </c>
      <c r="E4" s="6">
        <v>0.663434225775831</v>
      </c>
      <c r="F4" s="6">
        <v>9.9143945152060597E-2</v>
      </c>
    </row>
    <row r="5" spans="2:6" x14ac:dyDescent="0.25">
      <c r="B5" s="9" t="s">
        <v>5</v>
      </c>
      <c r="C5" s="8">
        <v>0.110144282</v>
      </c>
      <c r="D5" s="6">
        <v>1.45242884682964</v>
      </c>
      <c r="E5" s="6">
        <v>0.238708102284336</v>
      </c>
      <c r="F5" s="6">
        <v>0.14477972148899501</v>
      </c>
    </row>
    <row r="6" spans="2:6" x14ac:dyDescent="0.25">
      <c r="B6" s="9" t="s">
        <v>7</v>
      </c>
      <c r="C6" s="8">
        <v>9.3918104000000002E-2</v>
      </c>
      <c r="D6" s="7">
        <v>0.84619083652769</v>
      </c>
      <c r="E6" s="7">
        <v>-0.57708462423306806</v>
      </c>
      <c r="F6" s="7">
        <v>-7.8588218215967606E-2</v>
      </c>
    </row>
    <row r="8" spans="2:6" x14ac:dyDescent="0.25">
      <c r="B8" s="1" t="s">
        <v>13</v>
      </c>
      <c r="C8" s="9" t="s">
        <v>22</v>
      </c>
      <c r="D8" s="9" t="s">
        <v>17</v>
      </c>
      <c r="E8" s="9" t="s">
        <v>18</v>
      </c>
      <c r="F8" s="9" t="s">
        <v>1</v>
      </c>
    </row>
    <row r="9" spans="2:6" x14ac:dyDescent="0.25">
      <c r="B9" s="9" t="s">
        <v>2</v>
      </c>
      <c r="C9" s="8">
        <v>9.4725974000000004E-2</v>
      </c>
      <c r="D9" s="7">
        <v>0.93103098270545204</v>
      </c>
      <c r="E9" s="7">
        <v>0.356634245125801</v>
      </c>
      <c r="F9" s="7">
        <v>1.7836570943256701E-2</v>
      </c>
    </row>
    <row r="10" spans="2:6" x14ac:dyDescent="0.25">
      <c r="B10" s="9" t="s">
        <v>3</v>
      </c>
      <c r="C10" s="8">
        <v>0.102452336</v>
      </c>
      <c r="D10" s="7">
        <v>0.62021758140125105</v>
      </c>
      <c r="E10" s="7">
        <v>-0.834312574960141</v>
      </c>
      <c r="F10" s="7">
        <v>-0.54160608613664096</v>
      </c>
    </row>
    <row r="11" spans="2:6" x14ac:dyDescent="0.25">
      <c r="B11" s="9" t="s">
        <v>5</v>
      </c>
      <c r="C11" s="8">
        <v>0.110144282</v>
      </c>
      <c r="D11" s="6">
        <v>1.0770799229366299</v>
      </c>
      <c r="E11" s="6">
        <v>0.64255712913469198</v>
      </c>
      <c r="F11" s="6">
        <v>0.41389016217674901</v>
      </c>
    </row>
    <row r="12" spans="2:6" x14ac:dyDescent="0.25">
      <c r="B12" s="9" t="s">
        <v>7</v>
      </c>
      <c r="C12" s="8">
        <v>9.3918104000000002E-2</v>
      </c>
      <c r="D12" s="6">
        <v>1.6537701478523501</v>
      </c>
      <c r="E12" s="6">
        <v>0.384403035464087</v>
      </c>
      <c r="F12" s="6">
        <v>5.9760012226563401E-2</v>
      </c>
    </row>
    <row r="14" spans="2:6" x14ac:dyDescent="0.25">
      <c r="B14" s="1" t="s">
        <v>12</v>
      </c>
      <c r="C14" s="9" t="s">
        <v>22</v>
      </c>
      <c r="D14" s="9" t="s">
        <v>17</v>
      </c>
      <c r="E14" s="9" t="s">
        <v>18</v>
      </c>
      <c r="F14" s="9" t="s">
        <v>1</v>
      </c>
    </row>
    <row r="15" spans="2:6" x14ac:dyDescent="0.25">
      <c r="B15" s="9" t="s">
        <v>2</v>
      </c>
      <c r="C15" s="8">
        <v>9.4725974000000004E-2</v>
      </c>
      <c r="D15" s="6">
        <v>1.5737102771314899</v>
      </c>
      <c r="E15" s="6">
        <v>0.86635228697468503</v>
      </c>
      <c r="F15" s="6">
        <v>0.199680501000808</v>
      </c>
    </row>
    <row r="16" spans="2:6" x14ac:dyDescent="0.25">
      <c r="B16" s="9" t="s">
        <v>3</v>
      </c>
      <c r="C16" s="8">
        <v>0.102452336</v>
      </c>
      <c r="D16" s="6">
        <v>1.50347635019633</v>
      </c>
      <c r="E16" s="6">
        <v>0.96614890517595997</v>
      </c>
      <c r="F16" s="6">
        <v>0.12535086320927399</v>
      </c>
    </row>
    <row r="17" spans="2:6" x14ac:dyDescent="0.25">
      <c r="B17" s="9" t="s">
        <v>5</v>
      </c>
      <c r="C17" s="8">
        <v>0.110144282</v>
      </c>
      <c r="D17" s="6">
        <v>1.29322320004102</v>
      </c>
      <c r="E17" s="6">
        <v>0.43470959470339599</v>
      </c>
      <c r="F17" s="6">
        <v>0.36758406997509402</v>
      </c>
    </row>
    <row r="18" spans="2:6" x14ac:dyDescent="0.25">
      <c r="B18" s="9" t="s">
        <v>7</v>
      </c>
      <c r="C18" s="8">
        <v>9.3918104000000002E-2</v>
      </c>
      <c r="D18" s="7">
        <v>0.82233612818652901</v>
      </c>
      <c r="E18" s="7">
        <v>-0.50591021290758598</v>
      </c>
      <c r="F18" s="7">
        <v>-0.161754895727207</v>
      </c>
    </row>
    <row r="20" spans="2:6" x14ac:dyDescent="0.25">
      <c r="B20" s="1" t="s">
        <v>11</v>
      </c>
      <c r="C20" s="9" t="s">
        <v>22</v>
      </c>
      <c r="D20" s="9" t="s">
        <v>17</v>
      </c>
      <c r="E20" s="9" t="s">
        <v>18</v>
      </c>
      <c r="F20" s="9" t="s">
        <v>1</v>
      </c>
    </row>
    <row r="21" spans="2:6" x14ac:dyDescent="0.25">
      <c r="B21" s="9" t="s">
        <v>2</v>
      </c>
      <c r="C21" s="8">
        <v>9.4725974000000004E-2</v>
      </c>
      <c r="D21" s="6">
        <v>2.2885725031264901</v>
      </c>
      <c r="E21" s="6">
        <v>0.86069377106338596</v>
      </c>
      <c r="F21" s="6">
        <v>0.14822690674265199</v>
      </c>
    </row>
    <row r="22" spans="2:6" x14ac:dyDescent="0.25">
      <c r="B22" s="9" t="s">
        <v>3</v>
      </c>
      <c r="C22" s="8">
        <v>0.102452336</v>
      </c>
      <c r="D22" s="7">
        <v>0.65629846710779305</v>
      </c>
      <c r="E22" s="7">
        <v>-0.38672859447744201</v>
      </c>
      <c r="F22" s="7">
        <v>-9.02599646039247E-2</v>
      </c>
    </row>
    <row r="23" spans="2:6" x14ac:dyDescent="0.25">
      <c r="B23" s="9" t="s">
        <v>5</v>
      </c>
      <c r="C23" s="8">
        <v>0.110144282</v>
      </c>
      <c r="D23" s="7">
        <v>0.61809493388466297</v>
      </c>
      <c r="E23" s="7">
        <v>-0.851696935181535</v>
      </c>
      <c r="F23" s="7">
        <v>-0.17562342751062601</v>
      </c>
    </row>
    <row r="24" spans="2:6" x14ac:dyDescent="0.25">
      <c r="B24" s="9" t="s">
        <v>7</v>
      </c>
      <c r="C24" s="8">
        <v>9.3918104000000002E-2</v>
      </c>
    </row>
    <row r="26" spans="2:6" x14ac:dyDescent="0.25">
      <c r="B26" s="1" t="s">
        <v>10</v>
      </c>
      <c r="C26" s="9" t="s">
        <v>22</v>
      </c>
      <c r="D26" s="9" t="s">
        <v>17</v>
      </c>
      <c r="E26" s="9" t="s">
        <v>18</v>
      </c>
      <c r="F26" s="9" t="s">
        <v>1</v>
      </c>
    </row>
    <row r="27" spans="2:6" x14ac:dyDescent="0.25">
      <c r="B27" s="9" t="s">
        <v>2</v>
      </c>
      <c r="C27" s="8">
        <v>9.4725974000000004E-2</v>
      </c>
      <c r="D27" s="6">
        <v>1.2975667452931301</v>
      </c>
      <c r="E27" s="6">
        <v>0.86785733003031096</v>
      </c>
      <c r="F27" s="6">
        <v>0.10077650528672399</v>
      </c>
    </row>
    <row r="28" spans="2:6" x14ac:dyDescent="0.25">
      <c r="B28" s="9" t="s">
        <v>3</v>
      </c>
      <c r="C28" s="8">
        <v>0.102452336</v>
      </c>
      <c r="D28" s="6">
        <v>1.0575708895152101</v>
      </c>
      <c r="E28" s="6">
        <v>0.26292322495904802</v>
      </c>
      <c r="F28" s="6">
        <v>6.3493902184217604E-2</v>
      </c>
    </row>
    <row r="29" spans="2:6" x14ac:dyDescent="0.25">
      <c r="B29" s="9" t="s">
        <v>5</v>
      </c>
      <c r="C29" s="8">
        <v>0.110144282</v>
      </c>
    </row>
    <row r="30" spans="2:6" x14ac:dyDescent="0.25">
      <c r="B30" s="9" t="s">
        <v>7</v>
      </c>
      <c r="C30" s="8">
        <v>9.3918104000000002E-2</v>
      </c>
    </row>
    <row r="32" spans="2:6" x14ac:dyDescent="0.25">
      <c r="B32" s="1" t="s">
        <v>9</v>
      </c>
      <c r="C32" s="9" t="s">
        <v>22</v>
      </c>
      <c r="D32" s="9" t="s">
        <v>17</v>
      </c>
      <c r="E32" s="9" t="s">
        <v>18</v>
      </c>
      <c r="F32" s="9" t="s">
        <v>1</v>
      </c>
    </row>
    <row r="33" spans="2:8" x14ac:dyDescent="0.25">
      <c r="B33" s="9" t="s">
        <v>2</v>
      </c>
      <c r="C33" s="8">
        <v>9.4725974000000004E-2</v>
      </c>
      <c r="D33" s="7">
        <v>0.92254459679364598</v>
      </c>
      <c r="E33" s="6">
        <v>0.385385071473553</v>
      </c>
      <c r="F33" s="6">
        <v>6.6875193364792196E-2</v>
      </c>
    </row>
    <row r="34" spans="2:8" x14ac:dyDescent="0.25">
      <c r="B34" s="9" t="s">
        <v>3</v>
      </c>
      <c r="C34" s="8">
        <v>0.102452336</v>
      </c>
      <c r="D34" s="7">
        <v>0.53817423509068496</v>
      </c>
      <c r="E34" s="7">
        <v>-0.51784566087035699</v>
      </c>
      <c r="F34" s="7">
        <v>-8.6669485065099E-2</v>
      </c>
    </row>
    <row r="35" spans="2:8" x14ac:dyDescent="0.25">
      <c r="B35" s="9" t="s">
        <v>5</v>
      </c>
      <c r="C35" s="8">
        <v>0.110144282</v>
      </c>
    </row>
    <row r="36" spans="2:8" x14ac:dyDescent="0.25">
      <c r="B36" s="9" t="s">
        <v>7</v>
      </c>
      <c r="C36" s="8">
        <v>9.3918104000000002E-2</v>
      </c>
    </row>
    <row r="38" spans="2:8" x14ac:dyDescent="0.25">
      <c r="B38" s="9" t="s">
        <v>16</v>
      </c>
      <c r="C38" s="9" t="s">
        <v>22</v>
      </c>
      <c r="D38" s="9" t="s">
        <v>17</v>
      </c>
      <c r="E38" s="9" t="s">
        <v>18</v>
      </c>
      <c r="F38" s="9" t="s">
        <v>1</v>
      </c>
      <c r="G38" s="9" t="s">
        <v>19</v>
      </c>
      <c r="H38" s="9" t="s">
        <v>14</v>
      </c>
    </row>
    <row r="39" spans="2:8" x14ac:dyDescent="0.25">
      <c r="B39" s="9" t="s">
        <v>2</v>
      </c>
      <c r="C39" s="8">
        <v>9.4725974000000004E-2</v>
      </c>
      <c r="D39" s="6">
        <v>1.2050076272027901</v>
      </c>
      <c r="E39" s="6">
        <v>0.92674759673055396</v>
      </c>
      <c r="F39" s="6">
        <v>0.13984116014494999</v>
      </c>
      <c r="G39" s="6">
        <v>0.58415158227019104</v>
      </c>
      <c r="H39" s="6">
        <v>0.66959836720930499</v>
      </c>
    </row>
    <row r="40" spans="2:8" x14ac:dyDescent="0.25">
      <c r="B40" s="9" t="s">
        <v>3</v>
      </c>
      <c r="C40" s="8">
        <v>0.102452336</v>
      </c>
      <c r="D40" s="6">
        <v>1.11910970408747</v>
      </c>
      <c r="E40" s="6">
        <v>0.156816283020727</v>
      </c>
      <c r="F40" s="6">
        <v>8.9326261366187695E-2</v>
      </c>
      <c r="G40" s="6">
        <v>5.92725219807008E-2</v>
      </c>
      <c r="H40" s="6">
        <v>0.1017952207019</v>
      </c>
    </row>
    <row r="41" spans="2:8" x14ac:dyDescent="0.25">
      <c r="B41" s="9" t="s">
        <v>5</v>
      </c>
      <c r="C41" s="8">
        <v>0.110144282</v>
      </c>
      <c r="D41" s="6">
        <v>1.41606982531736</v>
      </c>
      <c r="E41" s="6">
        <v>0.52921681534296305</v>
      </c>
      <c r="F41" s="6">
        <v>3.0850994672477702E-2</v>
      </c>
      <c r="G41" s="6">
        <v>0.17041594173230901</v>
      </c>
      <c r="H41" s="6">
        <v>0.33346513766249403</v>
      </c>
    </row>
    <row r="42" spans="2:8" x14ac:dyDescent="0.25">
      <c r="B42" s="9" t="s">
        <v>7</v>
      </c>
      <c r="C42" s="8">
        <v>9.3918104000000002E-2</v>
      </c>
      <c r="D42" s="6">
        <v>1.1637562782531401</v>
      </c>
      <c r="E42" s="6">
        <v>0.401331670241585</v>
      </c>
      <c r="F42" s="6">
        <v>6.7271555006068101E-2</v>
      </c>
      <c r="G42" s="6">
        <v>8.1392652419518097E-2</v>
      </c>
      <c r="H42" s="6">
        <v>0.164652348864086</v>
      </c>
    </row>
    <row r="44" spans="2:8" x14ac:dyDescent="0.25">
      <c r="B44" s="1" t="s">
        <v>15</v>
      </c>
      <c r="C44" s="9" t="s">
        <v>22</v>
      </c>
      <c r="D44" s="9" t="s">
        <v>17</v>
      </c>
      <c r="E44" s="9" t="s">
        <v>18</v>
      </c>
      <c r="F44" s="9" t="s">
        <v>1</v>
      </c>
      <c r="G44" s="9" t="s">
        <v>19</v>
      </c>
      <c r="H44" s="9" t="s">
        <v>14</v>
      </c>
    </row>
    <row r="45" spans="2:8" x14ac:dyDescent="0.25">
      <c r="B45" s="9" t="s">
        <v>2</v>
      </c>
      <c r="C45" s="8">
        <v>9.4725974000000004E-2</v>
      </c>
      <c r="D45" s="7">
        <v>0.76151296818251002</v>
      </c>
      <c r="E45" s="7">
        <v>-0.82455849900808098</v>
      </c>
      <c r="F45" s="7">
        <v>-0.53010922957415696</v>
      </c>
      <c r="G45" s="7">
        <v>-0.67807302432253402</v>
      </c>
      <c r="H45" s="7">
        <v>-0.81917889363282403</v>
      </c>
    </row>
    <row r="46" spans="2:8" x14ac:dyDescent="0.25">
      <c r="B46" s="9" t="s">
        <v>3</v>
      </c>
      <c r="C46" s="8">
        <v>0.102452336</v>
      </c>
      <c r="D46" s="7">
        <v>0.63241662033349</v>
      </c>
      <c r="E46" s="7">
        <v>-0.77305412456000899</v>
      </c>
      <c r="F46" s="7">
        <v>-0.511670862423525</v>
      </c>
      <c r="G46" s="7">
        <v>-0.62213976025652196</v>
      </c>
      <c r="H46" s="7">
        <v>-0.76662036881149098</v>
      </c>
    </row>
    <row r="47" spans="2:8" x14ac:dyDescent="0.25">
      <c r="B47" s="9" t="s">
        <v>5</v>
      </c>
      <c r="C47" s="8">
        <v>0.110144282</v>
      </c>
      <c r="D47" s="7">
        <v>0.64478493475432996</v>
      </c>
      <c r="E47" s="7">
        <v>-0.64445784381595494</v>
      </c>
      <c r="F47" s="7">
        <v>-0.24334139198969101</v>
      </c>
      <c r="G47" s="7">
        <v>-0.34407999236201098</v>
      </c>
      <c r="H47" s="7">
        <v>-0.52379920048275397</v>
      </c>
    </row>
    <row r="48" spans="2:8" x14ac:dyDescent="0.25">
      <c r="B48" s="9" t="s">
        <v>7</v>
      </c>
      <c r="C48" s="8">
        <v>9.3918104000000002E-2</v>
      </c>
      <c r="D48" s="7">
        <v>0.74506131022172795</v>
      </c>
      <c r="E48" s="7">
        <v>-0.75894808346496501</v>
      </c>
      <c r="F48" s="7">
        <v>-0.37958282657101999</v>
      </c>
      <c r="G48" s="7">
        <v>-0.37092334927613402</v>
      </c>
      <c r="H48" s="7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C23" sqref="C23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9" t="s">
        <v>8</v>
      </c>
      <c r="C2" s="9" t="s">
        <v>22</v>
      </c>
      <c r="D2" s="9" t="s">
        <v>17</v>
      </c>
      <c r="E2" s="9" t="s">
        <v>18</v>
      </c>
      <c r="F2" s="9" t="s">
        <v>1</v>
      </c>
    </row>
    <row r="3" spans="2:6" x14ac:dyDescent="0.25">
      <c r="B3" s="9" t="s">
        <v>2</v>
      </c>
      <c r="C3" s="8">
        <v>9.4725974000000004E-2</v>
      </c>
      <c r="D3" s="6">
        <v>2.1746388039620901</v>
      </c>
      <c r="E3" s="6">
        <v>0.90358482744648005</v>
      </c>
      <c r="F3" s="6">
        <v>0.17369777575697301</v>
      </c>
    </row>
    <row r="4" spans="2:6" x14ac:dyDescent="0.25">
      <c r="B4" s="9" t="s">
        <v>3</v>
      </c>
      <c r="C4" s="8">
        <v>0.102452336</v>
      </c>
      <c r="D4" s="6">
        <v>2.2792285281778502</v>
      </c>
      <c r="E4" s="6">
        <v>0.663434225775831</v>
      </c>
      <c r="F4" s="6">
        <v>9.9143945152060597E-2</v>
      </c>
    </row>
    <row r="5" spans="2:6" x14ac:dyDescent="0.25">
      <c r="B5" s="9" t="s">
        <v>4</v>
      </c>
      <c r="C5" s="8">
        <v>0.110144282</v>
      </c>
      <c r="D5" s="6">
        <v>1.4480475262282899</v>
      </c>
      <c r="E5" s="6">
        <v>0.66475177086608195</v>
      </c>
      <c r="F5" s="6">
        <v>0.21234239309632399</v>
      </c>
    </row>
    <row r="6" spans="2:6" x14ac:dyDescent="0.25">
      <c r="B6" s="9" t="s">
        <v>6</v>
      </c>
      <c r="C6" s="8">
        <v>9.3918104000000002E-2</v>
      </c>
      <c r="D6" s="7">
        <v>0.665445371933445</v>
      </c>
      <c r="E6" s="7">
        <v>-1.0305451800868599</v>
      </c>
      <c r="F6" s="7">
        <v>-4.1760232547360499E-2</v>
      </c>
    </row>
    <row r="8" spans="2:6" x14ac:dyDescent="0.25">
      <c r="B8" s="1" t="s">
        <v>13</v>
      </c>
      <c r="C8" s="9" t="s">
        <v>22</v>
      </c>
      <c r="D8" s="9" t="s">
        <v>17</v>
      </c>
      <c r="E8" s="9" t="s">
        <v>18</v>
      </c>
      <c r="F8" s="9" t="s">
        <v>1</v>
      </c>
    </row>
    <row r="9" spans="2:6" x14ac:dyDescent="0.25">
      <c r="B9" s="9" t="s">
        <v>2</v>
      </c>
      <c r="C9" s="8">
        <v>9.4725974000000004E-2</v>
      </c>
      <c r="D9" s="7">
        <v>0.93103098270545204</v>
      </c>
      <c r="E9" s="7">
        <v>0.356634245125801</v>
      </c>
      <c r="F9" s="7">
        <v>1.7836570943256701E-2</v>
      </c>
    </row>
    <row r="10" spans="2:6" x14ac:dyDescent="0.25">
      <c r="B10" s="9" t="s">
        <v>3</v>
      </c>
      <c r="C10" s="8">
        <v>0.102452336</v>
      </c>
      <c r="D10" s="7">
        <v>0.62021758140125105</v>
      </c>
      <c r="E10" s="7">
        <v>-0.834312574960141</v>
      </c>
      <c r="F10" s="7">
        <v>-0.54160608613664096</v>
      </c>
    </row>
    <row r="11" spans="2:6" x14ac:dyDescent="0.25">
      <c r="B11" s="9" t="s">
        <v>4</v>
      </c>
      <c r="C11" s="8">
        <v>0.110144282</v>
      </c>
      <c r="D11" s="7">
        <v>0.77501210984665403</v>
      </c>
      <c r="E11" s="7">
        <v>-0.908415578463458</v>
      </c>
      <c r="F11" s="7">
        <v>-0.17637365181995501</v>
      </c>
    </row>
    <row r="12" spans="2:6" x14ac:dyDescent="0.25">
      <c r="B12" s="9" t="s">
        <v>6</v>
      </c>
      <c r="C12" s="8">
        <v>9.3918104000000002E-2</v>
      </c>
      <c r="D12" s="7">
        <v>0.66267278810022201</v>
      </c>
      <c r="E12" s="7">
        <v>-1.0273129897173701</v>
      </c>
      <c r="F12" s="7">
        <v>-4.74716361793363E-2</v>
      </c>
    </row>
    <row r="14" spans="2:6" x14ac:dyDescent="0.25">
      <c r="B14" s="1" t="s">
        <v>12</v>
      </c>
      <c r="C14" s="9" t="s">
        <v>22</v>
      </c>
      <c r="D14" s="9" t="s">
        <v>17</v>
      </c>
      <c r="E14" s="9" t="s">
        <v>18</v>
      </c>
      <c r="F14" s="9" t="s">
        <v>1</v>
      </c>
    </row>
    <row r="15" spans="2:6" x14ac:dyDescent="0.25">
      <c r="B15" s="9" t="s">
        <v>2</v>
      </c>
      <c r="C15" s="8">
        <v>9.4725974000000004E-2</v>
      </c>
      <c r="D15" s="6">
        <v>1.5737102771314899</v>
      </c>
      <c r="E15" s="6">
        <v>0.86635228697468503</v>
      </c>
      <c r="F15" s="6">
        <v>0.199680501000808</v>
      </c>
    </row>
    <row r="16" spans="2:6" x14ac:dyDescent="0.25">
      <c r="B16" s="9" t="s">
        <v>3</v>
      </c>
      <c r="C16" s="8">
        <v>0.102452336</v>
      </c>
      <c r="D16" s="6">
        <v>1.50347635019633</v>
      </c>
      <c r="E16" s="6">
        <v>0.96614890517595997</v>
      </c>
      <c r="F16" s="6">
        <v>0.12535086320927399</v>
      </c>
    </row>
    <row r="17" spans="2:6" x14ac:dyDescent="0.25">
      <c r="B17" s="9" t="s">
        <v>4</v>
      </c>
      <c r="C17" s="8">
        <v>0.110144282</v>
      </c>
      <c r="D17" s="6">
        <v>1.46809780024647</v>
      </c>
      <c r="E17" s="6">
        <v>0.61110995616383801</v>
      </c>
      <c r="F17" s="6">
        <v>0.42964915677977999</v>
      </c>
    </row>
    <row r="18" spans="2:6" x14ac:dyDescent="0.25">
      <c r="B18" s="9" t="s">
        <v>6</v>
      </c>
      <c r="C18" s="8">
        <v>9.3918104000000002E-2</v>
      </c>
      <c r="D18" s="7">
        <v>0.56520265738304298</v>
      </c>
      <c r="E18" s="7">
        <v>-1.0275595596207601</v>
      </c>
      <c r="F18" s="7">
        <v>-6.6277814143714905E-2</v>
      </c>
    </row>
    <row r="20" spans="2:6" x14ac:dyDescent="0.25">
      <c r="B20" s="1" t="s">
        <v>11</v>
      </c>
      <c r="C20" s="9" t="s">
        <v>22</v>
      </c>
      <c r="D20" s="9" t="s">
        <v>17</v>
      </c>
      <c r="E20" s="9" t="s">
        <v>18</v>
      </c>
      <c r="F20" s="9" t="s">
        <v>1</v>
      </c>
    </row>
    <row r="21" spans="2:6" x14ac:dyDescent="0.25">
      <c r="B21" s="9" t="s">
        <v>2</v>
      </c>
      <c r="C21" s="8">
        <v>9.4725974000000004E-2</v>
      </c>
      <c r="D21" s="6">
        <v>2.2885725031264901</v>
      </c>
      <c r="E21" s="6">
        <v>0.86069377106338596</v>
      </c>
      <c r="F21" s="6">
        <v>0.14822690674265199</v>
      </c>
    </row>
    <row r="22" spans="2:6" x14ac:dyDescent="0.25">
      <c r="B22" s="9" t="s">
        <v>3</v>
      </c>
      <c r="C22" s="8">
        <v>0.102452336</v>
      </c>
      <c r="D22" s="7">
        <v>0.65629846710779305</v>
      </c>
      <c r="E22" s="7">
        <v>-0.38672859447744201</v>
      </c>
      <c r="F22" s="7">
        <v>-9.02599646039247E-2</v>
      </c>
    </row>
    <row r="23" spans="2:6" x14ac:dyDescent="0.25">
      <c r="B23" s="9" t="s">
        <v>4</v>
      </c>
      <c r="C23" s="8">
        <v>0.110144282</v>
      </c>
      <c r="D23" s="7">
        <v>0.92225532580611602</v>
      </c>
      <c r="E23" s="7">
        <v>-0.36586676677487101</v>
      </c>
      <c r="F23" s="6">
        <v>3.59517217205262E-2</v>
      </c>
    </row>
    <row r="24" spans="2:6" x14ac:dyDescent="0.25">
      <c r="B24" s="9" t="s">
        <v>6</v>
      </c>
      <c r="C24" s="8">
        <v>9.3918104000000002E-2</v>
      </c>
    </row>
    <row r="26" spans="2:6" x14ac:dyDescent="0.25">
      <c r="B26" s="1" t="s">
        <v>10</v>
      </c>
      <c r="C26" s="9" t="s">
        <v>22</v>
      </c>
      <c r="D26" s="9" t="s">
        <v>17</v>
      </c>
      <c r="E26" s="9" t="s">
        <v>18</v>
      </c>
      <c r="F26" s="9" t="s">
        <v>1</v>
      </c>
    </row>
    <row r="27" spans="2:6" x14ac:dyDescent="0.25">
      <c r="B27" s="9" t="s">
        <v>2</v>
      </c>
      <c r="C27" s="8">
        <v>9.4725974000000004E-2</v>
      </c>
      <c r="D27" s="6">
        <v>1.2975667452931301</v>
      </c>
      <c r="E27" s="6">
        <v>0.86785733003031096</v>
      </c>
      <c r="F27" s="6">
        <v>0.10077650528672399</v>
      </c>
    </row>
    <row r="28" spans="2:6" x14ac:dyDescent="0.25">
      <c r="B28" s="9" t="s">
        <v>3</v>
      </c>
      <c r="C28" s="8">
        <v>0.102452336</v>
      </c>
      <c r="D28" s="6">
        <v>1.0575708895152101</v>
      </c>
      <c r="E28" s="6">
        <v>0.26292322495904802</v>
      </c>
      <c r="F28" s="6">
        <v>6.3493902184217604E-2</v>
      </c>
    </row>
    <row r="29" spans="2:6" x14ac:dyDescent="0.25">
      <c r="B29" s="9" t="s">
        <v>4</v>
      </c>
      <c r="C29" s="8">
        <v>0.110144282</v>
      </c>
    </row>
    <row r="30" spans="2:6" x14ac:dyDescent="0.25">
      <c r="B30" s="9" t="s">
        <v>6</v>
      </c>
      <c r="C30" s="8">
        <v>9.3918104000000002E-2</v>
      </c>
    </row>
    <row r="32" spans="2:6" x14ac:dyDescent="0.25">
      <c r="B32" s="1" t="s">
        <v>9</v>
      </c>
      <c r="C32" s="9" t="s">
        <v>22</v>
      </c>
      <c r="D32" s="9" t="s">
        <v>17</v>
      </c>
      <c r="E32" s="9" t="s">
        <v>18</v>
      </c>
      <c r="F32" s="9" t="s">
        <v>1</v>
      </c>
    </row>
    <row r="33" spans="2:8" x14ac:dyDescent="0.25">
      <c r="B33" s="9" t="s">
        <v>2</v>
      </c>
      <c r="C33" s="8">
        <v>9.4725974000000004E-2</v>
      </c>
      <c r="D33" s="7">
        <v>0.92254459679364598</v>
      </c>
      <c r="E33" s="6">
        <v>0.385385071473553</v>
      </c>
      <c r="F33" s="6">
        <v>6.6875193364792196E-2</v>
      </c>
    </row>
    <row r="34" spans="2:8" x14ac:dyDescent="0.25">
      <c r="B34" s="9" t="s">
        <v>3</v>
      </c>
      <c r="C34" s="8">
        <v>0.102452336</v>
      </c>
      <c r="D34" s="7">
        <v>0.53817423509068496</v>
      </c>
      <c r="E34" s="7">
        <v>-0.51784566087035699</v>
      </c>
      <c r="F34" s="7">
        <v>-8.6669485065099E-2</v>
      </c>
    </row>
    <row r="35" spans="2:8" x14ac:dyDescent="0.25">
      <c r="B35" s="9" t="s">
        <v>4</v>
      </c>
      <c r="C35" s="8">
        <v>0.110144282</v>
      </c>
    </row>
    <row r="36" spans="2:8" x14ac:dyDescent="0.25">
      <c r="B36" s="9" t="s">
        <v>6</v>
      </c>
      <c r="C36" s="8">
        <v>9.3918104000000002E-2</v>
      </c>
    </row>
    <row r="38" spans="2:8" x14ac:dyDescent="0.25">
      <c r="B38" s="9" t="s">
        <v>16</v>
      </c>
      <c r="C38" s="9" t="s">
        <v>22</v>
      </c>
      <c r="D38" s="9" t="s">
        <v>17</v>
      </c>
      <c r="E38" s="9" t="s">
        <v>18</v>
      </c>
      <c r="F38" s="9" t="s">
        <v>1</v>
      </c>
      <c r="G38" s="9" t="s">
        <v>19</v>
      </c>
      <c r="H38" s="9" t="s">
        <v>14</v>
      </c>
    </row>
    <row r="39" spans="2:8" x14ac:dyDescent="0.25">
      <c r="B39" s="1" t="s">
        <v>2</v>
      </c>
      <c r="C39" s="8">
        <v>9.4725974000000004E-2</v>
      </c>
      <c r="D39" s="6">
        <v>1.2050076272027901</v>
      </c>
      <c r="E39" s="6">
        <v>0.92674759673055396</v>
      </c>
      <c r="F39" s="6">
        <v>0.13984116014494999</v>
      </c>
      <c r="G39" s="6">
        <v>0.58415158227019104</v>
      </c>
      <c r="H39" s="6">
        <v>0.66959836720930499</v>
      </c>
    </row>
    <row r="40" spans="2:8" x14ac:dyDescent="0.25">
      <c r="B40" s="1" t="s">
        <v>3</v>
      </c>
      <c r="C40" s="8">
        <v>0.102452336</v>
      </c>
      <c r="D40" s="6">
        <v>1.11910970408747</v>
      </c>
      <c r="E40" s="6">
        <v>0.156816283020727</v>
      </c>
      <c r="F40" s="6">
        <v>8.9326261366187695E-2</v>
      </c>
      <c r="G40" s="6">
        <v>5.92725219807008E-2</v>
      </c>
      <c r="H40" s="6">
        <v>0.1017952207019</v>
      </c>
    </row>
    <row r="41" spans="2:8" x14ac:dyDescent="0.25">
      <c r="B41" s="1" t="s">
        <v>4</v>
      </c>
      <c r="C41" s="8">
        <v>0.110144282</v>
      </c>
      <c r="D41" s="6">
        <v>1.4074954172257299</v>
      </c>
      <c r="E41" s="6">
        <v>0.25880560171696498</v>
      </c>
      <c r="F41" s="6">
        <v>4.6283799610675601E-2</v>
      </c>
      <c r="G41" s="6">
        <v>0.10621290455320199</v>
      </c>
      <c r="H41" s="7">
        <v>-0.90837567524790197</v>
      </c>
    </row>
    <row r="42" spans="2:8" x14ac:dyDescent="0.25">
      <c r="B42" s="1" t="s">
        <v>7</v>
      </c>
      <c r="C42" s="8">
        <v>9.3918104000000002E-2</v>
      </c>
      <c r="D42" s="6">
        <v>1.1637562782531401</v>
      </c>
      <c r="E42" s="6">
        <v>0.401331670241585</v>
      </c>
      <c r="F42" s="6">
        <v>6.7271555006068101E-2</v>
      </c>
      <c r="G42" s="6">
        <v>8.1392652419518097E-2</v>
      </c>
      <c r="H42" s="6">
        <v>0.164652348864086</v>
      </c>
    </row>
    <row r="44" spans="2:8" x14ac:dyDescent="0.25">
      <c r="B44" s="1" t="s">
        <v>15</v>
      </c>
      <c r="C44" s="9" t="s">
        <v>22</v>
      </c>
      <c r="D44" s="9" t="s">
        <v>17</v>
      </c>
      <c r="E44" s="9" t="s">
        <v>18</v>
      </c>
      <c r="F44" s="9" t="s">
        <v>1</v>
      </c>
      <c r="G44" s="9" t="s">
        <v>19</v>
      </c>
      <c r="H44" s="9" t="s">
        <v>14</v>
      </c>
    </row>
    <row r="45" spans="2:8" x14ac:dyDescent="0.25">
      <c r="B45" s="1" t="s">
        <v>2</v>
      </c>
      <c r="C45" s="8">
        <v>9.4725974000000004E-2</v>
      </c>
      <c r="D45" s="7">
        <v>0.76151296818251002</v>
      </c>
      <c r="E45" s="7">
        <v>-0.82455849900808098</v>
      </c>
      <c r="F45" s="7">
        <v>-0.53010922957415696</v>
      </c>
      <c r="G45" s="7">
        <v>-0.67807302432253402</v>
      </c>
      <c r="H45" s="7">
        <v>-0.81917889363282403</v>
      </c>
    </row>
    <row r="46" spans="2:8" x14ac:dyDescent="0.25">
      <c r="B46" s="1" t="s">
        <v>3</v>
      </c>
      <c r="C46" s="8">
        <v>0.102452336</v>
      </c>
      <c r="D46" s="7">
        <v>0.63241662033349</v>
      </c>
      <c r="E46" s="7">
        <v>-0.77305412456000899</v>
      </c>
      <c r="F46" s="7">
        <v>-0.511670862423525</v>
      </c>
      <c r="G46" s="7">
        <v>-0.62213976025652196</v>
      </c>
      <c r="H46" s="7">
        <v>-0.76662036881149098</v>
      </c>
    </row>
    <row r="47" spans="2:8" x14ac:dyDescent="0.25">
      <c r="B47" s="1" t="s">
        <v>4</v>
      </c>
      <c r="C47" s="8">
        <v>0.110144282</v>
      </c>
      <c r="D47" s="7">
        <v>0.68587815994758305</v>
      </c>
      <c r="E47" s="7">
        <v>-0.74314055155585101</v>
      </c>
      <c r="F47" s="7">
        <v>-0.22155858359451899</v>
      </c>
      <c r="G47" s="7">
        <v>-0.51680913320449795</v>
      </c>
      <c r="H47" s="7">
        <v>-0.79093223163479298</v>
      </c>
    </row>
    <row r="48" spans="2:8" x14ac:dyDescent="0.25">
      <c r="B48" s="1" t="s">
        <v>7</v>
      </c>
      <c r="C48" s="8">
        <v>9.3918104000000002E-2</v>
      </c>
      <c r="D48" s="7">
        <v>0.74506131022172795</v>
      </c>
      <c r="E48" s="7">
        <v>-0.75894808346496501</v>
      </c>
      <c r="F48" s="7">
        <v>-0.37958282657101999</v>
      </c>
      <c r="G48" s="7">
        <v>-0.37092334927613402</v>
      </c>
      <c r="H48" s="7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2026-07-07T00:07:51Z</dcterms:modified>
</cp:coreProperties>
</file>