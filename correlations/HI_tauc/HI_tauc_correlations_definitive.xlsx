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E2128D71-814F-4149-85CB-94867057E8C1}" xr6:coauthVersionLast="47" xr6:coauthVersionMax="47" xr10:uidLastSave="{00000000-0000-0000-0000-000000000000}"/>
  <bookViews>
    <workbookView xWindow="-108" yWindow="-108" windowWidth="23256" windowHeight="12456" xr2:uid="{867610DC-2157-4A8B-BAD4-C3624B9432BC}"/>
  </bookViews>
  <sheets>
    <sheet name="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3" i="1" l="1"/>
  <c r="H64" i="1"/>
  <c r="H62" i="1"/>
  <c r="H6" i="1"/>
  <c r="H50" i="1"/>
  <c r="H57" i="1"/>
  <c r="H55" i="1"/>
  <c r="H39" i="1"/>
  <c r="H37" i="1"/>
  <c r="H20" i="1"/>
  <c r="H18" i="1"/>
  <c r="H25" i="1" l="1"/>
  <c r="H7" i="1"/>
  <c r="H26" i="1" s="1"/>
  <c r="H8" i="1"/>
  <c r="H27" i="1" s="1"/>
  <c r="H13" i="1"/>
  <c r="H15" i="1"/>
  <c r="H16" i="1"/>
  <c r="H17" i="1"/>
  <c r="H19" i="1"/>
  <c r="H44" i="1"/>
  <c r="H45" i="1"/>
  <c r="H52" i="1"/>
  <c r="H53" i="1"/>
  <c r="H54" i="1"/>
  <c r="H56" i="1"/>
  <c r="H43" i="1"/>
  <c r="H76" i="1"/>
  <c r="H75" i="1"/>
  <c r="H74" i="1"/>
  <c r="H73" i="1"/>
  <c r="H72" i="1"/>
  <c r="H71" i="1"/>
  <c r="H69" i="1"/>
  <c r="H38" i="1"/>
  <c r="H36" i="1"/>
  <c r="H35" i="1"/>
  <c r="H34" i="1"/>
  <c r="H32" i="1"/>
</calcChain>
</file>

<file path=xl/sharedStrings.xml><?xml version="1.0" encoding="utf-8"?>
<sst xmlns="http://schemas.openxmlformats.org/spreadsheetml/2006/main" count="118" uniqueCount="35">
  <si>
    <t>Storm</t>
  </si>
  <si>
    <t xml:space="preserve">Aich (2014) </t>
  </si>
  <si>
    <t>SSC (mg/L)</t>
  </si>
  <si>
    <t>POC (mg/L)</t>
  </si>
  <si>
    <t>DOC (mg/L)</t>
  </si>
  <si>
    <t>fDOM RFU</t>
  </si>
  <si>
    <t>Turnidity FNU</t>
  </si>
  <si>
    <t>Clockwise</t>
  </si>
  <si>
    <t>Counter-Clockwise</t>
  </si>
  <si>
    <t>tau_c50</t>
  </si>
  <si>
    <t>Peak concentration (mg/L)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</si>
  <si>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</si>
  <si>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</si>
  <si>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</si>
  <si>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</si>
  <si>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</si>
  <si>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</si>
  <si>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</si>
  <si>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</si>
  <si>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</si>
  <si>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</si>
  <si>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</si>
  <si>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</si>
  <si>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</t>
  </si>
  <si>
    <t>tau_c50 exceedance</t>
  </si>
  <si>
    <t>event3 (6)</t>
  </si>
  <si>
    <t>event4 (7)</t>
  </si>
  <si>
    <t>event5 (8)</t>
  </si>
  <si>
    <t>event6 (9)</t>
  </si>
  <si>
    <t>event7 (10)</t>
  </si>
  <si>
    <t>event8 (12)</t>
  </si>
  <si>
    <t>event9 (13)</t>
  </si>
  <si>
    <t>event10 (14)</t>
  </si>
  <si>
    <t>Time τ &gt; τc (hrs)</t>
  </si>
  <si>
    <t>∆time τ&gt;τc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</si>
</sst>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"/>
    <numFmt numFmtId="166" formatCode="0.0000"/>
    <numFmt numFmtId="167" formatCode="0.000"/>
    <numFmt numFmtId="168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7" fontId="0" fillId="2" borderId="3" xfId="0" applyNumberForma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8" fontId="0" fillId="0" borderId="3" xfId="0" applyNumberFormat="1" applyBorder="1" applyAlignment="1">
      <alignment horizontal="center"/>
    </xf>
    <xf numFmtId="167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7" fontId="0" fillId="3" borderId="3" xfId="0" applyNumberFormat="1" applyFill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2" fontId="0" fillId="0" borderId="3" xfId="0" applyNumberFormat="1" applyFill="1" applyBorder="1" applyAlignment="1">
      <alignment horizontal="center"/>
    </xf>
    <xf numFmtId="0" fontId="0" fillId="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all!$C$5:$C$20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 formatCode="0.00">
                  <c:v>79.767295559999994</c:v>
                </c:pt>
                <c:pt idx="8">
                  <c:v>113.72040256</c:v>
                </c:pt>
                <c:pt idx="10">
                  <c:v>112.66319882000001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118.40602251999999</c:v>
                </c:pt>
                <c:pt idx="14">
                  <c:v>115.75512236</c:v>
                </c:pt>
                <c:pt idx="15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all!$C$5:$C$10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 formatCode="0.00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CE-4ED2-9D4B-2F95E529620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all!$C$11:$C$20</c:f>
              <c:numCache>
                <c:formatCode>0.000</c:formatCode>
                <c:ptCount val="10"/>
                <c:pt idx="2">
                  <c:v>113.72040256</c:v>
                </c:pt>
                <c:pt idx="4">
                  <c:v>112.66319882000001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CE-4ED2-9D4B-2F95E529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all!$C$25:$C$39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all!$C$24:$C$29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 formatCode="0.00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8-4DC9-A850-01B3DB8028F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all!$C$30:$C$39</c:f>
              <c:numCache>
                <c:formatCode>0.000</c:formatCode>
                <c:ptCount val="10"/>
                <c:pt idx="2">
                  <c:v>113.72040256</c:v>
                </c:pt>
                <c:pt idx="4">
                  <c:v>112.66319882000001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E8-4DC9-A850-01B3DB802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78190620713608"/>
                  <c:y val="-1.716666666666666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all!$B$80:$B$85</c:f>
              <c:numCache>
                <c:formatCode>0.00</c:formatCode>
                <c:ptCount val="6"/>
                <c:pt idx="0">
                  <c:v>0.735611704001494</c:v>
                </c:pt>
                <c:pt idx="1">
                  <c:v>0.199680501000808</c:v>
                </c:pt>
                <c:pt idx="2">
                  <c:v>0.12535086320927399</c:v>
                </c:pt>
                <c:pt idx="3">
                  <c:v>0.42964915677977999</c:v>
                </c:pt>
                <c:pt idx="4">
                  <c:v>4.3375577562074601E-2</c:v>
                </c:pt>
                <c:pt idx="5">
                  <c:v>4.5262412029273197E-2</c:v>
                </c:pt>
              </c:numCache>
            </c:numRef>
          </c:xVal>
          <c:yVal>
            <c:numRef>
              <c:f>all!$C$80:$C$85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all!$C$43:$C$57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843659661776386E-2"/>
                  <c:y val="-0.112462480472503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4.6283799610675601E-2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all!$C$42:$C$47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18-4962-BB09-E7EDEC87F4F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all!$C$48:$C$57</c:f>
              <c:numCache>
                <c:formatCode>0.000</c:formatCode>
                <c:ptCount val="10"/>
                <c:pt idx="2">
                  <c:v>113.72040256</c:v>
                </c:pt>
                <c:pt idx="4">
                  <c:v>112.66319882000001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18-4962-BB09-E7EDEC87F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-0.64117535564386996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all!$C$61:$C$76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113.72040256</c:v>
                </c:pt>
                <c:pt idx="10">
                  <c:v>112.66319882000001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118.40602251999999</c:v>
                </c:pt>
                <c:pt idx="14">
                  <c:v>115.75512236</c:v>
                </c:pt>
                <c:pt idx="15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all!$B$61:$B$66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-0.64117535564386996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all!$C$61:$C$66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F-4C70-9FBA-3B5C755EA716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all!$C$67:$C$76</c:f>
              <c:numCache>
                <c:formatCode>0.000</c:formatCode>
                <c:ptCount val="10"/>
                <c:pt idx="2">
                  <c:v>113.72040256</c:v>
                </c:pt>
                <c:pt idx="4">
                  <c:v>112.66319882000001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F-4C70-9FBA-3B5C755E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all!$D$5:$D$20</c:f>
              <c:numCache>
                <c:formatCode>0.00</c:formatCode>
                <c:ptCount val="16"/>
                <c:pt idx="0">
                  <c:v>562.32579999999996</c:v>
                </c:pt>
                <c:pt idx="1">
                  <c:v>57.726100000000002</c:v>
                </c:pt>
                <c:pt idx="2">
                  <c:v>49.091801670000002</c:v>
                </c:pt>
                <c:pt idx="3">
                  <c:v>187</c:v>
                </c:pt>
                <c:pt idx="4">
                  <c:v>43.2</c:v>
                </c:pt>
                <c:pt idx="5">
                  <c:v>77.894736839999993</c:v>
                </c:pt>
                <c:pt idx="6">
                  <c:v>23.15789474</c:v>
                </c:pt>
                <c:pt idx="7">
                  <c:v>23</c:v>
                </c:pt>
                <c:pt idx="8">
                  <c:v>10.34482759</c:v>
                </c:pt>
                <c:pt idx="9">
                  <c:v>26.086956520000001</c:v>
                </c:pt>
                <c:pt idx="10">
                  <c:v>8.125</c:v>
                </c:pt>
                <c:pt idx="11">
                  <c:v>12.67</c:v>
                </c:pt>
                <c:pt idx="12">
                  <c:v>42</c:v>
                </c:pt>
                <c:pt idx="14">
                  <c:v>20.666666670000001</c:v>
                </c:pt>
              </c:numCache>
            </c:numRef>
          </c:xVal>
          <c:yVal>
            <c:numRef>
              <c:f>all!$C$5:$C$20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 formatCode="0.00">
                  <c:v>79.767295559999994</c:v>
                </c:pt>
                <c:pt idx="8">
                  <c:v>113.72040256</c:v>
                </c:pt>
                <c:pt idx="10">
                  <c:v>112.66319882000001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118.40602251999999</c:v>
                </c:pt>
                <c:pt idx="14">
                  <c:v>115.75512236</c:v>
                </c:pt>
                <c:pt idx="15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all!$D$82:$D$90</c:f>
              <c:numCache>
                <c:formatCode>0.000</c:formatCode>
                <c:ptCount val="9"/>
              </c:numCache>
            </c:numRef>
          </c:xVal>
          <c:yVal>
            <c:numRef>
              <c:f>all!$C$6:$C$10</c:f>
              <c:numCache>
                <c:formatCode>0.000</c:formatCode>
                <c:ptCount val="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all!$D$26:$D$34</c:f>
              <c:numCache>
                <c:formatCode>0.00</c:formatCode>
                <c:ptCount val="9"/>
              </c:numCache>
            </c:numRef>
          </c:xVal>
          <c:yVal>
            <c:numRef>
              <c:f>all!$C$6:$C$10</c:f>
              <c:numCache>
                <c:formatCode>0.000</c:formatCode>
                <c:ptCount val="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all!$F$4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538470776436391"/>
                  <c:y val="-0.1361191232812067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all!$F$6:$F$20</c:f>
              <c:numCache>
                <c:formatCode>0.0</c:formatCode>
                <c:ptCount val="15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7">
                  <c:v>21</c:v>
                </c:pt>
                <c:pt idx="9">
                  <c:v>96.5</c:v>
                </c:pt>
                <c:pt idx="10">
                  <c:v>47.5</c:v>
                </c:pt>
                <c:pt idx="11">
                  <c:v>23.5</c:v>
                </c:pt>
                <c:pt idx="12">
                  <c:v>47.75</c:v>
                </c:pt>
                <c:pt idx="13">
                  <c:v>23.75</c:v>
                </c:pt>
                <c:pt idx="14">
                  <c:v>23.5</c:v>
                </c:pt>
              </c:numCache>
            </c:numRef>
          </c:xVal>
          <c:yVal>
            <c:numRef>
              <c:f>all!$C$6:$C$20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all!$E$4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95659075617445"/>
                  <c:y val="-0.246571110509463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all!$E$6:$E$20</c:f>
              <c:numCache>
                <c:formatCode>0.0</c:formatCode>
                <c:ptCount val="15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365</c:v>
                </c:pt>
                <c:pt idx="4">
                  <c:v>351.5</c:v>
                </c:pt>
                <c:pt idx="6">
                  <c:v>22</c:v>
                </c:pt>
                <c:pt idx="7">
                  <c:v>21</c:v>
                </c:pt>
                <c:pt idx="8">
                  <c:v>21.5</c:v>
                </c:pt>
                <c:pt idx="9">
                  <c:v>75</c:v>
                </c:pt>
                <c:pt idx="10">
                  <c:v>47.5</c:v>
                </c:pt>
                <c:pt idx="11">
                  <c:v>23.5</c:v>
                </c:pt>
                <c:pt idx="12">
                  <c:v>20</c:v>
                </c:pt>
                <c:pt idx="13">
                  <c:v>23.75</c:v>
                </c:pt>
                <c:pt idx="14">
                  <c:v>23.5</c:v>
                </c:pt>
              </c:numCache>
            </c:numRef>
          </c:xVal>
          <c:yVal>
            <c:numRef>
              <c:f>all!$C$6:$C$20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9817791872454307"/>
                  <c:y val="-0.192522228199951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all!$H$5:$H$20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1.0119508062412015</c:v>
                </c:pt>
                <c:pt idx="10">
                  <c:v>1.0239451393319936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1.0572093304532362</c:v>
                </c:pt>
                <c:pt idx="14">
                  <c:v>1.111235100018195</c:v>
                </c:pt>
                <c:pt idx="15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9641358748951"/>
                  <c:y val="3.92265815490300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all!$H$5:$H$10</c:f>
              <c:numCache>
                <c:formatCode>0.00</c:formatCode>
                <c:ptCount val="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C-484F-8D1E-7898ABA5348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341270038889029"/>
                  <c:y val="-0.16398564265459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all!$H$11:$H$20</c:f>
              <c:numCache>
                <c:formatCode>0.00</c:formatCode>
                <c:ptCount val="10"/>
                <c:pt idx="2">
                  <c:v>1.0119508062412015</c:v>
                </c:pt>
                <c:pt idx="4">
                  <c:v>1.0239451393319936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1.0572093304532362</c:v>
                </c:pt>
                <c:pt idx="8">
                  <c:v>1.111235100018195</c:v>
                </c:pt>
                <c:pt idx="9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C-484F-8D1E-7898ABA53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all!$H$25:$H$39</c:f>
              <c:numCache>
                <c:formatCode>0.00</c:formatCode>
                <c:ptCount val="1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7">
                  <c:v>1.0119508062412015</c:v>
                </c:pt>
                <c:pt idx="9">
                  <c:v>1.0239451393319936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1.0572093304532362</c:v>
                </c:pt>
                <c:pt idx="13">
                  <c:v>1.111235100018195</c:v>
                </c:pt>
                <c:pt idx="14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all!$H$24:$H$29</c:f>
              <c:numCache>
                <c:formatCode>0.00</c:formatCode>
                <c:ptCount val="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3-454F-8D58-7431093C518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all!$H$30:$H$39</c:f>
              <c:numCache>
                <c:formatCode>0.00</c:formatCode>
                <c:ptCount val="10"/>
                <c:pt idx="2">
                  <c:v>1.0119508062412015</c:v>
                </c:pt>
                <c:pt idx="4">
                  <c:v>1.0239451393319936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1.0572093304532362</c:v>
                </c:pt>
                <c:pt idx="8">
                  <c:v>1.111235100018195</c:v>
                </c:pt>
                <c:pt idx="9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F3-454F-8D58-7431093C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9730605259448782E-2"/>
                  <c:y val="1.053018212192175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all!$B$82:$B$90</c:f>
              <c:numCache>
                <c:formatCode>0.00</c:formatCode>
                <c:ptCount val="9"/>
                <c:pt idx="0">
                  <c:v>0.12535086320927399</c:v>
                </c:pt>
                <c:pt idx="1">
                  <c:v>0.42964915677977999</c:v>
                </c:pt>
                <c:pt idx="2">
                  <c:v>4.3375577562074601E-2</c:v>
                </c:pt>
                <c:pt idx="3">
                  <c:v>4.5262412029273197E-2</c:v>
                </c:pt>
              </c:numCache>
            </c:numRef>
          </c:xVal>
          <c:yVal>
            <c:numRef>
              <c:f>all!$F$26:$F$34</c:f>
              <c:numCache>
                <c:formatCode>0.0</c:formatCode>
                <c:ptCount val="9"/>
                <c:pt idx="0">
                  <c:v>118.5</c:v>
                </c:pt>
                <c:pt idx="1">
                  <c:v>2060.9499999999998</c:v>
                </c:pt>
                <c:pt idx="6">
                  <c:v>21</c:v>
                </c:pt>
                <c:pt idx="8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all!$E$7:$E$10</c:f>
              <c:numCache>
                <c:formatCode>0.0</c:formatCode>
                <c:ptCount val="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</c:numCache>
            </c:numRef>
          </c:xVal>
          <c:yVal>
            <c:numRef>
              <c:f>all!$D$27:$D$34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all!$E$7:$E$20</c:f>
              <c:numCache>
                <c:formatCode>0.0</c:formatCode>
                <c:ptCount val="1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  <c:pt idx="5">
                  <c:v>22</c:v>
                </c:pt>
                <c:pt idx="6">
                  <c:v>21</c:v>
                </c:pt>
                <c:pt idx="7">
                  <c:v>21.5</c:v>
                </c:pt>
                <c:pt idx="8">
                  <c:v>75</c:v>
                </c:pt>
                <c:pt idx="9">
                  <c:v>47.5</c:v>
                </c:pt>
                <c:pt idx="10">
                  <c:v>23.5</c:v>
                </c:pt>
                <c:pt idx="11">
                  <c:v>20</c:v>
                </c:pt>
                <c:pt idx="12">
                  <c:v>23.75</c:v>
                </c:pt>
                <c:pt idx="13">
                  <c:v>23.5</c:v>
                </c:pt>
              </c:numCache>
            </c:numRef>
          </c:xVal>
          <c:yVal>
            <c:numRef>
              <c:f>all!$D$7:$D$20</c:f>
              <c:numCache>
                <c:formatCode>0.00</c:formatCode>
                <c:ptCount val="14"/>
                <c:pt idx="0">
                  <c:v>49.091801670000002</c:v>
                </c:pt>
                <c:pt idx="1">
                  <c:v>187</c:v>
                </c:pt>
                <c:pt idx="2">
                  <c:v>43.2</c:v>
                </c:pt>
                <c:pt idx="3">
                  <c:v>77.894736839999993</c:v>
                </c:pt>
                <c:pt idx="4">
                  <c:v>23.15789474</c:v>
                </c:pt>
                <c:pt idx="5">
                  <c:v>23</c:v>
                </c:pt>
                <c:pt idx="6">
                  <c:v>10.34482759</c:v>
                </c:pt>
                <c:pt idx="7">
                  <c:v>26.086956520000001</c:v>
                </c:pt>
                <c:pt idx="8">
                  <c:v>8.125</c:v>
                </c:pt>
                <c:pt idx="9">
                  <c:v>12.67</c:v>
                </c:pt>
                <c:pt idx="10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all!$E$7:$E$10</c:f>
              <c:numCache>
                <c:formatCode>0.0</c:formatCode>
                <c:ptCount val="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</c:numCache>
            </c:numRef>
          </c:xVal>
          <c:yVal>
            <c:numRef>
              <c:f>all!$D$83:$D$90</c:f>
              <c:numCache>
                <c:formatCode>0.000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peak concentration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3453663087977852"/>
          <c:y val="0.86928278707959672"/>
          <c:w val="0.72310494493397159"/>
          <c:h val="9.23919369482388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6343302007266367"/>
          <c:y val="2.92142930430786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all!$F$7:$F$10</c:f>
              <c:numCache>
                <c:formatCode>0.0</c:formatCode>
                <c:ptCount val="4"/>
                <c:pt idx="0">
                  <c:v>118.5</c:v>
                </c:pt>
                <c:pt idx="1">
                  <c:v>2060.9499999999998</c:v>
                </c:pt>
              </c:numCache>
            </c:numRef>
          </c:xVal>
          <c:yVal>
            <c:numRef>
              <c:f>all!$D$27:$D$34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66771713637276"/>
                  <c:y val="6.88380586803516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all!$F$7:$F$20</c:f>
              <c:numCache>
                <c:formatCode>0.0</c:formatCode>
                <c:ptCount val="14"/>
                <c:pt idx="0">
                  <c:v>118.5</c:v>
                </c:pt>
                <c:pt idx="1">
                  <c:v>2060.9499999999998</c:v>
                </c:pt>
                <c:pt idx="6">
                  <c:v>21</c:v>
                </c:pt>
                <c:pt idx="8">
                  <c:v>96.5</c:v>
                </c:pt>
                <c:pt idx="9">
                  <c:v>47.5</c:v>
                </c:pt>
                <c:pt idx="10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xVal>
          <c:yVal>
            <c:numRef>
              <c:f>all!$D$7:$D$20</c:f>
              <c:numCache>
                <c:formatCode>0.00</c:formatCode>
                <c:ptCount val="14"/>
                <c:pt idx="0">
                  <c:v>49.091801670000002</c:v>
                </c:pt>
                <c:pt idx="1">
                  <c:v>187</c:v>
                </c:pt>
                <c:pt idx="2">
                  <c:v>43.2</c:v>
                </c:pt>
                <c:pt idx="3">
                  <c:v>77.894736839999993</c:v>
                </c:pt>
                <c:pt idx="4">
                  <c:v>23.15789474</c:v>
                </c:pt>
                <c:pt idx="5">
                  <c:v>23</c:v>
                </c:pt>
                <c:pt idx="6">
                  <c:v>10.34482759</c:v>
                </c:pt>
                <c:pt idx="7">
                  <c:v>26.086956520000001</c:v>
                </c:pt>
                <c:pt idx="8">
                  <c:v>8.125</c:v>
                </c:pt>
                <c:pt idx="9">
                  <c:v>12.67</c:v>
                </c:pt>
                <c:pt idx="10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all!$F$7:$F$10</c:f>
              <c:numCache>
                <c:formatCode>0.0</c:formatCode>
                <c:ptCount val="4"/>
                <c:pt idx="0">
                  <c:v>118.5</c:v>
                </c:pt>
                <c:pt idx="1">
                  <c:v>2060.9499999999998</c:v>
                </c:pt>
              </c:numCache>
            </c:numRef>
          </c:xVal>
          <c:yVal>
            <c:numRef>
              <c:f>all!$D$83:$D$90</c:f>
              <c:numCache>
                <c:formatCode>0.000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peak concentration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738276973184808"/>
                  <c:y val="-0.2091418216712097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all!$H$43:$H$57</c:f>
              <c:numCache>
                <c:formatCode>0.00</c:formatCode>
                <c:ptCount val="1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7">
                  <c:v>1.0119508062412015</c:v>
                </c:pt>
                <c:pt idx="9">
                  <c:v>1.0239451393319936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1.0572093304532362</c:v>
                </c:pt>
                <c:pt idx="13">
                  <c:v>1.111235100018195</c:v>
                </c:pt>
                <c:pt idx="14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88407985197139"/>
                  <c:y val="-0.22646463159364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all!$H$62:$H$76</c:f>
              <c:numCache>
                <c:formatCode>0.00</c:formatCode>
                <c:ptCount val="1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7">
                  <c:v>1.0119508062412015</c:v>
                </c:pt>
                <c:pt idx="9">
                  <c:v>1.0239451393319936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1.0572093304532362</c:v>
                </c:pt>
                <c:pt idx="13">
                  <c:v>1.111235100018195</c:v>
                </c:pt>
                <c:pt idx="14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all!$E$7:$E$10</c:f>
              <c:numCache>
                <c:formatCode>0.0</c:formatCode>
                <c:ptCount val="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</c:numCache>
            </c:numRef>
          </c:xVal>
          <c:yVal>
            <c:numRef>
              <c:f>all!$D$27:$D$34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3-4B15-9BA6-22DCF4FEDEC7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all!$E$6:$E$20</c:f>
              <c:numCache>
                <c:formatCode>0.0</c:formatCode>
                <c:ptCount val="15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365</c:v>
                </c:pt>
                <c:pt idx="4">
                  <c:v>351.5</c:v>
                </c:pt>
                <c:pt idx="6">
                  <c:v>22</c:v>
                </c:pt>
                <c:pt idx="7">
                  <c:v>21</c:v>
                </c:pt>
                <c:pt idx="8">
                  <c:v>21.5</c:v>
                </c:pt>
                <c:pt idx="9">
                  <c:v>75</c:v>
                </c:pt>
                <c:pt idx="10">
                  <c:v>47.5</c:v>
                </c:pt>
                <c:pt idx="11">
                  <c:v>23.5</c:v>
                </c:pt>
                <c:pt idx="12">
                  <c:v>20</c:v>
                </c:pt>
                <c:pt idx="13">
                  <c:v>23.75</c:v>
                </c:pt>
                <c:pt idx="14">
                  <c:v>23.5</c:v>
                </c:pt>
              </c:numCache>
            </c:numRef>
          </c:xVal>
          <c:yVal>
            <c:numRef>
              <c:f>all!$C$6:$C$20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B3-4B15-9BA6-22DCF4FEDEC7}"/>
            </c:ext>
          </c:extLst>
        </c:ser>
        <c:ser>
          <c:idx val="2"/>
          <c:order val="2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all!$E$7:$E$10</c:f>
              <c:numCache>
                <c:formatCode>0.0</c:formatCode>
                <c:ptCount val="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</c:numCache>
            </c:numRef>
          </c:xVal>
          <c:yVal>
            <c:numRef>
              <c:f>all!$D$83:$D$90</c:f>
              <c:numCache>
                <c:formatCode>0.000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B3-4B15-9BA6-22DCF4FED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6343302007266367"/>
          <c:y val="2.92142930430786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all!$F$7:$F$10</c:f>
              <c:numCache>
                <c:formatCode>0.0</c:formatCode>
                <c:ptCount val="4"/>
                <c:pt idx="0">
                  <c:v>118.5</c:v>
                </c:pt>
                <c:pt idx="1">
                  <c:v>2060.9499999999998</c:v>
                </c:pt>
              </c:numCache>
            </c:numRef>
          </c:xVal>
          <c:yVal>
            <c:numRef>
              <c:f>all!$D$27:$D$34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C7-44E0-9B20-A79EB6F7AA3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66771713637276"/>
                  <c:y val="6.88380586803516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all!$F$6:$F$20</c:f>
              <c:numCache>
                <c:formatCode>0.0</c:formatCode>
                <c:ptCount val="15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7">
                  <c:v>21</c:v>
                </c:pt>
                <c:pt idx="9">
                  <c:v>96.5</c:v>
                </c:pt>
                <c:pt idx="10">
                  <c:v>47.5</c:v>
                </c:pt>
                <c:pt idx="11">
                  <c:v>23.5</c:v>
                </c:pt>
                <c:pt idx="12">
                  <c:v>47.75</c:v>
                </c:pt>
                <c:pt idx="13">
                  <c:v>23.75</c:v>
                </c:pt>
                <c:pt idx="14">
                  <c:v>23.5</c:v>
                </c:pt>
              </c:numCache>
            </c:numRef>
          </c:xVal>
          <c:yVal>
            <c:numRef>
              <c:f>all!$C$6:$C$20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 formatCode="0.00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C7-44E0-9B20-A79EB6F7AA3D}"/>
            </c:ext>
          </c:extLst>
        </c:ser>
        <c:ser>
          <c:idx val="2"/>
          <c:order val="2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all!$F$7:$F$10</c:f>
              <c:numCache>
                <c:formatCode>0.0</c:formatCode>
                <c:ptCount val="4"/>
                <c:pt idx="0">
                  <c:v>118.5</c:v>
                </c:pt>
                <c:pt idx="1">
                  <c:v>2060.9499999999998</c:v>
                </c:pt>
              </c:numCache>
            </c:numRef>
          </c:xVal>
          <c:yVal>
            <c:numRef>
              <c:f>all!$D$83:$D$90</c:f>
              <c:numCache>
                <c:formatCode>0.000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C7-44E0-9B20-A79EB6F7A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Time </a:t>
            </a:r>
            <a:r>
              <a:rPr lang="el-GR"/>
              <a:t>τ &gt; τ</a:t>
            </a:r>
            <a:r>
              <a:rPr lang="en-US"/>
              <a:t>c (hrs)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9817791872454307"/>
                  <c:y val="-0.192522228199951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all!$I$5:$I$20</c:f>
              <c:numCache>
                <c:formatCode>0.00</c:formatCode>
                <c:ptCount val="16"/>
                <c:pt idx="1">
                  <c:v>4</c:v>
                </c:pt>
                <c:pt idx="2">
                  <c:v>1.1385255280790201</c:v>
                </c:pt>
                <c:pt idx="3">
                  <c:v>0</c:v>
                </c:pt>
                <c:pt idx="8">
                  <c:v>8.1761484496582497</c:v>
                </c:pt>
                <c:pt idx="10">
                  <c:v>19.594840851392899</c:v>
                </c:pt>
                <c:pt idx="11">
                  <c:v>17.2552427011953</c:v>
                </c:pt>
                <c:pt idx="12">
                  <c:v>17.024424898784201</c:v>
                </c:pt>
                <c:pt idx="13">
                  <c:v>15.1069524712688</c:v>
                </c:pt>
                <c:pt idx="14">
                  <c:v>21.9579587943592</c:v>
                </c:pt>
                <c:pt idx="15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D-4820-BF30-12832106C7A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763761592802328"/>
                  <c:y val="-0.261632692109398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all!$I$5:$I$10</c:f>
              <c:numCache>
                <c:formatCode>0.00</c:formatCode>
                <c:ptCount val="6"/>
                <c:pt idx="1">
                  <c:v>4</c:v>
                </c:pt>
                <c:pt idx="2">
                  <c:v>1.1385255280790201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D-4820-BF30-12832106C7AC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341270038889029"/>
                  <c:y val="-0.16398564265459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all!$I$11:$I$20</c:f>
              <c:numCache>
                <c:formatCode>0.00</c:formatCode>
                <c:ptCount val="10"/>
                <c:pt idx="2">
                  <c:v>8.1761484496582497</c:v>
                </c:pt>
                <c:pt idx="4">
                  <c:v>19.594840851392899</c:v>
                </c:pt>
                <c:pt idx="5">
                  <c:v>17.2552427011953</c:v>
                </c:pt>
                <c:pt idx="6">
                  <c:v>17.024424898784201</c:v>
                </c:pt>
                <c:pt idx="7">
                  <c:v>15.1069524712688</c:v>
                </c:pt>
                <c:pt idx="8">
                  <c:v>21.9579587943592</c:v>
                </c:pt>
                <c:pt idx="9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DD-4820-BF30-12832106C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12468608815311"/>
                  <c:y val="9.981083783275110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all!$I$25:$I$39</c:f>
              <c:numCache>
                <c:formatCode>0.00</c:formatCode>
                <c:ptCount val="15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7">
                  <c:v>8.1761484496582497</c:v>
                </c:pt>
                <c:pt idx="9">
                  <c:v>19.594840851392899</c:v>
                </c:pt>
                <c:pt idx="10">
                  <c:v>17.2552427011953</c:v>
                </c:pt>
                <c:pt idx="11">
                  <c:v>17.024424898784201</c:v>
                </c:pt>
                <c:pt idx="12">
                  <c:v>15.1069524712688</c:v>
                </c:pt>
                <c:pt idx="13">
                  <c:v>21.9579587943592</c:v>
                </c:pt>
                <c:pt idx="14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2F-4991-A4B4-8C2C8E6A5624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786887289459704"/>
                  <c:y val="-8.833762032087684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all!$I$24:$I$29</c:f>
              <c:numCache>
                <c:formatCode>0.00</c:formatCode>
                <c:ptCount val="6"/>
                <c:pt idx="1">
                  <c:v>4</c:v>
                </c:pt>
                <c:pt idx="2">
                  <c:v>1.1385255280790201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72F-4991-A4B4-8C2C8E6A5624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101608801997417"/>
                  <c:y val="0.102937731340486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all!$I$30:$I$39</c:f>
              <c:numCache>
                <c:formatCode>0.00</c:formatCode>
                <c:ptCount val="10"/>
                <c:pt idx="2">
                  <c:v>8.1761484496582497</c:v>
                </c:pt>
                <c:pt idx="4">
                  <c:v>19.594840851392899</c:v>
                </c:pt>
                <c:pt idx="5">
                  <c:v>17.2552427011953</c:v>
                </c:pt>
                <c:pt idx="6">
                  <c:v>17.024424898784201</c:v>
                </c:pt>
                <c:pt idx="7">
                  <c:v>15.1069524712688</c:v>
                </c:pt>
                <c:pt idx="8">
                  <c:v>21.9579587943592</c:v>
                </c:pt>
                <c:pt idx="9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72F-4991-A4B4-8C2C8E6A5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738276973184808"/>
                  <c:y val="-0.2091418216712097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all!$I$43:$I$57</c:f>
              <c:numCache>
                <c:formatCode>0.00</c:formatCode>
                <c:ptCount val="15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7">
                  <c:v>8.1761484496582497</c:v>
                </c:pt>
                <c:pt idx="9">
                  <c:v>19.594840851392899</c:v>
                </c:pt>
                <c:pt idx="10">
                  <c:v>17.2552427011953</c:v>
                </c:pt>
                <c:pt idx="11">
                  <c:v>17.024424898784201</c:v>
                </c:pt>
                <c:pt idx="12">
                  <c:v>15.1069524712688</c:v>
                </c:pt>
                <c:pt idx="13">
                  <c:v>21.9579587943592</c:v>
                </c:pt>
                <c:pt idx="14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89-4A15-B05F-B2D9DA358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713649072402972"/>
                  <c:y val="2.868230598751184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all!$I$62:$I$76</c:f>
              <c:numCache>
                <c:formatCode>0.00</c:formatCode>
                <c:ptCount val="15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7">
                  <c:v>8.1761484496582497</c:v>
                </c:pt>
                <c:pt idx="9">
                  <c:v>19.594840851392899</c:v>
                </c:pt>
                <c:pt idx="10">
                  <c:v>17.2552427011953</c:v>
                </c:pt>
                <c:pt idx="11">
                  <c:v>17.024424898784201</c:v>
                </c:pt>
                <c:pt idx="12">
                  <c:v>15.1069524712688</c:v>
                </c:pt>
                <c:pt idx="13">
                  <c:v>21.9579587943592</c:v>
                </c:pt>
                <c:pt idx="14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48-40CD-A81E-8542A53A1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∆time </a:t>
            </a:r>
            <a:r>
              <a:rPr lang="el-GR"/>
              <a:t>τ&gt;τ</a:t>
            </a:r>
            <a:r>
              <a:rPr lang="en-US"/>
              <a:t>c (hrs)</a:t>
            </a:r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3879405809502257"/>
                  <c:y val="5.630528597480692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all!$J$5:$J$20</c:f>
              <c:numCache>
                <c:formatCode>0.00</c:formatCode>
                <c:ptCount val="1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  <c:pt idx="8">
                  <c:v>-1.9243966466520197</c:v>
                </c:pt>
                <c:pt idx="10">
                  <c:v>-8.5529249332917008</c:v>
                </c:pt>
                <c:pt idx="11">
                  <c:v>-6.8910153198931301</c:v>
                </c:pt>
                <c:pt idx="12">
                  <c:v>-4.3261384988685592</c:v>
                </c:pt>
                <c:pt idx="13">
                  <c:v>-8.6900508235792202</c:v>
                </c:pt>
                <c:pt idx="14">
                  <c:v>-7.4420412056407592</c:v>
                </c:pt>
                <c:pt idx="15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5-4EDB-90E9-95B8D2AA5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763761592802328"/>
                  <c:y val="-0.261632692109398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all!$J$5:$J$10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5-4EDB-90E9-95B8D2AA5EC2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341270038889029"/>
                  <c:y val="-0.16398564265459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all!$J$11:$J$20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45-4EDB-90E9-95B8D2AA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12468608815311"/>
                  <c:y val="9.981083783275110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all!$J$25:$J$39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8-425B-BB9E-F0277704C4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786887289459704"/>
                  <c:y val="-8.833762032087684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all!$J$24:$J$29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8-425B-BB9E-F0277704C46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101608801997417"/>
                  <c:y val="0.102937731340486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all!$J$31:$J$40</c:f>
              <c:numCache>
                <c:formatCode>0.00</c:formatCode>
                <c:ptCount val="10"/>
                <c:pt idx="1">
                  <c:v>-1.9243966466520197</c:v>
                </c:pt>
                <c:pt idx="3">
                  <c:v>-8.5529249332917008</c:v>
                </c:pt>
                <c:pt idx="4">
                  <c:v>-6.8910153198931301</c:v>
                </c:pt>
                <c:pt idx="5">
                  <c:v>-4.3261384988685592</c:v>
                </c:pt>
                <c:pt idx="6">
                  <c:v>-8.6900508235792202</c:v>
                </c:pt>
                <c:pt idx="7">
                  <c:v>-7.4420412056407592</c:v>
                </c:pt>
                <c:pt idx="8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D8-425B-BB9E-F0277704C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2380156202505"/>
                  <c:y val="0.1575191536299147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all!$J$43:$J$57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5B-4D83-9151-A9C5136EB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713649072402972"/>
                  <c:y val="2.868230598751184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all!$J$62:$J$76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5D-4521-82B2-A0CD39EBB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571500</xdr:colOff>
      <xdr:row>3</xdr:row>
      <xdr:rowOff>47625</xdr:rowOff>
    </xdr:from>
    <xdr:to>
      <xdr:col>12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552450</xdr:colOff>
      <xdr:row>15</xdr:row>
      <xdr:rowOff>114300</xdr:rowOff>
    </xdr:from>
    <xdr:to>
      <xdr:col>12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183673</xdr:colOff>
      <xdr:row>57</xdr:row>
      <xdr:rowOff>10492</xdr:rowOff>
    </xdr:from>
    <xdr:to>
      <xdr:col>12</xdr:col>
      <xdr:colOff>773205</xdr:colOff>
      <xdr:row>69</xdr:row>
      <xdr:rowOff>67236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432088</xdr:colOff>
      <xdr:row>28</xdr:row>
      <xdr:rowOff>99147</xdr:rowOff>
    </xdr:from>
    <xdr:to>
      <xdr:col>12</xdr:col>
      <xdr:colOff>520411</xdr:colOff>
      <xdr:row>41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226666</xdr:colOff>
      <xdr:row>42</xdr:row>
      <xdr:rowOff>166580</xdr:rowOff>
    </xdr:from>
    <xdr:to>
      <xdr:col>12</xdr:col>
      <xdr:colOff>627531</xdr:colOff>
      <xdr:row>56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98184</xdr:colOff>
      <xdr:row>1</xdr:row>
      <xdr:rowOff>173424</xdr:rowOff>
    </xdr:from>
    <xdr:to>
      <xdr:col>31</xdr:col>
      <xdr:colOff>394233</xdr:colOff>
      <xdr:row>13</xdr:row>
      <xdr:rowOff>173425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486121</xdr:colOff>
      <xdr:row>2</xdr:row>
      <xdr:rowOff>40555</xdr:rowOff>
    </xdr:from>
    <xdr:to>
      <xdr:col>37</xdr:col>
      <xdr:colOff>107149</xdr:colOff>
      <xdr:row>13</xdr:row>
      <xdr:rowOff>85378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691404</xdr:colOff>
      <xdr:row>3</xdr:row>
      <xdr:rowOff>33618</xdr:rowOff>
    </xdr:from>
    <xdr:to>
      <xdr:col>15</xdr:col>
      <xdr:colOff>756398</xdr:colOff>
      <xdr:row>15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705972</xdr:colOff>
      <xdr:row>15</xdr:row>
      <xdr:rowOff>89087</xdr:rowOff>
    </xdr:from>
    <xdr:to>
      <xdr:col>15</xdr:col>
      <xdr:colOff>770966</xdr:colOff>
      <xdr:row>27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889341</xdr:colOff>
      <xdr:row>57</xdr:row>
      <xdr:rowOff>18898</xdr:rowOff>
    </xdr:from>
    <xdr:to>
      <xdr:col>15</xdr:col>
      <xdr:colOff>718457</xdr:colOff>
      <xdr:row>69</xdr:row>
      <xdr:rowOff>89648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26</xdr:col>
      <xdr:colOff>97386</xdr:colOff>
      <xdr:row>14</xdr:row>
      <xdr:rowOff>44556</xdr:rowOff>
    </xdr:from>
    <xdr:to>
      <xdr:col>31</xdr:col>
      <xdr:colOff>393435</xdr:colOff>
      <xdr:row>24</xdr:row>
      <xdr:rowOff>134204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481320</xdr:colOff>
      <xdr:row>14</xdr:row>
      <xdr:rowOff>111790</xdr:rowOff>
    </xdr:from>
    <xdr:to>
      <xdr:col>37</xdr:col>
      <xdr:colOff>99146</xdr:colOff>
      <xdr:row>25</xdr:row>
      <xdr:rowOff>20009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638736</xdr:colOff>
      <xdr:row>28</xdr:row>
      <xdr:rowOff>22412</xdr:rowOff>
    </xdr:from>
    <xdr:to>
      <xdr:col>15</xdr:col>
      <xdr:colOff>705971</xdr:colOff>
      <xdr:row>41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717176</xdr:colOff>
      <xdr:row>42</xdr:row>
      <xdr:rowOff>67235</xdr:rowOff>
    </xdr:from>
    <xdr:to>
      <xdr:col>15</xdr:col>
      <xdr:colOff>784411</xdr:colOff>
      <xdr:row>56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26</xdr:col>
      <xdr:colOff>55521</xdr:colOff>
      <xdr:row>25</xdr:row>
      <xdr:rowOff>82407</xdr:rowOff>
    </xdr:from>
    <xdr:to>
      <xdr:col>31</xdr:col>
      <xdr:colOff>340639</xdr:colOff>
      <xdr:row>37</xdr:row>
      <xdr:rowOff>144514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947CC9-94EF-4ACC-BF38-C44379889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31</xdr:col>
      <xdr:colOff>439455</xdr:colOff>
      <xdr:row>25</xdr:row>
      <xdr:rowOff>149641</xdr:rowOff>
    </xdr:from>
    <xdr:to>
      <xdr:col>37</xdr:col>
      <xdr:colOff>57281</xdr:colOff>
      <xdr:row>38</xdr:row>
      <xdr:rowOff>28134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4E15056-6E31-4C9D-ADFB-627CD231F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13591</xdr:colOff>
      <xdr:row>3</xdr:row>
      <xdr:rowOff>19539</xdr:rowOff>
    </xdr:from>
    <xdr:to>
      <xdr:col>19</xdr:col>
      <xdr:colOff>645201</xdr:colOff>
      <xdr:row>15</xdr:row>
      <xdr:rowOff>19539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74B87E8-8F57-495D-B90A-182916C242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16</xdr:col>
      <xdr:colOff>28159</xdr:colOff>
      <xdr:row>15</xdr:row>
      <xdr:rowOff>75008</xdr:rowOff>
    </xdr:from>
    <xdr:to>
      <xdr:col>19</xdr:col>
      <xdr:colOff>659769</xdr:colOff>
      <xdr:row>27</xdr:row>
      <xdr:rowOff>75008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2B72A22-8002-4F79-AB46-F076AEDEFA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15</xdr:col>
      <xdr:colOff>859693</xdr:colOff>
      <xdr:row>28</xdr:row>
      <xdr:rowOff>8333</xdr:rowOff>
    </xdr:from>
    <xdr:to>
      <xdr:col>19</xdr:col>
      <xdr:colOff>594774</xdr:colOff>
      <xdr:row>41</xdr:row>
      <xdr:rowOff>120392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331E29A-6E9C-4F33-98DA-3A127287F3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16</xdr:col>
      <xdr:colOff>39363</xdr:colOff>
      <xdr:row>42</xdr:row>
      <xdr:rowOff>53156</xdr:rowOff>
    </xdr:from>
    <xdr:to>
      <xdr:col>19</xdr:col>
      <xdr:colOff>673214</xdr:colOff>
      <xdr:row>56</xdr:row>
      <xdr:rowOff>131598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6B275C-9F6E-41C1-81F4-0B9743BF9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755389</xdr:colOff>
      <xdr:row>2</xdr:row>
      <xdr:rowOff>167898</xdr:rowOff>
    </xdr:from>
    <xdr:to>
      <xdr:col>22</xdr:col>
      <xdr:colOff>444186</xdr:colOff>
      <xdr:row>14</xdr:row>
      <xdr:rowOff>167898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8EF471-A995-4AAB-B300-8F0CD26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769957</xdr:colOff>
      <xdr:row>15</xdr:row>
      <xdr:rowOff>42553</xdr:rowOff>
    </xdr:from>
    <xdr:to>
      <xdr:col>22</xdr:col>
      <xdr:colOff>458754</xdr:colOff>
      <xdr:row>27</xdr:row>
      <xdr:rowOff>42553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4F75C8E-66C5-4D6B-908B-67EBE3885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19</xdr:col>
      <xdr:colOff>710339</xdr:colOff>
      <xdr:row>27</xdr:row>
      <xdr:rowOff>156692</xdr:rowOff>
    </xdr:from>
    <xdr:to>
      <xdr:col>22</xdr:col>
      <xdr:colOff>393759</xdr:colOff>
      <xdr:row>41</xdr:row>
      <xdr:rowOff>87937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3EF1C12-13A5-4C65-91DD-88CEC84DA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781161</xdr:colOff>
      <xdr:row>42</xdr:row>
      <xdr:rowOff>20701</xdr:rowOff>
    </xdr:from>
    <xdr:to>
      <xdr:col>22</xdr:col>
      <xdr:colOff>472199</xdr:colOff>
      <xdr:row>56</xdr:row>
      <xdr:rowOff>99143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5533866-CC37-412D-9AF5-E6E7C64B2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M90"/>
  <sheetViews>
    <sheetView tabSelected="1" topLeftCell="G1" zoomScale="59" zoomScaleNormal="83" workbookViewId="0">
      <selection activeCell="V60" sqref="V60"/>
    </sheetView>
  </sheetViews>
  <sheetFormatPr defaultRowHeight="14.4" x14ac:dyDescent="0.3"/>
  <cols>
    <col min="1" max="1" width="19.109375" customWidth="1"/>
    <col min="2" max="2" width="18.6640625" customWidth="1"/>
    <col min="3" max="3" width="15.5546875" customWidth="1"/>
    <col min="4" max="4" width="19.109375" customWidth="1"/>
    <col min="5" max="5" width="22.33203125" customWidth="1"/>
    <col min="6" max="6" width="17.5546875" customWidth="1"/>
    <col min="7" max="10" width="17.88671875" customWidth="1"/>
    <col min="11" max="12" width="23.6640625" customWidth="1"/>
    <col min="13" max="13" width="15.5546875" customWidth="1"/>
    <col min="14" max="15" width="16" customWidth="1"/>
    <col min="16" max="19" width="13" customWidth="1"/>
    <col min="20" max="20" width="16.33203125" customWidth="1"/>
    <col min="21" max="21" width="17.6640625" customWidth="1"/>
    <col min="22" max="22" width="18.6640625" customWidth="1"/>
    <col min="24" max="24" width="14.88671875" customWidth="1"/>
    <col min="25" max="25" width="9.6640625" customWidth="1"/>
  </cols>
  <sheetData>
    <row r="1" spans="1:39" x14ac:dyDescent="0.3">
      <c r="A1" s="4" t="s">
        <v>7</v>
      </c>
      <c r="L1" s="3"/>
    </row>
    <row r="2" spans="1:39" x14ac:dyDescent="0.3">
      <c r="A2" s="5" t="s">
        <v>8</v>
      </c>
      <c r="L2" s="3"/>
    </row>
    <row r="3" spans="1:39" x14ac:dyDescent="0.3">
      <c r="A3" s="7" t="s">
        <v>2</v>
      </c>
      <c r="B3" s="7"/>
      <c r="C3" s="7"/>
      <c r="D3" s="1"/>
      <c r="E3" s="1"/>
      <c r="F3" s="1"/>
      <c r="G3" s="1"/>
      <c r="H3" s="1"/>
      <c r="I3" s="1"/>
      <c r="J3" s="1"/>
      <c r="L3" s="3"/>
      <c r="M3" s="1"/>
      <c r="AG3" s="1"/>
      <c r="AH3" s="1"/>
      <c r="AI3" s="1"/>
      <c r="AJ3" s="1"/>
      <c r="AK3" s="1"/>
      <c r="AL3" s="1"/>
      <c r="AM3" s="1"/>
    </row>
    <row r="4" spans="1:39" ht="54.75" customHeight="1" x14ac:dyDescent="0.3">
      <c r="A4" s="11" t="s">
        <v>23</v>
      </c>
      <c r="B4" s="11" t="s">
        <v>1</v>
      </c>
      <c r="C4" s="12" t="s">
        <v>24</v>
      </c>
      <c r="D4" s="12" t="s">
        <v>10</v>
      </c>
      <c r="E4" s="13" t="s">
        <v>11</v>
      </c>
      <c r="F4" s="13" t="s">
        <v>12</v>
      </c>
      <c r="G4" s="13" t="s">
        <v>13</v>
      </c>
      <c r="H4" s="13" t="s">
        <v>14</v>
      </c>
      <c r="I4" s="13" t="s">
        <v>33</v>
      </c>
      <c r="J4" s="13" t="s">
        <v>34</v>
      </c>
      <c r="K4" s="3"/>
      <c r="L4" s="1"/>
      <c r="M4" s="1"/>
      <c r="AG4" s="1"/>
      <c r="AH4" s="1"/>
      <c r="AI4" s="1"/>
      <c r="AJ4" s="1"/>
      <c r="AK4" s="1"/>
      <c r="AL4" s="1"/>
      <c r="AM4" s="1"/>
    </row>
    <row r="5" spans="1:39" x14ac:dyDescent="0.3">
      <c r="A5" s="16" t="s">
        <v>15</v>
      </c>
      <c r="B5" s="17">
        <v>0.78479742735639801</v>
      </c>
      <c r="C5" s="18"/>
      <c r="D5" s="19">
        <v>562.32579999999996</v>
      </c>
      <c r="E5" s="19"/>
      <c r="F5" s="19"/>
      <c r="G5" s="19">
        <v>133.4714286</v>
      </c>
      <c r="H5" s="19"/>
      <c r="I5" s="27"/>
      <c r="J5" s="29"/>
      <c r="K5" s="1"/>
      <c r="L5" s="1"/>
      <c r="M5" s="1"/>
      <c r="AG5" s="1"/>
      <c r="AH5" s="2"/>
      <c r="AI5" s="2"/>
      <c r="AJ5" s="2"/>
      <c r="AK5" s="1"/>
      <c r="AL5" s="1"/>
      <c r="AM5" s="1"/>
    </row>
    <row r="6" spans="1:39" x14ac:dyDescent="0.3">
      <c r="A6" s="16" t="s">
        <v>16</v>
      </c>
      <c r="B6" s="17">
        <v>0.17369777575697301</v>
      </c>
      <c r="C6" s="18">
        <v>60.588347259999999</v>
      </c>
      <c r="D6" s="19">
        <v>57.726100000000002</v>
      </c>
      <c r="E6" s="20">
        <v>9023.75</v>
      </c>
      <c r="F6" s="20">
        <v>9023.75</v>
      </c>
      <c r="G6" s="19">
        <v>71.117321599999997</v>
      </c>
      <c r="H6" s="19">
        <f>G6/C6</f>
        <v>1.1737788669959504</v>
      </c>
      <c r="I6" s="28">
        <v>4</v>
      </c>
      <c r="J6" s="28">
        <v>-1.5</v>
      </c>
      <c r="K6" s="1"/>
      <c r="L6" s="1"/>
      <c r="M6" s="1"/>
      <c r="AG6" s="1"/>
      <c r="AH6" s="2"/>
      <c r="AI6" s="2"/>
      <c r="AJ6" s="2"/>
      <c r="AK6" s="1"/>
      <c r="AL6" s="1"/>
      <c r="AM6" s="1"/>
    </row>
    <row r="7" spans="1:39" x14ac:dyDescent="0.3">
      <c r="A7" s="16" t="s">
        <v>17</v>
      </c>
      <c r="B7" s="17">
        <v>9.9143945152060597E-2</v>
      </c>
      <c r="C7" s="18">
        <v>73.387016439999996</v>
      </c>
      <c r="D7" s="19">
        <v>49.091801670000002</v>
      </c>
      <c r="E7" s="20">
        <v>118.5</v>
      </c>
      <c r="F7" s="20">
        <v>118.5</v>
      </c>
      <c r="G7" s="19">
        <v>74.728308609999999</v>
      </c>
      <c r="H7" s="19">
        <f t="shared" ref="H6:H20" si="0">G7/C7</f>
        <v>1.0182769682576838</v>
      </c>
      <c r="I7" s="28">
        <v>1.1385255280790201</v>
      </c>
      <c r="J7" s="28">
        <v>-0.63852552807902296</v>
      </c>
      <c r="K7" s="1"/>
      <c r="L7" s="1"/>
      <c r="M7" s="1"/>
      <c r="AG7" s="1"/>
      <c r="AH7" s="2"/>
      <c r="AI7" s="2"/>
      <c r="AJ7" s="2"/>
      <c r="AK7" s="8"/>
      <c r="AL7" s="1"/>
      <c r="AM7" s="1"/>
    </row>
    <row r="8" spans="1:39" x14ac:dyDescent="0.3">
      <c r="A8" s="16" t="s">
        <v>18</v>
      </c>
      <c r="B8" s="17">
        <v>0.21234239309632399</v>
      </c>
      <c r="C8" s="19">
        <v>79.767295559999994</v>
      </c>
      <c r="D8" s="19">
        <v>187</v>
      </c>
      <c r="E8" s="20">
        <v>2036.95</v>
      </c>
      <c r="F8" s="20">
        <v>2060.9499999999998</v>
      </c>
      <c r="G8" s="19">
        <v>79.767295559999994</v>
      </c>
      <c r="H8" s="19">
        <f t="shared" si="0"/>
        <v>1</v>
      </c>
      <c r="I8" s="28">
        <v>0</v>
      </c>
      <c r="J8" s="28">
        <v>0</v>
      </c>
      <c r="K8" s="1"/>
      <c r="L8" s="1"/>
      <c r="M8" s="1"/>
      <c r="AG8" s="1"/>
      <c r="AH8" s="2"/>
      <c r="AI8" s="2"/>
      <c r="AJ8" s="2"/>
      <c r="AK8" s="8"/>
      <c r="AL8" s="1"/>
      <c r="AM8" s="1"/>
    </row>
    <row r="9" spans="1:39" x14ac:dyDescent="0.3">
      <c r="A9" s="16" t="s">
        <v>19</v>
      </c>
      <c r="B9" s="17">
        <v>0.36516163611226798</v>
      </c>
      <c r="C9" s="18"/>
      <c r="D9" s="19">
        <v>43.2</v>
      </c>
      <c r="E9" s="20">
        <v>365</v>
      </c>
      <c r="F9" s="20"/>
      <c r="G9" s="19">
        <v>68.631809730000001</v>
      </c>
      <c r="H9" s="19"/>
      <c r="I9" s="28"/>
      <c r="J9" s="28"/>
      <c r="K9" s="1"/>
      <c r="L9" s="1"/>
      <c r="M9" s="1"/>
      <c r="AG9" s="1"/>
      <c r="AH9" s="2"/>
      <c r="AI9" s="2"/>
      <c r="AJ9" s="2"/>
      <c r="AK9" s="8"/>
      <c r="AL9" s="1"/>
      <c r="AM9" s="1"/>
    </row>
    <row r="10" spans="1:39" x14ac:dyDescent="0.3">
      <c r="A10" s="16" t="s">
        <v>20</v>
      </c>
      <c r="B10" s="17">
        <v>4.1333778886518201E-2</v>
      </c>
      <c r="C10" s="18"/>
      <c r="D10" s="19">
        <v>77.894736839999993</v>
      </c>
      <c r="E10" s="20">
        <v>351.5</v>
      </c>
      <c r="F10" s="20"/>
      <c r="G10" s="19">
        <v>69.696396059999998</v>
      </c>
      <c r="H10" s="19"/>
      <c r="I10" s="28"/>
      <c r="J10" s="28"/>
      <c r="K10" s="1"/>
      <c r="L10" s="1"/>
      <c r="M10" s="1"/>
      <c r="AG10" s="1"/>
      <c r="AH10" s="2"/>
      <c r="AI10" s="2"/>
      <c r="AJ10" s="2"/>
      <c r="AK10" s="8"/>
      <c r="AL10" s="1"/>
      <c r="AM10" s="1"/>
    </row>
    <row r="11" spans="1:39" x14ac:dyDescent="0.3">
      <c r="A11" s="16" t="s">
        <v>21</v>
      </c>
      <c r="B11" s="17">
        <v>9.4513218106104094E-2</v>
      </c>
      <c r="C11" s="21"/>
      <c r="D11" s="19">
        <v>23.15789474</v>
      </c>
      <c r="E11" s="20"/>
      <c r="F11" s="20"/>
      <c r="G11" s="19">
        <v>112.55085055666601</v>
      </c>
      <c r="H11" s="19"/>
      <c r="I11" s="28"/>
      <c r="J11" s="28"/>
      <c r="K11" s="1"/>
      <c r="L11" s="1"/>
      <c r="M11" s="1"/>
      <c r="AG11" s="1"/>
      <c r="AH11" s="2"/>
      <c r="AI11" s="2"/>
      <c r="AJ11" s="2"/>
      <c r="AK11" s="8"/>
      <c r="AL11" s="1"/>
      <c r="AM11" s="1"/>
    </row>
    <row r="12" spans="1:39" x14ac:dyDescent="0.3">
      <c r="A12" s="16" t="s">
        <v>22</v>
      </c>
      <c r="B12" s="17">
        <v>4.2663094228711902E-2</v>
      </c>
      <c r="C12" s="21"/>
      <c r="D12" s="19">
        <v>23</v>
      </c>
      <c r="E12" s="20">
        <v>22</v>
      </c>
      <c r="F12" s="20"/>
      <c r="G12" s="19">
        <v>117.49299123</v>
      </c>
      <c r="H12" s="19"/>
      <c r="I12" s="28"/>
      <c r="J12" s="28"/>
      <c r="K12" s="1"/>
      <c r="L12" s="1"/>
      <c r="M12" s="1"/>
      <c r="AG12" s="1"/>
      <c r="AH12" s="2"/>
      <c r="AI12" s="2"/>
      <c r="AJ12" s="2"/>
      <c r="AK12" s="8"/>
      <c r="AL12" s="1"/>
      <c r="AM12" s="1"/>
    </row>
    <row r="13" spans="1:39" x14ac:dyDescent="0.3">
      <c r="A13" s="16" t="s">
        <v>25</v>
      </c>
      <c r="B13" s="17">
        <v>8.8732929175135894E-2</v>
      </c>
      <c r="C13" s="18">
        <v>113.72040256</v>
      </c>
      <c r="D13" s="19">
        <v>10.34482759</v>
      </c>
      <c r="E13" s="20">
        <v>21</v>
      </c>
      <c r="F13" s="20">
        <v>21</v>
      </c>
      <c r="G13" s="19">
        <v>115.079453056666</v>
      </c>
      <c r="H13" s="19">
        <f t="shared" si="0"/>
        <v>1.0119508062412015</v>
      </c>
      <c r="I13" s="28">
        <v>8.1761484496582497</v>
      </c>
      <c r="J13" s="28">
        <v>-1.9243966466520197</v>
      </c>
      <c r="K13" s="1"/>
      <c r="L13" s="1"/>
      <c r="M13" s="1"/>
      <c r="AG13" s="1"/>
      <c r="AH13" s="2"/>
      <c r="AI13" s="2"/>
      <c r="AJ13" s="2"/>
      <c r="AK13" s="8"/>
      <c r="AL13" s="1"/>
      <c r="AM13" s="1"/>
    </row>
    <row r="14" spans="1:39" x14ac:dyDescent="0.3">
      <c r="A14" s="16" t="s">
        <v>26</v>
      </c>
      <c r="B14" s="17">
        <v>-1.9463558010346702E-2</v>
      </c>
      <c r="C14" s="18"/>
      <c r="D14" s="19">
        <v>26.086956520000001</v>
      </c>
      <c r="E14" s="20">
        <v>21.5</v>
      </c>
      <c r="F14" s="20"/>
      <c r="G14" s="19">
        <v>119.222878299999</v>
      </c>
      <c r="H14" s="19"/>
      <c r="I14" s="28"/>
      <c r="J14" s="28"/>
      <c r="K14" s="1"/>
      <c r="L14" s="1"/>
      <c r="M14" s="1"/>
      <c r="AG14" s="1"/>
      <c r="AH14" s="1"/>
      <c r="AI14" s="1"/>
      <c r="AJ14" s="14"/>
      <c r="AK14" s="8"/>
      <c r="AL14" s="1"/>
      <c r="AM14" s="1"/>
    </row>
    <row r="15" spans="1:39" x14ac:dyDescent="0.3">
      <c r="A15" s="16" t="s">
        <v>27</v>
      </c>
      <c r="B15" s="17">
        <v>0.10415722716452799</v>
      </c>
      <c r="C15" s="18">
        <v>112.66319882000001</v>
      </c>
      <c r="D15" s="19">
        <v>8.125</v>
      </c>
      <c r="E15" s="20">
        <v>75</v>
      </c>
      <c r="F15" s="20">
        <v>96.5</v>
      </c>
      <c r="G15" s="19">
        <v>115.360934813333</v>
      </c>
      <c r="H15" s="19">
        <f t="shared" si="0"/>
        <v>1.0239451393319936</v>
      </c>
      <c r="I15" s="28">
        <v>19.594840851392899</v>
      </c>
      <c r="J15" s="28">
        <v>-8.5529249332917008</v>
      </c>
      <c r="K15" s="1"/>
      <c r="L15" s="1"/>
      <c r="M15" s="1"/>
      <c r="AG15" s="1"/>
      <c r="AH15" s="1"/>
      <c r="AI15" s="1"/>
      <c r="AJ15" s="14"/>
      <c r="AK15" s="8"/>
      <c r="AL15" s="1"/>
      <c r="AM15" s="1"/>
    </row>
    <row r="16" spans="1:39" x14ac:dyDescent="0.3">
      <c r="A16" s="16" t="s">
        <v>28</v>
      </c>
      <c r="B16" s="17">
        <v>4.66251429291673E-2</v>
      </c>
      <c r="C16" s="18">
        <v>114.89097618</v>
      </c>
      <c r="D16" s="19">
        <v>12.67</v>
      </c>
      <c r="E16" s="20">
        <v>47.5</v>
      </c>
      <c r="F16" s="20">
        <v>47.5</v>
      </c>
      <c r="G16" s="19">
        <v>118.05576815000001</v>
      </c>
      <c r="H16" s="19">
        <f t="shared" si="0"/>
        <v>1.0275460447393339</v>
      </c>
      <c r="I16" s="28">
        <v>17.2552427011953</v>
      </c>
      <c r="J16" s="28">
        <v>-6.8910153198931301</v>
      </c>
      <c r="K16" s="1"/>
      <c r="L16" s="1"/>
      <c r="M16" s="1"/>
      <c r="AG16" s="1"/>
      <c r="AH16" s="1"/>
      <c r="AI16" s="1"/>
      <c r="AJ16" s="1"/>
      <c r="AK16" s="1"/>
      <c r="AL16" s="1"/>
      <c r="AM16" s="1"/>
    </row>
    <row r="17" spans="1:39" x14ac:dyDescent="0.3">
      <c r="A17" s="16" t="s">
        <v>29</v>
      </c>
      <c r="B17" s="17">
        <v>9.0894558490112708E-3</v>
      </c>
      <c r="C17" s="18">
        <v>116.55531655999999</v>
      </c>
      <c r="D17" s="19">
        <v>42</v>
      </c>
      <c r="E17" s="20">
        <v>23.5</v>
      </c>
      <c r="F17" s="20">
        <v>23.5</v>
      </c>
      <c r="G17" s="19">
        <v>119.77022043333299</v>
      </c>
      <c r="H17" s="19">
        <f t="shared" si="0"/>
        <v>1.0275826446035865</v>
      </c>
      <c r="I17" s="28">
        <v>17.024424898784201</v>
      </c>
      <c r="J17" s="28">
        <v>-4.3261384988685592</v>
      </c>
      <c r="K17" s="1"/>
      <c r="L17" s="1"/>
      <c r="M17" s="1"/>
      <c r="AG17" s="1"/>
      <c r="AH17" s="1"/>
      <c r="AI17" s="1"/>
      <c r="AJ17" s="1"/>
      <c r="AK17" s="1"/>
      <c r="AL17" s="1"/>
      <c r="AM17" s="1"/>
    </row>
    <row r="18" spans="1:39" x14ac:dyDescent="0.3">
      <c r="A18" s="16" t="s">
        <v>30</v>
      </c>
      <c r="B18" s="17">
        <v>-1.7278096303121701E-2</v>
      </c>
      <c r="C18" s="18">
        <v>118.40602251999999</v>
      </c>
      <c r="D18" s="19"/>
      <c r="E18" s="20">
        <v>20</v>
      </c>
      <c r="F18" s="20">
        <v>47.75</v>
      </c>
      <c r="G18" s="19">
        <v>125.17995179</v>
      </c>
      <c r="H18" s="19">
        <f t="shared" si="0"/>
        <v>1.0572093304532362</v>
      </c>
      <c r="I18" s="28">
        <v>15.1069524712688</v>
      </c>
      <c r="J18" s="28">
        <v>-8.6900508235792202</v>
      </c>
      <c r="K18" s="1"/>
      <c r="L18" s="1"/>
      <c r="M18" s="1"/>
      <c r="AG18" s="1"/>
      <c r="AH18" s="1"/>
      <c r="AI18" s="1"/>
      <c r="AJ18" s="1"/>
      <c r="AK18" s="1"/>
      <c r="AL18" s="1"/>
      <c r="AM18" s="1"/>
    </row>
    <row r="19" spans="1:39" x14ac:dyDescent="0.3">
      <c r="A19" s="16" t="s">
        <v>31</v>
      </c>
      <c r="B19" s="17">
        <v>2.0373962034653699E-2</v>
      </c>
      <c r="C19" s="18">
        <v>115.75512236</v>
      </c>
      <c r="D19" s="19">
        <v>20.666666670000001</v>
      </c>
      <c r="E19" s="20">
        <v>23.75</v>
      </c>
      <c r="F19" s="20">
        <v>23.75</v>
      </c>
      <c r="G19" s="19">
        <v>128.631154973333</v>
      </c>
      <c r="H19" s="19">
        <f t="shared" si="0"/>
        <v>1.111235100018195</v>
      </c>
      <c r="I19" s="28">
        <v>21.9579587943592</v>
      </c>
      <c r="J19" s="28">
        <v>-7.4420412056407592</v>
      </c>
      <c r="L19" s="1"/>
      <c r="M19" s="1"/>
      <c r="AG19" s="1"/>
      <c r="AH19" s="2"/>
      <c r="AI19" s="2"/>
      <c r="AJ19" s="2"/>
      <c r="AK19" s="1"/>
      <c r="AL19" s="1"/>
      <c r="AM19" s="1"/>
    </row>
    <row r="20" spans="1:39" x14ac:dyDescent="0.3">
      <c r="A20" s="16" t="s">
        <v>32</v>
      </c>
      <c r="B20" s="17">
        <v>-2.50118292734785E-2</v>
      </c>
      <c r="C20" s="18">
        <v>121.12197168</v>
      </c>
      <c r="D20" s="19"/>
      <c r="E20" s="20">
        <v>23.5</v>
      </c>
      <c r="F20" s="20">
        <v>23.5</v>
      </c>
      <c r="G20" s="19">
        <v>127.417386873333</v>
      </c>
      <c r="H20" s="19">
        <f t="shared" si="0"/>
        <v>1.0519758315193652</v>
      </c>
      <c r="I20" s="28">
        <v>16.640165980770899</v>
      </c>
      <c r="J20" s="28">
        <v>-8.2060847497882605</v>
      </c>
      <c r="L20" s="1"/>
      <c r="M20" s="1"/>
      <c r="AG20" s="1"/>
      <c r="AH20" s="2"/>
      <c r="AI20" s="2"/>
      <c r="AJ20" s="2"/>
      <c r="AK20" s="1"/>
      <c r="AL20" s="1"/>
      <c r="AM20" s="1"/>
    </row>
    <row r="21" spans="1:39" x14ac:dyDescent="0.3">
      <c r="A21" s="1"/>
      <c r="B21" s="6"/>
      <c r="D21" s="9"/>
      <c r="E21" s="1"/>
      <c r="G21" s="9"/>
      <c r="H21" s="6"/>
      <c r="I21" s="6"/>
      <c r="J21" s="6"/>
      <c r="K21" s="8"/>
      <c r="L21" s="1"/>
      <c r="M21" s="1"/>
      <c r="AG21" s="1"/>
      <c r="AH21" s="2"/>
      <c r="AI21" s="2"/>
      <c r="AJ21" s="2"/>
      <c r="AK21" s="8"/>
      <c r="AL21" s="1"/>
      <c r="AM21" s="1"/>
    </row>
    <row r="22" spans="1:39" x14ac:dyDescent="0.3">
      <c r="A22" s="7" t="s">
        <v>4</v>
      </c>
      <c r="B22" s="7"/>
      <c r="C22" s="7"/>
      <c r="D22" s="1"/>
      <c r="E22" s="1"/>
      <c r="F22" s="1"/>
      <c r="G22" s="9"/>
      <c r="H22" s="6"/>
      <c r="I22" s="6"/>
      <c r="J22" s="6"/>
      <c r="L22" s="1"/>
      <c r="M22" s="1"/>
      <c r="AG22" s="1"/>
      <c r="AH22" s="2"/>
      <c r="AI22" s="2"/>
      <c r="AJ22" s="2"/>
      <c r="AK22" s="8"/>
      <c r="AL22" s="1"/>
      <c r="AM22" s="1"/>
    </row>
    <row r="23" spans="1:39" ht="41.4" x14ac:dyDescent="0.3">
      <c r="A23" s="11" t="s">
        <v>0</v>
      </c>
      <c r="B23" s="11" t="s">
        <v>1</v>
      </c>
      <c r="C23" s="12" t="s">
        <v>24</v>
      </c>
      <c r="D23" s="12" t="s">
        <v>10</v>
      </c>
      <c r="E23" s="13" t="s">
        <v>11</v>
      </c>
      <c r="F23" s="13" t="s">
        <v>12</v>
      </c>
      <c r="G23" s="13" t="s">
        <v>13</v>
      </c>
      <c r="H23" s="13" t="s">
        <v>14</v>
      </c>
      <c r="I23" s="13" t="s">
        <v>33</v>
      </c>
      <c r="J23" s="13" t="s">
        <v>34</v>
      </c>
      <c r="K23" s="8"/>
      <c r="L23" s="1"/>
      <c r="M23" s="1"/>
      <c r="AG23" s="1"/>
      <c r="AH23" s="1"/>
      <c r="AI23" s="1"/>
      <c r="AJ23" s="1"/>
      <c r="AK23" s="8"/>
      <c r="AL23" s="1"/>
      <c r="AM23" s="1"/>
    </row>
    <row r="24" spans="1:39" x14ac:dyDescent="0.3">
      <c r="A24" s="15" t="s">
        <v>15</v>
      </c>
      <c r="B24" s="23">
        <v>-0.69015600278604705</v>
      </c>
      <c r="C24" s="18"/>
      <c r="D24" s="19"/>
      <c r="E24" s="19"/>
      <c r="F24" s="19"/>
      <c r="G24" s="19">
        <v>133.4714286</v>
      </c>
      <c r="H24" s="19"/>
      <c r="I24" s="27"/>
      <c r="J24" s="29"/>
      <c r="K24" s="1"/>
      <c r="L24" s="1"/>
      <c r="M24" s="1"/>
      <c r="AG24" s="1"/>
      <c r="AH24" s="1"/>
      <c r="AI24" s="1"/>
      <c r="AJ24" s="1"/>
      <c r="AK24" s="8"/>
      <c r="AL24" s="1"/>
      <c r="AM24" s="1"/>
    </row>
    <row r="25" spans="1:39" x14ac:dyDescent="0.3">
      <c r="A25" s="15" t="s">
        <v>16</v>
      </c>
      <c r="B25" s="24">
        <v>1.7836570943256701E-2</v>
      </c>
      <c r="C25" s="18">
        <v>60.588347259999999</v>
      </c>
      <c r="D25" s="19"/>
      <c r="E25" s="20">
        <v>9023.75</v>
      </c>
      <c r="F25" s="20">
        <v>9023.75</v>
      </c>
      <c r="G25" s="19">
        <v>71.117321599999997</v>
      </c>
      <c r="H25" s="19">
        <f>H6</f>
        <v>1.1737788669959504</v>
      </c>
      <c r="I25" s="28">
        <v>4</v>
      </c>
      <c r="J25" s="28">
        <v>-1.5</v>
      </c>
      <c r="K25" s="1"/>
      <c r="L25" s="1"/>
      <c r="M25" s="1"/>
      <c r="AG25" s="1"/>
      <c r="AH25" s="1"/>
      <c r="AI25" s="1"/>
      <c r="AJ25" s="1"/>
      <c r="AK25" s="8"/>
      <c r="AL25" s="1"/>
      <c r="AM25" s="1"/>
    </row>
    <row r="26" spans="1:39" x14ac:dyDescent="0.3">
      <c r="A26" s="15" t="s">
        <v>17</v>
      </c>
      <c r="B26" s="23">
        <v>-0.54160608613664096</v>
      </c>
      <c r="C26" s="18">
        <v>73.387016439999996</v>
      </c>
      <c r="D26" s="19"/>
      <c r="E26" s="20">
        <v>118.5</v>
      </c>
      <c r="F26" s="20">
        <v>118.5</v>
      </c>
      <c r="G26" s="19">
        <v>74.728308609999999</v>
      </c>
      <c r="H26" s="19">
        <f>H7</f>
        <v>1.0182769682576838</v>
      </c>
      <c r="I26" s="28">
        <v>1.1385255280790201</v>
      </c>
      <c r="J26" s="28">
        <v>-0.63852552807902296</v>
      </c>
      <c r="K26" s="1"/>
      <c r="L26" s="1"/>
      <c r="M26" s="1"/>
      <c r="AG26" s="1"/>
      <c r="AH26" s="1"/>
      <c r="AI26" s="1"/>
      <c r="AJ26" s="1"/>
      <c r="AK26" s="8"/>
      <c r="AL26" s="1"/>
      <c r="AM26" s="1"/>
    </row>
    <row r="27" spans="1:39" x14ac:dyDescent="0.3">
      <c r="A27" s="15" t="s">
        <v>18</v>
      </c>
      <c r="B27" s="23">
        <v>-0.17637365181995501</v>
      </c>
      <c r="C27" s="19">
        <v>79.767295559999994</v>
      </c>
      <c r="D27" s="19"/>
      <c r="E27" s="20">
        <v>2036.95</v>
      </c>
      <c r="F27" s="20">
        <v>2060.9499999999998</v>
      </c>
      <c r="G27" s="19">
        <v>79.767295559999994</v>
      </c>
      <c r="H27" s="19">
        <f>H8</f>
        <v>1</v>
      </c>
      <c r="I27" s="28">
        <v>0</v>
      </c>
      <c r="J27" s="28">
        <v>0</v>
      </c>
      <c r="K27" s="1"/>
      <c r="L27" s="1"/>
      <c r="M27" s="1"/>
      <c r="AG27" s="1"/>
      <c r="AH27" s="1"/>
      <c r="AI27" s="1"/>
      <c r="AJ27" s="1"/>
      <c r="AK27" s="8"/>
      <c r="AL27" s="1"/>
      <c r="AM27" s="1"/>
    </row>
    <row r="28" spans="1:39" x14ac:dyDescent="0.3">
      <c r="A28" s="15" t="s">
        <v>19</v>
      </c>
      <c r="B28" s="24">
        <v>0.39449354239977702</v>
      </c>
      <c r="C28" s="18"/>
      <c r="D28" s="19"/>
      <c r="E28" s="20">
        <v>365</v>
      </c>
      <c r="F28" s="20"/>
      <c r="G28" s="19">
        <v>68.631809730000001</v>
      </c>
      <c r="H28" s="19"/>
      <c r="I28" s="28"/>
      <c r="J28" s="28"/>
      <c r="K28" s="1"/>
      <c r="L28" s="1"/>
      <c r="M28" s="1"/>
      <c r="AG28" s="1"/>
      <c r="AH28" s="1"/>
      <c r="AI28" s="1"/>
      <c r="AJ28" s="1"/>
      <c r="AK28" s="8"/>
      <c r="AL28" s="1"/>
      <c r="AM28" s="1"/>
    </row>
    <row r="29" spans="1:39" x14ac:dyDescent="0.3">
      <c r="A29" s="22" t="s">
        <v>20</v>
      </c>
      <c r="B29" s="23">
        <v>-0.17371472956907899</v>
      </c>
      <c r="C29" s="18"/>
      <c r="D29" s="19"/>
      <c r="E29" s="20">
        <v>351.5</v>
      </c>
      <c r="F29" s="20"/>
      <c r="G29" s="19">
        <v>69.696396059999998</v>
      </c>
      <c r="H29" s="19"/>
      <c r="I29" s="28"/>
      <c r="J29" s="28"/>
      <c r="K29" s="1"/>
      <c r="L29" s="1"/>
      <c r="M29" s="1"/>
      <c r="AG29" s="1"/>
      <c r="AH29" s="1"/>
      <c r="AI29" s="1"/>
      <c r="AJ29" s="1"/>
      <c r="AK29" s="8"/>
      <c r="AL29" s="1"/>
      <c r="AM29" s="1"/>
    </row>
    <row r="30" spans="1:39" x14ac:dyDescent="0.3">
      <c r="A30" s="16" t="s">
        <v>21</v>
      </c>
      <c r="B30" s="24">
        <v>3.4332675043980999E-2</v>
      </c>
      <c r="C30" s="21"/>
      <c r="D30" s="19"/>
      <c r="E30" s="20">
        <v>6055.55</v>
      </c>
      <c r="F30" s="20"/>
      <c r="G30" s="19">
        <v>112.55085055666601</v>
      </c>
      <c r="H30" s="19"/>
      <c r="I30" s="28"/>
      <c r="J30" s="28"/>
      <c r="K30" s="1"/>
      <c r="L30" s="1"/>
      <c r="M30" s="1"/>
      <c r="AG30" s="1"/>
      <c r="AH30" s="1"/>
      <c r="AI30" s="1"/>
      <c r="AJ30" s="1"/>
      <c r="AK30" s="1"/>
      <c r="AL30" s="1"/>
      <c r="AM30" s="1"/>
    </row>
    <row r="31" spans="1:39" x14ac:dyDescent="0.3">
      <c r="A31" s="16" t="s">
        <v>22</v>
      </c>
      <c r="B31" s="24">
        <v>2.8668980226143202E-2</v>
      </c>
      <c r="C31" s="21"/>
      <c r="D31" s="19"/>
      <c r="E31" s="20">
        <v>22</v>
      </c>
      <c r="F31" s="20"/>
      <c r="G31" s="19">
        <v>117.49299123</v>
      </c>
      <c r="H31" s="19"/>
      <c r="I31" s="28"/>
      <c r="J31" s="28"/>
      <c r="K31" s="1"/>
      <c r="L31" s="1"/>
      <c r="M31" s="1"/>
      <c r="AG31" s="1"/>
      <c r="AH31" s="1"/>
      <c r="AI31" s="1"/>
      <c r="AJ31" s="1"/>
      <c r="AK31" s="1"/>
      <c r="AL31" s="1"/>
      <c r="AM31" s="1"/>
    </row>
    <row r="32" spans="1:39" x14ac:dyDescent="0.3">
      <c r="A32" s="16" t="s">
        <v>25</v>
      </c>
      <c r="B32" s="24">
        <v>1.20306787922476E-2</v>
      </c>
      <c r="C32" s="18">
        <v>113.72040256</v>
      </c>
      <c r="D32" s="19"/>
      <c r="E32" s="20">
        <v>21</v>
      </c>
      <c r="F32" s="20">
        <v>21</v>
      </c>
      <c r="G32" s="19">
        <v>115.079453056666</v>
      </c>
      <c r="H32" s="19">
        <f>G32/C32</f>
        <v>1.0119508062412015</v>
      </c>
      <c r="I32" s="28">
        <v>8.1761484496582497</v>
      </c>
      <c r="J32" s="28">
        <v>-1.9243966466520197</v>
      </c>
      <c r="K32" s="1"/>
      <c r="L32" s="1"/>
      <c r="M32" s="1"/>
      <c r="AG32" s="1"/>
      <c r="AH32" s="1"/>
      <c r="AI32" s="1"/>
      <c r="AJ32" s="1"/>
      <c r="AK32" s="1"/>
      <c r="AL32" s="1"/>
      <c r="AM32" s="1"/>
    </row>
    <row r="33" spans="1:39" x14ac:dyDescent="0.3">
      <c r="A33" s="16" t="s">
        <v>26</v>
      </c>
      <c r="B33" s="24">
        <v>2.7386597361713599E-2</v>
      </c>
      <c r="C33" s="18"/>
      <c r="D33" s="19"/>
      <c r="E33" s="20">
        <v>21.5</v>
      </c>
      <c r="F33" s="20"/>
      <c r="G33" s="19">
        <v>119.222878299999</v>
      </c>
      <c r="H33" s="19"/>
      <c r="I33" s="28"/>
      <c r="J33" s="28"/>
      <c r="K33" s="1"/>
      <c r="L33" s="1"/>
      <c r="M33" s="1"/>
      <c r="AG33" s="1"/>
      <c r="AH33" s="2"/>
      <c r="AI33" s="2"/>
      <c r="AJ33" s="2"/>
      <c r="AK33" s="1"/>
      <c r="AL33" s="1"/>
      <c r="AM33" s="1"/>
    </row>
    <row r="34" spans="1:39" x14ac:dyDescent="0.3">
      <c r="A34" s="16" t="s">
        <v>27</v>
      </c>
      <c r="B34" s="24">
        <v>2.8615745110634201E-2</v>
      </c>
      <c r="C34" s="18">
        <v>112.66319882000001</v>
      </c>
      <c r="D34" s="19"/>
      <c r="E34" s="20">
        <v>75</v>
      </c>
      <c r="F34" s="20">
        <v>96.5</v>
      </c>
      <c r="G34" s="19">
        <v>115.360934813333</v>
      </c>
      <c r="H34" s="19">
        <f t="shared" ref="H34:H39" si="1">G34/C34</f>
        <v>1.0239451393319936</v>
      </c>
      <c r="I34" s="28">
        <v>19.594840851392899</v>
      </c>
      <c r="J34" s="28">
        <v>-8.5529249332917008</v>
      </c>
      <c r="K34" s="1"/>
      <c r="L34" s="1"/>
      <c r="M34" s="1"/>
      <c r="AG34" s="1"/>
      <c r="AH34" s="2"/>
      <c r="AI34" s="2"/>
      <c r="AJ34" s="2"/>
      <c r="AK34" s="1"/>
      <c r="AL34" s="1"/>
      <c r="AM34" s="1"/>
    </row>
    <row r="35" spans="1:39" x14ac:dyDescent="0.3">
      <c r="A35" s="16" t="s">
        <v>28</v>
      </c>
      <c r="B35" s="24">
        <v>4.4113621235337297E-2</v>
      </c>
      <c r="C35" s="18">
        <v>114.89097618</v>
      </c>
      <c r="D35" s="19"/>
      <c r="E35" s="20">
        <v>47.5</v>
      </c>
      <c r="F35" s="20">
        <v>47.5</v>
      </c>
      <c r="G35" s="19">
        <v>118.05576815000001</v>
      </c>
      <c r="H35" s="19">
        <f t="shared" si="1"/>
        <v>1.0275460447393339</v>
      </c>
      <c r="I35" s="28">
        <v>17.2552427011953</v>
      </c>
      <c r="J35" s="28">
        <v>-6.8910153198931301</v>
      </c>
      <c r="K35" s="1"/>
      <c r="L35" s="1"/>
      <c r="M35" s="1"/>
      <c r="AG35" s="1"/>
      <c r="AH35" s="2"/>
      <c r="AI35" s="2"/>
      <c r="AJ35" s="2"/>
      <c r="AK35" s="8"/>
      <c r="AL35" s="1"/>
      <c r="AM35" s="1"/>
    </row>
    <row r="36" spans="1:39" x14ac:dyDescent="0.3">
      <c r="A36" s="16" t="s">
        <v>29</v>
      </c>
      <c r="B36" s="23">
        <v>-8.0536265843332393E-3</v>
      </c>
      <c r="C36" s="18">
        <v>116.55531655999999</v>
      </c>
      <c r="D36" s="19"/>
      <c r="E36" s="20">
        <v>23.5</v>
      </c>
      <c r="F36" s="20">
        <v>23.5</v>
      </c>
      <c r="G36" s="19">
        <v>119.77022043333299</v>
      </c>
      <c r="H36" s="19">
        <f t="shared" si="1"/>
        <v>1.0275826446035865</v>
      </c>
      <c r="I36" s="28">
        <v>17.024424898784201</v>
      </c>
      <c r="J36" s="28">
        <v>-4.3261384988685592</v>
      </c>
      <c r="K36" s="1"/>
      <c r="L36" s="1"/>
      <c r="M36" s="1"/>
      <c r="AG36" s="1"/>
      <c r="AH36" s="2"/>
      <c r="AI36" s="2"/>
      <c r="AJ36" s="2"/>
      <c r="AK36" s="8"/>
      <c r="AL36" s="1"/>
      <c r="AM36" s="1"/>
    </row>
    <row r="37" spans="1:39" x14ac:dyDescent="0.3">
      <c r="A37" s="16" t="s">
        <v>30</v>
      </c>
      <c r="B37" s="23">
        <v>-2.13677287576714E-2</v>
      </c>
      <c r="C37" s="18">
        <v>118.40602251999999</v>
      </c>
      <c r="D37" s="19"/>
      <c r="E37" s="20">
        <v>20</v>
      </c>
      <c r="F37" s="20">
        <v>47.75</v>
      </c>
      <c r="G37" s="19">
        <v>125.17995179</v>
      </c>
      <c r="H37" s="19">
        <f t="shared" si="1"/>
        <v>1.0572093304532362</v>
      </c>
      <c r="I37" s="28">
        <v>15.1069524712688</v>
      </c>
      <c r="J37" s="28">
        <v>-8.6900508235792202</v>
      </c>
      <c r="K37" s="1"/>
      <c r="L37" s="1"/>
      <c r="M37" s="1"/>
      <c r="AG37" s="1"/>
      <c r="AH37" s="1"/>
      <c r="AI37" s="1"/>
      <c r="AJ37" s="1"/>
      <c r="AK37" s="8"/>
      <c r="AL37" s="1"/>
      <c r="AM37" s="1"/>
    </row>
    <row r="38" spans="1:39" x14ac:dyDescent="0.3">
      <c r="A38" s="16" t="s">
        <v>31</v>
      </c>
      <c r="B38" s="24">
        <v>2.7450804091866201E-2</v>
      </c>
      <c r="C38" s="18">
        <v>115.75512236</v>
      </c>
      <c r="D38" s="19"/>
      <c r="E38" s="20">
        <v>23.75</v>
      </c>
      <c r="F38" s="20">
        <v>23.75</v>
      </c>
      <c r="G38" s="19">
        <v>128.631154973333</v>
      </c>
      <c r="H38" s="19">
        <f t="shared" si="1"/>
        <v>1.111235100018195</v>
      </c>
      <c r="I38" s="28">
        <v>21.9579587943592</v>
      </c>
      <c r="J38" s="28">
        <v>-7.4420412056407592</v>
      </c>
      <c r="K38" s="1"/>
      <c r="L38" s="1"/>
      <c r="M38" s="1"/>
      <c r="AG38" s="1"/>
      <c r="AH38" s="1"/>
      <c r="AI38" s="1"/>
      <c r="AJ38" s="1"/>
      <c r="AK38" s="8"/>
      <c r="AL38" s="1"/>
      <c r="AM38" s="1"/>
    </row>
    <row r="39" spans="1:39" x14ac:dyDescent="0.3">
      <c r="A39" s="16" t="s">
        <v>32</v>
      </c>
      <c r="B39" s="23">
        <v>-4.0077224600602597E-2</v>
      </c>
      <c r="C39" s="18">
        <v>121.12197168</v>
      </c>
      <c r="D39" s="19"/>
      <c r="E39" s="20">
        <v>23.5</v>
      </c>
      <c r="F39" s="20">
        <v>23.5</v>
      </c>
      <c r="G39" s="19">
        <v>127.417386873333</v>
      </c>
      <c r="H39" s="19">
        <f t="shared" si="1"/>
        <v>1.0519758315193652</v>
      </c>
      <c r="I39" s="28">
        <v>16.640165980770899</v>
      </c>
      <c r="J39" s="28">
        <v>-8.2060847497882605</v>
      </c>
      <c r="K39" s="1"/>
      <c r="L39" s="1"/>
      <c r="M39" s="1"/>
      <c r="AG39" s="1"/>
      <c r="AH39" s="1"/>
      <c r="AI39" s="1"/>
      <c r="AJ39" s="1"/>
      <c r="AK39" s="8"/>
      <c r="AL39" s="1"/>
      <c r="AM39" s="1"/>
    </row>
    <row r="40" spans="1:39" x14ac:dyDescent="0.3">
      <c r="K40" s="1"/>
      <c r="L40" s="1"/>
      <c r="M40" s="1"/>
      <c r="AG40" s="1"/>
      <c r="AH40" s="1"/>
      <c r="AI40" s="1"/>
      <c r="AJ40" s="1"/>
      <c r="AK40" s="8"/>
      <c r="AL40" s="1"/>
      <c r="AM40" s="1"/>
    </row>
    <row r="41" spans="1:39" ht="41.4" x14ac:dyDescent="0.3">
      <c r="A41" s="11" t="s">
        <v>6</v>
      </c>
      <c r="B41" s="11" t="s">
        <v>1</v>
      </c>
      <c r="C41" s="12" t="s">
        <v>24</v>
      </c>
      <c r="D41" s="12" t="s">
        <v>10</v>
      </c>
      <c r="E41" s="13" t="s">
        <v>11</v>
      </c>
      <c r="F41" s="13" t="s">
        <v>12</v>
      </c>
      <c r="G41" s="13" t="s">
        <v>13</v>
      </c>
      <c r="H41" s="13" t="s">
        <v>14</v>
      </c>
      <c r="I41" s="13" t="s">
        <v>33</v>
      </c>
      <c r="J41" s="13" t="s">
        <v>34</v>
      </c>
      <c r="K41" s="1"/>
      <c r="L41" s="1"/>
      <c r="M41" s="1"/>
      <c r="AG41" s="1"/>
      <c r="AH41" s="1"/>
      <c r="AI41" s="1"/>
      <c r="AJ41" s="1"/>
      <c r="AK41" s="8"/>
      <c r="AL41" s="1"/>
      <c r="AM41" s="1"/>
    </row>
    <row r="42" spans="1:39" x14ac:dyDescent="0.3">
      <c r="A42" s="16" t="s">
        <v>15</v>
      </c>
      <c r="B42" s="24">
        <v>0.57681691180727601</v>
      </c>
      <c r="C42" s="18"/>
      <c r="D42" s="19"/>
      <c r="E42" s="19"/>
      <c r="F42" s="19"/>
      <c r="G42" s="19">
        <v>133.4714286</v>
      </c>
      <c r="H42" s="19"/>
      <c r="I42" s="27"/>
      <c r="J42" s="29"/>
      <c r="K42" s="1"/>
      <c r="L42" s="1"/>
      <c r="M42" s="1"/>
      <c r="AG42" s="1"/>
      <c r="AH42" s="1"/>
      <c r="AI42" s="1"/>
      <c r="AJ42" s="1"/>
      <c r="AK42" s="8"/>
      <c r="AL42" s="1"/>
      <c r="AM42" s="1"/>
    </row>
    <row r="43" spans="1:39" x14ac:dyDescent="0.3">
      <c r="A43" s="16" t="s">
        <v>16</v>
      </c>
      <c r="B43" s="24">
        <v>0.13233171245622599</v>
      </c>
      <c r="C43" s="18">
        <v>60.588347259999999</v>
      </c>
      <c r="D43" s="19"/>
      <c r="E43" s="20">
        <v>9023.75</v>
      </c>
      <c r="F43" s="20">
        <v>9023.75</v>
      </c>
      <c r="G43" s="19">
        <v>71.117321599999997</v>
      </c>
      <c r="H43" s="19">
        <f>G43/C43</f>
        <v>1.1737788669959504</v>
      </c>
      <c r="I43" s="28">
        <v>4</v>
      </c>
      <c r="J43" s="28">
        <v>-1.5</v>
      </c>
      <c r="K43" s="1"/>
      <c r="L43" s="1"/>
      <c r="M43" s="1"/>
      <c r="AG43" s="1"/>
      <c r="AH43" s="1"/>
      <c r="AI43" s="1"/>
      <c r="AJ43" s="1"/>
      <c r="AK43" s="8"/>
      <c r="AL43" s="1"/>
      <c r="AM43" s="1"/>
    </row>
    <row r="44" spans="1:39" x14ac:dyDescent="0.3">
      <c r="A44" s="16" t="s">
        <v>17</v>
      </c>
      <c r="B44" s="24">
        <v>8.9326261366187695E-2</v>
      </c>
      <c r="C44" s="18">
        <v>73.387016439999996</v>
      </c>
      <c r="D44" s="19"/>
      <c r="E44" s="20">
        <v>118.5</v>
      </c>
      <c r="F44" s="20">
        <v>118.5</v>
      </c>
      <c r="G44" s="19">
        <v>74.728308609999999</v>
      </c>
      <c r="H44" s="19">
        <f t="shared" ref="H44:H57" si="2">G44/C44</f>
        <v>1.0182769682576838</v>
      </c>
      <c r="I44" s="28">
        <v>1.1385255280790201</v>
      </c>
      <c r="J44" s="28">
        <v>-0.63852552807902296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39" x14ac:dyDescent="0.3">
      <c r="A45" s="16" t="s">
        <v>18</v>
      </c>
      <c r="B45" s="24">
        <v>4.6283799610675601E-2</v>
      </c>
      <c r="C45" s="18">
        <v>79.767295559999994</v>
      </c>
      <c r="D45" s="19"/>
      <c r="E45" s="20">
        <v>2036.95</v>
      </c>
      <c r="F45" s="20">
        <v>2060.9499999999998</v>
      </c>
      <c r="G45" s="19">
        <v>79.767295559999994</v>
      </c>
      <c r="H45" s="19">
        <f t="shared" si="2"/>
        <v>1</v>
      </c>
      <c r="I45" s="28">
        <v>0</v>
      </c>
      <c r="J45" s="28">
        <v>0</v>
      </c>
      <c r="M45" s="1"/>
      <c r="W45" s="1"/>
    </row>
    <row r="46" spans="1:39" x14ac:dyDescent="0.3">
      <c r="A46" s="16" t="s">
        <v>19</v>
      </c>
      <c r="B46" s="24">
        <v>0.164262280281398</v>
      </c>
      <c r="C46" s="18"/>
      <c r="D46" s="19"/>
      <c r="E46" s="20">
        <v>365</v>
      </c>
      <c r="F46" s="20"/>
      <c r="G46" s="19">
        <v>68.631809730000001</v>
      </c>
      <c r="H46" s="19"/>
      <c r="I46" s="28"/>
      <c r="J46" s="28"/>
      <c r="L46" s="2"/>
      <c r="M46" s="1"/>
      <c r="W46" s="1"/>
    </row>
    <row r="47" spans="1:39" x14ac:dyDescent="0.3">
      <c r="A47" s="16" t="s">
        <v>20</v>
      </c>
      <c r="B47" s="23">
        <v>-4.45444212598241E-2</v>
      </c>
      <c r="C47" s="18"/>
      <c r="D47" s="19"/>
      <c r="E47" s="20">
        <v>351.5</v>
      </c>
      <c r="F47" s="20"/>
      <c r="G47" s="19">
        <v>69.696396059999998</v>
      </c>
      <c r="H47" s="19"/>
      <c r="I47" s="28"/>
      <c r="J47" s="28"/>
      <c r="L47" s="2"/>
      <c r="M47" s="1"/>
      <c r="W47" s="1"/>
    </row>
    <row r="48" spans="1:39" x14ac:dyDescent="0.3">
      <c r="A48" s="16" t="s">
        <v>21</v>
      </c>
      <c r="B48" s="17">
        <v>5.1856335362832198E-2</v>
      </c>
      <c r="C48" s="21"/>
      <c r="D48" s="19"/>
      <c r="E48" s="20">
        <v>6055.55</v>
      </c>
      <c r="F48" s="20"/>
      <c r="G48" s="19">
        <v>112.55085055666601</v>
      </c>
      <c r="H48" s="19"/>
      <c r="I48" s="28"/>
      <c r="J48" s="28"/>
      <c r="L48" s="2"/>
      <c r="M48" s="1"/>
      <c r="W48" s="1"/>
    </row>
    <row r="49" spans="1:23" x14ac:dyDescent="0.3">
      <c r="A49" s="16" t="s">
        <v>22</v>
      </c>
      <c r="B49" s="17">
        <v>0.103368750113241</v>
      </c>
      <c r="C49" s="21"/>
      <c r="D49" s="19"/>
      <c r="E49" s="20">
        <v>22</v>
      </c>
      <c r="F49" s="20"/>
      <c r="G49" s="19">
        <v>117.49299123</v>
      </c>
      <c r="H49" s="19"/>
      <c r="I49" s="28"/>
      <c r="J49" s="28"/>
      <c r="L49" s="2"/>
      <c r="M49" s="1"/>
      <c r="W49" s="1"/>
    </row>
    <row r="50" spans="1:23" x14ac:dyDescent="0.3">
      <c r="A50" s="16" t="s">
        <v>25</v>
      </c>
      <c r="B50" s="17">
        <v>0.15621819275209001</v>
      </c>
      <c r="C50" s="18">
        <v>113.72040256</v>
      </c>
      <c r="D50" s="19"/>
      <c r="E50" s="20">
        <v>21</v>
      </c>
      <c r="F50" s="20">
        <v>21</v>
      </c>
      <c r="G50" s="19">
        <v>115.079453056666</v>
      </c>
      <c r="H50" s="19">
        <f>G50/C50</f>
        <v>1.0119508062412015</v>
      </c>
      <c r="I50" s="28">
        <v>8.1761484496582497</v>
      </c>
      <c r="J50" s="28">
        <v>-1.9243966466520197</v>
      </c>
      <c r="L50" s="2"/>
      <c r="M50" s="1"/>
      <c r="W50" s="1"/>
    </row>
    <row r="51" spans="1:23" x14ac:dyDescent="0.3">
      <c r="A51" s="16" t="s">
        <v>26</v>
      </c>
      <c r="B51" s="17">
        <v>0.15071577677020101</v>
      </c>
      <c r="C51" s="18"/>
      <c r="D51" s="19"/>
      <c r="E51" s="20">
        <v>21.5</v>
      </c>
      <c r="F51" s="20"/>
      <c r="G51" s="19">
        <v>119.222878299999</v>
      </c>
      <c r="H51" s="19"/>
      <c r="I51" s="28"/>
      <c r="J51" s="28"/>
      <c r="L51" s="2"/>
      <c r="M51" s="1"/>
      <c r="W51" s="1"/>
    </row>
    <row r="52" spans="1:23" x14ac:dyDescent="0.3">
      <c r="A52" s="16" t="s">
        <v>27</v>
      </c>
      <c r="B52" s="17">
        <v>5.5397551503622099E-2</v>
      </c>
      <c r="C52" s="18">
        <v>112.66319882000001</v>
      </c>
      <c r="D52" s="19"/>
      <c r="E52" s="20">
        <v>75</v>
      </c>
      <c r="F52" s="20">
        <v>96.5</v>
      </c>
      <c r="G52" s="19">
        <v>115.360934813333</v>
      </c>
      <c r="H52" s="19">
        <f t="shared" si="2"/>
        <v>1.0239451393319936</v>
      </c>
      <c r="I52" s="28">
        <v>19.594840851392899</v>
      </c>
      <c r="J52" s="28">
        <v>-8.5529249332917008</v>
      </c>
      <c r="L52" s="2"/>
      <c r="M52" s="1"/>
      <c r="W52" s="1"/>
    </row>
    <row r="53" spans="1:23" x14ac:dyDescent="0.3">
      <c r="A53" s="16" t="s">
        <v>28</v>
      </c>
      <c r="B53" s="17">
        <v>6.9883057908481996E-2</v>
      </c>
      <c r="C53" s="18">
        <v>114.89097618</v>
      </c>
      <c r="D53" s="19"/>
      <c r="E53" s="20">
        <v>47.5</v>
      </c>
      <c r="F53" s="20">
        <v>47.5</v>
      </c>
      <c r="G53" s="19">
        <v>118.05576815000001</v>
      </c>
      <c r="H53" s="19">
        <f t="shared" si="2"/>
        <v>1.0275460447393339</v>
      </c>
      <c r="I53" s="28">
        <v>17.2552427011953</v>
      </c>
      <c r="J53" s="28">
        <v>-6.8910153198931301</v>
      </c>
      <c r="L53" s="2"/>
      <c r="M53" s="1"/>
      <c r="W53" s="1"/>
    </row>
    <row r="54" spans="1:23" x14ac:dyDescent="0.3">
      <c r="A54" s="16" t="s">
        <v>29</v>
      </c>
      <c r="B54" s="17">
        <v>7.8645648239850305E-2</v>
      </c>
      <c r="C54" s="18">
        <v>116.55531655999999</v>
      </c>
      <c r="D54" s="19"/>
      <c r="E54" s="20">
        <v>23.5</v>
      </c>
      <c r="F54" s="20">
        <v>23.5</v>
      </c>
      <c r="G54" s="19">
        <v>119.77022043333299</v>
      </c>
      <c r="H54" s="19">
        <f t="shared" si="2"/>
        <v>1.0275826446035865</v>
      </c>
      <c r="I54" s="28">
        <v>17.024424898784201</v>
      </c>
      <c r="J54" s="28">
        <v>-4.3261384988685592</v>
      </c>
      <c r="L54" s="2"/>
      <c r="M54" s="1"/>
      <c r="W54" s="1"/>
    </row>
    <row r="55" spans="1:23" x14ac:dyDescent="0.3">
      <c r="A55" s="16" t="s">
        <v>30</v>
      </c>
      <c r="B55" s="17">
        <v>2.1496979213356301E-3</v>
      </c>
      <c r="C55" s="18">
        <v>118.40602251999999</v>
      </c>
      <c r="D55" s="19"/>
      <c r="E55" s="20">
        <v>20</v>
      </c>
      <c r="F55" s="20">
        <v>47.75</v>
      </c>
      <c r="G55" s="19">
        <v>125.17995179</v>
      </c>
      <c r="H55" s="19">
        <f t="shared" si="2"/>
        <v>1.0572093304532362</v>
      </c>
      <c r="I55" s="28">
        <v>15.1069524712688</v>
      </c>
      <c r="J55" s="28">
        <v>-8.6900508235792202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3">
      <c r="A56" s="16" t="s">
        <v>31</v>
      </c>
      <c r="B56" s="17">
        <v>0.101236914763633</v>
      </c>
      <c r="C56" s="18">
        <v>115.75512236</v>
      </c>
      <c r="D56" s="19"/>
      <c r="E56" s="20">
        <v>23.75</v>
      </c>
      <c r="F56" s="20">
        <v>23.75</v>
      </c>
      <c r="G56" s="19">
        <v>128.631154973333</v>
      </c>
      <c r="H56" s="19">
        <f t="shared" si="2"/>
        <v>1.111235100018195</v>
      </c>
      <c r="I56" s="28">
        <v>21.9579587943592</v>
      </c>
      <c r="J56" s="28">
        <v>-7.4420412056407592</v>
      </c>
    </row>
    <row r="57" spans="1:23" x14ac:dyDescent="0.3">
      <c r="A57" s="16" t="s">
        <v>32</v>
      </c>
      <c r="B57" s="17">
        <v>0.107400232693555</v>
      </c>
      <c r="C57" s="18">
        <v>121.12197168</v>
      </c>
      <c r="D57" s="19"/>
      <c r="E57" s="20">
        <v>23.5</v>
      </c>
      <c r="F57" s="20">
        <v>23.5</v>
      </c>
      <c r="G57" s="19">
        <v>127.417386873333</v>
      </c>
      <c r="H57" s="19">
        <f t="shared" si="2"/>
        <v>1.0519758315193652</v>
      </c>
      <c r="I57" s="28">
        <v>16.640165980770899</v>
      </c>
      <c r="J57" s="28">
        <v>-8.2060847497882605</v>
      </c>
    </row>
    <row r="58" spans="1:23" x14ac:dyDescent="0.3">
      <c r="E58" s="1"/>
      <c r="F58" s="1"/>
      <c r="G58" s="1"/>
      <c r="H58" s="1"/>
      <c r="I58" s="1"/>
      <c r="J58" s="1"/>
    </row>
    <row r="59" spans="1:23" x14ac:dyDescent="0.3">
      <c r="E59" s="1"/>
      <c r="F59" s="1"/>
      <c r="G59" s="1"/>
      <c r="H59" s="1"/>
      <c r="I59" s="1"/>
      <c r="J59" s="1"/>
      <c r="K59" s="2"/>
      <c r="L59" s="1"/>
    </row>
    <row r="60" spans="1:23" ht="41.4" x14ac:dyDescent="0.3">
      <c r="A60" s="10" t="s">
        <v>5</v>
      </c>
      <c r="B60" s="10" t="s">
        <v>1</v>
      </c>
      <c r="C60" s="12" t="s">
        <v>24</v>
      </c>
      <c r="D60" s="12" t="s">
        <v>10</v>
      </c>
      <c r="E60" s="13" t="s">
        <v>11</v>
      </c>
      <c r="F60" s="13" t="s">
        <v>12</v>
      </c>
      <c r="G60" s="13" t="s">
        <v>13</v>
      </c>
      <c r="H60" s="13" t="s">
        <v>14</v>
      </c>
      <c r="I60" s="13" t="s">
        <v>33</v>
      </c>
      <c r="J60" s="13" t="s">
        <v>34</v>
      </c>
    </row>
    <row r="61" spans="1:23" x14ac:dyDescent="0.3">
      <c r="A61" s="16" t="s">
        <v>15</v>
      </c>
      <c r="B61" s="23">
        <v>-0.62489073949006502</v>
      </c>
      <c r="C61" s="18"/>
      <c r="D61" s="19"/>
      <c r="E61" s="19"/>
      <c r="F61" s="19"/>
      <c r="G61" s="19">
        <v>133.4714286</v>
      </c>
      <c r="H61" s="19"/>
      <c r="I61" s="27"/>
      <c r="J61" s="29"/>
    </row>
    <row r="62" spans="1:23" x14ac:dyDescent="0.3">
      <c r="A62" s="16" t="s">
        <v>16</v>
      </c>
      <c r="B62" s="23">
        <v>-0.64117535564386996</v>
      </c>
      <c r="C62" s="18">
        <v>60.588347259999999</v>
      </c>
      <c r="D62" s="19"/>
      <c r="E62" s="20">
        <v>9023.75</v>
      </c>
      <c r="F62" s="20">
        <v>9023.75</v>
      </c>
      <c r="G62" s="19">
        <v>71.117321599999997</v>
      </c>
      <c r="H62" s="19">
        <f>G62/C62</f>
        <v>1.1737788669959504</v>
      </c>
      <c r="I62" s="28">
        <v>4</v>
      </c>
      <c r="J62" s="28">
        <v>-1.5</v>
      </c>
    </row>
    <row r="63" spans="1:23" x14ac:dyDescent="0.3">
      <c r="A63" s="16" t="s">
        <v>17</v>
      </c>
      <c r="B63" s="23">
        <v>-0.511670862423525</v>
      </c>
      <c r="C63" s="18">
        <v>73.387016439999996</v>
      </c>
      <c r="D63" s="19"/>
      <c r="E63" s="20">
        <v>118.5</v>
      </c>
      <c r="F63" s="20">
        <v>118.5</v>
      </c>
      <c r="G63" s="19">
        <v>74.728308609999999</v>
      </c>
      <c r="H63" s="19">
        <f t="shared" ref="H63:H64" si="3">G63/C63</f>
        <v>1.0182769682576838</v>
      </c>
      <c r="I63" s="28">
        <v>1.1385255280790201</v>
      </c>
      <c r="J63" s="28">
        <v>-0.63852552807902296</v>
      </c>
    </row>
    <row r="64" spans="1:23" x14ac:dyDescent="0.3">
      <c r="A64" s="16" t="s">
        <v>18</v>
      </c>
      <c r="B64" s="23">
        <v>-0.22155858359451899</v>
      </c>
      <c r="C64" s="18">
        <v>79.767295559999994</v>
      </c>
      <c r="D64" s="19"/>
      <c r="E64" s="20">
        <v>2036.95</v>
      </c>
      <c r="F64" s="20">
        <v>2060.9499999999998</v>
      </c>
      <c r="G64" s="19">
        <v>79.767295559999994</v>
      </c>
      <c r="H64" s="19">
        <f t="shared" si="3"/>
        <v>1</v>
      </c>
      <c r="I64" s="28">
        <v>0</v>
      </c>
      <c r="J64" s="28">
        <v>0</v>
      </c>
    </row>
    <row r="65" spans="1:10" x14ac:dyDescent="0.3">
      <c r="A65" s="16" t="s">
        <v>19</v>
      </c>
      <c r="B65" s="24">
        <v>9.6450074853088597E-2</v>
      </c>
      <c r="C65" s="18"/>
      <c r="D65" s="19"/>
      <c r="E65" s="20">
        <v>365</v>
      </c>
      <c r="F65" s="20"/>
      <c r="G65" s="19">
        <v>68.631809730000001</v>
      </c>
      <c r="H65" s="19"/>
      <c r="I65" s="28"/>
      <c r="J65" s="28"/>
    </row>
    <row r="66" spans="1:10" x14ac:dyDescent="0.3">
      <c r="A66" s="16" t="s">
        <v>20</v>
      </c>
      <c r="B66" s="23">
        <v>-0.24313716774511701</v>
      </c>
      <c r="C66" s="18"/>
      <c r="D66" s="19"/>
      <c r="E66" s="20">
        <v>351.5</v>
      </c>
      <c r="F66" s="20"/>
      <c r="G66" s="19">
        <v>69.696396059999998</v>
      </c>
      <c r="H66" s="19"/>
      <c r="I66" s="28"/>
      <c r="J66" s="28"/>
    </row>
    <row r="67" spans="1:10" x14ac:dyDescent="0.3">
      <c r="A67" s="16" t="s">
        <v>21</v>
      </c>
      <c r="B67" s="17">
        <v>1.3430417175947699E-2</v>
      </c>
      <c r="C67" s="21"/>
      <c r="D67" s="19"/>
      <c r="E67" s="20">
        <v>6055.55</v>
      </c>
      <c r="F67" s="20"/>
      <c r="G67" s="19">
        <v>112.55085055666601</v>
      </c>
      <c r="H67" s="19"/>
      <c r="I67" s="28"/>
      <c r="J67" s="28"/>
    </row>
    <row r="68" spans="1:10" x14ac:dyDescent="0.3">
      <c r="A68" s="16" t="s">
        <v>22</v>
      </c>
      <c r="B68" s="25">
        <v>-1.61778645652975E-2</v>
      </c>
      <c r="C68" s="21"/>
      <c r="D68" s="19"/>
      <c r="E68" s="20">
        <v>22</v>
      </c>
      <c r="F68" s="20"/>
      <c r="G68" s="19">
        <v>117.49299123</v>
      </c>
      <c r="H68" s="19"/>
      <c r="I68" s="28"/>
      <c r="J68" s="28"/>
    </row>
    <row r="69" spans="1:10" x14ac:dyDescent="0.3">
      <c r="A69" s="16" t="s">
        <v>25</v>
      </c>
      <c r="B69" s="17">
        <v>2.95836818188689E-2</v>
      </c>
      <c r="C69" s="18">
        <v>113.72040256</v>
      </c>
      <c r="D69" s="19"/>
      <c r="E69" s="20">
        <v>21</v>
      </c>
      <c r="F69" s="20">
        <v>21</v>
      </c>
      <c r="G69" s="19">
        <v>115.079453056666</v>
      </c>
      <c r="H69" s="19">
        <f>G69/C69</f>
        <v>1.0119508062412015</v>
      </c>
      <c r="I69" s="28">
        <v>8.1761484496582497</v>
      </c>
      <c r="J69" s="28">
        <v>-1.9243966466520197</v>
      </c>
    </row>
    <row r="70" spans="1:10" x14ac:dyDescent="0.3">
      <c r="A70" s="16" t="s">
        <v>26</v>
      </c>
      <c r="B70" s="25">
        <v>-5.4892758010415703E-2</v>
      </c>
      <c r="C70" s="18"/>
      <c r="D70" s="19"/>
      <c r="E70" s="20">
        <v>21.5</v>
      </c>
      <c r="F70" s="20"/>
      <c r="G70" s="19">
        <v>119.222878299999</v>
      </c>
      <c r="H70" s="19"/>
      <c r="I70" s="28"/>
      <c r="J70" s="28"/>
    </row>
    <row r="71" spans="1:10" x14ac:dyDescent="0.3">
      <c r="A71" s="16" t="s">
        <v>27</v>
      </c>
      <c r="B71" s="17">
        <v>8.8641812543785899E-3</v>
      </c>
      <c r="C71" s="18">
        <v>112.66319882000001</v>
      </c>
      <c r="D71" s="19"/>
      <c r="E71" s="20">
        <v>75</v>
      </c>
      <c r="F71" s="20">
        <v>96.5</v>
      </c>
      <c r="G71" s="19">
        <v>115.360934813333</v>
      </c>
      <c r="H71" s="19">
        <f t="shared" ref="H71:H76" si="4">G71/C71</f>
        <v>1.0239451393319936</v>
      </c>
      <c r="I71" s="28">
        <v>19.594840851392899</v>
      </c>
      <c r="J71" s="28">
        <v>-8.5529249332917008</v>
      </c>
    </row>
    <row r="72" spans="1:10" x14ac:dyDescent="0.3">
      <c r="A72" s="16" t="s">
        <v>28</v>
      </c>
      <c r="B72" s="17">
        <v>1.32778322661357E-2</v>
      </c>
      <c r="C72" s="18">
        <v>114.89097618</v>
      </c>
      <c r="D72" s="19"/>
      <c r="E72" s="20">
        <v>47.5</v>
      </c>
      <c r="F72" s="20">
        <v>47.5</v>
      </c>
      <c r="G72" s="19">
        <v>118.05576815000001</v>
      </c>
      <c r="H72" s="19">
        <f t="shared" si="4"/>
        <v>1.0275460447393339</v>
      </c>
      <c r="I72" s="28">
        <v>17.2552427011953</v>
      </c>
      <c r="J72" s="28">
        <v>-6.8910153198931301</v>
      </c>
    </row>
    <row r="73" spans="1:10" x14ac:dyDescent="0.3">
      <c r="A73" s="16" t="s">
        <v>29</v>
      </c>
      <c r="B73" s="25">
        <v>-6.0975544853349099E-2</v>
      </c>
      <c r="C73" s="18">
        <v>116.55531655999999</v>
      </c>
      <c r="D73" s="19"/>
      <c r="E73" s="20">
        <v>23.5</v>
      </c>
      <c r="F73" s="20">
        <v>23.5</v>
      </c>
      <c r="G73" s="19">
        <v>119.77022043333299</v>
      </c>
      <c r="H73" s="19">
        <f t="shared" si="4"/>
        <v>1.0275826446035865</v>
      </c>
      <c r="I73" s="28">
        <v>17.024424898784201</v>
      </c>
      <c r="J73" s="28">
        <v>-4.3261384988685592</v>
      </c>
    </row>
    <row r="74" spans="1:10" x14ac:dyDescent="0.3">
      <c r="A74" s="16" t="s">
        <v>30</v>
      </c>
      <c r="B74" s="25">
        <v>-1.77749404385871E-2</v>
      </c>
      <c r="C74" s="18">
        <v>118.40602251999999</v>
      </c>
      <c r="D74" s="19"/>
      <c r="E74" s="20">
        <v>20</v>
      </c>
      <c r="F74" s="20">
        <v>47.75</v>
      </c>
      <c r="G74" s="19">
        <v>125.17995179</v>
      </c>
      <c r="H74" s="19">
        <f t="shared" si="4"/>
        <v>1.0572093304532362</v>
      </c>
      <c r="I74" s="28">
        <v>15.1069524712688</v>
      </c>
      <c r="J74" s="28">
        <v>-8.6900508235792202</v>
      </c>
    </row>
    <row r="75" spans="1:10" x14ac:dyDescent="0.3">
      <c r="A75" s="16" t="s">
        <v>31</v>
      </c>
      <c r="B75" s="17">
        <v>3.08855730575289E-3</v>
      </c>
      <c r="C75" s="18">
        <v>115.75512236</v>
      </c>
      <c r="D75" s="19"/>
      <c r="E75" s="20">
        <v>23.75</v>
      </c>
      <c r="F75" s="20">
        <v>23.75</v>
      </c>
      <c r="G75" s="19">
        <v>128.631154973333</v>
      </c>
      <c r="H75" s="19">
        <f t="shared" si="4"/>
        <v>1.111235100018195</v>
      </c>
      <c r="I75" s="28">
        <v>21.9579587943592</v>
      </c>
      <c r="J75" s="28">
        <v>-7.4420412056407592</v>
      </c>
    </row>
    <row r="76" spans="1:10" x14ac:dyDescent="0.3">
      <c r="A76" s="16" t="s">
        <v>32</v>
      </c>
      <c r="B76" s="25">
        <v>-5.3081166180475401E-3</v>
      </c>
      <c r="C76" s="18">
        <v>121.12197168</v>
      </c>
      <c r="D76" s="19"/>
      <c r="E76" s="20">
        <v>23.5</v>
      </c>
      <c r="F76" s="20">
        <v>23.5</v>
      </c>
      <c r="G76" s="19">
        <v>127.417386873333</v>
      </c>
      <c r="H76" s="19">
        <f t="shared" si="4"/>
        <v>1.0519758315193652</v>
      </c>
      <c r="I76" s="28">
        <v>16.640165980770899</v>
      </c>
      <c r="J76" s="28">
        <v>-8.2060847497882605</v>
      </c>
    </row>
    <row r="77" spans="1:10" x14ac:dyDescent="0.3">
      <c r="D77" s="2"/>
      <c r="E77" s="2"/>
      <c r="F77" s="2"/>
    </row>
    <row r="78" spans="1:10" x14ac:dyDescent="0.3">
      <c r="A78" s="10" t="s">
        <v>3</v>
      </c>
      <c r="B78" s="10"/>
      <c r="C78" s="10"/>
      <c r="D78" s="1"/>
      <c r="E78" s="2"/>
    </row>
    <row r="79" spans="1:10" x14ac:dyDescent="0.3">
      <c r="A79" s="11" t="s">
        <v>0</v>
      </c>
      <c r="B79" s="11" t="s">
        <v>1</v>
      </c>
      <c r="C79" s="11" t="s">
        <v>9</v>
      </c>
      <c r="D79" s="26"/>
      <c r="E79" s="2"/>
    </row>
    <row r="80" spans="1:10" x14ac:dyDescent="0.3">
      <c r="A80" s="15" t="s">
        <v>15</v>
      </c>
      <c r="B80" s="24">
        <v>0.735611704001494</v>
      </c>
      <c r="C80" s="18"/>
      <c r="D80" s="8"/>
      <c r="E80" s="2"/>
    </row>
    <row r="81" spans="1:5" x14ac:dyDescent="0.3">
      <c r="A81" s="15" t="s">
        <v>16</v>
      </c>
      <c r="B81" s="24">
        <v>0.199680501000808</v>
      </c>
      <c r="C81" s="18">
        <v>60.588347259999999</v>
      </c>
      <c r="D81" s="8"/>
      <c r="E81" s="2"/>
    </row>
    <row r="82" spans="1:5" x14ac:dyDescent="0.3">
      <c r="A82" s="15" t="s">
        <v>17</v>
      </c>
      <c r="B82" s="24">
        <v>0.12535086320927399</v>
      </c>
      <c r="C82" s="18">
        <v>73.387016439999996</v>
      </c>
      <c r="D82" s="8"/>
    </row>
    <row r="83" spans="1:5" x14ac:dyDescent="0.3">
      <c r="A83" s="15" t="s">
        <v>18</v>
      </c>
      <c r="B83" s="24">
        <v>0.42964915677977999</v>
      </c>
      <c r="C83" s="18">
        <v>79.767295559999994</v>
      </c>
      <c r="D83" s="8"/>
      <c r="E83" s="8"/>
    </row>
    <row r="84" spans="1:5" x14ac:dyDescent="0.3">
      <c r="A84" s="15" t="s">
        <v>19</v>
      </c>
      <c r="B84" s="24">
        <v>4.3375577562074601E-2</v>
      </c>
      <c r="C84" s="18"/>
      <c r="D84" s="8"/>
    </row>
    <row r="85" spans="1:5" x14ac:dyDescent="0.3">
      <c r="A85" s="15" t="s">
        <v>20</v>
      </c>
      <c r="B85" s="24">
        <v>4.5262412029273197E-2</v>
      </c>
      <c r="C85" s="18"/>
      <c r="D85" s="8"/>
    </row>
    <row r="86" spans="1:5" x14ac:dyDescent="0.3">
      <c r="A86" s="1"/>
      <c r="B86" s="2"/>
      <c r="C86" s="8"/>
      <c r="D86" s="8"/>
    </row>
    <row r="87" spans="1:5" x14ac:dyDescent="0.3">
      <c r="A87" s="1"/>
      <c r="B87" s="2"/>
      <c r="C87" s="8"/>
      <c r="D87" s="8"/>
    </row>
    <row r="88" spans="1:5" x14ac:dyDescent="0.3">
      <c r="A88" s="1"/>
      <c r="B88" s="2"/>
      <c r="C88" s="8"/>
      <c r="D88" s="8"/>
    </row>
    <row r="89" spans="1:5" x14ac:dyDescent="0.3">
      <c r="A89" s="1"/>
      <c r="B89" s="2"/>
      <c r="C89" s="8"/>
      <c r="D89" s="8"/>
    </row>
    <row r="90" spans="1:5" x14ac:dyDescent="0.3">
      <c r="A90" s="1"/>
      <c r="B90" s="2"/>
      <c r="C90" s="8"/>
      <c r="D90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2026-07-07T05:51:41Z</dcterms:modified>
</cp:coreProperties>
</file>