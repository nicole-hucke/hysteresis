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drawings/drawing2.xml" ContentType="application/vnd.openxmlformats-officedocument.drawing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drawings/drawing3.xml" ContentType="application/vnd.openxmlformats-officedocument.drawing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uck4481\Documents\GitHub\hysteresis\correlations\HI_tauc\"/>
    </mc:Choice>
  </mc:AlternateContent>
  <xr:revisionPtr revIDLastSave="0" documentId="13_ncr:1_{8E2EED86-9C78-436E-83B3-5894F4850DCE}" xr6:coauthVersionLast="47" xr6:coauthVersionMax="47" xr10:uidLastSave="{00000000-0000-0000-0000-000000000000}"/>
  <bookViews>
    <workbookView xWindow="-120" yWindow="-120" windowWidth="29040" windowHeight="15720" xr2:uid="{867610DC-2157-4A8B-BAD4-C3624B9432BC}"/>
  </bookViews>
  <sheets>
    <sheet name="all" sheetId="1" r:id="rId1"/>
    <sheet name="upstream" sheetId="4" r:id="rId2"/>
    <sheet name="downstream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K18" i="1" l="1"/>
  <c r="K19" i="1"/>
  <c r="K20" i="1"/>
  <c r="K21" i="1"/>
  <c r="K23" i="1"/>
  <c r="K24" i="1"/>
  <c r="K25" i="1"/>
  <c r="K27" i="1"/>
  <c r="K28" i="1"/>
  <c r="K29" i="1"/>
  <c r="I57" i="1"/>
  <c r="I58" i="1"/>
  <c r="I59" i="1"/>
  <c r="I60" i="1"/>
  <c r="I64" i="1"/>
  <c r="I65" i="1"/>
</calcChain>
</file>

<file path=xl/sharedStrings.xml><?xml version="1.0" encoding="utf-8"?>
<sst xmlns="http://schemas.openxmlformats.org/spreadsheetml/2006/main" count="276" uniqueCount="51">
  <si>
    <t>Storm</t>
  </si>
  <si>
    <t xml:space="preserve">Aich (2014) </t>
  </si>
  <si>
    <t>st1_down</t>
  </si>
  <si>
    <t>st1_up</t>
  </si>
  <si>
    <t>st2_down</t>
  </si>
  <si>
    <t>st3_down</t>
  </si>
  <si>
    <t>st4_down</t>
  </si>
  <si>
    <t>st4_up</t>
  </si>
  <si>
    <t>st5_up</t>
  </si>
  <si>
    <t>st6_up</t>
  </si>
  <si>
    <t>st7_down</t>
  </si>
  <si>
    <t>st7_up</t>
  </si>
  <si>
    <t>SSC (mg/L)</t>
  </si>
  <si>
    <t>SRP (mg/L)</t>
  </si>
  <si>
    <t>TP (mg/L)</t>
  </si>
  <si>
    <t>PP (mg/L)</t>
  </si>
  <si>
    <t>POC (mg/L)</t>
  </si>
  <si>
    <t>DOC (mg/L)</t>
  </si>
  <si>
    <t>Lawler Adapted</t>
  </si>
  <si>
    <t>fDOM RFU</t>
  </si>
  <si>
    <t>st5_down</t>
  </si>
  <si>
    <t>st6_down</t>
  </si>
  <si>
    <t>Turnidity FNU</t>
  </si>
  <si>
    <t>Langlois (2005)</t>
  </si>
  <si>
    <t>Lawler (2006)</t>
  </si>
  <si>
    <t>Lloyd (2016)</t>
  </si>
  <si>
    <t>Clockwise</t>
  </si>
  <si>
    <t>Counter-Clockwise</t>
  </si>
  <si>
    <t>tau_c50</t>
  </si>
  <si>
    <t>tau_c25</t>
  </si>
  <si>
    <t>Peak concentration (mg/L)</t>
  </si>
  <si>
    <r>
      <t xml:space="preserve">Time between events (no </t>
    </r>
    <r>
      <rPr>
        <b/>
        <sz val="10"/>
        <color theme="1"/>
        <rFont val="Aptos"/>
        <family val="2"/>
        <charset val="1"/>
      </rPr>
      <t>τ</t>
    </r>
    <r>
      <rPr>
        <b/>
        <sz val="10"/>
        <color theme="1"/>
        <rFont val="Aptos Narrow"/>
        <family val="2"/>
      </rPr>
      <t>c exceedance)</t>
    </r>
    <r>
      <rPr>
        <b/>
        <sz val="10"/>
        <color theme="1"/>
        <rFont val="Aptos Narrow"/>
        <family val="2"/>
        <scheme val="minor"/>
      </rPr>
      <t xml:space="preserve"> (hrs)</t>
    </r>
  </si>
  <si>
    <t>Time between events τc exceedance (hrs)</t>
  </si>
  <si>
    <t xml:space="preserve">Peak Tau (Pa) </t>
  </si>
  <si>
    <r>
      <rPr>
        <b/>
        <sz val="11"/>
        <color theme="1"/>
        <rFont val="Aptos"/>
        <family val="2"/>
      </rPr>
      <t>τ</t>
    </r>
    <r>
      <rPr>
        <b/>
        <sz val="11"/>
        <color theme="1"/>
        <rFont val="Aptos Narrow"/>
        <family val="2"/>
      </rPr>
      <t xml:space="preserve">peak / </t>
    </r>
    <r>
      <rPr>
        <b/>
        <sz val="11"/>
        <color theme="1"/>
        <rFont val="Aptos"/>
        <family val="2"/>
      </rPr>
      <t>τ</t>
    </r>
    <r>
      <rPr>
        <b/>
        <sz val="11"/>
        <color theme="1"/>
        <rFont val="Aptos Narrow"/>
        <family val="2"/>
      </rPr>
      <t>c50</t>
    </r>
  </si>
  <si>
    <t>Event_1</t>
  </si>
  <si>
    <t>Event_2</t>
  </si>
  <si>
    <t>Event_3</t>
  </si>
  <si>
    <t>Event_4</t>
  </si>
  <si>
    <t>Event_5</t>
  </si>
  <si>
    <t>Event_6</t>
  </si>
  <si>
    <t>Event_7</t>
  </si>
  <si>
    <t>Event_8</t>
  </si>
  <si>
    <t>Event_9</t>
  </si>
  <si>
    <t>Event_10</t>
  </si>
  <si>
    <t>Event_11</t>
  </si>
  <si>
    <t>Event_12</t>
  </si>
  <si>
    <t>Event_13</t>
  </si>
  <si>
    <t>Event_14</t>
  </si>
  <si>
    <t>Event_15</t>
  </si>
  <si>
    <t>τpeak / τc50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</si>
</sst>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0000"/>
    <numFmt numFmtId="165" formatCode="0.000000"/>
    <numFmt numFmtId="166" formatCode="0.00000"/>
    <numFmt numFmtId="167" formatCode="0.0000"/>
    <numFmt numFmtId="168" formatCode="0.000"/>
  </numFmts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0"/>
      <color theme="1"/>
      <name val="Aptos"/>
      <family val="2"/>
      <charset val="1"/>
    </font>
    <font>
      <b/>
      <sz val="10"/>
      <color theme="1"/>
      <name val="Aptos Narrow"/>
      <family val="2"/>
    </font>
    <font>
      <b/>
      <sz val="11"/>
      <color theme="1"/>
      <name val="Aptos Narrow"/>
      <family val="2"/>
    </font>
    <font>
      <b/>
      <sz val="11"/>
      <color theme="1"/>
      <name val="Aptos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/>
    </xf>
    <xf numFmtId="166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0" fontId="0" fillId="2" borderId="0" xfId="0" applyFill="1" applyAlignment="1">
      <alignment horizontal="left"/>
    </xf>
    <xf numFmtId="0" fontId="0" fillId="3" borderId="0" xfId="0" applyFill="1" applyAlignment="1">
      <alignment horizontal="left"/>
    </xf>
    <xf numFmtId="166" fontId="0" fillId="2" borderId="0" xfId="0" applyNumberFormat="1" applyFill="1" applyAlignment="1">
      <alignment horizontal="center"/>
    </xf>
    <xf numFmtId="166" fontId="0" fillId="3" borderId="0" xfId="0" applyNumberFormat="1" applyFill="1" applyAlignment="1">
      <alignment horizontal="center"/>
    </xf>
    <xf numFmtId="167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168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65" fontId="0" fillId="0" borderId="0" xfId="0" applyNumberFormat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164" fontId="0" fillId="0" borderId="0" xfId="0" applyNumberFormat="1" applyAlignment="1">
      <alignment horizont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SSC HI to </a:t>
            </a:r>
            <a:r>
              <a:rPr lang="el-GR">
                <a:latin typeface="Aptos" panose="020B0004020202020204" pitchFamily="34" charset="0"/>
              </a:rPr>
              <a:t>τ</a:t>
            </a:r>
            <a:r>
              <a:rPr lang="en-US">
                <a:latin typeface="Aptos" panose="020B0004020202020204" pitchFamily="34" charset="0"/>
              </a:rPr>
              <a:t>c50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all!$B$4</c:f>
              <c:strCache>
                <c:ptCount val="1"/>
                <c:pt idx="0">
                  <c:v>Langlois (2005)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18476531812833741"/>
                  <c:y val="-6.751058245378902E-2"/>
                </c:manualLayout>
              </c:layout>
              <c:numFmt formatCode="General" sourceLinked="0"/>
              <c:spPr>
                <a:solidFill>
                  <a:schemeClr val="tx2">
                    <a:lumMod val="10000"/>
                    <a:lumOff val="9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all!$B$7:$B$44</c:f>
              <c:numCache>
                <c:formatCode>0.00000</c:formatCode>
                <c:ptCount val="38"/>
                <c:pt idx="0">
                  <c:v>2.1746388039620901</c:v>
                </c:pt>
                <c:pt idx="1">
                  <c:v>2.2792285281778502</c:v>
                </c:pt>
                <c:pt idx="2">
                  <c:v>1.4480475262282899</c:v>
                </c:pt>
                <c:pt idx="5">
                  <c:v>1.48474411958353</c:v>
                </c:pt>
                <c:pt idx="6">
                  <c:v>1.6588389001163999</c:v>
                </c:pt>
                <c:pt idx="7">
                  <c:v>0.665445371933445</c:v>
                </c:pt>
                <c:pt idx="9" formatCode="0.0000">
                  <c:v>1.86943505833322</c:v>
                </c:pt>
                <c:pt idx="10" formatCode="0.0000">
                  <c:v>1.3545954270153699</c:v>
                </c:pt>
                <c:pt idx="14" formatCode="0.0000">
                  <c:v>1.31746197777344</c:v>
                </c:pt>
                <c:pt idx="15" formatCode="0.0000">
                  <c:v>0.89735303995633098</c:v>
                </c:pt>
                <c:pt idx="16" formatCode="0.0000">
                  <c:v>1.39880081037808</c:v>
                </c:pt>
                <c:pt idx="17" formatCode="0.0000">
                  <c:v>1.2210038373368299</c:v>
                </c:pt>
                <c:pt idx="18" formatCode="0.0000">
                  <c:v>1.5249018262283101</c:v>
                </c:pt>
                <c:pt idx="21" formatCode="0.0000">
                  <c:v>1.36678278361715</c:v>
                </c:pt>
              </c:numCache>
            </c:numRef>
          </c:xVal>
          <c:yVal>
            <c:numRef>
              <c:f>all!$E$7:$E$44</c:f>
              <c:numCache>
                <c:formatCode>0.000</c:formatCode>
                <c:ptCount val="38"/>
                <c:pt idx="0">
                  <c:v>66.912425378311355</c:v>
                </c:pt>
                <c:pt idx="1">
                  <c:v>72.370164511034233</c:v>
                </c:pt>
                <c:pt idx="2">
                  <c:v>77.803592516854394</c:v>
                </c:pt>
                <c:pt idx="7">
                  <c:v>66.341763171136677</c:v>
                </c:pt>
                <c:pt idx="11" formatCode="General">
                  <c:v>118.22733427999999</c:v>
                </c:pt>
                <c:pt idx="12" formatCode="General">
                  <c:v>108.51115272</c:v>
                </c:pt>
                <c:pt idx="13" formatCode="General">
                  <c:v>106.97060942</c:v>
                </c:pt>
                <c:pt idx="14" formatCode="General">
                  <c:v>113.72040256</c:v>
                </c:pt>
                <c:pt idx="16" formatCode="General">
                  <c:v>112.66319882000001</c:v>
                </c:pt>
                <c:pt idx="17" formatCode="General">
                  <c:v>114.89097618</c:v>
                </c:pt>
                <c:pt idx="18" formatCode="General">
                  <c:v>116.55531655999999</c:v>
                </c:pt>
                <c:pt idx="20" formatCode="General">
                  <c:v>118.40602251999999</c:v>
                </c:pt>
                <c:pt idx="21" formatCode="General">
                  <c:v>115.75512236</c:v>
                </c:pt>
                <c:pt idx="22" formatCode="General">
                  <c:v>121.12197168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2C8-4D6B-89DE-404887265DDB}"/>
            </c:ext>
          </c:extLst>
        </c:ser>
        <c:ser>
          <c:idx val="1"/>
          <c:order val="1"/>
          <c:tx>
            <c:strRef>
              <c:f>all!$C$4</c:f>
              <c:strCache>
                <c:ptCount val="1"/>
                <c:pt idx="0">
                  <c:v>Lawler (2006)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5.301004615802335E-2"/>
                  <c:y val="-0.2217246886692355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all!$C$7:$C$44</c:f>
              <c:numCache>
                <c:formatCode>0.00000</c:formatCode>
                <c:ptCount val="38"/>
                <c:pt idx="0">
                  <c:v>0.90358482744648005</c:v>
                </c:pt>
                <c:pt idx="1">
                  <c:v>0.663434225775831</c:v>
                </c:pt>
                <c:pt idx="2">
                  <c:v>0.66475177086608195</c:v>
                </c:pt>
                <c:pt idx="5">
                  <c:v>0.55431906321323399</c:v>
                </c:pt>
                <c:pt idx="6">
                  <c:v>0.49497785634638802</c:v>
                </c:pt>
                <c:pt idx="7">
                  <c:v>-1.0305451800868599</c:v>
                </c:pt>
                <c:pt idx="9" formatCode="0.0000">
                  <c:v>1.9314296164550899</c:v>
                </c:pt>
                <c:pt idx="10" formatCode="0.0000">
                  <c:v>1.0089470650494099</c:v>
                </c:pt>
                <c:pt idx="14" formatCode="0.0000">
                  <c:v>0.66698565105034602</c:v>
                </c:pt>
                <c:pt idx="15" formatCode="0.0000">
                  <c:v>0.19762137224995299</c:v>
                </c:pt>
                <c:pt idx="16" formatCode="0.0000">
                  <c:v>0.54807771119966198</c:v>
                </c:pt>
                <c:pt idx="17" formatCode="0.0000">
                  <c:v>0.10106112243990099</c:v>
                </c:pt>
                <c:pt idx="18" formatCode="0.0000">
                  <c:v>0.50902572287082404</c:v>
                </c:pt>
                <c:pt idx="21" formatCode="0.0000">
                  <c:v>0.463447965306029</c:v>
                </c:pt>
              </c:numCache>
            </c:numRef>
          </c:xVal>
          <c:yVal>
            <c:numRef>
              <c:f>all!$E$7:$E$44</c:f>
              <c:numCache>
                <c:formatCode>0.000</c:formatCode>
                <c:ptCount val="38"/>
                <c:pt idx="0">
                  <c:v>66.912425378311355</c:v>
                </c:pt>
                <c:pt idx="1">
                  <c:v>72.370164511034233</c:v>
                </c:pt>
                <c:pt idx="2">
                  <c:v>77.803592516854394</c:v>
                </c:pt>
                <c:pt idx="7">
                  <c:v>66.341763171136677</c:v>
                </c:pt>
                <c:pt idx="11" formatCode="General">
                  <c:v>118.22733427999999</c:v>
                </c:pt>
                <c:pt idx="12" formatCode="General">
                  <c:v>108.51115272</c:v>
                </c:pt>
                <c:pt idx="13" formatCode="General">
                  <c:v>106.97060942</c:v>
                </c:pt>
                <c:pt idx="14" formatCode="General">
                  <c:v>113.72040256</c:v>
                </c:pt>
                <c:pt idx="16" formatCode="General">
                  <c:v>112.66319882000001</c:v>
                </c:pt>
                <c:pt idx="17" formatCode="General">
                  <c:v>114.89097618</c:v>
                </c:pt>
                <c:pt idx="18" formatCode="General">
                  <c:v>116.55531655999999</c:v>
                </c:pt>
                <c:pt idx="20" formatCode="General">
                  <c:v>118.40602251999999</c:v>
                </c:pt>
                <c:pt idx="21" formatCode="General">
                  <c:v>115.75512236</c:v>
                </c:pt>
                <c:pt idx="22" formatCode="General">
                  <c:v>121.12197168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2C8-4D6B-89DE-404887265DDB}"/>
            </c:ext>
          </c:extLst>
        </c:ser>
        <c:ser>
          <c:idx val="2"/>
          <c:order val="2"/>
          <c:tx>
            <c:strRef>
              <c:f>all!$D$4</c:f>
              <c:strCache>
                <c:ptCount val="1"/>
                <c:pt idx="0">
                  <c:v>Aich (2014) 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1.3193230156575256E-2"/>
                  <c:y val="-4.2572848606690118E-2"/>
                </c:manualLayout>
              </c:layout>
              <c:numFmt formatCode="General" sourceLinked="0"/>
              <c:spPr>
                <a:solidFill>
                  <a:schemeClr val="accent6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all!$D$7:$D$44</c:f>
              <c:numCache>
                <c:formatCode>0.00000</c:formatCode>
                <c:ptCount val="38"/>
                <c:pt idx="0">
                  <c:v>0.17369777575697301</c:v>
                </c:pt>
                <c:pt idx="1">
                  <c:v>9.9143945152060597E-2</c:v>
                </c:pt>
                <c:pt idx="2">
                  <c:v>0.21234239309632399</c:v>
                </c:pt>
                <c:pt idx="5">
                  <c:v>0.36516163611226798</c:v>
                </c:pt>
                <c:pt idx="6">
                  <c:v>4.1333778886518201E-2</c:v>
                </c:pt>
                <c:pt idx="7">
                  <c:v>-4.1760232547360499E-2</c:v>
                </c:pt>
                <c:pt idx="9" formatCode="0.0000">
                  <c:v>9.4513218106104094E-2</c:v>
                </c:pt>
                <c:pt idx="10" formatCode="0.0000">
                  <c:v>4.2663094228711902E-2</c:v>
                </c:pt>
                <c:pt idx="14" formatCode="0.0000">
                  <c:v>8.8732929175135894E-2</c:v>
                </c:pt>
                <c:pt idx="15" formatCode="0.0000">
                  <c:v>-1.9463558010346702E-2</c:v>
                </c:pt>
                <c:pt idx="16" formatCode="0.0000">
                  <c:v>0.10415722716452799</c:v>
                </c:pt>
                <c:pt idx="17" formatCode="0.0000">
                  <c:v>4.66251429291673E-2</c:v>
                </c:pt>
                <c:pt idx="18" formatCode="0.0000">
                  <c:v>9.0894558490112708E-3</c:v>
                </c:pt>
                <c:pt idx="21" formatCode="0.0000">
                  <c:v>2.0373962034653699E-2</c:v>
                </c:pt>
              </c:numCache>
            </c:numRef>
          </c:xVal>
          <c:yVal>
            <c:numRef>
              <c:f>all!$E$7:$E$44</c:f>
              <c:numCache>
                <c:formatCode>0.000</c:formatCode>
                <c:ptCount val="38"/>
                <c:pt idx="0">
                  <c:v>66.912425378311355</c:v>
                </c:pt>
                <c:pt idx="1">
                  <c:v>72.370164511034233</c:v>
                </c:pt>
                <c:pt idx="2">
                  <c:v>77.803592516854394</c:v>
                </c:pt>
                <c:pt idx="7">
                  <c:v>66.341763171136677</c:v>
                </c:pt>
                <c:pt idx="11" formatCode="General">
                  <c:v>118.22733427999999</c:v>
                </c:pt>
                <c:pt idx="12" formatCode="General">
                  <c:v>108.51115272</c:v>
                </c:pt>
                <c:pt idx="13" formatCode="General">
                  <c:v>106.97060942</c:v>
                </c:pt>
                <c:pt idx="14" formatCode="General">
                  <c:v>113.72040256</c:v>
                </c:pt>
                <c:pt idx="16" formatCode="General">
                  <c:v>112.66319882000001</c:v>
                </c:pt>
                <c:pt idx="17" formatCode="General">
                  <c:v>114.89097618</c:v>
                </c:pt>
                <c:pt idx="18" formatCode="General">
                  <c:v>116.55531655999999</c:v>
                </c:pt>
                <c:pt idx="20" formatCode="General">
                  <c:v>118.40602251999999</c:v>
                </c:pt>
                <c:pt idx="21" formatCode="General">
                  <c:v>115.75512236</c:v>
                </c:pt>
                <c:pt idx="22" formatCode="General">
                  <c:v>121.12197168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2C8-4D6B-89DE-404887265D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2930495"/>
        <c:axId val="482950655"/>
      </c:scatterChart>
      <c:valAx>
        <c:axId val="4829304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Hysteresis Index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2950655"/>
        <c:crosses val="autoZero"/>
        <c:crossBetween val="midCat"/>
      </c:valAx>
      <c:valAx>
        <c:axId val="482950655"/>
        <c:scaling>
          <c:orientation val="minMax"/>
          <c:min val="6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>
                    <a:latin typeface="Aptos" panose="020B0004020202020204" pitchFamily="34" charset="0"/>
                  </a:rPr>
                  <a:t>τ</a:t>
                </a:r>
                <a:r>
                  <a:rPr lang="en-US">
                    <a:latin typeface="Aptos" panose="020B0004020202020204" pitchFamily="34" charset="0"/>
                  </a:rPr>
                  <a:t>c50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29304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DOC HI to </a:t>
            </a:r>
            <a:r>
              <a:rPr lang="el-GR">
                <a:latin typeface="Aptos" panose="020B0004020202020204" pitchFamily="34" charset="0"/>
              </a:rPr>
              <a:t>τ</a:t>
            </a:r>
            <a:r>
              <a:rPr lang="en-US">
                <a:latin typeface="Aptos" panose="020B0004020202020204" pitchFamily="34" charset="0"/>
              </a:rPr>
              <a:t>c50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all!$B$4</c:f>
              <c:strCache>
                <c:ptCount val="1"/>
                <c:pt idx="0">
                  <c:v>Langlois (2005)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18476531812833741"/>
                  <c:y val="-6.751058245378902E-2"/>
                </c:manualLayout>
              </c:layout>
              <c:numFmt formatCode="General" sourceLinked="0"/>
              <c:spPr>
                <a:solidFill>
                  <a:schemeClr val="tx2">
                    <a:lumMod val="10000"/>
                    <a:lumOff val="9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all!$B$57:$B$65</c:f>
              <c:numCache>
                <c:formatCode>0.00000</c:formatCode>
                <c:ptCount val="9"/>
                <c:pt idx="0">
                  <c:v>0.93103098270545204</c:v>
                </c:pt>
                <c:pt idx="1">
                  <c:v>0.62021758140125105</c:v>
                </c:pt>
                <c:pt idx="2">
                  <c:v>0.77501210984665403</c:v>
                </c:pt>
                <c:pt idx="3">
                  <c:v>1.0770799229366299</c:v>
                </c:pt>
                <c:pt idx="5">
                  <c:v>1.69896635753922</c:v>
                </c:pt>
                <c:pt idx="6">
                  <c:v>0.68980819676752303</c:v>
                </c:pt>
                <c:pt idx="7">
                  <c:v>0.66267278810022201</c:v>
                </c:pt>
                <c:pt idx="8">
                  <c:v>1.6537701478523501</c:v>
                </c:pt>
              </c:numCache>
            </c:numRef>
          </c:xVal>
          <c:yVal>
            <c:numRef>
              <c:f>all!$E$57:$E$65</c:f>
              <c:numCache>
                <c:formatCode>0.000</c:formatCode>
                <c:ptCount val="9"/>
                <c:pt idx="0">
                  <c:v>66.912425378311355</c:v>
                </c:pt>
                <c:pt idx="1">
                  <c:v>72.370164511034233</c:v>
                </c:pt>
                <c:pt idx="2">
                  <c:v>77.803592516854394</c:v>
                </c:pt>
                <c:pt idx="3">
                  <c:v>77.803592516854394</c:v>
                </c:pt>
                <c:pt idx="7">
                  <c:v>66.341763171136677</c:v>
                </c:pt>
                <c:pt idx="8">
                  <c:v>66.341763171136677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363-422C-AC08-70B09C432EC2}"/>
            </c:ext>
          </c:extLst>
        </c:ser>
        <c:ser>
          <c:idx val="1"/>
          <c:order val="1"/>
          <c:tx>
            <c:strRef>
              <c:f>all!$C$4</c:f>
              <c:strCache>
                <c:ptCount val="1"/>
                <c:pt idx="0">
                  <c:v>Lawler (2006)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5.301004615802335E-2"/>
                  <c:y val="-0.2217246886692355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all!$C$57:$C$65</c:f>
              <c:numCache>
                <c:formatCode>0.00000</c:formatCode>
                <c:ptCount val="9"/>
                <c:pt idx="0">
                  <c:v>0.356634245125801</c:v>
                </c:pt>
                <c:pt idx="1">
                  <c:v>-0.834312574960141</c:v>
                </c:pt>
                <c:pt idx="2">
                  <c:v>-0.908415578463458</c:v>
                </c:pt>
                <c:pt idx="3">
                  <c:v>0.64255712913469198</c:v>
                </c:pt>
                <c:pt idx="5">
                  <c:v>1.0004694412552899</c:v>
                </c:pt>
                <c:pt idx="6">
                  <c:v>-0.62247408500113799</c:v>
                </c:pt>
                <c:pt idx="7">
                  <c:v>-1.0273129897173701</c:v>
                </c:pt>
                <c:pt idx="8">
                  <c:v>0.384403035464087</c:v>
                </c:pt>
              </c:numCache>
            </c:numRef>
          </c:xVal>
          <c:yVal>
            <c:numRef>
              <c:f>all!$E$57:$E$65</c:f>
              <c:numCache>
                <c:formatCode>0.000</c:formatCode>
                <c:ptCount val="9"/>
                <c:pt idx="0">
                  <c:v>66.912425378311355</c:v>
                </c:pt>
                <c:pt idx="1">
                  <c:v>72.370164511034233</c:v>
                </c:pt>
                <c:pt idx="2">
                  <c:v>77.803592516854394</c:v>
                </c:pt>
                <c:pt idx="3">
                  <c:v>77.803592516854394</c:v>
                </c:pt>
                <c:pt idx="7">
                  <c:v>66.341763171136677</c:v>
                </c:pt>
                <c:pt idx="8">
                  <c:v>66.341763171136677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363-422C-AC08-70B09C432EC2}"/>
            </c:ext>
          </c:extLst>
        </c:ser>
        <c:ser>
          <c:idx val="2"/>
          <c:order val="2"/>
          <c:tx>
            <c:strRef>
              <c:f>all!$D$4</c:f>
              <c:strCache>
                <c:ptCount val="1"/>
                <c:pt idx="0">
                  <c:v>Aich (2014) 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1.3193230156575256E-2"/>
                  <c:y val="-4.2572848606690118E-2"/>
                </c:manualLayout>
              </c:layout>
              <c:numFmt formatCode="General" sourceLinked="0"/>
              <c:spPr>
                <a:solidFill>
                  <a:schemeClr val="accent6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all!$D$57:$D$65</c:f>
              <c:numCache>
                <c:formatCode>0.00000</c:formatCode>
                <c:ptCount val="9"/>
                <c:pt idx="0">
                  <c:v>1.7836570943256701E-2</c:v>
                </c:pt>
                <c:pt idx="1">
                  <c:v>-0.54160608613664096</c:v>
                </c:pt>
                <c:pt idx="2">
                  <c:v>-0.17637365181995501</c:v>
                </c:pt>
                <c:pt idx="3">
                  <c:v>0.41389016217674901</c:v>
                </c:pt>
                <c:pt idx="5">
                  <c:v>0.39449354239977702</c:v>
                </c:pt>
                <c:pt idx="6">
                  <c:v>-0.17371472956907899</c:v>
                </c:pt>
                <c:pt idx="7">
                  <c:v>-4.74716361793363E-2</c:v>
                </c:pt>
                <c:pt idx="8">
                  <c:v>5.9760012226563401E-2</c:v>
                </c:pt>
              </c:numCache>
            </c:numRef>
          </c:xVal>
          <c:yVal>
            <c:numRef>
              <c:f>all!$E$57:$E$65</c:f>
              <c:numCache>
                <c:formatCode>0.000</c:formatCode>
                <c:ptCount val="9"/>
                <c:pt idx="0">
                  <c:v>66.912425378311355</c:v>
                </c:pt>
                <c:pt idx="1">
                  <c:v>72.370164511034233</c:v>
                </c:pt>
                <c:pt idx="2">
                  <c:v>77.803592516854394</c:v>
                </c:pt>
                <c:pt idx="3">
                  <c:v>77.803592516854394</c:v>
                </c:pt>
                <c:pt idx="7">
                  <c:v>66.341763171136677</c:v>
                </c:pt>
                <c:pt idx="8">
                  <c:v>66.341763171136677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8363-422C-AC08-70B09C432E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2930495"/>
        <c:axId val="482950655"/>
      </c:scatterChart>
      <c:valAx>
        <c:axId val="4829304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Hysteresis Index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2950655"/>
        <c:crosses val="autoZero"/>
        <c:crossBetween val="midCat"/>
      </c:valAx>
      <c:valAx>
        <c:axId val="482950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>
                    <a:latin typeface="Aptos" panose="020B0004020202020204" pitchFamily="34" charset="0"/>
                  </a:rPr>
                  <a:t>τ</a:t>
                </a:r>
                <a:r>
                  <a:rPr lang="en-US">
                    <a:latin typeface="Aptos" panose="020B0004020202020204" pitchFamily="34" charset="0"/>
                  </a:rPr>
                  <a:t>c50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29304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POC</a:t>
            </a:r>
            <a:r>
              <a:rPr lang="en-US" baseline="0"/>
              <a:t> </a:t>
            </a:r>
            <a:r>
              <a:rPr lang="en-US"/>
              <a:t>HI to </a:t>
            </a:r>
            <a:r>
              <a:rPr lang="el-GR">
                <a:latin typeface="Aptos" panose="020B0004020202020204" pitchFamily="34" charset="0"/>
              </a:rPr>
              <a:t>τ</a:t>
            </a:r>
            <a:r>
              <a:rPr lang="en-US">
                <a:latin typeface="Aptos" panose="020B0004020202020204" pitchFamily="34" charset="0"/>
              </a:rPr>
              <a:t>c50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all!$B$4</c:f>
              <c:strCache>
                <c:ptCount val="1"/>
                <c:pt idx="0">
                  <c:v>Langlois (2005)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18476531812833741"/>
                  <c:y val="-6.751058245378902E-2"/>
                </c:manualLayout>
              </c:layout>
              <c:numFmt formatCode="General" sourceLinked="0"/>
              <c:spPr>
                <a:solidFill>
                  <a:schemeClr val="tx2">
                    <a:lumMod val="10000"/>
                    <a:lumOff val="9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all!$B$71:$B$79</c:f>
              <c:numCache>
                <c:formatCode>0.00000</c:formatCode>
                <c:ptCount val="9"/>
                <c:pt idx="0">
                  <c:v>1.5737102771314899</c:v>
                </c:pt>
                <c:pt idx="1">
                  <c:v>1.50347635019633</c:v>
                </c:pt>
                <c:pt idx="2">
                  <c:v>1.46809780024647</c:v>
                </c:pt>
                <c:pt idx="3">
                  <c:v>1.29322320004102</c:v>
                </c:pt>
                <c:pt idx="5">
                  <c:v>1.2870368477726899</c:v>
                </c:pt>
                <c:pt idx="6">
                  <c:v>1.3490789487664501</c:v>
                </c:pt>
                <c:pt idx="7">
                  <c:v>0.56520265738304298</c:v>
                </c:pt>
                <c:pt idx="8">
                  <c:v>0.82233612818652901</c:v>
                </c:pt>
              </c:numCache>
            </c:numRef>
          </c:xVal>
          <c:yVal>
            <c:numRef>
              <c:f>all!$E$71:$E$79</c:f>
              <c:numCache>
                <c:formatCode>0.000</c:formatCode>
                <c:ptCount val="9"/>
                <c:pt idx="0">
                  <c:v>66.912425378311355</c:v>
                </c:pt>
                <c:pt idx="1">
                  <c:v>72.370164511034233</c:v>
                </c:pt>
                <c:pt idx="2">
                  <c:v>77.803592516854394</c:v>
                </c:pt>
                <c:pt idx="3">
                  <c:v>77.803592516854394</c:v>
                </c:pt>
                <c:pt idx="7">
                  <c:v>66.341763171136677</c:v>
                </c:pt>
                <c:pt idx="8">
                  <c:v>66.341763171136677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06C-4AF0-AC4C-498C384EB92D}"/>
            </c:ext>
          </c:extLst>
        </c:ser>
        <c:ser>
          <c:idx val="1"/>
          <c:order val="1"/>
          <c:tx>
            <c:strRef>
              <c:f>all!$C$4</c:f>
              <c:strCache>
                <c:ptCount val="1"/>
                <c:pt idx="0">
                  <c:v>Lawler (2006)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8.1981386533030887E-2"/>
                  <c:y val="-0.1828213204118716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all!$C$71:$C$79</c:f>
              <c:numCache>
                <c:formatCode>0.00000</c:formatCode>
                <c:ptCount val="9"/>
                <c:pt idx="0">
                  <c:v>0.86635228697468503</c:v>
                </c:pt>
                <c:pt idx="1">
                  <c:v>0.96614890517595997</c:v>
                </c:pt>
                <c:pt idx="2">
                  <c:v>0.61110995616383801</c:v>
                </c:pt>
                <c:pt idx="3">
                  <c:v>0.43470959470339599</c:v>
                </c:pt>
                <c:pt idx="5">
                  <c:v>0.29324836284144801</c:v>
                </c:pt>
                <c:pt idx="6">
                  <c:v>0.20911471061197601</c:v>
                </c:pt>
                <c:pt idx="7">
                  <c:v>-1.0275595596207601</c:v>
                </c:pt>
                <c:pt idx="8">
                  <c:v>-0.50591021290758598</c:v>
                </c:pt>
              </c:numCache>
            </c:numRef>
          </c:xVal>
          <c:yVal>
            <c:numRef>
              <c:f>all!$E$71:$E$79</c:f>
              <c:numCache>
                <c:formatCode>0.000</c:formatCode>
                <c:ptCount val="9"/>
                <c:pt idx="0">
                  <c:v>66.912425378311355</c:v>
                </c:pt>
                <c:pt idx="1">
                  <c:v>72.370164511034233</c:v>
                </c:pt>
                <c:pt idx="2">
                  <c:v>77.803592516854394</c:v>
                </c:pt>
                <c:pt idx="3">
                  <c:v>77.803592516854394</c:v>
                </c:pt>
                <c:pt idx="7">
                  <c:v>66.341763171136677</c:v>
                </c:pt>
                <c:pt idx="8">
                  <c:v>66.341763171136677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06C-4AF0-AC4C-498C384EB92D}"/>
            </c:ext>
          </c:extLst>
        </c:ser>
        <c:ser>
          <c:idx val="2"/>
          <c:order val="2"/>
          <c:tx>
            <c:strRef>
              <c:f>all!$D$4</c:f>
              <c:strCache>
                <c:ptCount val="1"/>
                <c:pt idx="0">
                  <c:v>Aich (2014) 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16739725181411147"/>
                  <c:y val="1.4617672790901138E-2"/>
                </c:manualLayout>
              </c:layout>
              <c:numFmt formatCode="General" sourceLinked="0"/>
              <c:spPr>
                <a:solidFill>
                  <a:schemeClr val="accent6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all!$D$71:$D$79</c:f>
              <c:numCache>
                <c:formatCode>0.00000</c:formatCode>
                <c:ptCount val="9"/>
                <c:pt idx="0">
                  <c:v>0.199680501000808</c:v>
                </c:pt>
                <c:pt idx="1">
                  <c:v>0.12535086320927399</c:v>
                </c:pt>
                <c:pt idx="2">
                  <c:v>0.42964915677977999</c:v>
                </c:pt>
                <c:pt idx="3">
                  <c:v>0.36758406997509402</c:v>
                </c:pt>
                <c:pt idx="5">
                  <c:v>4.3375577562074601E-2</c:v>
                </c:pt>
                <c:pt idx="6">
                  <c:v>4.5262412029273197E-2</c:v>
                </c:pt>
                <c:pt idx="7">
                  <c:v>-6.6277814143714905E-2</c:v>
                </c:pt>
                <c:pt idx="8">
                  <c:v>-0.161754895727207</c:v>
                </c:pt>
              </c:numCache>
            </c:numRef>
          </c:xVal>
          <c:yVal>
            <c:numRef>
              <c:f>all!$E$71:$E$79</c:f>
              <c:numCache>
                <c:formatCode>0.000</c:formatCode>
                <c:ptCount val="9"/>
                <c:pt idx="0">
                  <c:v>66.912425378311355</c:v>
                </c:pt>
                <c:pt idx="1">
                  <c:v>72.370164511034233</c:v>
                </c:pt>
                <c:pt idx="2">
                  <c:v>77.803592516854394</c:v>
                </c:pt>
                <c:pt idx="3">
                  <c:v>77.803592516854394</c:v>
                </c:pt>
                <c:pt idx="7">
                  <c:v>66.341763171136677</c:v>
                </c:pt>
                <c:pt idx="8">
                  <c:v>66.341763171136677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406C-4AF0-AC4C-498C384EB9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2930495"/>
        <c:axId val="482950655"/>
      </c:scatterChart>
      <c:valAx>
        <c:axId val="4829304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Hysteresis Index</a:t>
                </a:r>
              </a:p>
            </c:rich>
          </c:tx>
          <c:layout>
            <c:manualLayout>
              <c:xMode val="edge"/>
              <c:yMode val="edge"/>
              <c:x val="0.43718039872581271"/>
              <c:y val="0.7483068847163335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2950655"/>
        <c:crosses val="autoZero"/>
        <c:crossBetween val="midCat"/>
      </c:valAx>
      <c:valAx>
        <c:axId val="482950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>
                    <a:latin typeface="Aptos" panose="020B0004020202020204" pitchFamily="34" charset="0"/>
                  </a:rPr>
                  <a:t>τ</a:t>
                </a:r>
                <a:r>
                  <a:rPr lang="en-US">
                    <a:latin typeface="Aptos" panose="020B0004020202020204" pitchFamily="34" charset="0"/>
                  </a:rPr>
                  <a:t>c50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29304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Turbidity HI to </a:t>
            </a:r>
            <a:r>
              <a:rPr lang="el-GR">
                <a:latin typeface="Aptos" panose="020B0004020202020204" pitchFamily="34" charset="0"/>
              </a:rPr>
              <a:t>τ</a:t>
            </a:r>
            <a:r>
              <a:rPr lang="en-US">
                <a:latin typeface="Aptos" panose="020B0004020202020204" pitchFamily="34" charset="0"/>
              </a:rPr>
              <a:t>c50</a:t>
            </a:r>
            <a:endParaRPr lang="en-US"/>
          </a:p>
        </c:rich>
      </c:tx>
      <c:layout>
        <c:manualLayout>
          <c:xMode val="edge"/>
          <c:yMode val="edge"/>
          <c:x val="0.3244999228037671"/>
          <c:y val="3.88888888888888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all!$B$4</c:f>
              <c:strCache>
                <c:ptCount val="1"/>
                <c:pt idx="0">
                  <c:v>Langlois (2005)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18476531812833741"/>
                  <c:y val="-6.751058245378902E-2"/>
                </c:manualLayout>
              </c:layout>
              <c:numFmt formatCode="General" sourceLinked="0"/>
              <c:spPr>
                <a:solidFill>
                  <a:schemeClr val="tx2">
                    <a:lumMod val="10000"/>
                    <a:lumOff val="9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all!$B$84:$B$90</c:f>
              <c:numCache>
                <c:formatCode>0.00000</c:formatCode>
                <c:ptCount val="7"/>
                <c:pt idx="0">
                  <c:v>1.2050076272027901</c:v>
                </c:pt>
                <c:pt idx="1">
                  <c:v>1.11910970408747</c:v>
                </c:pt>
                <c:pt idx="2">
                  <c:v>1.4074954172257299</c:v>
                </c:pt>
                <c:pt idx="3">
                  <c:v>1.41606982531736</c:v>
                </c:pt>
                <c:pt idx="4">
                  <c:v>1.5689444337549201</c:v>
                </c:pt>
                <c:pt idx="5">
                  <c:v>1.15872732148062</c:v>
                </c:pt>
                <c:pt idx="6">
                  <c:v>1.1637562782531401</c:v>
                </c:pt>
              </c:numCache>
            </c:numRef>
          </c:xVal>
          <c:yVal>
            <c:numRef>
              <c:f>all!$G$84:$G$90</c:f>
              <c:numCache>
                <c:formatCode>0.000</c:formatCode>
                <c:ptCount val="7"/>
                <c:pt idx="0">
                  <c:v>66.912425378311355</c:v>
                </c:pt>
                <c:pt idx="1">
                  <c:v>72.370164511034233</c:v>
                </c:pt>
                <c:pt idx="2">
                  <c:v>77.803592516854394</c:v>
                </c:pt>
                <c:pt idx="3">
                  <c:v>77.803592516854394</c:v>
                </c:pt>
                <c:pt idx="6">
                  <c:v>66.341763171136677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F87-40ED-8FBC-2287F011599A}"/>
            </c:ext>
          </c:extLst>
        </c:ser>
        <c:ser>
          <c:idx val="1"/>
          <c:order val="1"/>
          <c:tx>
            <c:strRef>
              <c:f>all!$C$4</c:f>
              <c:strCache>
                <c:ptCount val="1"/>
                <c:pt idx="0">
                  <c:v>Lawler (2006)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14803365755751119"/>
                  <c:y val="-0.15135826771653543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all!$C$84:$C$90</c:f>
              <c:numCache>
                <c:formatCode>0.00000</c:formatCode>
                <c:ptCount val="7"/>
                <c:pt idx="0">
                  <c:v>0.92674759673055396</c:v>
                </c:pt>
                <c:pt idx="1">
                  <c:v>0.156816283020727</c:v>
                </c:pt>
                <c:pt idx="2">
                  <c:v>0.25880560171696498</c:v>
                </c:pt>
                <c:pt idx="3">
                  <c:v>0.52921681534296305</c:v>
                </c:pt>
                <c:pt idx="4">
                  <c:v>0.71850105371235795</c:v>
                </c:pt>
                <c:pt idx="5">
                  <c:v>0.40647074977609499</c:v>
                </c:pt>
                <c:pt idx="6">
                  <c:v>0.401331670241585</c:v>
                </c:pt>
              </c:numCache>
            </c:numRef>
          </c:xVal>
          <c:yVal>
            <c:numRef>
              <c:f>all!$G$84:$G$90</c:f>
              <c:numCache>
                <c:formatCode>0.000</c:formatCode>
                <c:ptCount val="7"/>
                <c:pt idx="0">
                  <c:v>66.912425378311355</c:v>
                </c:pt>
                <c:pt idx="1">
                  <c:v>72.370164511034233</c:v>
                </c:pt>
                <c:pt idx="2">
                  <c:v>77.803592516854394</c:v>
                </c:pt>
                <c:pt idx="3">
                  <c:v>77.803592516854394</c:v>
                </c:pt>
                <c:pt idx="6">
                  <c:v>66.341763171136677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F87-40ED-8FBC-2287F011599A}"/>
            </c:ext>
          </c:extLst>
        </c:ser>
        <c:ser>
          <c:idx val="2"/>
          <c:order val="2"/>
          <c:tx>
            <c:strRef>
              <c:f>all!$D$4</c:f>
              <c:strCache>
                <c:ptCount val="1"/>
                <c:pt idx="0">
                  <c:v>Aich (2014) 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20688481756592789"/>
                  <c:y val="-0.3746426613944398"/>
                </c:manualLayout>
              </c:layout>
              <c:numFmt formatCode="General" sourceLinked="0"/>
              <c:spPr>
                <a:solidFill>
                  <a:schemeClr val="accent6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all!$D$84:$D$90</c:f>
              <c:numCache>
                <c:formatCode>0.00000</c:formatCode>
                <c:ptCount val="7"/>
                <c:pt idx="0">
                  <c:v>0.13984116014494999</c:v>
                </c:pt>
                <c:pt idx="1">
                  <c:v>8.9326261366187695E-2</c:v>
                </c:pt>
                <c:pt idx="2">
                  <c:v>4.6283799610675601E-2</c:v>
                </c:pt>
                <c:pt idx="3">
                  <c:v>3.0850994672477702E-2</c:v>
                </c:pt>
                <c:pt idx="4">
                  <c:v>0.164262280281398</c:v>
                </c:pt>
                <c:pt idx="5">
                  <c:v>-4.45444212598241E-2</c:v>
                </c:pt>
                <c:pt idx="6">
                  <c:v>6.7271555006068101E-2</c:v>
                </c:pt>
              </c:numCache>
            </c:numRef>
          </c:xVal>
          <c:yVal>
            <c:numRef>
              <c:f>all!$G$84:$G$90</c:f>
              <c:numCache>
                <c:formatCode>0.000</c:formatCode>
                <c:ptCount val="7"/>
                <c:pt idx="0">
                  <c:v>66.912425378311355</c:v>
                </c:pt>
                <c:pt idx="1">
                  <c:v>72.370164511034233</c:v>
                </c:pt>
                <c:pt idx="2">
                  <c:v>77.803592516854394</c:v>
                </c:pt>
                <c:pt idx="3">
                  <c:v>77.803592516854394</c:v>
                </c:pt>
                <c:pt idx="6">
                  <c:v>66.341763171136677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9F87-40ED-8FBC-2287F011599A}"/>
            </c:ext>
          </c:extLst>
        </c:ser>
        <c:ser>
          <c:idx val="3"/>
          <c:order val="3"/>
          <c:tx>
            <c:strRef>
              <c:f>all!$E$81</c:f>
              <c:strCache>
                <c:ptCount val="1"/>
                <c:pt idx="0">
                  <c:v>Lloyd (2016)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12904863362667901"/>
                  <c:y val="5.6522309711286092E-3"/>
                </c:manualLayout>
              </c:layout>
              <c:numFmt formatCode="General" sourceLinked="0"/>
              <c:spPr>
                <a:solidFill>
                  <a:schemeClr val="accent4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all!$E$84:$E$90</c:f>
              <c:numCache>
                <c:formatCode>0.00000</c:formatCode>
                <c:ptCount val="7"/>
                <c:pt idx="0">
                  <c:v>0.58415158227019104</c:v>
                </c:pt>
                <c:pt idx="1">
                  <c:v>5.92725219807008E-2</c:v>
                </c:pt>
                <c:pt idx="2">
                  <c:v>0.10621290455320199</c:v>
                </c:pt>
                <c:pt idx="3">
                  <c:v>0.17041594173230901</c:v>
                </c:pt>
                <c:pt idx="4">
                  <c:v>0.415644787212891</c:v>
                </c:pt>
                <c:pt idx="5">
                  <c:v>5.4008474266980598E-2</c:v>
                </c:pt>
                <c:pt idx="6">
                  <c:v>8.1392652419518097E-2</c:v>
                </c:pt>
              </c:numCache>
            </c:numRef>
          </c:xVal>
          <c:yVal>
            <c:numRef>
              <c:f>all!$G$84:$G$90</c:f>
              <c:numCache>
                <c:formatCode>0.000</c:formatCode>
                <c:ptCount val="7"/>
                <c:pt idx="0">
                  <c:v>66.912425378311355</c:v>
                </c:pt>
                <c:pt idx="1">
                  <c:v>72.370164511034233</c:v>
                </c:pt>
                <c:pt idx="2">
                  <c:v>77.803592516854394</c:v>
                </c:pt>
                <c:pt idx="3">
                  <c:v>77.803592516854394</c:v>
                </c:pt>
                <c:pt idx="6">
                  <c:v>66.341763171136677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9F87-40ED-8FBC-2287F011599A}"/>
            </c:ext>
          </c:extLst>
        </c:ser>
        <c:ser>
          <c:idx val="4"/>
          <c:order val="4"/>
          <c:tx>
            <c:strRef>
              <c:f>all!$F$81</c:f>
              <c:strCache>
                <c:ptCount val="1"/>
                <c:pt idx="0">
                  <c:v>Lawler Adapted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5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2235693958640857"/>
                  <c:y val="-0.26216337918798654"/>
                </c:manualLayout>
              </c:layout>
              <c:numFmt formatCode="General" sourceLinked="0"/>
              <c:spPr>
                <a:solidFill>
                  <a:schemeClr val="accent5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all!$F$84:$F$90</c:f>
              <c:numCache>
                <c:formatCode>0.00000</c:formatCode>
                <c:ptCount val="7"/>
                <c:pt idx="0">
                  <c:v>0.66959836720930499</c:v>
                </c:pt>
                <c:pt idx="1">
                  <c:v>0.1017952207019</c:v>
                </c:pt>
                <c:pt idx="2">
                  <c:v>-0.90837567524790197</c:v>
                </c:pt>
                <c:pt idx="3">
                  <c:v>0.33346513766249403</c:v>
                </c:pt>
                <c:pt idx="4">
                  <c:v>0.60238698682230296</c:v>
                </c:pt>
                <c:pt idx="5">
                  <c:v>0.21627118090962999</c:v>
                </c:pt>
                <c:pt idx="6">
                  <c:v>0.164652348864086</c:v>
                </c:pt>
              </c:numCache>
            </c:numRef>
          </c:xVal>
          <c:yVal>
            <c:numRef>
              <c:f>all!$G$84:$G$90</c:f>
              <c:numCache>
                <c:formatCode>0.000</c:formatCode>
                <c:ptCount val="7"/>
                <c:pt idx="0">
                  <c:v>66.912425378311355</c:v>
                </c:pt>
                <c:pt idx="1">
                  <c:v>72.370164511034233</c:v>
                </c:pt>
                <c:pt idx="2">
                  <c:v>77.803592516854394</c:v>
                </c:pt>
                <c:pt idx="3">
                  <c:v>77.803592516854394</c:v>
                </c:pt>
                <c:pt idx="6">
                  <c:v>66.341763171136677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9F87-40ED-8FBC-2287F01159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2930495"/>
        <c:axId val="482950655"/>
      </c:scatterChart>
      <c:valAx>
        <c:axId val="4829304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Hysteresis Index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2950655"/>
        <c:crosses val="autoZero"/>
        <c:crossBetween val="midCat"/>
      </c:valAx>
      <c:valAx>
        <c:axId val="482950655"/>
        <c:scaling>
          <c:orientation val="minMax"/>
          <c:min val="6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>
                    <a:latin typeface="Aptos" panose="020B0004020202020204" pitchFamily="34" charset="0"/>
                  </a:rPr>
                  <a:t>τ</a:t>
                </a:r>
                <a:r>
                  <a:rPr lang="en-US">
                    <a:latin typeface="Aptos" panose="020B0004020202020204" pitchFamily="34" charset="0"/>
                  </a:rPr>
                  <a:t>c50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29304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5"/>
        <c:delete val="1"/>
      </c:legendEntry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fDOM</a:t>
            </a:r>
            <a:r>
              <a:rPr lang="en-US" baseline="0"/>
              <a:t> </a:t>
            </a:r>
            <a:r>
              <a:rPr lang="en-US"/>
              <a:t> HI to </a:t>
            </a:r>
            <a:r>
              <a:rPr lang="el-GR">
                <a:latin typeface="Aptos" panose="020B0004020202020204" pitchFamily="34" charset="0"/>
              </a:rPr>
              <a:t>τ</a:t>
            </a:r>
            <a:r>
              <a:rPr lang="en-US">
                <a:latin typeface="Aptos" panose="020B0004020202020204" pitchFamily="34" charset="0"/>
              </a:rPr>
              <a:t>c50</a:t>
            </a:r>
            <a:endParaRPr lang="en-US"/>
          </a:p>
        </c:rich>
      </c:tx>
      <c:layout>
        <c:manualLayout>
          <c:xMode val="edge"/>
          <c:yMode val="edge"/>
          <c:x val="0.33223151112090599"/>
          <c:y val="4.413830160993655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all!$B$4</c:f>
              <c:strCache>
                <c:ptCount val="1"/>
                <c:pt idx="0">
                  <c:v>Langlois (2005)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18476531812833741"/>
                  <c:y val="-6.751058245378902E-2"/>
                </c:manualLayout>
              </c:layout>
              <c:numFmt formatCode="General" sourceLinked="0"/>
              <c:spPr>
                <a:solidFill>
                  <a:schemeClr val="tx2">
                    <a:lumMod val="10000"/>
                    <a:lumOff val="9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all!$P$48:$P$54</c:f>
              <c:numCache>
                <c:formatCode>0.00000</c:formatCode>
                <c:ptCount val="7"/>
                <c:pt idx="0">
                  <c:v>0.76151296818251002</c:v>
                </c:pt>
                <c:pt idx="1">
                  <c:v>0.63241662033349</c:v>
                </c:pt>
                <c:pt idx="2">
                  <c:v>0.68587815994758305</c:v>
                </c:pt>
                <c:pt idx="3">
                  <c:v>0.64478493475432996</c:v>
                </c:pt>
                <c:pt idx="4">
                  <c:v>1.04151195285145</c:v>
                </c:pt>
                <c:pt idx="5">
                  <c:v>0.57916197400143898</c:v>
                </c:pt>
                <c:pt idx="6">
                  <c:v>0.74506131022172795</c:v>
                </c:pt>
              </c:numCache>
            </c:numRef>
          </c:xVal>
          <c:yVal>
            <c:numRef>
              <c:f>all!$G$84:$G$90</c:f>
              <c:numCache>
                <c:formatCode>0.000</c:formatCode>
                <c:ptCount val="7"/>
                <c:pt idx="0">
                  <c:v>66.912425378311355</c:v>
                </c:pt>
                <c:pt idx="1">
                  <c:v>72.370164511034233</c:v>
                </c:pt>
                <c:pt idx="2">
                  <c:v>77.803592516854394</c:v>
                </c:pt>
                <c:pt idx="3">
                  <c:v>77.803592516854394</c:v>
                </c:pt>
                <c:pt idx="6">
                  <c:v>66.341763171136677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920-404E-BB99-5A6384BD13A2}"/>
            </c:ext>
          </c:extLst>
        </c:ser>
        <c:ser>
          <c:idx val="1"/>
          <c:order val="1"/>
          <c:tx>
            <c:strRef>
              <c:f>all!$C$4</c:f>
              <c:strCache>
                <c:ptCount val="1"/>
                <c:pt idx="0">
                  <c:v>Lawler (2006)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19043585038676913"/>
                  <c:y val="7.6802446938227215E-2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all!$Q$48:$Q$54</c:f>
              <c:numCache>
                <c:formatCode>0.00000</c:formatCode>
                <c:ptCount val="7"/>
                <c:pt idx="0">
                  <c:v>-0.82455849900808098</c:v>
                </c:pt>
                <c:pt idx="1">
                  <c:v>-0.77305412456000899</c:v>
                </c:pt>
                <c:pt idx="2">
                  <c:v>-0.74314055155585101</c:v>
                </c:pt>
                <c:pt idx="3">
                  <c:v>-0.64445784381595494</c:v>
                </c:pt>
                <c:pt idx="4">
                  <c:v>-0.120988015114778</c:v>
                </c:pt>
                <c:pt idx="5">
                  <c:v>-0.78477741945709301</c:v>
                </c:pt>
                <c:pt idx="6">
                  <c:v>-0.75894808346496501</c:v>
                </c:pt>
              </c:numCache>
            </c:numRef>
          </c:xVal>
          <c:yVal>
            <c:numRef>
              <c:f>all!$G$84:$G$90</c:f>
              <c:numCache>
                <c:formatCode>0.000</c:formatCode>
                <c:ptCount val="7"/>
                <c:pt idx="0">
                  <c:v>66.912425378311355</c:v>
                </c:pt>
                <c:pt idx="1">
                  <c:v>72.370164511034233</c:v>
                </c:pt>
                <c:pt idx="2">
                  <c:v>77.803592516854394</c:v>
                </c:pt>
                <c:pt idx="3">
                  <c:v>77.803592516854394</c:v>
                </c:pt>
                <c:pt idx="6">
                  <c:v>66.341763171136677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920-404E-BB99-5A6384BD13A2}"/>
            </c:ext>
          </c:extLst>
        </c:ser>
        <c:ser>
          <c:idx val="2"/>
          <c:order val="2"/>
          <c:tx>
            <c:strRef>
              <c:f>all!$D$4</c:f>
              <c:strCache>
                <c:ptCount val="1"/>
                <c:pt idx="0">
                  <c:v>Aich (2014) 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23635897629463856"/>
                  <c:y val="-7.8596730526794389E-2"/>
                </c:manualLayout>
              </c:layout>
              <c:numFmt formatCode="General" sourceLinked="0"/>
              <c:spPr>
                <a:solidFill>
                  <a:schemeClr val="accent6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all!$R$48:$R$54</c:f>
              <c:numCache>
                <c:formatCode>0.00000</c:formatCode>
                <c:ptCount val="7"/>
                <c:pt idx="0">
                  <c:v>-0.53010922957415696</c:v>
                </c:pt>
                <c:pt idx="1">
                  <c:v>-0.511670862423525</c:v>
                </c:pt>
                <c:pt idx="2">
                  <c:v>-0.22155858359451899</c:v>
                </c:pt>
                <c:pt idx="3">
                  <c:v>-0.24334139198969101</c:v>
                </c:pt>
                <c:pt idx="4">
                  <c:v>9.6450074853088597E-2</c:v>
                </c:pt>
                <c:pt idx="5">
                  <c:v>-0.24313716774511701</c:v>
                </c:pt>
                <c:pt idx="6">
                  <c:v>-0.37958282657101999</c:v>
                </c:pt>
              </c:numCache>
            </c:numRef>
          </c:xVal>
          <c:yVal>
            <c:numRef>
              <c:f>all!$G$84:$G$90</c:f>
              <c:numCache>
                <c:formatCode>0.000</c:formatCode>
                <c:ptCount val="7"/>
                <c:pt idx="0">
                  <c:v>66.912425378311355</c:v>
                </c:pt>
                <c:pt idx="1">
                  <c:v>72.370164511034233</c:v>
                </c:pt>
                <c:pt idx="2">
                  <c:v>77.803592516854394</c:v>
                </c:pt>
                <c:pt idx="3">
                  <c:v>77.803592516854394</c:v>
                </c:pt>
                <c:pt idx="6">
                  <c:v>66.341763171136677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3920-404E-BB99-5A6384BD13A2}"/>
            </c:ext>
          </c:extLst>
        </c:ser>
        <c:ser>
          <c:idx val="3"/>
          <c:order val="3"/>
          <c:tx>
            <c:strRef>
              <c:f>all!$E$81</c:f>
              <c:strCache>
                <c:ptCount val="1"/>
                <c:pt idx="0">
                  <c:v>Lloyd (2016)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27440578309028102"/>
                  <c:y val="-0.17013867361068055"/>
                </c:manualLayout>
              </c:layout>
              <c:numFmt formatCode="General" sourceLinked="0"/>
              <c:spPr>
                <a:solidFill>
                  <a:schemeClr val="accent4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all!$E$84:$E$90</c:f>
              <c:numCache>
                <c:formatCode>0.00000</c:formatCode>
                <c:ptCount val="7"/>
                <c:pt idx="0">
                  <c:v>0.58415158227019104</c:v>
                </c:pt>
                <c:pt idx="1">
                  <c:v>5.92725219807008E-2</c:v>
                </c:pt>
                <c:pt idx="2">
                  <c:v>0.10621290455320199</c:v>
                </c:pt>
                <c:pt idx="3">
                  <c:v>0.17041594173230901</c:v>
                </c:pt>
                <c:pt idx="4">
                  <c:v>0.415644787212891</c:v>
                </c:pt>
                <c:pt idx="5">
                  <c:v>5.4008474266980598E-2</c:v>
                </c:pt>
                <c:pt idx="6">
                  <c:v>8.1392652419518097E-2</c:v>
                </c:pt>
              </c:numCache>
            </c:numRef>
          </c:xVal>
          <c:yVal>
            <c:numRef>
              <c:f>all!$G$84:$G$90</c:f>
              <c:numCache>
                <c:formatCode>0.000</c:formatCode>
                <c:ptCount val="7"/>
                <c:pt idx="0">
                  <c:v>66.912425378311355</c:v>
                </c:pt>
                <c:pt idx="1">
                  <c:v>72.370164511034233</c:v>
                </c:pt>
                <c:pt idx="2">
                  <c:v>77.803592516854394</c:v>
                </c:pt>
                <c:pt idx="3">
                  <c:v>77.803592516854394</c:v>
                </c:pt>
                <c:pt idx="6">
                  <c:v>66.341763171136677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3920-404E-BB99-5A6384BD13A2}"/>
            </c:ext>
          </c:extLst>
        </c:ser>
        <c:ser>
          <c:idx val="4"/>
          <c:order val="4"/>
          <c:tx>
            <c:strRef>
              <c:f>all!$F$81</c:f>
              <c:strCache>
                <c:ptCount val="1"/>
                <c:pt idx="0">
                  <c:v>Lawler Adapted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5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46154803839321262"/>
                  <c:y val="-0.33687808708950751"/>
                </c:manualLayout>
              </c:layout>
              <c:numFmt formatCode="General" sourceLinked="0"/>
              <c:spPr>
                <a:solidFill>
                  <a:schemeClr val="accent5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all!$T$48:$T$54</c:f>
              <c:numCache>
                <c:formatCode>0.00000</c:formatCode>
                <c:ptCount val="7"/>
                <c:pt idx="0">
                  <c:v>-0.81917889363282403</c:v>
                </c:pt>
                <c:pt idx="1">
                  <c:v>-0.76662036881149098</c:v>
                </c:pt>
                <c:pt idx="2">
                  <c:v>-0.79093223163479298</c:v>
                </c:pt>
                <c:pt idx="3">
                  <c:v>-0.52379920048275397</c:v>
                </c:pt>
                <c:pt idx="4">
                  <c:v>-0.16320255139754999</c:v>
                </c:pt>
                <c:pt idx="5">
                  <c:v>-0.748656600612842</c:v>
                </c:pt>
                <c:pt idx="6">
                  <c:v>-0.49092006249230202</c:v>
                </c:pt>
              </c:numCache>
            </c:numRef>
          </c:xVal>
          <c:yVal>
            <c:numRef>
              <c:f>all!$G$84:$G$90</c:f>
              <c:numCache>
                <c:formatCode>0.000</c:formatCode>
                <c:ptCount val="7"/>
                <c:pt idx="0">
                  <c:v>66.912425378311355</c:v>
                </c:pt>
                <c:pt idx="1">
                  <c:v>72.370164511034233</c:v>
                </c:pt>
                <c:pt idx="2">
                  <c:v>77.803592516854394</c:v>
                </c:pt>
                <c:pt idx="3">
                  <c:v>77.803592516854394</c:v>
                </c:pt>
                <c:pt idx="6">
                  <c:v>66.341763171136677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3920-404E-BB99-5A6384BD13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2930495"/>
        <c:axId val="482950655"/>
      </c:scatterChart>
      <c:valAx>
        <c:axId val="4829304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Hysteresis Index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2950655"/>
        <c:crosses val="autoZero"/>
        <c:crossBetween val="midCat"/>
      </c:valAx>
      <c:valAx>
        <c:axId val="482950655"/>
        <c:scaling>
          <c:orientation val="minMax"/>
          <c:min val="6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>
                    <a:latin typeface="Aptos" panose="020B0004020202020204" pitchFamily="34" charset="0"/>
                  </a:rPr>
                  <a:t>τ</a:t>
                </a:r>
                <a:r>
                  <a:rPr lang="en-US">
                    <a:latin typeface="Aptos" panose="020B0004020202020204" pitchFamily="34" charset="0"/>
                  </a:rPr>
                  <a:t>c50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29304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5"/>
        <c:delete val="1"/>
      </c:legendEntry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Peak</a:t>
            </a:r>
            <a:r>
              <a:rPr lang="en-US" baseline="0"/>
              <a:t> concentration </a:t>
            </a:r>
            <a:r>
              <a:rPr lang="en-US"/>
              <a:t>to </a:t>
            </a:r>
            <a:r>
              <a:rPr lang="el-GR">
                <a:latin typeface="Aptos" panose="020B0004020202020204" pitchFamily="34" charset="0"/>
              </a:rPr>
              <a:t>τ</a:t>
            </a:r>
            <a:r>
              <a:rPr lang="en-US">
                <a:latin typeface="Aptos" panose="020B0004020202020204" pitchFamily="34" charset="0"/>
              </a:rPr>
              <a:t>c50</a:t>
            </a:r>
            <a:endParaRPr lang="en-US"/>
          </a:p>
        </c:rich>
      </c:tx>
      <c:layout>
        <c:manualLayout>
          <c:xMode val="edge"/>
          <c:yMode val="edge"/>
          <c:x val="0.22332403890419142"/>
          <c:y val="5.069881176900847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8002780630430196"/>
          <c:y val="0.17753866551293604"/>
          <c:w val="0.70433153244145819"/>
          <c:h val="0.47235030385025722"/>
        </c:manualLayout>
      </c:layout>
      <c:scatterChart>
        <c:scatterStyle val="lineMarker"/>
        <c:varyColors val="0"/>
        <c:ser>
          <c:idx val="0"/>
          <c:order val="0"/>
          <c:tx>
            <c:strRef>
              <c:f>all!$A$3</c:f>
              <c:strCache>
                <c:ptCount val="1"/>
                <c:pt idx="0">
                  <c:v>SSC (mg/L)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18476531812833741"/>
                  <c:y val="-6.751058245378902E-2"/>
                </c:manualLayout>
              </c:layout>
              <c:numFmt formatCode="General" sourceLinked="0"/>
              <c:spPr>
                <a:solidFill>
                  <a:schemeClr val="tx2">
                    <a:lumMod val="10000"/>
                    <a:lumOff val="9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all!$G$7:$G$44</c:f>
              <c:numCache>
                <c:formatCode>0.00</c:formatCode>
                <c:ptCount val="38"/>
                <c:pt idx="0">
                  <c:v>57.726100000000002</c:v>
                </c:pt>
                <c:pt idx="1">
                  <c:v>49.091801670000002</c:v>
                </c:pt>
                <c:pt idx="2">
                  <c:v>187</c:v>
                </c:pt>
                <c:pt idx="4">
                  <c:v>76.153846150000007</c:v>
                </c:pt>
                <c:pt idx="5">
                  <c:v>43.2</c:v>
                </c:pt>
                <c:pt idx="6">
                  <c:v>77.894736839999993</c:v>
                </c:pt>
                <c:pt idx="7">
                  <c:v>37.6</c:v>
                </c:pt>
                <c:pt idx="9">
                  <c:v>23.15789474</c:v>
                </c:pt>
                <c:pt idx="10">
                  <c:v>23</c:v>
                </c:pt>
                <c:pt idx="14">
                  <c:v>10.34482759</c:v>
                </c:pt>
                <c:pt idx="15">
                  <c:v>26.086956520000001</c:v>
                </c:pt>
                <c:pt idx="16">
                  <c:v>8.125</c:v>
                </c:pt>
                <c:pt idx="17">
                  <c:v>12.67</c:v>
                </c:pt>
                <c:pt idx="18">
                  <c:v>42</c:v>
                </c:pt>
                <c:pt idx="21">
                  <c:v>20.666666670000001</c:v>
                </c:pt>
              </c:numCache>
            </c:numRef>
          </c:xVal>
          <c:yVal>
            <c:numRef>
              <c:f>all!$E$7:$E$44</c:f>
              <c:numCache>
                <c:formatCode>0.000</c:formatCode>
                <c:ptCount val="38"/>
                <c:pt idx="0">
                  <c:v>66.912425378311355</c:v>
                </c:pt>
                <c:pt idx="1">
                  <c:v>72.370164511034233</c:v>
                </c:pt>
                <c:pt idx="2">
                  <c:v>77.803592516854394</c:v>
                </c:pt>
                <c:pt idx="7">
                  <c:v>66.341763171136677</c:v>
                </c:pt>
                <c:pt idx="11" formatCode="General">
                  <c:v>118.22733427999999</c:v>
                </c:pt>
                <c:pt idx="12" formatCode="General">
                  <c:v>108.51115272</c:v>
                </c:pt>
                <c:pt idx="13" formatCode="General">
                  <c:v>106.97060942</c:v>
                </c:pt>
                <c:pt idx="14" formatCode="General">
                  <c:v>113.72040256</c:v>
                </c:pt>
                <c:pt idx="16" formatCode="General">
                  <c:v>112.66319882000001</c:v>
                </c:pt>
                <c:pt idx="17" formatCode="General">
                  <c:v>114.89097618</c:v>
                </c:pt>
                <c:pt idx="18" formatCode="General">
                  <c:v>116.55531655999999</c:v>
                </c:pt>
                <c:pt idx="20" formatCode="General">
                  <c:v>118.40602251999999</c:v>
                </c:pt>
                <c:pt idx="21" formatCode="General">
                  <c:v>115.75512236</c:v>
                </c:pt>
                <c:pt idx="22" formatCode="General">
                  <c:v>121.12197168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0E6-4751-8363-DFD2A887DEBF}"/>
            </c:ext>
          </c:extLst>
        </c:ser>
        <c:ser>
          <c:idx val="1"/>
          <c:order val="1"/>
          <c:tx>
            <c:strRef>
              <c:f>all!$A$67</c:f>
              <c:strCache>
                <c:ptCount val="1"/>
                <c:pt idx="0">
                  <c:v>POC (mg/L)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11874123354678187"/>
                  <c:y val="-5.3290721790768401E-2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all!$G$71:$G$79</c:f>
              <c:numCache>
                <c:formatCode>0.000</c:formatCode>
                <c:ptCount val="9"/>
                <c:pt idx="0">
                  <c:v>6.7843516800000003</c:v>
                </c:pt>
                <c:pt idx="1">
                  <c:v>5.3650916630000003</c:v>
                </c:pt>
                <c:pt idx="2">
                  <c:v>29.943162610000002</c:v>
                </c:pt>
                <c:pt idx="3">
                  <c:v>13.904999999999999</c:v>
                </c:pt>
                <c:pt idx="4">
                  <c:v>7.7779999999999996</c:v>
                </c:pt>
                <c:pt idx="5">
                  <c:v>5.5549999999999997</c:v>
                </c:pt>
                <c:pt idx="6">
                  <c:v>12.67</c:v>
                </c:pt>
                <c:pt idx="7">
                  <c:v>5.3390000000000004</c:v>
                </c:pt>
                <c:pt idx="8">
                  <c:v>5.1369999999999996</c:v>
                </c:pt>
              </c:numCache>
            </c:numRef>
          </c:xVal>
          <c:yVal>
            <c:numRef>
              <c:f>all!$E$7:$E$15</c:f>
              <c:numCache>
                <c:formatCode>0.000</c:formatCode>
                <c:ptCount val="9"/>
                <c:pt idx="0">
                  <c:v>66.912425378311355</c:v>
                </c:pt>
                <c:pt idx="1">
                  <c:v>72.370164511034233</c:v>
                </c:pt>
                <c:pt idx="2">
                  <c:v>77.803592516854394</c:v>
                </c:pt>
                <c:pt idx="7">
                  <c:v>66.341763171136677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0E6-4751-8363-DFD2A887DEBF}"/>
            </c:ext>
          </c:extLst>
        </c:ser>
        <c:ser>
          <c:idx val="2"/>
          <c:order val="2"/>
          <c:tx>
            <c:strRef>
              <c:f>all!$A$53</c:f>
              <c:strCache>
                <c:ptCount val="1"/>
                <c:pt idx="0">
                  <c:v>DOC (mg/L)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2.2608403785722094E-2"/>
                  <c:y val="0.17041071375927347"/>
                </c:manualLayout>
              </c:layout>
              <c:numFmt formatCode="General" sourceLinked="0"/>
              <c:spPr>
                <a:solidFill>
                  <a:schemeClr val="accent6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all!$G$57:$G$65</c:f>
              <c:numCache>
                <c:formatCode>0.00</c:formatCode>
                <c:ptCount val="9"/>
                <c:pt idx="0">
                  <c:v>8.6910000000000007</c:v>
                </c:pt>
                <c:pt idx="1">
                  <c:v>8.4209999999999994</c:v>
                </c:pt>
                <c:pt idx="2">
                  <c:v>5.15</c:v>
                </c:pt>
                <c:pt idx="3">
                  <c:v>8.5760000000000005</c:v>
                </c:pt>
                <c:pt idx="4">
                  <c:v>4.4729999999999999</c:v>
                </c:pt>
                <c:pt idx="5">
                  <c:v>9.9</c:v>
                </c:pt>
                <c:pt idx="6">
                  <c:v>4.2779999999999996</c:v>
                </c:pt>
                <c:pt idx="7">
                  <c:v>5.4009999999999998</c:v>
                </c:pt>
                <c:pt idx="8">
                  <c:v>8.7050000000000001</c:v>
                </c:pt>
              </c:numCache>
            </c:numRef>
          </c:xVal>
          <c:yVal>
            <c:numRef>
              <c:f>all!$E$7:$E$15</c:f>
              <c:numCache>
                <c:formatCode>0.000</c:formatCode>
                <c:ptCount val="9"/>
                <c:pt idx="0">
                  <c:v>66.912425378311355</c:v>
                </c:pt>
                <c:pt idx="1">
                  <c:v>72.370164511034233</c:v>
                </c:pt>
                <c:pt idx="2">
                  <c:v>77.803592516854394</c:v>
                </c:pt>
                <c:pt idx="7">
                  <c:v>66.341763171136677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C0E6-4751-8363-DFD2A887DE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2930495"/>
        <c:axId val="482950655"/>
      </c:scatterChart>
      <c:valAx>
        <c:axId val="482930495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Hysteresis Index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2950655"/>
        <c:crosses val="autoZero"/>
        <c:crossBetween val="midCat"/>
      </c:valAx>
      <c:valAx>
        <c:axId val="482950655"/>
        <c:scaling>
          <c:orientation val="minMax"/>
          <c:min val="6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>
                    <a:latin typeface="Aptos" panose="020B0004020202020204" pitchFamily="34" charset="0"/>
                  </a:rPr>
                  <a:t>τ</a:t>
                </a:r>
                <a:r>
                  <a:rPr lang="en-US">
                    <a:latin typeface="Aptos" panose="020B0004020202020204" pitchFamily="34" charset="0"/>
                  </a:rPr>
                  <a:t>c50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29304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Time between events to </a:t>
            </a:r>
            <a:r>
              <a:rPr lang="el-GR">
                <a:latin typeface="Aptos" panose="020B0004020202020204" pitchFamily="34" charset="0"/>
              </a:rPr>
              <a:t>τ</a:t>
            </a:r>
            <a:r>
              <a:rPr lang="en-US">
                <a:latin typeface="Aptos" panose="020B0004020202020204" pitchFamily="34" charset="0"/>
              </a:rPr>
              <a:t>c50</a:t>
            </a:r>
            <a:endParaRPr lang="en-US"/>
          </a:p>
        </c:rich>
      </c:tx>
      <c:layout>
        <c:manualLayout>
          <c:xMode val="edge"/>
          <c:yMode val="edge"/>
          <c:x val="0.22332403890419142"/>
          <c:y val="5.069881176900847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8002780630430196"/>
          <c:y val="0.17753866551293604"/>
          <c:w val="0.70433153244145819"/>
          <c:h val="0.47235030385025722"/>
        </c:manualLayout>
      </c:layout>
      <c:scatterChart>
        <c:scatterStyle val="lineMarker"/>
        <c:varyColors val="0"/>
        <c:ser>
          <c:idx val="0"/>
          <c:order val="0"/>
          <c:tx>
            <c:strRef>
              <c:f>all!$I$4</c:f>
              <c:strCache>
                <c:ptCount val="1"/>
                <c:pt idx="0">
                  <c:v>Time between events τc exceedance (hrs)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10303452077235628"/>
                  <c:y val="-6.4745163374789555E-2"/>
                </c:manualLayout>
              </c:layout>
              <c:numFmt formatCode="General" sourceLinked="0"/>
              <c:spPr>
                <a:solidFill>
                  <a:schemeClr val="tx2">
                    <a:lumMod val="10000"/>
                    <a:lumOff val="9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all!$I$8:$I$15</c:f>
              <c:numCache>
                <c:formatCode>General</c:formatCode>
                <c:ptCount val="8"/>
                <c:pt idx="0">
                  <c:v>118.5</c:v>
                </c:pt>
                <c:pt idx="1">
                  <c:v>2060.9499999999998</c:v>
                </c:pt>
                <c:pt idx="6">
                  <c:v>1130.25</c:v>
                </c:pt>
              </c:numCache>
            </c:numRef>
          </c:xVal>
          <c:yVal>
            <c:numRef>
              <c:f>all!$E$8:$E$15</c:f>
              <c:numCache>
                <c:formatCode>0.000</c:formatCode>
                <c:ptCount val="8"/>
                <c:pt idx="0">
                  <c:v>72.370164511034233</c:v>
                </c:pt>
                <c:pt idx="1">
                  <c:v>77.803592516854394</c:v>
                </c:pt>
                <c:pt idx="6">
                  <c:v>66.341763171136677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575-476E-8EA7-F7B68F7926E0}"/>
            </c:ext>
          </c:extLst>
        </c:ser>
        <c:ser>
          <c:idx val="1"/>
          <c:order val="1"/>
          <c:tx>
            <c:strRef>
              <c:f>all!$H$4</c:f>
              <c:strCache>
                <c:ptCount val="1"/>
                <c:pt idx="0">
                  <c:v>Time between events (no τc exceedance) (hrs)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29157512090199589"/>
                  <c:y val="4.0020827706107841E-2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all!$H$8:$H$15</c:f>
              <c:numCache>
                <c:formatCode>General</c:formatCode>
                <c:ptCount val="8"/>
                <c:pt idx="0">
                  <c:v>118.5</c:v>
                </c:pt>
                <c:pt idx="1">
                  <c:v>2036.95</c:v>
                </c:pt>
                <c:pt idx="3">
                  <c:v>365</c:v>
                </c:pt>
                <c:pt idx="4">
                  <c:v>365</c:v>
                </c:pt>
                <c:pt idx="5">
                  <c:v>351.5</c:v>
                </c:pt>
                <c:pt idx="6">
                  <c:v>413.75</c:v>
                </c:pt>
              </c:numCache>
            </c:numRef>
          </c:xVal>
          <c:yVal>
            <c:numRef>
              <c:f>all!$E$8:$E$15</c:f>
              <c:numCache>
                <c:formatCode>0.000</c:formatCode>
                <c:ptCount val="8"/>
                <c:pt idx="0">
                  <c:v>72.370164511034233</c:v>
                </c:pt>
                <c:pt idx="1">
                  <c:v>77.803592516854394</c:v>
                </c:pt>
                <c:pt idx="6">
                  <c:v>66.341763171136677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575-476E-8EA7-F7B68F7926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2930495"/>
        <c:axId val="482950655"/>
      </c:scatterChart>
      <c:valAx>
        <c:axId val="482930495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Hysteresis Index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2950655"/>
        <c:crosses val="autoZero"/>
        <c:crossBetween val="midCat"/>
      </c:valAx>
      <c:valAx>
        <c:axId val="482950655"/>
        <c:scaling>
          <c:orientation val="minMax"/>
          <c:min val="6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>
                    <a:latin typeface="Aptos" panose="020B0004020202020204" pitchFamily="34" charset="0"/>
                  </a:rPr>
                  <a:t>τ</a:t>
                </a:r>
                <a:r>
                  <a:rPr lang="en-US">
                    <a:latin typeface="Aptos" panose="020B0004020202020204" pitchFamily="34" charset="0"/>
                  </a:rPr>
                  <a:t>c50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29304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2"/>
        <c:delete val="1"/>
      </c:legendEntry>
      <c:legendEntry>
        <c:idx val="3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SSC HI to </a:t>
            </a:r>
            <a:r>
              <a:rPr lang="el-GR">
                <a:latin typeface="Aptos" panose="020B0004020202020204" pitchFamily="34" charset="0"/>
              </a:rPr>
              <a:t>τ</a:t>
            </a:r>
            <a:r>
              <a:rPr lang="en-US">
                <a:latin typeface="Aptos" panose="020B0004020202020204" pitchFamily="34" charset="0"/>
              </a:rPr>
              <a:t>c25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all!$B$4</c:f>
              <c:strCache>
                <c:ptCount val="1"/>
                <c:pt idx="0">
                  <c:v>Langlois (2005)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18476531812833741"/>
                  <c:y val="-6.751058245378902E-2"/>
                </c:manualLayout>
              </c:layout>
              <c:numFmt formatCode="General" sourceLinked="0"/>
              <c:spPr>
                <a:solidFill>
                  <a:schemeClr val="tx2">
                    <a:lumMod val="10000"/>
                    <a:lumOff val="9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all!$B$7:$B$15</c:f>
              <c:numCache>
                <c:formatCode>0.00000</c:formatCode>
                <c:ptCount val="9"/>
                <c:pt idx="0">
                  <c:v>2.1746388039620901</c:v>
                </c:pt>
                <c:pt idx="1">
                  <c:v>2.2792285281778502</c:v>
                </c:pt>
                <c:pt idx="2">
                  <c:v>1.4480475262282899</c:v>
                </c:pt>
                <c:pt idx="5">
                  <c:v>1.48474411958353</c:v>
                </c:pt>
                <c:pt idx="6">
                  <c:v>1.6588389001163999</c:v>
                </c:pt>
                <c:pt idx="7">
                  <c:v>0.665445371933445</c:v>
                </c:pt>
              </c:numCache>
            </c:numRef>
          </c:xVal>
          <c:yVal>
            <c:numRef>
              <c:f>all!$F$7:$F$15</c:f>
              <c:numCache>
                <c:formatCode>0.000</c:formatCode>
                <c:ptCount val="9"/>
                <c:pt idx="0">
                  <c:v>64.048876322946043</c:v>
                </c:pt>
                <c:pt idx="1">
                  <c:v>69.142603119806424</c:v>
                </c:pt>
                <c:pt idx="2">
                  <c:v>69.014990506950269</c:v>
                </c:pt>
                <c:pt idx="7">
                  <c:v>64.242932047955975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658-4E06-BC29-CAFE10240563}"/>
            </c:ext>
          </c:extLst>
        </c:ser>
        <c:ser>
          <c:idx val="1"/>
          <c:order val="1"/>
          <c:tx>
            <c:strRef>
              <c:f>all!$C$4</c:f>
              <c:strCache>
                <c:ptCount val="1"/>
                <c:pt idx="0">
                  <c:v>Lawler (2006)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12177455512676828"/>
                  <c:y val="-0.10124942333388311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all!$C$7:$C$15</c:f>
              <c:numCache>
                <c:formatCode>0.00000</c:formatCode>
                <c:ptCount val="9"/>
                <c:pt idx="0">
                  <c:v>0.90358482744648005</c:v>
                </c:pt>
                <c:pt idx="1">
                  <c:v>0.663434225775831</c:v>
                </c:pt>
                <c:pt idx="2">
                  <c:v>0.66475177086608195</c:v>
                </c:pt>
                <c:pt idx="5">
                  <c:v>0.55431906321323399</c:v>
                </c:pt>
                <c:pt idx="6">
                  <c:v>0.49497785634638802</c:v>
                </c:pt>
                <c:pt idx="7">
                  <c:v>-1.0305451800868599</c:v>
                </c:pt>
              </c:numCache>
            </c:numRef>
          </c:xVal>
          <c:yVal>
            <c:numRef>
              <c:f>all!$F$7:$F$15</c:f>
              <c:numCache>
                <c:formatCode>0.000</c:formatCode>
                <c:ptCount val="9"/>
                <c:pt idx="0">
                  <c:v>64.048876322946043</c:v>
                </c:pt>
                <c:pt idx="1">
                  <c:v>69.142603119806424</c:v>
                </c:pt>
                <c:pt idx="2">
                  <c:v>69.014990506950269</c:v>
                </c:pt>
                <c:pt idx="7">
                  <c:v>64.242932047955975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658-4E06-BC29-CAFE10240563}"/>
            </c:ext>
          </c:extLst>
        </c:ser>
        <c:ser>
          <c:idx val="2"/>
          <c:order val="2"/>
          <c:tx>
            <c:strRef>
              <c:f>all!$D$4</c:f>
              <c:strCache>
                <c:ptCount val="1"/>
                <c:pt idx="0">
                  <c:v>Aich (2014) 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2.8783233974783884E-2"/>
                  <c:y val="-4.2827867056449136E-2"/>
                </c:manualLayout>
              </c:layout>
              <c:numFmt formatCode="General" sourceLinked="0"/>
              <c:spPr>
                <a:solidFill>
                  <a:schemeClr val="accent6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all!$D$7:$D$15</c:f>
              <c:numCache>
                <c:formatCode>0.00000</c:formatCode>
                <c:ptCount val="9"/>
                <c:pt idx="0">
                  <c:v>0.17369777575697301</c:v>
                </c:pt>
                <c:pt idx="1">
                  <c:v>9.9143945152060597E-2</c:v>
                </c:pt>
                <c:pt idx="2">
                  <c:v>0.21234239309632399</c:v>
                </c:pt>
                <c:pt idx="5">
                  <c:v>0.36516163611226798</c:v>
                </c:pt>
                <c:pt idx="6">
                  <c:v>4.1333778886518201E-2</c:v>
                </c:pt>
                <c:pt idx="7">
                  <c:v>-4.1760232547360499E-2</c:v>
                </c:pt>
              </c:numCache>
            </c:numRef>
          </c:xVal>
          <c:yVal>
            <c:numRef>
              <c:f>all!$F$7:$F$15</c:f>
              <c:numCache>
                <c:formatCode>0.000</c:formatCode>
                <c:ptCount val="9"/>
                <c:pt idx="0">
                  <c:v>64.048876322946043</c:v>
                </c:pt>
                <c:pt idx="1">
                  <c:v>69.142603119806424</c:v>
                </c:pt>
                <c:pt idx="2">
                  <c:v>69.014990506950269</c:v>
                </c:pt>
                <c:pt idx="7">
                  <c:v>64.242932047955975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C658-4E06-BC29-CAFE102405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2930495"/>
        <c:axId val="482950655"/>
      </c:scatterChart>
      <c:valAx>
        <c:axId val="4829304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Hysteresis Index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2950655"/>
        <c:crosses val="autoZero"/>
        <c:crossBetween val="midCat"/>
      </c:valAx>
      <c:valAx>
        <c:axId val="482950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>
                    <a:latin typeface="Aptos" panose="020B0004020202020204" pitchFamily="34" charset="0"/>
                  </a:rPr>
                  <a:t>τ</a:t>
                </a:r>
                <a:r>
                  <a:rPr lang="en-US">
                    <a:latin typeface="Aptos" panose="020B0004020202020204" pitchFamily="34" charset="0"/>
                  </a:rPr>
                  <a:t>c50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29304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DOC HI to </a:t>
            </a:r>
            <a:r>
              <a:rPr lang="el-GR">
                <a:latin typeface="Aptos" panose="020B0004020202020204" pitchFamily="34" charset="0"/>
              </a:rPr>
              <a:t>τ</a:t>
            </a:r>
            <a:r>
              <a:rPr lang="en-US">
                <a:latin typeface="Aptos" panose="020B0004020202020204" pitchFamily="34" charset="0"/>
              </a:rPr>
              <a:t>c25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all!$B$4</c:f>
              <c:strCache>
                <c:ptCount val="1"/>
                <c:pt idx="0">
                  <c:v>Langlois (2005)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18476531812833741"/>
                  <c:y val="-6.751058245378902E-2"/>
                </c:manualLayout>
              </c:layout>
              <c:numFmt formatCode="General" sourceLinked="0"/>
              <c:spPr>
                <a:solidFill>
                  <a:schemeClr val="tx2">
                    <a:lumMod val="10000"/>
                    <a:lumOff val="9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all!$B$57:$B$65</c:f>
              <c:numCache>
                <c:formatCode>0.00000</c:formatCode>
                <c:ptCount val="9"/>
                <c:pt idx="0">
                  <c:v>0.93103098270545204</c:v>
                </c:pt>
                <c:pt idx="1">
                  <c:v>0.62021758140125105</c:v>
                </c:pt>
                <c:pt idx="2">
                  <c:v>0.77501210984665403</c:v>
                </c:pt>
                <c:pt idx="3">
                  <c:v>1.0770799229366299</c:v>
                </c:pt>
                <c:pt idx="5">
                  <c:v>1.69896635753922</c:v>
                </c:pt>
                <c:pt idx="6">
                  <c:v>0.68980819676752303</c:v>
                </c:pt>
                <c:pt idx="7">
                  <c:v>0.66267278810022201</c:v>
                </c:pt>
                <c:pt idx="8">
                  <c:v>1.6537701478523501</c:v>
                </c:pt>
              </c:numCache>
            </c:numRef>
          </c:xVal>
          <c:yVal>
            <c:numRef>
              <c:f>all!$F$57:$F$65</c:f>
              <c:numCache>
                <c:formatCode>0.000</c:formatCode>
                <c:ptCount val="9"/>
                <c:pt idx="0">
                  <c:v>64.048876322946043</c:v>
                </c:pt>
                <c:pt idx="1">
                  <c:v>69.142603119806424</c:v>
                </c:pt>
                <c:pt idx="2">
                  <c:v>69.014990506950269</c:v>
                </c:pt>
                <c:pt idx="3">
                  <c:v>69.014990506950269</c:v>
                </c:pt>
                <c:pt idx="7">
                  <c:v>64.242932047955975</c:v>
                </c:pt>
                <c:pt idx="8">
                  <c:v>64.242932047955975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F57-4BE7-9E8D-654918B38145}"/>
            </c:ext>
          </c:extLst>
        </c:ser>
        <c:ser>
          <c:idx val="1"/>
          <c:order val="1"/>
          <c:tx>
            <c:strRef>
              <c:f>all!$C$4</c:f>
              <c:strCache>
                <c:ptCount val="1"/>
                <c:pt idx="0">
                  <c:v>Lawler (2006)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5.301004615802335E-2"/>
                  <c:y val="-0.2217246886692355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all!$C$57:$C$65</c:f>
              <c:numCache>
                <c:formatCode>0.00000</c:formatCode>
                <c:ptCount val="9"/>
                <c:pt idx="0">
                  <c:v>0.356634245125801</c:v>
                </c:pt>
                <c:pt idx="1">
                  <c:v>-0.834312574960141</c:v>
                </c:pt>
                <c:pt idx="2">
                  <c:v>-0.908415578463458</c:v>
                </c:pt>
                <c:pt idx="3">
                  <c:v>0.64255712913469198</c:v>
                </c:pt>
                <c:pt idx="5">
                  <c:v>1.0004694412552899</c:v>
                </c:pt>
                <c:pt idx="6">
                  <c:v>-0.62247408500113799</c:v>
                </c:pt>
                <c:pt idx="7">
                  <c:v>-1.0273129897173701</c:v>
                </c:pt>
                <c:pt idx="8">
                  <c:v>0.384403035464087</c:v>
                </c:pt>
              </c:numCache>
            </c:numRef>
          </c:xVal>
          <c:yVal>
            <c:numRef>
              <c:f>all!$F$57:$F$65</c:f>
              <c:numCache>
                <c:formatCode>0.000</c:formatCode>
                <c:ptCount val="9"/>
                <c:pt idx="0">
                  <c:v>64.048876322946043</c:v>
                </c:pt>
                <c:pt idx="1">
                  <c:v>69.142603119806424</c:v>
                </c:pt>
                <c:pt idx="2">
                  <c:v>69.014990506950269</c:v>
                </c:pt>
                <c:pt idx="3">
                  <c:v>69.014990506950269</c:v>
                </c:pt>
                <c:pt idx="7">
                  <c:v>64.242932047955975</c:v>
                </c:pt>
                <c:pt idx="8">
                  <c:v>64.242932047955975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F57-4BE7-9E8D-654918B38145}"/>
            </c:ext>
          </c:extLst>
        </c:ser>
        <c:ser>
          <c:idx val="2"/>
          <c:order val="2"/>
          <c:tx>
            <c:strRef>
              <c:f>all!$D$4</c:f>
              <c:strCache>
                <c:ptCount val="1"/>
                <c:pt idx="0">
                  <c:v>Aich (2014) 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26414851221734725"/>
                  <c:y val="4.1566727236018574E-3"/>
                </c:manualLayout>
              </c:layout>
              <c:numFmt formatCode="General" sourceLinked="0"/>
              <c:spPr>
                <a:solidFill>
                  <a:schemeClr val="accent6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all!$D$57:$D$65</c:f>
              <c:numCache>
                <c:formatCode>0.00000</c:formatCode>
                <c:ptCount val="9"/>
                <c:pt idx="0">
                  <c:v>1.7836570943256701E-2</c:v>
                </c:pt>
                <c:pt idx="1">
                  <c:v>-0.54160608613664096</c:v>
                </c:pt>
                <c:pt idx="2">
                  <c:v>-0.17637365181995501</c:v>
                </c:pt>
                <c:pt idx="3">
                  <c:v>0.41389016217674901</c:v>
                </c:pt>
                <c:pt idx="5">
                  <c:v>0.39449354239977702</c:v>
                </c:pt>
                <c:pt idx="6">
                  <c:v>-0.17371472956907899</c:v>
                </c:pt>
                <c:pt idx="7">
                  <c:v>-4.74716361793363E-2</c:v>
                </c:pt>
                <c:pt idx="8">
                  <c:v>5.9760012226563401E-2</c:v>
                </c:pt>
              </c:numCache>
            </c:numRef>
          </c:xVal>
          <c:yVal>
            <c:numRef>
              <c:f>all!$F$57:$F$65</c:f>
              <c:numCache>
                <c:formatCode>0.000</c:formatCode>
                <c:ptCount val="9"/>
                <c:pt idx="0">
                  <c:v>64.048876322946043</c:v>
                </c:pt>
                <c:pt idx="1">
                  <c:v>69.142603119806424</c:v>
                </c:pt>
                <c:pt idx="2">
                  <c:v>69.014990506950269</c:v>
                </c:pt>
                <c:pt idx="3">
                  <c:v>69.014990506950269</c:v>
                </c:pt>
                <c:pt idx="7">
                  <c:v>64.242932047955975</c:v>
                </c:pt>
                <c:pt idx="8">
                  <c:v>64.242932047955975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8F57-4BE7-9E8D-654918B381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2930495"/>
        <c:axId val="482950655"/>
      </c:scatterChart>
      <c:valAx>
        <c:axId val="4829304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Hysteresis Index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2950655"/>
        <c:crosses val="autoZero"/>
        <c:crossBetween val="midCat"/>
      </c:valAx>
      <c:valAx>
        <c:axId val="482950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>
                    <a:latin typeface="Aptos" panose="020B0004020202020204" pitchFamily="34" charset="0"/>
                  </a:rPr>
                  <a:t>τ</a:t>
                </a:r>
                <a:r>
                  <a:rPr lang="en-US">
                    <a:latin typeface="Aptos" panose="020B0004020202020204" pitchFamily="34" charset="0"/>
                  </a:rPr>
                  <a:t>c50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29304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POC</a:t>
            </a:r>
            <a:r>
              <a:rPr lang="en-US" baseline="0"/>
              <a:t> </a:t>
            </a:r>
            <a:r>
              <a:rPr lang="en-US"/>
              <a:t>HI to </a:t>
            </a:r>
            <a:r>
              <a:rPr lang="el-GR">
                <a:latin typeface="Aptos" panose="020B0004020202020204" pitchFamily="34" charset="0"/>
              </a:rPr>
              <a:t>τ</a:t>
            </a:r>
            <a:r>
              <a:rPr lang="en-US">
                <a:latin typeface="Aptos" panose="020B0004020202020204" pitchFamily="34" charset="0"/>
              </a:rPr>
              <a:t>c25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all!$B$4</c:f>
              <c:strCache>
                <c:ptCount val="1"/>
                <c:pt idx="0">
                  <c:v>Langlois (2005)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18476531812833741"/>
                  <c:y val="-6.751058245378902E-2"/>
                </c:manualLayout>
              </c:layout>
              <c:numFmt formatCode="General" sourceLinked="0"/>
              <c:spPr>
                <a:solidFill>
                  <a:schemeClr val="tx2">
                    <a:lumMod val="10000"/>
                    <a:lumOff val="9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all!$B$71:$B$79</c:f>
              <c:numCache>
                <c:formatCode>0.00000</c:formatCode>
                <c:ptCount val="9"/>
                <c:pt idx="0">
                  <c:v>1.5737102771314899</c:v>
                </c:pt>
                <c:pt idx="1">
                  <c:v>1.50347635019633</c:v>
                </c:pt>
                <c:pt idx="2">
                  <c:v>1.46809780024647</c:v>
                </c:pt>
                <c:pt idx="3">
                  <c:v>1.29322320004102</c:v>
                </c:pt>
                <c:pt idx="5">
                  <c:v>1.2870368477726899</c:v>
                </c:pt>
                <c:pt idx="6">
                  <c:v>1.3490789487664501</c:v>
                </c:pt>
                <c:pt idx="7">
                  <c:v>0.56520265738304298</c:v>
                </c:pt>
                <c:pt idx="8">
                  <c:v>0.82233612818652901</c:v>
                </c:pt>
              </c:numCache>
            </c:numRef>
          </c:xVal>
          <c:yVal>
            <c:numRef>
              <c:f>all!$F$71:$F$79</c:f>
              <c:numCache>
                <c:formatCode>0.000</c:formatCode>
                <c:ptCount val="9"/>
                <c:pt idx="0">
                  <c:v>64.048876322946043</c:v>
                </c:pt>
                <c:pt idx="1">
                  <c:v>69.142603119806424</c:v>
                </c:pt>
                <c:pt idx="2">
                  <c:v>69.014990506950269</c:v>
                </c:pt>
                <c:pt idx="3">
                  <c:v>69.014990506950269</c:v>
                </c:pt>
                <c:pt idx="7">
                  <c:v>64.242932047955975</c:v>
                </c:pt>
                <c:pt idx="8">
                  <c:v>64.242932047955975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D33-44D7-BA43-852A6E0E3E62}"/>
            </c:ext>
          </c:extLst>
        </c:ser>
        <c:ser>
          <c:idx val="1"/>
          <c:order val="1"/>
          <c:tx>
            <c:strRef>
              <c:f>all!$C$4</c:f>
              <c:strCache>
                <c:ptCount val="1"/>
                <c:pt idx="0">
                  <c:v>Lawler (2006)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8.1981386533030887E-2"/>
                  <c:y val="-0.14944074298405008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all!$C$71:$C$79</c:f>
              <c:numCache>
                <c:formatCode>0.00000</c:formatCode>
                <c:ptCount val="9"/>
                <c:pt idx="0">
                  <c:v>0.86635228697468503</c:v>
                </c:pt>
                <c:pt idx="1">
                  <c:v>0.96614890517595997</c:v>
                </c:pt>
                <c:pt idx="2">
                  <c:v>0.61110995616383801</c:v>
                </c:pt>
                <c:pt idx="3">
                  <c:v>0.43470959470339599</c:v>
                </c:pt>
                <c:pt idx="5">
                  <c:v>0.29324836284144801</c:v>
                </c:pt>
                <c:pt idx="6">
                  <c:v>0.20911471061197601</c:v>
                </c:pt>
                <c:pt idx="7">
                  <c:v>-1.0275595596207601</c:v>
                </c:pt>
                <c:pt idx="8">
                  <c:v>-0.50591021290758598</c:v>
                </c:pt>
              </c:numCache>
            </c:numRef>
          </c:xVal>
          <c:yVal>
            <c:numRef>
              <c:f>all!$F$71:$F$79</c:f>
              <c:numCache>
                <c:formatCode>0.000</c:formatCode>
                <c:ptCount val="9"/>
                <c:pt idx="0">
                  <c:v>64.048876322946043</c:v>
                </c:pt>
                <c:pt idx="1">
                  <c:v>69.142603119806424</c:v>
                </c:pt>
                <c:pt idx="2">
                  <c:v>69.014990506950269</c:v>
                </c:pt>
                <c:pt idx="3">
                  <c:v>69.014990506950269</c:v>
                </c:pt>
                <c:pt idx="7">
                  <c:v>64.242932047955975</c:v>
                </c:pt>
                <c:pt idx="8">
                  <c:v>64.242932047955975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D33-44D7-BA43-852A6E0E3E62}"/>
            </c:ext>
          </c:extLst>
        </c:ser>
        <c:ser>
          <c:idx val="2"/>
          <c:order val="2"/>
          <c:tx>
            <c:strRef>
              <c:f>all!$D$4</c:f>
              <c:strCache>
                <c:ptCount val="1"/>
                <c:pt idx="0">
                  <c:v>Aich (2014) 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16739725181411147"/>
                  <c:y val="1.4617672790901138E-2"/>
                </c:manualLayout>
              </c:layout>
              <c:numFmt formatCode="General" sourceLinked="0"/>
              <c:spPr>
                <a:solidFill>
                  <a:schemeClr val="accent6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all!$D$71:$D$79</c:f>
              <c:numCache>
                <c:formatCode>0.00000</c:formatCode>
                <c:ptCount val="9"/>
                <c:pt idx="0">
                  <c:v>0.199680501000808</c:v>
                </c:pt>
                <c:pt idx="1">
                  <c:v>0.12535086320927399</c:v>
                </c:pt>
                <c:pt idx="2">
                  <c:v>0.42964915677977999</c:v>
                </c:pt>
                <c:pt idx="3">
                  <c:v>0.36758406997509402</c:v>
                </c:pt>
                <c:pt idx="5">
                  <c:v>4.3375577562074601E-2</c:v>
                </c:pt>
                <c:pt idx="6">
                  <c:v>4.5262412029273197E-2</c:v>
                </c:pt>
                <c:pt idx="7">
                  <c:v>-6.6277814143714905E-2</c:v>
                </c:pt>
                <c:pt idx="8">
                  <c:v>-0.161754895727207</c:v>
                </c:pt>
              </c:numCache>
            </c:numRef>
          </c:xVal>
          <c:yVal>
            <c:numRef>
              <c:f>all!$F$71:$F$79</c:f>
              <c:numCache>
                <c:formatCode>0.000</c:formatCode>
                <c:ptCount val="9"/>
                <c:pt idx="0">
                  <c:v>64.048876322946043</c:v>
                </c:pt>
                <c:pt idx="1">
                  <c:v>69.142603119806424</c:v>
                </c:pt>
                <c:pt idx="2">
                  <c:v>69.014990506950269</c:v>
                </c:pt>
                <c:pt idx="3">
                  <c:v>69.014990506950269</c:v>
                </c:pt>
                <c:pt idx="7">
                  <c:v>64.242932047955975</c:v>
                </c:pt>
                <c:pt idx="8">
                  <c:v>64.242932047955975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CD33-44D7-BA43-852A6E0E3E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2930495"/>
        <c:axId val="482950655"/>
      </c:scatterChart>
      <c:valAx>
        <c:axId val="4829304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Hysteresis Index</a:t>
                </a:r>
              </a:p>
            </c:rich>
          </c:tx>
          <c:layout>
            <c:manualLayout>
              <c:xMode val="edge"/>
              <c:yMode val="edge"/>
              <c:x val="0.43718039872581271"/>
              <c:y val="0.7483068847163335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2950655"/>
        <c:crosses val="autoZero"/>
        <c:crossBetween val="midCat"/>
      </c:valAx>
      <c:valAx>
        <c:axId val="482950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>
                    <a:latin typeface="Aptos" panose="020B0004020202020204" pitchFamily="34" charset="0"/>
                  </a:rPr>
                  <a:t>τ</a:t>
                </a:r>
                <a:r>
                  <a:rPr lang="en-US">
                    <a:latin typeface="Aptos" panose="020B0004020202020204" pitchFamily="34" charset="0"/>
                  </a:rPr>
                  <a:t>c50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29304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Peak</a:t>
            </a:r>
            <a:r>
              <a:rPr lang="en-US" baseline="0"/>
              <a:t> concentration </a:t>
            </a:r>
            <a:r>
              <a:rPr lang="en-US"/>
              <a:t>to </a:t>
            </a:r>
            <a:r>
              <a:rPr lang="el-GR">
                <a:latin typeface="Aptos" panose="020B0004020202020204" pitchFamily="34" charset="0"/>
              </a:rPr>
              <a:t>τ</a:t>
            </a:r>
            <a:r>
              <a:rPr lang="en-US">
                <a:latin typeface="Aptos" panose="020B0004020202020204" pitchFamily="34" charset="0"/>
              </a:rPr>
              <a:t>c25</a:t>
            </a:r>
            <a:endParaRPr lang="en-US"/>
          </a:p>
        </c:rich>
      </c:tx>
      <c:layout>
        <c:manualLayout>
          <c:xMode val="edge"/>
          <c:yMode val="edge"/>
          <c:x val="0.22332403890419142"/>
          <c:y val="5.069881176900847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8002780630430196"/>
          <c:y val="0.17753866551293604"/>
          <c:w val="0.70433153244145819"/>
          <c:h val="0.47235030385025722"/>
        </c:manualLayout>
      </c:layout>
      <c:scatterChart>
        <c:scatterStyle val="lineMarker"/>
        <c:varyColors val="0"/>
        <c:ser>
          <c:idx val="0"/>
          <c:order val="0"/>
          <c:tx>
            <c:strRef>
              <c:f>all!$A$3</c:f>
              <c:strCache>
                <c:ptCount val="1"/>
                <c:pt idx="0">
                  <c:v>SSC (mg/L)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18476531812833741"/>
                  <c:y val="-6.751058245378902E-2"/>
                </c:manualLayout>
              </c:layout>
              <c:numFmt formatCode="General" sourceLinked="0"/>
              <c:spPr>
                <a:solidFill>
                  <a:schemeClr val="tx2">
                    <a:lumMod val="10000"/>
                    <a:lumOff val="9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all!$G$7:$G$15</c:f>
              <c:numCache>
                <c:formatCode>0.00</c:formatCode>
                <c:ptCount val="9"/>
                <c:pt idx="0">
                  <c:v>57.726100000000002</c:v>
                </c:pt>
                <c:pt idx="1">
                  <c:v>49.091801670000002</c:v>
                </c:pt>
                <c:pt idx="2">
                  <c:v>187</c:v>
                </c:pt>
                <c:pt idx="4">
                  <c:v>76.153846150000007</c:v>
                </c:pt>
                <c:pt idx="5">
                  <c:v>43.2</c:v>
                </c:pt>
                <c:pt idx="6">
                  <c:v>77.894736839999993</c:v>
                </c:pt>
                <c:pt idx="7">
                  <c:v>37.6</c:v>
                </c:pt>
              </c:numCache>
            </c:numRef>
          </c:xVal>
          <c:yVal>
            <c:numRef>
              <c:f>all!$F$7:$F$15</c:f>
              <c:numCache>
                <c:formatCode>0.000</c:formatCode>
                <c:ptCount val="9"/>
                <c:pt idx="0">
                  <c:v>64.048876322946043</c:v>
                </c:pt>
                <c:pt idx="1">
                  <c:v>69.142603119806424</c:v>
                </c:pt>
                <c:pt idx="2">
                  <c:v>69.014990506950269</c:v>
                </c:pt>
                <c:pt idx="7">
                  <c:v>64.242932047955975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EC4-4683-BD9C-975B94979B38}"/>
            </c:ext>
          </c:extLst>
        </c:ser>
        <c:ser>
          <c:idx val="1"/>
          <c:order val="1"/>
          <c:tx>
            <c:strRef>
              <c:f>all!$A$67</c:f>
              <c:strCache>
                <c:ptCount val="1"/>
                <c:pt idx="0">
                  <c:v>POC (mg/L)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11874123354678187"/>
                  <c:y val="-5.3290721790768401E-2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all!$G$71:$G$79</c:f>
              <c:numCache>
                <c:formatCode>0.000</c:formatCode>
                <c:ptCount val="9"/>
                <c:pt idx="0">
                  <c:v>6.7843516800000003</c:v>
                </c:pt>
                <c:pt idx="1">
                  <c:v>5.3650916630000003</c:v>
                </c:pt>
                <c:pt idx="2">
                  <c:v>29.943162610000002</c:v>
                </c:pt>
                <c:pt idx="3">
                  <c:v>13.904999999999999</c:v>
                </c:pt>
                <c:pt idx="4">
                  <c:v>7.7779999999999996</c:v>
                </c:pt>
                <c:pt idx="5">
                  <c:v>5.5549999999999997</c:v>
                </c:pt>
                <c:pt idx="6">
                  <c:v>12.67</c:v>
                </c:pt>
                <c:pt idx="7">
                  <c:v>5.3390000000000004</c:v>
                </c:pt>
                <c:pt idx="8">
                  <c:v>5.1369999999999996</c:v>
                </c:pt>
              </c:numCache>
            </c:numRef>
          </c:xVal>
          <c:yVal>
            <c:numRef>
              <c:f>all!$F$7:$F$15</c:f>
              <c:numCache>
                <c:formatCode>0.000</c:formatCode>
                <c:ptCount val="9"/>
                <c:pt idx="0">
                  <c:v>64.048876322946043</c:v>
                </c:pt>
                <c:pt idx="1">
                  <c:v>69.142603119806424</c:v>
                </c:pt>
                <c:pt idx="2">
                  <c:v>69.014990506950269</c:v>
                </c:pt>
                <c:pt idx="7">
                  <c:v>64.242932047955975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EC4-4683-BD9C-975B94979B38}"/>
            </c:ext>
          </c:extLst>
        </c:ser>
        <c:ser>
          <c:idx val="2"/>
          <c:order val="2"/>
          <c:tx>
            <c:strRef>
              <c:f>all!$A$53</c:f>
              <c:strCache>
                <c:ptCount val="1"/>
                <c:pt idx="0">
                  <c:v>DOC (mg/L)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2.2608403785722094E-2"/>
                  <c:y val="0.17041071375927347"/>
                </c:manualLayout>
              </c:layout>
              <c:numFmt formatCode="General" sourceLinked="0"/>
              <c:spPr>
                <a:solidFill>
                  <a:schemeClr val="accent6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all!$G$57:$G$65</c:f>
              <c:numCache>
                <c:formatCode>0.00</c:formatCode>
                <c:ptCount val="9"/>
                <c:pt idx="0">
                  <c:v>8.6910000000000007</c:v>
                </c:pt>
                <c:pt idx="1">
                  <c:v>8.4209999999999994</c:v>
                </c:pt>
                <c:pt idx="2">
                  <c:v>5.15</c:v>
                </c:pt>
                <c:pt idx="3">
                  <c:v>8.5760000000000005</c:v>
                </c:pt>
                <c:pt idx="4">
                  <c:v>4.4729999999999999</c:v>
                </c:pt>
                <c:pt idx="5">
                  <c:v>9.9</c:v>
                </c:pt>
                <c:pt idx="6">
                  <c:v>4.2779999999999996</c:v>
                </c:pt>
                <c:pt idx="7">
                  <c:v>5.4009999999999998</c:v>
                </c:pt>
                <c:pt idx="8">
                  <c:v>8.7050000000000001</c:v>
                </c:pt>
              </c:numCache>
            </c:numRef>
          </c:xVal>
          <c:yVal>
            <c:numRef>
              <c:f>all!$F$7:$F$15</c:f>
              <c:numCache>
                <c:formatCode>0.000</c:formatCode>
                <c:ptCount val="9"/>
                <c:pt idx="0">
                  <c:v>64.048876322946043</c:v>
                </c:pt>
                <c:pt idx="1">
                  <c:v>69.142603119806424</c:v>
                </c:pt>
                <c:pt idx="2">
                  <c:v>69.014990506950269</c:v>
                </c:pt>
                <c:pt idx="7">
                  <c:v>64.242932047955975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DEC4-4683-BD9C-975B94979B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2930495"/>
        <c:axId val="482950655"/>
      </c:scatterChart>
      <c:valAx>
        <c:axId val="482930495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Hysteresis Index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2950655"/>
        <c:crosses val="autoZero"/>
        <c:crossBetween val="midCat"/>
      </c:valAx>
      <c:valAx>
        <c:axId val="482950655"/>
        <c:scaling>
          <c:orientation val="minMax"/>
          <c:min val="6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>
                    <a:latin typeface="Aptos" panose="020B0004020202020204" pitchFamily="34" charset="0"/>
                  </a:rPr>
                  <a:t>τ</a:t>
                </a:r>
                <a:r>
                  <a:rPr lang="en-US">
                    <a:latin typeface="Aptos" panose="020B0004020202020204" pitchFamily="34" charset="0"/>
                  </a:rPr>
                  <a:t>c50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29304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Time between events to </a:t>
            </a:r>
            <a:r>
              <a:rPr lang="el-GR">
                <a:latin typeface="Aptos" panose="020B0004020202020204" pitchFamily="34" charset="0"/>
              </a:rPr>
              <a:t>τ</a:t>
            </a:r>
            <a:r>
              <a:rPr lang="en-US">
                <a:latin typeface="Aptos" panose="020B0004020202020204" pitchFamily="34" charset="0"/>
              </a:rPr>
              <a:t>c25</a:t>
            </a:r>
            <a:endParaRPr lang="en-US"/>
          </a:p>
        </c:rich>
      </c:tx>
      <c:layout>
        <c:manualLayout>
          <c:xMode val="edge"/>
          <c:yMode val="edge"/>
          <c:x val="0.22332403890419142"/>
          <c:y val="5.069881176900847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8002780630430196"/>
          <c:y val="0.17753866551293604"/>
          <c:w val="0.70433153244145819"/>
          <c:h val="0.47235030385025722"/>
        </c:manualLayout>
      </c:layout>
      <c:scatterChart>
        <c:scatterStyle val="lineMarker"/>
        <c:varyColors val="0"/>
        <c:ser>
          <c:idx val="0"/>
          <c:order val="0"/>
          <c:tx>
            <c:strRef>
              <c:f>all!$I$4</c:f>
              <c:strCache>
                <c:ptCount val="1"/>
                <c:pt idx="0">
                  <c:v>Time between events τc exceedance (hrs)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10303452077235628"/>
                  <c:y val="-6.4745163374789555E-2"/>
                </c:manualLayout>
              </c:layout>
              <c:numFmt formatCode="General" sourceLinked="0"/>
              <c:spPr>
                <a:solidFill>
                  <a:schemeClr val="tx2">
                    <a:lumMod val="10000"/>
                    <a:lumOff val="9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all!$I$8:$I$15</c:f>
              <c:numCache>
                <c:formatCode>General</c:formatCode>
                <c:ptCount val="8"/>
                <c:pt idx="0">
                  <c:v>118.5</c:v>
                </c:pt>
                <c:pt idx="1">
                  <c:v>2060.9499999999998</c:v>
                </c:pt>
                <c:pt idx="6">
                  <c:v>1130.25</c:v>
                </c:pt>
              </c:numCache>
            </c:numRef>
          </c:xVal>
          <c:yVal>
            <c:numRef>
              <c:f>all!$F$8:$F$15</c:f>
              <c:numCache>
                <c:formatCode>0.000</c:formatCode>
                <c:ptCount val="8"/>
                <c:pt idx="0">
                  <c:v>69.142603119806424</c:v>
                </c:pt>
                <c:pt idx="1">
                  <c:v>69.014990506950269</c:v>
                </c:pt>
                <c:pt idx="6">
                  <c:v>64.242932047955975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D15-4D58-8797-E14C6EC698AB}"/>
            </c:ext>
          </c:extLst>
        </c:ser>
        <c:ser>
          <c:idx val="1"/>
          <c:order val="1"/>
          <c:tx>
            <c:strRef>
              <c:f>all!$H$4</c:f>
              <c:strCache>
                <c:ptCount val="1"/>
                <c:pt idx="0">
                  <c:v>Time between events (no τc exceedance) (hrs)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29157512090199589"/>
                  <c:y val="4.0020827706107841E-2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all!$H$8:$H$15</c:f>
              <c:numCache>
                <c:formatCode>General</c:formatCode>
                <c:ptCount val="8"/>
                <c:pt idx="0">
                  <c:v>118.5</c:v>
                </c:pt>
                <c:pt idx="1">
                  <c:v>2036.95</c:v>
                </c:pt>
                <c:pt idx="3">
                  <c:v>365</c:v>
                </c:pt>
                <c:pt idx="4">
                  <c:v>365</c:v>
                </c:pt>
                <c:pt idx="5">
                  <c:v>351.5</c:v>
                </c:pt>
                <c:pt idx="6">
                  <c:v>413.75</c:v>
                </c:pt>
              </c:numCache>
            </c:numRef>
          </c:xVal>
          <c:yVal>
            <c:numRef>
              <c:f>all!$F$8:$F$15</c:f>
              <c:numCache>
                <c:formatCode>0.000</c:formatCode>
                <c:ptCount val="8"/>
                <c:pt idx="0">
                  <c:v>69.142603119806424</c:v>
                </c:pt>
                <c:pt idx="1">
                  <c:v>69.014990506950269</c:v>
                </c:pt>
                <c:pt idx="6">
                  <c:v>64.242932047955975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D15-4D58-8797-E14C6EC698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2930495"/>
        <c:axId val="482950655"/>
      </c:scatterChart>
      <c:valAx>
        <c:axId val="482930495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Hysteresis Index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2950655"/>
        <c:crosses val="autoZero"/>
        <c:crossBetween val="midCat"/>
      </c:valAx>
      <c:valAx>
        <c:axId val="482950655"/>
        <c:scaling>
          <c:orientation val="minMax"/>
          <c:min val="6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>
                    <a:latin typeface="Aptos" panose="020B0004020202020204" pitchFamily="34" charset="0"/>
                  </a:rPr>
                  <a:t>τ</a:t>
                </a:r>
                <a:r>
                  <a:rPr lang="en-US">
                    <a:latin typeface="Aptos" panose="020B0004020202020204" pitchFamily="34" charset="0"/>
                  </a:rPr>
                  <a:t>c50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29304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2"/>
        <c:delete val="1"/>
      </c:legendEntry>
      <c:legendEntry>
        <c:idx val="3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SSC HI to </a:t>
            </a:r>
            <a:r>
              <a:rPr lang="el-GR">
                <a:latin typeface="Aptos" panose="020B0004020202020204" pitchFamily="34" charset="0"/>
              </a:rPr>
              <a:t>τ</a:t>
            </a:r>
            <a:r>
              <a:rPr lang="en-US">
                <a:latin typeface="Aptos" panose="020B0004020202020204" pitchFamily="34" charset="0"/>
              </a:rPr>
              <a:t>peak/</a:t>
            </a:r>
            <a:r>
              <a:rPr lang="el-GR">
                <a:latin typeface="Aptos" panose="020B0004020202020204" pitchFamily="34" charset="0"/>
              </a:rPr>
              <a:t>τ</a:t>
            </a:r>
            <a:r>
              <a:rPr lang="en-US">
                <a:latin typeface="Aptos" panose="020B0004020202020204" pitchFamily="34" charset="0"/>
              </a:rPr>
              <a:t>c50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all!$B$4</c:f>
              <c:strCache>
                <c:ptCount val="1"/>
                <c:pt idx="0">
                  <c:v>Langlois (2005)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18476531812833741"/>
                  <c:y val="-6.751058245378902E-2"/>
                </c:manualLayout>
              </c:layout>
              <c:numFmt formatCode="General" sourceLinked="0"/>
              <c:spPr>
                <a:solidFill>
                  <a:schemeClr val="tx2">
                    <a:lumMod val="10000"/>
                    <a:lumOff val="9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all!$B$7:$B$44</c:f>
              <c:numCache>
                <c:formatCode>0.00000</c:formatCode>
                <c:ptCount val="38"/>
                <c:pt idx="0">
                  <c:v>2.1746388039620901</c:v>
                </c:pt>
                <c:pt idx="1">
                  <c:v>2.2792285281778502</c:v>
                </c:pt>
                <c:pt idx="2">
                  <c:v>1.4480475262282899</c:v>
                </c:pt>
                <c:pt idx="5">
                  <c:v>1.48474411958353</c:v>
                </c:pt>
                <c:pt idx="6">
                  <c:v>1.6588389001163999</c:v>
                </c:pt>
                <c:pt idx="7">
                  <c:v>0.665445371933445</c:v>
                </c:pt>
                <c:pt idx="9" formatCode="0.0000">
                  <c:v>1.86943505833322</c:v>
                </c:pt>
                <c:pt idx="10" formatCode="0.0000">
                  <c:v>1.3545954270153699</c:v>
                </c:pt>
                <c:pt idx="14" formatCode="0.0000">
                  <c:v>1.31746197777344</c:v>
                </c:pt>
                <c:pt idx="15" formatCode="0.0000">
                  <c:v>0.89735303995633098</c:v>
                </c:pt>
                <c:pt idx="16" formatCode="0.0000">
                  <c:v>1.39880081037808</c:v>
                </c:pt>
                <c:pt idx="17" formatCode="0.0000">
                  <c:v>1.2210038373368299</c:v>
                </c:pt>
                <c:pt idx="18" formatCode="0.0000">
                  <c:v>1.5249018262283101</c:v>
                </c:pt>
                <c:pt idx="21" formatCode="0.0000">
                  <c:v>1.36678278361715</c:v>
                </c:pt>
              </c:numCache>
            </c:numRef>
          </c:xVal>
          <c:yVal>
            <c:numRef>
              <c:f>all!$K$7:$K$44</c:f>
              <c:numCache>
                <c:formatCode>General</c:formatCode>
                <c:ptCount val="38"/>
                <c:pt idx="0">
                  <c:v>1.0628417845850735</c:v>
                </c:pt>
                <c:pt idx="1">
                  <c:v>1.0325844789064453</c:v>
                </c:pt>
                <c:pt idx="2">
                  <c:v>1.025239233557502</c:v>
                </c:pt>
                <c:pt idx="7">
                  <c:v>1.063728040781146</c:v>
                </c:pt>
                <c:pt idx="11" formatCode="0.0000">
                  <c:v>1.0078290838208943</c:v>
                </c:pt>
                <c:pt idx="12" formatCode="0.0000">
                  <c:v>1.008246697022094</c:v>
                </c:pt>
                <c:pt idx="13" formatCode="0.0000">
                  <c:v>1.0490052443540898</c:v>
                </c:pt>
                <c:pt idx="14" formatCode="0.0000">
                  <c:v>1.0119508062412015</c:v>
                </c:pt>
                <c:pt idx="16" formatCode="0.0000">
                  <c:v>1.0239451393319936</c:v>
                </c:pt>
                <c:pt idx="17" formatCode="0.0000">
                  <c:v>1.0275460447393339</c:v>
                </c:pt>
                <c:pt idx="18" formatCode="0.0000">
                  <c:v>1.0275826446035865</c:v>
                </c:pt>
                <c:pt idx="20" formatCode="0.0000">
                  <c:v>1.0572093304532362</c:v>
                </c:pt>
                <c:pt idx="21" formatCode="0.0000">
                  <c:v>1.111235100018195</c:v>
                </c:pt>
                <c:pt idx="22" formatCode="0.0000">
                  <c:v>1.0519758315193652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3A3-4932-9C0C-F1CE9CFCC9EE}"/>
            </c:ext>
          </c:extLst>
        </c:ser>
        <c:ser>
          <c:idx val="1"/>
          <c:order val="1"/>
          <c:tx>
            <c:strRef>
              <c:f>all!$C$4</c:f>
              <c:strCache>
                <c:ptCount val="1"/>
                <c:pt idx="0">
                  <c:v>Lawler (2006)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12177455512676828"/>
                  <c:y val="-0.10124942333388311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all!$C$7:$C$44</c:f>
              <c:numCache>
                <c:formatCode>0.00000</c:formatCode>
                <c:ptCount val="38"/>
                <c:pt idx="0">
                  <c:v>0.90358482744648005</c:v>
                </c:pt>
                <c:pt idx="1">
                  <c:v>0.663434225775831</c:v>
                </c:pt>
                <c:pt idx="2">
                  <c:v>0.66475177086608195</c:v>
                </c:pt>
                <c:pt idx="5">
                  <c:v>0.55431906321323399</c:v>
                </c:pt>
                <c:pt idx="6">
                  <c:v>0.49497785634638802</c:v>
                </c:pt>
                <c:pt idx="7">
                  <c:v>-1.0305451800868599</c:v>
                </c:pt>
                <c:pt idx="9" formatCode="0.0000">
                  <c:v>1.9314296164550899</c:v>
                </c:pt>
                <c:pt idx="10" formatCode="0.0000">
                  <c:v>1.0089470650494099</c:v>
                </c:pt>
                <c:pt idx="14" formatCode="0.0000">
                  <c:v>0.66698565105034602</c:v>
                </c:pt>
                <c:pt idx="15" formatCode="0.0000">
                  <c:v>0.19762137224995299</c:v>
                </c:pt>
                <c:pt idx="16" formatCode="0.0000">
                  <c:v>0.54807771119966198</c:v>
                </c:pt>
                <c:pt idx="17" formatCode="0.0000">
                  <c:v>0.10106112243990099</c:v>
                </c:pt>
                <c:pt idx="18" formatCode="0.0000">
                  <c:v>0.50902572287082404</c:v>
                </c:pt>
                <c:pt idx="21" formatCode="0.0000">
                  <c:v>0.463447965306029</c:v>
                </c:pt>
              </c:numCache>
            </c:numRef>
          </c:xVal>
          <c:yVal>
            <c:numRef>
              <c:f>all!$K$7:$K$44</c:f>
              <c:numCache>
                <c:formatCode>General</c:formatCode>
                <c:ptCount val="38"/>
                <c:pt idx="0">
                  <c:v>1.0628417845850735</c:v>
                </c:pt>
                <c:pt idx="1">
                  <c:v>1.0325844789064453</c:v>
                </c:pt>
                <c:pt idx="2">
                  <c:v>1.025239233557502</c:v>
                </c:pt>
                <c:pt idx="7">
                  <c:v>1.063728040781146</c:v>
                </c:pt>
                <c:pt idx="11" formatCode="0.0000">
                  <c:v>1.0078290838208943</c:v>
                </c:pt>
                <c:pt idx="12" formatCode="0.0000">
                  <c:v>1.008246697022094</c:v>
                </c:pt>
                <c:pt idx="13" formatCode="0.0000">
                  <c:v>1.0490052443540898</c:v>
                </c:pt>
                <c:pt idx="14" formatCode="0.0000">
                  <c:v>1.0119508062412015</c:v>
                </c:pt>
                <c:pt idx="16" formatCode="0.0000">
                  <c:v>1.0239451393319936</c:v>
                </c:pt>
                <c:pt idx="17" formatCode="0.0000">
                  <c:v>1.0275460447393339</c:v>
                </c:pt>
                <c:pt idx="18" formatCode="0.0000">
                  <c:v>1.0275826446035865</c:v>
                </c:pt>
                <c:pt idx="20" formatCode="0.0000">
                  <c:v>1.0572093304532362</c:v>
                </c:pt>
                <c:pt idx="21" formatCode="0.0000">
                  <c:v>1.111235100018195</c:v>
                </c:pt>
                <c:pt idx="22" formatCode="0.0000">
                  <c:v>1.0519758315193652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3A3-4932-9C0C-F1CE9CFCC9EE}"/>
            </c:ext>
          </c:extLst>
        </c:ser>
        <c:ser>
          <c:idx val="2"/>
          <c:order val="2"/>
          <c:tx>
            <c:strRef>
              <c:f>all!$D$4</c:f>
              <c:strCache>
                <c:ptCount val="1"/>
                <c:pt idx="0">
                  <c:v>Aich (2014) 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2.8783233974783884E-2"/>
                  <c:y val="-4.2827867056449136E-2"/>
                </c:manualLayout>
              </c:layout>
              <c:numFmt formatCode="General" sourceLinked="0"/>
              <c:spPr>
                <a:solidFill>
                  <a:schemeClr val="accent6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all!$D$7:$D$44</c:f>
              <c:numCache>
                <c:formatCode>0.00000</c:formatCode>
                <c:ptCount val="38"/>
                <c:pt idx="0">
                  <c:v>0.17369777575697301</c:v>
                </c:pt>
                <c:pt idx="1">
                  <c:v>9.9143945152060597E-2</c:v>
                </c:pt>
                <c:pt idx="2">
                  <c:v>0.21234239309632399</c:v>
                </c:pt>
                <c:pt idx="5">
                  <c:v>0.36516163611226798</c:v>
                </c:pt>
                <c:pt idx="6">
                  <c:v>4.1333778886518201E-2</c:v>
                </c:pt>
                <c:pt idx="7">
                  <c:v>-4.1760232547360499E-2</c:v>
                </c:pt>
                <c:pt idx="9" formatCode="0.0000">
                  <c:v>9.4513218106104094E-2</c:v>
                </c:pt>
                <c:pt idx="10" formatCode="0.0000">
                  <c:v>4.2663094228711902E-2</c:v>
                </c:pt>
                <c:pt idx="14" formatCode="0.0000">
                  <c:v>8.8732929175135894E-2</c:v>
                </c:pt>
                <c:pt idx="15" formatCode="0.0000">
                  <c:v>-1.9463558010346702E-2</c:v>
                </c:pt>
                <c:pt idx="16" formatCode="0.0000">
                  <c:v>0.10415722716452799</c:v>
                </c:pt>
                <c:pt idx="17" formatCode="0.0000">
                  <c:v>4.66251429291673E-2</c:v>
                </c:pt>
                <c:pt idx="18" formatCode="0.0000">
                  <c:v>9.0894558490112708E-3</c:v>
                </c:pt>
                <c:pt idx="21" formatCode="0.0000">
                  <c:v>2.0373962034653699E-2</c:v>
                </c:pt>
              </c:numCache>
            </c:numRef>
          </c:xVal>
          <c:yVal>
            <c:numRef>
              <c:f>all!$K$7:$K$44</c:f>
              <c:numCache>
                <c:formatCode>General</c:formatCode>
                <c:ptCount val="38"/>
                <c:pt idx="0">
                  <c:v>1.0628417845850735</c:v>
                </c:pt>
                <c:pt idx="1">
                  <c:v>1.0325844789064453</c:v>
                </c:pt>
                <c:pt idx="2">
                  <c:v>1.025239233557502</c:v>
                </c:pt>
                <c:pt idx="7">
                  <c:v>1.063728040781146</c:v>
                </c:pt>
                <c:pt idx="11" formatCode="0.0000">
                  <c:v>1.0078290838208943</c:v>
                </c:pt>
                <c:pt idx="12" formatCode="0.0000">
                  <c:v>1.008246697022094</c:v>
                </c:pt>
                <c:pt idx="13" formatCode="0.0000">
                  <c:v>1.0490052443540898</c:v>
                </c:pt>
                <c:pt idx="14" formatCode="0.0000">
                  <c:v>1.0119508062412015</c:v>
                </c:pt>
                <c:pt idx="16" formatCode="0.0000">
                  <c:v>1.0239451393319936</c:v>
                </c:pt>
                <c:pt idx="17" formatCode="0.0000">
                  <c:v>1.0275460447393339</c:v>
                </c:pt>
                <c:pt idx="18" formatCode="0.0000">
                  <c:v>1.0275826446035865</c:v>
                </c:pt>
                <c:pt idx="20" formatCode="0.0000">
                  <c:v>1.0572093304532362</c:v>
                </c:pt>
                <c:pt idx="21" formatCode="0.0000">
                  <c:v>1.111235100018195</c:v>
                </c:pt>
                <c:pt idx="22" formatCode="0.0000">
                  <c:v>1.0519758315193652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F3A3-4932-9C0C-F1CE9CFCC9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2930495"/>
        <c:axId val="482950655"/>
      </c:scatterChart>
      <c:valAx>
        <c:axId val="4829304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Hysteresis Index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2950655"/>
        <c:crosses val="autoZero"/>
        <c:crossBetween val="midCat"/>
      </c:valAx>
      <c:valAx>
        <c:axId val="482950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>
                    <a:latin typeface="Aptos" panose="020B0004020202020204" pitchFamily="34" charset="0"/>
                  </a:rPr>
                  <a:t>τ</a:t>
                </a:r>
                <a:r>
                  <a:rPr lang="en-US">
                    <a:latin typeface="Aptos" panose="020B0004020202020204" pitchFamily="34" charset="0"/>
                  </a:rPr>
                  <a:t>c50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29304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DOC HI to </a:t>
            </a:r>
            <a:r>
              <a:rPr lang="el-GR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ptos" panose="020B0004020202020204" pitchFamily="34" charset="0"/>
              </a:rPr>
              <a:t>τ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ptos" panose="020B0004020202020204" pitchFamily="34" charset="0"/>
              </a:rPr>
              <a:t>peak/</a:t>
            </a:r>
            <a:r>
              <a:rPr lang="el-GR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ptos" panose="020B0004020202020204" pitchFamily="34" charset="0"/>
              </a:rPr>
              <a:t>τ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ptos" panose="020B0004020202020204" pitchFamily="34" charset="0"/>
              </a:rPr>
              <a:t>c50</a:t>
            </a:r>
            <a:endParaRPr lang="en-US"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all!$B$4</c:f>
              <c:strCache>
                <c:ptCount val="1"/>
                <c:pt idx="0">
                  <c:v>Langlois (2005)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18476531812833741"/>
                  <c:y val="-6.751058245378902E-2"/>
                </c:manualLayout>
              </c:layout>
              <c:numFmt formatCode="General" sourceLinked="0"/>
              <c:spPr>
                <a:solidFill>
                  <a:schemeClr val="tx2">
                    <a:lumMod val="10000"/>
                    <a:lumOff val="9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all!$B$57:$B$65</c:f>
              <c:numCache>
                <c:formatCode>0.00000</c:formatCode>
                <c:ptCount val="9"/>
                <c:pt idx="0">
                  <c:v>0.93103098270545204</c:v>
                </c:pt>
                <c:pt idx="1">
                  <c:v>0.62021758140125105</c:v>
                </c:pt>
                <c:pt idx="2">
                  <c:v>0.77501210984665403</c:v>
                </c:pt>
                <c:pt idx="3">
                  <c:v>1.0770799229366299</c:v>
                </c:pt>
                <c:pt idx="5">
                  <c:v>1.69896635753922</c:v>
                </c:pt>
                <c:pt idx="6">
                  <c:v>0.68980819676752303</c:v>
                </c:pt>
                <c:pt idx="7">
                  <c:v>0.66267278810022201</c:v>
                </c:pt>
                <c:pt idx="8">
                  <c:v>1.6537701478523501</c:v>
                </c:pt>
              </c:numCache>
            </c:numRef>
          </c:xVal>
          <c:yVal>
            <c:numRef>
              <c:f>all!$I$57:$I$65</c:f>
              <c:numCache>
                <c:formatCode>0.000</c:formatCode>
                <c:ptCount val="9"/>
                <c:pt idx="0">
                  <c:v>1.0628417845850735</c:v>
                </c:pt>
                <c:pt idx="1">
                  <c:v>1.0325844789064453</c:v>
                </c:pt>
                <c:pt idx="2">
                  <c:v>1.025239233557502</c:v>
                </c:pt>
                <c:pt idx="3">
                  <c:v>1.025239233557502</c:v>
                </c:pt>
                <c:pt idx="7">
                  <c:v>1.063728040781146</c:v>
                </c:pt>
                <c:pt idx="8">
                  <c:v>1.063728040781146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D67-40B8-85F7-18F462AF33D3}"/>
            </c:ext>
          </c:extLst>
        </c:ser>
        <c:ser>
          <c:idx val="1"/>
          <c:order val="1"/>
          <c:tx>
            <c:strRef>
              <c:f>all!$C$4</c:f>
              <c:strCache>
                <c:ptCount val="1"/>
                <c:pt idx="0">
                  <c:v>Lawler (2006)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5.301004615802335E-2"/>
                  <c:y val="-0.2217246886692355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all!$C$57:$C$65</c:f>
              <c:numCache>
                <c:formatCode>0.00000</c:formatCode>
                <c:ptCount val="9"/>
                <c:pt idx="0">
                  <c:v>0.356634245125801</c:v>
                </c:pt>
                <c:pt idx="1">
                  <c:v>-0.834312574960141</c:v>
                </c:pt>
                <c:pt idx="2">
                  <c:v>-0.908415578463458</c:v>
                </c:pt>
                <c:pt idx="3">
                  <c:v>0.64255712913469198</c:v>
                </c:pt>
                <c:pt idx="5">
                  <c:v>1.0004694412552899</c:v>
                </c:pt>
                <c:pt idx="6">
                  <c:v>-0.62247408500113799</c:v>
                </c:pt>
                <c:pt idx="7">
                  <c:v>-1.0273129897173701</c:v>
                </c:pt>
                <c:pt idx="8">
                  <c:v>0.384403035464087</c:v>
                </c:pt>
              </c:numCache>
            </c:numRef>
          </c:xVal>
          <c:yVal>
            <c:numRef>
              <c:f>all!$I$57:$I$65</c:f>
              <c:numCache>
                <c:formatCode>0.000</c:formatCode>
                <c:ptCount val="9"/>
                <c:pt idx="0">
                  <c:v>1.0628417845850735</c:v>
                </c:pt>
                <c:pt idx="1">
                  <c:v>1.0325844789064453</c:v>
                </c:pt>
                <c:pt idx="2">
                  <c:v>1.025239233557502</c:v>
                </c:pt>
                <c:pt idx="3">
                  <c:v>1.025239233557502</c:v>
                </c:pt>
                <c:pt idx="7">
                  <c:v>1.063728040781146</c:v>
                </c:pt>
                <c:pt idx="8">
                  <c:v>1.063728040781146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D67-40B8-85F7-18F462AF33D3}"/>
            </c:ext>
          </c:extLst>
        </c:ser>
        <c:ser>
          <c:idx val="2"/>
          <c:order val="2"/>
          <c:tx>
            <c:strRef>
              <c:f>all!$D$4</c:f>
              <c:strCache>
                <c:ptCount val="1"/>
                <c:pt idx="0">
                  <c:v>Aich (2014) 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26414851221734725"/>
                  <c:y val="4.1566727236018574E-3"/>
                </c:manualLayout>
              </c:layout>
              <c:numFmt formatCode="General" sourceLinked="0"/>
              <c:spPr>
                <a:solidFill>
                  <a:schemeClr val="accent6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all!$D$57:$D$65</c:f>
              <c:numCache>
                <c:formatCode>0.00000</c:formatCode>
                <c:ptCount val="9"/>
                <c:pt idx="0">
                  <c:v>1.7836570943256701E-2</c:v>
                </c:pt>
                <c:pt idx="1">
                  <c:v>-0.54160608613664096</c:v>
                </c:pt>
                <c:pt idx="2">
                  <c:v>-0.17637365181995501</c:v>
                </c:pt>
                <c:pt idx="3">
                  <c:v>0.41389016217674901</c:v>
                </c:pt>
                <c:pt idx="5">
                  <c:v>0.39449354239977702</c:v>
                </c:pt>
                <c:pt idx="6">
                  <c:v>-0.17371472956907899</c:v>
                </c:pt>
                <c:pt idx="7">
                  <c:v>-4.74716361793363E-2</c:v>
                </c:pt>
                <c:pt idx="8">
                  <c:v>5.9760012226563401E-2</c:v>
                </c:pt>
              </c:numCache>
            </c:numRef>
          </c:xVal>
          <c:yVal>
            <c:numRef>
              <c:f>all!$I$57:$I$65</c:f>
              <c:numCache>
                <c:formatCode>0.000</c:formatCode>
                <c:ptCount val="9"/>
                <c:pt idx="0">
                  <c:v>1.0628417845850735</c:v>
                </c:pt>
                <c:pt idx="1">
                  <c:v>1.0325844789064453</c:v>
                </c:pt>
                <c:pt idx="2">
                  <c:v>1.025239233557502</c:v>
                </c:pt>
                <c:pt idx="3">
                  <c:v>1.025239233557502</c:v>
                </c:pt>
                <c:pt idx="7">
                  <c:v>1.063728040781146</c:v>
                </c:pt>
                <c:pt idx="8">
                  <c:v>1.063728040781146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D67-40B8-85F7-18F462AF33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2930495"/>
        <c:axId val="482950655"/>
      </c:scatterChart>
      <c:valAx>
        <c:axId val="4829304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Hysteresis Index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2950655"/>
        <c:crosses val="autoZero"/>
        <c:crossBetween val="midCat"/>
      </c:valAx>
      <c:valAx>
        <c:axId val="482950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>
                    <a:latin typeface="Aptos" panose="020B0004020202020204" pitchFamily="34" charset="0"/>
                  </a:rPr>
                  <a:t>τ</a:t>
                </a:r>
                <a:r>
                  <a:rPr lang="en-US">
                    <a:latin typeface="Aptos" panose="020B0004020202020204" pitchFamily="34" charset="0"/>
                  </a:rPr>
                  <a:t>c50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29304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POC HI to </a:t>
            </a:r>
            <a:r>
              <a:rPr lang="el-GR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ptos" panose="020B0004020202020204" pitchFamily="34" charset="0"/>
              </a:rPr>
              <a:t>τ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ptos" panose="020B0004020202020204" pitchFamily="34" charset="0"/>
              </a:rPr>
              <a:t>peak/</a:t>
            </a:r>
            <a:r>
              <a:rPr lang="el-GR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ptos" panose="020B0004020202020204" pitchFamily="34" charset="0"/>
              </a:rPr>
              <a:t>τ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ptos" panose="020B0004020202020204" pitchFamily="34" charset="0"/>
              </a:rPr>
              <a:t>c50</a:t>
            </a:r>
            <a:endParaRPr lang="en-US"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all!$B$4</c:f>
              <c:strCache>
                <c:ptCount val="1"/>
                <c:pt idx="0">
                  <c:v>Langlois (2005)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18476531812833741"/>
                  <c:y val="-6.751058245378902E-2"/>
                </c:manualLayout>
              </c:layout>
              <c:numFmt formatCode="General" sourceLinked="0"/>
              <c:spPr>
                <a:solidFill>
                  <a:schemeClr val="tx2">
                    <a:lumMod val="10000"/>
                    <a:lumOff val="9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all!$B$71:$B$79</c:f>
              <c:numCache>
                <c:formatCode>0.00000</c:formatCode>
                <c:ptCount val="9"/>
                <c:pt idx="0">
                  <c:v>1.5737102771314899</c:v>
                </c:pt>
                <c:pt idx="1">
                  <c:v>1.50347635019633</c:v>
                </c:pt>
                <c:pt idx="2">
                  <c:v>1.46809780024647</c:v>
                </c:pt>
                <c:pt idx="3">
                  <c:v>1.29322320004102</c:v>
                </c:pt>
                <c:pt idx="5">
                  <c:v>1.2870368477726899</c:v>
                </c:pt>
                <c:pt idx="6">
                  <c:v>1.3490789487664501</c:v>
                </c:pt>
                <c:pt idx="7">
                  <c:v>0.56520265738304298</c:v>
                </c:pt>
                <c:pt idx="8">
                  <c:v>0.82233612818652901</c:v>
                </c:pt>
              </c:numCache>
            </c:numRef>
          </c:xVal>
          <c:yVal>
            <c:numRef>
              <c:f>all!$I$57:$I$65</c:f>
              <c:numCache>
                <c:formatCode>0.000</c:formatCode>
                <c:ptCount val="9"/>
                <c:pt idx="0">
                  <c:v>1.0628417845850735</c:v>
                </c:pt>
                <c:pt idx="1">
                  <c:v>1.0325844789064453</c:v>
                </c:pt>
                <c:pt idx="2">
                  <c:v>1.025239233557502</c:v>
                </c:pt>
                <c:pt idx="3">
                  <c:v>1.025239233557502</c:v>
                </c:pt>
                <c:pt idx="7">
                  <c:v>1.063728040781146</c:v>
                </c:pt>
                <c:pt idx="8">
                  <c:v>1.063728040781146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735-4913-85D3-14942E6E6A66}"/>
            </c:ext>
          </c:extLst>
        </c:ser>
        <c:ser>
          <c:idx val="1"/>
          <c:order val="1"/>
          <c:tx>
            <c:strRef>
              <c:f>all!$C$4</c:f>
              <c:strCache>
                <c:ptCount val="1"/>
                <c:pt idx="0">
                  <c:v>Lawler (2006)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8.1981386533030887E-2"/>
                  <c:y val="-0.14944074298405008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all!$C$71:$C$79</c:f>
              <c:numCache>
                <c:formatCode>0.00000</c:formatCode>
                <c:ptCount val="9"/>
                <c:pt idx="0">
                  <c:v>0.86635228697468503</c:v>
                </c:pt>
                <c:pt idx="1">
                  <c:v>0.96614890517595997</c:v>
                </c:pt>
                <c:pt idx="2">
                  <c:v>0.61110995616383801</c:v>
                </c:pt>
                <c:pt idx="3">
                  <c:v>0.43470959470339599</c:v>
                </c:pt>
                <c:pt idx="5">
                  <c:v>0.29324836284144801</c:v>
                </c:pt>
                <c:pt idx="6">
                  <c:v>0.20911471061197601</c:v>
                </c:pt>
                <c:pt idx="7">
                  <c:v>-1.0275595596207601</c:v>
                </c:pt>
                <c:pt idx="8">
                  <c:v>-0.50591021290758598</c:v>
                </c:pt>
              </c:numCache>
            </c:numRef>
          </c:xVal>
          <c:yVal>
            <c:numRef>
              <c:f>all!$I$57:$I$65</c:f>
              <c:numCache>
                <c:formatCode>0.000</c:formatCode>
                <c:ptCount val="9"/>
                <c:pt idx="0">
                  <c:v>1.0628417845850735</c:v>
                </c:pt>
                <c:pt idx="1">
                  <c:v>1.0325844789064453</c:v>
                </c:pt>
                <c:pt idx="2">
                  <c:v>1.025239233557502</c:v>
                </c:pt>
                <c:pt idx="3">
                  <c:v>1.025239233557502</c:v>
                </c:pt>
                <c:pt idx="7">
                  <c:v>1.063728040781146</c:v>
                </c:pt>
                <c:pt idx="8">
                  <c:v>1.063728040781146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735-4913-85D3-14942E6E6A66}"/>
            </c:ext>
          </c:extLst>
        </c:ser>
        <c:ser>
          <c:idx val="2"/>
          <c:order val="2"/>
          <c:tx>
            <c:strRef>
              <c:f>all!$D$4</c:f>
              <c:strCache>
                <c:ptCount val="1"/>
                <c:pt idx="0">
                  <c:v>Aich (2014) 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16739725181411147"/>
                  <c:y val="1.4617672790901138E-2"/>
                </c:manualLayout>
              </c:layout>
              <c:numFmt formatCode="General" sourceLinked="0"/>
              <c:spPr>
                <a:solidFill>
                  <a:schemeClr val="accent6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all!$D$71:$D$79</c:f>
              <c:numCache>
                <c:formatCode>0.00000</c:formatCode>
                <c:ptCount val="9"/>
                <c:pt idx="0">
                  <c:v>0.199680501000808</c:v>
                </c:pt>
                <c:pt idx="1">
                  <c:v>0.12535086320927399</c:v>
                </c:pt>
                <c:pt idx="2">
                  <c:v>0.42964915677977999</c:v>
                </c:pt>
                <c:pt idx="3">
                  <c:v>0.36758406997509402</c:v>
                </c:pt>
                <c:pt idx="5">
                  <c:v>4.3375577562074601E-2</c:v>
                </c:pt>
                <c:pt idx="6">
                  <c:v>4.5262412029273197E-2</c:v>
                </c:pt>
                <c:pt idx="7">
                  <c:v>-6.6277814143714905E-2</c:v>
                </c:pt>
                <c:pt idx="8">
                  <c:v>-0.161754895727207</c:v>
                </c:pt>
              </c:numCache>
            </c:numRef>
          </c:xVal>
          <c:yVal>
            <c:numRef>
              <c:f>all!$I$57:$I$65</c:f>
              <c:numCache>
                <c:formatCode>0.000</c:formatCode>
                <c:ptCount val="9"/>
                <c:pt idx="0">
                  <c:v>1.0628417845850735</c:v>
                </c:pt>
                <c:pt idx="1">
                  <c:v>1.0325844789064453</c:v>
                </c:pt>
                <c:pt idx="2">
                  <c:v>1.025239233557502</c:v>
                </c:pt>
                <c:pt idx="3">
                  <c:v>1.025239233557502</c:v>
                </c:pt>
                <c:pt idx="7">
                  <c:v>1.063728040781146</c:v>
                </c:pt>
                <c:pt idx="8">
                  <c:v>1.063728040781146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E735-4913-85D3-14942E6E6A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2930495"/>
        <c:axId val="482950655"/>
      </c:scatterChart>
      <c:valAx>
        <c:axId val="4829304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Hysteresis Index</a:t>
                </a:r>
              </a:p>
            </c:rich>
          </c:tx>
          <c:layout>
            <c:manualLayout>
              <c:xMode val="edge"/>
              <c:yMode val="edge"/>
              <c:x val="0.43718039872581271"/>
              <c:y val="0.7483068847163335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2950655"/>
        <c:crosses val="autoZero"/>
        <c:crossBetween val="midCat"/>
      </c:valAx>
      <c:valAx>
        <c:axId val="482950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>
                    <a:latin typeface="Aptos" panose="020B0004020202020204" pitchFamily="34" charset="0"/>
                  </a:rPr>
                  <a:t>τ</a:t>
                </a:r>
                <a:r>
                  <a:rPr lang="en-US">
                    <a:latin typeface="Aptos" panose="020B0004020202020204" pitchFamily="34" charset="0"/>
                  </a:rPr>
                  <a:t>c50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29304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Turbidity HI to </a:t>
            </a:r>
            <a:r>
              <a:rPr lang="el-GR">
                <a:latin typeface="Aptos" panose="020B0004020202020204" pitchFamily="34" charset="0"/>
              </a:rPr>
              <a:t>τ</a:t>
            </a:r>
            <a:r>
              <a:rPr lang="en-US">
                <a:latin typeface="Aptos" panose="020B0004020202020204" pitchFamily="34" charset="0"/>
              </a:rPr>
              <a:t>c25</a:t>
            </a:r>
            <a:endParaRPr lang="en-US"/>
          </a:p>
        </c:rich>
      </c:tx>
      <c:layout>
        <c:manualLayout>
          <c:xMode val="edge"/>
          <c:yMode val="edge"/>
          <c:x val="0.3244999228037671"/>
          <c:y val="3.88888888888888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all!$B$4</c:f>
              <c:strCache>
                <c:ptCount val="1"/>
                <c:pt idx="0">
                  <c:v>Langlois (2005)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18476531812833741"/>
                  <c:y val="-6.751058245378902E-2"/>
                </c:manualLayout>
              </c:layout>
              <c:numFmt formatCode="General" sourceLinked="0"/>
              <c:spPr>
                <a:solidFill>
                  <a:schemeClr val="tx2">
                    <a:lumMod val="10000"/>
                    <a:lumOff val="9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all!$B$84:$B$90</c:f>
              <c:numCache>
                <c:formatCode>0.00000</c:formatCode>
                <c:ptCount val="7"/>
                <c:pt idx="0">
                  <c:v>1.2050076272027901</c:v>
                </c:pt>
                <c:pt idx="1">
                  <c:v>1.11910970408747</c:v>
                </c:pt>
                <c:pt idx="2">
                  <c:v>1.4074954172257299</c:v>
                </c:pt>
                <c:pt idx="3">
                  <c:v>1.41606982531736</c:v>
                </c:pt>
                <c:pt idx="4">
                  <c:v>1.5689444337549201</c:v>
                </c:pt>
                <c:pt idx="5">
                  <c:v>1.15872732148062</c:v>
                </c:pt>
                <c:pt idx="6">
                  <c:v>1.1637562782531401</c:v>
                </c:pt>
              </c:numCache>
            </c:numRef>
          </c:xVal>
          <c:yVal>
            <c:numRef>
              <c:f>all!$H$84:$H$90</c:f>
              <c:numCache>
                <c:formatCode>0.000</c:formatCode>
                <c:ptCount val="7"/>
                <c:pt idx="0">
                  <c:v>64.048876322946043</c:v>
                </c:pt>
                <c:pt idx="1">
                  <c:v>69.142603119806424</c:v>
                </c:pt>
                <c:pt idx="2">
                  <c:v>69.014990506950269</c:v>
                </c:pt>
                <c:pt idx="3">
                  <c:v>69.014990506950269</c:v>
                </c:pt>
                <c:pt idx="6">
                  <c:v>64.242932047955975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CD5-457B-95C1-70791EA7D300}"/>
            </c:ext>
          </c:extLst>
        </c:ser>
        <c:ser>
          <c:idx val="1"/>
          <c:order val="1"/>
          <c:tx>
            <c:strRef>
              <c:f>all!$C$4</c:f>
              <c:strCache>
                <c:ptCount val="1"/>
                <c:pt idx="0">
                  <c:v>Lawler (2006)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14803365755751119"/>
                  <c:y val="-0.15135826771653543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all!$C$84:$C$90</c:f>
              <c:numCache>
                <c:formatCode>0.00000</c:formatCode>
                <c:ptCount val="7"/>
                <c:pt idx="0">
                  <c:v>0.92674759673055396</c:v>
                </c:pt>
                <c:pt idx="1">
                  <c:v>0.156816283020727</c:v>
                </c:pt>
                <c:pt idx="2">
                  <c:v>0.25880560171696498</c:v>
                </c:pt>
                <c:pt idx="3">
                  <c:v>0.52921681534296305</c:v>
                </c:pt>
                <c:pt idx="4">
                  <c:v>0.71850105371235795</c:v>
                </c:pt>
                <c:pt idx="5">
                  <c:v>0.40647074977609499</c:v>
                </c:pt>
                <c:pt idx="6">
                  <c:v>0.401331670241585</c:v>
                </c:pt>
              </c:numCache>
            </c:numRef>
          </c:xVal>
          <c:yVal>
            <c:numRef>
              <c:f>all!$H$84:$H$90</c:f>
              <c:numCache>
                <c:formatCode>0.000</c:formatCode>
                <c:ptCount val="7"/>
                <c:pt idx="0">
                  <c:v>64.048876322946043</c:v>
                </c:pt>
                <c:pt idx="1">
                  <c:v>69.142603119806424</c:v>
                </c:pt>
                <c:pt idx="2">
                  <c:v>69.014990506950269</c:v>
                </c:pt>
                <c:pt idx="3">
                  <c:v>69.014990506950269</c:v>
                </c:pt>
                <c:pt idx="6">
                  <c:v>64.242932047955975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CD5-457B-95C1-70791EA7D300}"/>
            </c:ext>
          </c:extLst>
        </c:ser>
        <c:ser>
          <c:idx val="2"/>
          <c:order val="2"/>
          <c:tx>
            <c:strRef>
              <c:f>all!$D$4</c:f>
              <c:strCache>
                <c:ptCount val="1"/>
                <c:pt idx="0">
                  <c:v>Aich (2014) 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20688481756592789"/>
                  <c:y val="-0.29566179803079701"/>
                </c:manualLayout>
              </c:layout>
              <c:numFmt formatCode="General" sourceLinked="0"/>
              <c:spPr>
                <a:solidFill>
                  <a:schemeClr val="accent6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all!$D$84:$D$90</c:f>
              <c:numCache>
                <c:formatCode>0.00000</c:formatCode>
                <c:ptCount val="7"/>
                <c:pt idx="0">
                  <c:v>0.13984116014494999</c:v>
                </c:pt>
                <c:pt idx="1">
                  <c:v>8.9326261366187695E-2</c:v>
                </c:pt>
                <c:pt idx="2">
                  <c:v>4.6283799610675601E-2</c:v>
                </c:pt>
                <c:pt idx="3">
                  <c:v>3.0850994672477702E-2</c:v>
                </c:pt>
                <c:pt idx="4">
                  <c:v>0.164262280281398</c:v>
                </c:pt>
                <c:pt idx="5">
                  <c:v>-4.45444212598241E-2</c:v>
                </c:pt>
                <c:pt idx="6">
                  <c:v>6.7271555006068101E-2</c:v>
                </c:pt>
              </c:numCache>
            </c:numRef>
          </c:xVal>
          <c:yVal>
            <c:numRef>
              <c:f>all!$H$84:$H$90</c:f>
              <c:numCache>
                <c:formatCode>0.000</c:formatCode>
                <c:ptCount val="7"/>
                <c:pt idx="0">
                  <c:v>64.048876322946043</c:v>
                </c:pt>
                <c:pt idx="1">
                  <c:v>69.142603119806424</c:v>
                </c:pt>
                <c:pt idx="2">
                  <c:v>69.014990506950269</c:v>
                </c:pt>
                <c:pt idx="3">
                  <c:v>69.014990506950269</c:v>
                </c:pt>
                <c:pt idx="6">
                  <c:v>64.242932047955975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CD5-457B-95C1-70791EA7D300}"/>
            </c:ext>
          </c:extLst>
        </c:ser>
        <c:ser>
          <c:idx val="3"/>
          <c:order val="3"/>
          <c:tx>
            <c:strRef>
              <c:f>all!$E$81</c:f>
              <c:strCache>
                <c:ptCount val="1"/>
                <c:pt idx="0">
                  <c:v>Lloyd (2016)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12904863362667901"/>
                  <c:y val="5.6522309711286092E-3"/>
                </c:manualLayout>
              </c:layout>
              <c:numFmt formatCode="General" sourceLinked="0"/>
              <c:spPr>
                <a:solidFill>
                  <a:schemeClr val="accent4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all!$E$84:$E$90</c:f>
              <c:numCache>
                <c:formatCode>0.00000</c:formatCode>
                <c:ptCount val="7"/>
                <c:pt idx="0">
                  <c:v>0.58415158227019104</c:v>
                </c:pt>
                <c:pt idx="1">
                  <c:v>5.92725219807008E-2</c:v>
                </c:pt>
                <c:pt idx="2">
                  <c:v>0.10621290455320199</c:v>
                </c:pt>
                <c:pt idx="3">
                  <c:v>0.17041594173230901</c:v>
                </c:pt>
                <c:pt idx="4">
                  <c:v>0.415644787212891</c:v>
                </c:pt>
                <c:pt idx="5">
                  <c:v>5.4008474266980598E-2</c:v>
                </c:pt>
                <c:pt idx="6">
                  <c:v>8.1392652419518097E-2</c:v>
                </c:pt>
              </c:numCache>
            </c:numRef>
          </c:xVal>
          <c:yVal>
            <c:numRef>
              <c:f>all!$H$84:$H$90</c:f>
              <c:numCache>
                <c:formatCode>0.000</c:formatCode>
                <c:ptCount val="7"/>
                <c:pt idx="0">
                  <c:v>64.048876322946043</c:v>
                </c:pt>
                <c:pt idx="1">
                  <c:v>69.142603119806424</c:v>
                </c:pt>
                <c:pt idx="2">
                  <c:v>69.014990506950269</c:v>
                </c:pt>
                <c:pt idx="3">
                  <c:v>69.014990506950269</c:v>
                </c:pt>
                <c:pt idx="6">
                  <c:v>64.242932047955975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BCD5-457B-95C1-70791EA7D300}"/>
            </c:ext>
          </c:extLst>
        </c:ser>
        <c:ser>
          <c:idx val="4"/>
          <c:order val="4"/>
          <c:tx>
            <c:strRef>
              <c:f>all!$F$81</c:f>
              <c:strCache>
                <c:ptCount val="1"/>
                <c:pt idx="0">
                  <c:v>Lawler Adapted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5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2235693958640857"/>
                  <c:y val="-0.26216337918798654"/>
                </c:manualLayout>
              </c:layout>
              <c:numFmt formatCode="General" sourceLinked="0"/>
              <c:spPr>
                <a:solidFill>
                  <a:schemeClr val="accent5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all!$F$84:$F$90</c:f>
              <c:numCache>
                <c:formatCode>0.00000</c:formatCode>
                <c:ptCount val="7"/>
                <c:pt idx="0">
                  <c:v>0.66959836720930499</c:v>
                </c:pt>
                <c:pt idx="1">
                  <c:v>0.1017952207019</c:v>
                </c:pt>
                <c:pt idx="2">
                  <c:v>-0.90837567524790197</c:v>
                </c:pt>
                <c:pt idx="3">
                  <c:v>0.33346513766249403</c:v>
                </c:pt>
                <c:pt idx="4">
                  <c:v>0.60238698682230296</c:v>
                </c:pt>
                <c:pt idx="5">
                  <c:v>0.21627118090962999</c:v>
                </c:pt>
                <c:pt idx="6">
                  <c:v>0.164652348864086</c:v>
                </c:pt>
              </c:numCache>
            </c:numRef>
          </c:xVal>
          <c:yVal>
            <c:numRef>
              <c:f>all!$H$84:$H$90</c:f>
              <c:numCache>
                <c:formatCode>0.000</c:formatCode>
                <c:ptCount val="7"/>
                <c:pt idx="0">
                  <c:v>64.048876322946043</c:v>
                </c:pt>
                <c:pt idx="1">
                  <c:v>69.142603119806424</c:v>
                </c:pt>
                <c:pt idx="2">
                  <c:v>69.014990506950269</c:v>
                </c:pt>
                <c:pt idx="3">
                  <c:v>69.014990506950269</c:v>
                </c:pt>
                <c:pt idx="6">
                  <c:v>64.242932047955975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BCD5-457B-95C1-70791EA7D3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2930495"/>
        <c:axId val="482950655"/>
      </c:scatterChart>
      <c:valAx>
        <c:axId val="4829304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Hysteresis Index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2950655"/>
        <c:crosses val="autoZero"/>
        <c:crossBetween val="midCat"/>
      </c:valAx>
      <c:valAx>
        <c:axId val="482950655"/>
        <c:scaling>
          <c:orientation val="minMax"/>
          <c:min val="6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>
                    <a:latin typeface="Aptos" panose="020B0004020202020204" pitchFamily="34" charset="0"/>
                  </a:rPr>
                  <a:t>τ</a:t>
                </a:r>
                <a:r>
                  <a:rPr lang="en-US">
                    <a:latin typeface="Aptos" panose="020B0004020202020204" pitchFamily="34" charset="0"/>
                  </a:rPr>
                  <a:t>c50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29304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5"/>
        <c:delete val="1"/>
      </c:legendEntry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fDOM</a:t>
            </a:r>
            <a:r>
              <a:rPr lang="en-US" baseline="0"/>
              <a:t> </a:t>
            </a:r>
            <a:r>
              <a:rPr lang="en-US"/>
              <a:t> HI to </a:t>
            </a:r>
            <a:r>
              <a:rPr lang="el-GR">
                <a:latin typeface="Aptos" panose="020B0004020202020204" pitchFamily="34" charset="0"/>
              </a:rPr>
              <a:t>τ</a:t>
            </a:r>
            <a:r>
              <a:rPr lang="en-US">
                <a:latin typeface="Aptos" panose="020B0004020202020204" pitchFamily="34" charset="0"/>
              </a:rPr>
              <a:t>c25</a:t>
            </a:r>
            <a:endParaRPr lang="en-US"/>
          </a:p>
        </c:rich>
      </c:tx>
      <c:layout>
        <c:manualLayout>
          <c:xMode val="edge"/>
          <c:yMode val="edge"/>
          <c:x val="0.33924906755076667"/>
          <c:y val="4.413817749698196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all!$B$4</c:f>
              <c:strCache>
                <c:ptCount val="1"/>
                <c:pt idx="0">
                  <c:v>Langlois (2005)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18476531812833741"/>
                  <c:y val="-6.751058245378902E-2"/>
                </c:manualLayout>
              </c:layout>
              <c:numFmt formatCode="General" sourceLinked="0"/>
              <c:spPr>
                <a:solidFill>
                  <a:schemeClr val="tx2">
                    <a:lumMod val="10000"/>
                    <a:lumOff val="9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all!$P$48:$P$54</c:f>
              <c:numCache>
                <c:formatCode>0.00000</c:formatCode>
                <c:ptCount val="7"/>
                <c:pt idx="0">
                  <c:v>0.76151296818251002</c:v>
                </c:pt>
                <c:pt idx="1">
                  <c:v>0.63241662033349</c:v>
                </c:pt>
                <c:pt idx="2">
                  <c:v>0.68587815994758305</c:v>
                </c:pt>
                <c:pt idx="3">
                  <c:v>0.64478493475432996</c:v>
                </c:pt>
                <c:pt idx="4">
                  <c:v>1.04151195285145</c:v>
                </c:pt>
                <c:pt idx="5">
                  <c:v>0.57916197400143898</c:v>
                </c:pt>
                <c:pt idx="6">
                  <c:v>0.74506131022172795</c:v>
                </c:pt>
              </c:numCache>
            </c:numRef>
          </c:xVal>
          <c:yVal>
            <c:numRef>
              <c:f>all!$H$84:$H$90</c:f>
              <c:numCache>
                <c:formatCode>0.000</c:formatCode>
                <c:ptCount val="7"/>
                <c:pt idx="0">
                  <c:v>64.048876322946043</c:v>
                </c:pt>
                <c:pt idx="1">
                  <c:v>69.142603119806424</c:v>
                </c:pt>
                <c:pt idx="2">
                  <c:v>69.014990506950269</c:v>
                </c:pt>
                <c:pt idx="3">
                  <c:v>69.014990506950269</c:v>
                </c:pt>
                <c:pt idx="6">
                  <c:v>64.242932047955975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2D6-4405-917C-CA924CED60D5}"/>
            </c:ext>
          </c:extLst>
        </c:ser>
        <c:ser>
          <c:idx val="1"/>
          <c:order val="1"/>
          <c:tx>
            <c:strRef>
              <c:f>all!$C$4</c:f>
              <c:strCache>
                <c:ptCount val="1"/>
                <c:pt idx="0">
                  <c:v>Lawler (2006)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19043585038676913"/>
                  <c:y val="7.6802446938227215E-2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all!$Q$48:$Q$54</c:f>
              <c:numCache>
                <c:formatCode>0.00000</c:formatCode>
                <c:ptCount val="7"/>
                <c:pt idx="0">
                  <c:v>-0.82455849900808098</c:v>
                </c:pt>
                <c:pt idx="1">
                  <c:v>-0.77305412456000899</c:v>
                </c:pt>
                <c:pt idx="2">
                  <c:v>-0.74314055155585101</c:v>
                </c:pt>
                <c:pt idx="3">
                  <c:v>-0.64445784381595494</c:v>
                </c:pt>
                <c:pt idx="4">
                  <c:v>-0.120988015114778</c:v>
                </c:pt>
                <c:pt idx="5">
                  <c:v>-0.78477741945709301</c:v>
                </c:pt>
                <c:pt idx="6">
                  <c:v>-0.75894808346496501</c:v>
                </c:pt>
              </c:numCache>
            </c:numRef>
          </c:xVal>
          <c:yVal>
            <c:numRef>
              <c:f>all!$H$84:$H$90</c:f>
              <c:numCache>
                <c:formatCode>0.000</c:formatCode>
                <c:ptCount val="7"/>
                <c:pt idx="0">
                  <c:v>64.048876322946043</c:v>
                </c:pt>
                <c:pt idx="1">
                  <c:v>69.142603119806424</c:v>
                </c:pt>
                <c:pt idx="2">
                  <c:v>69.014990506950269</c:v>
                </c:pt>
                <c:pt idx="3">
                  <c:v>69.014990506950269</c:v>
                </c:pt>
                <c:pt idx="6">
                  <c:v>64.242932047955975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2D6-4405-917C-CA924CED60D5}"/>
            </c:ext>
          </c:extLst>
        </c:ser>
        <c:ser>
          <c:idx val="2"/>
          <c:order val="2"/>
          <c:tx>
            <c:strRef>
              <c:f>all!$D$4</c:f>
              <c:strCache>
                <c:ptCount val="1"/>
                <c:pt idx="0">
                  <c:v>Aich (2014) 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23635897629463856"/>
                  <c:y val="-7.8596730526794389E-2"/>
                </c:manualLayout>
              </c:layout>
              <c:numFmt formatCode="General" sourceLinked="0"/>
              <c:spPr>
                <a:solidFill>
                  <a:schemeClr val="accent6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all!$R$48:$R$54</c:f>
              <c:numCache>
                <c:formatCode>0.00000</c:formatCode>
                <c:ptCount val="7"/>
                <c:pt idx="0">
                  <c:v>-0.53010922957415696</c:v>
                </c:pt>
                <c:pt idx="1">
                  <c:v>-0.511670862423525</c:v>
                </c:pt>
                <c:pt idx="2">
                  <c:v>-0.22155858359451899</c:v>
                </c:pt>
                <c:pt idx="3">
                  <c:v>-0.24334139198969101</c:v>
                </c:pt>
                <c:pt idx="4">
                  <c:v>9.6450074853088597E-2</c:v>
                </c:pt>
                <c:pt idx="5">
                  <c:v>-0.24313716774511701</c:v>
                </c:pt>
                <c:pt idx="6">
                  <c:v>-0.37958282657101999</c:v>
                </c:pt>
              </c:numCache>
            </c:numRef>
          </c:xVal>
          <c:yVal>
            <c:numRef>
              <c:f>all!$H$84:$H$90</c:f>
              <c:numCache>
                <c:formatCode>0.000</c:formatCode>
                <c:ptCount val="7"/>
                <c:pt idx="0">
                  <c:v>64.048876322946043</c:v>
                </c:pt>
                <c:pt idx="1">
                  <c:v>69.142603119806424</c:v>
                </c:pt>
                <c:pt idx="2">
                  <c:v>69.014990506950269</c:v>
                </c:pt>
                <c:pt idx="3">
                  <c:v>69.014990506950269</c:v>
                </c:pt>
                <c:pt idx="6">
                  <c:v>64.242932047955975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22D6-4405-917C-CA924CED60D5}"/>
            </c:ext>
          </c:extLst>
        </c:ser>
        <c:ser>
          <c:idx val="3"/>
          <c:order val="3"/>
          <c:tx>
            <c:strRef>
              <c:f>all!$E$81</c:f>
              <c:strCache>
                <c:ptCount val="1"/>
                <c:pt idx="0">
                  <c:v>Lloyd (2016)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27440578309028102"/>
                  <c:y val="-0.17013867361068055"/>
                </c:manualLayout>
              </c:layout>
              <c:numFmt formatCode="General" sourceLinked="0"/>
              <c:spPr>
                <a:solidFill>
                  <a:schemeClr val="accent4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all!$E$84:$E$90</c:f>
              <c:numCache>
                <c:formatCode>0.00000</c:formatCode>
                <c:ptCount val="7"/>
                <c:pt idx="0">
                  <c:v>0.58415158227019104</c:v>
                </c:pt>
                <c:pt idx="1">
                  <c:v>5.92725219807008E-2</c:v>
                </c:pt>
                <c:pt idx="2">
                  <c:v>0.10621290455320199</c:v>
                </c:pt>
                <c:pt idx="3">
                  <c:v>0.17041594173230901</c:v>
                </c:pt>
                <c:pt idx="4">
                  <c:v>0.415644787212891</c:v>
                </c:pt>
                <c:pt idx="5">
                  <c:v>5.4008474266980598E-2</c:v>
                </c:pt>
                <c:pt idx="6">
                  <c:v>8.1392652419518097E-2</c:v>
                </c:pt>
              </c:numCache>
            </c:numRef>
          </c:xVal>
          <c:yVal>
            <c:numRef>
              <c:f>all!$H$84:$H$90</c:f>
              <c:numCache>
                <c:formatCode>0.000</c:formatCode>
                <c:ptCount val="7"/>
                <c:pt idx="0">
                  <c:v>64.048876322946043</c:v>
                </c:pt>
                <c:pt idx="1">
                  <c:v>69.142603119806424</c:v>
                </c:pt>
                <c:pt idx="2">
                  <c:v>69.014990506950269</c:v>
                </c:pt>
                <c:pt idx="3">
                  <c:v>69.014990506950269</c:v>
                </c:pt>
                <c:pt idx="6">
                  <c:v>64.242932047955975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22D6-4405-917C-CA924CED60D5}"/>
            </c:ext>
          </c:extLst>
        </c:ser>
        <c:ser>
          <c:idx val="4"/>
          <c:order val="4"/>
          <c:tx>
            <c:strRef>
              <c:f>all!$F$81</c:f>
              <c:strCache>
                <c:ptCount val="1"/>
                <c:pt idx="0">
                  <c:v>Lawler Adapted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5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46154803839321262"/>
                  <c:y val="-0.33687808708950751"/>
                </c:manualLayout>
              </c:layout>
              <c:numFmt formatCode="General" sourceLinked="0"/>
              <c:spPr>
                <a:solidFill>
                  <a:schemeClr val="accent5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all!$T$48:$T$54</c:f>
              <c:numCache>
                <c:formatCode>0.00000</c:formatCode>
                <c:ptCount val="7"/>
                <c:pt idx="0">
                  <c:v>-0.81917889363282403</c:v>
                </c:pt>
                <c:pt idx="1">
                  <c:v>-0.76662036881149098</c:v>
                </c:pt>
                <c:pt idx="2">
                  <c:v>-0.79093223163479298</c:v>
                </c:pt>
                <c:pt idx="3">
                  <c:v>-0.52379920048275397</c:v>
                </c:pt>
                <c:pt idx="4">
                  <c:v>-0.16320255139754999</c:v>
                </c:pt>
                <c:pt idx="5">
                  <c:v>-0.748656600612842</c:v>
                </c:pt>
                <c:pt idx="6">
                  <c:v>-0.49092006249230202</c:v>
                </c:pt>
              </c:numCache>
            </c:numRef>
          </c:xVal>
          <c:yVal>
            <c:numRef>
              <c:f>all!$H$84:$H$90</c:f>
              <c:numCache>
                <c:formatCode>0.000</c:formatCode>
                <c:ptCount val="7"/>
                <c:pt idx="0">
                  <c:v>64.048876322946043</c:v>
                </c:pt>
                <c:pt idx="1">
                  <c:v>69.142603119806424</c:v>
                </c:pt>
                <c:pt idx="2">
                  <c:v>69.014990506950269</c:v>
                </c:pt>
                <c:pt idx="3">
                  <c:v>69.014990506950269</c:v>
                </c:pt>
                <c:pt idx="6">
                  <c:v>64.242932047955975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22D6-4405-917C-CA924CED60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2930495"/>
        <c:axId val="482950655"/>
      </c:scatterChart>
      <c:valAx>
        <c:axId val="4829304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Hysteresis Index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2950655"/>
        <c:crosses val="autoZero"/>
        <c:crossBetween val="midCat"/>
      </c:valAx>
      <c:valAx>
        <c:axId val="482950655"/>
        <c:scaling>
          <c:orientation val="minMax"/>
          <c:min val="6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>
                    <a:latin typeface="Aptos" panose="020B0004020202020204" pitchFamily="34" charset="0"/>
                  </a:rPr>
                  <a:t>τ</a:t>
                </a:r>
                <a:r>
                  <a:rPr lang="en-US">
                    <a:latin typeface="Aptos" panose="020B0004020202020204" pitchFamily="34" charset="0"/>
                  </a:rPr>
                  <a:t>c50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29304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5"/>
        <c:delete val="1"/>
      </c:legendEntry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/>
              <a:t>Time between events to </a:t>
            </a:r>
            <a:r>
              <a:rPr lang="en-US" sz="1100">
                <a:latin typeface="Aptos" panose="020B0004020202020204" pitchFamily="34" charset="0"/>
              </a:rPr>
              <a:t>peak</a:t>
            </a:r>
            <a:r>
              <a:rPr lang="en-US" sz="1100" baseline="0">
                <a:latin typeface="Aptos" panose="020B0004020202020204" pitchFamily="34" charset="0"/>
              </a:rPr>
              <a:t> concentration</a:t>
            </a:r>
            <a:endParaRPr lang="en-US" sz="1100"/>
          </a:p>
        </c:rich>
      </c:tx>
      <c:layout>
        <c:manualLayout>
          <c:xMode val="edge"/>
          <c:yMode val="edge"/>
          <c:x val="0.13171215157721197"/>
          <c:y val="5.069881176900847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8002780630430196"/>
          <c:y val="0.17753866551293604"/>
          <c:w val="0.70433153244145819"/>
          <c:h val="0.47235030385025722"/>
        </c:manualLayout>
      </c:layout>
      <c:scatterChart>
        <c:scatterStyle val="lineMarker"/>
        <c:varyColors val="0"/>
        <c:ser>
          <c:idx val="0"/>
          <c:order val="0"/>
          <c:tx>
            <c:strRef>
              <c:f>all!$A$53</c:f>
              <c:strCache>
                <c:ptCount val="1"/>
                <c:pt idx="0">
                  <c:v>DOC (mg/L)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30186337638044536"/>
                  <c:y val="-8.329807602670472E-2"/>
                </c:manualLayout>
              </c:layout>
              <c:numFmt formatCode="General" sourceLinked="0"/>
              <c:spPr>
                <a:solidFill>
                  <a:schemeClr val="tx2">
                    <a:lumMod val="10000"/>
                    <a:lumOff val="9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all!$H$8:$H$15</c:f>
              <c:numCache>
                <c:formatCode>General</c:formatCode>
                <c:ptCount val="8"/>
                <c:pt idx="0">
                  <c:v>118.5</c:v>
                </c:pt>
                <c:pt idx="1">
                  <c:v>2036.95</c:v>
                </c:pt>
                <c:pt idx="3">
                  <c:v>365</c:v>
                </c:pt>
                <c:pt idx="4">
                  <c:v>365</c:v>
                </c:pt>
                <c:pt idx="5">
                  <c:v>351.5</c:v>
                </c:pt>
                <c:pt idx="6">
                  <c:v>413.75</c:v>
                </c:pt>
              </c:numCache>
            </c:numRef>
          </c:xVal>
          <c:yVal>
            <c:numRef>
              <c:f>all!$G$58:$G$65</c:f>
              <c:numCache>
                <c:formatCode>0.00</c:formatCode>
                <c:ptCount val="8"/>
                <c:pt idx="0">
                  <c:v>8.4209999999999994</c:v>
                </c:pt>
                <c:pt idx="1">
                  <c:v>5.15</c:v>
                </c:pt>
                <c:pt idx="2">
                  <c:v>8.5760000000000005</c:v>
                </c:pt>
                <c:pt idx="3">
                  <c:v>4.4729999999999999</c:v>
                </c:pt>
                <c:pt idx="4">
                  <c:v>9.9</c:v>
                </c:pt>
                <c:pt idx="5">
                  <c:v>4.2779999999999996</c:v>
                </c:pt>
                <c:pt idx="6">
                  <c:v>5.4009999999999998</c:v>
                </c:pt>
                <c:pt idx="7">
                  <c:v>8.7050000000000001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B0A-439D-93D3-954300380D91}"/>
            </c:ext>
          </c:extLst>
        </c:ser>
        <c:ser>
          <c:idx val="1"/>
          <c:order val="1"/>
          <c:tx>
            <c:strRef>
              <c:f>all!$A$3</c:f>
              <c:strCache>
                <c:ptCount val="1"/>
                <c:pt idx="0">
                  <c:v>SSC (mg/L)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29157512090199589"/>
                  <c:y val="4.0020827706107841E-2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all!$H$8:$H$15</c:f>
              <c:numCache>
                <c:formatCode>General</c:formatCode>
                <c:ptCount val="8"/>
                <c:pt idx="0">
                  <c:v>118.5</c:v>
                </c:pt>
                <c:pt idx="1">
                  <c:v>2036.95</c:v>
                </c:pt>
                <c:pt idx="3">
                  <c:v>365</c:v>
                </c:pt>
                <c:pt idx="4">
                  <c:v>365</c:v>
                </c:pt>
                <c:pt idx="5">
                  <c:v>351.5</c:v>
                </c:pt>
                <c:pt idx="6">
                  <c:v>413.75</c:v>
                </c:pt>
              </c:numCache>
            </c:numRef>
          </c:xVal>
          <c:yVal>
            <c:numRef>
              <c:f>all!$G$8:$G$15</c:f>
              <c:numCache>
                <c:formatCode>0.00</c:formatCode>
                <c:ptCount val="8"/>
                <c:pt idx="0">
                  <c:v>49.091801670000002</c:v>
                </c:pt>
                <c:pt idx="1">
                  <c:v>187</c:v>
                </c:pt>
                <c:pt idx="3">
                  <c:v>76.153846150000007</c:v>
                </c:pt>
                <c:pt idx="4">
                  <c:v>43.2</c:v>
                </c:pt>
                <c:pt idx="5">
                  <c:v>77.894736839999993</c:v>
                </c:pt>
                <c:pt idx="6">
                  <c:v>37.6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B0A-439D-93D3-954300380D91}"/>
            </c:ext>
          </c:extLst>
        </c:ser>
        <c:ser>
          <c:idx val="2"/>
          <c:order val="2"/>
          <c:tx>
            <c:strRef>
              <c:f>all!$A$67</c:f>
              <c:strCache>
                <c:ptCount val="1"/>
                <c:pt idx="0">
                  <c:v>POC (mg/L)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6.5694656739877857E-2"/>
                  <c:y val="-0.31508080496614105"/>
                </c:manualLayout>
              </c:layout>
              <c:numFmt formatCode="General" sourceLinked="0"/>
              <c:spPr>
                <a:solidFill>
                  <a:schemeClr val="accent6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all!$H$8:$H$15</c:f>
              <c:numCache>
                <c:formatCode>General</c:formatCode>
                <c:ptCount val="8"/>
                <c:pt idx="0">
                  <c:v>118.5</c:v>
                </c:pt>
                <c:pt idx="1">
                  <c:v>2036.95</c:v>
                </c:pt>
                <c:pt idx="3">
                  <c:v>365</c:v>
                </c:pt>
                <c:pt idx="4">
                  <c:v>365</c:v>
                </c:pt>
                <c:pt idx="5">
                  <c:v>351.5</c:v>
                </c:pt>
                <c:pt idx="6">
                  <c:v>413.75</c:v>
                </c:pt>
              </c:numCache>
            </c:numRef>
          </c:xVal>
          <c:yVal>
            <c:numRef>
              <c:f>all!$G$72:$G$79</c:f>
              <c:numCache>
                <c:formatCode>0.000</c:formatCode>
                <c:ptCount val="8"/>
                <c:pt idx="0">
                  <c:v>5.3650916630000003</c:v>
                </c:pt>
                <c:pt idx="1">
                  <c:v>29.943162610000002</c:v>
                </c:pt>
                <c:pt idx="2">
                  <c:v>13.904999999999999</c:v>
                </c:pt>
                <c:pt idx="3">
                  <c:v>7.7779999999999996</c:v>
                </c:pt>
                <c:pt idx="4">
                  <c:v>5.5549999999999997</c:v>
                </c:pt>
                <c:pt idx="5">
                  <c:v>12.67</c:v>
                </c:pt>
                <c:pt idx="6">
                  <c:v>5.3390000000000004</c:v>
                </c:pt>
                <c:pt idx="7">
                  <c:v>5.1369999999999996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B0A-439D-93D3-954300380D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2930495"/>
        <c:axId val="482950655"/>
      </c:scatterChart>
      <c:valAx>
        <c:axId val="482930495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Hysteresis Index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2950655"/>
        <c:crosses val="autoZero"/>
        <c:crossBetween val="midCat"/>
      </c:valAx>
      <c:valAx>
        <c:axId val="482950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>
                    <a:latin typeface="Aptos" panose="020B0004020202020204" pitchFamily="34" charset="0"/>
                  </a:rPr>
                  <a:t>τ</a:t>
                </a:r>
                <a:r>
                  <a:rPr lang="en-US">
                    <a:latin typeface="Aptos" panose="020B0004020202020204" pitchFamily="34" charset="0"/>
                  </a:rPr>
                  <a:t>c50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29304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/>
              <a:t>Time between </a:t>
            </a:r>
            <a:r>
              <a:rPr lang="el-GR" sz="8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ptos" panose="020B0004020202020204" pitchFamily="34" charset="0"/>
              </a:rPr>
              <a:t>τ</a:t>
            </a:r>
            <a:r>
              <a:rPr lang="en-US" sz="8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ptos" panose="020B0004020202020204" pitchFamily="34" charset="0"/>
              </a:rPr>
              <a:t>c </a:t>
            </a:r>
            <a:r>
              <a:rPr lang="en-US" sz="1100"/>
              <a:t>events to </a:t>
            </a:r>
            <a:r>
              <a:rPr lang="en-US" sz="1100">
                <a:latin typeface="Aptos" panose="020B0004020202020204" pitchFamily="34" charset="0"/>
              </a:rPr>
              <a:t>peak</a:t>
            </a:r>
            <a:r>
              <a:rPr lang="en-US" sz="1100" baseline="0">
                <a:latin typeface="Aptos" panose="020B0004020202020204" pitchFamily="34" charset="0"/>
              </a:rPr>
              <a:t> concentration</a:t>
            </a:r>
            <a:endParaRPr lang="en-US" sz="1100"/>
          </a:p>
        </c:rich>
      </c:tx>
      <c:layout>
        <c:manualLayout>
          <c:xMode val="edge"/>
          <c:yMode val="edge"/>
          <c:x val="0.25560393892964078"/>
          <c:y val="4.563928867089116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8002780630430196"/>
          <c:y val="0.17753866551293604"/>
          <c:w val="0.70433153244145819"/>
          <c:h val="0.47235030385025722"/>
        </c:manualLayout>
      </c:layout>
      <c:scatterChart>
        <c:scatterStyle val="lineMarker"/>
        <c:varyColors val="0"/>
        <c:ser>
          <c:idx val="0"/>
          <c:order val="0"/>
          <c:tx>
            <c:strRef>
              <c:f>all!$A$53</c:f>
              <c:strCache>
                <c:ptCount val="1"/>
                <c:pt idx="0">
                  <c:v>DOC (mg/L)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30186337638044536"/>
                  <c:y val="-8.329807602670472E-2"/>
                </c:manualLayout>
              </c:layout>
              <c:numFmt formatCode="General" sourceLinked="0"/>
              <c:spPr>
                <a:solidFill>
                  <a:schemeClr val="tx2">
                    <a:lumMod val="10000"/>
                    <a:lumOff val="9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all!$I$8:$I$15</c:f>
              <c:numCache>
                <c:formatCode>General</c:formatCode>
                <c:ptCount val="8"/>
                <c:pt idx="0">
                  <c:v>118.5</c:v>
                </c:pt>
                <c:pt idx="1">
                  <c:v>2060.9499999999998</c:v>
                </c:pt>
                <c:pt idx="6">
                  <c:v>1130.25</c:v>
                </c:pt>
              </c:numCache>
            </c:numRef>
          </c:xVal>
          <c:yVal>
            <c:numRef>
              <c:f>all!$G$58:$G$65</c:f>
              <c:numCache>
                <c:formatCode>0.00</c:formatCode>
                <c:ptCount val="8"/>
                <c:pt idx="0">
                  <c:v>8.4209999999999994</c:v>
                </c:pt>
                <c:pt idx="1">
                  <c:v>5.15</c:v>
                </c:pt>
                <c:pt idx="2">
                  <c:v>8.5760000000000005</c:v>
                </c:pt>
                <c:pt idx="3">
                  <c:v>4.4729999999999999</c:v>
                </c:pt>
                <c:pt idx="4">
                  <c:v>9.9</c:v>
                </c:pt>
                <c:pt idx="5">
                  <c:v>4.2779999999999996</c:v>
                </c:pt>
                <c:pt idx="6">
                  <c:v>5.4009999999999998</c:v>
                </c:pt>
                <c:pt idx="7">
                  <c:v>8.7050000000000001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7FE-468E-8A20-B9B2A093F94D}"/>
            </c:ext>
          </c:extLst>
        </c:ser>
        <c:ser>
          <c:idx val="1"/>
          <c:order val="1"/>
          <c:tx>
            <c:strRef>
              <c:f>all!$A$3</c:f>
              <c:strCache>
                <c:ptCount val="1"/>
                <c:pt idx="0">
                  <c:v>SSC (mg/L)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29157512090199589"/>
                  <c:y val="4.0020827706107841E-2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all!$I$8:$I$15</c:f>
              <c:numCache>
                <c:formatCode>General</c:formatCode>
                <c:ptCount val="8"/>
                <c:pt idx="0">
                  <c:v>118.5</c:v>
                </c:pt>
                <c:pt idx="1">
                  <c:v>2060.9499999999998</c:v>
                </c:pt>
                <c:pt idx="6">
                  <c:v>1130.25</c:v>
                </c:pt>
              </c:numCache>
            </c:numRef>
          </c:xVal>
          <c:yVal>
            <c:numRef>
              <c:f>all!$G$8:$G$15</c:f>
              <c:numCache>
                <c:formatCode>0.00</c:formatCode>
                <c:ptCount val="8"/>
                <c:pt idx="0">
                  <c:v>49.091801670000002</c:v>
                </c:pt>
                <c:pt idx="1">
                  <c:v>187</c:v>
                </c:pt>
                <c:pt idx="3">
                  <c:v>76.153846150000007</c:v>
                </c:pt>
                <c:pt idx="4">
                  <c:v>43.2</c:v>
                </c:pt>
                <c:pt idx="5">
                  <c:v>77.894736839999993</c:v>
                </c:pt>
                <c:pt idx="6">
                  <c:v>37.6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7FE-468E-8A20-B9B2A093F94D}"/>
            </c:ext>
          </c:extLst>
        </c:ser>
        <c:ser>
          <c:idx val="2"/>
          <c:order val="2"/>
          <c:tx>
            <c:strRef>
              <c:f>all!$A$67</c:f>
              <c:strCache>
                <c:ptCount val="1"/>
                <c:pt idx="0">
                  <c:v>POC (mg/L)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6.5694656739877857E-2"/>
                  <c:y val="-0.31508080496614105"/>
                </c:manualLayout>
              </c:layout>
              <c:numFmt formatCode="General" sourceLinked="0"/>
              <c:spPr>
                <a:solidFill>
                  <a:schemeClr val="accent6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all!$I$8:$I$15</c:f>
              <c:numCache>
                <c:formatCode>General</c:formatCode>
                <c:ptCount val="8"/>
                <c:pt idx="0">
                  <c:v>118.5</c:v>
                </c:pt>
                <c:pt idx="1">
                  <c:v>2060.9499999999998</c:v>
                </c:pt>
                <c:pt idx="6">
                  <c:v>1130.25</c:v>
                </c:pt>
              </c:numCache>
            </c:numRef>
          </c:xVal>
          <c:yVal>
            <c:numRef>
              <c:f>all!$G$72:$G$79</c:f>
              <c:numCache>
                <c:formatCode>0.000</c:formatCode>
                <c:ptCount val="8"/>
                <c:pt idx="0">
                  <c:v>5.3650916630000003</c:v>
                </c:pt>
                <c:pt idx="1">
                  <c:v>29.943162610000002</c:v>
                </c:pt>
                <c:pt idx="2">
                  <c:v>13.904999999999999</c:v>
                </c:pt>
                <c:pt idx="3">
                  <c:v>7.7779999999999996</c:v>
                </c:pt>
                <c:pt idx="4">
                  <c:v>5.5549999999999997</c:v>
                </c:pt>
                <c:pt idx="5">
                  <c:v>12.67</c:v>
                </c:pt>
                <c:pt idx="6">
                  <c:v>5.3390000000000004</c:v>
                </c:pt>
                <c:pt idx="7">
                  <c:v>5.1369999999999996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07FE-468E-8A20-B9B2A093F9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2930495"/>
        <c:axId val="482950655"/>
      </c:scatterChart>
      <c:valAx>
        <c:axId val="482930495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Hysteresis Index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2950655"/>
        <c:crosses val="autoZero"/>
        <c:crossBetween val="midCat"/>
      </c:valAx>
      <c:valAx>
        <c:axId val="482950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>
                    <a:latin typeface="Aptos" panose="020B0004020202020204" pitchFamily="34" charset="0"/>
                  </a:rPr>
                  <a:t>τ</a:t>
                </a:r>
                <a:r>
                  <a:rPr lang="en-US">
                    <a:latin typeface="Aptos" panose="020B0004020202020204" pitchFamily="34" charset="0"/>
                  </a:rPr>
                  <a:t>c50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29304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SSC HI to </a:t>
            </a:r>
            <a:r>
              <a:rPr lang="el-GR">
                <a:latin typeface="Aptos" panose="020B0004020202020204" pitchFamily="34" charset="0"/>
              </a:rPr>
              <a:t>τ</a:t>
            </a:r>
            <a:r>
              <a:rPr lang="en-US">
                <a:latin typeface="Aptos" panose="020B0004020202020204" pitchFamily="34" charset="0"/>
              </a:rPr>
              <a:t>peak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2"/>
          <c:order val="0"/>
          <c:tx>
            <c:strRef>
              <c:f>all!$D$4</c:f>
              <c:strCache>
                <c:ptCount val="1"/>
                <c:pt idx="0">
                  <c:v>Aich (2014) 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4.4145739179052325E-2"/>
                  <c:y val="-0.33877151021651303"/>
                </c:manualLayout>
              </c:layout>
              <c:numFmt formatCode="General" sourceLinked="0"/>
              <c:spPr>
                <a:solidFill>
                  <a:schemeClr val="accent6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all!$D$7:$D$44</c:f>
              <c:numCache>
                <c:formatCode>0.00000</c:formatCode>
                <c:ptCount val="38"/>
                <c:pt idx="0">
                  <c:v>0.17369777575697301</c:v>
                </c:pt>
                <c:pt idx="1">
                  <c:v>9.9143945152060597E-2</c:v>
                </c:pt>
                <c:pt idx="2">
                  <c:v>0.21234239309632399</c:v>
                </c:pt>
                <c:pt idx="5">
                  <c:v>0.36516163611226798</c:v>
                </c:pt>
                <c:pt idx="6">
                  <c:v>4.1333778886518201E-2</c:v>
                </c:pt>
                <c:pt idx="7">
                  <c:v>-4.1760232547360499E-2</c:v>
                </c:pt>
                <c:pt idx="9" formatCode="0.0000">
                  <c:v>9.4513218106104094E-2</c:v>
                </c:pt>
                <c:pt idx="10" formatCode="0.0000">
                  <c:v>4.2663094228711902E-2</c:v>
                </c:pt>
                <c:pt idx="14" formatCode="0.0000">
                  <c:v>8.8732929175135894E-2</c:v>
                </c:pt>
                <c:pt idx="15" formatCode="0.0000">
                  <c:v>-1.9463558010346702E-2</c:v>
                </c:pt>
                <c:pt idx="16" formatCode="0.0000">
                  <c:v>0.10415722716452799</c:v>
                </c:pt>
                <c:pt idx="17" formatCode="0.0000">
                  <c:v>4.66251429291673E-2</c:v>
                </c:pt>
                <c:pt idx="18" formatCode="0.0000">
                  <c:v>9.0894558490112708E-3</c:v>
                </c:pt>
                <c:pt idx="21" formatCode="0.0000">
                  <c:v>2.0373962034653699E-2</c:v>
                </c:pt>
              </c:numCache>
            </c:numRef>
          </c:xVal>
          <c:yVal>
            <c:numRef>
              <c:f>all!$J$7:$J$44</c:f>
              <c:numCache>
                <c:formatCode>General</c:formatCode>
                <c:ptCount val="38"/>
                <c:pt idx="0">
                  <c:v>71.117321599999997</c:v>
                </c:pt>
                <c:pt idx="1">
                  <c:v>74.728308609999999</c:v>
                </c:pt>
                <c:pt idx="2">
                  <c:v>79.767295559999994</c:v>
                </c:pt>
                <c:pt idx="4">
                  <c:v>68.631809730000001</c:v>
                </c:pt>
                <c:pt idx="5">
                  <c:v>68.631809730000001</c:v>
                </c:pt>
                <c:pt idx="6">
                  <c:v>69.696396059999998</c:v>
                </c:pt>
                <c:pt idx="7">
                  <c:v>70.569593760000004</c:v>
                </c:pt>
                <c:pt idx="9" formatCode="0.00">
                  <c:v>112.55085055666601</c:v>
                </c:pt>
                <c:pt idx="10" formatCode="0.00">
                  <c:v>117.49299123</c:v>
                </c:pt>
                <c:pt idx="11" formatCode="0.00">
                  <c:v>119.152945989999</c:v>
                </c:pt>
                <c:pt idx="12" formatCode="0.00">
                  <c:v>109.40601132</c:v>
                </c:pt>
                <c:pt idx="13" formatCode="0.00">
                  <c:v>112.21273027333299</c:v>
                </c:pt>
                <c:pt idx="14" formatCode="0.00">
                  <c:v>115.079453056666</c:v>
                </c:pt>
                <c:pt idx="15" formatCode="0.00">
                  <c:v>119.222878299999</c:v>
                </c:pt>
                <c:pt idx="16" formatCode="0.00">
                  <c:v>115.360934813333</c:v>
                </c:pt>
                <c:pt idx="17" formatCode="0.00">
                  <c:v>118.05576815000001</c:v>
                </c:pt>
                <c:pt idx="18" formatCode="0.00">
                  <c:v>119.77022043333299</c:v>
                </c:pt>
                <c:pt idx="19" formatCode="0.00">
                  <c:v>120.030707316666</c:v>
                </c:pt>
                <c:pt idx="20" formatCode="0.00">
                  <c:v>125.17995179</c:v>
                </c:pt>
                <c:pt idx="21" formatCode="0.00">
                  <c:v>128.631154973333</c:v>
                </c:pt>
                <c:pt idx="22" formatCode="0.00">
                  <c:v>127.417386873333</c:v>
                </c:pt>
                <c:pt idx="23" formatCode="0.00">
                  <c:v>122.761972003333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C017-450F-98E5-1D49698A48F1}"/>
            </c:ext>
          </c:extLst>
        </c:ser>
        <c:ser>
          <c:idx val="0"/>
          <c:order val="1"/>
          <c:tx>
            <c:strRef>
              <c:f>all!$D$4</c:f>
              <c:strCache>
                <c:ptCount val="1"/>
                <c:pt idx="0">
                  <c:v>Aich (2014) 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3912857786267841"/>
                  <c:y val="-6.9382351096897873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all!$D$6:$D$15</c:f>
              <c:numCache>
                <c:formatCode>0.00000</c:formatCode>
                <c:ptCount val="10"/>
                <c:pt idx="1">
                  <c:v>0.17369777575697301</c:v>
                </c:pt>
                <c:pt idx="2">
                  <c:v>9.9143945152060597E-2</c:v>
                </c:pt>
                <c:pt idx="3">
                  <c:v>0.21234239309632399</c:v>
                </c:pt>
                <c:pt idx="6">
                  <c:v>0.36516163611226798</c:v>
                </c:pt>
                <c:pt idx="7">
                  <c:v>4.1333778886518201E-2</c:v>
                </c:pt>
                <c:pt idx="8">
                  <c:v>-4.1760232547360499E-2</c:v>
                </c:pt>
              </c:numCache>
            </c:numRef>
          </c:xVal>
          <c:yVal>
            <c:numRef>
              <c:f>all!$J$6:$J$15</c:f>
              <c:numCache>
                <c:formatCode>General</c:formatCode>
                <c:ptCount val="10"/>
                <c:pt idx="1">
                  <c:v>71.117321599999997</c:v>
                </c:pt>
                <c:pt idx="2">
                  <c:v>74.728308609999999</c:v>
                </c:pt>
                <c:pt idx="3">
                  <c:v>79.767295559999994</c:v>
                </c:pt>
                <c:pt idx="5">
                  <c:v>68.631809730000001</c:v>
                </c:pt>
                <c:pt idx="6">
                  <c:v>68.631809730000001</c:v>
                </c:pt>
                <c:pt idx="7">
                  <c:v>69.696396059999998</c:v>
                </c:pt>
                <c:pt idx="8">
                  <c:v>70.569593760000004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C017-450F-98E5-1D49698A48F1}"/>
            </c:ext>
          </c:extLst>
        </c:ser>
        <c:ser>
          <c:idx val="1"/>
          <c:order val="2"/>
          <c:tx>
            <c:v>spring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3150389041606485"/>
                  <c:y val="0.1225408257414922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all!$D$16:$D$30</c:f>
              <c:numCache>
                <c:formatCode>0.0000</c:formatCode>
                <c:ptCount val="15"/>
                <c:pt idx="0">
                  <c:v>9.4513218106104094E-2</c:v>
                </c:pt>
                <c:pt idx="1">
                  <c:v>4.2663094228711902E-2</c:v>
                </c:pt>
                <c:pt idx="5">
                  <c:v>8.8732929175135894E-2</c:v>
                </c:pt>
                <c:pt idx="6">
                  <c:v>-1.9463558010346702E-2</c:v>
                </c:pt>
                <c:pt idx="7">
                  <c:v>0.10415722716452799</c:v>
                </c:pt>
                <c:pt idx="8">
                  <c:v>4.66251429291673E-2</c:v>
                </c:pt>
                <c:pt idx="9">
                  <c:v>9.0894558490112708E-3</c:v>
                </c:pt>
                <c:pt idx="12">
                  <c:v>2.0373962034653699E-2</c:v>
                </c:pt>
              </c:numCache>
            </c:numRef>
          </c:xVal>
          <c:yVal>
            <c:numRef>
              <c:f>all!$J$16:$J$30</c:f>
              <c:numCache>
                <c:formatCode>0.00</c:formatCode>
                <c:ptCount val="15"/>
                <c:pt idx="0">
                  <c:v>112.55085055666601</c:v>
                </c:pt>
                <c:pt idx="1">
                  <c:v>117.49299123</c:v>
                </c:pt>
                <c:pt idx="2">
                  <c:v>119.152945989999</c:v>
                </c:pt>
                <c:pt idx="3">
                  <c:v>109.40601132</c:v>
                </c:pt>
                <c:pt idx="4">
                  <c:v>112.21273027333299</c:v>
                </c:pt>
                <c:pt idx="5">
                  <c:v>115.079453056666</c:v>
                </c:pt>
                <c:pt idx="6">
                  <c:v>119.222878299999</c:v>
                </c:pt>
                <c:pt idx="7">
                  <c:v>115.360934813333</c:v>
                </c:pt>
                <c:pt idx="8">
                  <c:v>118.05576815000001</c:v>
                </c:pt>
                <c:pt idx="9">
                  <c:v>119.77022043333299</c:v>
                </c:pt>
                <c:pt idx="10">
                  <c:v>120.030707316666</c:v>
                </c:pt>
                <c:pt idx="11">
                  <c:v>125.17995179</c:v>
                </c:pt>
                <c:pt idx="12">
                  <c:v>128.631154973333</c:v>
                </c:pt>
                <c:pt idx="13">
                  <c:v>127.417386873333</c:v>
                </c:pt>
                <c:pt idx="14">
                  <c:v>122.761972003333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C017-450F-98E5-1D49698A48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2930495"/>
        <c:axId val="482950655"/>
      </c:scatterChart>
      <c:valAx>
        <c:axId val="4829304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Hysteresis Index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2950655"/>
        <c:crosses val="autoZero"/>
        <c:crossBetween val="midCat"/>
      </c:valAx>
      <c:valAx>
        <c:axId val="482950655"/>
        <c:scaling>
          <c:orientation val="minMax"/>
          <c:min val="6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>
                    <a:latin typeface="Aptos" panose="020B0004020202020204" pitchFamily="34" charset="0"/>
                  </a:rPr>
                  <a:t>τ</a:t>
                </a:r>
                <a:r>
                  <a:rPr lang="en-US">
                    <a:latin typeface="Aptos" panose="020B0004020202020204" pitchFamily="34" charset="0"/>
                  </a:rPr>
                  <a:t>peak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29304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DOC HI to </a:t>
            </a:r>
            <a:r>
              <a:rPr lang="el-GR">
                <a:latin typeface="Aptos" panose="020B0004020202020204" pitchFamily="34" charset="0"/>
              </a:rPr>
              <a:t>τ</a:t>
            </a:r>
            <a:r>
              <a:rPr lang="en-US">
                <a:latin typeface="Aptos" panose="020B0004020202020204" pitchFamily="34" charset="0"/>
              </a:rPr>
              <a:t>c50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2"/>
          <c:order val="0"/>
          <c:tx>
            <c:strRef>
              <c:f>all!$D$4</c:f>
              <c:strCache>
                <c:ptCount val="1"/>
                <c:pt idx="0">
                  <c:v>Aich (2014) 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4.61252573453749E-3"/>
                  <c:y val="-0.11313604549431321"/>
                </c:manualLayout>
              </c:layout>
              <c:numFmt formatCode="General" sourceLinked="0"/>
              <c:spPr>
                <a:solidFill>
                  <a:schemeClr val="accent6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all!$D$57:$D$65</c:f>
              <c:numCache>
                <c:formatCode>0.00000</c:formatCode>
                <c:ptCount val="9"/>
                <c:pt idx="0">
                  <c:v>1.7836570943256701E-2</c:v>
                </c:pt>
                <c:pt idx="1">
                  <c:v>-0.54160608613664096</c:v>
                </c:pt>
                <c:pt idx="2">
                  <c:v>-0.17637365181995501</c:v>
                </c:pt>
                <c:pt idx="3">
                  <c:v>0.41389016217674901</c:v>
                </c:pt>
                <c:pt idx="5">
                  <c:v>0.39449354239977702</c:v>
                </c:pt>
                <c:pt idx="6">
                  <c:v>-0.17371472956907899</c:v>
                </c:pt>
                <c:pt idx="7">
                  <c:v>-4.74716361793363E-2</c:v>
                </c:pt>
                <c:pt idx="8">
                  <c:v>5.9760012226563401E-2</c:v>
                </c:pt>
              </c:numCache>
            </c:numRef>
          </c:xVal>
          <c:yVal>
            <c:numRef>
              <c:f>all!$H$57:$H$65</c:f>
              <c:numCache>
                <c:formatCode>0.000</c:formatCode>
                <c:ptCount val="9"/>
                <c:pt idx="0">
                  <c:v>71.117321599999997</c:v>
                </c:pt>
                <c:pt idx="1">
                  <c:v>74.728308609999999</c:v>
                </c:pt>
                <c:pt idx="2">
                  <c:v>79.767295559999994</c:v>
                </c:pt>
                <c:pt idx="3">
                  <c:v>79.767295559999994</c:v>
                </c:pt>
                <c:pt idx="4">
                  <c:v>68.631809730000001</c:v>
                </c:pt>
                <c:pt idx="5">
                  <c:v>68.631809730000001</c:v>
                </c:pt>
                <c:pt idx="6">
                  <c:v>69.696396059999998</c:v>
                </c:pt>
                <c:pt idx="7">
                  <c:v>70.569593760000004</c:v>
                </c:pt>
                <c:pt idx="8">
                  <c:v>70.569593760000004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DBE9-4B9A-84C6-F047B4FC19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2930495"/>
        <c:axId val="482950655"/>
      </c:scatterChart>
      <c:valAx>
        <c:axId val="4829304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Hysteresis Index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2950655"/>
        <c:crosses val="autoZero"/>
        <c:crossBetween val="midCat"/>
      </c:valAx>
      <c:valAx>
        <c:axId val="482950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>
                    <a:latin typeface="Aptos" panose="020B0004020202020204" pitchFamily="34" charset="0"/>
                  </a:rPr>
                  <a:t>τ</a:t>
                </a:r>
                <a:r>
                  <a:rPr lang="en-US">
                    <a:latin typeface="Aptos" panose="020B0004020202020204" pitchFamily="34" charset="0"/>
                  </a:rPr>
                  <a:t>c50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29304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1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POC</a:t>
            </a:r>
            <a:r>
              <a:rPr lang="en-US" baseline="0"/>
              <a:t> </a:t>
            </a:r>
            <a:r>
              <a:rPr lang="en-US"/>
              <a:t>HI to </a:t>
            </a:r>
            <a:r>
              <a:rPr lang="el-GR">
                <a:latin typeface="Aptos" panose="020B0004020202020204" pitchFamily="34" charset="0"/>
              </a:rPr>
              <a:t>τ</a:t>
            </a:r>
            <a:r>
              <a:rPr lang="en-US">
                <a:latin typeface="Aptos" panose="020B0004020202020204" pitchFamily="34" charset="0"/>
              </a:rPr>
              <a:t>c50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2"/>
          <c:order val="0"/>
          <c:tx>
            <c:strRef>
              <c:f>all!$D$4</c:f>
              <c:strCache>
                <c:ptCount val="1"/>
                <c:pt idx="0">
                  <c:v>Aich (2014) 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16739725181411147"/>
                  <c:y val="1.4617672790901138E-2"/>
                </c:manualLayout>
              </c:layout>
              <c:numFmt formatCode="General" sourceLinked="0"/>
              <c:spPr>
                <a:solidFill>
                  <a:schemeClr val="accent6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all!$D$71:$D$79</c:f>
              <c:numCache>
                <c:formatCode>0.00000</c:formatCode>
                <c:ptCount val="9"/>
                <c:pt idx="0">
                  <c:v>0.199680501000808</c:v>
                </c:pt>
                <c:pt idx="1">
                  <c:v>0.12535086320927399</c:v>
                </c:pt>
                <c:pt idx="2">
                  <c:v>0.42964915677977999</c:v>
                </c:pt>
                <c:pt idx="3">
                  <c:v>0.36758406997509402</c:v>
                </c:pt>
                <c:pt idx="5">
                  <c:v>4.3375577562074601E-2</c:v>
                </c:pt>
                <c:pt idx="6">
                  <c:v>4.5262412029273197E-2</c:v>
                </c:pt>
                <c:pt idx="7">
                  <c:v>-6.6277814143714905E-2</c:v>
                </c:pt>
                <c:pt idx="8">
                  <c:v>-0.161754895727207</c:v>
                </c:pt>
              </c:numCache>
            </c:numRef>
          </c:xVal>
          <c:yVal>
            <c:numRef>
              <c:f>all!$H$71:$H$79</c:f>
              <c:numCache>
                <c:formatCode>0.000</c:formatCode>
                <c:ptCount val="9"/>
                <c:pt idx="0">
                  <c:v>71.117321599999997</c:v>
                </c:pt>
                <c:pt idx="1">
                  <c:v>74.728308609999999</c:v>
                </c:pt>
                <c:pt idx="2">
                  <c:v>79.767295559999994</c:v>
                </c:pt>
                <c:pt idx="3">
                  <c:v>79.767295559999994</c:v>
                </c:pt>
                <c:pt idx="4">
                  <c:v>68.631809730000001</c:v>
                </c:pt>
                <c:pt idx="5">
                  <c:v>68.631809730000001</c:v>
                </c:pt>
                <c:pt idx="6">
                  <c:v>69.696396059999998</c:v>
                </c:pt>
                <c:pt idx="7">
                  <c:v>70.569593760000004</c:v>
                </c:pt>
                <c:pt idx="8">
                  <c:v>70.569593760000004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924F-43BA-B3CA-555F658A2E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2930495"/>
        <c:axId val="482950655"/>
      </c:scatterChart>
      <c:valAx>
        <c:axId val="4829304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Hysteresis Index</a:t>
                </a:r>
              </a:p>
            </c:rich>
          </c:tx>
          <c:layout>
            <c:manualLayout>
              <c:xMode val="edge"/>
              <c:yMode val="edge"/>
              <c:x val="0.43718039872581271"/>
              <c:y val="0.7483068847163335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2950655"/>
        <c:crosses val="autoZero"/>
        <c:crossBetween val="midCat"/>
      </c:valAx>
      <c:valAx>
        <c:axId val="482950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>
                    <a:latin typeface="Aptos" panose="020B0004020202020204" pitchFamily="34" charset="0"/>
                  </a:rPr>
                  <a:t>τ</a:t>
                </a:r>
                <a:r>
                  <a:rPr lang="en-US">
                    <a:latin typeface="Aptos" panose="020B0004020202020204" pitchFamily="34" charset="0"/>
                  </a:rPr>
                  <a:t>c50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29304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1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SSC (mg/L)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upstream!$D$2</c:f>
              <c:strCache>
                <c:ptCount val="1"/>
                <c:pt idx="0">
                  <c:v>Langlois (2005)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16664113624007729"/>
                  <c:y val="-6.139268305747498E-2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upstream!$C$3:$C$6</c:f>
              <c:numCache>
                <c:formatCode>0.0000</c:formatCode>
                <c:ptCount val="4"/>
                <c:pt idx="0">
                  <c:v>9.4725974000000004E-2</c:v>
                </c:pt>
                <c:pt idx="1">
                  <c:v>0.102452336</c:v>
                </c:pt>
                <c:pt idx="2">
                  <c:v>0.110144282</c:v>
                </c:pt>
                <c:pt idx="3">
                  <c:v>9.3918104000000002E-2</c:v>
                </c:pt>
              </c:numCache>
            </c:numRef>
          </c:xVal>
          <c:yVal>
            <c:numRef>
              <c:f>upstream!$D$3:$D$6</c:f>
              <c:numCache>
                <c:formatCode>0.00000</c:formatCode>
                <c:ptCount val="4"/>
                <c:pt idx="0">
                  <c:v>2.1746388039620901</c:v>
                </c:pt>
                <c:pt idx="1">
                  <c:v>2.2792285281778502</c:v>
                </c:pt>
                <c:pt idx="2">
                  <c:v>1.45242884682964</c:v>
                </c:pt>
                <c:pt idx="3">
                  <c:v>0.84619083652769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9B1-4956-B817-E8C40C25D034}"/>
            </c:ext>
          </c:extLst>
        </c:ser>
        <c:ser>
          <c:idx val="1"/>
          <c:order val="1"/>
          <c:tx>
            <c:strRef>
              <c:f>upstream!$E$2</c:f>
              <c:strCache>
                <c:ptCount val="1"/>
                <c:pt idx="0">
                  <c:v>Lawler (2006)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18784970672753856"/>
                  <c:y val="-3.3317978109879125E-2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upstream!$C$3:$C$6</c:f>
              <c:numCache>
                <c:formatCode>0.0000</c:formatCode>
                <c:ptCount val="4"/>
                <c:pt idx="0">
                  <c:v>9.4725974000000004E-2</c:v>
                </c:pt>
                <c:pt idx="1">
                  <c:v>0.102452336</c:v>
                </c:pt>
                <c:pt idx="2">
                  <c:v>0.110144282</c:v>
                </c:pt>
                <c:pt idx="3">
                  <c:v>9.3918104000000002E-2</c:v>
                </c:pt>
              </c:numCache>
            </c:numRef>
          </c:xVal>
          <c:yVal>
            <c:numRef>
              <c:f>upstream!$E$3:$E$6</c:f>
              <c:numCache>
                <c:formatCode>0.00000</c:formatCode>
                <c:ptCount val="4"/>
                <c:pt idx="0">
                  <c:v>0.90358482744648005</c:v>
                </c:pt>
                <c:pt idx="1">
                  <c:v>0.663434225775831</c:v>
                </c:pt>
                <c:pt idx="2">
                  <c:v>0.238708102284336</c:v>
                </c:pt>
                <c:pt idx="3">
                  <c:v>-0.57708462423306806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9B1-4956-B817-E8C40C25D034}"/>
            </c:ext>
          </c:extLst>
        </c:ser>
        <c:ser>
          <c:idx val="2"/>
          <c:order val="2"/>
          <c:tx>
            <c:strRef>
              <c:f>upstream!$F$2</c:f>
              <c:strCache>
                <c:ptCount val="1"/>
                <c:pt idx="0">
                  <c:v>Aich (2014) 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20172884476712721"/>
                  <c:y val="8.6730944346242428E-2"/>
                </c:manualLayout>
              </c:layout>
              <c:numFmt formatCode="General" sourceLinked="0"/>
              <c:spPr>
                <a:solidFill>
                  <a:schemeClr val="accent6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upstream!$C$3:$C$6</c:f>
              <c:numCache>
                <c:formatCode>0.0000</c:formatCode>
                <c:ptCount val="4"/>
                <c:pt idx="0">
                  <c:v>9.4725974000000004E-2</c:v>
                </c:pt>
                <c:pt idx="1">
                  <c:v>0.102452336</c:v>
                </c:pt>
                <c:pt idx="2">
                  <c:v>0.110144282</c:v>
                </c:pt>
                <c:pt idx="3">
                  <c:v>9.3918104000000002E-2</c:v>
                </c:pt>
              </c:numCache>
            </c:numRef>
          </c:xVal>
          <c:yVal>
            <c:numRef>
              <c:f>upstream!$F$3:$F$6</c:f>
              <c:numCache>
                <c:formatCode>0.00000</c:formatCode>
                <c:ptCount val="4"/>
                <c:pt idx="0">
                  <c:v>0.17369777575697301</c:v>
                </c:pt>
                <c:pt idx="1">
                  <c:v>9.9143945152060597E-2</c:v>
                </c:pt>
                <c:pt idx="2">
                  <c:v>0.14477972148899501</c:v>
                </c:pt>
                <c:pt idx="3">
                  <c:v>-7.8588218215967606E-2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09B1-4956-B817-E8C40C25D0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56230352"/>
        <c:axId val="1344703008"/>
      </c:scatterChart>
      <c:valAx>
        <c:axId val="13562303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tau_c50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4703008"/>
        <c:crosses val="autoZero"/>
        <c:crossBetween val="midCat"/>
      </c:valAx>
      <c:valAx>
        <c:axId val="1344703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HI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62303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DOC (mg/L)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upstream!$D$8</c:f>
              <c:strCache>
                <c:ptCount val="1"/>
                <c:pt idx="0">
                  <c:v>Langlois (2005)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16664113624007729"/>
                  <c:y val="-6.139268305747498E-2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upstream!$C$9:$C$12</c:f>
              <c:numCache>
                <c:formatCode>0.0000</c:formatCode>
                <c:ptCount val="4"/>
                <c:pt idx="0">
                  <c:v>9.4725974000000004E-2</c:v>
                </c:pt>
                <c:pt idx="1">
                  <c:v>0.102452336</c:v>
                </c:pt>
                <c:pt idx="2">
                  <c:v>0.110144282</c:v>
                </c:pt>
                <c:pt idx="3">
                  <c:v>9.3918104000000002E-2</c:v>
                </c:pt>
              </c:numCache>
            </c:numRef>
          </c:xVal>
          <c:yVal>
            <c:numRef>
              <c:f>upstream!$D$9:$D$12</c:f>
              <c:numCache>
                <c:formatCode>0.00000</c:formatCode>
                <c:ptCount val="4"/>
                <c:pt idx="0">
                  <c:v>0.93103098270545204</c:v>
                </c:pt>
                <c:pt idx="1">
                  <c:v>0.62021758140125105</c:v>
                </c:pt>
                <c:pt idx="2">
                  <c:v>1.0770799229366299</c:v>
                </c:pt>
                <c:pt idx="3">
                  <c:v>1.6537701478523501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2E1-4D42-BA91-AB50649B3C83}"/>
            </c:ext>
          </c:extLst>
        </c:ser>
        <c:ser>
          <c:idx val="1"/>
          <c:order val="1"/>
          <c:tx>
            <c:strRef>
              <c:f>upstream!$E$8</c:f>
              <c:strCache>
                <c:ptCount val="1"/>
                <c:pt idx="0">
                  <c:v>Lawler (2006)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20952611332869386"/>
                  <c:y val="3.5912296677201062E-2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upstream!$C$9:$C$12</c:f>
              <c:numCache>
                <c:formatCode>0.0000</c:formatCode>
                <c:ptCount val="4"/>
                <c:pt idx="0">
                  <c:v>9.4725974000000004E-2</c:v>
                </c:pt>
                <c:pt idx="1">
                  <c:v>0.102452336</c:v>
                </c:pt>
                <c:pt idx="2">
                  <c:v>0.110144282</c:v>
                </c:pt>
                <c:pt idx="3">
                  <c:v>9.3918104000000002E-2</c:v>
                </c:pt>
              </c:numCache>
            </c:numRef>
          </c:xVal>
          <c:yVal>
            <c:numRef>
              <c:f>upstream!$E$9:$E$12</c:f>
              <c:numCache>
                <c:formatCode>0.00000</c:formatCode>
                <c:ptCount val="4"/>
                <c:pt idx="0">
                  <c:v>0.356634245125801</c:v>
                </c:pt>
                <c:pt idx="1">
                  <c:v>-0.834312574960141</c:v>
                </c:pt>
                <c:pt idx="2">
                  <c:v>0.64255712913469198</c:v>
                </c:pt>
                <c:pt idx="3">
                  <c:v>0.384403035464087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2E1-4D42-BA91-AB50649B3C83}"/>
            </c:ext>
          </c:extLst>
        </c:ser>
        <c:ser>
          <c:idx val="2"/>
          <c:order val="2"/>
          <c:tx>
            <c:strRef>
              <c:f>upstream!$F$8</c:f>
              <c:strCache>
                <c:ptCount val="1"/>
                <c:pt idx="0">
                  <c:v>Aich (2014) 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21124151241223851"/>
                  <c:y val="-4.6970557251772099E-2"/>
                </c:manualLayout>
              </c:layout>
              <c:numFmt formatCode="General" sourceLinked="0"/>
              <c:spPr>
                <a:solidFill>
                  <a:schemeClr val="accent6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upstream!$C$9:$C$12</c:f>
              <c:numCache>
                <c:formatCode>0.0000</c:formatCode>
                <c:ptCount val="4"/>
                <c:pt idx="0">
                  <c:v>9.4725974000000004E-2</c:v>
                </c:pt>
                <c:pt idx="1">
                  <c:v>0.102452336</c:v>
                </c:pt>
                <c:pt idx="2">
                  <c:v>0.110144282</c:v>
                </c:pt>
                <c:pt idx="3">
                  <c:v>9.3918104000000002E-2</c:v>
                </c:pt>
              </c:numCache>
            </c:numRef>
          </c:xVal>
          <c:yVal>
            <c:numRef>
              <c:f>upstream!$F$9:$F$12</c:f>
              <c:numCache>
                <c:formatCode>0.00000</c:formatCode>
                <c:ptCount val="4"/>
                <c:pt idx="0">
                  <c:v>1.7836570943256701E-2</c:v>
                </c:pt>
                <c:pt idx="1">
                  <c:v>-0.54160608613664096</c:v>
                </c:pt>
                <c:pt idx="2">
                  <c:v>0.41389016217674901</c:v>
                </c:pt>
                <c:pt idx="3">
                  <c:v>5.9760012226563401E-2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2E1-4D42-BA91-AB50649B3C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56230352"/>
        <c:axId val="1344703008"/>
      </c:scatterChart>
      <c:valAx>
        <c:axId val="13562303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tau_c50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4703008"/>
        <c:crosses val="autoZero"/>
        <c:crossBetween val="midCat"/>
      </c:valAx>
      <c:valAx>
        <c:axId val="1344703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HI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62303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POC (mg/L)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upstream!$D$14</c:f>
              <c:strCache>
                <c:ptCount val="1"/>
                <c:pt idx="0">
                  <c:v>Langlois (2005)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16664113624007729"/>
                  <c:y val="-6.139268305747498E-2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upstream!$C$15:$C$18</c:f>
              <c:numCache>
                <c:formatCode>0.0000</c:formatCode>
                <c:ptCount val="4"/>
                <c:pt idx="0">
                  <c:v>9.4725974000000004E-2</c:v>
                </c:pt>
                <c:pt idx="1">
                  <c:v>0.102452336</c:v>
                </c:pt>
                <c:pt idx="2">
                  <c:v>0.110144282</c:v>
                </c:pt>
                <c:pt idx="3">
                  <c:v>9.3918104000000002E-2</c:v>
                </c:pt>
              </c:numCache>
            </c:numRef>
          </c:xVal>
          <c:yVal>
            <c:numRef>
              <c:f>upstream!$D$15:$D$18</c:f>
              <c:numCache>
                <c:formatCode>0.00000</c:formatCode>
                <c:ptCount val="4"/>
                <c:pt idx="0">
                  <c:v>1.5737102771314899</c:v>
                </c:pt>
                <c:pt idx="1">
                  <c:v>1.50347635019633</c:v>
                </c:pt>
                <c:pt idx="2">
                  <c:v>1.29322320004102</c:v>
                </c:pt>
                <c:pt idx="3">
                  <c:v>0.82233612818652901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A83-44D4-A37C-CA6A6A74FCB8}"/>
            </c:ext>
          </c:extLst>
        </c:ser>
        <c:ser>
          <c:idx val="1"/>
          <c:order val="1"/>
          <c:tx>
            <c:strRef>
              <c:f>upstream!$E$14</c:f>
              <c:strCache>
                <c:ptCount val="1"/>
                <c:pt idx="0">
                  <c:v>Lawler (2006)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22122201617104384"/>
                  <c:y val="0.12122020461727999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upstream!$C$15:$C$18</c:f>
              <c:numCache>
                <c:formatCode>0.0000</c:formatCode>
                <c:ptCount val="4"/>
                <c:pt idx="0">
                  <c:v>9.4725974000000004E-2</c:v>
                </c:pt>
                <c:pt idx="1">
                  <c:v>0.102452336</c:v>
                </c:pt>
                <c:pt idx="2">
                  <c:v>0.110144282</c:v>
                </c:pt>
                <c:pt idx="3">
                  <c:v>9.3918104000000002E-2</c:v>
                </c:pt>
              </c:numCache>
            </c:numRef>
          </c:xVal>
          <c:yVal>
            <c:numRef>
              <c:f>upstream!$E$15:$E$18</c:f>
              <c:numCache>
                <c:formatCode>0.00000</c:formatCode>
                <c:ptCount val="4"/>
                <c:pt idx="0">
                  <c:v>0.86635228697468503</c:v>
                </c:pt>
                <c:pt idx="1">
                  <c:v>0.96614890517595997</c:v>
                </c:pt>
                <c:pt idx="2">
                  <c:v>0.43470959470339599</c:v>
                </c:pt>
                <c:pt idx="3">
                  <c:v>-0.50591021290758598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A83-44D4-A37C-CA6A6A74FCB8}"/>
            </c:ext>
          </c:extLst>
        </c:ser>
        <c:ser>
          <c:idx val="2"/>
          <c:order val="2"/>
          <c:tx>
            <c:strRef>
              <c:f>upstream!$F$14</c:f>
              <c:strCache>
                <c:ptCount val="1"/>
                <c:pt idx="0">
                  <c:v>Aich (2014) 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22512065045182716"/>
                  <c:y val="-0.1071530344421233"/>
                </c:manualLayout>
              </c:layout>
              <c:numFmt formatCode="General" sourceLinked="0"/>
              <c:spPr>
                <a:solidFill>
                  <a:schemeClr val="accent6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upstream!$C$15:$C$18</c:f>
              <c:numCache>
                <c:formatCode>0.0000</c:formatCode>
                <c:ptCount val="4"/>
                <c:pt idx="0">
                  <c:v>9.4725974000000004E-2</c:v>
                </c:pt>
                <c:pt idx="1">
                  <c:v>0.102452336</c:v>
                </c:pt>
                <c:pt idx="2">
                  <c:v>0.110144282</c:v>
                </c:pt>
                <c:pt idx="3">
                  <c:v>9.3918104000000002E-2</c:v>
                </c:pt>
              </c:numCache>
            </c:numRef>
          </c:xVal>
          <c:yVal>
            <c:numRef>
              <c:f>upstream!$F$15:$F$18</c:f>
              <c:numCache>
                <c:formatCode>0.00000</c:formatCode>
                <c:ptCount val="4"/>
                <c:pt idx="0">
                  <c:v>0.199680501000808</c:v>
                </c:pt>
                <c:pt idx="1">
                  <c:v>0.12535086320927399</c:v>
                </c:pt>
                <c:pt idx="2">
                  <c:v>0.36758406997509402</c:v>
                </c:pt>
                <c:pt idx="3">
                  <c:v>-0.161754895727207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A83-44D4-A37C-CA6A6A74FC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56230352"/>
        <c:axId val="1344703008"/>
      </c:scatterChart>
      <c:valAx>
        <c:axId val="13562303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tau_c50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4703008"/>
        <c:crosses val="autoZero"/>
        <c:crossBetween val="midCat"/>
      </c:valAx>
      <c:valAx>
        <c:axId val="1344703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HI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62303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PP (mg/L)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upstream!$D$20</c:f>
              <c:strCache>
                <c:ptCount val="1"/>
                <c:pt idx="0">
                  <c:v>Langlois (2005)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15494523339772731"/>
                  <c:y val="-0.18591818879782884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upstream!$C$21:$C$23</c:f>
              <c:numCache>
                <c:formatCode>0.0000</c:formatCode>
                <c:ptCount val="3"/>
                <c:pt idx="0">
                  <c:v>9.4725974000000004E-2</c:v>
                </c:pt>
                <c:pt idx="1">
                  <c:v>0.102452336</c:v>
                </c:pt>
                <c:pt idx="2">
                  <c:v>0.110144282</c:v>
                </c:pt>
              </c:numCache>
            </c:numRef>
          </c:xVal>
          <c:yVal>
            <c:numRef>
              <c:f>upstream!$D$21:$D$23</c:f>
              <c:numCache>
                <c:formatCode>0.00000</c:formatCode>
                <c:ptCount val="3"/>
                <c:pt idx="0">
                  <c:v>2.2885725031264901</c:v>
                </c:pt>
                <c:pt idx="1">
                  <c:v>0.65629846710779305</c:v>
                </c:pt>
                <c:pt idx="2">
                  <c:v>0.61809493388466297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B97-4AC5-9B9D-C48505CAC553}"/>
            </c:ext>
          </c:extLst>
        </c:ser>
        <c:ser>
          <c:idx val="1"/>
          <c:order val="1"/>
          <c:tx>
            <c:strRef>
              <c:f>upstream!$E$20</c:f>
              <c:strCache>
                <c:ptCount val="1"/>
                <c:pt idx="0">
                  <c:v>Lawler (2006)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24064153658209694"/>
                  <c:y val="2.1438748727837593E-2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upstream!$C$21:$C$23</c:f>
              <c:numCache>
                <c:formatCode>0.0000</c:formatCode>
                <c:ptCount val="3"/>
                <c:pt idx="0">
                  <c:v>9.4725974000000004E-2</c:v>
                </c:pt>
                <c:pt idx="1">
                  <c:v>0.102452336</c:v>
                </c:pt>
                <c:pt idx="2">
                  <c:v>0.110144282</c:v>
                </c:pt>
              </c:numCache>
            </c:numRef>
          </c:xVal>
          <c:yVal>
            <c:numRef>
              <c:f>upstream!$E$21:$E$23</c:f>
              <c:numCache>
                <c:formatCode>0.00000</c:formatCode>
                <c:ptCount val="3"/>
                <c:pt idx="0">
                  <c:v>0.86069377106338596</c:v>
                </c:pt>
                <c:pt idx="1">
                  <c:v>-0.38672859447744201</c:v>
                </c:pt>
                <c:pt idx="2">
                  <c:v>-0.851696935181535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B97-4AC5-9B9D-C48505CAC553}"/>
            </c:ext>
          </c:extLst>
        </c:ser>
        <c:ser>
          <c:idx val="2"/>
          <c:order val="2"/>
          <c:tx>
            <c:strRef>
              <c:f>upstream!$F$20</c:f>
              <c:strCache>
                <c:ptCount val="1"/>
                <c:pt idx="0">
                  <c:v>Aich (2014) 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22512065045182716"/>
                  <c:y val="-0.1071530344421233"/>
                </c:manualLayout>
              </c:layout>
              <c:numFmt formatCode="General" sourceLinked="0"/>
              <c:spPr>
                <a:solidFill>
                  <a:schemeClr val="accent6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upstream!$C$21:$C$23</c:f>
              <c:numCache>
                <c:formatCode>0.0000</c:formatCode>
                <c:ptCount val="3"/>
                <c:pt idx="0">
                  <c:v>9.4725974000000004E-2</c:v>
                </c:pt>
                <c:pt idx="1">
                  <c:v>0.102452336</c:v>
                </c:pt>
                <c:pt idx="2">
                  <c:v>0.110144282</c:v>
                </c:pt>
              </c:numCache>
            </c:numRef>
          </c:xVal>
          <c:yVal>
            <c:numRef>
              <c:f>upstream!$F$21:$F$23</c:f>
              <c:numCache>
                <c:formatCode>0.00000</c:formatCode>
                <c:ptCount val="3"/>
                <c:pt idx="0">
                  <c:v>0.14822690674265199</c:v>
                </c:pt>
                <c:pt idx="1">
                  <c:v>-9.02599646039247E-2</c:v>
                </c:pt>
                <c:pt idx="2">
                  <c:v>-0.17562342751062601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0B97-4AC5-9B9D-C48505CAC5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56230352"/>
        <c:axId val="1344703008"/>
      </c:scatterChart>
      <c:valAx>
        <c:axId val="13562303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tau_c50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4703008"/>
        <c:crosses val="autoZero"/>
        <c:crossBetween val="midCat"/>
      </c:valAx>
      <c:valAx>
        <c:axId val="1344703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HI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62303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Turbidity (FNU)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upstream!$D$38</c:f>
              <c:strCache>
                <c:ptCount val="1"/>
                <c:pt idx="0">
                  <c:v>Langlois (2005)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19830769498183587"/>
                  <c:y val="-9.5039181253422464E-2"/>
                </c:manualLayout>
              </c:layout>
              <c:numFmt formatCode="General" sourceLinked="0"/>
              <c:spPr>
                <a:solidFill>
                  <a:schemeClr val="tx2">
                    <a:lumMod val="10000"/>
                    <a:lumOff val="9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upstream!$C$39:$C$42</c:f>
              <c:numCache>
                <c:formatCode>0.0000</c:formatCode>
                <c:ptCount val="4"/>
                <c:pt idx="0">
                  <c:v>9.4725974000000004E-2</c:v>
                </c:pt>
                <c:pt idx="1">
                  <c:v>0.102452336</c:v>
                </c:pt>
                <c:pt idx="2">
                  <c:v>0.110144282</c:v>
                </c:pt>
                <c:pt idx="3">
                  <c:v>9.3918104000000002E-2</c:v>
                </c:pt>
              </c:numCache>
            </c:numRef>
          </c:xVal>
          <c:yVal>
            <c:numRef>
              <c:f>upstream!$D$39:$D$42</c:f>
              <c:numCache>
                <c:formatCode>0.00000</c:formatCode>
                <c:ptCount val="4"/>
                <c:pt idx="0">
                  <c:v>1.2050076272027901</c:v>
                </c:pt>
                <c:pt idx="1">
                  <c:v>1.11910970408747</c:v>
                </c:pt>
                <c:pt idx="2">
                  <c:v>1.41606982531736</c:v>
                </c:pt>
                <c:pt idx="3">
                  <c:v>1.1637562782531401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126-4153-ADAF-C7CBB3E3F799}"/>
            </c:ext>
          </c:extLst>
        </c:ser>
        <c:ser>
          <c:idx val="1"/>
          <c:order val="1"/>
          <c:tx>
            <c:strRef>
              <c:f>upstream!$E$38</c:f>
              <c:strCache>
                <c:ptCount val="1"/>
                <c:pt idx="0">
                  <c:v>Lawler (2006)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25128782743216699"/>
                  <c:y val="-2.7789422005702523E-2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upstream!$C$39:$C$42</c:f>
              <c:numCache>
                <c:formatCode>0.0000</c:formatCode>
                <c:ptCount val="4"/>
                <c:pt idx="0">
                  <c:v>9.4725974000000004E-2</c:v>
                </c:pt>
                <c:pt idx="1">
                  <c:v>0.102452336</c:v>
                </c:pt>
                <c:pt idx="2">
                  <c:v>0.110144282</c:v>
                </c:pt>
                <c:pt idx="3">
                  <c:v>9.3918104000000002E-2</c:v>
                </c:pt>
              </c:numCache>
            </c:numRef>
          </c:xVal>
          <c:yVal>
            <c:numRef>
              <c:f>upstream!$E$39:$E$42</c:f>
              <c:numCache>
                <c:formatCode>0.00000</c:formatCode>
                <c:ptCount val="4"/>
                <c:pt idx="0">
                  <c:v>0.92674759673055396</c:v>
                </c:pt>
                <c:pt idx="1">
                  <c:v>0.156816283020727</c:v>
                </c:pt>
                <c:pt idx="2">
                  <c:v>0.52921681534296305</c:v>
                </c:pt>
                <c:pt idx="3">
                  <c:v>0.401331670241585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126-4153-ADAF-C7CBB3E3F799}"/>
            </c:ext>
          </c:extLst>
        </c:ser>
        <c:ser>
          <c:idx val="2"/>
          <c:order val="2"/>
          <c:tx>
            <c:strRef>
              <c:f>upstream!$F$38</c:f>
              <c:strCache>
                <c:ptCount val="1"/>
                <c:pt idx="0">
                  <c:v>Aich (2014) 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23618973996691808"/>
                  <c:y val="-7.9146283185190014E-2"/>
                </c:manualLayout>
              </c:layout>
              <c:numFmt formatCode="General" sourceLinked="0"/>
              <c:spPr>
                <a:solidFill>
                  <a:schemeClr val="accent6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upstream!$C$39:$C$42</c:f>
              <c:numCache>
                <c:formatCode>0.0000</c:formatCode>
                <c:ptCount val="4"/>
                <c:pt idx="0">
                  <c:v>9.4725974000000004E-2</c:v>
                </c:pt>
                <c:pt idx="1">
                  <c:v>0.102452336</c:v>
                </c:pt>
                <c:pt idx="2">
                  <c:v>0.110144282</c:v>
                </c:pt>
                <c:pt idx="3">
                  <c:v>9.3918104000000002E-2</c:v>
                </c:pt>
              </c:numCache>
            </c:numRef>
          </c:xVal>
          <c:yVal>
            <c:numRef>
              <c:f>upstream!$F$39:$F$42</c:f>
              <c:numCache>
                <c:formatCode>0.00000</c:formatCode>
                <c:ptCount val="4"/>
                <c:pt idx="0">
                  <c:v>0.13984116014494999</c:v>
                </c:pt>
                <c:pt idx="1">
                  <c:v>8.9326261366187695E-2</c:v>
                </c:pt>
                <c:pt idx="2">
                  <c:v>3.0850994672477702E-2</c:v>
                </c:pt>
                <c:pt idx="3">
                  <c:v>6.7271555006068101E-2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5126-4153-ADAF-C7CBB3E3F799}"/>
            </c:ext>
          </c:extLst>
        </c:ser>
        <c:ser>
          <c:idx val="3"/>
          <c:order val="3"/>
          <c:tx>
            <c:strRef>
              <c:f>upstream!$G$38</c:f>
              <c:strCache>
                <c:ptCount val="1"/>
                <c:pt idx="0">
                  <c:v>Lloyd (2016)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21513711420441659"/>
                  <c:y val="7.9801789482197086E-3"/>
                </c:manualLayout>
              </c:layout>
              <c:numFmt formatCode="General" sourceLinked="0"/>
              <c:spPr>
                <a:solidFill>
                  <a:schemeClr val="accent4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upstream!$C$39:$C$42</c:f>
              <c:numCache>
                <c:formatCode>0.0000</c:formatCode>
                <c:ptCount val="4"/>
                <c:pt idx="0">
                  <c:v>9.4725974000000004E-2</c:v>
                </c:pt>
                <c:pt idx="1">
                  <c:v>0.102452336</c:v>
                </c:pt>
                <c:pt idx="2">
                  <c:v>0.110144282</c:v>
                </c:pt>
                <c:pt idx="3">
                  <c:v>9.3918104000000002E-2</c:v>
                </c:pt>
              </c:numCache>
            </c:numRef>
          </c:xVal>
          <c:yVal>
            <c:numRef>
              <c:f>upstream!$G$39:$G$42</c:f>
              <c:numCache>
                <c:formatCode>0.00000</c:formatCode>
                <c:ptCount val="4"/>
                <c:pt idx="0">
                  <c:v>0.58415158227019104</c:v>
                </c:pt>
                <c:pt idx="1">
                  <c:v>5.92725219807008E-2</c:v>
                </c:pt>
                <c:pt idx="2">
                  <c:v>0.17041594173230901</c:v>
                </c:pt>
                <c:pt idx="3">
                  <c:v>8.1392652419518097E-2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5126-4153-ADAF-C7CBB3E3F799}"/>
            </c:ext>
          </c:extLst>
        </c:ser>
        <c:ser>
          <c:idx val="4"/>
          <c:order val="4"/>
          <c:tx>
            <c:strRef>
              <c:f>upstream!$H$38</c:f>
              <c:strCache>
                <c:ptCount val="1"/>
                <c:pt idx="0">
                  <c:v>Lawler Adapted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5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16601432075857969"/>
                  <c:y val="-0.20394127204687648"/>
                </c:manualLayout>
              </c:layout>
              <c:numFmt formatCode="General" sourceLinked="0"/>
              <c:spPr>
                <a:solidFill>
                  <a:schemeClr val="accent5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upstream!$C$39:$C$42</c:f>
              <c:numCache>
                <c:formatCode>0.0000</c:formatCode>
                <c:ptCount val="4"/>
                <c:pt idx="0">
                  <c:v>9.4725974000000004E-2</c:v>
                </c:pt>
                <c:pt idx="1">
                  <c:v>0.102452336</c:v>
                </c:pt>
                <c:pt idx="2">
                  <c:v>0.110144282</c:v>
                </c:pt>
                <c:pt idx="3">
                  <c:v>9.3918104000000002E-2</c:v>
                </c:pt>
              </c:numCache>
            </c:numRef>
          </c:xVal>
          <c:yVal>
            <c:numRef>
              <c:f>upstream!$H$39:$H$42</c:f>
              <c:numCache>
                <c:formatCode>0.00000</c:formatCode>
                <c:ptCount val="4"/>
                <c:pt idx="0">
                  <c:v>0.66959836720930499</c:v>
                </c:pt>
                <c:pt idx="1">
                  <c:v>0.1017952207019</c:v>
                </c:pt>
                <c:pt idx="2">
                  <c:v>0.33346513766249403</c:v>
                </c:pt>
                <c:pt idx="3">
                  <c:v>0.164652348864086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5126-4153-ADAF-C7CBB3E3F7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56230352"/>
        <c:axId val="1344703008"/>
      </c:scatterChart>
      <c:valAx>
        <c:axId val="13562303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tau_c50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4703008"/>
        <c:crosses val="autoZero"/>
        <c:crossBetween val="midCat"/>
      </c:valAx>
      <c:valAx>
        <c:axId val="1344703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HI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62303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5"/>
        <c:delete val="1"/>
      </c:legendEntry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fDOM</a:t>
            </a:r>
            <a:r>
              <a:rPr lang="en-US" baseline="0"/>
              <a:t> (RFU)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upstream!$D$38</c:f>
              <c:strCache>
                <c:ptCount val="1"/>
                <c:pt idx="0">
                  <c:v>Langlois (2005)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19830769498183587"/>
                  <c:y val="-9.5039181253422464E-2"/>
                </c:manualLayout>
              </c:layout>
              <c:numFmt formatCode="General" sourceLinked="0"/>
              <c:spPr>
                <a:solidFill>
                  <a:schemeClr val="tx2">
                    <a:lumMod val="10000"/>
                    <a:lumOff val="9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upstream!$C$39:$C$42</c:f>
              <c:numCache>
                <c:formatCode>0.0000</c:formatCode>
                <c:ptCount val="4"/>
                <c:pt idx="0">
                  <c:v>9.4725974000000004E-2</c:v>
                </c:pt>
                <c:pt idx="1">
                  <c:v>0.102452336</c:v>
                </c:pt>
                <c:pt idx="2">
                  <c:v>0.110144282</c:v>
                </c:pt>
                <c:pt idx="3">
                  <c:v>9.3918104000000002E-2</c:v>
                </c:pt>
              </c:numCache>
            </c:numRef>
          </c:xVal>
          <c:yVal>
            <c:numRef>
              <c:f>upstream!$D$45:$D$48</c:f>
              <c:numCache>
                <c:formatCode>0.00000</c:formatCode>
                <c:ptCount val="4"/>
                <c:pt idx="0">
                  <c:v>0.76151296818251002</c:v>
                </c:pt>
                <c:pt idx="1">
                  <c:v>0.63241662033349</c:v>
                </c:pt>
                <c:pt idx="2">
                  <c:v>0.64478493475432996</c:v>
                </c:pt>
                <c:pt idx="3">
                  <c:v>0.74506131022172795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BF5-4A81-AE3D-ADEA7D36661E}"/>
            </c:ext>
          </c:extLst>
        </c:ser>
        <c:ser>
          <c:idx val="1"/>
          <c:order val="1"/>
          <c:tx>
            <c:strRef>
              <c:f>upstream!$E$38</c:f>
              <c:strCache>
                <c:ptCount val="1"/>
                <c:pt idx="0">
                  <c:v>Lawler (2006)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21676827827924347"/>
                  <c:y val="-0.18843526912077166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upstream!$C$39:$C$42</c:f>
              <c:numCache>
                <c:formatCode>0.0000</c:formatCode>
                <c:ptCount val="4"/>
                <c:pt idx="0">
                  <c:v>9.4725974000000004E-2</c:v>
                </c:pt>
                <c:pt idx="1">
                  <c:v>0.102452336</c:v>
                </c:pt>
                <c:pt idx="2">
                  <c:v>0.110144282</c:v>
                </c:pt>
                <c:pt idx="3">
                  <c:v>9.3918104000000002E-2</c:v>
                </c:pt>
              </c:numCache>
            </c:numRef>
          </c:xVal>
          <c:yVal>
            <c:numRef>
              <c:f>upstream!$E$45:$E$48</c:f>
              <c:numCache>
                <c:formatCode>0.00000</c:formatCode>
                <c:ptCount val="4"/>
                <c:pt idx="0">
                  <c:v>-0.82455849900808098</c:v>
                </c:pt>
                <c:pt idx="1">
                  <c:v>-0.77305412456000899</c:v>
                </c:pt>
                <c:pt idx="2">
                  <c:v>-0.64445784381595494</c:v>
                </c:pt>
                <c:pt idx="3">
                  <c:v>-0.75894808346496501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BF5-4A81-AE3D-ADEA7D36661E}"/>
            </c:ext>
          </c:extLst>
        </c:ser>
        <c:ser>
          <c:idx val="2"/>
          <c:order val="2"/>
          <c:tx>
            <c:strRef>
              <c:f>upstream!$F$38</c:f>
              <c:strCache>
                <c:ptCount val="1"/>
                <c:pt idx="0">
                  <c:v>Aich (2014) 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22378582020007731"/>
                  <c:y val="-0.17808450414286453"/>
                </c:manualLayout>
              </c:layout>
              <c:numFmt formatCode="General" sourceLinked="0"/>
              <c:spPr>
                <a:solidFill>
                  <a:schemeClr val="accent6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upstream!$C$39:$C$42</c:f>
              <c:numCache>
                <c:formatCode>0.0000</c:formatCode>
                <c:ptCount val="4"/>
                <c:pt idx="0">
                  <c:v>9.4725974000000004E-2</c:v>
                </c:pt>
                <c:pt idx="1">
                  <c:v>0.102452336</c:v>
                </c:pt>
                <c:pt idx="2">
                  <c:v>0.110144282</c:v>
                </c:pt>
                <c:pt idx="3">
                  <c:v>9.3918104000000002E-2</c:v>
                </c:pt>
              </c:numCache>
            </c:numRef>
          </c:xVal>
          <c:yVal>
            <c:numRef>
              <c:f>upstream!$F$45:$F$48</c:f>
              <c:numCache>
                <c:formatCode>0.00000</c:formatCode>
                <c:ptCount val="4"/>
                <c:pt idx="0">
                  <c:v>-0.53010922957415696</c:v>
                </c:pt>
                <c:pt idx="1">
                  <c:v>-0.511670862423525</c:v>
                </c:pt>
                <c:pt idx="2">
                  <c:v>-0.24334139198969101</c:v>
                </c:pt>
                <c:pt idx="3">
                  <c:v>-0.37958282657101999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8BF5-4A81-AE3D-ADEA7D36661E}"/>
            </c:ext>
          </c:extLst>
        </c:ser>
        <c:ser>
          <c:idx val="3"/>
          <c:order val="3"/>
          <c:tx>
            <c:strRef>
              <c:f>upstream!$G$38</c:f>
              <c:strCache>
                <c:ptCount val="1"/>
                <c:pt idx="0">
                  <c:v>Lloyd (2016)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14190054685602224"/>
                  <c:y val="7.7248569735234709E-2"/>
                </c:manualLayout>
              </c:layout>
              <c:numFmt formatCode="General" sourceLinked="0"/>
              <c:spPr>
                <a:solidFill>
                  <a:schemeClr val="accent4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upstream!$C$39:$C$42</c:f>
              <c:numCache>
                <c:formatCode>0.0000</c:formatCode>
                <c:ptCount val="4"/>
                <c:pt idx="0">
                  <c:v>9.4725974000000004E-2</c:v>
                </c:pt>
                <c:pt idx="1">
                  <c:v>0.102452336</c:v>
                </c:pt>
                <c:pt idx="2">
                  <c:v>0.110144282</c:v>
                </c:pt>
                <c:pt idx="3">
                  <c:v>9.3918104000000002E-2</c:v>
                </c:pt>
              </c:numCache>
            </c:numRef>
          </c:xVal>
          <c:yVal>
            <c:numRef>
              <c:f>upstream!$G$45:$G$48</c:f>
              <c:numCache>
                <c:formatCode>0.00000</c:formatCode>
                <c:ptCount val="4"/>
                <c:pt idx="0">
                  <c:v>-0.67807302432253402</c:v>
                </c:pt>
                <c:pt idx="1">
                  <c:v>-0.62213976025652196</c:v>
                </c:pt>
                <c:pt idx="2">
                  <c:v>-0.34407999236201098</c:v>
                </c:pt>
                <c:pt idx="3">
                  <c:v>-0.37092334927613402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8BF5-4A81-AE3D-ADEA7D36661E}"/>
            </c:ext>
          </c:extLst>
        </c:ser>
        <c:ser>
          <c:idx val="4"/>
          <c:order val="4"/>
          <c:tx>
            <c:strRef>
              <c:f>upstream!$H$38</c:f>
              <c:strCache>
                <c:ptCount val="1"/>
                <c:pt idx="0">
                  <c:v>Lawler Adapted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5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19220688155632504"/>
                  <c:y val="-9.8590323268414978E-2"/>
                </c:manualLayout>
              </c:layout>
              <c:numFmt formatCode="General" sourceLinked="0"/>
              <c:spPr>
                <a:solidFill>
                  <a:schemeClr val="accent5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upstream!$C$39:$C$42</c:f>
              <c:numCache>
                <c:formatCode>0.0000</c:formatCode>
                <c:ptCount val="4"/>
                <c:pt idx="0">
                  <c:v>9.4725974000000004E-2</c:v>
                </c:pt>
                <c:pt idx="1">
                  <c:v>0.102452336</c:v>
                </c:pt>
                <c:pt idx="2">
                  <c:v>0.110144282</c:v>
                </c:pt>
                <c:pt idx="3">
                  <c:v>9.3918104000000002E-2</c:v>
                </c:pt>
              </c:numCache>
            </c:numRef>
          </c:xVal>
          <c:yVal>
            <c:numRef>
              <c:f>upstream!$H$45:$H$48</c:f>
              <c:numCache>
                <c:formatCode>0.00000</c:formatCode>
                <c:ptCount val="4"/>
                <c:pt idx="0">
                  <c:v>-0.81917889363282403</c:v>
                </c:pt>
                <c:pt idx="1">
                  <c:v>-0.76662036881149098</c:v>
                </c:pt>
                <c:pt idx="2">
                  <c:v>-0.52379920048275397</c:v>
                </c:pt>
                <c:pt idx="3">
                  <c:v>-0.49092006249230202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8BF5-4A81-AE3D-ADEA7D3666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56230352"/>
        <c:axId val="1344703008"/>
      </c:scatterChart>
      <c:valAx>
        <c:axId val="13562303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tau_c50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4703008"/>
        <c:crosses val="autoZero"/>
        <c:crossBetween val="midCat"/>
      </c:valAx>
      <c:valAx>
        <c:axId val="1344703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HI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62303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5"/>
        <c:delete val="1"/>
      </c:legendEntry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SSC (mg/L)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downstream!$D$2</c:f>
              <c:strCache>
                <c:ptCount val="1"/>
                <c:pt idx="0">
                  <c:v>Langlois (2005)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16664113624007729"/>
                  <c:y val="-6.139268305747498E-2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downstream!$C$3:$C$6</c:f>
              <c:numCache>
                <c:formatCode>0.0000</c:formatCode>
                <c:ptCount val="4"/>
                <c:pt idx="0">
                  <c:v>9.4725974000000004E-2</c:v>
                </c:pt>
                <c:pt idx="1">
                  <c:v>0.102452336</c:v>
                </c:pt>
                <c:pt idx="2">
                  <c:v>0.110144282</c:v>
                </c:pt>
                <c:pt idx="3">
                  <c:v>9.3918104000000002E-2</c:v>
                </c:pt>
              </c:numCache>
            </c:numRef>
          </c:xVal>
          <c:yVal>
            <c:numRef>
              <c:f>downstream!$D$3:$D$6</c:f>
              <c:numCache>
                <c:formatCode>0.00000</c:formatCode>
                <c:ptCount val="4"/>
                <c:pt idx="0">
                  <c:v>2.1746388039620901</c:v>
                </c:pt>
                <c:pt idx="1">
                  <c:v>2.2792285281778502</c:v>
                </c:pt>
                <c:pt idx="2">
                  <c:v>1.4480475262282899</c:v>
                </c:pt>
                <c:pt idx="3">
                  <c:v>0.665445371933445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585-47A3-B056-0568C7DD77A8}"/>
            </c:ext>
          </c:extLst>
        </c:ser>
        <c:ser>
          <c:idx val="1"/>
          <c:order val="1"/>
          <c:tx>
            <c:strRef>
              <c:f>downstream!$E$2</c:f>
              <c:strCache>
                <c:ptCount val="1"/>
                <c:pt idx="0">
                  <c:v>Lawler (2006)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18784970672753856"/>
                  <c:y val="-3.3317978109879125E-2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downstream!$C$3:$C$6</c:f>
              <c:numCache>
                <c:formatCode>0.0000</c:formatCode>
                <c:ptCount val="4"/>
                <c:pt idx="0">
                  <c:v>9.4725974000000004E-2</c:v>
                </c:pt>
                <c:pt idx="1">
                  <c:v>0.102452336</c:v>
                </c:pt>
                <c:pt idx="2">
                  <c:v>0.110144282</c:v>
                </c:pt>
                <c:pt idx="3">
                  <c:v>9.3918104000000002E-2</c:v>
                </c:pt>
              </c:numCache>
            </c:numRef>
          </c:xVal>
          <c:yVal>
            <c:numRef>
              <c:f>downstream!$E$3:$E$6</c:f>
              <c:numCache>
                <c:formatCode>0.00000</c:formatCode>
                <c:ptCount val="4"/>
                <c:pt idx="0">
                  <c:v>0.90358482744648005</c:v>
                </c:pt>
                <c:pt idx="1">
                  <c:v>0.663434225775831</c:v>
                </c:pt>
                <c:pt idx="2">
                  <c:v>0.66475177086608195</c:v>
                </c:pt>
                <c:pt idx="3">
                  <c:v>-1.0305451800868599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0585-47A3-B056-0568C7DD77A8}"/>
            </c:ext>
          </c:extLst>
        </c:ser>
        <c:ser>
          <c:idx val="2"/>
          <c:order val="2"/>
          <c:tx>
            <c:strRef>
              <c:f>downstream!$F$2</c:f>
              <c:strCache>
                <c:ptCount val="1"/>
                <c:pt idx="0">
                  <c:v>Aich (2014) 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20172884476712721"/>
                  <c:y val="8.6730944346242428E-2"/>
                </c:manualLayout>
              </c:layout>
              <c:numFmt formatCode="General" sourceLinked="0"/>
              <c:spPr>
                <a:solidFill>
                  <a:schemeClr val="accent6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downstream!$C$3:$C$6</c:f>
              <c:numCache>
                <c:formatCode>0.0000</c:formatCode>
                <c:ptCount val="4"/>
                <c:pt idx="0">
                  <c:v>9.4725974000000004E-2</c:v>
                </c:pt>
                <c:pt idx="1">
                  <c:v>0.102452336</c:v>
                </c:pt>
                <c:pt idx="2">
                  <c:v>0.110144282</c:v>
                </c:pt>
                <c:pt idx="3">
                  <c:v>9.3918104000000002E-2</c:v>
                </c:pt>
              </c:numCache>
            </c:numRef>
          </c:xVal>
          <c:yVal>
            <c:numRef>
              <c:f>downstream!$F$3:$F$6</c:f>
              <c:numCache>
                <c:formatCode>0.00000</c:formatCode>
                <c:ptCount val="4"/>
                <c:pt idx="0">
                  <c:v>0.17369777575697301</c:v>
                </c:pt>
                <c:pt idx="1">
                  <c:v>9.9143945152060597E-2</c:v>
                </c:pt>
                <c:pt idx="2">
                  <c:v>0.21234239309632399</c:v>
                </c:pt>
                <c:pt idx="3">
                  <c:v>-4.1760232547360499E-2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0585-47A3-B056-0568C7DD77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56230352"/>
        <c:axId val="1344703008"/>
      </c:scatterChart>
      <c:valAx>
        <c:axId val="13562303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tau_c50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4703008"/>
        <c:crosses val="autoZero"/>
        <c:crossBetween val="midCat"/>
      </c:valAx>
      <c:valAx>
        <c:axId val="1344703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HI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62303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DOC (mg/L)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downstream!$D$8</c:f>
              <c:strCache>
                <c:ptCount val="1"/>
                <c:pt idx="0">
                  <c:v>Langlois (2005)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16664113624007729"/>
                  <c:y val="-6.139268305747498E-2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downstream!$C$9:$C$12</c:f>
              <c:numCache>
                <c:formatCode>0.0000</c:formatCode>
                <c:ptCount val="4"/>
                <c:pt idx="0">
                  <c:v>9.4725974000000004E-2</c:v>
                </c:pt>
                <c:pt idx="1">
                  <c:v>0.102452336</c:v>
                </c:pt>
                <c:pt idx="2">
                  <c:v>0.110144282</c:v>
                </c:pt>
                <c:pt idx="3">
                  <c:v>9.3918104000000002E-2</c:v>
                </c:pt>
              </c:numCache>
            </c:numRef>
          </c:xVal>
          <c:yVal>
            <c:numRef>
              <c:f>downstream!$D$9:$D$12</c:f>
              <c:numCache>
                <c:formatCode>0.00000</c:formatCode>
                <c:ptCount val="4"/>
                <c:pt idx="0">
                  <c:v>0.93103098270545204</c:v>
                </c:pt>
                <c:pt idx="1">
                  <c:v>0.62021758140125105</c:v>
                </c:pt>
                <c:pt idx="2">
                  <c:v>0.77501210984665403</c:v>
                </c:pt>
                <c:pt idx="3">
                  <c:v>0.66267278810022201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1A8-4346-B760-CE308CA93636}"/>
            </c:ext>
          </c:extLst>
        </c:ser>
        <c:ser>
          <c:idx val="1"/>
          <c:order val="1"/>
          <c:tx>
            <c:strRef>
              <c:f>downstream!$E$8</c:f>
              <c:strCache>
                <c:ptCount val="1"/>
                <c:pt idx="0">
                  <c:v>Lawler (2006)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20952611332869386"/>
                  <c:y val="3.5912296677201062E-2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downstream!$C$9:$C$12</c:f>
              <c:numCache>
                <c:formatCode>0.0000</c:formatCode>
                <c:ptCount val="4"/>
                <c:pt idx="0">
                  <c:v>9.4725974000000004E-2</c:v>
                </c:pt>
                <c:pt idx="1">
                  <c:v>0.102452336</c:v>
                </c:pt>
                <c:pt idx="2">
                  <c:v>0.110144282</c:v>
                </c:pt>
                <c:pt idx="3">
                  <c:v>9.3918104000000002E-2</c:v>
                </c:pt>
              </c:numCache>
            </c:numRef>
          </c:xVal>
          <c:yVal>
            <c:numRef>
              <c:f>downstream!$E$9:$E$12</c:f>
              <c:numCache>
                <c:formatCode>0.00000</c:formatCode>
                <c:ptCount val="4"/>
                <c:pt idx="0">
                  <c:v>0.356634245125801</c:v>
                </c:pt>
                <c:pt idx="1">
                  <c:v>-0.834312574960141</c:v>
                </c:pt>
                <c:pt idx="2">
                  <c:v>-0.908415578463458</c:v>
                </c:pt>
                <c:pt idx="3">
                  <c:v>-1.0273129897173701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1A8-4346-B760-CE308CA93636}"/>
            </c:ext>
          </c:extLst>
        </c:ser>
        <c:ser>
          <c:idx val="2"/>
          <c:order val="2"/>
          <c:tx>
            <c:strRef>
              <c:f>downstream!$F$8</c:f>
              <c:strCache>
                <c:ptCount val="1"/>
                <c:pt idx="0">
                  <c:v>Aich (2014) 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21124151241223851"/>
                  <c:y val="-4.6970557251772099E-2"/>
                </c:manualLayout>
              </c:layout>
              <c:numFmt formatCode="General" sourceLinked="0"/>
              <c:spPr>
                <a:solidFill>
                  <a:schemeClr val="accent6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downstream!$C$9:$C$12</c:f>
              <c:numCache>
                <c:formatCode>0.0000</c:formatCode>
                <c:ptCount val="4"/>
                <c:pt idx="0">
                  <c:v>9.4725974000000004E-2</c:v>
                </c:pt>
                <c:pt idx="1">
                  <c:v>0.102452336</c:v>
                </c:pt>
                <c:pt idx="2">
                  <c:v>0.110144282</c:v>
                </c:pt>
                <c:pt idx="3">
                  <c:v>9.3918104000000002E-2</c:v>
                </c:pt>
              </c:numCache>
            </c:numRef>
          </c:xVal>
          <c:yVal>
            <c:numRef>
              <c:f>downstream!$F$9:$F$12</c:f>
              <c:numCache>
                <c:formatCode>0.00000</c:formatCode>
                <c:ptCount val="4"/>
                <c:pt idx="0">
                  <c:v>1.7836570943256701E-2</c:v>
                </c:pt>
                <c:pt idx="1">
                  <c:v>-0.54160608613664096</c:v>
                </c:pt>
                <c:pt idx="2">
                  <c:v>-0.17637365181995501</c:v>
                </c:pt>
                <c:pt idx="3">
                  <c:v>-4.74716361793363E-2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F1A8-4346-B760-CE308CA936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56230352"/>
        <c:axId val="1344703008"/>
      </c:scatterChart>
      <c:valAx>
        <c:axId val="13562303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tau_c50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4703008"/>
        <c:crosses val="autoZero"/>
        <c:crossBetween val="midCat"/>
      </c:valAx>
      <c:valAx>
        <c:axId val="1344703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HI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62303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POC (mg/L)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downstream!$D$14</c:f>
              <c:strCache>
                <c:ptCount val="1"/>
                <c:pt idx="0">
                  <c:v>Langlois (2005)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16664113624007729"/>
                  <c:y val="-6.139268305747498E-2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downstream!$C$15:$C$18</c:f>
              <c:numCache>
                <c:formatCode>0.0000</c:formatCode>
                <c:ptCount val="4"/>
                <c:pt idx="0">
                  <c:v>9.4725974000000004E-2</c:v>
                </c:pt>
                <c:pt idx="1">
                  <c:v>0.102452336</c:v>
                </c:pt>
                <c:pt idx="2">
                  <c:v>0.110144282</c:v>
                </c:pt>
                <c:pt idx="3">
                  <c:v>9.3918104000000002E-2</c:v>
                </c:pt>
              </c:numCache>
            </c:numRef>
          </c:xVal>
          <c:yVal>
            <c:numRef>
              <c:f>downstream!$D$15:$D$18</c:f>
              <c:numCache>
                <c:formatCode>0.00000</c:formatCode>
                <c:ptCount val="4"/>
                <c:pt idx="0">
                  <c:v>1.5737102771314899</c:v>
                </c:pt>
                <c:pt idx="1">
                  <c:v>1.50347635019633</c:v>
                </c:pt>
                <c:pt idx="2">
                  <c:v>1.46809780024647</c:v>
                </c:pt>
                <c:pt idx="3">
                  <c:v>0.56520265738304298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DE2-4663-A01F-3DBF7F5768D6}"/>
            </c:ext>
          </c:extLst>
        </c:ser>
        <c:ser>
          <c:idx val="1"/>
          <c:order val="1"/>
          <c:tx>
            <c:strRef>
              <c:f>downstream!$E$14</c:f>
              <c:strCache>
                <c:ptCount val="1"/>
                <c:pt idx="0">
                  <c:v>Lawler (2006)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22122201617104384"/>
                  <c:y val="0.12122020461727999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downstream!$C$15:$C$18</c:f>
              <c:numCache>
                <c:formatCode>0.0000</c:formatCode>
                <c:ptCount val="4"/>
                <c:pt idx="0">
                  <c:v>9.4725974000000004E-2</c:v>
                </c:pt>
                <c:pt idx="1">
                  <c:v>0.102452336</c:v>
                </c:pt>
                <c:pt idx="2">
                  <c:v>0.110144282</c:v>
                </c:pt>
                <c:pt idx="3">
                  <c:v>9.3918104000000002E-2</c:v>
                </c:pt>
              </c:numCache>
            </c:numRef>
          </c:xVal>
          <c:yVal>
            <c:numRef>
              <c:f>downstream!$E$15:$E$18</c:f>
              <c:numCache>
                <c:formatCode>0.00000</c:formatCode>
                <c:ptCount val="4"/>
                <c:pt idx="0">
                  <c:v>0.86635228697468503</c:v>
                </c:pt>
                <c:pt idx="1">
                  <c:v>0.96614890517595997</c:v>
                </c:pt>
                <c:pt idx="2">
                  <c:v>0.61110995616383801</c:v>
                </c:pt>
                <c:pt idx="3">
                  <c:v>-1.0275595596207601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DE2-4663-A01F-3DBF7F5768D6}"/>
            </c:ext>
          </c:extLst>
        </c:ser>
        <c:ser>
          <c:idx val="2"/>
          <c:order val="2"/>
          <c:tx>
            <c:strRef>
              <c:f>downstream!$F$14</c:f>
              <c:strCache>
                <c:ptCount val="1"/>
                <c:pt idx="0">
                  <c:v>Aich (2014) 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22512065045182716"/>
                  <c:y val="-0.1071530344421233"/>
                </c:manualLayout>
              </c:layout>
              <c:numFmt formatCode="General" sourceLinked="0"/>
              <c:spPr>
                <a:solidFill>
                  <a:schemeClr val="accent6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downstream!$C$15:$C$18</c:f>
              <c:numCache>
                <c:formatCode>0.0000</c:formatCode>
                <c:ptCount val="4"/>
                <c:pt idx="0">
                  <c:v>9.4725974000000004E-2</c:v>
                </c:pt>
                <c:pt idx="1">
                  <c:v>0.102452336</c:v>
                </c:pt>
                <c:pt idx="2">
                  <c:v>0.110144282</c:v>
                </c:pt>
                <c:pt idx="3">
                  <c:v>9.3918104000000002E-2</c:v>
                </c:pt>
              </c:numCache>
            </c:numRef>
          </c:xVal>
          <c:yVal>
            <c:numRef>
              <c:f>downstream!$F$15:$F$18</c:f>
              <c:numCache>
                <c:formatCode>0.00000</c:formatCode>
                <c:ptCount val="4"/>
                <c:pt idx="0">
                  <c:v>0.199680501000808</c:v>
                </c:pt>
                <c:pt idx="1">
                  <c:v>0.12535086320927399</c:v>
                </c:pt>
                <c:pt idx="2">
                  <c:v>0.42964915677977999</c:v>
                </c:pt>
                <c:pt idx="3">
                  <c:v>-6.6277814143714905E-2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DE2-4663-A01F-3DBF7F5768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56230352"/>
        <c:axId val="1344703008"/>
      </c:scatterChart>
      <c:valAx>
        <c:axId val="13562303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tau_c50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4703008"/>
        <c:crosses val="autoZero"/>
        <c:crossBetween val="midCat"/>
      </c:valAx>
      <c:valAx>
        <c:axId val="1344703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HI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62303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PP (mg/L)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downstream!$D$20</c:f>
              <c:strCache>
                <c:ptCount val="1"/>
                <c:pt idx="0">
                  <c:v>Langlois (2005)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15494523339772731"/>
                  <c:y val="-0.18591818879782884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downstream!$C$21:$C$23</c:f>
              <c:numCache>
                <c:formatCode>0.0000</c:formatCode>
                <c:ptCount val="3"/>
                <c:pt idx="0">
                  <c:v>9.4725974000000004E-2</c:v>
                </c:pt>
                <c:pt idx="1">
                  <c:v>0.102452336</c:v>
                </c:pt>
                <c:pt idx="2">
                  <c:v>0.110144282</c:v>
                </c:pt>
              </c:numCache>
            </c:numRef>
          </c:xVal>
          <c:yVal>
            <c:numRef>
              <c:f>downstream!$D$21:$D$23</c:f>
              <c:numCache>
                <c:formatCode>0.00000</c:formatCode>
                <c:ptCount val="3"/>
                <c:pt idx="0">
                  <c:v>2.2885725031264901</c:v>
                </c:pt>
                <c:pt idx="1">
                  <c:v>0.65629846710779305</c:v>
                </c:pt>
                <c:pt idx="2">
                  <c:v>0.92225532580611602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08D-4C22-BD18-E4CB9ED07FDF}"/>
            </c:ext>
          </c:extLst>
        </c:ser>
        <c:ser>
          <c:idx val="1"/>
          <c:order val="1"/>
          <c:tx>
            <c:strRef>
              <c:f>downstream!$E$20</c:f>
              <c:strCache>
                <c:ptCount val="1"/>
                <c:pt idx="0">
                  <c:v>Lawler (2006)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24064153658209694"/>
                  <c:y val="2.1438748727837593E-2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downstream!$C$21:$C$23</c:f>
              <c:numCache>
                <c:formatCode>0.0000</c:formatCode>
                <c:ptCount val="3"/>
                <c:pt idx="0">
                  <c:v>9.4725974000000004E-2</c:v>
                </c:pt>
                <c:pt idx="1">
                  <c:v>0.102452336</c:v>
                </c:pt>
                <c:pt idx="2">
                  <c:v>0.110144282</c:v>
                </c:pt>
              </c:numCache>
            </c:numRef>
          </c:xVal>
          <c:yVal>
            <c:numRef>
              <c:f>downstream!$E$21:$E$23</c:f>
              <c:numCache>
                <c:formatCode>0.00000</c:formatCode>
                <c:ptCount val="3"/>
                <c:pt idx="0">
                  <c:v>0.86069377106338596</c:v>
                </c:pt>
                <c:pt idx="1">
                  <c:v>-0.38672859447744201</c:v>
                </c:pt>
                <c:pt idx="2">
                  <c:v>-0.36586676677487101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08D-4C22-BD18-E4CB9ED07FDF}"/>
            </c:ext>
          </c:extLst>
        </c:ser>
        <c:ser>
          <c:idx val="2"/>
          <c:order val="2"/>
          <c:tx>
            <c:strRef>
              <c:f>downstream!$F$20</c:f>
              <c:strCache>
                <c:ptCount val="1"/>
                <c:pt idx="0">
                  <c:v>Aich (2014) 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22512065045182716"/>
                  <c:y val="-0.1071530344421233"/>
                </c:manualLayout>
              </c:layout>
              <c:numFmt formatCode="General" sourceLinked="0"/>
              <c:spPr>
                <a:solidFill>
                  <a:schemeClr val="accent6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downstream!$C$21:$C$23</c:f>
              <c:numCache>
                <c:formatCode>0.0000</c:formatCode>
                <c:ptCount val="3"/>
                <c:pt idx="0">
                  <c:v>9.4725974000000004E-2</c:v>
                </c:pt>
                <c:pt idx="1">
                  <c:v>0.102452336</c:v>
                </c:pt>
                <c:pt idx="2">
                  <c:v>0.110144282</c:v>
                </c:pt>
              </c:numCache>
            </c:numRef>
          </c:xVal>
          <c:yVal>
            <c:numRef>
              <c:f>downstream!$F$21:$F$23</c:f>
              <c:numCache>
                <c:formatCode>0.00000</c:formatCode>
                <c:ptCount val="3"/>
                <c:pt idx="0">
                  <c:v>0.14822690674265199</c:v>
                </c:pt>
                <c:pt idx="1">
                  <c:v>-9.02599646039247E-2</c:v>
                </c:pt>
                <c:pt idx="2">
                  <c:v>3.59517217205262E-2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308D-4C22-BD18-E4CB9ED07F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56230352"/>
        <c:axId val="1344703008"/>
      </c:scatterChart>
      <c:valAx>
        <c:axId val="13562303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tau_c50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4703008"/>
        <c:crosses val="autoZero"/>
        <c:crossBetween val="midCat"/>
      </c:valAx>
      <c:valAx>
        <c:axId val="1344703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HI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62303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Turbidity (FNU)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downstream!$D$38</c:f>
              <c:strCache>
                <c:ptCount val="1"/>
                <c:pt idx="0">
                  <c:v>Langlois (2005)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19830769498183587"/>
                  <c:y val="-9.5039181253422464E-2"/>
                </c:manualLayout>
              </c:layout>
              <c:numFmt formatCode="General" sourceLinked="0"/>
              <c:spPr>
                <a:solidFill>
                  <a:schemeClr val="tx2">
                    <a:lumMod val="10000"/>
                    <a:lumOff val="9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downstream!$C$39:$C$42</c:f>
              <c:numCache>
                <c:formatCode>0.0000</c:formatCode>
                <c:ptCount val="4"/>
                <c:pt idx="0">
                  <c:v>9.4725974000000004E-2</c:v>
                </c:pt>
                <c:pt idx="1">
                  <c:v>0.102452336</c:v>
                </c:pt>
                <c:pt idx="2">
                  <c:v>0.110144282</c:v>
                </c:pt>
                <c:pt idx="3">
                  <c:v>9.3918104000000002E-2</c:v>
                </c:pt>
              </c:numCache>
            </c:numRef>
          </c:xVal>
          <c:yVal>
            <c:numRef>
              <c:f>downstream!$D$39:$D$42</c:f>
              <c:numCache>
                <c:formatCode>0.00000</c:formatCode>
                <c:ptCount val="4"/>
                <c:pt idx="0">
                  <c:v>1.2050076272027901</c:v>
                </c:pt>
                <c:pt idx="1">
                  <c:v>1.11910970408747</c:v>
                </c:pt>
                <c:pt idx="2">
                  <c:v>1.4074954172257299</c:v>
                </c:pt>
                <c:pt idx="3">
                  <c:v>1.1637562782531401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72A-485C-BB97-E93B5176A243}"/>
            </c:ext>
          </c:extLst>
        </c:ser>
        <c:ser>
          <c:idx val="1"/>
          <c:order val="1"/>
          <c:tx>
            <c:strRef>
              <c:f>downstream!$E$38</c:f>
              <c:strCache>
                <c:ptCount val="1"/>
                <c:pt idx="0">
                  <c:v>Lawler (2006)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25128782743216699"/>
                  <c:y val="-2.7789422005702523E-2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downstream!$C$39:$C$42</c:f>
              <c:numCache>
                <c:formatCode>0.0000</c:formatCode>
                <c:ptCount val="4"/>
                <c:pt idx="0">
                  <c:v>9.4725974000000004E-2</c:v>
                </c:pt>
                <c:pt idx="1">
                  <c:v>0.102452336</c:v>
                </c:pt>
                <c:pt idx="2">
                  <c:v>0.110144282</c:v>
                </c:pt>
                <c:pt idx="3">
                  <c:v>9.3918104000000002E-2</c:v>
                </c:pt>
              </c:numCache>
            </c:numRef>
          </c:xVal>
          <c:yVal>
            <c:numRef>
              <c:f>downstream!$E$39:$E$42</c:f>
              <c:numCache>
                <c:formatCode>0.00000</c:formatCode>
                <c:ptCount val="4"/>
                <c:pt idx="0">
                  <c:v>0.92674759673055396</c:v>
                </c:pt>
                <c:pt idx="1">
                  <c:v>0.156816283020727</c:v>
                </c:pt>
                <c:pt idx="2">
                  <c:v>0.25880560171696498</c:v>
                </c:pt>
                <c:pt idx="3">
                  <c:v>0.401331670241585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72A-485C-BB97-E93B5176A243}"/>
            </c:ext>
          </c:extLst>
        </c:ser>
        <c:ser>
          <c:idx val="2"/>
          <c:order val="2"/>
          <c:tx>
            <c:strRef>
              <c:f>downstream!$F$38</c:f>
              <c:strCache>
                <c:ptCount val="1"/>
                <c:pt idx="0">
                  <c:v>Aich (2014) 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22921277224452904"/>
                  <c:y val="-0.1270941671859363"/>
                </c:manualLayout>
              </c:layout>
              <c:numFmt formatCode="General" sourceLinked="0"/>
              <c:spPr>
                <a:solidFill>
                  <a:schemeClr val="accent6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downstream!$C$39:$C$42</c:f>
              <c:numCache>
                <c:formatCode>0.0000</c:formatCode>
                <c:ptCount val="4"/>
                <c:pt idx="0">
                  <c:v>9.4725974000000004E-2</c:v>
                </c:pt>
                <c:pt idx="1">
                  <c:v>0.102452336</c:v>
                </c:pt>
                <c:pt idx="2">
                  <c:v>0.110144282</c:v>
                </c:pt>
                <c:pt idx="3">
                  <c:v>9.3918104000000002E-2</c:v>
                </c:pt>
              </c:numCache>
            </c:numRef>
          </c:xVal>
          <c:yVal>
            <c:numRef>
              <c:f>downstream!$F$39:$F$42</c:f>
              <c:numCache>
                <c:formatCode>0.00000</c:formatCode>
                <c:ptCount val="4"/>
                <c:pt idx="0">
                  <c:v>0.13984116014494999</c:v>
                </c:pt>
                <c:pt idx="1">
                  <c:v>8.9326261366187695E-2</c:v>
                </c:pt>
                <c:pt idx="2">
                  <c:v>4.6283799610675601E-2</c:v>
                </c:pt>
                <c:pt idx="3">
                  <c:v>6.7271555006068101E-2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72A-485C-BB97-E93B5176A243}"/>
            </c:ext>
          </c:extLst>
        </c:ser>
        <c:ser>
          <c:idx val="3"/>
          <c:order val="3"/>
          <c:tx>
            <c:strRef>
              <c:f>downstream!$G$38</c:f>
              <c:strCache>
                <c:ptCount val="1"/>
                <c:pt idx="0">
                  <c:v>Lloyd (2016)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14190054685602224"/>
                  <c:y val="7.7248569735234709E-2"/>
                </c:manualLayout>
              </c:layout>
              <c:numFmt formatCode="General" sourceLinked="0"/>
              <c:spPr>
                <a:solidFill>
                  <a:schemeClr val="accent4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downstream!$C$39:$C$42</c:f>
              <c:numCache>
                <c:formatCode>0.0000</c:formatCode>
                <c:ptCount val="4"/>
                <c:pt idx="0">
                  <c:v>9.4725974000000004E-2</c:v>
                </c:pt>
                <c:pt idx="1">
                  <c:v>0.102452336</c:v>
                </c:pt>
                <c:pt idx="2">
                  <c:v>0.110144282</c:v>
                </c:pt>
                <c:pt idx="3">
                  <c:v>9.3918104000000002E-2</c:v>
                </c:pt>
              </c:numCache>
            </c:numRef>
          </c:xVal>
          <c:yVal>
            <c:numRef>
              <c:f>downstream!$G$39:$G$42</c:f>
              <c:numCache>
                <c:formatCode>0.00000</c:formatCode>
                <c:ptCount val="4"/>
                <c:pt idx="0">
                  <c:v>0.58415158227019104</c:v>
                </c:pt>
                <c:pt idx="1">
                  <c:v>5.92725219807008E-2</c:v>
                </c:pt>
                <c:pt idx="2">
                  <c:v>0.10621290455320199</c:v>
                </c:pt>
                <c:pt idx="3">
                  <c:v>8.1392652419518097E-2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772A-485C-BB97-E93B5176A243}"/>
            </c:ext>
          </c:extLst>
        </c:ser>
        <c:ser>
          <c:idx val="4"/>
          <c:order val="4"/>
          <c:tx>
            <c:strRef>
              <c:f>downstream!$H$38</c:f>
              <c:strCache>
                <c:ptCount val="1"/>
                <c:pt idx="0">
                  <c:v>Lawler Adapted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5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7.5422989344874944E-2"/>
                  <c:y val="4.1488698804735737E-3"/>
                </c:manualLayout>
              </c:layout>
              <c:numFmt formatCode="General" sourceLinked="0"/>
              <c:spPr>
                <a:solidFill>
                  <a:schemeClr val="accent5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downstream!$C$39:$C$42</c:f>
              <c:numCache>
                <c:formatCode>0.0000</c:formatCode>
                <c:ptCount val="4"/>
                <c:pt idx="0">
                  <c:v>9.4725974000000004E-2</c:v>
                </c:pt>
                <c:pt idx="1">
                  <c:v>0.102452336</c:v>
                </c:pt>
                <c:pt idx="2">
                  <c:v>0.110144282</c:v>
                </c:pt>
                <c:pt idx="3">
                  <c:v>9.3918104000000002E-2</c:v>
                </c:pt>
              </c:numCache>
            </c:numRef>
          </c:xVal>
          <c:yVal>
            <c:numRef>
              <c:f>downstream!$H$39:$H$42</c:f>
              <c:numCache>
                <c:formatCode>0.00000</c:formatCode>
                <c:ptCount val="4"/>
                <c:pt idx="0">
                  <c:v>0.66959836720930499</c:v>
                </c:pt>
                <c:pt idx="1">
                  <c:v>0.1017952207019</c:v>
                </c:pt>
                <c:pt idx="2">
                  <c:v>-0.90837567524790197</c:v>
                </c:pt>
                <c:pt idx="3">
                  <c:v>0.164652348864086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772A-485C-BB97-E93B5176A2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56230352"/>
        <c:axId val="1344703008"/>
      </c:scatterChart>
      <c:valAx>
        <c:axId val="13562303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tau_c50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4703008"/>
        <c:crosses val="autoZero"/>
        <c:crossBetween val="midCat"/>
      </c:valAx>
      <c:valAx>
        <c:axId val="1344703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HI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62303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5"/>
        <c:delete val="1"/>
      </c:legendEntry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fDOM</a:t>
            </a:r>
            <a:r>
              <a:rPr lang="en-US" baseline="0"/>
              <a:t> (RFU)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downstream!$D$38</c:f>
              <c:strCache>
                <c:ptCount val="1"/>
                <c:pt idx="0">
                  <c:v>Langlois (2005)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19830769498183587"/>
                  <c:y val="-9.5039181253422464E-2"/>
                </c:manualLayout>
              </c:layout>
              <c:numFmt formatCode="General" sourceLinked="0"/>
              <c:spPr>
                <a:solidFill>
                  <a:schemeClr val="tx2">
                    <a:lumMod val="10000"/>
                    <a:lumOff val="9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downstream!$C$39:$C$42</c:f>
              <c:numCache>
                <c:formatCode>0.0000</c:formatCode>
                <c:ptCount val="4"/>
                <c:pt idx="0">
                  <c:v>9.4725974000000004E-2</c:v>
                </c:pt>
                <c:pt idx="1">
                  <c:v>0.102452336</c:v>
                </c:pt>
                <c:pt idx="2">
                  <c:v>0.110144282</c:v>
                </c:pt>
                <c:pt idx="3">
                  <c:v>9.3918104000000002E-2</c:v>
                </c:pt>
              </c:numCache>
            </c:numRef>
          </c:xVal>
          <c:yVal>
            <c:numRef>
              <c:f>downstream!$D$45:$D$48</c:f>
              <c:numCache>
                <c:formatCode>0.00000</c:formatCode>
                <c:ptCount val="4"/>
                <c:pt idx="0">
                  <c:v>0.76151296818251002</c:v>
                </c:pt>
                <c:pt idx="1">
                  <c:v>0.63241662033349</c:v>
                </c:pt>
                <c:pt idx="2">
                  <c:v>0.68587815994758305</c:v>
                </c:pt>
                <c:pt idx="3">
                  <c:v>0.74506131022172795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250-4D6C-9CA1-EFF481423672}"/>
            </c:ext>
          </c:extLst>
        </c:ser>
        <c:ser>
          <c:idx val="1"/>
          <c:order val="1"/>
          <c:tx>
            <c:strRef>
              <c:f>downstream!$E$38</c:f>
              <c:strCache>
                <c:ptCount val="1"/>
                <c:pt idx="0">
                  <c:v>Lawler (2006)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21676827827924347"/>
                  <c:y val="-0.18843526912077166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downstream!$C$39:$C$42</c:f>
              <c:numCache>
                <c:formatCode>0.0000</c:formatCode>
                <c:ptCount val="4"/>
                <c:pt idx="0">
                  <c:v>9.4725974000000004E-2</c:v>
                </c:pt>
                <c:pt idx="1">
                  <c:v>0.102452336</c:v>
                </c:pt>
                <c:pt idx="2">
                  <c:v>0.110144282</c:v>
                </c:pt>
                <c:pt idx="3">
                  <c:v>9.3918104000000002E-2</c:v>
                </c:pt>
              </c:numCache>
            </c:numRef>
          </c:xVal>
          <c:yVal>
            <c:numRef>
              <c:f>downstream!$E$45:$E$48</c:f>
              <c:numCache>
                <c:formatCode>0.00000</c:formatCode>
                <c:ptCount val="4"/>
                <c:pt idx="0">
                  <c:v>-0.82455849900808098</c:v>
                </c:pt>
                <c:pt idx="1">
                  <c:v>-0.77305412456000899</c:v>
                </c:pt>
                <c:pt idx="2">
                  <c:v>-0.74314055155585101</c:v>
                </c:pt>
                <c:pt idx="3">
                  <c:v>-0.75894808346496501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250-4D6C-9CA1-EFF481423672}"/>
            </c:ext>
          </c:extLst>
        </c:ser>
        <c:ser>
          <c:idx val="2"/>
          <c:order val="2"/>
          <c:tx>
            <c:strRef>
              <c:f>downstream!$F$38</c:f>
              <c:strCache>
                <c:ptCount val="1"/>
                <c:pt idx="0">
                  <c:v>Aich (2014) 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22378582020007731"/>
                  <c:y val="-0.17808450414286453"/>
                </c:manualLayout>
              </c:layout>
              <c:numFmt formatCode="General" sourceLinked="0"/>
              <c:spPr>
                <a:solidFill>
                  <a:schemeClr val="accent6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downstream!$C$39:$C$42</c:f>
              <c:numCache>
                <c:formatCode>0.0000</c:formatCode>
                <c:ptCount val="4"/>
                <c:pt idx="0">
                  <c:v>9.4725974000000004E-2</c:v>
                </c:pt>
                <c:pt idx="1">
                  <c:v>0.102452336</c:v>
                </c:pt>
                <c:pt idx="2">
                  <c:v>0.110144282</c:v>
                </c:pt>
                <c:pt idx="3">
                  <c:v>9.3918104000000002E-2</c:v>
                </c:pt>
              </c:numCache>
            </c:numRef>
          </c:xVal>
          <c:yVal>
            <c:numRef>
              <c:f>downstream!$F$45:$F$48</c:f>
              <c:numCache>
                <c:formatCode>0.00000</c:formatCode>
                <c:ptCount val="4"/>
                <c:pt idx="0">
                  <c:v>-0.53010922957415696</c:v>
                </c:pt>
                <c:pt idx="1">
                  <c:v>-0.511670862423525</c:v>
                </c:pt>
                <c:pt idx="2">
                  <c:v>-0.22155858359451899</c:v>
                </c:pt>
                <c:pt idx="3">
                  <c:v>-0.37958282657101999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1250-4D6C-9CA1-EFF481423672}"/>
            </c:ext>
          </c:extLst>
        </c:ser>
        <c:ser>
          <c:idx val="3"/>
          <c:order val="3"/>
          <c:tx>
            <c:strRef>
              <c:f>downstream!$G$38</c:f>
              <c:strCache>
                <c:ptCount val="1"/>
                <c:pt idx="0">
                  <c:v>Lloyd (2016)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14190054685602224"/>
                  <c:y val="7.7248569735234709E-2"/>
                </c:manualLayout>
              </c:layout>
              <c:numFmt formatCode="General" sourceLinked="0"/>
              <c:spPr>
                <a:solidFill>
                  <a:schemeClr val="accent4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downstream!$C$39:$C$42</c:f>
              <c:numCache>
                <c:formatCode>0.0000</c:formatCode>
                <c:ptCount val="4"/>
                <c:pt idx="0">
                  <c:v>9.4725974000000004E-2</c:v>
                </c:pt>
                <c:pt idx="1">
                  <c:v>0.102452336</c:v>
                </c:pt>
                <c:pt idx="2">
                  <c:v>0.110144282</c:v>
                </c:pt>
                <c:pt idx="3">
                  <c:v>9.3918104000000002E-2</c:v>
                </c:pt>
              </c:numCache>
            </c:numRef>
          </c:xVal>
          <c:yVal>
            <c:numRef>
              <c:f>downstream!$G$45:$G$48</c:f>
              <c:numCache>
                <c:formatCode>0.00000</c:formatCode>
                <c:ptCount val="4"/>
                <c:pt idx="0">
                  <c:v>-0.67807302432253402</c:v>
                </c:pt>
                <c:pt idx="1">
                  <c:v>-0.62213976025652196</c:v>
                </c:pt>
                <c:pt idx="2">
                  <c:v>-0.51680913320449795</c:v>
                </c:pt>
                <c:pt idx="3">
                  <c:v>-0.37092334927613402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1250-4D6C-9CA1-EFF481423672}"/>
            </c:ext>
          </c:extLst>
        </c:ser>
        <c:ser>
          <c:idx val="4"/>
          <c:order val="4"/>
          <c:tx>
            <c:strRef>
              <c:f>downstream!$H$38</c:f>
              <c:strCache>
                <c:ptCount val="1"/>
                <c:pt idx="0">
                  <c:v>Lawler Adapted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5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19220688155632504"/>
                  <c:y val="-9.8590323268414978E-2"/>
                </c:manualLayout>
              </c:layout>
              <c:numFmt formatCode="General" sourceLinked="0"/>
              <c:spPr>
                <a:solidFill>
                  <a:schemeClr val="accent5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downstream!$C$39:$C$42</c:f>
              <c:numCache>
                <c:formatCode>0.0000</c:formatCode>
                <c:ptCount val="4"/>
                <c:pt idx="0">
                  <c:v>9.4725974000000004E-2</c:v>
                </c:pt>
                <c:pt idx="1">
                  <c:v>0.102452336</c:v>
                </c:pt>
                <c:pt idx="2">
                  <c:v>0.110144282</c:v>
                </c:pt>
                <c:pt idx="3">
                  <c:v>9.3918104000000002E-2</c:v>
                </c:pt>
              </c:numCache>
            </c:numRef>
          </c:xVal>
          <c:yVal>
            <c:numRef>
              <c:f>downstream!$H$45:$H$48</c:f>
              <c:numCache>
                <c:formatCode>0.00000</c:formatCode>
                <c:ptCount val="4"/>
                <c:pt idx="0">
                  <c:v>-0.81917889363282403</c:v>
                </c:pt>
                <c:pt idx="1">
                  <c:v>-0.76662036881149098</c:v>
                </c:pt>
                <c:pt idx="2">
                  <c:v>-0.79093223163479298</c:v>
                </c:pt>
                <c:pt idx="3">
                  <c:v>-0.49092006249230202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1250-4D6C-9CA1-EFF4814236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56230352"/>
        <c:axId val="1344703008"/>
      </c:scatterChart>
      <c:valAx>
        <c:axId val="13562303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tau_c50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4703008"/>
        <c:crosses val="autoZero"/>
        <c:crossBetween val="midCat"/>
      </c:valAx>
      <c:valAx>
        <c:axId val="1344703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HI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62303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5"/>
        <c:delete val="1"/>
      </c:legendEntry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18" Type="http://schemas.openxmlformats.org/officeDocument/2006/relationships/chart" Target="../charts/chart18.xml"/><Relationship Id="rId3" Type="http://schemas.openxmlformats.org/officeDocument/2006/relationships/chart" Target="../charts/chart3.xml"/><Relationship Id="rId21" Type="http://schemas.openxmlformats.org/officeDocument/2006/relationships/chart" Target="../charts/chart21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17" Type="http://schemas.openxmlformats.org/officeDocument/2006/relationships/chart" Target="../charts/chart17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20" Type="http://schemas.openxmlformats.org/officeDocument/2006/relationships/chart" Target="../charts/chart20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10" Type="http://schemas.openxmlformats.org/officeDocument/2006/relationships/chart" Target="../charts/chart10.xml"/><Relationship Id="rId19" Type="http://schemas.openxmlformats.org/officeDocument/2006/relationships/chart" Target="../charts/chart19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Relationship Id="rId22" Type="http://schemas.openxmlformats.org/officeDocument/2006/relationships/chart" Target="../charts/chart22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5.xml"/><Relationship Id="rId2" Type="http://schemas.openxmlformats.org/officeDocument/2006/relationships/chart" Target="../charts/chart24.xml"/><Relationship Id="rId1" Type="http://schemas.openxmlformats.org/officeDocument/2006/relationships/chart" Target="../charts/chart23.xml"/><Relationship Id="rId6" Type="http://schemas.openxmlformats.org/officeDocument/2006/relationships/chart" Target="../charts/chart28.xml"/><Relationship Id="rId5" Type="http://schemas.openxmlformats.org/officeDocument/2006/relationships/chart" Target="../charts/chart27.xml"/><Relationship Id="rId4" Type="http://schemas.openxmlformats.org/officeDocument/2006/relationships/chart" Target="../charts/chart26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1.xml"/><Relationship Id="rId2" Type="http://schemas.openxmlformats.org/officeDocument/2006/relationships/chart" Target="../charts/chart30.xml"/><Relationship Id="rId1" Type="http://schemas.openxmlformats.org/officeDocument/2006/relationships/chart" Target="../charts/chart29.xml"/><Relationship Id="rId6" Type="http://schemas.openxmlformats.org/officeDocument/2006/relationships/chart" Target="../charts/chart34.xml"/><Relationship Id="rId5" Type="http://schemas.openxmlformats.org/officeDocument/2006/relationships/chart" Target="../charts/chart33.xml"/><Relationship Id="rId4" Type="http://schemas.openxmlformats.org/officeDocument/2006/relationships/chart" Target="../charts/chart3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571500</xdr:colOff>
      <xdr:row>3</xdr:row>
      <xdr:rowOff>47625</xdr:rowOff>
    </xdr:from>
    <xdr:to>
      <xdr:col>13</xdr:col>
      <xdr:colOff>647700</xdr:colOff>
      <xdr:row>15</xdr:row>
      <xdr:rowOff>47625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9418078-92AB-49A6-9747-BE910D3E001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552450</xdr:colOff>
      <xdr:row>15</xdr:row>
      <xdr:rowOff>114300</xdr:rowOff>
    </xdr:from>
    <xdr:to>
      <xdr:col>13</xdr:col>
      <xdr:colOff>628650</xdr:colOff>
      <xdr:row>27</xdr:row>
      <xdr:rowOff>114300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5FE8B61-85F7-4AA3-99F3-44DA72B9C6F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552450</xdr:colOff>
      <xdr:row>27</xdr:row>
      <xdr:rowOff>171450</xdr:rowOff>
    </xdr:from>
    <xdr:to>
      <xdr:col>13</xdr:col>
      <xdr:colOff>628650</xdr:colOff>
      <xdr:row>39</xdr:row>
      <xdr:rowOff>171450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05A4AD7-BA9A-4A02-BEDF-4950CB52208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37</xdr:col>
      <xdr:colOff>85724</xdr:colOff>
      <xdr:row>4</xdr:row>
      <xdr:rowOff>185738</xdr:rowOff>
    </xdr:from>
    <xdr:to>
      <xdr:col>42</xdr:col>
      <xdr:colOff>295274</xdr:colOff>
      <xdr:row>18</xdr:row>
      <xdr:rowOff>68636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280A4EAE-0452-4446-8267-F80490106EE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42</xdr:col>
      <xdr:colOff>330574</xdr:colOff>
      <xdr:row>4</xdr:row>
      <xdr:rowOff>183898</xdr:rowOff>
    </xdr:from>
    <xdr:to>
      <xdr:col>48</xdr:col>
      <xdr:colOff>246530</xdr:colOff>
      <xdr:row>18</xdr:row>
      <xdr:rowOff>79842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AA3C7E6C-9BFA-45A4-8418-0AC79AD7AF2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19</xdr:col>
      <xdr:colOff>1098175</xdr:colOff>
      <xdr:row>2</xdr:row>
      <xdr:rowOff>188899</xdr:rowOff>
    </xdr:from>
    <xdr:to>
      <xdr:col>24</xdr:col>
      <xdr:colOff>255493</xdr:colOff>
      <xdr:row>14</xdr:row>
      <xdr:rowOff>188899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8A433280-46F2-4CFE-BCFD-7148BDE8EA2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19</xdr:col>
      <xdr:colOff>1086969</xdr:colOff>
      <xdr:row>15</xdr:row>
      <xdr:rowOff>78441</xdr:rowOff>
    </xdr:from>
    <xdr:to>
      <xdr:col>24</xdr:col>
      <xdr:colOff>244287</xdr:colOff>
      <xdr:row>27</xdr:row>
      <xdr:rowOff>112059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C6D46AF8-5C11-4B60-B0AB-57510DEA868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13</xdr:col>
      <xdr:colOff>803461</xdr:colOff>
      <xdr:row>3</xdr:row>
      <xdr:rowOff>33618</xdr:rowOff>
    </xdr:from>
    <xdr:to>
      <xdr:col>17</xdr:col>
      <xdr:colOff>5602</xdr:colOff>
      <xdr:row>15</xdr:row>
      <xdr:rowOff>33618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C58F965B-B112-4163-B085-94EBC5E13D7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13</xdr:col>
      <xdr:colOff>784411</xdr:colOff>
      <xdr:row>15</xdr:row>
      <xdr:rowOff>100293</xdr:rowOff>
    </xdr:from>
    <xdr:to>
      <xdr:col>16</xdr:col>
      <xdr:colOff>849405</xdr:colOff>
      <xdr:row>27</xdr:row>
      <xdr:rowOff>100293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56B14932-7211-4A06-BA01-C3CDF26BB6F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13</xdr:col>
      <xdr:colOff>784411</xdr:colOff>
      <xdr:row>27</xdr:row>
      <xdr:rowOff>157443</xdr:rowOff>
    </xdr:from>
    <xdr:to>
      <xdr:col>16</xdr:col>
      <xdr:colOff>849405</xdr:colOff>
      <xdr:row>39</xdr:row>
      <xdr:rowOff>157443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869F64B7-7005-45AB-9C4F-D41377AEF7C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24</xdr:col>
      <xdr:colOff>347382</xdr:colOff>
      <xdr:row>3</xdr:row>
      <xdr:rowOff>1</xdr:rowOff>
    </xdr:from>
    <xdr:to>
      <xdr:col>29</xdr:col>
      <xdr:colOff>569259</xdr:colOff>
      <xdr:row>15</xdr:row>
      <xdr:rowOff>1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B868E4CF-B064-4EEB-983D-14B80456F5F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24</xdr:col>
      <xdr:colOff>336176</xdr:colOff>
      <xdr:row>15</xdr:row>
      <xdr:rowOff>80043</xdr:rowOff>
    </xdr:from>
    <xdr:to>
      <xdr:col>29</xdr:col>
      <xdr:colOff>558053</xdr:colOff>
      <xdr:row>27</xdr:row>
      <xdr:rowOff>113661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6DB80C0E-2101-4768-982A-A8CA30BEA91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16</xdr:col>
      <xdr:colOff>859492</xdr:colOff>
      <xdr:row>3</xdr:row>
      <xdr:rowOff>33618</xdr:rowOff>
    </xdr:from>
    <xdr:to>
      <xdr:col>19</xdr:col>
      <xdr:colOff>969310</xdr:colOff>
      <xdr:row>15</xdr:row>
      <xdr:rowOff>33618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2AA980D-71A1-46B9-A372-D3C19DD8788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17</xdr:col>
      <xdr:colOff>11207</xdr:colOff>
      <xdr:row>15</xdr:row>
      <xdr:rowOff>89087</xdr:rowOff>
    </xdr:from>
    <xdr:to>
      <xdr:col>19</xdr:col>
      <xdr:colOff>983878</xdr:colOff>
      <xdr:row>27</xdr:row>
      <xdr:rowOff>89087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3A07124-DA7D-4152-A0E3-B3775578E1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17</xdr:col>
      <xdr:colOff>11207</xdr:colOff>
      <xdr:row>27</xdr:row>
      <xdr:rowOff>146237</xdr:rowOff>
    </xdr:from>
    <xdr:to>
      <xdr:col>19</xdr:col>
      <xdr:colOff>983878</xdr:colOff>
      <xdr:row>39</xdr:row>
      <xdr:rowOff>146237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A3E75FA9-ECE7-43FA-912C-AAFCE40F913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37</xdr:col>
      <xdr:colOff>126066</xdr:colOff>
      <xdr:row>18</xdr:row>
      <xdr:rowOff>160123</xdr:rowOff>
    </xdr:from>
    <xdr:to>
      <xdr:col>42</xdr:col>
      <xdr:colOff>335616</xdr:colOff>
      <xdr:row>32</xdr:row>
      <xdr:rowOff>43021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2C856C11-94C0-44BD-AA42-B4D04D6C48A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42</xdr:col>
      <xdr:colOff>359710</xdr:colOff>
      <xdr:row>18</xdr:row>
      <xdr:rowOff>158283</xdr:rowOff>
    </xdr:from>
    <xdr:to>
      <xdr:col>48</xdr:col>
      <xdr:colOff>275666</xdr:colOff>
      <xdr:row>32</xdr:row>
      <xdr:rowOff>54227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850CE23D-5AC0-414A-94F3-4C8025A023F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19</xdr:col>
      <xdr:colOff>1074965</xdr:colOff>
      <xdr:row>27</xdr:row>
      <xdr:rowOff>149679</xdr:rowOff>
    </xdr:from>
    <xdr:to>
      <xdr:col>24</xdr:col>
      <xdr:colOff>232283</xdr:colOff>
      <xdr:row>39</xdr:row>
      <xdr:rowOff>183297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1377AE2B-20E4-468D-A264-82FA01150D1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24</xdr:col>
      <xdr:colOff>353786</xdr:colOff>
      <xdr:row>27</xdr:row>
      <xdr:rowOff>149678</xdr:rowOff>
    </xdr:from>
    <xdr:to>
      <xdr:col>29</xdr:col>
      <xdr:colOff>572461</xdr:colOff>
      <xdr:row>39</xdr:row>
      <xdr:rowOff>183296</xdr:rowOff>
    </xdr:to>
    <xdr:graphicFrame macro="">
      <xdr:nvGraphicFramePr>
        <xdr:cNvPr id="24" name="Chart 23">
          <a:extLst>
            <a:ext uri="{FF2B5EF4-FFF2-40B4-BE49-F238E27FC236}">
              <a16:creationId xmlns:a16="http://schemas.microsoft.com/office/drawing/2014/main" id="{8734B2FE-6651-4262-A04A-4EDDA349D4A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30</xdr:col>
      <xdr:colOff>73478</xdr:colOff>
      <xdr:row>3</xdr:row>
      <xdr:rowOff>163286</xdr:rowOff>
    </xdr:from>
    <xdr:to>
      <xdr:col>35</xdr:col>
      <xdr:colOff>244928</xdr:colOff>
      <xdr:row>15</xdr:row>
      <xdr:rowOff>163286</xdr:rowOff>
    </xdr:to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E03D7448-17CE-4C57-BC1F-E406C7DB37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30</xdr:col>
      <xdr:colOff>54428</xdr:colOff>
      <xdr:row>16</xdr:row>
      <xdr:rowOff>39461</xdr:rowOff>
    </xdr:from>
    <xdr:to>
      <xdr:col>35</xdr:col>
      <xdr:colOff>225878</xdr:colOff>
      <xdr:row>28</xdr:row>
      <xdr:rowOff>39461</xdr:rowOff>
    </xdr:to>
    <xdr:graphicFrame macro="">
      <xdr:nvGraphicFramePr>
        <xdr:cNvPr id="25" name="Chart 24">
          <a:extLst>
            <a:ext uri="{FF2B5EF4-FFF2-40B4-BE49-F238E27FC236}">
              <a16:creationId xmlns:a16="http://schemas.microsoft.com/office/drawing/2014/main" id="{0E286FC6-2D66-41DF-8B1E-9C14E617B35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30</xdr:col>
      <xdr:colOff>54428</xdr:colOff>
      <xdr:row>28</xdr:row>
      <xdr:rowOff>96611</xdr:rowOff>
    </xdr:from>
    <xdr:to>
      <xdr:col>35</xdr:col>
      <xdr:colOff>225878</xdr:colOff>
      <xdr:row>40</xdr:row>
      <xdr:rowOff>96611</xdr:rowOff>
    </xdr:to>
    <xdr:graphicFrame macro="">
      <xdr:nvGraphicFramePr>
        <xdr:cNvPr id="26" name="Chart 25">
          <a:extLst>
            <a:ext uri="{FF2B5EF4-FFF2-40B4-BE49-F238E27FC236}">
              <a16:creationId xmlns:a16="http://schemas.microsoft.com/office/drawing/2014/main" id="{0B469D9F-CFA3-41D5-8817-ED06F6CCF06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390525</xdr:colOff>
      <xdr:row>0</xdr:row>
      <xdr:rowOff>171450</xdr:rowOff>
    </xdr:from>
    <xdr:to>
      <xdr:col>9</xdr:col>
      <xdr:colOff>571501</xdr:colOff>
      <xdr:row>15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3CAF3D2-16E1-43BF-96ED-AF3B03FBD1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28575</xdr:colOff>
      <xdr:row>0</xdr:row>
      <xdr:rowOff>171450</xdr:rowOff>
    </xdr:from>
    <xdr:to>
      <xdr:col>20</xdr:col>
      <xdr:colOff>38100</xdr:colOff>
      <xdr:row>15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3C6957B-150A-4093-A10B-D131D078C5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57150</xdr:colOff>
      <xdr:row>0</xdr:row>
      <xdr:rowOff>161925</xdr:rowOff>
    </xdr:from>
    <xdr:to>
      <xdr:col>14</xdr:col>
      <xdr:colOff>514350</xdr:colOff>
      <xdr:row>15</xdr:row>
      <xdr:rowOff>95250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D2D75F6-D7AC-4DAA-AFAA-2F36BC055E8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438151</xdr:colOff>
      <xdr:row>15</xdr:row>
      <xdr:rowOff>161925</xdr:rowOff>
    </xdr:from>
    <xdr:to>
      <xdr:col>9</xdr:col>
      <xdr:colOff>552451</xdr:colOff>
      <xdr:row>29</xdr:row>
      <xdr:rowOff>142875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E8F7D38-AA19-4A97-B087-8A3D01C53D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95249</xdr:colOff>
      <xdr:row>15</xdr:row>
      <xdr:rowOff>152400</xdr:rowOff>
    </xdr:from>
    <xdr:to>
      <xdr:col>16</xdr:col>
      <xdr:colOff>57150</xdr:colOff>
      <xdr:row>33</xdr:row>
      <xdr:rowOff>123825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B3B3007-2E6B-43B8-830D-4BBB6BBC4DD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16</xdr:col>
      <xdr:colOff>123825</xdr:colOff>
      <xdr:row>15</xdr:row>
      <xdr:rowOff>161925</xdr:rowOff>
    </xdr:from>
    <xdr:to>
      <xdr:col>22</xdr:col>
      <xdr:colOff>85726</xdr:colOff>
      <xdr:row>33</xdr:row>
      <xdr:rowOff>133350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988C3EE6-4CF0-4405-84F1-5F0C57F09C0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390525</xdr:colOff>
      <xdr:row>0</xdr:row>
      <xdr:rowOff>171450</xdr:rowOff>
    </xdr:from>
    <xdr:to>
      <xdr:col>9</xdr:col>
      <xdr:colOff>571501</xdr:colOff>
      <xdr:row>15</xdr:row>
      <xdr:rowOff>114300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10BE7A3-0A3F-C080-4F65-5E6A092C82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28575</xdr:colOff>
      <xdr:row>0</xdr:row>
      <xdr:rowOff>171450</xdr:rowOff>
    </xdr:from>
    <xdr:to>
      <xdr:col>20</xdr:col>
      <xdr:colOff>38100</xdr:colOff>
      <xdr:row>15</xdr:row>
      <xdr:rowOff>76200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C9D2ADF-0B7B-4E01-B97B-9DAE0ED83D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57150</xdr:colOff>
      <xdr:row>0</xdr:row>
      <xdr:rowOff>161925</xdr:rowOff>
    </xdr:from>
    <xdr:to>
      <xdr:col>14</xdr:col>
      <xdr:colOff>514350</xdr:colOff>
      <xdr:row>15</xdr:row>
      <xdr:rowOff>95250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87BDCDEA-98FE-49BE-9E77-078F7A604F6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438151</xdr:colOff>
      <xdr:row>15</xdr:row>
      <xdr:rowOff>161925</xdr:rowOff>
    </xdr:from>
    <xdr:to>
      <xdr:col>9</xdr:col>
      <xdr:colOff>552451</xdr:colOff>
      <xdr:row>29</xdr:row>
      <xdr:rowOff>142875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111CEB1F-3325-4FF2-8379-02307706B1E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95249</xdr:colOff>
      <xdr:row>15</xdr:row>
      <xdr:rowOff>152400</xdr:rowOff>
    </xdr:from>
    <xdr:to>
      <xdr:col>16</xdr:col>
      <xdr:colOff>57150</xdr:colOff>
      <xdr:row>33</xdr:row>
      <xdr:rowOff>123825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BC6AFAA6-4702-444B-9E40-5C403D13099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16</xdr:col>
      <xdr:colOff>123825</xdr:colOff>
      <xdr:row>15</xdr:row>
      <xdr:rowOff>161925</xdr:rowOff>
    </xdr:from>
    <xdr:to>
      <xdr:col>22</xdr:col>
      <xdr:colOff>85726</xdr:colOff>
      <xdr:row>33</xdr:row>
      <xdr:rowOff>133350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4C538566-D916-43C7-AB72-BF757276F49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B27869-60E0-43BF-B7FC-18286E7E1076}">
  <dimension ref="A1:AK92"/>
  <sheetViews>
    <sheetView tabSelected="1" topLeftCell="O1" zoomScaleNormal="100" workbookViewId="0">
      <selection activeCell="AK4" sqref="AK4"/>
    </sheetView>
  </sheetViews>
  <sheetFormatPr defaultRowHeight="15" x14ac:dyDescent="0.25"/>
  <cols>
    <col min="1" max="2" width="19.140625" customWidth="1"/>
    <col min="3" max="3" width="18.42578125" customWidth="1"/>
    <col min="4" max="4" width="18.7109375" customWidth="1"/>
    <col min="5" max="6" width="15.5703125" customWidth="1"/>
    <col min="7" max="7" width="26.5703125" customWidth="1"/>
    <col min="8" max="8" width="22.28515625" customWidth="1"/>
    <col min="9" max="9" width="17.5703125" customWidth="1"/>
    <col min="10" max="11" width="17.85546875" customWidth="1"/>
    <col min="12" max="13" width="23.7109375" customWidth="1"/>
    <col min="14" max="14" width="15.5703125" customWidth="1"/>
    <col min="15" max="16" width="16" customWidth="1"/>
    <col min="17" max="17" width="13" customWidth="1"/>
    <col min="18" max="18" width="16.28515625" customWidth="1"/>
    <col min="19" max="19" width="17.7109375" customWidth="1"/>
    <col min="20" max="20" width="18.7109375" customWidth="1"/>
    <col min="22" max="22" width="14.85546875" customWidth="1"/>
    <col min="23" max="23" width="9.7109375" customWidth="1"/>
  </cols>
  <sheetData>
    <row r="1" spans="1:37" x14ac:dyDescent="0.25">
      <c r="A1" s="4" t="s">
        <v>26</v>
      </c>
      <c r="M1" s="3"/>
    </row>
    <row r="2" spans="1:37" x14ac:dyDescent="0.25">
      <c r="A2" s="5" t="s">
        <v>27</v>
      </c>
      <c r="M2" s="3"/>
    </row>
    <row r="3" spans="1:37" x14ac:dyDescent="0.25">
      <c r="A3" s="9" t="s">
        <v>12</v>
      </c>
      <c r="B3" s="9"/>
      <c r="C3" s="9"/>
      <c r="D3" s="9"/>
      <c r="E3" s="9"/>
      <c r="F3" s="9"/>
      <c r="G3" s="1"/>
      <c r="H3" s="1"/>
      <c r="I3" s="1"/>
      <c r="J3" s="1"/>
      <c r="K3" s="1"/>
      <c r="M3" s="3"/>
      <c r="N3" s="1"/>
      <c r="AE3" s="1"/>
      <c r="AF3" s="1"/>
      <c r="AG3" s="1"/>
      <c r="AH3" s="1"/>
      <c r="AI3" s="1"/>
      <c r="AJ3" s="1"/>
      <c r="AK3" s="1"/>
    </row>
    <row r="4" spans="1:37" ht="54.75" customHeight="1" x14ac:dyDescent="0.25">
      <c r="A4" s="14" t="s">
        <v>0</v>
      </c>
      <c r="B4" s="14" t="s">
        <v>23</v>
      </c>
      <c r="C4" s="14" t="s">
        <v>24</v>
      </c>
      <c r="D4" s="14" t="s">
        <v>1</v>
      </c>
      <c r="E4" s="14" t="s">
        <v>28</v>
      </c>
      <c r="F4" s="14" t="s">
        <v>29</v>
      </c>
      <c r="G4" s="16" t="s">
        <v>30</v>
      </c>
      <c r="H4" s="17" t="s">
        <v>31</v>
      </c>
      <c r="I4" s="17" t="s">
        <v>32</v>
      </c>
      <c r="J4" s="17" t="s">
        <v>33</v>
      </c>
      <c r="K4" s="17" t="s">
        <v>50</v>
      </c>
      <c r="L4" s="3"/>
      <c r="M4" s="1"/>
      <c r="N4" s="1"/>
      <c r="AE4" s="1"/>
      <c r="AF4" s="1"/>
      <c r="AG4" s="1"/>
      <c r="AH4" s="1"/>
      <c r="AI4" s="1"/>
      <c r="AJ4" s="1"/>
      <c r="AK4" s="1"/>
    </row>
    <row r="5" spans="1:37" x14ac:dyDescent="0.25">
      <c r="A5" s="1" t="s">
        <v>2</v>
      </c>
      <c r="B5" s="6">
        <v>5.5990042925280497</v>
      </c>
      <c r="C5" s="6">
        <v>0.90356607367203301</v>
      </c>
      <c r="D5" s="6">
        <v>0.78479742735639801</v>
      </c>
      <c r="E5" s="1"/>
      <c r="F5" s="1"/>
      <c r="G5" s="11">
        <v>562.32579999999996</v>
      </c>
      <c r="H5" s="11"/>
      <c r="I5" s="11"/>
      <c r="J5" s="11">
        <v>133.4714286</v>
      </c>
      <c r="K5" s="11"/>
      <c r="L5" s="1"/>
      <c r="M5" s="1"/>
      <c r="N5" s="1"/>
      <c r="AE5" s="1"/>
      <c r="AF5" s="2"/>
      <c r="AG5" s="2"/>
      <c r="AH5" s="2"/>
      <c r="AI5" s="1"/>
      <c r="AJ5" s="1"/>
      <c r="AK5" s="1"/>
    </row>
    <row r="6" spans="1:37" x14ac:dyDescent="0.25">
      <c r="A6" s="1"/>
      <c r="B6" s="6"/>
      <c r="C6" s="6"/>
      <c r="D6" s="6"/>
      <c r="G6" s="11"/>
      <c r="H6" s="1"/>
      <c r="I6" s="1"/>
      <c r="J6" s="1"/>
      <c r="K6" s="1"/>
      <c r="L6" s="1"/>
      <c r="M6" s="1"/>
      <c r="N6" s="1"/>
      <c r="AE6" s="1"/>
      <c r="AF6" s="2"/>
      <c r="AG6" s="2"/>
      <c r="AH6" s="2"/>
      <c r="AI6" s="1"/>
      <c r="AJ6" s="1"/>
      <c r="AK6" s="1"/>
    </row>
    <row r="7" spans="1:37" x14ac:dyDescent="0.25">
      <c r="A7" s="1" t="s">
        <v>4</v>
      </c>
      <c r="B7" s="6">
        <v>2.1746388039620901</v>
      </c>
      <c r="C7" s="6">
        <v>0.90358482744648005</v>
      </c>
      <c r="D7" s="6">
        <v>0.17369777575697301</v>
      </c>
      <c r="E7" s="10">
        <v>66.912425378311355</v>
      </c>
      <c r="F7" s="10">
        <v>64.048876322946043</v>
      </c>
      <c r="G7" s="11">
        <v>57.726100000000002</v>
      </c>
      <c r="H7" s="1">
        <v>9023.75</v>
      </c>
      <c r="I7" s="1">
        <v>9023.75</v>
      </c>
      <c r="J7" s="1">
        <v>71.117321599999997</v>
      </c>
      <c r="K7" s="1">
        <v>1.0628417845850735</v>
      </c>
      <c r="L7" s="1"/>
      <c r="M7" s="1"/>
      <c r="N7" s="1"/>
      <c r="AE7" s="1"/>
      <c r="AF7" s="2"/>
      <c r="AG7" s="2"/>
      <c r="AH7" s="2"/>
      <c r="AI7" s="10"/>
      <c r="AJ7" s="1"/>
      <c r="AK7" s="1"/>
    </row>
    <row r="8" spans="1:37" x14ac:dyDescent="0.25">
      <c r="A8" s="1" t="s">
        <v>5</v>
      </c>
      <c r="B8" s="6">
        <v>2.2792285281778502</v>
      </c>
      <c r="C8" s="6">
        <v>0.663434225775831</v>
      </c>
      <c r="D8" s="6">
        <v>9.9143945152060597E-2</v>
      </c>
      <c r="E8" s="10">
        <v>72.370164511034233</v>
      </c>
      <c r="F8" s="10">
        <v>69.142603119806424</v>
      </c>
      <c r="G8" s="11">
        <v>49.091801670000002</v>
      </c>
      <c r="H8" s="1">
        <v>118.5</v>
      </c>
      <c r="I8" s="1">
        <v>118.5</v>
      </c>
      <c r="J8" s="1">
        <v>74.728308609999999</v>
      </c>
      <c r="K8" s="1">
        <v>1.0325844789064453</v>
      </c>
      <c r="L8" s="1"/>
      <c r="M8" s="1"/>
      <c r="N8" s="1"/>
      <c r="AE8" s="1"/>
      <c r="AF8" s="2"/>
      <c r="AG8" s="2"/>
      <c r="AH8" s="2"/>
      <c r="AI8" s="10"/>
      <c r="AJ8" s="1"/>
      <c r="AK8" s="1"/>
    </row>
    <row r="9" spans="1:37" x14ac:dyDescent="0.25">
      <c r="A9" s="1" t="s">
        <v>6</v>
      </c>
      <c r="B9" s="6">
        <v>1.4480475262282899</v>
      </c>
      <c r="C9" s="6">
        <v>0.66475177086608195</v>
      </c>
      <c r="D9" s="6">
        <v>0.21234239309632399</v>
      </c>
      <c r="E9" s="10">
        <v>77.803592516854394</v>
      </c>
      <c r="F9" s="10">
        <v>69.014990506950269</v>
      </c>
      <c r="G9" s="11">
        <v>187</v>
      </c>
      <c r="H9" s="1">
        <v>2036.95</v>
      </c>
      <c r="I9" s="1">
        <v>2060.9499999999998</v>
      </c>
      <c r="J9" s="1">
        <v>79.767295559999994</v>
      </c>
      <c r="K9" s="1">
        <v>1.025239233557502</v>
      </c>
      <c r="L9" s="1"/>
      <c r="M9" s="1"/>
      <c r="N9" s="1"/>
      <c r="AE9" s="1"/>
      <c r="AF9" s="2"/>
      <c r="AG9" s="2"/>
      <c r="AH9" s="2"/>
      <c r="AI9" s="10"/>
      <c r="AJ9" s="1"/>
      <c r="AK9" s="1"/>
    </row>
    <row r="10" spans="1:37" x14ac:dyDescent="0.25">
      <c r="A10" s="1"/>
      <c r="B10" s="6"/>
      <c r="C10" s="6"/>
      <c r="D10" s="6"/>
      <c r="E10" s="10"/>
      <c r="F10" s="10"/>
      <c r="G10" s="11"/>
      <c r="H10" s="1"/>
      <c r="I10" s="1"/>
      <c r="J10" s="1"/>
      <c r="K10" s="1"/>
      <c r="L10" s="1"/>
      <c r="M10" s="1"/>
      <c r="N10" s="1"/>
      <c r="AE10" s="1"/>
      <c r="AF10" s="2"/>
      <c r="AG10" s="2"/>
      <c r="AH10" s="2"/>
      <c r="AI10" s="10"/>
      <c r="AJ10" s="1"/>
      <c r="AK10" s="1"/>
    </row>
    <row r="11" spans="1:37" x14ac:dyDescent="0.25">
      <c r="A11" s="1" t="s">
        <v>20</v>
      </c>
      <c r="B11" s="2"/>
      <c r="C11" s="2"/>
      <c r="D11" s="2"/>
      <c r="E11" s="10"/>
      <c r="G11" s="11">
        <v>76.153846150000007</v>
      </c>
      <c r="H11" s="1">
        <v>365</v>
      </c>
      <c r="I11" s="1"/>
      <c r="J11" s="1">
        <v>68.631809730000001</v>
      </c>
      <c r="K11" s="1"/>
      <c r="L11" s="1"/>
      <c r="M11" s="1"/>
      <c r="N11" s="1"/>
      <c r="AE11" s="1"/>
      <c r="AF11" s="2"/>
      <c r="AG11" s="2"/>
      <c r="AH11" s="2"/>
      <c r="AI11" s="10"/>
      <c r="AJ11" s="1"/>
      <c r="AK11" s="1"/>
    </row>
    <row r="12" spans="1:37" x14ac:dyDescent="0.25">
      <c r="A12" s="1" t="s">
        <v>8</v>
      </c>
      <c r="B12" s="6">
        <v>1.48474411958353</v>
      </c>
      <c r="C12" s="6">
        <v>0.55431906321323399</v>
      </c>
      <c r="D12" s="6">
        <v>0.36516163611226798</v>
      </c>
      <c r="E12" s="10"/>
      <c r="G12" s="11">
        <v>43.2</v>
      </c>
      <c r="H12" s="1">
        <v>365</v>
      </c>
      <c r="I12" s="1"/>
      <c r="J12" s="1">
        <v>68.631809730000001</v>
      </c>
      <c r="K12" s="1"/>
      <c r="L12" s="1"/>
      <c r="M12" s="1"/>
      <c r="N12" s="1"/>
      <c r="AE12" s="1"/>
      <c r="AF12" s="2"/>
      <c r="AG12" s="2"/>
      <c r="AH12" s="2"/>
      <c r="AI12" s="10"/>
      <c r="AJ12" s="1"/>
      <c r="AK12" s="1"/>
    </row>
    <row r="13" spans="1:37" x14ac:dyDescent="0.25">
      <c r="A13" s="1" t="s">
        <v>9</v>
      </c>
      <c r="B13" s="6">
        <v>1.6588389001163999</v>
      </c>
      <c r="C13" s="6">
        <v>0.49497785634638802</v>
      </c>
      <c r="D13" s="6">
        <v>4.1333778886518201E-2</v>
      </c>
      <c r="E13" s="10"/>
      <c r="G13" s="11">
        <v>77.894736839999993</v>
      </c>
      <c r="H13" s="1">
        <v>351.5</v>
      </c>
      <c r="I13" s="1"/>
      <c r="J13" s="1">
        <v>69.696396059999998</v>
      </c>
      <c r="K13" s="1"/>
      <c r="L13" s="1"/>
      <c r="M13" s="1"/>
      <c r="N13" s="1"/>
      <c r="AE13" s="1"/>
      <c r="AF13" s="2"/>
      <c r="AG13" s="2"/>
      <c r="AH13" s="2"/>
      <c r="AI13" s="10"/>
      <c r="AJ13" s="1"/>
      <c r="AK13" s="1"/>
    </row>
    <row r="14" spans="1:37" x14ac:dyDescent="0.25">
      <c r="A14" s="1" t="s">
        <v>10</v>
      </c>
      <c r="B14" s="7">
        <v>0.665445371933445</v>
      </c>
      <c r="C14" s="7">
        <v>-1.0305451800868599</v>
      </c>
      <c r="D14" s="7">
        <v>-4.1760232547360499E-2</v>
      </c>
      <c r="E14" s="10">
        <v>66.341763171136677</v>
      </c>
      <c r="F14" s="10">
        <v>64.242932047955975</v>
      </c>
      <c r="G14" s="11">
        <v>37.6</v>
      </c>
      <c r="H14" s="1">
        <v>413.75</v>
      </c>
      <c r="I14" s="1">
        <v>1130.25</v>
      </c>
      <c r="J14" s="1">
        <v>70.569593760000004</v>
      </c>
      <c r="K14" s="1">
        <v>1.063728040781146</v>
      </c>
      <c r="L14" s="1"/>
      <c r="M14" s="1"/>
      <c r="N14" s="1"/>
      <c r="AE14" s="1"/>
      <c r="AF14" s="1"/>
      <c r="AG14" s="1"/>
      <c r="AH14" s="19"/>
      <c r="AI14" s="10"/>
      <c r="AJ14" s="1"/>
      <c r="AK14" s="1"/>
    </row>
    <row r="15" spans="1:37" x14ac:dyDescent="0.25">
      <c r="A15" s="1"/>
      <c r="B15" s="7"/>
      <c r="C15" s="7"/>
      <c r="D15" s="7"/>
      <c r="E15" s="10"/>
      <c r="F15" s="10"/>
      <c r="G15" s="11"/>
      <c r="H15" s="1"/>
      <c r="I15" s="1"/>
      <c r="J15" s="1"/>
      <c r="K15" s="1"/>
      <c r="L15" s="1"/>
      <c r="M15" s="1"/>
      <c r="N15" s="1"/>
      <c r="AE15" s="1"/>
      <c r="AF15" s="1"/>
      <c r="AG15" s="1"/>
      <c r="AH15" s="19"/>
      <c r="AI15" s="10"/>
      <c r="AJ15" s="1"/>
      <c r="AK15" s="1"/>
    </row>
    <row r="16" spans="1:37" x14ac:dyDescent="0.25">
      <c r="A16" s="1" t="s">
        <v>35</v>
      </c>
      <c r="B16" s="8">
        <v>1.86943505833322</v>
      </c>
      <c r="C16" s="8">
        <v>1.9314296164550899</v>
      </c>
      <c r="D16" s="8">
        <v>9.4513218106104094E-2</v>
      </c>
      <c r="F16" s="8"/>
      <c r="G16" s="11">
        <v>23.15789474</v>
      </c>
      <c r="H16" s="1">
        <v>6055.55</v>
      </c>
      <c r="I16" s="11"/>
      <c r="J16" s="11">
        <v>112.55085055666601</v>
      </c>
      <c r="K16" s="8"/>
      <c r="L16" s="1"/>
      <c r="M16" s="1"/>
      <c r="N16" s="1"/>
      <c r="AE16" s="1"/>
      <c r="AF16" s="1"/>
      <c r="AG16" s="1"/>
      <c r="AH16" s="1"/>
      <c r="AI16" s="1"/>
      <c r="AJ16" s="1"/>
      <c r="AK16" s="1"/>
    </row>
    <row r="17" spans="1:37" x14ac:dyDescent="0.25">
      <c r="A17" s="1" t="s">
        <v>36</v>
      </c>
      <c r="B17" s="8">
        <v>1.3545954270153699</v>
      </c>
      <c r="C17" s="8">
        <v>1.0089470650494099</v>
      </c>
      <c r="D17" s="8">
        <v>4.2663094228711902E-2</v>
      </c>
      <c r="G17" s="11">
        <v>23</v>
      </c>
      <c r="H17" s="1">
        <v>22</v>
      </c>
      <c r="I17" s="1"/>
      <c r="J17" s="11">
        <v>117.49299123</v>
      </c>
      <c r="K17" s="8"/>
      <c r="L17" s="1"/>
      <c r="M17" s="1"/>
      <c r="N17" s="1"/>
      <c r="AE17" s="1"/>
      <c r="AF17" s="1"/>
      <c r="AG17" s="1"/>
      <c r="AH17" s="1"/>
      <c r="AI17" s="1"/>
      <c r="AJ17" s="1"/>
      <c r="AK17" s="1"/>
    </row>
    <row r="18" spans="1:37" x14ac:dyDescent="0.25">
      <c r="A18" s="1" t="s">
        <v>37</v>
      </c>
      <c r="B18" s="8"/>
      <c r="C18" s="8"/>
      <c r="D18" s="8"/>
      <c r="E18" s="1">
        <v>118.22733427999999</v>
      </c>
      <c r="G18" s="11"/>
      <c r="H18" s="1">
        <v>21.75</v>
      </c>
      <c r="I18" s="1">
        <v>6099.3</v>
      </c>
      <c r="J18" s="11">
        <v>119.152945989999</v>
      </c>
      <c r="K18" s="8">
        <f t="shared" ref="K18:K44" si="0">J18/E18</f>
        <v>1.0078290838208943</v>
      </c>
      <c r="L18" s="1"/>
      <c r="M18" s="1"/>
      <c r="N18" s="1"/>
      <c r="AE18" s="1"/>
      <c r="AF18" s="1"/>
      <c r="AG18" s="1"/>
      <c r="AH18" s="1"/>
      <c r="AI18" s="1"/>
      <c r="AJ18" s="1"/>
      <c r="AK18" s="1"/>
    </row>
    <row r="19" spans="1:37" x14ac:dyDescent="0.25">
      <c r="A19" s="1" t="s">
        <v>38</v>
      </c>
      <c r="B19" s="8"/>
      <c r="C19" s="8"/>
      <c r="D19" s="8"/>
      <c r="E19" s="1">
        <v>108.51115272</v>
      </c>
      <c r="G19" s="11"/>
      <c r="H19" s="1">
        <v>48.5</v>
      </c>
      <c r="I19" s="1">
        <v>48.5</v>
      </c>
      <c r="J19" s="11">
        <v>109.40601132</v>
      </c>
      <c r="K19" s="8">
        <f t="shared" si="0"/>
        <v>1.008246697022094</v>
      </c>
      <c r="M19" s="1"/>
      <c r="N19" s="1"/>
      <c r="AE19" s="1"/>
      <c r="AF19" s="2"/>
      <c r="AG19" s="2"/>
      <c r="AH19" s="2"/>
      <c r="AI19" s="1"/>
      <c r="AJ19" s="1"/>
      <c r="AK19" s="1"/>
    </row>
    <row r="20" spans="1:37" x14ac:dyDescent="0.25">
      <c r="A20" s="1" t="s">
        <v>39</v>
      </c>
      <c r="B20" s="8"/>
      <c r="C20" s="8"/>
      <c r="D20" s="8"/>
      <c r="E20" s="1">
        <v>106.97060942</v>
      </c>
      <c r="G20" s="11"/>
      <c r="H20" s="1">
        <v>28.75</v>
      </c>
      <c r="I20" s="1">
        <v>28.75</v>
      </c>
      <c r="J20" s="11">
        <v>112.21273027333299</v>
      </c>
      <c r="K20" s="8">
        <f t="shared" si="0"/>
        <v>1.0490052443540898</v>
      </c>
      <c r="M20" s="1"/>
      <c r="N20" s="1"/>
      <c r="AE20" s="1"/>
      <c r="AF20" s="2"/>
      <c r="AG20" s="2"/>
      <c r="AH20" s="2"/>
      <c r="AI20" s="1"/>
      <c r="AJ20" s="1"/>
      <c r="AK20" s="1"/>
    </row>
    <row r="21" spans="1:37" x14ac:dyDescent="0.25">
      <c r="A21" s="1" t="s">
        <v>40</v>
      </c>
      <c r="B21" s="8">
        <v>1.31746197777344</v>
      </c>
      <c r="C21" s="8">
        <v>0.66698565105034602</v>
      </c>
      <c r="D21" s="8">
        <v>8.8732929175135894E-2</v>
      </c>
      <c r="E21" s="1">
        <v>113.72040256</v>
      </c>
      <c r="G21" s="11">
        <v>10.34482759</v>
      </c>
      <c r="H21" s="1">
        <v>21</v>
      </c>
      <c r="I21" s="1">
        <v>21</v>
      </c>
      <c r="J21" s="11">
        <v>115.079453056666</v>
      </c>
      <c r="K21" s="8">
        <f t="shared" si="0"/>
        <v>1.0119508062412015</v>
      </c>
      <c r="L21" s="10"/>
      <c r="M21" s="1"/>
      <c r="N21" s="1"/>
      <c r="AE21" s="1"/>
      <c r="AF21" s="2"/>
      <c r="AG21" s="2"/>
      <c r="AH21" s="2"/>
      <c r="AI21" s="10"/>
      <c r="AJ21" s="1"/>
      <c r="AK21" s="1"/>
    </row>
    <row r="22" spans="1:37" x14ac:dyDescent="0.25">
      <c r="A22" s="1" t="s">
        <v>41</v>
      </c>
      <c r="B22" s="8">
        <v>0.89735303995633098</v>
      </c>
      <c r="C22" s="8">
        <v>0.19762137224995299</v>
      </c>
      <c r="D22" s="8">
        <v>-1.9463558010346702E-2</v>
      </c>
      <c r="E22" s="1"/>
      <c r="G22" s="11">
        <v>26.086956520000001</v>
      </c>
      <c r="H22" s="1">
        <v>21.5</v>
      </c>
      <c r="I22" s="1"/>
      <c r="J22" s="11">
        <v>119.222878299999</v>
      </c>
      <c r="K22" s="8"/>
      <c r="M22" s="1"/>
      <c r="N22" s="1"/>
      <c r="AE22" s="1"/>
      <c r="AF22" s="2"/>
      <c r="AG22" s="2"/>
      <c r="AH22" s="2"/>
      <c r="AI22" s="10"/>
      <c r="AJ22" s="1"/>
      <c r="AK22" s="1"/>
    </row>
    <row r="23" spans="1:37" x14ac:dyDescent="0.25">
      <c r="A23" s="1" t="s">
        <v>42</v>
      </c>
      <c r="B23" s="8">
        <v>1.39880081037808</v>
      </c>
      <c r="C23" s="8">
        <v>0.54807771119966198</v>
      </c>
      <c r="D23" s="8">
        <v>0.10415722716452799</v>
      </c>
      <c r="E23" s="1">
        <v>112.66319882000001</v>
      </c>
      <c r="G23" s="11">
        <v>8.125</v>
      </c>
      <c r="H23" s="1">
        <v>75</v>
      </c>
      <c r="I23" s="1">
        <v>96.5</v>
      </c>
      <c r="J23" s="11">
        <v>115.360934813333</v>
      </c>
      <c r="K23" s="8">
        <f t="shared" si="0"/>
        <v>1.0239451393319936</v>
      </c>
      <c r="L23" s="10"/>
      <c r="M23" s="1"/>
      <c r="N23" s="1"/>
      <c r="AE23" s="1"/>
      <c r="AF23" s="1"/>
      <c r="AG23" s="1"/>
      <c r="AH23" s="1"/>
      <c r="AI23" s="10"/>
      <c r="AJ23" s="1"/>
      <c r="AK23" s="1"/>
    </row>
    <row r="24" spans="1:37" x14ac:dyDescent="0.25">
      <c r="A24" s="1" t="s">
        <v>43</v>
      </c>
      <c r="B24" s="8">
        <v>1.2210038373368299</v>
      </c>
      <c r="C24" s="8">
        <v>0.10106112243990099</v>
      </c>
      <c r="D24" s="8">
        <v>4.66251429291673E-2</v>
      </c>
      <c r="E24" s="1">
        <v>114.89097618</v>
      </c>
      <c r="G24" s="11">
        <v>12.67</v>
      </c>
      <c r="H24" s="1">
        <v>47.5</v>
      </c>
      <c r="I24" s="1">
        <v>47.5</v>
      </c>
      <c r="J24" s="11">
        <v>118.05576815000001</v>
      </c>
      <c r="K24" s="8">
        <f t="shared" si="0"/>
        <v>1.0275460447393339</v>
      </c>
      <c r="L24" s="1"/>
      <c r="M24" s="1"/>
      <c r="N24" s="1"/>
      <c r="AE24" s="1"/>
      <c r="AF24" s="1"/>
      <c r="AG24" s="1"/>
      <c r="AH24" s="1"/>
      <c r="AI24" s="10"/>
      <c r="AJ24" s="1"/>
      <c r="AK24" s="1"/>
    </row>
    <row r="25" spans="1:37" x14ac:dyDescent="0.25">
      <c r="A25" s="1" t="s">
        <v>44</v>
      </c>
      <c r="B25" s="8">
        <v>1.5249018262283101</v>
      </c>
      <c r="C25" s="8">
        <v>0.50902572287082404</v>
      </c>
      <c r="D25" s="8">
        <v>9.0894558490112708E-3</v>
      </c>
      <c r="E25" s="1">
        <v>116.55531655999999</v>
      </c>
      <c r="G25" s="11">
        <v>42</v>
      </c>
      <c r="H25" s="1">
        <v>23.5</v>
      </c>
      <c r="I25" s="1">
        <v>23.5</v>
      </c>
      <c r="J25" s="11">
        <v>119.77022043333299</v>
      </c>
      <c r="K25" s="8">
        <f t="shared" si="0"/>
        <v>1.0275826446035865</v>
      </c>
      <c r="L25" s="1"/>
      <c r="M25" s="1"/>
      <c r="N25" s="1"/>
      <c r="AE25" s="1"/>
      <c r="AF25" s="1"/>
      <c r="AG25" s="1"/>
      <c r="AH25" s="1"/>
      <c r="AI25" s="10"/>
      <c r="AJ25" s="1"/>
      <c r="AK25" s="1"/>
    </row>
    <row r="26" spans="1:37" x14ac:dyDescent="0.25">
      <c r="A26" s="1" t="s">
        <v>45</v>
      </c>
      <c r="B26" s="8"/>
      <c r="C26" s="8"/>
      <c r="D26" s="8"/>
      <c r="E26" s="1"/>
      <c r="G26" s="11"/>
      <c r="H26" s="1">
        <v>27.75</v>
      </c>
      <c r="I26" s="1"/>
      <c r="J26" s="11">
        <v>120.030707316666</v>
      </c>
      <c r="K26" s="8"/>
      <c r="L26" s="1"/>
      <c r="M26" s="1"/>
      <c r="N26" s="1"/>
      <c r="AE26" s="1"/>
      <c r="AF26" s="1"/>
      <c r="AG26" s="1"/>
      <c r="AH26" s="1"/>
      <c r="AI26" s="10"/>
      <c r="AJ26" s="1"/>
      <c r="AK26" s="1"/>
    </row>
    <row r="27" spans="1:37" x14ac:dyDescent="0.25">
      <c r="A27" s="1" t="s">
        <v>46</v>
      </c>
      <c r="B27" s="8"/>
      <c r="C27" s="8"/>
      <c r="D27" s="8"/>
      <c r="E27" s="1">
        <v>118.40602251999999</v>
      </c>
      <c r="G27" s="11"/>
      <c r="H27" s="1">
        <v>20</v>
      </c>
      <c r="I27" s="1">
        <v>47.75</v>
      </c>
      <c r="J27" s="11">
        <v>125.17995179</v>
      </c>
      <c r="K27" s="8">
        <f t="shared" si="0"/>
        <v>1.0572093304532362</v>
      </c>
      <c r="L27" s="1"/>
      <c r="M27" s="1"/>
      <c r="N27" s="1"/>
      <c r="AE27" s="1"/>
      <c r="AF27" s="1"/>
      <c r="AG27" s="1"/>
      <c r="AH27" s="1"/>
      <c r="AI27" s="10"/>
      <c r="AJ27" s="1"/>
      <c r="AK27" s="1"/>
    </row>
    <row r="28" spans="1:37" x14ac:dyDescent="0.25">
      <c r="A28" s="1" t="s">
        <v>47</v>
      </c>
      <c r="B28" s="8">
        <v>1.36678278361715</v>
      </c>
      <c r="C28" s="8">
        <v>0.463447965306029</v>
      </c>
      <c r="D28" s="8">
        <v>2.0373962034653699E-2</v>
      </c>
      <c r="E28" s="1">
        <v>115.75512236</v>
      </c>
      <c r="G28" s="11">
        <v>20.666666670000001</v>
      </c>
      <c r="H28" s="1">
        <v>23.75</v>
      </c>
      <c r="I28" s="1">
        <v>23.75</v>
      </c>
      <c r="J28" s="11">
        <v>128.631154973333</v>
      </c>
      <c r="K28" s="8">
        <f t="shared" si="0"/>
        <v>1.111235100018195</v>
      </c>
      <c r="L28" s="1"/>
      <c r="M28" s="1"/>
      <c r="N28" s="1"/>
      <c r="AE28" s="1"/>
      <c r="AF28" s="1"/>
      <c r="AG28" s="1"/>
      <c r="AH28" s="1"/>
      <c r="AI28" s="10"/>
      <c r="AJ28" s="1"/>
      <c r="AK28" s="1"/>
    </row>
    <row r="29" spans="1:37" x14ac:dyDescent="0.25">
      <c r="A29" s="1" t="s">
        <v>48</v>
      </c>
      <c r="B29" s="8"/>
      <c r="C29" s="8"/>
      <c r="D29" s="8"/>
      <c r="E29" s="1">
        <v>121.12197168</v>
      </c>
      <c r="G29" s="11"/>
      <c r="H29" s="1">
        <v>23.5</v>
      </c>
      <c r="I29" s="1">
        <v>23.5</v>
      </c>
      <c r="J29" s="11">
        <v>127.417386873333</v>
      </c>
      <c r="K29" s="8">
        <f t="shared" si="0"/>
        <v>1.0519758315193652</v>
      </c>
      <c r="L29" s="1"/>
      <c r="M29" s="1"/>
      <c r="N29" s="1"/>
      <c r="AE29" s="1"/>
      <c r="AF29" s="1"/>
      <c r="AG29" s="1"/>
      <c r="AH29" s="1"/>
      <c r="AI29" s="10"/>
      <c r="AJ29" s="1"/>
      <c r="AK29" s="1"/>
    </row>
    <row r="30" spans="1:37" x14ac:dyDescent="0.25">
      <c r="A30" s="1" t="s">
        <v>49</v>
      </c>
      <c r="B30" s="8"/>
      <c r="C30" s="8"/>
      <c r="D30" s="8"/>
      <c r="G30" s="11"/>
      <c r="H30" s="1">
        <v>24</v>
      </c>
      <c r="J30" s="11">
        <v>122.761972003333</v>
      </c>
      <c r="K30" s="8"/>
      <c r="L30" s="1"/>
      <c r="M30" s="1"/>
      <c r="N30" s="1"/>
      <c r="AE30" s="1"/>
      <c r="AF30" s="1"/>
      <c r="AG30" s="1"/>
      <c r="AH30" s="1"/>
      <c r="AI30" s="1"/>
      <c r="AJ30" s="1"/>
      <c r="AK30" s="1"/>
    </row>
    <row r="31" spans="1:37" x14ac:dyDescent="0.25">
      <c r="A31" s="1" t="s">
        <v>35</v>
      </c>
      <c r="B31" s="8"/>
      <c r="C31" s="8"/>
      <c r="D31" s="8"/>
      <c r="G31" s="11"/>
      <c r="H31" s="1"/>
      <c r="I31" s="11"/>
      <c r="J31" s="11"/>
      <c r="K31" s="8"/>
      <c r="L31" s="1"/>
      <c r="M31" s="1"/>
      <c r="N31" s="1"/>
      <c r="AE31" s="1"/>
      <c r="AF31" s="1"/>
      <c r="AG31" s="1"/>
      <c r="AH31" s="1"/>
      <c r="AI31" s="1"/>
      <c r="AJ31" s="1"/>
      <c r="AK31" s="1"/>
    </row>
    <row r="32" spans="1:37" x14ac:dyDescent="0.25">
      <c r="A32" s="1" t="s">
        <v>36</v>
      </c>
      <c r="B32" s="8"/>
      <c r="C32" s="8"/>
      <c r="D32" s="8"/>
      <c r="G32" s="11"/>
      <c r="H32" s="1"/>
      <c r="I32" s="1"/>
      <c r="J32" s="11"/>
      <c r="K32" s="8"/>
      <c r="L32" s="1"/>
      <c r="M32" s="1"/>
      <c r="N32" s="1"/>
      <c r="AE32" s="1"/>
      <c r="AF32" s="1"/>
      <c r="AG32" s="1"/>
      <c r="AH32" s="1"/>
      <c r="AI32" s="1"/>
      <c r="AJ32" s="1"/>
      <c r="AK32" s="1"/>
    </row>
    <row r="33" spans="1:37" x14ac:dyDescent="0.25">
      <c r="A33" s="1" t="s">
        <v>37</v>
      </c>
      <c r="B33" s="8"/>
      <c r="C33" s="8"/>
      <c r="D33" s="8"/>
      <c r="E33" s="1"/>
      <c r="G33" s="11"/>
      <c r="H33" s="1"/>
      <c r="I33" s="1"/>
      <c r="J33" s="11"/>
      <c r="K33" s="8"/>
      <c r="L33" s="1"/>
      <c r="M33" s="1"/>
      <c r="N33" s="1"/>
      <c r="AE33" s="1"/>
      <c r="AF33" s="2"/>
      <c r="AG33" s="2"/>
      <c r="AH33" s="2"/>
      <c r="AI33" s="1"/>
      <c r="AJ33" s="1"/>
      <c r="AK33" s="1"/>
    </row>
    <row r="34" spans="1:37" x14ac:dyDescent="0.25">
      <c r="A34" s="1" t="s">
        <v>38</v>
      </c>
      <c r="B34" s="8"/>
      <c r="C34" s="8"/>
      <c r="D34" s="8"/>
      <c r="E34" s="1"/>
      <c r="G34" s="11"/>
      <c r="H34" s="1"/>
      <c r="I34" s="1"/>
      <c r="J34" s="11"/>
      <c r="K34" s="8"/>
      <c r="L34" s="1"/>
      <c r="M34" s="1"/>
      <c r="N34" s="1"/>
      <c r="AE34" s="1"/>
      <c r="AF34" s="2"/>
      <c r="AG34" s="2"/>
      <c r="AH34" s="2"/>
      <c r="AI34" s="1"/>
      <c r="AJ34" s="1"/>
      <c r="AK34" s="1"/>
    </row>
    <row r="35" spans="1:37" x14ac:dyDescent="0.25">
      <c r="A35" s="1" t="s">
        <v>39</v>
      </c>
      <c r="B35" s="8"/>
      <c r="C35" s="8"/>
      <c r="D35" s="8"/>
      <c r="E35" s="1"/>
      <c r="G35" s="11"/>
      <c r="H35" s="1"/>
      <c r="I35" s="1"/>
      <c r="J35" s="11"/>
      <c r="K35" s="8"/>
      <c r="L35" s="1"/>
      <c r="M35" s="1"/>
      <c r="N35" s="1"/>
      <c r="AE35" s="1"/>
      <c r="AF35" s="2"/>
      <c r="AG35" s="2"/>
      <c r="AH35" s="2"/>
      <c r="AI35" s="10"/>
      <c r="AJ35" s="1"/>
      <c r="AK35" s="1"/>
    </row>
    <row r="36" spans="1:37" x14ac:dyDescent="0.25">
      <c r="A36" s="1" t="s">
        <v>40</v>
      </c>
      <c r="B36" s="8"/>
      <c r="C36" s="8"/>
      <c r="D36" s="8"/>
      <c r="E36" s="1"/>
      <c r="G36" s="11"/>
      <c r="H36" s="1"/>
      <c r="I36" s="1"/>
      <c r="J36" s="11"/>
      <c r="K36" s="8"/>
      <c r="L36" s="1"/>
      <c r="M36" s="1"/>
      <c r="N36" s="1"/>
      <c r="AE36" s="1"/>
      <c r="AF36" s="2"/>
      <c r="AG36" s="2"/>
      <c r="AH36" s="2"/>
      <c r="AI36" s="10"/>
      <c r="AJ36" s="1"/>
      <c r="AK36" s="1"/>
    </row>
    <row r="37" spans="1:37" x14ac:dyDescent="0.25">
      <c r="A37" s="1" t="s">
        <v>41</v>
      </c>
      <c r="B37" s="8"/>
      <c r="C37" s="8"/>
      <c r="D37" s="8"/>
      <c r="E37" s="1"/>
      <c r="G37" s="11"/>
      <c r="H37" s="1"/>
      <c r="I37" s="1"/>
      <c r="J37" s="11"/>
      <c r="K37" s="8"/>
      <c r="L37" s="1"/>
      <c r="M37" s="1"/>
      <c r="N37" s="1"/>
      <c r="AE37" s="1"/>
      <c r="AF37" s="1"/>
      <c r="AG37" s="1"/>
      <c r="AH37" s="1"/>
      <c r="AI37" s="10"/>
      <c r="AJ37" s="1"/>
      <c r="AK37" s="1"/>
    </row>
    <row r="38" spans="1:37" x14ac:dyDescent="0.25">
      <c r="A38" s="1" t="s">
        <v>42</v>
      </c>
      <c r="B38" s="8"/>
      <c r="C38" s="8"/>
      <c r="D38" s="8"/>
      <c r="E38" s="1"/>
      <c r="G38" s="11"/>
      <c r="H38" s="1"/>
      <c r="I38" s="1"/>
      <c r="J38" s="11"/>
      <c r="K38" s="8"/>
      <c r="L38" s="1"/>
      <c r="M38" s="1"/>
      <c r="N38" s="1"/>
      <c r="AE38" s="1"/>
      <c r="AF38" s="1"/>
      <c r="AG38" s="1"/>
      <c r="AH38" s="1"/>
      <c r="AI38" s="10"/>
      <c r="AJ38" s="1"/>
      <c r="AK38" s="1"/>
    </row>
    <row r="39" spans="1:37" x14ac:dyDescent="0.25">
      <c r="A39" s="1" t="s">
        <v>43</v>
      </c>
      <c r="B39" s="8"/>
      <c r="C39" s="8"/>
      <c r="D39" s="8"/>
      <c r="E39" s="1"/>
      <c r="G39" s="11"/>
      <c r="H39" s="1"/>
      <c r="I39" s="1"/>
      <c r="J39" s="11"/>
      <c r="K39" s="8"/>
      <c r="L39" s="1"/>
      <c r="M39" s="1"/>
      <c r="N39" s="1"/>
      <c r="AE39" s="1"/>
      <c r="AF39" s="1"/>
      <c r="AG39" s="1"/>
      <c r="AH39" s="1"/>
      <c r="AI39" s="10"/>
      <c r="AJ39" s="1"/>
      <c r="AK39" s="1"/>
    </row>
    <row r="40" spans="1:37" x14ac:dyDescent="0.25">
      <c r="A40" s="1" t="s">
        <v>44</v>
      </c>
      <c r="B40" s="8"/>
      <c r="C40" s="8"/>
      <c r="D40" s="8"/>
      <c r="E40" s="1"/>
      <c r="G40" s="11"/>
      <c r="H40" s="1"/>
      <c r="I40" s="1"/>
      <c r="J40" s="11"/>
      <c r="K40" s="8"/>
      <c r="L40" s="1"/>
      <c r="M40" s="1"/>
      <c r="N40" s="1"/>
      <c r="AE40" s="1"/>
      <c r="AF40" s="1"/>
      <c r="AG40" s="1"/>
      <c r="AH40" s="1"/>
      <c r="AI40" s="10"/>
      <c r="AJ40" s="1"/>
      <c r="AK40" s="1"/>
    </row>
    <row r="41" spans="1:37" x14ac:dyDescent="0.25">
      <c r="A41" s="1" t="s">
        <v>45</v>
      </c>
      <c r="B41" s="8"/>
      <c r="C41" s="8"/>
      <c r="D41" s="8"/>
      <c r="E41" s="1"/>
      <c r="G41" s="11"/>
      <c r="H41" s="1"/>
      <c r="I41" s="1"/>
      <c r="J41" s="11"/>
      <c r="K41" s="8"/>
      <c r="L41" s="1"/>
      <c r="M41" s="1"/>
      <c r="N41" s="1"/>
      <c r="AE41" s="1"/>
      <c r="AF41" s="1"/>
      <c r="AG41" s="1"/>
      <c r="AH41" s="1"/>
      <c r="AI41" s="10"/>
      <c r="AJ41" s="1"/>
      <c r="AK41" s="1"/>
    </row>
    <row r="42" spans="1:37" x14ac:dyDescent="0.25">
      <c r="A42" s="1" t="s">
        <v>46</v>
      </c>
      <c r="B42" s="8"/>
      <c r="C42" s="8"/>
      <c r="D42" s="8"/>
      <c r="E42" s="1"/>
      <c r="G42" s="11"/>
      <c r="H42" s="1"/>
      <c r="I42" s="1"/>
      <c r="J42" s="11"/>
      <c r="K42" s="8"/>
      <c r="L42" s="1"/>
      <c r="M42" s="1"/>
      <c r="N42" s="1"/>
      <c r="AE42" s="1"/>
      <c r="AF42" s="1"/>
      <c r="AG42" s="1"/>
      <c r="AH42" s="1"/>
      <c r="AI42" s="10"/>
      <c r="AJ42" s="1"/>
      <c r="AK42" s="1"/>
    </row>
    <row r="43" spans="1:37" x14ac:dyDescent="0.25">
      <c r="A43" s="1" t="s">
        <v>47</v>
      </c>
      <c r="B43" s="8"/>
      <c r="C43" s="8"/>
      <c r="D43" s="8"/>
      <c r="E43" s="1"/>
      <c r="G43" s="11"/>
      <c r="H43" s="1"/>
      <c r="I43" s="1"/>
      <c r="J43" s="11"/>
      <c r="K43" s="8"/>
      <c r="L43" s="1"/>
      <c r="M43" s="1"/>
      <c r="N43" s="1"/>
      <c r="AE43" s="1"/>
      <c r="AF43" s="1"/>
      <c r="AG43" s="1"/>
      <c r="AH43" s="1"/>
      <c r="AI43" s="10"/>
      <c r="AJ43" s="1"/>
      <c r="AK43" s="1"/>
    </row>
    <row r="44" spans="1:37" x14ac:dyDescent="0.25">
      <c r="A44" s="1" t="s">
        <v>48</v>
      </c>
      <c r="B44" s="8"/>
      <c r="C44" s="8"/>
      <c r="D44" s="8"/>
      <c r="E44" s="1"/>
      <c r="G44" s="11"/>
      <c r="H44" s="1"/>
      <c r="I44" s="1"/>
      <c r="J44" s="11"/>
      <c r="K44" s="8"/>
      <c r="L44" s="1"/>
      <c r="M44" s="1"/>
      <c r="N44" s="1"/>
      <c r="O44" s="1"/>
      <c r="P44" s="1"/>
      <c r="Q44" s="1"/>
      <c r="R44" s="1"/>
      <c r="S44" s="1"/>
      <c r="T44" s="1"/>
      <c r="U44" s="1"/>
    </row>
    <row r="45" spans="1:37" x14ac:dyDescent="0.25">
      <c r="N45" s="1"/>
      <c r="O45" s="1" t="s">
        <v>19</v>
      </c>
      <c r="P45" s="1" t="s">
        <v>23</v>
      </c>
      <c r="Q45" s="1" t="s">
        <v>24</v>
      </c>
      <c r="R45" s="1" t="s">
        <v>1</v>
      </c>
      <c r="S45" s="1" t="s">
        <v>25</v>
      </c>
      <c r="T45" s="1" t="s">
        <v>18</v>
      </c>
      <c r="U45" s="1"/>
    </row>
    <row r="46" spans="1:37" x14ac:dyDescent="0.25">
      <c r="M46" s="2"/>
      <c r="N46" s="1"/>
      <c r="O46" s="1" t="s">
        <v>2</v>
      </c>
      <c r="P46" s="7">
        <v>0.46925034971041901</v>
      </c>
      <c r="Q46" s="7">
        <v>-0.57047580585715596</v>
      </c>
      <c r="R46" s="7">
        <v>-0.62489073949006502</v>
      </c>
      <c r="S46" s="7">
        <v>-0.505884156285488</v>
      </c>
      <c r="T46" s="7">
        <v>-0.62313135244567197</v>
      </c>
      <c r="U46" s="1"/>
    </row>
    <row r="47" spans="1:37" x14ac:dyDescent="0.25">
      <c r="M47" s="2"/>
      <c r="N47" s="1"/>
      <c r="O47" s="1" t="s">
        <v>3</v>
      </c>
      <c r="P47" s="7">
        <v>0.52770506265369399</v>
      </c>
      <c r="Q47" s="7">
        <v>-0.57441925876348399</v>
      </c>
      <c r="R47" s="7">
        <v>-0.61127875482433702</v>
      </c>
      <c r="S47" s="7">
        <v>-0.50988466103239405</v>
      </c>
      <c r="T47" s="7">
        <v>-0.59410954788831905</v>
      </c>
      <c r="U47" s="1"/>
    </row>
    <row r="48" spans="1:37" x14ac:dyDescent="0.25">
      <c r="M48" s="2"/>
      <c r="N48" s="1"/>
      <c r="O48" s="1" t="s">
        <v>4</v>
      </c>
      <c r="P48" s="7">
        <v>0.76151296818251002</v>
      </c>
      <c r="Q48" s="7">
        <v>-0.82455849900808098</v>
      </c>
      <c r="R48" s="7">
        <v>-0.53010922957415696</v>
      </c>
      <c r="S48" s="7">
        <v>-0.67807302432253402</v>
      </c>
      <c r="T48" s="7">
        <v>-0.81917889363282403</v>
      </c>
      <c r="U48" s="1"/>
    </row>
    <row r="49" spans="1:21" x14ac:dyDescent="0.25">
      <c r="M49" s="2"/>
      <c r="N49" s="1"/>
      <c r="O49" s="1" t="s">
        <v>5</v>
      </c>
      <c r="P49" s="7">
        <v>0.63241662033349</v>
      </c>
      <c r="Q49" s="7">
        <v>-0.77305412456000899</v>
      </c>
      <c r="R49" s="7">
        <v>-0.511670862423525</v>
      </c>
      <c r="S49" s="7">
        <v>-0.62213976025652196</v>
      </c>
      <c r="T49" s="7">
        <v>-0.76662036881149098</v>
      </c>
      <c r="U49" s="1"/>
    </row>
    <row r="50" spans="1:21" x14ac:dyDescent="0.25">
      <c r="M50" s="2"/>
      <c r="N50" s="1"/>
      <c r="O50" s="1" t="s">
        <v>6</v>
      </c>
      <c r="P50" s="7">
        <v>0.68587815994758305</v>
      </c>
      <c r="Q50" s="7">
        <v>-0.74314055155585101</v>
      </c>
      <c r="R50" s="7">
        <v>-0.22155858359451899</v>
      </c>
      <c r="S50" s="7">
        <v>-0.51680913320449795</v>
      </c>
      <c r="T50" s="7">
        <v>-0.79093223163479298</v>
      </c>
      <c r="U50" s="1"/>
    </row>
    <row r="51" spans="1:21" x14ac:dyDescent="0.25">
      <c r="M51" s="2"/>
      <c r="N51" s="1"/>
      <c r="O51" s="1" t="s">
        <v>7</v>
      </c>
      <c r="P51" s="7">
        <v>0.64478493475432996</v>
      </c>
      <c r="Q51" s="7">
        <v>-0.64445784381595494</v>
      </c>
      <c r="R51" s="7">
        <v>-0.24334139198969101</v>
      </c>
      <c r="S51" s="7">
        <v>-0.34407999236201098</v>
      </c>
      <c r="T51" s="7">
        <v>-0.52379920048275397</v>
      </c>
      <c r="U51" s="1"/>
    </row>
    <row r="52" spans="1:21" x14ac:dyDescent="0.25">
      <c r="M52" s="2"/>
      <c r="N52" s="1"/>
      <c r="O52" s="1" t="s">
        <v>20</v>
      </c>
      <c r="P52" s="6">
        <v>1.04151195285145</v>
      </c>
      <c r="Q52" s="7">
        <v>-0.120988015114778</v>
      </c>
      <c r="R52" s="6">
        <v>9.6450074853088597E-2</v>
      </c>
      <c r="S52" s="7">
        <v>-5.48657708396144E-2</v>
      </c>
      <c r="T52" s="7">
        <v>-0.16320255139754999</v>
      </c>
      <c r="U52" s="1"/>
    </row>
    <row r="53" spans="1:21" x14ac:dyDescent="0.25">
      <c r="A53" s="9" t="s">
        <v>17</v>
      </c>
      <c r="B53" s="9"/>
      <c r="C53" s="9"/>
      <c r="D53" s="9"/>
      <c r="E53" s="9"/>
      <c r="F53" s="9"/>
      <c r="G53" s="1"/>
      <c r="H53" s="1"/>
      <c r="I53" s="1"/>
      <c r="J53" s="1"/>
      <c r="K53" s="1"/>
      <c r="M53" s="2"/>
      <c r="N53" s="1"/>
      <c r="O53" s="1" t="s">
        <v>21</v>
      </c>
      <c r="P53" s="7">
        <v>0.57916197400143898</v>
      </c>
      <c r="Q53" s="7">
        <v>-0.78477741945709301</v>
      </c>
      <c r="R53" s="7">
        <v>-0.24313716774511701</v>
      </c>
      <c r="S53" s="7">
        <v>-0.62437814022779903</v>
      </c>
      <c r="T53" s="7">
        <v>-0.748656600612842</v>
      </c>
      <c r="U53" s="1"/>
    </row>
    <row r="54" spans="1:21" x14ac:dyDescent="0.25">
      <c r="A54" s="12" t="s">
        <v>0</v>
      </c>
      <c r="B54" s="14" t="s">
        <v>23</v>
      </c>
      <c r="C54" s="14" t="s">
        <v>24</v>
      </c>
      <c r="D54" s="14" t="s">
        <v>1</v>
      </c>
      <c r="E54" s="14" t="s">
        <v>28</v>
      </c>
      <c r="F54" s="14" t="s">
        <v>29</v>
      </c>
      <c r="G54" s="16" t="s">
        <v>30</v>
      </c>
      <c r="H54" s="14" t="s">
        <v>33</v>
      </c>
      <c r="I54" s="18" t="s">
        <v>34</v>
      </c>
      <c r="J54" s="20"/>
      <c r="K54" s="20"/>
      <c r="M54" s="2"/>
      <c r="N54" s="1"/>
      <c r="O54" s="1" t="s">
        <v>11</v>
      </c>
      <c r="P54" s="7">
        <v>0.74506131022172795</v>
      </c>
      <c r="Q54" s="7">
        <v>-0.75894808346496501</v>
      </c>
      <c r="R54" s="7">
        <v>-0.37958282657101999</v>
      </c>
      <c r="S54" s="7">
        <v>-0.37092334927613402</v>
      </c>
      <c r="T54" s="7">
        <v>-0.49092006249230202</v>
      </c>
      <c r="U54" s="1"/>
    </row>
    <row r="55" spans="1:21" x14ac:dyDescent="0.25">
      <c r="A55" s="1" t="s">
        <v>2</v>
      </c>
      <c r="B55" s="7">
        <v>0.72480501026157895</v>
      </c>
      <c r="C55" s="7">
        <v>-0.53321285069034396</v>
      </c>
      <c r="D55" s="7">
        <v>-0.69015600278604705</v>
      </c>
      <c r="E55" s="1"/>
      <c r="F55" s="1"/>
      <c r="G55" s="11">
        <v>13.39</v>
      </c>
      <c r="H55" s="10">
        <v>133.4714286</v>
      </c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</row>
    <row r="56" spans="1:21" x14ac:dyDescent="0.25">
      <c r="A56" s="1" t="s">
        <v>3</v>
      </c>
      <c r="B56" s="7">
        <v>0.72236032128579997</v>
      </c>
      <c r="C56" s="7">
        <v>-0.54415401279001296</v>
      </c>
      <c r="D56" s="7">
        <v>-0.77189783394192801</v>
      </c>
      <c r="E56" s="1"/>
      <c r="F56" s="1"/>
      <c r="G56" s="11">
        <v>13.108000000000001</v>
      </c>
      <c r="H56" s="10">
        <v>133.4714286</v>
      </c>
      <c r="I56" s="1"/>
      <c r="J56" s="1"/>
      <c r="K56" s="1"/>
    </row>
    <row r="57" spans="1:21" x14ac:dyDescent="0.25">
      <c r="A57" s="1" t="s">
        <v>4</v>
      </c>
      <c r="B57" s="7">
        <v>0.93103098270545204</v>
      </c>
      <c r="C57" s="7">
        <v>0.356634245125801</v>
      </c>
      <c r="D57" s="7">
        <v>1.7836570943256701E-2</v>
      </c>
      <c r="E57" s="10">
        <v>66.912425378311355</v>
      </c>
      <c r="F57" s="10">
        <v>64.048876322946043</v>
      </c>
      <c r="G57" s="11">
        <v>8.6910000000000007</v>
      </c>
      <c r="H57" s="10">
        <v>71.117321599999997</v>
      </c>
      <c r="I57" s="10">
        <f t="shared" ref="I57:I65" si="1">H57/E57</f>
        <v>1.0628417845850735</v>
      </c>
      <c r="J57" s="10"/>
      <c r="K57" s="10"/>
    </row>
    <row r="58" spans="1:21" x14ac:dyDescent="0.25">
      <c r="A58" s="1" t="s">
        <v>5</v>
      </c>
      <c r="B58" s="7">
        <v>0.62021758140125105</v>
      </c>
      <c r="C58" s="7">
        <v>-0.834312574960141</v>
      </c>
      <c r="D58" s="7">
        <v>-0.54160608613664096</v>
      </c>
      <c r="E58" s="10">
        <v>72.370164511034233</v>
      </c>
      <c r="F58" s="10">
        <v>69.142603119806424</v>
      </c>
      <c r="G58" s="11">
        <v>8.4209999999999994</v>
      </c>
      <c r="H58" s="10">
        <v>74.728308609999999</v>
      </c>
      <c r="I58" s="10">
        <f t="shared" si="1"/>
        <v>1.0325844789064453</v>
      </c>
      <c r="J58" s="10"/>
      <c r="K58" s="10"/>
    </row>
    <row r="59" spans="1:21" x14ac:dyDescent="0.25">
      <c r="A59" s="1" t="s">
        <v>6</v>
      </c>
      <c r="B59" s="7">
        <v>0.77501210984665403</v>
      </c>
      <c r="C59" s="7">
        <v>-0.908415578463458</v>
      </c>
      <c r="D59" s="7">
        <v>-0.17637365181995501</v>
      </c>
      <c r="E59" s="10">
        <v>77.803592516854394</v>
      </c>
      <c r="F59" s="10">
        <v>69.014990506950269</v>
      </c>
      <c r="G59" s="11">
        <v>5.15</v>
      </c>
      <c r="H59" s="10">
        <v>79.767295559999994</v>
      </c>
      <c r="I59" s="10">
        <f t="shared" si="1"/>
        <v>1.025239233557502</v>
      </c>
      <c r="J59" s="10"/>
      <c r="K59" s="10"/>
      <c r="L59" s="2"/>
      <c r="M59" s="1"/>
    </row>
    <row r="60" spans="1:21" x14ac:dyDescent="0.25">
      <c r="A60" s="1" t="s">
        <v>7</v>
      </c>
      <c r="B60" s="6">
        <v>1.0770799229366299</v>
      </c>
      <c r="C60" s="6">
        <v>0.64255712913469198</v>
      </c>
      <c r="D60" s="6">
        <v>0.41389016217674901</v>
      </c>
      <c r="E60" s="10">
        <v>77.803592516854394</v>
      </c>
      <c r="F60" s="10">
        <v>69.014990506950269</v>
      </c>
      <c r="G60" s="11">
        <v>8.5760000000000005</v>
      </c>
      <c r="H60" s="10">
        <v>79.767295559999994</v>
      </c>
      <c r="I60" s="10">
        <f t="shared" si="1"/>
        <v>1.025239233557502</v>
      </c>
      <c r="J60" s="10"/>
      <c r="K60" s="10"/>
      <c r="L60" s="2"/>
      <c r="M60" s="1"/>
    </row>
    <row r="61" spans="1:21" x14ac:dyDescent="0.25">
      <c r="A61" s="1" t="s">
        <v>20</v>
      </c>
      <c r="B61" s="2"/>
      <c r="D61" s="2"/>
      <c r="E61" s="10"/>
      <c r="G61" s="11">
        <v>4.4729999999999999</v>
      </c>
      <c r="H61" s="10">
        <v>68.631809730000001</v>
      </c>
      <c r="I61" s="10"/>
      <c r="J61" s="10"/>
      <c r="K61" s="10"/>
      <c r="L61" s="2"/>
      <c r="M61" s="1"/>
    </row>
    <row r="62" spans="1:21" x14ac:dyDescent="0.25">
      <c r="A62" s="1" t="s">
        <v>8</v>
      </c>
      <c r="B62" s="6">
        <v>1.69896635753922</v>
      </c>
      <c r="C62" s="6">
        <v>1.0004694412552899</v>
      </c>
      <c r="D62" s="6">
        <v>0.39449354239977702</v>
      </c>
      <c r="E62" s="10"/>
      <c r="G62" s="11">
        <v>9.9</v>
      </c>
      <c r="H62" s="10">
        <v>68.631809730000001</v>
      </c>
      <c r="I62" s="10"/>
      <c r="J62" s="10"/>
      <c r="K62" s="10"/>
      <c r="L62" s="2"/>
      <c r="M62" s="1"/>
    </row>
    <row r="63" spans="1:21" x14ac:dyDescent="0.25">
      <c r="A63" s="1" t="s">
        <v>9</v>
      </c>
      <c r="B63" s="6">
        <v>0.68980819676752303</v>
      </c>
      <c r="C63" s="7">
        <v>-0.62247408500113799</v>
      </c>
      <c r="D63" s="7">
        <v>-0.17371472956907899</v>
      </c>
      <c r="E63" s="10"/>
      <c r="G63" s="11">
        <v>4.2779999999999996</v>
      </c>
      <c r="H63" s="10">
        <v>69.696396059999998</v>
      </c>
      <c r="I63" s="10"/>
      <c r="J63" s="10"/>
      <c r="K63" s="10"/>
      <c r="L63" s="2"/>
      <c r="M63" s="1"/>
    </row>
    <row r="64" spans="1:21" x14ac:dyDescent="0.25">
      <c r="A64" s="1" t="s">
        <v>10</v>
      </c>
      <c r="B64" s="7">
        <v>0.66267278810022201</v>
      </c>
      <c r="C64" s="7">
        <v>-1.0273129897173701</v>
      </c>
      <c r="D64" s="7">
        <v>-4.74716361793363E-2</v>
      </c>
      <c r="E64" s="10">
        <v>66.341763171136677</v>
      </c>
      <c r="F64" s="10">
        <v>64.242932047955975</v>
      </c>
      <c r="G64" s="11">
        <v>5.4009999999999998</v>
      </c>
      <c r="H64" s="10">
        <v>70.569593760000004</v>
      </c>
      <c r="I64" s="10">
        <f t="shared" si="1"/>
        <v>1.063728040781146</v>
      </c>
      <c r="J64" s="10"/>
      <c r="K64" s="10"/>
      <c r="L64" s="2"/>
      <c r="M64" s="1"/>
    </row>
    <row r="65" spans="1:13" x14ac:dyDescent="0.25">
      <c r="A65" s="1" t="s">
        <v>11</v>
      </c>
      <c r="B65" s="6">
        <v>1.6537701478523501</v>
      </c>
      <c r="C65" s="6">
        <v>0.384403035464087</v>
      </c>
      <c r="D65" s="6">
        <v>5.9760012226563401E-2</v>
      </c>
      <c r="E65" s="10">
        <v>66.341763171136677</v>
      </c>
      <c r="F65" s="10">
        <v>64.242932047955975</v>
      </c>
      <c r="G65" s="11">
        <v>8.7050000000000001</v>
      </c>
      <c r="H65" s="10">
        <v>70.569593760000004</v>
      </c>
      <c r="I65" s="10">
        <f t="shared" si="1"/>
        <v>1.063728040781146</v>
      </c>
      <c r="J65" s="10"/>
      <c r="K65" s="10"/>
      <c r="L65" s="2"/>
      <c r="M65" s="1"/>
    </row>
    <row r="66" spans="1:13" x14ac:dyDescent="0.25">
      <c r="A66" s="1"/>
      <c r="B66" s="15"/>
      <c r="C66" s="1"/>
      <c r="D66" s="1"/>
      <c r="E66" s="1"/>
      <c r="F66" s="1"/>
      <c r="G66" s="1"/>
      <c r="H66" s="1"/>
      <c r="I66" s="10"/>
      <c r="J66" s="10"/>
      <c r="K66" s="10"/>
      <c r="M66" s="1"/>
    </row>
    <row r="67" spans="1:13" x14ac:dyDescent="0.25">
      <c r="A67" s="13" t="s">
        <v>16</v>
      </c>
      <c r="B67" s="13"/>
      <c r="C67" s="13"/>
      <c r="D67" s="13"/>
      <c r="E67" s="13"/>
      <c r="F67" s="1"/>
      <c r="G67" s="1"/>
      <c r="H67" s="1"/>
      <c r="I67" s="1"/>
      <c r="J67" s="1"/>
      <c r="K67" s="1"/>
    </row>
    <row r="68" spans="1:13" x14ac:dyDescent="0.25">
      <c r="A68" s="14" t="s">
        <v>0</v>
      </c>
      <c r="B68" s="14" t="s">
        <v>23</v>
      </c>
      <c r="C68" s="14" t="s">
        <v>24</v>
      </c>
      <c r="D68" s="14" t="s">
        <v>1</v>
      </c>
      <c r="E68" s="14" t="s">
        <v>28</v>
      </c>
      <c r="F68" s="12" t="s">
        <v>29</v>
      </c>
      <c r="G68" s="16" t="s">
        <v>30</v>
      </c>
      <c r="H68" s="14" t="s">
        <v>33</v>
      </c>
      <c r="I68" s="1"/>
      <c r="J68" s="1"/>
      <c r="K68" s="1"/>
      <c r="L68" s="2"/>
      <c r="M68" s="1"/>
    </row>
    <row r="69" spans="1:13" x14ac:dyDescent="0.25">
      <c r="A69" s="1" t="s">
        <v>2</v>
      </c>
      <c r="B69" s="6">
        <v>3.62123713456148</v>
      </c>
      <c r="C69" s="6">
        <v>0.87884003043687597</v>
      </c>
      <c r="D69" s="6">
        <v>0.735611704001494</v>
      </c>
      <c r="E69" s="1"/>
      <c r="F69" s="1"/>
      <c r="G69" s="10">
        <v>51.66</v>
      </c>
      <c r="H69" s="10">
        <v>133.4714286</v>
      </c>
      <c r="I69" s="1"/>
      <c r="J69" s="1"/>
      <c r="K69" s="1"/>
      <c r="L69" s="2"/>
    </row>
    <row r="70" spans="1:13" x14ac:dyDescent="0.25">
      <c r="A70" s="1" t="s">
        <v>3</v>
      </c>
      <c r="B70" s="6">
        <v>3.1649110765038402</v>
      </c>
      <c r="C70" s="6">
        <v>0.89370073497006797</v>
      </c>
      <c r="D70" s="6">
        <v>0.76773815613843199</v>
      </c>
      <c r="E70" s="1"/>
      <c r="F70" s="1"/>
      <c r="G70" s="10">
        <v>41.27935076</v>
      </c>
      <c r="H70" s="10">
        <v>133.4714286</v>
      </c>
      <c r="I70" s="1"/>
      <c r="J70" s="1"/>
      <c r="K70" s="1"/>
    </row>
    <row r="71" spans="1:13" x14ac:dyDescent="0.25">
      <c r="A71" s="1" t="s">
        <v>4</v>
      </c>
      <c r="B71" s="6">
        <v>1.5737102771314899</v>
      </c>
      <c r="C71" s="6">
        <v>0.86635228697468503</v>
      </c>
      <c r="D71" s="6">
        <v>0.199680501000808</v>
      </c>
      <c r="E71" s="10">
        <v>66.912425378311355</v>
      </c>
      <c r="F71" s="10">
        <v>64.048876322946043</v>
      </c>
      <c r="G71" s="10">
        <v>6.7843516800000003</v>
      </c>
      <c r="H71" s="10">
        <v>71.117321599999997</v>
      </c>
      <c r="I71" s="8"/>
      <c r="J71" s="8"/>
      <c r="K71" s="8"/>
    </row>
    <row r="72" spans="1:13" x14ac:dyDescent="0.25">
      <c r="A72" s="1" t="s">
        <v>5</v>
      </c>
      <c r="B72" s="6">
        <v>1.50347635019633</v>
      </c>
      <c r="C72" s="6">
        <v>0.96614890517595997</v>
      </c>
      <c r="D72" s="6">
        <v>0.12535086320927399</v>
      </c>
      <c r="E72" s="10">
        <v>72.370164511034233</v>
      </c>
      <c r="F72" s="10">
        <v>69.142603119806424</v>
      </c>
      <c r="G72" s="10">
        <v>5.3650916630000003</v>
      </c>
      <c r="H72" s="10">
        <v>74.728308609999999</v>
      </c>
      <c r="I72" s="8"/>
      <c r="J72" s="8"/>
      <c r="K72" s="8"/>
    </row>
    <row r="73" spans="1:13" x14ac:dyDescent="0.25">
      <c r="A73" s="1" t="s">
        <v>6</v>
      </c>
      <c r="B73" s="6">
        <v>1.46809780024647</v>
      </c>
      <c r="C73" s="6">
        <v>0.61110995616383801</v>
      </c>
      <c r="D73" s="6">
        <v>0.42964915677977999</v>
      </c>
      <c r="E73" s="10">
        <v>77.803592516854394</v>
      </c>
      <c r="F73" s="10">
        <v>69.014990506950269</v>
      </c>
      <c r="G73" s="10">
        <v>29.943162610000002</v>
      </c>
      <c r="H73" s="10">
        <v>79.767295559999994</v>
      </c>
      <c r="I73" s="8"/>
      <c r="J73" s="8"/>
      <c r="K73" s="8"/>
    </row>
    <row r="74" spans="1:13" x14ac:dyDescent="0.25">
      <c r="A74" s="1" t="s">
        <v>7</v>
      </c>
      <c r="B74" s="6">
        <v>1.29322320004102</v>
      </c>
      <c r="C74" s="6">
        <v>0.43470959470339599</v>
      </c>
      <c r="D74" s="6">
        <v>0.36758406997509402</v>
      </c>
      <c r="E74" s="10">
        <v>77.803592516854394</v>
      </c>
      <c r="F74" s="10">
        <v>69.014990506950269</v>
      </c>
      <c r="G74" s="10">
        <v>13.904999999999999</v>
      </c>
      <c r="H74" s="10">
        <v>79.767295559999994</v>
      </c>
      <c r="I74" s="8"/>
      <c r="J74" s="8"/>
      <c r="K74" s="8"/>
    </row>
    <row r="75" spans="1:13" x14ac:dyDescent="0.25">
      <c r="A75" s="1" t="s">
        <v>20</v>
      </c>
      <c r="B75" s="2"/>
      <c r="C75" s="2"/>
      <c r="D75" s="2"/>
      <c r="E75" s="10"/>
      <c r="G75" s="10">
        <v>7.7779999999999996</v>
      </c>
      <c r="H75" s="10">
        <v>68.631809730000001</v>
      </c>
      <c r="I75" s="8"/>
      <c r="J75" s="8"/>
      <c r="K75" s="8"/>
    </row>
    <row r="76" spans="1:13" x14ac:dyDescent="0.25">
      <c r="A76" s="1" t="s">
        <v>8</v>
      </c>
      <c r="B76" s="6">
        <v>1.2870368477726899</v>
      </c>
      <c r="C76" s="6">
        <v>0.29324836284144801</v>
      </c>
      <c r="D76" s="6">
        <v>4.3375577562074601E-2</v>
      </c>
      <c r="E76" s="10"/>
      <c r="G76" s="10">
        <v>5.5549999999999997</v>
      </c>
      <c r="H76" s="10">
        <v>68.631809730000001</v>
      </c>
      <c r="I76" s="8"/>
      <c r="J76" s="8"/>
      <c r="K76" s="8"/>
    </row>
    <row r="77" spans="1:13" x14ac:dyDescent="0.25">
      <c r="A77" s="1" t="s">
        <v>9</v>
      </c>
      <c r="B77" s="6">
        <v>1.3490789487664501</v>
      </c>
      <c r="C77" s="6">
        <v>0.20911471061197601</v>
      </c>
      <c r="D77" s="6">
        <v>4.5262412029273197E-2</v>
      </c>
      <c r="E77" s="10"/>
      <c r="G77" s="10">
        <v>12.67</v>
      </c>
      <c r="H77" s="10">
        <v>69.696396059999998</v>
      </c>
      <c r="I77" s="8"/>
      <c r="J77" s="8"/>
      <c r="K77" s="8"/>
    </row>
    <row r="78" spans="1:13" x14ac:dyDescent="0.25">
      <c r="A78" s="1" t="s">
        <v>10</v>
      </c>
      <c r="B78" s="7">
        <v>0.56520265738304298</v>
      </c>
      <c r="C78" s="7">
        <v>-1.0275595596207601</v>
      </c>
      <c r="D78" s="7">
        <v>-6.6277814143714905E-2</v>
      </c>
      <c r="E78" s="10">
        <v>66.341763171136677</v>
      </c>
      <c r="F78" s="10">
        <v>64.242932047955975</v>
      </c>
      <c r="G78" s="10">
        <v>5.3390000000000004</v>
      </c>
      <c r="H78" s="10">
        <v>70.569593760000004</v>
      </c>
      <c r="I78" s="8"/>
      <c r="J78" s="8"/>
      <c r="K78" s="8"/>
    </row>
    <row r="79" spans="1:13" x14ac:dyDescent="0.25">
      <c r="A79" s="1" t="s">
        <v>11</v>
      </c>
      <c r="B79" s="7">
        <v>0.82233612818652901</v>
      </c>
      <c r="C79" s="7">
        <v>-0.50591021290758598</v>
      </c>
      <c r="D79" s="7">
        <v>-0.161754895727207</v>
      </c>
      <c r="E79" s="10">
        <v>66.341763171136677</v>
      </c>
      <c r="F79" s="10">
        <v>64.242932047955975</v>
      </c>
      <c r="G79" s="10">
        <v>5.1369999999999996</v>
      </c>
      <c r="H79" s="10">
        <v>70.569593760000004</v>
      </c>
      <c r="I79" s="8"/>
      <c r="J79" s="8"/>
      <c r="K79" s="8"/>
    </row>
    <row r="80" spans="1:13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</row>
    <row r="81" spans="1:11" x14ac:dyDescent="0.25">
      <c r="A81" s="12" t="s">
        <v>22</v>
      </c>
      <c r="B81" s="12" t="s">
        <v>23</v>
      </c>
      <c r="C81" s="12" t="s">
        <v>24</v>
      </c>
      <c r="D81" s="12" t="s">
        <v>1</v>
      </c>
      <c r="E81" s="12" t="s">
        <v>25</v>
      </c>
      <c r="F81" s="12" t="s">
        <v>18</v>
      </c>
      <c r="G81" s="12" t="s">
        <v>28</v>
      </c>
      <c r="H81" s="12" t="s">
        <v>29</v>
      </c>
      <c r="I81" s="9"/>
      <c r="J81" s="9"/>
      <c r="K81" s="9"/>
    </row>
    <row r="82" spans="1:11" x14ac:dyDescent="0.25">
      <c r="A82" s="1" t="s">
        <v>2</v>
      </c>
      <c r="B82" s="6">
        <v>1.7878260187067601</v>
      </c>
      <c r="C82" s="6">
        <v>0.26654667808256899</v>
      </c>
      <c r="D82" s="6">
        <v>0.57681691180727601</v>
      </c>
      <c r="E82" s="6">
        <v>0.16472908104553</v>
      </c>
      <c r="F82" s="6">
        <v>0.27048577500075</v>
      </c>
      <c r="H82" s="1"/>
      <c r="I82" s="2"/>
      <c r="J82" s="2"/>
      <c r="K82" s="2"/>
    </row>
    <row r="83" spans="1:11" x14ac:dyDescent="0.25">
      <c r="A83" s="1" t="s">
        <v>3</v>
      </c>
      <c r="B83" s="6">
        <v>2.8770644107042802</v>
      </c>
      <c r="C83" s="6">
        <v>0.541500872594741</v>
      </c>
      <c r="D83" s="6">
        <v>0.54443871754473905</v>
      </c>
      <c r="E83" s="6">
        <v>0.24600566680348099</v>
      </c>
      <c r="F83" s="6">
        <v>0.55540922852805497</v>
      </c>
      <c r="H83" s="1"/>
      <c r="I83" s="2"/>
      <c r="J83" s="2"/>
      <c r="K83" s="2"/>
    </row>
    <row r="84" spans="1:11" x14ac:dyDescent="0.25">
      <c r="A84" s="1" t="s">
        <v>4</v>
      </c>
      <c r="B84" s="6">
        <v>1.2050076272027901</v>
      </c>
      <c r="C84" s="6">
        <v>0.92674759673055396</v>
      </c>
      <c r="D84" s="6">
        <v>0.13984116014494999</v>
      </c>
      <c r="E84" s="6">
        <v>0.58415158227019104</v>
      </c>
      <c r="F84" s="6">
        <v>0.66959836720930499</v>
      </c>
      <c r="G84" s="10">
        <v>66.912425378311355</v>
      </c>
      <c r="H84" s="10">
        <v>64.048876322946043</v>
      </c>
      <c r="I84" s="2"/>
      <c r="J84" s="2"/>
      <c r="K84" s="2"/>
    </row>
    <row r="85" spans="1:11" x14ac:dyDescent="0.25">
      <c r="A85" s="1" t="s">
        <v>5</v>
      </c>
      <c r="B85" s="6">
        <v>1.11910970408747</v>
      </c>
      <c r="C85" s="6">
        <v>0.156816283020727</v>
      </c>
      <c r="D85" s="6">
        <v>8.9326261366187695E-2</v>
      </c>
      <c r="E85" s="6">
        <v>5.92725219807008E-2</v>
      </c>
      <c r="F85" s="6">
        <v>0.1017952207019</v>
      </c>
      <c r="G85" s="10">
        <v>72.370164511034233</v>
      </c>
      <c r="H85" s="10">
        <v>69.142603119806424</v>
      </c>
      <c r="I85" s="2"/>
      <c r="J85" s="2"/>
      <c r="K85" s="2"/>
    </row>
    <row r="86" spans="1:11" x14ac:dyDescent="0.25">
      <c r="A86" s="1" t="s">
        <v>6</v>
      </c>
      <c r="B86" s="6">
        <v>1.4074954172257299</v>
      </c>
      <c r="C86" s="6">
        <v>0.25880560171696498</v>
      </c>
      <c r="D86" s="6">
        <v>4.6283799610675601E-2</v>
      </c>
      <c r="E86" s="6">
        <v>0.10621290455320199</v>
      </c>
      <c r="F86" s="7">
        <v>-0.90837567524790197</v>
      </c>
      <c r="G86" s="10">
        <v>77.803592516854394</v>
      </c>
      <c r="H86" s="10">
        <v>69.014990506950269</v>
      </c>
      <c r="I86" s="2"/>
      <c r="J86" s="2"/>
      <c r="K86" s="2"/>
    </row>
    <row r="87" spans="1:11" x14ac:dyDescent="0.25">
      <c r="A87" s="1" t="s">
        <v>7</v>
      </c>
      <c r="B87" s="6">
        <v>1.41606982531736</v>
      </c>
      <c r="C87" s="6">
        <v>0.52921681534296305</v>
      </c>
      <c r="D87" s="6">
        <v>3.0850994672477702E-2</v>
      </c>
      <c r="E87" s="6">
        <v>0.17041594173230901</v>
      </c>
      <c r="F87" s="6">
        <v>0.33346513766249403</v>
      </c>
      <c r="G87" s="10">
        <v>77.803592516854394</v>
      </c>
      <c r="H87" s="10">
        <v>69.014990506950269</v>
      </c>
      <c r="I87" s="2"/>
      <c r="J87" s="2"/>
      <c r="K87" s="2"/>
    </row>
    <row r="88" spans="1:11" x14ac:dyDescent="0.25">
      <c r="A88" s="1" t="s">
        <v>20</v>
      </c>
      <c r="B88" s="6">
        <v>1.5689444337549201</v>
      </c>
      <c r="C88" s="6">
        <v>0.71850105371235795</v>
      </c>
      <c r="D88" s="6">
        <v>0.164262280281398</v>
      </c>
      <c r="E88" s="6">
        <v>0.415644787212891</v>
      </c>
      <c r="F88" s="6">
        <v>0.60238698682230296</v>
      </c>
      <c r="I88" s="2"/>
      <c r="J88" s="2"/>
      <c r="K88" s="2"/>
    </row>
    <row r="89" spans="1:11" x14ac:dyDescent="0.25">
      <c r="A89" s="1" t="s">
        <v>21</v>
      </c>
      <c r="B89" s="6">
        <v>1.15872732148062</v>
      </c>
      <c r="C89" s="6">
        <v>0.40647074977609499</v>
      </c>
      <c r="D89" s="7">
        <v>-4.45444212598241E-2</v>
      </c>
      <c r="E89" s="6">
        <v>5.4008474266980598E-2</v>
      </c>
      <c r="F89" s="6">
        <v>0.21627118090962999</v>
      </c>
      <c r="I89" s="2"/>
      <c r="J89" s="2"/>
      <c r="K89" s="2"/>
    </row>
    <row r="90" spans="1:11" x14ac:dyDescent="0.25">
      <c r="A90" s="1" t="s">
        <v>11</v>
      </c>
      <c r="B90" s="6">
        <v>1.1637562782531401</v>
      </c>
      <c r="C90" s="6">
        <v>0.401331670241585</v>
      </c>
      <c r="D90" s="6">
        <v>6.7271555006068101E-2</v>
      </c>
      <c r="E90" s="6">
        <v>8.1392652419518097E-2</v>
      </c>
      <c r="F90" s="6">
        <v>0.164652348864086</v>
      </c>
      <c r="G90" s="10">
        <v>66.341763171136677</v>
      </c>
      <c r="H90" s="10">
        <v>64.242932047955975</v>
      </c>
      <c r="I90" s="2"/>
      <c r="J90" s="2"/>
      <c r="K90" s="2"/>
    </row>
    <row r="91" spans="1:11" x14ac:dyDescent="0.25">
      <c r="A91" s="1"/>
      <c r="B91" s="1"/>
      <c r="C91" s="1"/>
      <c r="D91" s="1"/>
      <c r="E91" s="1"/>
      <c r="F91" s="1"/>
      <c r="G91" s="1"/>
      <c r="I91" s="1"/>
      <c r="J91" s="1"/>
      <c r="K91" s="1"/>
    </row>
    <row r="92" spans="1:11" x14ac:dyDescent="0.25">
      <c r="H92" s="10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DB7CF3-4388-43F5-BF7D-AD6E55B5C457}">
  <dimension ref="B2:H48"/>
  <sheetViews>
    <sheetView zoomScale="70" zoomScaleNormal="70" workbookViewId="0">
      <selection activeCell="AC44" sqref="AC44"/>
    </sheetView>
  </sheetViews>
  <sheetFormatPr defaultRowHeight="15" x14ac:dyDescent="0.25"/>
  <cols>
    <col min="2" max="2" width="16.140625" customWidth="1"/>
    <col min="3" max="3" width="10.42578125" customWidth="1"/>
    <col min="4" max="4" width="15.5703125" customWidth="1"/>
    <col min="5" max="5" width="14.42578125" customWidth="1"/>
    <col min="6" max="6" width="12.5703125" customWidth="1"/>
    <col min="7" max="7" width="16.28515625" customWidth="1"/>
    <col min="8" max="8" width="16" customWidth="1"/>
    <col min="9" max="9" width="9.140625" customWidth="1"/>
  </cols>
  <sheetData>
    <row r="2" spans="2:6" x14ac:dyDescent="0.25">
      <c r="B2" s="9" t="s">
        <v>12</v>
      </c>
      <c r="C2" s="9" t="s">
        <v>28</v>
      </c>
      <c r="D2" s="9" t="s">
        <v>23</v>
      </c>
      <c r="E2" s="9" t="s">
        <v>24</v>
      </c>
      <c r="F2" s="9" t="s">
        <v>1</v>
      </c>
    </row>
    <row r="3" spans="2:6" x14ac:dyDescent="0.25">
      <c r="B3" s="9" t="s">
        <v>4</v>
      </c>
      <c r="C3" s="8">
        <v>9.4725974000000004E-2</v>
      </c>
      <c r="D3" s="6">
        <v>2.1746388039620901</v>
      </c>
      <c r="E3" s="6">
        <v>0.90358482744648005</v>
      </c>
      <c r="F3" s="6">
        <v>0.17369777575697301</v>
      </c>
    </row>
    <row r="4" spans="2:6" x14ac:dyDescent="0.25">
      <c r="B4" s="9" t="s">
        <v>5</v>
      </c>
      <c r="C4" s="8">
        <v>0.102452336</v>
      </c>
      <c r="D4" s="6">
        <v>2.2792285281778502</v>
      </c>
      <c r="E4" s="6">
        <v>0.663434225775831</v>
      </c>
      <c r="F4" s="6">
        <v>9.9143945152060597E-2</v>
      </c>
    </row>
    <row r="5" spans="2:6" x14ac:dyDescent="0.25">
      <c r="B5" s="9" t="s">
        <v>7</v>
      </c>
      <c r="C5" s="8">
        <v>0.110144282</v>
      </c>
      <c r="D5" s="6">
        <v>1.45242884682964</v>
      </c>
      <c r="E5" s="6">
        <v>0.238708102284336</v>
      </c>
      <c r="F5" s="6">
        <v>0.14477972148899501</v>
      </c>
    </row>
    <row r="6" spans="2:6" x14ac:dyDescent="0.25">
      <c r="B6" s="9" t="s">
        <v>11</v>
      </c>
      <c r="C6" s="8">
        <v>9.3918104000000002E-2</v>
      </c>
      <c r="D6" s="7">
        <v>0.84619083652769</v>
      </c>
      <c r="E6" s="7">
        <v>-0.57708462423306806</v>
      </c>
      <c r="F6" s="7">
        <v>-7.8588218215967606E-2</v>
      </c>
    </row>
    <row r="8" spans="2:6" x14ac:dyDescent="0.25">
      <c r="B8" s="1" t="s">
        <v>17</v>
      </c>
      <c r="C8" s="9" t="s">
        <v>28</v>
      </c>
      <c r="D8" s="9" t="s">
        <v>23</v>
      </c>
      <c r="E8" s="9" t="s">
        <v>24</v>
      </c>
      <c r="F8" s="9" t="s">
        <v>1</v>
      </c>
    </row>
    <row r="9" spans="2:6" x14ac:dyDescent="0.25">
      <c r="B9" s="9" t="s">
        <v>4</v>
      </c>
      <c r="C9" s="8">
        <v>9.4725974000000004E-2</v>
      </c>
      <c r="D9" s="7">
        <v>0.93103098270545204</v>
      </c>
      <c r="E9" s="7">
        <v>0.356634245125801</v>
      </c>
      <c r="F9" s="7">
        <v>1.7836570943256701E-2</v>
      </c>
    </row>
    <row r="10" spans="2:6" x14ac:dyDescent="0.25">
      <c r="B10" s="9" t="s">
        <v>5</v>
      </c>
      <c r="C10" s="8">
        <v>0.102452336</v>
      </c>
      <c r="D10" s="7">
        <v>0.62021758140125105</v>
      </c>
      <c r="E10" s="7">
        <v>-0.834312574960141</v>
      </c>
      <c r="F10" s="7">
        <v>-0.54160608613664096</v>
      </c>
    </row>
    <row r="11" spans="2:6" x14ac:dyDescent="0.25">
      <c r="B11" s="9" t="s">
        <v>7</v>
      </c>
      <c r="C11" s="8">
        <v>0.110144282</v>
      </c>
      <c r="D11" s="6">
        <v>1.0770799229366299</v>
      </c>
      <c r="E11" s="6">
        <v>0.64255712913469198</v>
      </c>
      <c r="F11" s="6">
        <v>0.41389016217674901</v>
      </c>
    </row>
    <row r="12" spans="2:6" x14ac:dyDescent="0.25">
      <c r="B12" s="9" t="s">
        <v>11</v>
      </c>
      <c r="C12" s="8">
        <v>9.3918104000000002E-2</v>
      </c>
      <c r="D12" s="6">
        <v>1.6537701478523501</v>
      </c>
      <c r="E12" s="6">
        <v>0.384403035464087</v>
      </c>
      <c r="F12" s="6">
        <v>5.9760012226563401E-2</v>
      </c>
    </row>
    <row r="14" spans="2:6" x14ac:dyDescent="0.25">
      <c r="B14" s="1" t="s">
        <v>16</v>
      </c>
      <c r="C14" s="9" t="s">
        <v>28</v>
      </c>
      <c r="D14" s="9" t="s">
        <v>23</v>
      </c>
      <c r="E14" s="9" t="s">
        <v>24</v>
      </c>
      <c r="F14" s="9" t="s">
        <v>1</v>
      </c>
    </row>
    <row r="15" spans="2:6" x14ac:dyDescent="0.25">
      <c r="B15" s="9" t="s">
        <v>4</v>
      </c>
      <c r="C15" s="8">
        <v>9.4725974000000004E-2</v>
      </c>
      <c r="D15" s="6">
        <v>1.5737102771314899</v>
      </c>
      <c r="E15" s="6">
        <v>0.86635228697468503</v>
      </c>
      <c r="F15" s="6">
        <v>0.199680501000808</v>
      </c>
    </row>
    <row r="16" spans="2:6" x14ac:dyDescent="0.25">
      <c r="B16" s="9" t="s">
        <v>5</v>
      </c>
      <c r="C16" s="8">
        <v>0.102452336</v>
      </c>
      <c r="D16" s="6">
        <v>1.50347635019633</v>
      </c>
      <c r="E16" s="6">
        <v>0.96614890517595997</v>
      </c>
      <c r="F16" s="6">
        <v>0.12535086320927399</v>
      </c>
    </row>
    <row r="17" spans="2:6" x14ac:dyDescent="0.25">
      <c r="B17" s="9" t="s">
        <v>7</v>
      </c>
      <c r="C17" s="8">
        <v>0.110144282</v>
      </c>
      <c r="D17" s="6">
        <v>1.29322320004102</v>
      </c>
      <c r="E17" s="6">
        <v>0.43470959470339599</v>
      </c>
      <c r="F17" s="6">
        <v>0.36758406997509402</v>
      </c>
    </row>
    <row r="18" spans="2:6" x14ac:dyDescent="0.25">
      <c r="B18" s="9" t="s">
        <v>11</v>
      </c>
      <c r="C18" s="8">
        <v>9.3918104000000002E-2</v>
      </c>
      <c r="D18" s="7">
        <v>0.82233612818652901</v>
      </c>
      <c r="E18" s="7">
        <v>-0.50591021290758598</v>
      </c>
      <c r="F18" s="7">
        <v>-0.161754895727207</v>
      </c>
    </row>
    <row r="20" spans="2:6" x14ac:dyDescent="0.25">
      <c r="B20" s="1" t="s">
        <v>15</v>
      </c>
      <c r="C20" s="9" t="s">
        <v>28</v>
      </c>
      <c r="D20" s="9" t="s">
        <v>23</v>
      </c>
      <c r="E20" s="9" t="s">
        <v>24</v>
      </c>
      <c r="F20" s="9" t="s">
        <v>1</v>
      </c>
    </row>
    <row r="21" spans="2:6" x14ac:dyDescent="0.25">
      <c r="B21" s="9" t="s">
        <v>4</v>
      </c>
      <c r="C21" s="8">
        <v>9.4725974000000004E-2</v>
      </c>
      <c r="D21" s="6">
        <v>2.2885725031264901</v>
      </c>
      <c r="E21" s="6">
        <v>0.86069377106338596</v>
      </c>
      <c r="F21" s="6">
        <v>0.14822690674265199</v>
      </c>
    </row>
    <row r="22" spans="2:6" x14ac:dyDescent="0.25">
      <c r="B22" s="9" t="s">
        <v>5</v>
      </c>
      <c r="C22" s="8">
        <v>0.102452336</v>
      </c>
      <c r="D22" s="7">
        <v>0.65629846710779305</v>
      </c>
      <c r="E22" s="7">
        <v>-0.38672859447744201</v>
      </c>
      <c r="F22" s="7">
        <v>-9.02599646039247E-2</v>
      </c>
    </row>
    <row r="23" spans="2:6" x14ac:dyDescent="0.25">
      <c r="B23" s="9" t="s">
        <v>7</v>
      </c>
      <c r="C23" s="8">
        <v>0.110144282</v>
      </c>
      <c r="D23" s="7">
        <v>0.61809493388466297</v>
      </c>
      <c r="E23" s="7">
        <v>-0.851696935181535</v>
      </c>
      <c r="F23" s="7">
        <v>-0.17562342751062601</v>
      </c>
    </row>
    <row r="24" spans="2:6" x14ac:dyDescent="0.25">
      <c r="B24" s="9" t="s">
        <v>11</v>
      </c>
      <c r="C24" s="8">
        <v>9.3918104000000002E-2</v>
      </c>
    </row>
    <row r="26" spans="2:6" x14ac:dyDescent="0.25">
      <c r="B26" s="1" t="s">
        <v>14</v>
      </c>
      <c r="C26" s="9" t="s">
        <v>28</v>
      </c>
      <c r="D26" s="9" t="s">
        <v>23</v>
      </c>
      <c r="E26" s="9" t="s">
        <v>24</v>
      </c>
      <c r="F26" s="9" t="s">
        <v>1</v>
      </c>
    </row>
    <row r="27" spans="2:6" x14ac:dyDescent="0.25">
      <c r="B27" s="9" t="s">
        <v>4</v>
      </c>
      <c r="C27" s="8">
        <v>9.4725974000000004E-2</v>
      </c>
      <c r="D27" s="6">
        <v>1.2975667452931301</v>
      </c>
      <c r="E27" s="6">
        <v>0.86785733003031096</v>
      </c>
      <c r="F27" s="6">
        <v>0.10077650528672399</v>
      </c>
    </row>
    <row r="28" spans="2:6" x14ac:dyDescent="0.25">
      <c r="B28" s="9" t="s">
        <v>5</v>
      </c>
      <c r="C28" s="8">
        <v>0.102452336</v>
      </c>
      <c r="D28" s="6">
        <v>1.0575708895152101</v>
      </c>
      <c r="E28" s="6">
        <v>0.26292322495904802</v>
      </c>
      <c r="F28" s="6">
        <v>6.3493902184217604E-2</v>
      </c>
    </row>
    <row r="29" spans="2:6" x14ac:dyDescent="0.25">
      <c r="B29" s="9" t="s">
        <v>7</v>
      </c>
      <c r="C29" s="8">
        <v>0.110144282</v>
      </c>
    </row>
    <row r="30" spans="2:6" x14ac:dyDescent="0.25">
      <c r="B30" s="9" t="s">
        <v>11</v>
      </c>
      <c r="C30" s="8">
        <v>9.3918104000000002E-2</v>
      </c>
    </row>
    <row r="32" spans="2:6" x14ac:dyDescent="0.25">
      <c r="B32" s="1" t="s">
        <v>13</v>
      </c>
      <c r="C32" s="9" t="s">
        <v>28</v>
      </c>
      <c r="D32" s="9" t="s">
        <v>23</v>
      </c>
      <c r="E32" s="9" t="s">
        <v>24</v>
      </c>
      <c r="F32" s="9" t="s">
        <v>1</v>
      </c>
    </row>
    <row r="33" spans="2:8" x14ac:dyDescent="0.25">
      <c r="B33" s="9" t="s">
        <v>4</v>
      </c>
      <c r="C33" s="8">
        <v>9.4725974000000004E-2</v>
      </c>
      <c r="D33" s="7">
        <v>0.92254459679364598</v>
      </c>
      <c r="E33" s="6">
        <v>0.385385071473553</v>
      </c>
      <c r="F33" s="6">
        <v>6.6875193364792196E-2</v>
      </c>
    </row>
    <row r="34" spans="2:8" x14ac:dyDescent="0.25">
      <c r="B34" s="9" t="s">
        <v>5</v>
      </c>
      <c r="C34" s="8">
        <v>0.102452336</v>
      </c>
      <c r="D34" s="7">
        <v>0.53817423509068496</v>
      </c>
      <c r="E34" s="7">
        <v>-0.51784566087035699</v>
      </c>
      <c r="F34" s="7">
        <v>-8.6669485065099E-2</v>
      </c>
    </row>
    <row r="35" spans="2:8" x14ac:dyDescent="0.25">
      <c r="B35" s="9" t="s">
        <v>7</v>
      </c>
      <c r="C35" s="8">
        <v>0.110144282</v>
      </c>
    </row>
    <row r="36" spans="2:8" x14ac:dyDescent="0.25">
      <c r="B36" s="9" t="s">
        <v>11</v>
      </c>
      <c r="C36" s="8">
        <v>9.3918104000000002E-2</v>
      </c>
    </row>
    <row r="38" spans="2:8" x14ac:dyDescent="0.25">
      <c r="B38" s="9" t="s">
        <v>22</v>
      </c>
      <c r="C38" s="9" t="s">
        <v>28</v>
      </c>
      <c r="D38" s="9" t="s">
        <v>23</v>
      </c>
      <c r="E38" s="9" t="s">
        <v>24</v>
      </c>
      <c r="F38" s="9" t="s">
        <v>1</v>
      </c>
      <c r="G38" s="9" t="s">
        <v>25</v>
      </c>
      <c r="H38" s="9" t="s">
        <v>18</v>
      </c>
    </row>
    <row r="39" spans="2:8" x14ac:dyDescent="0.25">
      <c r="B39" s="9" t="s">
        <v>4</v>
      </c>
      <c r="C39" s="8">
        <v>9.4725974000000004E-2</v>
      </c>
      <c r="D39" s="6">
        <v>1.2050076272027901</v>
      </c>
      <c r="E39" s="6">
        <v>0.92674759673055396</v>
      </c>
      <c r="F39" s="6">
        <v>0.13984116014494999</v>
      </c>
      <c r="G39" s="6">
        <v>0.58415158227019104</v>
      </c>
      <c r="H39" s="6">
        <v>0.66959836720930499</v>
      </c>
    </row>
    <row r="40" spans="2:8" x14ac:dyDescent="0.25">
      <c r="B40" s="9" t="s">
        <v>5</v>
      </c>
      <c r="C40" s="8">
        <v>0.102452336</v>
      </c>
      <c r="D40" s="6">
        <v>1.11910970408747</v>
      </c>
      <c r="E40" s="6">
        <v>0.156816283020727</v>
      </c>
      <c r="F40" s="6">
        <v>8.9326261366187695E-2</v>
      </c>
      <c r="G40" s="6">
        <v>5.92725219807008E-2</v>
      </c>
      <c r="H40" s="6">
        <v>0.1017952207019</v>
      </c>
    </row>
    <row r="41" spans="2:8" x14ac:dyDescent="0.25">
      <c r="B41" s="9" t="s">
        <v>7</v>
      </c>
      <c r="C41" s="8">
        <v>0.110144282</v>
      </c>
      <c r="D41" s="6">
        <v>1.41606982531736</v>
      </c>
      <c r="E41" s="6">
        <v>0.52921681534296305</v>
      </c>
      <c r="F41" s="6">
        <v>3.0850994672477702E-2</v>
      </c>
      <c r="G41" s="6">
        <v>0.17041594173230901</v>
      </c>
      <c r="H41" s="6">
        <v>0.33346513766249403</v>
      </c>
    </row>
    <row r="42" spans="2:8" x14ac:dyDescent="0.25">
      <c r="B42" s="9" t="s">
        <v>11</v>
      </c>
      <c r="C42" s="8">
        <v>9.3918104000000002E-2</v>
      </c>
      <c r="D42" s="6">
        <v>1.1637562782531401</v>
      </c>
      <c r="E42" s="6">
        <v>0.401331670241585</v>
      </c>
      <c r="F42" s="6">
        <v>6.7271555006068101E-2</v>
      </c>
      <c r="G42" s="6">
        <v>8.1392652419518097E-2</v>
      </c>
      <c r="H42" s="6">
        <v>0.164652348864086</v>
      </c>
    </row>
    <row r="44" spans="2:8" x14ac:dyDescent="0.25">
      <c r="B44" s="1" t="s">
        <v>19</v>
      </c>
      <c r="C44" s="9" t="s">
        <v>28</v>
      </c>
      <c r="D44" s="9" t="s">
        <v>23</v>
      </c>
      <c r="E44" s="9" t="s">
        <v>24</v>
      </c>
      <c r="F44" s="9" t="s">
        <v>1</v>
      </c>
      <c r="G44" s="9" t="s">
        <v>25</v>
      </c>
      <c r="H44" s="9" t="s">
        <v>18</v>
      </c>
    </row>
    <row r="45" spans="2:8" x14ac:dyDescent="0.25">
      <c r="B45" s="9" t="s">
        <v>4</v>
      </c>
      <c r="C45" s="8">
        <v>9.4725974000000004E-2</v>
      </c>
      <c r="D45" s="7">
        <v>0.76151296818251002</v>
      </c>
      <c r="E45" s="7">
        <v>-0.82455849900808098</v>
      </c>
      <c r="F45" s="7">
        <v>-0.53010922957415696</v>
      </c>
      <c r="G45" s="7">
        <v>-0.67807302432253402</v>
      </c>
      <c r="H45" s="7">
        <v>-0.81917889363282403</v>
      </c>
    </row>
    <row r="46" spans="2:8" x14ac:dyDescent="0.25">
      <c r="B46" s="9" t="s">
        <v>5</v>
      </c>
      <c r="C46" s="8">
        <v>0.102452336</v>
      </c>
      <c r="D46" s="7">
        <v>0.63241662033349</v>
      </c>
      <c r="E46" s="7">
        <v>-0.77305412456000899</v>
      </c>
      <c r="F46" s="7">
        <v>-0.511670862423525</v>
      </c>
      <c r="G46" s="7">
        <v>-0.62213976025652196</v>
      </c>
      <c r="H46" s="7">
        <v>-0.76662036881149098</v>
      </c>
    </row>
    <row r="47" spans="2:8" x14ac:dyDescent="0.25">
      <c r="B47" s="9" t="s">
        <v>7</v>
      </c>
      <c r="C47" s="8">
        <v>0.110144282</v>
      </c>
      <c r="D47" s="7">
        <v>0.64478493475432996</v>
      </c>
      <c r="E47" s="7">
        <v>-0.64445784381595494</v>
      </c>
      <c r="F47" s="7">
        <v>-0.24334139198969101</v>
      </c>
      <c r="G47" s="7">
        <v>-0.34407999236201098</v>
      </c>
      <c r="H47" s="7">
        <v>-0.52379920048275397</v>
      </c>
    </row>
    <row r="48" spans="2:8" x14ac:dyDescent="0.25">
      <c r="B48" s="9" t="s">
        <v>11</v>
      </c>
      <c r="C48" s="8">
        <v>9.3918104000000002E-2</v>
      </c>
      <c r="D48" s="7">
        <v>0.74506131022172795</v>
      </c>
      <c r="E48" s="7">
        <v>-0.75894808346496501</v>
      </c>
      <c r="F48" s="7">
        <v>-0.37958282657101999</v>
      </c>
      <c r="G48" s="7">
        <v>-0.37092334927613402</v>
      </c>
      <c r="H48" s="7">
        <v>-0.49092006249230202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31C0C-8E57-4EF0-B25E-6D2284B1AE77}">
  <dimension ref="B2:H48"/>
  <sheetViews>
    <sheetView zoomScale="115" zoomScaleNormal="115" workbookViewId="0">
      <selection activeCell="F19" sqref="F19"/>
    </sheetView>
  </sheetViews>
  <sheetFormatPr defaultRowHeight="15" x14ac:dyDescent="0.25"/>
  <cols>
    <col min="2" max="2" width="16.140625" customWidth="1"/>
    <col min="3" max="3" width="10.42578125" customWidth="1"/>
    <col min="4" max="4" width="15.5703125" customWidth="1"/>
    <col min="5" max="5" width="14.42578125" customWidth="1"/>
    <col min="6" max="6" width="12.5703125" customWidth="1"/>
    <col min="7" max="7" width="16.28515625" customWidth="1"/>
    <col min="8" max="8" width="16" customWidth="1"/>
    <col min="9" max="9" width="9.140625" customWidth="1"/>
  </cols>
  <sheetData>
    <row r="2" spans="2:6" x14ac:dyDescent="0.25">
      <c r="B2" s="9" t="s">
        <v>12</v>
      </c>
      <c r="C2" s="9" t="s">
        <v>28</v>
      </c>
      <c r="D2" s="9" t="s">
        <v>23</v>
      </c>
      <c r="E2" s="9" t="s">
        <v>24</v>
      </c>
      <c r="F2" s="9" t="s">
        <v>1</v>
      </c>
    </row>
    <row r="3" spans="2:6" x14ac:dyDescent="0.25">
      <c r="B3" s="9" t="s">
        <v>4</v>
      </c>
      <c r="C3" s="8">
        <v>9.4725974000000004E-2</v>
      </c>
      <c r="D3" s="6">
        <v>2.1746388039620901</v>
      </c>
      <c r="E3" s="6">
        <v>0.90358482744648005</v>
      </c>
      <c r="F3" s="6">
        <v>0.17369777575697301</v>
      </c>
    </row>
    <row r="4" spans="2:6" x14ac:dyDescent="0.25">
      <c r="B4" s="9" t="s">
        <v>5</v>
      </c>
      <c r="C4" s="8">
        <v>0.102452336</v>
      </c>
      <c r="D4" s="6">
        <v>2.2792285281778502</v>
      </c>
      <c r="E4" s="6">
        <v>0.663434225775831</v>
      </c>
      <c r="F4" s="6">
        <v>9.9143945152060597E-2</v>
      </c>
    </row>
    <row r="5" spans="2:6" x14ac:dyDescent="0.25">
      <c r="B5" s="9" t="s">
        <v>6</v>
      </c>
      <c r="C5" s="8">
        <v>0.110144282</v>
      </c>
      <c r="D5" s="6">
        <v>1.4480475262282899</v>
      </c>
      <c r="E5" s="6">
        <v>0.66475177086608195</v>
      </c>
      <c r="F5" s="6">
        <v>0.21234239309632399</v>
      </c>
    </row>
    <row r="6" spans="2:6" x14ac:dyDescent="0.25">
      <c r="B6" s="9" t="s">
        <v>10</v>
      </c>
      <c r="C6" s="8">
        <v>9.3918104000000002E-2</v>
      </c>
      <c r="D6" s="7">
        <v>0.665445371933445</v>
      </c>
      <c r="E6" s="7">
        <v>-1.0305451800868599</v>
      </c>
      <c r="F6" s="7">
        <v>-4.1760232547360499E-2</v>
      </c>
    </row>
    <row r="8" spans="2:6" x14ac:dyDescent="0.25">
      <c r="B8" s="1" t="s">
        <v>17</v>
      </c>
      <c r="C8" s="9" t="s">
        <v>28</v>
      </c>
      <c r="D8" s="9" t="s">
        <v>23</v>
      </c>
      <c r="E8" s="9" t="s">
        <v>24</v>
      </c>
      <c r="F8" s="9" t="s">
        <v>1</v>
      </c>
    </row>
    <row r="9" spans="2:6" x14ac:dyDescent="0.25">
      <c r="B9" s="9" t="s">
        <v>4</v>
      </c>
      <c r="C9" s="8">
        <v>9.4725974000000004E-2</v>
      </c>
      <c r="D9" s="7">
        <v>0.93103098270545204</v>
      </c>
      <c r="E9" s="7">
        <v>0.356634245125801</v>
      </c>
      <c r="F9" s="7">
        <v>1.7836570943256701E-2</v>
      </c>
    </row>
    <row r="10" spans="2:6" x14ac:dyDescent="0.25">
      <c r="B10" s="9" t="s">
        <v>5</v>
      </c>
      <c r="C10" s="8">
        <v>0.102452336</v>
      </c>
      <c r="D10" s="7">
        <v>0.62021758140125105</v>
      </c>
      <c r="E10" s="7">
        <v>-0.834312574960141</v>
      </c>
      <c r="F10" s="7">
        <v>-0.54160608613664096</v>
      </c>
    </row>
    <row r="11" spans="2:6" x14ac:dyDescent="0.25">
      <c r="B11" s="9" t="s">
        <v>6</v>
      </c>
      <c r="C11" s="8">
        <v>0.110144282</v>
      </c>
      <c r="D11" s="7">
        <v>0.77501210984665403</v>
      </c>
      <c r="E11" s="7">
        <v>-0.908415578463458</v>
      </c>
      <c r="F11" s="7">
        <v>-0.17637365181995501</v>
      </c>
    </row>
    <row r="12" spans="2:6" x14ac:dyDescent="0.25">
      <c r="B12" s="9" t="s">
        <v>10</v>
      </c>
      <c r="C12" s="8">
        <v>9.3918104000000002E-2</v>
      </c>
      <c r="D12" s="7">
        <v>0.66267278810022201</v>
      </c>
      <c r="E12" s="7">
        <v>-1.0273129897173701</v>
      </c>
      <c r="F12" s="7">
        <v>-4.74716361793363E-2</v>
      </c>
    </row>
    <row r="14" spans="2:6" x14ac:dyDescent="0.25">
      <c r="B14" s="1" t="s">
        <v>16</v>
      </c>
      <c r="C14" s="9" t="s">
        <v>28</v>
      </c>
      <c r="D14" s="9" t="s">
        <v>23</v>
      </c>
      <c r="E14" s="9" t="s">
        <v>24</v>
      </c>
      <c r="F14" s="9" t="s">
        <v>1</v>
      </c>
    </row>
    <row r="15" spans="2:6" x14ac:dyDescent="0.25">
      <c r="B15" s="9" t="s">
        <v>4</v>
      </c>
      <c r="C15" s="8">
        <v>9.4725974000000004E-2</v>
      </c>
      <c r="D15" s="6">
        <v>1.5737102771314899</v>
      </c>
      <c r="E15" s="6">
        <v>0.86635228697468503</v>
      </c>
      <c r="F15" s="6">
        <v>0.199680501000808</v>
      </c>
    </row>
    <row r="16" spans="2:6" x14ac:dyDescent="0.25">
      <c r="B16" s="9" t="s">
        <v>5</v>
      </c>
      <c r="C16" s="8">
        <v>0.102452336</v>
      </c>
      <c r="D16" s="6">
        <v>1.50347635019633</v>
      </c>
      <c r="E16" s="6">
        <v>0.96614890517595997</v>
      </c>
      <c r="F16" s="6">
        <v>0.12535086320927399</v>
      </c>
    </row>
    <row r="17" spans="2:6" x14ac:dyDescent="0.25">
      <c r="B17" s="9" t="s">
        <v>6</v>
      </c>
      <c r="C17" s="8">
        <v>0.110144282</v>
      </c>
      <c r="D17" s="6">
        <v>1.46809780024647</v>
      </c>
      <c r="E17" s="6">
        <v>0.61110995616383801</v>
      </c>
      <c r="F17" s="6">
        <v>0.42964915677977999</v>
      </c>
    </row>
    <row r="18" spans="2:6" x14ac:dyDescent="0.25">
      <c r="B18" s="9" t="s">
        <v>10</v>
      </c>
      <c r="C18" s="8">
        <v>9.3918104000000002E-2</v>
      </c>
      <c r="D18" s="7">
        <v>0.56520265738304298</v>
      </c>
      <c r="E18" s="7">
        <v>-1.0275595596207601</v>
      </c>
      <c r="F18" s="7">
        <v>-6.6277814143714905E-2</v>
      </c>
    </row>
    <row r="20" spans="2:6" x14ac:dyDescent="0.25">
      <c r="B20" s="1" t="s">
        <v>15</v>
      </c>
      <c r="C20" s="9" t="s">
        <v>28</v>
      </c>
      <c r="D20" s="9" t="s">
        <v>23</v>
      </c>
      <c r="E20" s="9" t="s">
        <v>24</v>
      </c>
      <c r="F20" s="9" t="s">
        <v>1</v>
      </c>
    </row>
    <row r="21" spans="2:6" x14ac:dyDescent="0.25">
      <c r="B21" s="9" t="s">
        <v>4</v>
      </c>
      <c r="C21" s="8">
        <v>9.4725974000000004E-2</v>
      </c>
      <c r="D21" s="6">
        <v>2.2885725031264901</v>
      </c>
      <c r="E21" s="6">
        <v>0.86069377106338596</v>
      </c>
      <c r="F21" s="6">
        <v>0.14822690674265199</v>
      </c>
    </row>
    <row r="22" spans="2:6" x14ac:dyDescent="0.25">
      <c r="B22" s="9" t="s">
        <v>5</v>
      </c>
      <c r="C22" s="8">
        <v>0.102452336</v>
      </c>
      <c r="D22" s="7">
        <v>0.65629846710779305</v>
      </c>
      <c r="E22" s="7">
        <v>-0.38672859447744201</v>
      </c>
      <c r="F22" s="7">
        <v>-9.02599646039247E-2</v>
      </c>
    </row>
    <row r="23" spans="2:6" x14ac:dyDescent="0.25">
      <c r="B23" s="9" t="s">
        <v>6</v>
      </c>
      <c r="C23" s="8">
        <v>0.110144282</v>
      </c>
      <c r="D23" s="7">
        <v>0.92225532580611602</v>
      </c>
      <c r="E23" s="7">
        <v>-0.36586676677487101</v>
      </c>
      <c r="F23" s="6">
        <v>3.59517217205262E-2</v>
      </c>
    </row>
    <row r="24" spans="2:6" x14ac:dyDescent="0.25">
      <c r="B24" s="9" t="s">
        <v>10</v>
      </c>
      <c r="C24" s="8">
        <v>9.3918104000000002E-2</v>
      </c>
    </row>
    <row r="26" spans="2:6" x14ac:dyDescent="0.25">
      <c r="B26" s="1" t="s">
        <v>14</v>
      </c>
      <c r="C26" s="9" t="s">
        <v>28</v>
      </c>
      <c r="D26" s="9" t="s">
        <v>23</v>
      </c>
      <c r="E26" s="9" t="s">
        <v>24</v>
      </c>
      <c r="F26" s="9" t="s">
        <v>1</v>
      </c>
    </row>
    <row r="27" spans="2:6" x14ac:dyDescent="0.25">
      <c r="B27" s="9" t="s">
        <v>4</v>
      </c>
      <c r="C27" s="8">
        <v>9.4725974000000004E-2</v>
      </c>
      <c r="D27" s="6">
        <v>1.2975667452931301</v>
      </c>
      <c r="E27" s="6">
        <v>0.86785733003031096</v>
      </c>
      <c r="F27" s="6">
        <v>0.10077650528672399</v>
      </c>
    </row>
    <row r="28" spans="2:6" x14ac:dyDescent="0.25">
      <c r="B28" s="9" t="s">
        <v>5</v>
      </c>
      <c r="C28" s="8">
        <v>0.102452336</v>
      </c>
      <c r="D28" s="6">
        <v>1.0575708895152101</v>
      </c>
      <c r="E28" s="6">
        <v>0.26292322495904802</v>
      </c>
      <c r="F28" s="6">
        <v>6.3493902184217604E-2</v>
      </c>
    </row>
    <row r="29" spans="2:6" x14ac:dyDescent="0.25">
      <c r="B29" s="9" t="s">
        <v>6</v>
      </c>
      <c r="C29" s="8">
        <v>0.110144282</v>
      </c>
    </row>
    <row r="30" spans="2:6" x14ac:dyDescent="0.25">
      <c r="B30" s="9" t="s">
        <v>10</v>
      </c>
      <c r="C30" s="8">
        <v>9.3918104000000002E-2</v>
      </c>
    </row>
    <row r="32" spans="2:6" x14ac:dyDescent="0.25">
      <c r="B32" s="1" t="s">
        <v>13</v>
      </c>
      <c r="C32" s="9" t="s">
        <v>28</v>
      </c>
      <c r="D32" s="9" t="s">
        <v>23</v>
      </c>
      <c r="E32" s="9" t="s">
        <v>24</v>
      </c>
      <c r="F32" s="9" t="s">
        <v>1</v>
      </c>
    </row>
    <row r="33" spans="2:8" x14ac:dyDescent="0.25">
      <c r="B33" s="9" t="s">
        <v>4</v>
      </c>
      <c r="C33" s="8">
        <v>9.4725974000000004E-2</v>
      </c>
      <c r="D33" s="7">
        <v>0.92254459679364598</v>
      </c>
      <c r="E33" s="6">
        <v>0.385385071473553</v>
      </c>
      <c r="F33" s="6">
        <v>6.6875193364792196E-2</v>
      </c>
    </row>
    <row r="34" spans="2:8" x14ac:dyDescent="0.25">
      <c r="B34" s="9" t="s">
        <v>5</v>
      </c>
      <c r="C34" s="8">
        <v>0.102452336</v>
      </c>
      <c r="D34" s="7">
        <v>0.53817423509068496</v>
      </c>
      <c r="E34" s="7">
        <v>-0.51784566087035699</v>
      </c>
      <c r="F34" s="7">
        <v>-8.6669485065099E-2</v>
      </c>
    </row>
    <row r="35" spans="2:8" x14ac:dyDescent="0.25">
      <c r="B35" s="9" t="s">
        <v>6</v>
      </c>
      <c r="C35" s="8">
        <v>0.110144282</v>
      </c>
    </row>
    <row r="36" spans="2:8" x14ac:dyDescent="0.25">
      <c r="B36" s="9" t="s">
        <v>10</v>
      </c>
      <c r="C36" s="8">
        <v>9.3918104000000002E-2</v>
      </c>
    </row>
    <row r="38" spans="2:8" x14ac:dyDescent="0.25">
      <c r="B38" s="9" t="s">
        <v>22</v>
      </c>
      <c r="C38" s="9" t="s">
        <v>28</v>
      </c>
      <c r="D38" s="9" t="s">
        <v>23</v>
      </c>
      <c r="E38" s="9" t="s">
        <v>24</v>
      </c>
      <c r="F38" s="9" t="s">
        <v>1</v>
      </c>
      <c r="G38" s="9" t="s">
        <v>25</v>
      </c>
      <c r="H38" s="9" t="s">
        <v>18</v>
      </c>
    </row>
    <row r="39" spans="2:8" x14ac:dyDescent="0.25">
      <c r="B39" s="1" t="s">
        <v>4</v>
      </c>
      <c r="C39" s="8">
        <v>9.4725974000000004E-2</v>
      </c>
      <c r="D39" s="6">
        <v>1.2050076272027901</v>
      </c>
      <c r="E39" s="6">
        <v>0.92674759673055396</v>
      </c>
      <c r="F39" s="6">
        <v>0.13984116014494999</v>
      </c>
      <c r="G39" s="6">
        <v>0.58415158227019104</v>
      </c>
      <c r="H39" s="6">
        <v>0.66959836720930499</v>
      </c>
    </row>
    <row r="40" spans="2:8" x14ac:dyDescent="0.25">
      <c r="B40" s="1" t="s">
        <v>5</v>
      </c>
      <c r="C40" s="8">
        <v>0.102452336</v>
      </c>
      <c r="D40" s="6">
        <v>1.11910970408747</v>
      </c>
      <c r="E40" s="6">
        <v>0.156816283020727</v>
      </c>
      <c r="F40" s="6">
        <v>8.9326261366187695E-2</v>
      </c>
      <c r="G40" s="6">
        <v>5.92725219807008E-2</v>
      </c>
      <c r="H40" s="6">
        <v>0.1017952207019</v>
      </c>
    </row>
    <row r="41" spans="2:8" x14ac:dyDescent="0.25">
      <c r="B41" s="1" t="s">
        <v>6</v>
      </c>
      <c r="C41" s="8">
        <v>0.110144282</v>
      </c>
      <c r="D41" s="6">
        <v>1.4074954172257299</v>
      </c>
      <c r="E41" s="6">
        <v>0.25880560171696498</v>
      </c>
      <c r="F41" s="6">
        <v>4.6283799610675601E-2</v>
      </c>
      <c r="G41" s="6">
        <v>0.10621290455320199</v>
      </c>
      <c r="H41" s="7">
        <v>-0.90837567524790197</v>
      </c>
    </row>
    <row r="42" spans="2:8" x14ac:dyDescent="0.25">
      <c r="B42" s="1" t="s">
        <v>11</v>
      </c>
      <c r="C42" s="8">
        <v>9.3918104000000002E-2</v>
      </c>
      <c r="D42" s="6">
        <v>1.1637562782531401</v>
      </c>
      <c r="E42" s="6">
        <v>0.401331670241585</v>
      </c>
      <c r="F42" s="6">
        <v>6.7271555006068101E-2</v>
      </c>
      <c r="G42" s="6">
        <v>8.1392652419518097E-2</v>
      </c>
      <c r="H42" s="6">
        <v>0.164652348864086</v>
      </c>
    </row>
    <row r="44" spans="2:8" x14ac:dyDescent="0.25">
      <c r="B44" s="1" t="s">
        <v>19</v>
      </c>
      <c r="C44" s="9" t="s">
        <v>28</v>
      </c>
      <c r="D44" s="9" t="s">
        <v>23</v>
      </c>
      <c r="E44" s="9" t="s">
        <v>24</v>
      </c>
      <c r="F44" s="9" t="s">
        <v>1</v>
      </c>
      <c r="G44" s="9" t="s">
        <v>25</v>
      </c>
      <c r="H44" s="9" t="s">
        <v>18</v>
      </c>
    </row>
    <row r="45" spans="2:8" x14ac:dyDescent="0.25">
      <c r="B45" s="1" t="s">
        <v>4</v>
      </c>
      <c r="C45" s="8">
        <v>9.4725974000000004E-2</v>
      </c>
      <c r="D45" s="7">
        <v>0.76151296818251002</v>
      </c>
      <c r="E45" s="7">
        <v>-0.82455849900808098</v>
      </c>
      <c r="F45" s="7">
        <v>-0.53010922957415696</v>
      </c>
      <c r="G45" s="7">
        <v>-0.67807302432253402</v>
      </c>
      <c r="H45" s="7">
        <v>-0.81917889363282403</v>
      </c>
    </row>
    <row r="46" spans="2:8" x14ac:dyDescent="0.25">
      <c r="B46" s="1" t="s">
        <v>5</v>
      </c>
      <c r="C46" s="8">
        <v>0.102452336</v>
      </c>
      <c r="D46" s="7">
        <v>0.63241662033349</v>
      </c>
      <c r="E46" s="7">
        <v>-0.77305412456000899</v>
      </c>
      <c r="F46" s="7">
        <v>-0.511670862423525</v>
      </c>
      <c r="G46" s="7">
        <v>-0.62213976025652196</v>
      </c>
      <c r="H46" s="7">
        <v>-0.76662036881149098</v>
      </c>
    </row>
    <row r="47" spans="2:8" x14ac:dyDescent="0.25">
      <c r="B47" s="1" t="s">
        <v>6</v>
      </c>
      <c r="C47" s="8">
        <v>0.110144282</v>
      </c>
      <c r="D47" s="7">
        <v>0.68587815994758305</v>
      </c>
      <c r="E47" s="7">
        <v>-0.74314055155585101</v>
      </c>
      <c r="F47" s="7">
        <v>-0.22155858359451899</v>
      </c>
      <c r="G47" s="7">
        <v>-0.51680913320449795</v>
      </c>
      <c r="H47" s="7">
        <v>-0.79093223163479298</v>
      </c>
    </row>
    <row r="48" spans="2:8" x14ac:dyDescent="0.25">
      <c r="B48" s="1" t="s">
        <v>11</v>
      </c>
      <c r="C48" s="8">
        <v>9.3918104000000002E-2</v>
      </c>
      <c r="D48" s="7">
        <v>0.74506131022172795</v>
      </c>
      <c r="E48" s="7">
        <v>-0.75894808346496501</v>
      </c>
      <c r="F48" s="7">
        <v>-0.37958282657101999</v>
      </c>
      <c r="G48" s="7">
        <v>-0.37092334927613402</v>
      </c>
      <c r="H48" s="7">
        <v>-0.49092006249230202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</vt:lpstr>
      <vt:lpstr>upstream</vt:lpstr>
      <vt:lpstr>downstream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Hucke, Nicole (huck4481@vandals.uidaho.edu)</dc:creator>
  <cp:lastModifiedBy>Hucke, Nicole (huck4481@vandals.uidaho.edu)</cp:lastModifiedBy>
  <dcterms:created xsi:type="dcterms:W3CDTF">2026-05-27T03:14:16Z</dcterms:created>
  <dcterms:modified xsi:type="dcterms:W3CDTF">2026-07-21T22:05:28Z</dcterms:modified>
</cp:coreProperties>
</file>