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1F86EE63-A10D-4328-A7FB-7F042667E49C}" xr6:coauthVersionLast="47" xr6:coauthVersionMax="47" xr10:uidLastSave="{00000000-0000-0000-0000-000000000000}"/>
  <bookViews>
    <workbookView xWindow="-135" yWindow="-135" windowWidth="29070" windowHeight="15750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8" i="1" l="1"/>
  <c r="K19" i="1"/>
  <c r="K20" i="1"/>
  <c r="K21" i="1"/>
  <c r="K23" i="1"/>
  <c r="K24" i="1"/>
  <c r="K25" i="1"/>
  <c r="K27" i="1"/>
  <c r="K28" i="1"/>
  <c r="K29" i="1"/>
  <c r="K33" i="1"/>
  <c r="K34" i="1"/>
  <c r="K35" i="1"/>
  <c r="K36" i="1"/>
  <c r="K38" i="1"/>
  <c r="K39" i="1"/>
  <c r="K40" i="1"/>
  <c r="K42" i="1"/>
  <c r="K43" i="1"/>
  <c r="K44" i="1"/>
  <c r="I57" i="1"/>
  <c r="I58" i="1"/>
  <c r="I59" i="1"/>
  <c r="I60" i="1"/>
  <c r="I64" i="1"/>
  <c r="I65" i="1"/>
</calcChain>
</file>

<file path=xl/sharedStrings.xml><?xml version="1.0" encoding="utf-8"?>
<sst xmlns="http://schemas.openxmlformats.org/spreadsheetml/2006/main" count="278" uniqueCount="51">
  <si>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</si>
  <si>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</si>
  <si>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</si>
  <si>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</si>
  <si>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</si>
  <si>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</si>
  <si>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</si>
  <si>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</si>
  <si>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</si>
  <si>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</si>
  <si>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</si>
  <si>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</si>
  <si>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</si>
  <si>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</si>
  <si>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</si>
  <si>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</si>
  <si>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</si>
  <si>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</si>
  <si>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</si>
  <si>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</si>
  <si>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</si>
  <si>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</si>
  <si>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</si>
  <si>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</si>
  <si>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</si>
  <si>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</si>
  <si>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</si>
  <si>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</si>
  <si>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</si>
  <si>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</si>
  <si>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</si>
  <si>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</si>
  <si>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</si>
  <si>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 xml:space="preserve">Peak Tau (Pa) </t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</si>
  <si>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</t>
    </r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</si>
  <si>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</si>
  <si>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</si>
  <si>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</si>
  <si>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</si>
  <si>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</si>
  <si>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</si>
  <si>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</si>
  <si>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</si>
  <si>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</si>
  <si>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</si>
  <si>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</si>
  <si>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</si>
  <si>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</si>
  <si>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</si>
  <si>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</si>
  <si>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τpeak / τc50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</si>
</sst>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6" fontId="0" fillId="0" borderId="0" xfId="0" applyNumberFormat="1" applyFill="1" applyBorder="1" applyAlignment="1">
      <alignment horizontal="center"/>
    </xf>
    <xf numFmtId="168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5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all!$B$7:$B$44</c:f>
              <c:numCache>
                <c:formatCode>0.00000</c:formatCode>
                <c:ptCount val="38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  <c:pt idx="9" formatCode="0.0000">
                  <c:v>1.86943505833322</c:v>
                </c:pt>
                <c:pt idx="10" formatCode="0.0000">
                  <c:v>1.3545954270153699</c:v>
                </c:pt>
                <c:pt idx="14" formatCode="0.0000">
                  <c:v>1.31746197777344</c:v>
                </c:pt>
                <c:pt idx="15" formatCode="0.0000">
                  <c:v>0.89735303995633098</c:v>
                </c:pt>
                <c:pt idx="16" formatCode="0.0000">
                  <c:v>1.39880081037808</c:v>
                </c:pt>
                <c:pt idx="17" formatCode="0.0000">
                  <c:v>1.2210038373368299</c:v>
                </c:pt>
                <c:pt idx="18" formatCode="0.0000">
                  <c:v>1.5249018262283101</c:v>
                </c:pt>
                <c:pt idx="21" formatCode="0.0000">
                  <c:v>1.36678278361715</c:v>
                </c:pt>
                <c:pt idx="24" formatCode="0.0000">
                  <c:v>1.8695993339197901</c:v>
                </c:pt>
                <c:pt idx="25" formatCode="0.0000">
                  <c:v>1.21795864622288</c:v>
                </c:pt>
                <c:pt idx="26" formatCode="0.0000">
                  <c:v>1.0299659938988901</c:v>
                </c:pt>
                <c:pt idx="29" formatCode="0.0000">
                  <c:v>1.1534447144942801</c:v>
                </c:pt>
                <c:pt idx="30" formatCode="0.0000">
                  <c:v>1.6625275928143599</c:v>
                </c:pt>
                <c:pt idx="31" formatCode="0.0000">
                  <c:v>0.83858009935182098</c:v>
                </c:pt>
                <c:pt idx="32" formatCode="0.0000">
                  <c:v>2.31938512736013</c:v>
                </c:pt>
                <c:pt idx="33" formatCode="0.0000">
                  <c:v>1.66955637894203</c:v>
                </c:pt>
                <c:pt idx="35" formatCode="0.0000">
                  <c:v>0.90805045415642205</c:v>
                </c:pt>
                <c:pt idx="36" formatCode="0.0000">
                  <c:v>1.0862889042163599</c:v>
                </c:pt>
                <c:pt idx="37" formatCode="0.0000">
                  <c:v>0.39254775269290398</c:v>
                </c:pt>
              </c:numCache>
            </c:numRef>
          </c:xVal>
          <c:yVal>
            <c:numRef>
              <c:f>all!$E$7:$E$44</c:f>
              <c:numCache>
                <c:formatCode>0.000</c:formatCode>
                <c:ptCount val="38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  <c:pt idx="11" formatCode="General">
                  <c:v>118.22733427999999</c:v>
                </c:pt>
                <c:pt idx="12" formatCode="General">
                  <c:v>108.51115272</c:v>
                </c:pt>
                <c:pt idx="13" formatCode="General">
                  <c:v>106.97060942</c:v>
                </c:pt>
                <c:pt idx="14" formatCode="General">
                  <c:v>113.72040256</c:v>
                </c:pt>
                <c:pt idx="16" formatCode="General">
                  <c:v>112.66319882000001</c:v>
                </c:pt>
                <c:pt idx="17" formatCode="General">
                  <c:v>114.89097618</c:v>
                </c:pt>
                <c:pt idx="18" formatCode="General">
                  <c:v>116.55531655999999</c:v>
                </c:pt>
                <c:pt idx="20" formatCode="General">
                  <c:v>118.40602251999999</c:v>
                </c:pt>
                <c:pt idx="21" formatCode="General">
                  <c:v>115.75512236</c:v>
                </c:pt>
                <c:pt idx="22" formatCode="General">
                  <c:v>121.12197168</c:v>
                </c:pt>
                <c:pt idx="26" formatCode="General">
                  <c:v>118.22733427999999</c:v>
                </c:pt>
                <c:pt idx="27" formatCode="General">
                  <c:v>108.51115272</c:v>
                </c:pt>
                <c:pt idx="28" formatCode="General">
                  <c:v>106.97060942</c:v>
                </c:pt>
                <c:pt idx="29" formatCode="General">
                  <c:v>113.72040256</c:v>
                </c:pt>
                <c:pt idx="31" formatCode="General">
                  <c:v>112.66319882000001</c:v>
                </c:pt>
                <c:pt idx="32" formatCode="General">
                  <c:v>114.89097618</c:v>
                </c:pt>
                <c:pt idx="33" formatCode="General">
                  <c:v>116.55531655999999</c:v>
                </c:pt>
                <c:pt idx="35" formatCode="General">
                  <c:v>118.40602251999999</c:v>
                </c:pt>
                <c:pt idx="36" formatCode="General">
                  <c:v>115.75512236</c:v>
                </c:pt>
                <c:pt idx="37" formatCode="General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all!$C$7:$C$44</c:f>
              <c:numCache>
                <c:formatCode>0.00000</c:formatCode>
                <c:ptCount val="38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  <c:pt idx="9" formatCode="0.0000">
                  <c:v>1.9314296164550899</c:v>
                </c:pt>
                <c:pt idx="10" formatCode="0.0000">
                  <c:v>1.0089470650494099</c:v>
                </c:pt>
                <c:pt idx="14" formatCode="0.0000">
                  <c:v>0.66698565105034602</c:v>
                </c:pt>
                <c:pt idx="15" formatCode="0.0000">
                  <c:v>0.19762137224995299</c:v>
                </c:pt>
                <c:pt idx="16" formatCode="0.0000">
                  <c:v>0.54807771119966198</c:v>
                </c:pt>
                <c:pt idx="17" formatCode="0.0000">
                  <c:v>0.10106112243990099</c:v>
                </c:pt>
                <c:pt idx="18" formatCode="0.0000">
                  <c:v>0.50902572287082404</c:v>
                </c:pt>
                <c:pt idx="21" formatCode="0.0000">
                  <c:v>0.463447965306029</c:v>
                </c:pt>
                <c:pt idx="24" formatCode="0.0000">
                  <c:v>0.44896728093636801</c:v>
                </c:pt>
                <c:pt idx="25" formatCode="0.0000">
                  <c:v>1.5264059910121399</c:v>
                </c:pt>
                <c:pt idx="26" formatCode="0.0000">
                  <c:v>0.71671353985517805</c:v>
                </c:pt>
                <c:pt idx="29" formatCode="0.0000">
                  <c:v>0.678678630991426</c:v>
                </c:pt>
                <c:pt idx="30" formatCode="0.0000">
                  <c:v>0.81343884511072295</c:v>
                </c:pt>
                <c:pt idx="31" formatCode="0.0000">
                  <c:v>-1.07855599689062</c:v>
                </c:pt>
                <c:pt idx="32" formatCode="0.0000">
                  <c:v>1.34776836410395</c:v>
                </c:pt>
                <c:pt idx="33" formatCode="0.0000">
                  <c:v>0.55456789410428697</c:v>
                </c:pt>
                <c:pt idx="34" formatCode="0.0000">
                  <c:v>0.70468449804027899</c:v>
                </c:pt>
                <c:pt idx="35" formatCode="0.0000">
                  <c:v>-0.373253605455523</c:v>
                </c:pt>
                <c:pt idx="36" formatCode="0.0000">
                  <c:v>0.63056904760694898</c:v>
                </c:pt>
                <c:pt idx="37" formatCode="0.0000">
                  <c:v>-0.623899602892661</c:v>
                </c:pt>
              </c:numCache>
            </c:numRef>
          </c:xVal>
          <c:yVal>
            <c:numRef>
              <c:f>all!$E$7:$E$44</c:f>
              <c:numCache>
                <c:formatCode>0.000</c:formatCode>
                <c:ptCount val="38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  <c:pt idx="11" formatCode="General">
                  <c:v>118.22733427999999</c:v>
                </c:pt>
                <c:pt idx="12" formatCode="General">
                  <c:v>108.51115272</c:v>
                </c:pt>
                <c:pt idx="13" formatCode="General">
                  <c:v>106.97060942</c:v>
                </c:pt>
                <c:pt idx="14" formatCode="General">
                  <c:v>113.72040256</c:v>
                </c:pt>
                <c:pt idx="16" formatCode="General">
                  <c:v>112.66319882000001</c:v>
                </c:pt>
                <c:pt idx="17" formatCode="General">
                  <c:v>114.89097618</c:v>
                </c:pt>
                <c:pt idx="18" formatCode="General">
                  <c:v>116.55531655999999</c:v>
                </c:pt>
                <c:pt idx="20" formatCode="General">
                  <c:v>118.40602251999999</c:v>
                </c:pt>
                <c:pt idx="21" formatCode="General">
                  <c:v>115.75512236</c:v>
                </c:pt>
                <c:pt idx="22" formatCode="General">
                  <c:v>121.12197168</c:v>
                </c:pt>
                <c:pt idx="26" formatCode="General">
                  <c:v>118.22733427999999</c:v>
                </c:pt>
                <c:pt idx="27" formatCode="General">
                  <c:v>108.51115272</c:v>
                </c:pt>
                <c:pt idx="28" formatCode="General">
                  <c:v>106.97060942</c:v>
                </c:pt>
                <c:pt idx="29" formatCode="General">
                  <c:v>113.72040256</c:v>
                </c:pt>
                <c:pt idx="31" formatCode="General">
                  <c:v>112.66319882000001</c:v>
                </c:pt>
                <c:pt idx="32" formatCode="General">
                  <c:v>114.89097618</c:v>
                </c:pt>
                <c:pt idx="33" formatCode="General">
                  <c:v>116.55531655999999</c:v>
                </c:pt>
                <c:pt idx="35" formatCode="General">
                  <c:v>118.40602251999999</c:v>
                </c:pt>
                <c:pt idx="36" formatCode="General">
                  <c:v>115.75512236</c:v>
                </c:pt>
                <c:pt idx="37" formatCode="General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all!$D$7:$D$44</c:f>
              <c:numCache>
                <c:formatCode>0.00000</c:formatCode>
                <c:ptCount val="3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  <c:pt idx="9" formatCode="0.0000">
                  <c:v>9.4513218106104094E-2</c:v>
                </c:pt>
                <c:pt idx="10" formatCode="0.0000">
                  <c:v>4.2663094228711902E-2</c:v>
                </c:pt>
                <c:pt idx="14" formatCode="0.0000">
                  <c:v>8.8732929175135894E-2</c:v>
                </c:pt>
                <c:pt idx="15" formatCode="0.0000">
                  <c:v>-1.9463558010346702E-2</c:v>
                </c:pt>
                <c:pt idx="16" formatCode="0.0000">
                  <c:v>0.10415722716452799</c:v>
                </c:pt>
                <c:pt idx="17" formatCode="0.0000">
                  <c:v>4.66251429291673E-2</c:v>
                </c:pt>
                <c:pt idx="18" formatCode="0.0000">
                  <c:v>9.0894558490112708E-3</c:v>
                </c:pt>
                <c:pt idx="21" formatCode="0.0000">
                  <c:v>2.0373962034653699E-2</c:v>
                </c:pt>
                <c:pt idx="24" formatCode="0.0000">
                  <c:v>2.4947102971666898E-2</c:v>
                </c:pt>
                <c:pt idx="25" formatCode="0.0000">
                  <c:v>9.6293174744729593E-3</c:v>
                </c:pt>
                <c:pt idx="26" formatCode="0.0000">
                  <c:v>0.14608753400636901</c:v>
                </c:pt>
                <c:pt idx="29" formatCode="0.0000">
                  <c:v>1.27691539373017E-2</c:v>
                </c:pt>
                <c:pt idx="30" formatCode="0.0000">
                  <c:v>6.7576112725014403E-2</c:v>
                </c:pt>
                <c:pt idx="31" formatCode="0.0000">
                  <c:v>-0.35416666689988402</c:v>
                </c:pt>
                <c:pt idx="32" formatCode="0.0000">
                  <c:v>4.5646344187588998E-2</c:v>
                </c:pt>
                <c:pt idx="33" formatCode="0.0000">
                  <c:v>1.47909285306715E-2</c:v>
                </c:pt>
                <c:pt idx="34" formatCode="0.0000">
                  <c:v>3.5842816756479302E-2</c:v>
                </c:pt>
                <c:pt idx="35" formatCode="0.0000">
                  <c:v>-4.0383997186219003E-2</c:v>
                </c:pt>
                <c:pt idx="36" formatCode="0.0000">
                  <c:v>3.6679485231980898E-2</c:v>
                </c:pt>
                <c:pt idx="37" formatCode="0.0000">
                  <c:v>-0.76160033358371604</c:v>
                </c:pt>
              </c:numCache>
            </c:numRef>
          </c:xVal>
          <c:yVal>
            <c:numRef>
              <c:f>all!$E$7:$E$44</c:f>
              <c:numCache>
                <c:formatCode>0.000</c:formatCode>
                <c:ptCount val="38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  <c:pt idx="11" formatCode="General">
                  <c:v>118.22733427999999</c:v>
                </c:pt>
                <c:pt idx="12" formatCode="General">
                  <c:v>108.51115272</c:v>
                </c:pt>
                <c:pt idx="13" formatCode="General">
                  <c:v>106.97060942</c:v>
                </c:pt>
                <c:pt idx="14" formatCode="General">
                  <c:v>113.72040256</c:v>
                </c:pt>
                <c:pt idx="16" formatCode="General">
                  <c:v>112.66319882000001</c:v>
                </c:pt>
                <c:pt idx="17" formatCode="General">
                  <c:v>114.89097618</c:v>
                </c:pt>
                <c:pt idx="18" formatCode="General">
                  <c:v>116.55531655999999</c:v>
                </c:pt>
                <c:pt idx="20" formatCode="General">
                  <c:v>118.40602251999999</c:v>
                </c:pt>
                <c:pt idx="21" formatCode="General">
                  <c:v>115.75512236</c:v>
                </c:pt>
                <c:pt idx="22" formatCode="General">
                  <c:v>121.12197168</c:v>
                </c:pt>
                <c:pt idx="26" formatCode="General">
                  <c:v>118.22733427999999</c:v>
                </c:pt>
                <c:pt idx="27" formatCode="General">
                  <c:v>108.51115272</c:v>
                </c:pt>
                <c:pt idx="28" formatCode="General">
                  <c:v>106.97060942</c:v>
                </c:pt>
                <c:pt idx="29" formatCode="General">
                  <c:v>113.72040256</c:v>
                </c:pt>
                <c:pt idx="31" formatCode="General">
                  <c:v>112.66319882000001</c:v>
                </c:pt>
                <c:pt idx="32" formatCode="General">
                  <c:v>114.89097618</c:v>
                </c:pt>
                <c:pt idx="33" formatCode="General">
                  <c:v>116.55531655999999</c:v>
                </c:pt>
                <c:pt idx="35" formatCode="General">
                  <c:v>118.40602251999999</c:v>
                </c:pt>
                <c:pt idx="36" formatCode="General">
                  <c:v>115.75512236</c:v>
                </c:pt>
                <c:pt idx="37" formatCode="General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all!$B$57:$B$65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all!$E$57:$E$65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all!$C$57:$C$65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all!$E$57:$E$65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all!$D$57:$D$65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all!$E$57:$E$65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all!$B$71:$B$79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all!$E$71:$E$79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all!$C$71:$C$79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all!$E$71:$E$79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all!$D$71:$D$79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all!$E$71:$E$79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all!$B$84:$B$90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all!$C$84:$C$90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all!$D$84:$D$90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all!$E$81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all!$E$84:$E$90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all!$F$81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all!$F$84:$F$90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all!$P$48:$P$54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all!$Q$48:$Q$54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all!$R$48:$R$54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all!$E$81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all!$E$84:$E$90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all!$F$81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all!$T$48:$T$54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all!$G$84:$G$90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all!$G$7:$G$44</c:f>
              <c:numCache>
                <c:formatCode>0.00</c:formatCode>
                <c:ptCount val="38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  <c:pt idx="9">
                  <c:v>23.15789474</c:v>
                </c:pt>
                <c:pt idx="10">
                  <c:v>23</c:v>
                </c:pt>
                <c:pt idx="14">
                  <c:v>10.34482759</c:v>
                </c:pt>
                <c:pt idx="15">
                  <c:v>26.086956520000001</c:v>
                </c:pt>
                <c:pt idx="16">
                  <c:v>8.125</c:v>
                </c:pt>
                <c:pt idx="17">
                  <c:v>12.67</c:v>
                </c:pt>
                <c:pt idx="18">
                  <c:v>42</c:v>
                </c:pt>
                <c:pt idx="21">
                  <c:v>20.666666670000001</c:v>
                </c:pt>
                <c:pt idx="24">
                  <c:v>16</c:v>
                </c:pt>
                <c:pt idx="25">
                  <c:v>21.5</c:v>
                </c:pt>
                <c:pt idx="26">
                  <c:v>12.222222220000001</c:v>
                </c:pt>
                <c:pt idx="29">
                  <c:v>11.25</c:v>
                </c:pt>
                <c:pt idx="30">
                  <c:v>15</c:v>
                </c:pt>
                <c:pt idx="31">
                  <c:v>11.612903230000001</c:v>
                </c:pt>
                <c:pt idx="32">
                  <c:v>14.545454550000001</c:v>
                </c:pt>
                <c:pt idx="33">
                  <c:v>45</c:v>
                </c:pt>
                <c:pt idx="34">
                  <c:v>20</c:v>
                </c:pt>
                <c:pt idx="35">
                  <c:v>4.375</c:v>
                </c:pt>
                <c:pt idx="36">
                  <c:v>24.375</c:v>
                </c:pt>
                <c:pt idx="37">
                  <c:v>5.7142857139999998</c:v>
                </c:pt>
              </c:numCache>
            </c:numRef>
          </c:xVal>
          <c:yVal>
            <c:numRef>
              <c:f>all!$E$7:$E$44</c:f>
              <c:numCache>
                <c:formatCode>0.000</c:formatCode>
                <c:ptCount val="38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  <c:pt idx="11" formatCode="General">
                  <c:v>118.22733427999999</c:v>
                </c:pt>
                <c:pt idx="12" formatCode="General">
                  <c:v>108.51115272</c:v>
                </c:pt>
                <c:pt idx="13" formatCode="General">
                  <c:v>106.97060942</c:v>
                </c:pt>
                <c:pt idx="14" formatCode="General">
                  <c:v>113.72040256</c:v>
                </c:pt>
                <c:pt idx="16" formatCode="General">
                  <c:v>112.66319882000001</c:v>
                </c:pt>
                <c:pt idx="17" formatCode="General">
                  <c:v>114.89097618</c:v>
                </c:pt>
                <c:pt idx="18" formatCode="General">
                  <c:v>116.55531655999999</c:v>
                </c:pt>
                <c:pt idx="20" formatCode="General">
                  <c:v>118.40602251999999</c:v>
                </c:pt>
                <c:pt idx="21" formatCode="General">
                  <c:v>115.75512236</c:v>
                </c:pt>
                <c:pt idx="22" formatCode="General">
                  <c:v>121.12197168</c:v>
                </c:pt>
                <c:pt idx="26" formatCode="General">
                  <c:v>118.22733427999999</c:v>
                </c:pt>
                <c:pt idx="27" formatCode="General">
                  <c:v>108.51115272</c:v>
                </c:pt>
                <c:pt idx="28" formatCode="General">
                  <c:v>106.97060942</c:v>
                </c:pt>
                <c:pt idx="29" formatCode="General">
                  <c:v>113.72040256</c:v>
                </c:pt>
                <c:pt idx="31" formatCode="General">
                  <c:v>112.66319882000001</c:v>
                </c:pt>
                <c:pt idx="32" formatCode="General">
                  <c:v>114.89097618</c:v>
                </c:pt>
                <c:pt idx="33" formatCode="General">
                  <c:v>116.55531655999999</c:v>
                </c:pt>
                <c:pt idx="35" formatCode="General">
                  <c:v>118.40602251999999</c:v>
                </c:pt>
                <c:pt idx="36" formatCode="General">
                  <c:v>115.75512236</c:v>
                </c:pt>
                <c:pt idx="37" formatCode="General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all!$A$67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all!$G$71:$G$79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all!$A$53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all!$G$57:$G$65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8-4E06-BC29-CAFE10240563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8-4E06-BC29-CAFE10240563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8-4E06-BC29-CAFE1024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all!$B$57:$B$65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all!$F$57:$F$65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7-4BE7-9E8D-654918B38145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all!$C$57:$C$65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all!$F$57:$F$65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7-4BE7-9E8D-654918B38145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all!$D$57:$D$65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all!$F$57:$F$65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57-4BE7-9E8D-654918B3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all!$B$71:$B$79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all!$F$71:$F$79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3-44D7-BA43-852A6E0E3E6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all!$C$71:$C$79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all!$F$71:$F$79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33-44D7-BA43-852A6E0E3E6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all!$D$71:$D$79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all!$F$71:$F$79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33-44D7-BA43-852A6E0E3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4-4683-BD9C-975B94979B38}"/>
            </c:ext>
          </c:extLst>
        </c:ser>
        <c:ser>
          <c:idx val="1"/>
          <c:order val="1"/>
          <c:tx>
            <c:strRef>
              <c:f>all!$A$67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all!$G$71:$G$79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4-4683-BD9C-975B94979B38}"/>
            </c:ext>
          </c:extLst>
        </c:ser>
        <c:ser>
          <c:idx val="2"/>
          <c:order val="2"/>
          <c:tx>
            <c:strRef>
              <c:f>all!$A$53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all!$G$57:$G$65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C4-4683-BD9C-975B9497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5-4D58-8797-E14C6EC698AB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15-4D58-8797-E14C6EC69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all!$B$7:$B$44</c:f>
              <c:numCache>
                <c:formatCode>0.00000</c:formatCode>
                <c:ptCount val="38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  <c:pt idx="9" formatCode="0.0000">
                  <c:v>1.86943505833322</c:v>
                </c:pt>
                <c:pt idx="10" formatCode="0.0000">
                  <c:v>1.3545954270153699</c:v>
                </c:pt>
                <c:pt idx="14" formatCode="0.0000">
                  <c:v>1.31746197777344</c:v>
                </c:pt>
                <c:pt idx="15" formatCode="0.0000">
                  <c:v>0.89735303995633098</c:v>
                </c:pt>
                <c:pt idx="16" formatCode="0.0000">
                  <c:v>1.39880081037808</c:v>
                </c:pt>
                <c:pt idx="17" formatCode="0.0000">
                  <c:v>1.2210038373368299</c:v>
                </c:pt>
                <c:pt idx="18" formatCode="0.0000">
                  <c:v>1.5249018262283101</c:v>
                </c:pt>
                <c:pt idx="21" formatCode="0.0000">
                  <c:v>1.36678278361715</c:v>
                </c:pt>
                <c:pt idx="24" formatCode="0.0000">
                  <c:v>1.8695993339197901</c:v>
                </c:pt>
                <c:pt idx="25" formatCode="0.0000">
                  <c:v>1.21795864622288</c:v>
                </c:pt>
                <c:pt idx="26" formatCode="0.0000">
                  <c:v>1.0299659938988901</c:v>
                </c:pt>
                <c:pt idx="29" formatCode="0.0000">
                  <c:v>1.1534447144942801</c:v>
                </c:pt>
                <c:pt idx="30" formatCode="0.0000">
                  <c:v>1.6625275928143599</c:v>
                </c:pt>
                <c:pt idx="31" formatCode="0.0000">
                  <c:v>0.83858009935182098</c:v>
                </c:pt>
                <c:pt idx="32" formatCode="0.0000">
                  <c:v>2.31938512736013</c:v>
                </c:pt>
                <c:pt idx="33" formatCode="0.0000">
                  <c:v>1.66955637894203</c:v>
                </c:pt>
                <c:pt idx="35" formatCode="0.0000">
                  <c:v>0.90805045415642205</c:v>
                </c:pt>
                <c:pt idx="36" formatCode="0.0000">
                  <c:v>1.0862889042163599</c:v>
                </c:pt>
                <c:pt idx="37" formatCode="0.0000">
                  <c:v>0.39254775269290398</c:v>
                </c:pt>
              </c:numCache>
            </c:numRef>
          </c:xVal>
          <c:yVal>
            <c:numRef>
              <c:f>all!$K$7:$K$44</c:f>
              <c:numCache>
                <c:formatCode>General</c:formatCode>
                <c:ptCount val="38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  <c:pt idx="11" formatCode="0.0000">
                  <c:v>1.0078290838208943</c:v>
                </c:pt>
                <c:pt idx="12" formatCode="0.0000">
                  <c:v>1.008246697022094</c:v>
                </c:pt>
                <c:pt idx="13" formatCode="0.0000">
                  <c:v>1.0490052443540898</c:v>
                </c:pt>
                <c:pt idx="14" formatCode="0.0000">
                  <c:v>1.0119508062412015</c:v>
                </c:pt>
                <c:pt idx="16" formatCode="0.0000">
                  <c:v>1.0239451393319936</c:v>
                </c:pt>
                <c:pt idx="17" formatCode="0.0000">
                  <c:v>1.0275460447393339</c:v>
                </c:pt>
                <c:pt idx="18" formatCode="0.0000">
                  <c:v>1.0275826446035865</c:v>
                </c:pt>
                <c:pt idx="20" formatCode="0.0000">
                  <c:v>1.0572093304532362</c:v>
                </c:pt>
                <c:pt idx="21" formatCode="0.0000">
                  <c:v>1.111235100018195</c:v>
                </c:pt>
                <c:pt idx="22" formatCode="0.0000">
                  <c:v>1.0519758315193652</c:v>
                </c:pt>
                <c:pt idx="26" formatCode="0.0000">
                  <c:v>1.0078290838208943</c:v>
                </c:pt>
                <c:pt idx="27" formatCode="0.0000">
                  <c:v>1.008246697022094</c:v>
                </c:pt>
                <c:pt idx="28" formatCode="0.0000">
                  <c:v>1.0490052443540898</c:v>
                </c:pt>
                <c:pt idx="29" formatCode="0.0000">
                  <c:v>1.0119508062412015</c:v>
                </c:pt>
                <c:pt idx="31" formatCode="0.0000">
                  <c:v>1.0239451393319936</c:v>
                </c:pt>
                <c:pt idx="32" formatCode="0.0000">
                  <c:v>1.0275460447393339</c:v>
                </c:pt>
                <c:pt idx="33" formatCode="0.0000">
                  <c:v>1.0275826446035865</c:v>
                </c:pt>
                <c:pt idx="35" formatCode="0.0000">
                  <c:v>1.0572093304532362</c:v>
                </c:pt>
                <c:pt idx="36" formatCode="0.0000">
                  <c:v>1.111235100018195</c:v>
                </c:pt>
                <c:pt idx="37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A3-4932-9C0C-F1CE9CFCC9EE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all!$C$7:$C$44</c:f>
              <c:numCache>
                <c:formatCode>0.00000</c:formatCode>
                <c:ptCount val="38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  <c:pt idx="9" formatCode="0.0000">
                  <c:v>1.9314296164550899</c:v>
                </c:pt>
                <c:pt idx="10" formatCode="0.0000">
                  <c:v>1.0089470650494099</c:v>
                </c:pt>
                <c:pt idx="14" formatCode="0.0000">
                  <c:v>0.66698565105034602</c:v>
                </c:pt>
                <c:pt idx="15" formatCode="0.0000">
                  <c:v>0.19762137224995299</c:v>
                </c:pt>
                <c:pt idx="16" formatCode="0.0000">
                  <c:v>0.54807771119966198</c:v>
                </c:pt>
                <c:pt idx="17" formatCode="0.0000">
                  <c:v>0.10106112243990099</c:v>
                </c:pt>
                <c:pt idx="18" formatCode="0.0000">
                  <c:v>0.50902572287082404</c:v>
                </c:pt>
                <c:pt idx="21" formatCode="0.0000">
                  <c:v>0.463447965306029</c:v>
                </c:pt>
                <c:pt idx="24" formatCode="0.0000">
                  <c:v>0.44896728093636801</c:v>
                </c:pt>
                <c:pt idx="25" formatCode="0.0000">
                  <c:v>1.5264059910121399</c:v>
                </c:pt>
                <c:pt idx="26" formatCode="0.0000">
                  <c:v>0.71671353985517805</c:v>
                </c:pt>
                <c:pt idx="29" formatCode="0.0000">
                  <c:v>0.678678630991426</c:v>
                </c:pt>
                <c:pt idx="30" formatCode="0.0000">
                  <c:v>0.81343884511072295</c:v>
                </c:pt>
                <c:pt idx="31" formatCode="0.0000">
                  <c:v>-1.07855599689062</c:v>
                </c:pt>
                <c:pt idx="32" formatCode="0.0000">
                  <c:v>1.34776836410395</c:v>
                </c:pt>
                <c:pt idx="33" formatCode="0.0000">
                  <c:v>0.55456789410428697</c:v>
                </c:pt>
                <c:pt idx="34" formatCode="0.0000">
                  <c:v>0.70468449804027899</c:v>
                </c:pt>
                <c:pt idx="35" formatCode="0.0000">
                  <c:v>-0.373253605455523</c:v>
                </c:pt>
                <c:pt idx="36" formatCode="0.0000">
                  <c:v>0.63056904760694898</c:v>
                </c:pt>
                <c:pt idx="37" formatCode="0.0000">
                  <c:v>-0.623899602892661</c:v>
                </c:pt>
              </c:numCache>
            </c:numRef>
          </c:xVal>
          <c:yVal>
            <c:numRef>
              <c:f>all!$K$7:$K$44</c:f>
              <c:numCache>
                <c:formatCode>General</c:formatCode>
                <c:ptCount val="38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  <c:pt idx="11" formatCode="0.0000">
                  <c:v>1.0078290838208943</c:v>
                </c:pt>
                <c:pt idx="12" formatCode="0.0000">
                  <c:v>1.008246697022094</c:v>
                </c:pt>
                <c:pt idx="13" formatCode="0.0000">
                  <c:v>1.0490052443540898</c:v>
                </c:pt>
                <c:pt idx="14" formatCode="0.0000">
                  <c:v>1.0119508062412015</c:v>
                </c:pt>
                <c:pt idx="16" formatCode="0.0000">
                  <c:v>1.0239451393319936</c:v>
                </c:pt>
                <c:pt idx="17" formatCode="0.0000">
                  <c:v>1.0275460447393339</c:v>
                </c:pt>
                <c:pt idx="18" formatCode="0.0000">
                  <c:v>1.0275826446035865</c:v>
                </c:pt>
                <c:pt idx="20" formatCode="0.0000">
                  <c:v>1.0572093304532362</c:v>
                </c:pt>
                <c:pt idx="21" formatCode="0.0000">
                  <c:v>1.111235100018195</c:v>
                </c:pt>
                <c:pt idx="22" formatCode="0.0000">
                  <c:v>1.0519758315193652</c:v>
                </c:pt>
                <c:pt idx="26" formatCode="0.0000">
                  <c:v>1.0078290838208943</c:v>
                </c:pt>
                <c:pt idx="27" formatCode="0.0000">
                  <c:v>1.008246697022094</c:v>
                </c:pt>
                <c:pt idx="28" formatCode="0.0000">
                  <c:v>1.0490052443540898</c:v>
                </c:pt>
                <c:pt idx="29" formatCode="0.0000">
                  <c:v>1.0119508062412015</c:v>
                </c:pt>
                <c:pt idx="31" formatCode="0.0000">
                  <c:v>1.0239451393319936</c:v>
                </c:pt>
                <c:pt idx="32" formatCode="0.0000">
                  <c:v>1.0275460447393339</c:v>
                </c:pt>
                <c:pt idx="33" formatCode="0.0000">
                  <c:v>1.0275826446035865</c:v>
                </c:pt>
                <c:pt idx="35" formatCode="0.0000">
                  <c:v>1.0572093304532362</c:v>
                </c:pt>
                <c:pt idx="36" formatCode="0.0000">
                  <c:v>1.111235100018195</c:v>
                </c:pt>
                <c:pt idx="37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A3-4932-9C0C-F1CE9CFCC9EE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all!$D$7:$D$44</c:f>
              <c:numCache>
                <c:formatCode>0.00000</c:formatCode>
                <c:ptCount val="38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  <c:pt idx="9" formatCode="0.0000">
                  <c:v>9.4513218106104094E-2</c:v>
                </c:pt>
                <c:pt idx="10" formatCode="0.0000">
                  <c:v>4.2663094228711902E-2</c:v>
                </c:pt>
                <c:pt idx="14" formatCode="0.0000">
                  <c:v>8.8732929175135894E-2</c:v>
                </c:pt>
                <c:pt idx="15" formatCode="0.0000">
                  <c:v>-1.9463558010346702E-2</c:v>
                </c:pt>
                <c:pt idx="16" formatCode="0.0000">
                  <c:v>0.10415722716452799</c:v>
                </c:pt>
                <c:pt idx="17" formatCode="0.0000">
                  <c:v>4.66251429291673E-2</c:v>
                </c:pt>
                <c:pt idx="18" formatCode="0.0000">
                  <c:v>9.0894558490112708E-3</c:v>
                </c:pt>
                <c:pt idx="21" formatCode="0.0000">
                  <c:v>2.0373962034653699E-2</c:v>
                </c:pt>
                <c:pt idx="24" formatCode="0.0000">
                  <c:v>2.4947102971666898E-2</c:v>
                </c:pt>
                <c:pt idx="25" formatCode="0.0000">
                  <c:v>9.6293174744729593E-3</c:v>
                </c:pt>
                <c:pt idx="26" formatCode="0.0000">
                  <c:v>0.14608753400636901</c:v>
                </c:pt>
                <c:pt idx="29" formatCode="0.0000">
                  <c:v>1.27691539373017E-2</c:v>
                </c:pt>
                <c:pt idx="30" formatCode="0.0000">
                  <c:v>6.7576112725014403E-2</c:v>
                </c:pt>
                <c:pt idx="31" formatCode="0.0000">
                  <c:v>-0.35416666689988402</c:v>
                </c:pt>
                <c:pt idx="32" formatCode="0.0000">
                  <c:v>4.5646344187588998E-2</c:v>
                </c:pt>
                <c:pt idx="33" formatCode="0.0000">
                  <c:v>1.47909285306715E-2</c:v>
                </c:pt>
                <c:pt idx="34" formatCode="0.0000">
                  <c:v>3.5842816756479302E-2</c:v>
                </c:pt>
                <c:pt idx="35" formatCode="0.0000">
                  <c:v>-4.0383997186219003E-2</c:v>
                </c:pt>
                <c:pt idx="36" formatCode="0.0000">
                  <c:v>3.6679485231980898E-2</c:v>
                </c:pt>
                <c:pt idx="37" formatCode="0.0000">
                  <c:v>-0.76160033358371604</c:v>
                </c:pt>
              </c:numCache>
            </c:numRef>
          </c:xVal>
          <c:yVal>
            <c:numRef>
              <c:f>all!$K$7:$K$44</c:f>
              <c:numCache>
                <c:formatCode>General</c:formatCode>
                <c:ptCount val="38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  <c:pt idx="11" formatCode="0.0000">
                  <c:v>1.0078290838208943</c:v>
                </c:pt>
                <c:pt idx="12" formatCode="0.0000">
                  <c:v>1.008246697022094</c:v>
                </c:pt>
                <c:pt idx="13" formatCode="0.0000">
                  <c:v>1.0490052443540898</c:v>
                </c:pt>
                <c:pt idx="14" formatCode="0.0000">
                  <c:v>1.0119508062412015</c:v>
                </c:pt>
                <c:pt idx="16" formatCode="0.0000">
                  <c:v>1.0239451393319936</c:v>
                </c:pt>
                <c:pt idx="17" formatCode="0.0000">
                  <c:v>1.0275460447393339</c:v>
                </c:pt>
                <c:pt idx="18" formatCode="0.0000">
                  <c:v>1.0275826446035865</c:v>
                </c:pt>
                <c:pt idx="20" formatCode="0.0000">
                  <c:v>1.0572093304532362</c:v>
                </c:pt>
                <c:pt idx="21" formatCode="0.0000">
                  <c:v>1.111235100018195</c:v>
                </c:pt>
                <c:pt idx="22" formatCode="0.0000">
                  <c:v>1.0519758315193652</c:v>
                </c:pt>
                <c:pt idx="26" formatCode="0.0000">
                  <c:v>1.0078290838208943</c:v>
                </c:pt>
                <c:pt idx="27" formatCode="0.0000">
                  <c:v>1.008246697022094</c:v>
                </c:pt>
                <c:pt idx="28" formatCode="0.0000">
                  <c:v>1.0490052443540898</c:v>
                </c:pt>
                <c:pt idx="29" formatCode="0.0000">
                  <c:v>1.0119508062412015</c:v>
                </c:pt>
                <c:pt idx="31" formatCode="0.0000">
                  <c:v>1.0239451393319936</c:v>
                </c:pt>
                <c:pt idx="32" formatCode="0.0000">
                  <c:v>1.0275460447393339</c:v>
                </c:pt>
                <c:pt idx="33" formatCode="0.0000">
                  <c:v>1.0275826446035865</c:v>
                </c:pt>
                <c:pt idx="35" formatCode="0.0000">
                  <c:v>1.0572093304532362</c:v>
                </c:pt>
                <c:pt idx="36" formatCode="0.0000">
                  <c:v>1.111235100018195</c:v>
                </c:pt>
                <c:pt idx="37" formatCode="0.0000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all!$B$57:$B$65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all!$I$57:$I$65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67-40B8-85F7-18F462AF33D3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all!$C$57:$C$65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all!$I$57:$I$65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67-40B8-85F7-18F462AF33D3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all!$D$57:$D$65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all!$I$57:$I$65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all!$B$71:$B$79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all!$I$57:$I$65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5-4913-85D3-14942E6E6A66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all!$C$71:$C$79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all!$I$57:$I$65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35-4913-85D3-14942E6E6A66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all!$D$71:$D$79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all!$I$57:$I$65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all!$B$84:$B$90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D5-457B-95C1-70791EA7D300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all!$C$84:$C$90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D5-457B-95C1-70791EA7D300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2956617980307970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all!$D$84:$D$90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D5-457B-95C1-70791EA7D300}"/>
            </c:ext>
          </c:extLst>
        </c:ser>
        <c:ser>
          <c:idx val="3"/>
          <c:order val="3"/>
          <c:tx>
            <c:strRef>
              <c:f>all!$E$81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all!$E$84:$E$90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D5-457B-95C1-70791EA7D300}"/>
            </c:ext>
          </c:extLst>
        </c:ser>
        <c:ser>
          <c:idx val="4"/>
          <c:order val="4"/>
          <c:tx>
            <c:strRef>
              <c:f>all!$F$81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all!$F$84:$F$90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D5-457B-95C1-70791EA7D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392490675507666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all!$P$48:$P$54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6-4405-917C-CA924CED60D5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all!$Q$48:$Q$54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6-4405-917C-CA924CED60D5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all!$R$48:$R$54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D6-4405-917C-CA924CED60D5}"/>
            </c:ext>
          </c:extLst>
        </c:ser>
        <c:ser>
          <c:idx val="3"/>
          <c:order val="3"/>
          <c:tx>
            <c:strRef>
              <c:f>all!$E$81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all!$E$84:$E$90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2D6-4405-917C-CA924CED60D5}"/>
            </c:ext>
          </c:extLst>
        </c:ser>
        <c:ser>
          <c:idx val="4"/>
          <c:order val="4"/>
          <c:tx>
            <c:strRef>
              <c:f>all!$F$81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all!$T$48:$T$54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all!$H$84:$H$90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2D6-4405-917C-CA924CED6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all!$A$53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all!$G$58:$G$65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all!$G$8:$G$15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all!$A$67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all!$G$72:$G$79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5560393892964078"/>
          <c:y val="4.56392886708911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all!$A$53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all!$G$58:$G$65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all!$G$8:$G$15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all!$A$67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all!$G$72:$G$79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571500</xdr:colOff>
      <xdr:row>3</xdr:row>
      <xdr:rowOff>47625</xdr:rowOff>
    </xdr:from>
    <xdr:to>
      <xdr:col>13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552450</xdr:colOff>
      <xdr:row>15</xdr:row>
      <xdr:rowOff>114300</xdr:rowOff>
    </xdr:from>
    <xdr:to>
      <xdr:col>13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552450</xdr:colOff>
      <xdr:row>27</xdr:row>
      <xdr:rowOff>171450</xdr:rowOff>
    </xdr:from>
    <xdr:to>
      <xdr:col>13</xdr:col>
      <xdr:colOff>628650</xdr:colOff>
      <xdr:row>39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85724</xdr:colOff>
      <xdr:row>4</xdr:row>
      <xdr:rowOff>185738</xdr:rowOff>
    </xdr:from>
    <xdr:to>
      <xdr:col>42</xdr:col>
      <xdr:colOff>295274</xdr:colOff>
      <xdr:row>18</xdr:row>
      <xdr:rowOff>68636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42</xdr:col>
      <xdr:colOff>330574</xdr:colOff>
      <xdr:row>4</xdr:row>
      <xdr:rowOff>183898</xdr:rowOff>
    </xdr:from>
    <xdr:to>
      <xdr:col>48</xdr:col>
      <xdr:colOff>246530</xdr:colOff>
      <xdr:row>18</xdr:row>
      <xdr:rowOff>79842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1098175</xdr:colOff>
      <xdr:row>2</xdr:row>
      <xdr:rowOff>188899</xdr:rowOff>
    </xdr:from>
    <xdr:to>
      <xdr:col>24</xdr:col>
      <xdr:colOff>255493</xdr:colOff>
      <xdr:row>14</xdr:row>
      <xdr:rowOff>188899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1086969</xdr:colOff>
      <xdr:row>15</xdr:row>
      <xdr:rowOff>78441</xdr:rowOff>
    </xdr:from>
    <xdr:to>
      <xdr:col>24</xdr:col>
      <xdr:colOff>244287</xdr:colOff>
      <xdr:row>27</xdr:row>
      <xdr:rowOff>112059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803461</xdr:colOff>
      <xdr:row>3</xdr:row>
      <xdr:rowOff>33618</xdr:rowOff>
    </xdr:from>
    <xdr:to>
      <xdr:col>17</xdr:col>
      <xdr:colOff>5602</xdr:colOff>
      <xdr:row>15</xdr:row>
      <xdr:rowOff>33618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58F965B-B112-4163-B085-94EBC5E13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784411</xdr:colOff>
      <xdr:row>15</xdr:row>
      <xdr:rowOff>100293</xdr:rowOff>
    </xdr:from>
    <xdr:to>
      <xdr:col>16</xdr:col>
      <xdr:colOff>849405</xdr:colOff>
      <xdr:row>27</xdr:row>
      <xdr:rowOff>100293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6B14932-7211-4A06-BA01-C3CDF26BB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784411</xdr:colOff>
      <xdr:row>27</xdr:row>
      <xdr:rowOff>157443</xdr:rowOff>
    </xdr:from>
    <xdr:to>
      <xdr:col>16</xdr:col>
      <xdr:colOff>849405</xdr:colOff>
      <xdr:row>39</xdr:row>
      <xdr:rowOff>157443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9F64B7-7005-45AB-9C4F-D41377AEF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347382</xdr:colOff>
      <xdr:row>3</xdr:row>
      <xdr:rowOff>1</xdr:rowOff>
    </xdr:from>
    <xdr:to>
      <xdr:col>29</xdr:col>
      <xdr:colOff>569259</xdr:colOff>
      <xdr:row>15</xdr:row>
      <xdr:rowOff>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868E4CF-B064-4EEB-983D-14B80456F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336176</xdr:colOff>
      <xdr:row>15</xdr:row>
      <xdr:rowOff>80043</xdr:rowOff>
    </xdr:from>
    <xdr:to>
      <xdr:col>29</xdr:col>
      <xdr:colOff>558053</xdr:colOff>
      <xdr:row>27</xdr:row>
      <xdr:rowOff>113661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B80C0E-2101-4768-982A-A8CA30BEA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16</xdr:col>
      <xdr:colOff>859492</xdr:colOff>
      <xdr:row>3</xdr:row>
      <xdr:rowOff>33618</xdr:rowOff>
    </xdr:from>
    <xdr:to>
      <xdr:col>19</xdr:col>
      <xdr:colOff>969310</xdr:colOff>
      <xdr:row>15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11207</xdr:colOff>
      <xdr:row>15</xdr:row>
      <xdr:rowOff>89087</xdr:rowOff>
    </xdr:from>
    <xdr:to>
      <xdr:col>19</xdr:col>
      <xdr:colOff>983878</xdr:colOff>
      <xdr:row>27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11207</xdr:colOff>
      <xdr:row>27</xdr:row>
      <xdr:rowOff>146237</xdr:rowOff>
    </xdr:from>
    <xdr:to>
      <xdr:col>19</xdr:col>
      <xdr:colOff>983878</xdr:colOff>
      <xdr:row>39</xdr:row>
      <xdr:rowOff>146237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37</xdr:col>
      <xdr:colOff>126066</xdr:colOff>
      <xdr:row>18</xdr:row>
      <xdr:rowOff>160123</xdr:rowOff>
    </xdr:from>
    <xdr:to>
      <xdr:col>42</xdr:col>
      <xdr:colOff>335616</xdr:colOff>
      <xdr:row>32</xdr:row>
      <xdr:rowOff>43021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C856C11-94C0-44BD-AA42-B4D04D6C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359710</xdr:colOff>
      <xdr:row>18</xdr:row>
      <xdr:rowOff>158283</xdr:rowOff>
    </xdr:from>
    <xdr:to>
      <xdr:col>48</xdr:col>
      <xdr:colOff>275666</xdr:colOff>
      <xdr:row>32</xdr:row>
      <xdr:rowOff>54227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50CE23D-5AC0-414A-94F3-4C8025A02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1074965</xdr:colOff>
      <xdr:row>27</xdr:row>
      <xdr:rowOff>149679</xdr:rowOff>
    </xdr:from>
    <xdr:to>
      <xdr:col>24</xdr:col>
      <xdr:colOff>232283</xdr:colOff>
      <xdr:row>39</xdr:row>
      <xdr:rowOff>183297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353786</xdr:colOff>
      <xdr:row>27</xdr:row>
      <xdr:rowOff>149678</xdr:rowOff>
    </xdr:from>
    <xdr:to>
      <xdr:col>29</xdr:col>
      <xdr:colOff>572461</xdr:colOff>
      <xdr:row>39</xdr:row>
      <xdr:rowOff>183296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K92"/>
  <sheetViews>
    <sheetView tabSelected="1" topLeftCell="J4" zoomScale="70" zoomScaleNormal="70" workbookViewId="0">
      <selection activeCell="AG39" sqref="AG39"/>
    </sheetView>
  </sheetViews>
  <sheetFormatPr defaultRowHeight="15" x14ac:dyDescent="0.25"/>
  <cols>
    <col min="1" max="2" width="19.140625" customWidth="1"/>
    <col min="3" max="3" width="18.42578125" customWidth="1"/>
    <col min="4" max="4" width="18.7109375" customWidth="1"/>
    <col min="5" max="6" width="15.5703125" customWidth="1"/>
    <col min="7" max="7" width="26.5703125" customWidth="1"/>
    <col min="8" max="8" width="22.28515625" customWidth="1"/>
    <col min="9" max="9" width="17.5703125" customWidth="1"/>
    <col min="10" max="11" width="17.85546875" customWidth="1"/>
    <col min="12" max="13" width="23.7109375" customWidth="1"/>
    <col min="14" max="14" width="15.5703125" customWidth="1"/>
    <col min="15" max="16" width="16" customWidth="1"/>
    <col min="17" max="17" width="13" customWidth="1"/>
    <col min="18" max="18" width="16.28515625" customWidth="1"/>
    <col min="19" max="19" width="17.7109375" customWidth="1"/>
    <col min="20" max="20" width="18.7109375" customWidth="1"/>
    <col min="22" max="22" width="14.85546875" customWidth="1"/>
    <col min="23" max="23" width="9.7109375" customWidth="1"/>
  </cols>
  <sheetData>
    <row r="1" spans="1:37" x14ac:dyDescent="0.25">
      <c r="A1" s="4" t="s">
        <v>26</v>
      </c>
      <c r="M1" s="3"/>
      <c r="AE1" s="19"/>
      <c r="AF1" s="19"/>
      <c r="AG1" s="19"/>
      <c r="AH1" s="19"/>
      <c r="AI1" s="19"/>
      <c r="AJ1" s="19"/>
    </row>
    <row r="2" spans="1:37" x14ac:dyDescent="0.25">
      <c r="A2" s="5" t="s">
        <v>27</v>
      </c>
      <c r="M2" s="3"/>
      <c r="AE2" s="19"/>
      <c r="AF2" s="19"/>
      <c r="AG2" s="19"/>
      <c r="AH2" s="19"/>
      <c r="AI2" s="19"/>
      <c r="AJ2" s="19"/>
    </row>
    <row r="3" spans="1:37" x14ac:dyDescent="0.25">
      <c r="A3" s="9" t="s">
        <v>12</v>
      </c>
      <c r="B3" s="9"/>
      <c r="C3" s="9"/>
      <c r="D3" s="9"/>
      <c r="E3" s="9"/>
      <c r="F3" s="9"/>
      <c r="G3" s="1"/>
      <c r="H3" s="1"/>
      <c r="I3" s="1"/>
      <c r="J3" s="1"/>
      <c r="K3" s="1"/>
      <c r="M3" s="3"/>
      <c r="N3" s="1"/>
      <c r="AE3" s="21"/>
      <c r="AF3" s="21"/>
      <c r="AG3" s="21"/>
      <c r="AH3" s="21"/>
      <c r="AI3" s="21"/>
      <c r="AJ3" s="20"/>
      <c r="AK3" s="1"/>
    </row>
    <row r="4" spans="1:37" ht="54.75" customHeight="1" x14ac:dyDescent="0.25">
      <c r="A4" s="14" t="s">
        <v>0</v>
      </c>
      <c r="B4" s="14" t="s">
        <v>23</v>
      </c>
      <c r="C4" s="14" t="s">
        <v>24</v>
      </c>
      <c r="D4" s="14" t="s">
        <v>1</v>
      </c>
      <c r="E4" s="14" t="s">
        <v>28</v>
      </c>
      <c r="F4" s="14" t="s">
        <v>29</v>
      </c>
      <c r="G4" s="16" t="s">
        <v>30</v>
      </c>
      <c r="H4" s="17" t="s">
        <v>31</v>
      </c>
      <c r="I4" s="17" t="s">
        <v>32</v>
      </c>
      <c r="J4" s="17" t="s">
        <v>33</v>
      </c>
      <c r="K4" s="17" t="s">
        <v>50</v>
      </c>
      <c r="L4" s="3"/>
      <c r="M4" s="1"/>
      <c r="N4" s="1"/>
      <c r="AE4" s="21"/>
      <c r="AF4" s="21"/>
      <c r="AG4" s="21"/>
      <c r="AH4" s="21"/>
      <c r="AI4" s="21"/>
      <c r="AJ4" s="20"/>
      <c r="AK4" s="1"/>
    </row>
    <row r="5" spans="1:37" x14ac:dyDescent="0.25">
      <c r="A5" s="1" t="s">
        <v>2</v>
      </c>
      <c r="B5" s="6">
        <v>5.5990042925280497</v>
      </c>
      <c r="C5" s="6">
        <v>0.90356607367203301</v>
      </c>
      <c r="D5" s="6">
        <v>0.78479742735639801</v>
      </c>
      <c r="E5" s="1"/>
      <c r="F5" s="1"/>
      <c r="G5" s="11">
        <v>562.32579999999996</v>
      </c>
      <c r="H5" s="11"/>
      <c r="I5" s="11"/>
      <c r="J5" s="11">
        <v>133.4714286</v>
      </c>
      <c r="K5" s="11"/>
      <c r="L5" s="1"/>
      <c r="M5" s="1"/>
      <c r="N5" s="1"/>
      <c r="AE5" s="21"/>
      <c r="AF5" s="22"/>
      <c r="AG5" s="22"/>
      <c r="AH5" s="22"/>
      <c r="AI5" s="21"/>
      <c r="AJ5" s="20"/>
      <c r="AK5" s="1"/>
    </row>
    <row r="6" spans="1:37" x14ac:dyDescent="0.25">
      <c r="A6" s="1" t="s">
        <v>3</v>
      </c>
      <c r="B6" s="6">
        <v>3.6150481998819401</v>
      </c>
      <c r="C6" s="6">
        <v>0.84393866538764695</v>
      </c>
      <c r="D6" s="6">
        <v>0.73975142372925395</v>
      </c>
      <c r="G6" s="11">
        <v>359.22</v>
      </c>
      <c r="H6" s="1"/>
      <c r="I6" s="1"/>
      <c r="J6" s="1">
        <v>133.4714286</v>
      </c>
      <c r="K6" s="1"/>
      <c r="L6" s="1"/>
      <c r="M6" s="1"/>
      <c r="N6" s="1"/>
      <c r="AE6" s="21"/>
      <c r="AF6" s="22"/>
      <c r="AG6" s="22"/>
      <c r="AH6" s="22"/>
      <c r="AI6" s="21"/>
      <c r="AJ6" s="20"/>
      <c r="AK6" s="1"/>
    </row>
    <row r="7" spans="1:37" x14ac:dyDescent="0.25">
      <c r="A7" s="1" t="s">
        <v>4</v>
      </c>
      <c r="B7" s="6">
        <v>2.1746388039620901</v>
      </c>
      <c r="C7" s="6">
        <v>0.90358482744648005</v>
      </c>
      <c r="D7" s="6">
        <v>0.17369777575697301</v>
      </c>
      <c r="E7" s="10">
        <v>66.912425378311355</v>
      </c>
      <c r="F7" s="10">
        <v>64.048876322946043</v>
      </c>
      <c r="G7" s="11">
        <v>57.726100000000002</v>
      </c>
      <c r="H7" s="1">
        <v>9023.75</v>
      </c>
      <c r="I7" s="1">
        <v>9023.75</v>
      </c>
      <c r="J7" s="1">
        <v>71.117321599999997</v>
      </c>
      <c r="K7" s="1">
        <v>1.0628417845850735</v>
      </c>
      <c r="L7" s="1"/>
      <c r="M7" s="1"/>
      <c r="N7" s="1"/>
      <c r="AE7" s="21"/>
      <c r="AF7" s="22"/>
      <c r="AG7" s="22"/>
      <c r="AH7" s="22"/>
      <c r="AI7" s="23"/>
      <c r="AJ7" s="20"/>
      <c r="AK7" s="1"/>
    </row>
    <row r="8" spans="1:37" x14ac:dyDescent="0.25">
      <c r="A8" s="1" t="s">
        <v>5</v>
      </c>
      <c r="B8" s="6">
        <v>2.2792285281778502</v>
      </c>
      <c r="C8" s="6">
        <v>0.663434225775831</v>
      </c>
      <c r="D8" s="6">
        <v>9.9143945152060597E-2</v>
      </c>
      <c r="E8" s="10">
        <v>72.370164511034233</v>
      </c>
      <c r="F8" s="10">
        <v>69.142603119806424</v>
      </c>
      <c r="G8" s="11">
        <v>49.091801670000002</v>
      </c>
      <c r="H8" s="1">
        <v>118.5</v>
      </c>
      <c r="I8" s="1">
        <v>118.5</v>
      </c>
      <c r="J8" s="1">
        <v>74.728308609999999</v>
      </c>
      <c r="K8" s="1">
        <v>1.0325844789064453</v>
      </c>
      <c r="L8" s="1"/>
      <c r="M8" s="1"/>
      <c r="N8" s="1"/>
      <c r="AE8" s="21"/>
      <c r="AF8" s="22"/>
      <c r="AG8" s="22"/>
      <c r="AH8" s="22"/>
      <c r="AI8" s="23"/>
      <c r="AJ8" s="20"/>
      <c r="AK8" s="1"/>
    </row>
    <row r="9" spans="1:37" x14ac:dyDescent="0.25">
      <c r="A9" s="1" t="s">
        <v>6</v>
      </c>
      <c r="B9" s="6">
        <v>1.4480475262282899</v>
      </c>
      <c r="C9" s="6">
        <v>0.66475177086608195</v>
      </c>
      <c r="D9" s="6">
        <v>0.21234239309632399</v>
      </c>
      <c r="E9" s="10">
        <v>77.803592516854394</v>
      </c>
      <c r="F9" s="10">
        <v>69.014990506950269</v>
      </c>
      <c r="G9" s="11">
        <v>187</v>
      </c>
      <c r="H9" s="1">
        <v>2036.95</v>
      </c>
      <c r="I9" s="1">
        <v>2060.9499999999998</v>
      </c>
      <c r="J9" s="1">
        <v>79.767295559999994</v>
      </c>
      <c r="K9" s="1">
        <v>1.025239233557502</v>
      </c>
      <c r="L9" s="1"/>
      <c r="M9" s="1"/>
      <c r="N9" s="1"/>
      <c r="AE9" s="21"/>
      <c r="AF9" s="22"/>
      <c r="AG9" s="22"/>
      <c r="AH9" s="22"/>
      <c r="AI9" s="23"/>
      <c r="AJ9" s="20"/>
      <c r="AK9" s="1"/>
    </row>
    <row r="10" spans="1:37" x14ac:dyDescent="0.25">
      <c r="A10" s="1" t="s">
        <v>7</v>
      </c>
      <c r="B10" s="6">
        <v>1.45242884682964</v>
      </c>
      <c r="C10" s="6">
        <v>0.238708102284336</v>
      </c>
      <c r="D10" s="6">
        <v>0.14477972148899501</v>
      </c>
      <c r="E10" s="10">
        <v>77.803592516854394</v>
      </c>
      <c r="F10" s="10">
        <v>69.014990506950269</v>
      </c>
      <c r="G10" s="11">
        <v>105.55555560000001</v>
      </c>
      <c r="H10" s="1">
        <v>2036.95</v>
      </c>
      <c r="I10" s="1">
        <v>2060.9499999999998</v>
      </c>
      <c r="J10" s="1">
        <v>79.767295559999994</v>
      </c>
      <c r="K10" s="1">
        <v>1.025239233557502</v>
      </c>
      <c r="L10" s="1"/>
      <c r="M10" s="1"/>
      <c r="N10" s="1"/>
      <c r="AE10" s="21"/>
      <c r="AF10" s="22"/>
      <c r="AG10" s="22"/>
      <c r="AH10" s="22"/>
      <c r="AI10" s="23"/>
      <c r="AJ10" s="20"/>
      <c r="AK10" s="1"/>
    </row>
    <row r="11" spans="1:37" x14ac:dyDescent="0.25">
      <c r="A11" s="1" t="s">
        <v>20</v>
      </c>
      <c r="B11" s="2"/>
      <c r="C11" s="2"/>
      <c r="D11" s="2"/>
      <c r="E11" s="10"/>
      <c r="G11" s="11">
        <v>76.153846150000007</v>
      </c>
      <c r="H11" s="1">
        <v>365</v>
      </c>
      <c r="I11" s="1"/>
      <c r="J11" s="1">
        <v>68.631809730000001</v>
      </c>
      <c r="K11" s="1"/>
      <c r="L11" s="1"/>
      <c r="M11" s="1"/>
      <c r="N11" s="1"/>
      <c r="AE11" s="21"/>
      <c r="AF11" s="22"/>
      <c r="AG11" s="22"/>
      <c r="AH11" s="22"/>
      <c r="AI11" s="23"/>
      <c r="AJ11" s="20"/>
      <c r="AK11" s="1"/>
    </row>
    <row r="12" spans="1:37" x14ac:dyDescent="0.25">
      <c r="A12" s="1" t="s">
        <v>8</v>
      </c>
      <c r="B12" s="6">
        <v>1.48474411958353</v>
      </c>
      <c r="C12" s="6">
        <v>0.55431906321323399</v>
      </c>
      <c r="D12" s="6">
        <v>0.36516163611226798</v>
      </c>
      <c r="E12" s="10"/>
      <c r="G12" s="11">
        <v>43.2</v>
      </c>
      <c r="H12" s="1">
        <v>365</v>
      </c>
      <c r="I12" s="1"/>
      <c r="J12" s="1">
        <v>68.631809730000001</v>
      </c>
      <c r="K12" s="1"/>
      <c r="L12" s="1"/>
      <c r="M12" s="1"/>
      <c r="N12" s="1"/>
      <c r="AE12" s="21"/>
      <c r="AF12" s="22"/>
      <c r="AG12" s="22"/>
      <c r="AH12" s="22"/>
      <c r="AI12" s="23"/>
      <c r="AJ12" s="20"/>
      <c r="AK12" s="1"/>
    </row>
    <row r="13" spans="1:37" x14ac:dyDescent="0.25">
      <c r="A13" s="1" t="s">
        <v>9</v>
      </c>
      <c r="B13" s="6">
        <v>1.6588389001163999</v>
      </c>
      <c r="C13" s="6">
        <v>0.49497785634638802</v>
      </c>
      <c r="D13" s="6">
        <v>4.1333778886518201E-2</v>
      </c>
      <c r="E13" s="10"/>
      <c r="G13" s="11">
        <v>77.894736839999993</v>
      </c>
      <c r="H13" s="1">
        <v>351.5</v>
      </c>
      <c r="I13" s="1"/>
      <c r="J13" s="1">
        <v>69.696396059999998</v>
      </c>
      <c r="K13" s="1"/>
      <c r="L13" s="1"/>
      <c r="M13" s="1"/>
      <c r="N13" s="1"/>
      <c r="AE13" s="21"/>
      <c r="AF13" s="22"/>
      <c r="AG13" s="22"/>
      <c r="AH13" s="22"/>
      <c r="AI13" s="23"/>
      <c r="AJ13" s="20"/>
      <c r="AK13" s="1"/>
    </row>
    <row r="14" spans="1:37" x14ac:dyDescent="0.25">
      <c r="A14" s="1" t="s">
        <v>10</v>
      </c>
      <c r="B14" s="7">
        <v>0.665445371933445</v>
      </c>
      <c r="C14" s="7">
        <v>-1.0305451800868599</v>
      </c>
      <c r="D14" s="7">
        <v>-4.1760232547360499E-2</v>
      </c>
      <c r="E14" s="10">
        <v>66.341763171136677</v>
      </c>
      <c r="F14" s="10">
        <v>64.242932047955975</v>
      </c>
      <c r="G14" s="11">
        <v>37.6</v>
      </c>
      <c r="H14" s="1">
        <v>413.75</v>
      </c>
      <c r="I14" s="1">
        <v>1130.25</v>
      </c>
      <c r="J14" s="1">
        <v>70.569593760000004</v>
      </c>
      <c r="K14" s="1">
        <v>1.063728040781146</v>
      </c>
      <c r="L14" s="1"/>
      <c r="M14" s="1"/>
      <c r="N14" s="1"/>
      <c r="AE14" s="21"/>
      <c r="AF14" s="21"/>
      <c r="AG14" s="21"/>
      <c r="AH14" s="24"/>
      <c r="AI14" s="23"/>
      <c r="AJ14" s="20"/>
      <c r="AK14" s="1"/>
    </row>
    <row r="15" spans="1:37" x14ac:dyDescent="0.25">
      <c r="A15" s="1" t="s">
        <v>11</v>
      </c>
      <c r="B15" s="7">
        <v>0.84619083652769</v>
      </c>
      <c r="C15" s="7">
        <v>-0.57708462423306806</v>
      </c>
      <c r="D15" s="7">
        <v>-7.8588218215967606E-2</v>
      </c>
      <c r="E15" s="10">
        <v>66.341763171136677</v>
      </c>
      <c r="F15" s="10">
        <v>64.242932047955975</v>
      </c>
      <c r="G15" s="11">
        <v>30.76923077</v>
      </c>
      <c r="H15" s="1">
        <v>413.75</v>
      </c>
      <c r="I15" s="1">
        <v>1130.25</v>
      </c>
      <c r="J15" s="1">
        <v>70.569593760000004</v>
      </c>
      <c r="K15" s="1">
        <v>1.063728040781146</v>
      </c>
      <c r="L15" s="1"/>
      <c r="M15" s="1"/>
      <c r="N15" s="1"/>
      <c r="AE15" s="21"/>
      <c r="AF15" s="21"/>
      <c r="AG15" s="21"/>
      <c r="AH15" s="24"/>
      <c r="AI15" s="23"/>
      <c r="AJ15" s="20"/>
      <c r="AK15" s="1"/>
    </row>
    <row r="16" spans="1:37" x14ac:dyDescent="0.25">
      <c r="A16" s="1" t="s">
        <v>35</v>
      </c>
      <c r="B16" s="8">
        <v>1.86943505833322</v>
      </c>
      <c r="C16" s="8">
        <v>1.9314296164550899</v>
      </c>
      <c r="D16" s="8">
        <v>9.4513218106104094E-2</v>
      </c>
      <c r="F16" s="8"/>
      <c r="G16" s="11">
        <v>23.15789474</v>
      </c>
      <c r="H16" s="1">
        <v>6055.55</v>
      </c>
      <c r="I16" s="11"/>
      <c r="J16" s="11">
        <v>112.55085055666601</v>
      </c>
      <c r="K16" s="8"/>
      <c r="L16" s="1"/>
      <c r="M16" s="1"/>
      <c r="N16" s="1"/>
      <c r="AE16" s="21"/>
      <c r="AF16" s="21"/>
      <c r="AG16" s="21"/>
      <c r="AH16" s="21"/>
      <c r="AI16" s="21"/>
      <c r="AJ16" s="20"/>
      <c r="AK16" s="1"/>
    </row>
    <row r="17" spans="1:37" x14ac:dyDescent="0.25">
      <c r="A17" s="1" t="s">
        <v>36</v>
      </c>
      <c r="B17" s="8">
        <v>1.3545954270153699</v>
      </c>
      <c r="C17" s="8">
        <v>1.0089470650494099</v>
      </c>
      <c r="D17" s="8">
        <v>4.2663094228711902E-2</v>
      </c>
      <c r="G17" s="11">
        <v>23</v>
      </c>
      <c r="H17" s="1">
        <v>22</v>
      </c>
      <c r="I17" s="1"/>
      <c r="J17" s="11">
        <v>117.49299123</v>
      </c>
      <c r="K17" s="8"/>
      <c r="L17" s="1"/>
      <c r="M17" s="1"/>
      <c r="N17" s="1"/>
      <c r="AE17" s="21"/>
      <c r="AF17" s="21"/>
      <c r="AG17" s="21"/>
      <c r="AH17" s="21"/>
      <c r="AI17" s="21"/>
      <c r="AJ17" s="20"/>
      <c r="AK17" s="1"/>
    </row>
    <row r="18" spans="1:37" x14ac:dyDescent="0.25">
      <c r="A18" s="1" t="s">
        <v>37</v>
      </c>
      <c r="B18" s="8"/>
      <c r="C18" s="8"/>
      <c r="D18" s="8"/>
      <c r="E18" s="1">
        <v>118.22733427999999</v>
      </c>
      <c r="G18" s="11"/>
      <c r="H18" s="1">
        <v>21.75</v>
      </c>
      <c r="I18" s="1">
        <v>6099.3</v>
      </c>
      <c r="J18" s="11">
        <v>119.152945989999</v>
      </c>
      <c r="K18" s="8">
        <f t="shared" ref="K17:K44" si="0">J18/E18</f>
        <v>1.0078290838208943</v>
      </c>
      <c r="L18" s="1"/>
      <c r="M18" s="1"/>
      <c r="N18" s="1"/>
      <c r="AE18" s="21"/>
      <c r="AF18" s="21"/>
      <c r="AG18" s="21"/>
      <c r="AH18" s="21"/>
      <c r="AI18" s="21"/>
      <c r="AJ18" s="20"/>
      <c r="AK18" s="1"/>
    </row>
    <row r="19" spans="1:37" x14ac:dyDescent="0.25">
      <c r="A19" s="1" t="s">
        <v>38</v>
      </c>
      <c r="B19" s="8"/>
      <c r="C19" s="8"/>
      <c r="D19" s="8"/>
      <c r="E19" s="1">
        <v>108.51115272</v>
      </c>
      <c r="G19" s="11"/>
      <c r="H19" s="1">
        <v>48.5</v>
      </c>
      <c r="I19" s="1">
        <v>48.5</v>
      </c>
      <c r="J19" s="11">
        <v>109.40601132</v>
      </c>
      <c r="K19" s="8">
        <f t="shared" si="0"/>
        <v>1.008246697022094</v>
      </c>
      <c r="M19" s="1"/>
      <c r="N19" s="1"/>
      <c r="AE19" s="21"/>
      <c r="AF19" s="22"/>
      <c r="AG19" s="22"/>
      <c r="AH19" s="22"/>
      <c r="AI19" s="21"/>
      <c r="AJ19" s="20"/>
      <c r="AK19" s="1"/>
    </row>
    <row r="20" spans="1:37" x14ac:dyDescent="0.25">
      <c r="A20" s="1" t="s">
        <v>39</v>
      </c>
      <c r="B20" s="8"/>
      <c r="C20" s="8"/>
      <c r="D20" s="8"/>
      <c r="E20" s="1">
        <v>106.97060942</v>
      </c>
      <c r="G20" s="11"/>
      <c r="H20" s="1">
        <v>28.75</v>
      </c>
      <c r="I20" s="1">
        <v>28.75</v>
      </c>
      <c r="J20" s="11">
        <v>112.21273027333299</v>
      </c>
      <c r="K20" s="8">
        <f t="shared" si="0"/>
        <v>1.0490052443540898</v>
      </c>
      <c r="M20" s="1"/>
      <c r="N20" s="1"/>
      <c r="AE20" s="21"/>
      <c r="AF20" s="22"/>
      <c r="AG20" s="22"/>
      <c r="AH20" s="22"/>
      <c r="AI20" s="21"/>
      <c r="AJ20" s="20"/>
      <c r="AK20" s="1"/>
    </row>
    <row r="21" spans="1:37" x14ac:dyDescent="0.25">
      <c r="A21" s="1" t="s">
        <v>40</v>
      </c>
      <c r="B21" s="8">
        <v>1.31746197777344</v>
      </c>
      <c r="C21" s="8">
        <v>0.66698565105034602</v>
      </c>
      <c r="D21" s="8">
        <v>8.8732929175135894E-2</v>
      </c>
      <c r="E21" s="1">
        <v>113.72040256</v>
      </c>
      <c r="G21" s="11">
        <v>10.34482759</v>
      </c>
      <c r="H21" s="1">
        <v>21</v>
      </c>
      <c r="I21" s="1">
        <v>21</v>
      </c>
      <c r="J21" s="11">
        <v>115.079453056666</v>
      </c>
      <c r="K21" s="8">
        <f t="shared" si="0"/>
        <v>1.0119508062412015</v>
      </c>
      <c r="L21" s="10"/>
      <c r="M21" s="1"/>
      <c r="N21" s="1"/>
      <c r="AE21" s="21"/>
      <c r="AF21" s="22"/>
      <c r="AG21" s="22"/>
      <c r="AH21" s="22"/>
      <c r="AI21" s="23"/>
      <c r="AJ21" s="20"/>
      <c r="AK21" s="1"/>
    </row>
    <row r="22" spans="1:37" x14ac:dyDescent="0.25">
      <c r="A22" s="1" t="s">
        <v>41</v>
      </c>
      <c r="B22" s="8">
        <v>0.89735303995633098</v>
      </c>
      <c r="C22" s="8">
        <v>0.19762137224995299</v>
      </c>
      <c r="D22" s="8">
        <v>-1.9463558010346702E-2</v>
      </c>
      <c r="E22" s="1"/>
      <c r="G22" s="11">
        <v>26.086956520000001</v>
      </c>
      <c r="H22" s="1">
        <v>21.5</v>
      </c>
      <c r="I22" s="1"/>
      <c r="J22" s="11">
        <v>119.222878299999</v>
      </c>
      <c r="K22" s="8"/>
      <c r="M22" s="1"/>
      <c r="N22" s="1"/>
      <c r="AE22" s="21"/>
      <c r="AF22" s="22"/>
      <c r="AG22" s="22"/>
      <c r="AH22" s="22"/>
      <c r="AI22" s="23"/>
      <c r="AJ22" s="20"/>
      <c r="AK22" s="1"/>
    </row>
    <row r="23" spans="1:37" x14ac:dyDescent="0.25">
      <c r="A23" s="1" t="s">
        <v>42</v>
      </c>
      <c r="B23" s="8">
        <v>1.39880081037808</v>
      </c>
      <c r="C23" s="8">
        <v>0.54807771119966198</v>
      </c>
      <c r="D23" s="8">
        <v>0.10415722716452799</v>
      </c>
      <c r="E23" s="1">
        <v>112.66319882000001</v>
      </c>
      <c r="G23" s="11">
        <v>8.125</v>
      </c>
      <c r="H23" s="1">
        <v>75</v>
      </c>
      <c r="I23" s="1">
        <v>96.5</v>
      </c>
      <c r="J23" s="11">
        <v>115.360934813333</v>
      </c>
      <c r="K23" s="8">
        <f t="shared" si="0"/>
        <v>1.0239451393319936</v>
      </c>
      <c r="L23" s="10"/>
      <c r="M23" s="1"/>
      <c r="N23" s="1"/>
      <c r="AE23" s="21"/>
      <c r="AF23" s="21"/>
      <c r="AG23" s="21"/>
      <c r="AH23" s="21"/>
      <c r="AI23" s="23"/>
      <c r="AJ23" s="20"/>
      <c r="AK23" s="1"/>
    </row>
    <row r="24" spans="1:37" x14ac:dyDescent="0.25">
      <c r="A24" s="1" t="s">
        <v>43</v>
      </c>
      <c r="B24" s="8">
        <v>1.2210038373368299</v>
      </c>
      <c r="C24" s="8">
        <v>0.10106112243990099</v>
      </c>
      <c r="D24" s="8">
        <v>4.66251429291673E-2</v>
      </c>
      <c r="E24" s="1">
        <v>114.89097618</v>
      </c>
      <c r="G24" s="11">
        <v>12.67</v>
      </c>
      <c r="H24" s="1">
        <v>47.5</v>
      </c>
      <c r="I24" s="1">
        <v>47.5</v>
      </c>
      <c r="J24" s="11">
        <v>118.05576815000001</v>
      </c>
      <c r="K24" s="8">
        <f t="shared" si="0"/>
        <v>1.0275460447393339</v>
      </c>
      <c r="L24" s="1"/>
      <c r="M24" s="1"/>
      <c r="N24" s="1"/>
      <c r="AE24" s="21"/>
      <c r="AF24" s="21"/>
      <c r="AG24" s="21"/>
      <c r="AH24" s="21"/>
      <c r="AI24" s="23"/>
      <c r="AJ24" s="20"/>
      <c r="AK24" s="1"/>
    </row>
    <row r="25" spans="1:37" x14ac:dyDescent="0.25">
      <c r="A25" s="1" t="s">
        <v>44</v>
      </c>
      <c r="B25" s="8">
        <v>1.5249018262283101</v>
      </c>
      <c r="C25" s="8">
        <v>0.50902572287082404</v>
      </c>
      <c r="D25" s="8">
        <v>9.0894558490112708E-3</v>
      </c>
      <c r="E25" s="1">
        <v>116.55531655999999</v>
      </c>
      <c r="G25" s="11">
        <v>42</v>
      </c>
      <c r="H25" s="1">
        <v>23.5</v>
      </c>
      <c r="I25" s="1">
        <v>23.5</v>
      </c>
      <c r="J25" s="11">
        <v>119.77022043333299</v>
      </c>
      <c r="K25" s="8">
        <f t="shared" si="0"/>
        <v>1.0275826446035865</v>
      </c>
      <c r="L25" s="1"/>
      <c r="M25" s="1"/>
      <c r="N25" s="1"/>
      <c r="AE25" s="21"/>
      <c r="AF25" s="21"/>
      <c r="AG25" s="21"/>
      <c r="AH25" s="21"/>
      <c r="AI25" s="23"/>
      <c r="AJ25" s="20"/>
      <c r="AK25" s="1"/>
    </row>
    <row r="26" spans="1:37" x14ac:dyDescent="0.25">
      <c r="A26" s="1" t="s">
        <v>45</v>
      </c>
      <c r="B26" s="8"/>
      <c r="C26" s="8"/>
      <c r="D26" s="8"/>
      <c r="E26" s="1"/>
      <c r="G26" s="11"/>
      <c r="H26" s="1">
        <v>27.75</v>
      </c>
      <c r="I26" s="1"/>
      <c r="J26" s="11">
        <v>120.030707316666</v>
      </c>
      <c r="K26" s="8"/>
      <c r="L26" s="1"/>
      <c r="M26" s="1"/>
      <c r="N26" s="1"/>
      <c r="AE26" s="21"/>
      <c r="AF26" s="21"/>
      <c r="AG26" s="21"/>
      <c r="AH26" s="21"/>
      <c r="AI26" s="23"/>
      <c r="AJ26" s="20"/>
      <c r="AK26" s="1"/>
    </row>
    <row r="27" spans="1:37" x14ac:dyDescent="0.25">
      <c r="A27" s="1" t="s">
        <v>46</v>
      </c>
      <c r="B27" s="8"/>
      <c r="C27" s="8"/>
      <c r="D27" s="8"/>
      <c r="E27" s="1">
        <v>118.40602251999999</v>
      </c>
      <c r="G27" s="11"/>
      <c r="H27" s="1">
        <v>20</v>
      </c>
      <c r="I27" s="1">
        <v>47.75</v>
      </c>
      <c r="J27" s="11">
        <v>125.17995179</v>
      </c>
      <c r="K27" s="8">
        <f t="shared" si="0"/>
        <v>1.0572093304532362</v>
      </c>
      <c r="L27" s="1"/>
      <c r="M27" s="1"/>
      <c r="N27" s="1"/>
      <c r="AE27" s="21"/>
      <c r="AF27" s="21"/>
      <c r="AG27" s="21"/>
      <c r="AH27" s="21"/>
      <c r="AI27" s="23"/>
      <c r="AJ27" s="20"/>
      <c r="AK27" s="1"/>
    </row>
    <row r="28" spans="1:37" x14ac:dyDescent="0.25">
      <c r="A28" s="1" t="s">
        <v>47</v>
      </c>
      <c r="B28" s="8">
        <v>1.36678278361715</v>
      </c>
      <c r="C28" s="8">
        <v>0.463447965306029</v>
      </c>
      <c r="D28" s="8">
        <v>2.0373962034653699E-2</v>
      </c>
      <c r="E28" s="1">
        <v>115.75512236</v>
      </c>
      <c r="G28" s="11">
        <v>20.666666670000001</v>
      </c>
      <c r="H28" s="1">
        <v>23.75</v>
      </c>
      <c r="I28" s="1">
        <v>23.75</v>
      </c>
      <c r="J28" s="11">
        <v>128.631154973333</v>
      </c>
      <c r="K28" s="8">
        <f t="shared" si="0"/>
        <v>1.111235100018195</v>
      </c>
      <c r="L28" s="1"/>
      <c r="M28" s="1"/>
      <c r="N28" s="1"/>
      <c r="AE28" s="21"/>
      <c r="AF28" s="21"/>
      <c r="AG28" s="21"/>
      <c r="AH28" s="21"/>
      <c r="AI28" s="23"/>
      <c r="AJ28" s="20"/>
      <c r="AK28" s="1"/>
    </row>
    <row r="29" spans="1:37" x14ac:dyDescent="0.25">
      <c r="A29" s="1" t="s">
        <v>48</v>
      </c>
      <c r="B29" s="8"/>
      <c r="C29" s="8"/>
      <c r="D29" s="8"/>
      <c r="E29" s="1">
        <v>121.12197168</v>
      </c>
      <c r="G29" s="11"/>
      <c r="H29" s="1">
        <v>23.5</v>
      </c>
      <c r="I29" s="1">
        <v>23.5</v>
      </c>
      <c r="J29" s="11">
        <v>127.417386873333</v>
      </c>
      <c r="K29" s="8">
        <f t="shared" si="0"/>
        <v>1.0519758315193652</v>
      </c>
      <c r="L29" s="1"/>
      <c r="M29" s="1"/>
      <c r="N29" s="1"/>
      <c r="AE29" s="21"/>
      <c r="AF29" s="21"/>
      <c r="AG29" s="21"/>
      <c r="AH29" s="21"/>
      <c r="AI29" s="23"/>
      <c r="AJ29" s="20"/>
      <c r="AK29" s="1"/>
    </row>
    <row r="30" spans="1:37" x14ac:dyDescent="0.25">
      <c r="A30" s="1" t="s">
        <v>49</v>
      </c>
      <c r="B30" s="8"/>
      <c r="C30" s="8"/>
      <c r="D30" s="8"/>
      <c r="G30" s="11"/>
      <c r="H30" s="1">
        <v>24</v>
      </c>
      <c r="J30" s="11">
        <v>122.761972003333</v>
      </c>
      <c r="K30" s="8"/>
      <c r="L30" s="1"/>
      <c r="M30" s="1"/>
      <c r="N30" s="1"/>
      <c r="AE30" s="21"/>
      <c r="AF30" s="21"/>
      <c r="AG30" s="21"/>
      <c r="AH30" s="21"/>
      <c r="AI30" s="21"/>
      <c r="AJ30" s="20"/>
      <c r="AK30" s="1"/>
    </row>
    <row r="31" spans="1:37" x14ac:dyDescent="0.25">
      <c r="A31" s="1" t="s">
        <v>35</v>
      </c>
      <c r="B31" s="8">
        <v>1.8695993339197901</v>
      </c>
      <c r="C31" s="8">
        <v>0.44896728093636801</v>
      </c>
      <c r="D31" s="8">
        <v>2.4947102971666898E-2</v>
      </c>
      <c r="G31" s="11">
        <v>16</v>
      </c>
      <c r="H31" s="1"/>
      <c r="I31" s="11"/>
      <c r="J31" s="11">
        <v>112.55085055666601</v>
      </c>
      <c r="K31" s="8"/>
      <c r="L31" s="1"/>
      <c r="M31" s="1"/>
      <c r="N31" s="1"/>
      <c r="AE31" s="21"/>
      <c r="AF31" s="21"/>
      <c r="AG31" s="21"/>
      <c r="AH31" s="21"/>
      <c r="AI31" s="21"/>
      <c r="AJ31" s="20"/>
      <c r="AK31" s="1"/>
    </row>
    <row r="32" spans="1:37" x14ac:dyDescent="0.25">
      <c r="A32" s="1" t="s">
        <v>36</v>
      </c>
      <c r="B32" s="8">
        <v>1.21795864622288</v>
      </c>
      <c r="C32" s="8">
        <v>1.5264059910121399</v>
      </c>
      <c r="D32" s="8">
        <v>9.6293174744729593E-3</v>
      </c>
      <c r="G32" s="11">
        <v>21.5</v>
      </c>
      <c r="H32" s="1">
        <v>22</v>
      </c>
      <c r="I32" s="1"/>
      <c r="J32" s="11">
        <v>117.49299123</v>
      </c>
      <c r="K32" s="8"/>
      <c r="L32" s="1"/>
      <c r="M32" s="1"/>
      <c r="N32" s="1"/>
      <c r="AE32" s="21"/>
      <c r="AF32" s="21"/>
      <c r="AG32" s="21"/>
      <c r="AH32" s="21"/>
      <c r="AI32" s="21"/>
      <c r="AJ32" s="20"/>
      <c r="AK32" s="1"/>
    </row>
    <row r="33" spans="1:37" x14ac:dyDescent="0.25">
      <c r="A33" s="1" t="s">
        <v>37</v>
      </c>
      <c r="B33" s="8">
        <v>1.0299659938988901</v>
      </c>
      <c r="C33" s="8">
        <v>0.71671353985517805</v>
      </c>
      <c r="D33" s="8">
        <v>0.14608753400636901</v>
      </c>
      <c r="E33" s="1">
        <v>118.22733427999999</v>
      </c>
      <c r="G33" s="11">
        <v>12.222222220000001</v>
      </c>
      <c r="H33" s="1">
        <v>21.75</v>
      </c>
      <c r="I33" s="1"/>
      <c r="J33" s="11">
        <v>119.152945989999</v>
      </c>
      <c r="K33" s="8">
        <f t="shared" si="0"/>
        <v>1.0078290838208943</v>
      </c>
      <c r="L33" s="1"/>
      <c r="M33" s="1"/>
      <c r="N33" s="1"/>
      <c r="AE33" s="21"/>
      <c r="AF33" s="22"/>
      <c r="AG33" s="22"/>
      <c r="AH33" s="22"/>
      <c r="AI33" s="21"/>
      <c r="AJ33" s="20"/>
      <c r="AK33" s="1"/>
    </row>
    <row r="34" spans="1:37" x14ac:dyDescent="0.25">
      <c r="A34" s="1" t="s">
        <v>38</v>
      </c>
      <c r="B34" s="8"/>
      <c r="C34" s="8"/>
      <c r="D34" s="8"/>
      <c r="E34" s="1">
        <v>108.51115272</v>
      </c>
      <c r="G34" s="11"/>
      <c r="H34" s="1">
        <v>48.5</v>
      </c>
      <c r="I34" s="1">
        <v>48.5</v>
      </c>
      <c r="J34" s="11">
        <v>109.40601132</v>
      </c>
      <c r="K34" s="8">
        <f t="shared" si="0"/>
        <v>1.008246697022094</v>
      </c>
      <c r="L34" s="1"/>
      <c r="M34" s="1"/>
      <c r="N34" s="1"/>
      <c r="AE34" s="21"/>
      <c r="AF34" s="22"/>
      <c r="AG34" s="22"/>
      <c r="AH34" s="22"/>
      <c r="AI34" s="21"/>
      <c r="AJ34" s="20"/>
      <c r="AK34" s="1"/>
    </row>
    <row r="35" spans="1:37" x14ac:dyDescent="0.25">
      <c r="A35" s="1" t="s">
        <v>39</v>
      </c>
      <c r="B35" s="8"/>
      <c r="C35" s="8"/>
      <c r="D35" s="8"/>
      <c r="E35" s="1">
        <v>106.97060942</v>
      </c>
      <c r="G35" s="11"/>
      <c r="H35" s="1">
        <v>28.75</v>
      </c>
      <c r="I35" s="1">
        <v>28.75</v>
      </c>
      <c r="J35" s="11">
        <v>112.21273027333299</v>
      </c>
      <c r="K35" s="8">
        <f t="shared" si="0"/>
        <v>1.0490052443540898</v>
      </c>
      <c r="L35" s="1"/>
      <c r="M35" s="1"/>
      <c r="N35" s="1"/>
      <c r="AE35" s="21"/>
      <c r="AF35" s="22"/>
      <c r="AG35" s="22"/>
      <c r="AH35" s="22"/>
      <c r="AI35" s="23"/>
      <c r="AJ35" s="20"/>
      <c r="AK35" s="1"/>
    </row>
    <row r="36" spans="1:37" x14ac:dyDescent="0.25">
      <c r="A36" s="1" t="s">
        <v>40</v>
      </c>
      <c r="B36" s="8">
        <v>1.1534447144942801</v>
      </c>
      <c r="C36" s="8">
        <v>0.678678630991426</v>
      </c>
      <c r="D36" s="8">
        <v>1.27691539373017E-2</v>
      </c>
      <c r="E36" s="1">
        <v>113.72040256</v>
      </c>
      <c r="G36" s="11">
        <v>11.25</v>
      </c>
      <c r="H36" s="1">
        <v>21</v>
      </c>
      <c r="I36" s="1">
        <v>21</v>
      </c>
      <c r="J36" s="11">
        <v>115.079453056666</v>
      </c>
      <c r="K36" s="8">
        <f t="shared" si="0"/>
        <v>1.0119508062412015</v>
      </c>
      <c r="L36" s="1"/>
      <c r="M36" s="1"/>
      <c r="N36" s="1"/>
      <c r="AE36" s="21"/>
      <c r="AF36" s="22"/>
      <c r="AG36" s="22"/>
      <c r="AH36" s="22"/>
      <c r="AI36" s="23"/>
      <c r="AJ36" s="20"/>
      <c r="AK36" s="1"/>
    </row>
    <row r="37" spans="1:37" x14ac:dyDescent="0.25">
      <c r="A37" s="1" t="s">
        <v>41</v>
      </c>
      <c r="B37" s="8">
        <v>1.6625275928143599</v>
      </c>
      <c r="C37" s="8">
        <v>0.81343884511072295</v>
      </c>
      <c r="D37" s="8">
        <v>6.7576112725014403E-2</v>
      </c>
      <c r="E37" s="1"/>
      <c r="G37" s="11">
        <v>15</v>
      </c>
      <c r="H37" s="1">
        <v>21.5</v>
      </c>
      <c r="I37" s="1"/>
      <c r="J37" s="11">
        <v>119.222878299999</v>
      </c>
      <c r="K37" s="8"/>
      <c r="L37" s="1"/>
      <c r="M37" s="1"/>
      <c r="N37" s="1"/>
      <c r="AE37" s="21"/>
      <c r="AF37" s="21"/>
      <c r="AG37" s="21"/>
      <c r="AH37" s="21"/>
      <c r="AI37" s="23"/>
      <c r="AJ37" s="20"/>
      <c r="AK37" s="1"/>
    </row>
    <row r="38" spans="1:37" x14ac:dyDescent="0.25">
      <c r="A38" s="1" t="s">
        <v>42</v>
      </c>
      <c r="B38" s="8">
        <v>0.83858009935182098</v>
      </c>
      <c r="C38" s="8">
        <v>-1.07855599689062</v>
      </c>
      <c r="D38" s="8">
        <v>-0.35416666689988402</v>
      </c>
      <c r="E38" s="1">
        <v>112.66319882000001</v>
      </c>
      <c r="G38" s="11">
        <v>11.612903230000001</v>
      </c>
      <c r="H38" s="1">
        <v>75</v>
      </c>
      <c r="I38" s="1">
        <v>96.5</v>
      </c>
      <c r="J38" s="11">
        <v>115.360934813333</v>
      </c>
      <c r="K38" s="8">
        <f t="shared" si="0"/>
        <v>1.0239451393319936</v>
      </c>
      <c r="L38" s="1"/>
      <c r="M38" s="1"/>
      <c r="N38" s="1"/>
      <c r="AE38" s="21"/>
      <c r="AF38" s="21"/>
      <c r="AG38" s="21"/>
      <c r="AH38" s="21"/>
      <c r="AI38" s="23"/>
      <c r="AJ38" s="20"/>
      <c r="AK38" s="1"/>
    </row>
    <row r="39" spans="1:37" x14ac:dyDescent="0.25">
      <c r="A39" s="1" t="s">
        <v>43</v>
      </c>
      <c r="B39" s="8">
        <v>2.31938512736013</v>
      </c>
      <c r="C39" s="8">
        <v>1.34776836410395</v>
      </c>
      <c r="D39" s="8">
        <v>4.5646344187588998E-2</v>
      </c>
      <c r="E39" s="1">
        <v>114.89097618</v>
      </c>
      <c r="G39" s="11">
        <v>14.545454550000001</v>
      </c>
      <c r="H39" s="1">
        <v>47.5</v>
      </c>
      <c r="I39" s="1">
        <v>47.5</v>
      </c>
      <c r="J39" s="11">
        <v>118.05576815000001</v>
      </c>
      <c r="K39" s="8">
        <f t="shared" si="0"/>
        <v>1.0275460447393339</v>
      </c>
      <c r="L39" s="1"/>
      <c r="M39" s="1"/>
      <c r="N39" s="1"/>
      <c r="AE39" s="21"/>
      <c r="AF39" s="21"/>
      <c r="AG39" s="21"/>
      <c r="AH39" s="21"/>
      <c r="AI39" s="23"/>
      <c r="AJ39" s="20"/>
      <c r="AK39" s="1"/>
    </row>
    <row r="40" spans="1:37" x14ac:dyDescent="0.25">
      <c r="A40" s="1" t="s">
        <v>44</v>
      </c>
      <c r="B40" s="8">
        <v>1.66955637894203</v>
      </c>
      <c r="C40" s="8">
        <v>0.55456789410428697</v>
      </c>
      <c r="D40" s="8">
        <v>1.47909285306715E-2</v>
      </c>
      <c r="E40" s="1">
        <v>116.55531655999999</v>
      </c>
      <c r="G40" s="11">
        <v>45</v>
      </c>
      <c r="H40" s="1">
        <v>23.5</v>
      </c>
      <c r="I40" s="1">
        <v>23.5</v>
      </c>
      <c r="J40" s="11">
        <v>119.77022043333299</v>
      </c>
      <c r="K40" s="8">
        <f t="shared" si="0"/>
        <v>1.0275826446035865</v>
      </c>
      <c r="L40" s="1"/>
      <c r="M40" s="1"/>
      <c r="N40" s="1"/>
      <c r="AE40" s="21"/>
      <c r="AF40" s="21"/>
      <c r="AG40" s="21"/>
      <c r="AH40" s="21"/>
      <c r="AI40" s="23"/>
      <c r="AJ40" s="20"/>
      <c r="AK40" s="1"/>
    </row>
    <row r="41" spans="1:37" x14ac:dyDescent="0.25">
      <c r="A41" s="1" t="s">
        <v>45</v>
      </c>
      <c r="B41" s="8"/>
      <c r="C41" s="8">
        <v>0.70468449804027899</v>
      </c>
      <c r="D41" s="8">
        <v>3.5842816756479302E-2</v>
      </c>
      <c r="E41" s="1"/>
      <c r="G41" s="11">
        <v>20</v>
      </c>
      <c r="H41" s="1">
        <v>27.75</v>
      </c>
      <c r="I41" s="1"/>
      <c r="J41" s="11">
        <v>120.030707316666</v>
      </c>
      <c r="K41" s="8"/>
      <c r="L41" s="1"/>
      <c r="M41" s="1"/>
      <c r="N41" s="1"/>
      <c r="AE41" s="21"/>
      <c r="AF41" s="21"/>
      <c r="AG41" s="21"/>
      <c r="AH41" s="21"/>
      <c r="AI41" s="23"/>
      <c r="AJ41" s="20"/>
      <c r="AK41" s="1"/>
    </row>
    <row r="42" spans="1:37" x14ac:dyDescent="0.25">
      <c r="A42" s="1" t="s">
        <v>46</v>
      </c>
      <c r="B42" s="8">
        <v>0.90805045415642205</v>
      </c>
      <c r="C42" s="8">
        <v>-0.373253605455523</v>
      </c>
      <c r="D42" s="8">
        <v>-4.0383997186219003E-2</v>
      </c>
      <c r="E42" s="1">
        <v>118.40602251999999</v>
      </c>
      <c r="G42" s="11">
        <v>4.375</v>
      </c>
      <c r="H42" s="1">
        <v>20</v>
      </c>
      <c r="I42" s="1">
        <v>47.75</v>
      </c>
      <c r="J42" s="11">
        <v>125.17995179</v>
      </c>
      <c r="K42" s="8">
        <f t="shared" si="0"/>
        <v>1.0572093304532362</v>
      </c>
      <c r="L42" s="1"/>
      <c r="M42" s="1"/>
      <c r="N42" s="1"/>
      <c r="AE42" s="21"/>
      <c r="AF42" s="21"/>
      <c r="AG42" s="21"/>
      <c r="AH42" s="21"/>
      <c r="AI42" s="23"/>
      <c r="AJ42" s="20"/>
      <c r="AK42" s="1"/>
    </row>
    <row r="43" spans="1:37" x14ac:dyDescent="0.25">
      <c r="A43" s="1" t="s">
        <v>47</v>
      </c>
      <c r="B43" s="8">
        <v>1.0862889042163599</v>
      </c>
      <c r="C43" s="8">
        <v>0.63056904760694898</v>
      </c>
      <c r="D43" s="8">
        <v>3.6679485231980898E-2</v>
      </c>
      <c r="E43" s="1">
        <v>115.75512236</v>
      </c>
      <c r="G43" s="11">
        <v>24.375</v>
      </c>
      <c r="H43" s="1">
        <v>23.75</v>
      </c>
      <c r="I43" s="1">
        <v>23.75</v>
      </c>
      <c r="J43" s="11">
        <v>128.631154973333</v>
      </c>
      <c r="K43" s="8">
        <f t="shared" si="0"/>
        <v>1.111235100018195</v>
      </c>
      <c r="L43" s="1"/>
      <c r="M43" s="1"/>
      <c r="N43" s="1"/>
      <c r="AE43" s="21"/>
      <c r="AF43" s="21"/>
      <c r="AG43" s="21"/>
      <c r="AH43" s="21"/>
      <c r="AI43" s="23"/>
      <c r="AJ43" s="20"/>
      <c r="AK43" s="1"/>
    </row>
    <row r="44" spans="1:37" x14ac:dyDescent="0.25">
      <c r="A44" s="1" t="s">
        <v>48</v>
      </c>
      <c r="B44" s="8">
        <v>0.39254775269290398</v>
      </c>
      <c r="C44" s="8">
        <v>-0.623899602892661</v>
      </c>
      <c r="D44" s="8">
        <v>-0.76160033358371604</v>
      </c>
      <c r="E44" s="1">
        <v>121.12197168</v>
      </c>
      <c r="G44" s="11">
        <v>5.7142857139999998</v>
      </c>
      <c r="H44" s="1">
        <v>23.5</v>
      </c>
      <c r="I44" s="1">
        <v>23.5</v>
      </c>
      <c r="J44" s="11">
        <v>127.417386873333</v>
      </c>
      <c r="K44" s="8">
        <f t="shared" si="0"/>
        <v>1.0519758315193652</v>
      </c>
      <c r="L44" s="1"/>
      <c r="M44" s="1"/>
      <c r="N44" s="1"/>
      <c r="O44" s="1"/>
      <c r="P44" s="1"/>
      <c r="Q44" s="1"/>
      <c r="R44" s="1"/>
      <c r="S44" s="1"/>
      <c r="T44" s="1"/>
      <c r="U44" s="1"/>
      <c r="AE44" s="25"/>
      <c r="AF44" s="25"/>
      <c r="AG44" s="25"/>
      <c r="AH44" s="25"/>
      <c r="AI44" s="25"/>
      <c r="AJ44" s="19"/>
    </row>
    <row r="45" spans="1:37" x14ac:dyDescent="0.25">
      <c r="N45" s="1"/>
      <c r="O45" s="1" t="s">
        <v>19</v>
      </c>
      <c r="P45" s="1" t="s">
        <v>23</v>
      </c>
      <c r="Q45" s="1" t="s">
        <v>24</v>
      </c>
      <c r="R45" s="1" t="s">
        <v>1</v>
      </c>
      <c r="S45" s="1" t="s">
        <v>25</v>
      </c>
      <c r="T45" s="1" t="s">
        <v>18</v>
      </c>
      <c r="U45" s="1"/>
      <c r="AE45" s="19"/>
      <c r="AF45" s="19"/>
      <c r="AG45" s="19"/>
      <c r="AH45" s="19"/>
      <c r="AI45" s="19"/>
      <c r="AJ45" s="19"/>
    </row>
    <row r="46" spans="1:37" x14ac:dyDescent="0.25">
      <c r="M46" s="2"/>
      <c r="N46" s="1"/>
      <c r="O46" s="1" t="s">
        <v>2</v>
      </c>
      <c r="P46" s="7">
        <v>0.46925034971041901</v>
      </c>
      <c r="Q46" s="7">
        <v>-0.57047580585715596</v>
      </c>
      <c r="R46" s="7">
        <v>-0.62489073949006502</v>
      </c>
      <c r="S46" s="7">
        <v>-0.505884156285488</v>
      </c>
      <c r="T46" s="7">
        <v>-0.62313135244567197</v>
      </c>
      <c r="U46" s="1"/>
    </row>
    <row r="47" spans="1:37" x14ac:dyDescent="0.25">
      <c r="M47" s="2"/>
      <c r="N47" s="1"/>
      <c r="O47" s="1" t="s">
        <v>3</v>
      </c>
      <c r="P47" s="7">
        <v>0.52770506265369399</v>
      </c>
      <c r="Q47" s="7">
        <v>-0.57441925876348399</v>
      </c>
      <c r="R47" s="7">
        <v>-0.61127875482433702</v>
      </c>
      <c r="S47" s="7">
        <v>-0.50988466103239405</v>
      </c>
      <c r="T47" s="7">
        <v>-0.59410954788831905</v>
      </c>
      <c r="U47" s="1"/>
    </row>
    <row r="48" spans="1:37" x14ac:dyDescent="0.25">
      <c r="M48" s="2"/>
      <c r="N48" s="1"/>
      <c r="O48" s="1" t="s">
        <v>4</v>
      </c>
      <c r="P48" s="7">
        <v>0.76151296818251002</v>
      </c>
      <c r="Q48" s="7">
        <v>-0.82455849900808098</v>
      </c>
      <c r="R48" s="7">
        <v>-0.53010922957415696</v>
      </c>
      <c r="S48" s="7">
        <v>-0.67807302432253402</v>
      </c>
      <c r="T48" s="7">
        <v>-0.81917889363282403</v>
      </c>
      <c r="U48" s="1"/>
    </row>
    <row r="49" spans="1:21" x14ac:dyDescent="0.25">
      <c r="M49" s="2"/>
      <c r="N49" s="1"/>
      <c r="O49" s="1" t="s">
        <v>5</v>
      </c>
      <c r="P49" s="7">
        <v>0.63241662033349</v>
      </c>
      <c r="Q49" s="7">
        <v>-0.77305412456000899</v>
      </c>
      <c r="R49" s="7">
        <v>-0.511670862423525</v>
      </c>
      <c r="S49" s="7">
        <v>-0.62213976025652196</v>
      </c>
      <c r="T49" s="7">
        <v>-0.76662036881149098</v>
      </c>
      <c r="U49" s="1"/>
    </row>
    <row r="50" spans="1:21" x14ac:dyDescent="0.25">
      <c r="M50" s="2"/>
      <c r="N50" s="1"/>
      <c r="O50" s="1" t="s">
        <v>6</v>
      </c>
      <c r="P50" s="7">
        <v>0.68587815994758305</v>
      </c>
      <c r="Q50" s="7">
        <v>-0.74314055155585101</v>
      </c>
      <c r="R50" s="7">
        <v>-0.22155858359451899</v>
      </c>
      <c r="S50" s="7">
        <v>-0.51680913320449795</v>
      </c>
      <c r="T50" s="7">
        <v>-0.79093223163479298</v>
      </c>
      <c r="U50" s="1"/>
    </row>
    <row r="51" spans="1:21" x14ac:dyDescent="0.25">
      <c r="M51" s="2"/>
      <c r="N51" s="1"/>
      <c r="O51" s="1" t="s">
        <v>7</v>
      </c>
      <c r="P51" s="7">
        <v>0.64478493475432996</v>
      </c>
      <c r="Q51" s="7">
        <v>-0.64445784381595494</v>
      </c>
      <c r="R51" s="7">
        <v>-0.24334139198969101</v>
      </c>
      <c r="S51" s="7">
        <v>-0.34407999236201098</v>
      </c>
      <c r="T51" s="7">
        <v>-0.52379920048275397</v>
      </c>
      <c r="U51" s="1"/>
    </row>
    <row r="52" spans="1:21" x14ac:dyDescent="0.25">
      <c r="M52" s="2"/>
      <c r="N52" s="1"/>
      <c r="O52" s="1" t="s">
        <v>20</v>
      </c>
      <c r="P52" s="6">
        <v>1.04151195285145</v>
      </c>
      <c r="Q52" s="7">
        <v>-0.120988015114778</v>
      </c>
      <c r="R52" s="6">
        <v>9.6450074853088597E-2</v>
      </c>
      <c r="S52" s="7">
        <v>-5.48657708396144E-2</v>
      </c>
      <c r="T52" s="7">
        <v>-0.16320255139754999</v>
      </c>
      <c r="U52" s="1"/>
    </row>
    <row r="53" spans="1:21" x14ac:dyDescent="0.25">
      <c r="A53" s="9" t="s">
        <v>17</v>
      </c>
      <c r="B53" s="9"/>
      <c r="C53" s="9"/>
      <c r="D53" s="9"/>
      <c r="E53" s="9"/>
      <c r="F53" s="9"/>
      <c r="G53" s="1"/>
      <c r="H53" s="1"/>
      <c r="I53" s="1"/>
      <c r="J53" s="1"/>
      <c r="K53" s="1"/>
      <c r="M53" s="2"/>
      <c r="N53" s="1"/>
      <c r="O53" s="1" t="s">
        <v>21</v>
      </c>
      <c r="P53" s="7">
        <v>0.57916197400143898</v>
      </c>
      <c r="Q53" s="7">
        <v>-0.78477741945709301</v>
      </c>
      <c r="R53" s="7">
        <v>-0.24313716774511701</v>
      </c>
      <c r="S53" s="7">
        <v>-0.62437814022779903</v>
      </c>
      <c r="T53" s="7">
        <v>-0.748656600612842</v>
      </c>
      <c r="U53" s="1"/>
    </row>
    <row r="54" spans="1:21" ht="30" x14ac:dyDescent="0.25">
      <c r="A54" s="12" t="s">
        <v>0</v>
      </c>
      <c r="B54" s="14" t="s">
        <v>23</v>
      </c>
      <c r="C54" s="14" t="s">
        <v>24</v>
      </c>
      <c r="D54" s="14" t="s">
        <v>1</v>
      </c>
      <c r="E54" s="14" t="s">
        <v>28</v>
      </c>
      <c r="F54" s="14" t="s">
        <v>29</v>
      </c>
      <c r="G54" s="16" t="s">
        <v>30</v>
      </c>
      <c r="H54" s="14" t="s">
        <v>33</v>
      </c>
      <c r="I54" s="18" t="s">
        <v>34</v>
      </c>
      <c r="J54" s="26"/>
      <c r="K54" s="26"/>
      <c r="M54" s="2"/>
      <c r="N54" s="1"/>
      <c r="O54" s="1" t="s">
        <v>11</v>
      </c>
      <c r="P54" s="7">
        <v>0.74506131022172795</v>
      </c>
      <c r="Q54" s="7">
        <v>-0.75894808346496501</v>
      </c>
      <c r="R54" s="7">
        <v>-0.37958282657101999</v>
      </c>
      <c r="S54" s="7">
        <v>-0.37092334927613402</v>
      </c>
      <c r="T54" s="7">
        <v>-0.49092006249230202</v>
      </c>
      <c r="U54" s="1"/>
    </row>
    <row r="55" spans="1:21" x14ac:dyDescent="0.25">
      <c r="A55" s="1" t="s">
        <v>2</v>
      </c>
      <c r="B55" s="7">
        <v>0.72480501026157895</v>
      </c>
      <c r="C55" s="7">
        <v>-0.53321285069034396</v>
      </c>
      <c r="D55" s="7">
        <v>-0.69015600278604705</v>
      </c>
      <c r="E55" s="1"/>
      <c r="F55" s="1"/>
      <c r="G55" s="11">
        <v>13.39</v>
      </c>
      <c r="H55" s="10">
        <v>133.4714286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x14ac:dyDescent="0.25">
      <c r="A56" s="1" t="s">
        <v>3</v>
      </c>
      <c r="B56" s="7">
        <v>0.72236032128579997</v>
      </c>
      <c r="C56" s="7">
        <v>-0.54415401279001296</v>
      </c>
      <c r="D56" s="7">
        <v>-0.77189783394192801</v>
      </c>
      <c r="E56" s="1"/>
      <c r="F56" s="1"/>
      <c r="G56" s="11">
        <v>13.108000000000001</v>
      </c>
      <c r="H56" s="10">
        <v>133.4714286</v>
      </c>
      <c r="I56" s="1"/>
      <c r="J56" s="1"/>
      <c r="K56" s="1"/>
    </row>
    <row r="57" spans="1:21" x14ac:dyDescent="0.25">
      <c r="A57" s="1" t="s">
        <v>4</v>
      </c>
      <c r="B57" s="7">
        <v>0.93103098270545204</v>
      </c>
      <c r="C57" s="7">
        <v>0.356634245125801</v>
      </c>
      <c r="D57" s="7">
        <v>1.7836570943256701E-2</v>
      </c>
      <c r="E57" s="10">
        <v>66.912425378311355</v>
      </c>
      <c r="F57" s="10">
        <v>64.048876322946043</v>
      </c>
      <c r="G57" s="11">
        <v>8.6910000000000007</v>
      </c>
      <c r="H57" s="10">
        <v>71.117321599999997</v>
      </c>
      <c r="I57" s="10">
        <f t="shared" ref="I57:I65" si="1">H57/E57</f>
        <v>1.0628417845850735</v>
      </c>
      <c r="J57" s="10"/>
      <c r="K57" s="10"/>
    </row>
    <row r="58" spans="1:21" x14ac:dyDescent="0.25">
      <c r="A58" s="1" t="s">
        <v>5</v>
      </c>
      <c r="B58" s="7">
        <v>0.62021758140125105</v>
      </c>
      <c r="C58" s="7">
        <v>-0.834312574960141</v>
      </c>
      <c r="D58" s="7">
        <v>-0.54160608613664096</v>
      </c>
      <c r="E58" s="10">
        <v>72.370164511034233</v>
      </c>
      <c r="F58" s="10">
        <v>69.142603119806424</v>
      </c>
      <c r="G58" s="11">
        <v>8.4209999999999994</v>
      </c>
      <c r="H58" s="10">
        <v>74.728308609999999</v>
      </c>
      <c r="I58" s="10">
        <f t="shared" si="1"/>
        <v>1.0325844789064453</v>
      </c>
      <c r="J58" s="10"/>
      <c r="K58" s="10"/>
    </row>
    <row r="59" spans="1:21" x14ac:dyDescent="0.25">
      <c r="A59" s="1" t="s">
        <v>6</v>
      </c>
      <c r="B59" s="7">
        <v>0.77501210984665403</v>
      </c>
      <c r="C59" s="7">
        <v>-0.908415578463458</v>
      </c>
      <c r="D59" s="7">
        <v>-0.17637365181995501</v>
      </c>
      <c r="E59" s="10">
        <v>77.803592516854394</v>
      </c>
      <c r="F59" s="10">
        <v>69.014990506950269</v>
      </c>
      <c r="G59" s="11">
        <v>5.15</v>
      </c>
      <c r="H59" s="10">
        <v>79.767295559999994</v>
      </c>
      <c r="I59" s="10">
        <f t="shared" si="1"/>
        <v>1.025239233557502</v>
      </c>
      <c r="J59" s="10"/>
      <c r="K59" s="10"/>
      <c r="L59" s="2"/>
      <c r="M59" s="1"/>
    </row>
    <row r="60" spans="1:21" x14ac:dyDescent="0.25">
      <c r="A60" s="1" t="s">
        <v>7</v>
      </c>
      <c r="B60" s="6">
        <v>1.0770799229366299</v>
      </c>
      <c r="C60" s="6">
        <v>0.64255712913469198</v>
      </c>
      <c r="D60" s="6">
        <v>0.41389016217674901</v>
      </c>
      <c r="E60" s="10">
        <v>77.803592516854394</v>
      </c>
      <c r="F60" s="10">
        <v>69.014990506950269</v>
      </c>
      <c r="G60" s="11">
        <v>8.5760000000000005</v>
      </c>
      <c r="H60" s="10">
        <v>79.767295559999994</v>
      </c>
      <c r="I60" s="10">
        <f t="shared" si="1"/>
        <v>1.025239233557502</v>
      </c>
      <c r="J60" s="10"/>
      <c r="K60" s="10"/>
      <c r="L60" s="2"/>
      <c r="M60" s="1"/>
    </row>
    <row r="61" spans="1:21" x14ac:dyDescent="0.25">
      <c r="A61" s="1" t="s">
        <v>20</v>
      </c>
      <c r="B61" s="2"/>
      <c r="D61" s="2"/>
      <c r="E61" s="10"/>
      <c r="G61" s="11">
        <v>4.4729999999999999</v>
      </c>
      <c r="H61" s="10">
        <v>68.631809730000001</v>
      </c>
      <c r="I61" s="10"/>
      <c r="J61" s="10"/>
      <c r="K61" s="10"/>
      <c r="L61" s="2"/>
      <c r="M61" s="1"/>
    </row>
    <row r="62" spans="1:21" x14ac:dyDescent="0.25">
      <c r="A62" s="1" t="s">
        <v>8</v>
      </c>
      <c r="B62" s="6">
        <v>1.69896635753922</v>
      </c>
      <c r="C62" s="6">
        <v>1.0004694412552899</v>
      </c>
      <c r="D62" s="6">
        <v>0.39449354239977702</v>
      </c>
      <c r="E62" s="10"/>
      <c r="G62" s="11">
        <v>9.9</v>
      </c>
      <c r="H62" s="10">
        <v>68.631809730000001</v>
      </c>
      <c r="I62" s="10"/>
      <c r="J62" s="10"/>
      <c r="K62" s="10"/>
      <c r="L62" s="2"/>
      <c r="M62" s="1"/>
    </row>
    <row r="63" spans="1:21" x14ac:dyDescent="0.25">
      <c r="A63" s="1" t="s">
        <v>9</v>
      </c>
      <c r="B63" s="6">
        <v>0.68980819676752303</v>
      </c>
      <c r="C63" s="7">
        <v>-0.62247408500113799</v>
      </c>
      <c r="D63" s="7">
        <v>-0.17371472956907899</v>
      </c>
      <c r="E63" s="10"/>
      <c r="G63" s="11">
        <v>4.2779999999999996</v>
      </c>
      <c r="H63" s="10">
        <v>69.696396059999998</v>
      </c>
      <c r="I63" s="10"/>
      <c r="J63" s="10"/>
      <c r="K63" s="10"/>
      <c r="L63" s="2"/>
      <c r="M63" s="1"/>
    </row>
    <row r="64" spans="1:21" x14ac:dyDescent="0.25">
      <c r="A64" s="1" t="s">
        <v>10</v>
      </c>
      <c r="B64" s="7">
        <v>0.66267278810022201</v>
      </c>
      <c r="C64" s="7">
        <v>-1.0273129897173701</v>
      </c>
      <c r="D64" s="7">
        <v>-4.74716361793363E-2</v>
      </c>
      <c r="E64" s="10">
        <v>66.341763171136677</v>
      </c>
      <c r="F64" s="10">
        <v>64.242932047955975</v>
      </c>
      <c r="G64" s="11">
        <v>5.4009999999999998</v>
      </c>
      <c r="H64" s="10">
        <v>70.569593760000004</v>
      </c>
      <c r="I64" s="10">
        <f t="shared" si="1"/>
        <v>1.063728040781146</v>
      </c>
      <c r="J64" s="10"/>
      <c r="K64" s="10"/>
      <c r="L64" s="2"/>
      <c r="M64" s="1"/>
    </row>
    <row r="65" spans="1:13" x14ac:dyDescent="0.25">
      <c r="A65" s="1" t="s">
        <v>11</v>
      </c>
      <c r="B65" s="6">
        <v>1.6537701478523501</v>
      </c>
      <c r="C65" s="6">
        <v>0.384403035464087</v>
      </c>
      <c r="D65" s="6">
        <v>5.9760012226563401E-2</v>
      </c>
      <c r="E65" s="10">
        <v>66.341763171136677</v>
      </c>
      <c r="F65" s="10">
        <v>64.242932047955975</v>
      </c>
      <c r="G65" s="11">
        <v>8.7050000000000001</v>
      </c>
      <c r="H65" s="10">
        <v>70.569593760000004</v>
      </c>
      <c r="I65" s="10">
        <f t="shared" si="1"/>
        <v>1.063728040781146</v>
      </c>
      <c r="J65" s="10"/>
      <c r="K65" s="10"/>
      <c r="L65" s="2"/>
      <c r="M65" s="1"/>
    </row>
    <row r="66" spans="1:13" x14ac:dyDescent="0.25">
      <c r="A66" s="1"/>
      <c r="B66" s="15"/>
      <c r="C66" s="1"/>
      <c r="D66" s="1"/>
      <c r="E66" s="1"/>
      <c r="F66" s="1"/>
      <c r="G66" s="1"/>
      <c r="H66" s="1"/>
      <c r="I66" s="10"/>
      <c r="J66" s="10"/>
      <c r="K66" s="10"/>
      <c r="M66" s="1"/>
    </row>
    <row r="67" spans="1:13" x14ac:dyDescent="0.25">
      <c r="A67" s="13" t="s">
        <v>16</v>
      </c>
      <c r="B67" s="13"/>
      <c r="C67" s="13"/>
      <c r="D67" s="13"/>
      <c r="E67" s="13"/>
      <c r="F67" s="1"/>
      <c r="G67" s="1"/>
      <c r="H67" s="1"/>
      <c r="I67" s="1"/>
      <c r="J67" s="1"/>
      <c r="K67" s="1"/>
    </row>
    <row r="68" spans="1:13" ht="30" x14ac:dyDescent="0.25">
      <c r="A68" s="14" t="s">
        <v>0</v>
      </c>
      <c r="B68" s="14" t="s">
        <v>23</v>
      </c>
      <c r="C68" s="14" t="s">
        <v>24</v>
      </c>
      <c r="D68" s="14" t="s">
        <v>1</v>
      </c>
      <c r="E68" s="14" t="s">
        <v>28</v>
      </c>
      <c r="F68" s="12" t="s">
        <v>29</v>
      </c>
      <c r="G68" s="16" t="s">
        <v>30</v>
      </c>
      <c r="H68" s="1"/>
      <c r="I68" s="1"/>
      <c r="J68" s="1"/>
      <c r="K68" s="1"/>
      <c r="L68" s="2"/>
      <c r="M68" s="1"/>
    </row>
    <row r="69" spans="1:13" x14ac:dyDescent="0.25">
      <c r="A69" s="1" t="s">
        <v>2</v>
      </c>
      <c r="B69" s="6">
        <v>3.62123713456148</v>
      </c>
      <c r="C69" s="6">
        <v>0.87884003043687597</v>
      </c>
      <c r="D69" s="6">
        <v>0.735611704001494</v>
      </c>
      <c r="E69" s="1"/>
      <c r="F69" s="1"/>
      <c r="G69" s="10">
        <v>51.66</v>
      </c>
      <c r="H69" s="1"/>
      <c r="I69" s="1"/>
      <c r="J69" s="1"/>
      <c r="K69" s="1"/>
      <c r="L69" s="2"/>
    </row>
    <row r="70" spans="1:13" x14ac:dyDescent="0.25">
      <c r="A70" s="1" t="s">
        <v>3</v>
      </c>
      <c r="B70" s="6">
        <v>3.1649110765038402</v>
      </c>
      <c r="C70" s="6">
        <v>0.89370073497006797</v>
      </c>
      <c r="D70" s="6">
        <v>0.76773815613843199</v>
      </c>
      <c r="E70" s="1"/>
      <c r="F70" s="1"/>
      <c r="G70" s="10">
        <v>41.27935076</v>
      </c>
      <c r="H70" s="1"/>
      <c r="I70" s="1"/>
      <c r="J70" s="1"/>
      <c r="K70" s="1"/>
    </row>
    <row r="71" spans="1:13" x14ac:dyDescent="0.25">
      <c r="A71" s="1" t="s">
        <v>4</v>
      </c>
      <c r="B71" s="6">
        <v>1.5737102771314899</v>
      </c>
      <c r="C71" s="6">
        <v>0.86635228697468503</v>
      </c>
      <c r="D71" s="6">
        <v>0.199680501000808</v>
      </c>
      <c r="E71" s="10">
        <v>66.912425378311355</v>
      </c>
      <c r="F71" s="10">
        <v>64.048876322946043</v>
      </c>
      <c r="G71" s="10">
        <v>6.7843516800000003</v>
      </c>
      <c r="H71" s="8"/>
      <c r="I71" s="8"/>
      <c r="J71" s="8"/>
      <c r="K71" s="8"/>
    </row>
    <row r="72" spans="1:13" x14ac:dyDescent="0.25">
      <c r="A72" s="1" t="s">
        <v>5</v>
      </c>
      <c r="B72" s="6">
        <v>1.50347635019633</v>
      </c>
      <c r="C72" s="6">
        <v>0.96614890517595997</v>
      </c>
      <c r="D72" s="6">
        <v>0.12535086320927399</v>
      </c>
      <c r="E72" s="10">
        <v>72.370164511034233</v>
      </c>
      <c r="F72" s="10">
        <v>69.142603119806424</v>
      </c>
      <c r="G72" s="10">
        <v>5.3650916630000003</v>
      </c>
      <c r="H72" s="8"/>
      <c r="I72" s="8"/>
      <c r="J72" s="8"/>
      <c r="K72" s="8"/>
    </row>
    <row r="73" spans="1:13" x14ac:dyDescent="0.25">
      <c r="A73" s="1" t="s">
        <v>6</v>
      </c>
      <c r="B73" s="6">
        <v>1.46809780024647</v>
      </c>
      <c r="C73" s="6">
        <v>0.61110995616383801</v>
      </c>
      <c r="D73" s="6">
        <v>0.42964915677977999</v>
      </c>
      <c r="E73" s="10">
        <v>77.803592516854394</v>
      </c>
      <c r="F73" s="10">
        <v>69.014990506950269</v>
      </c>
      <c r="G73" s="10">
        <v>29.943162610000002</v>
      </c>
      <c r="H73" s="8"/>
      <c r="I73" s="8"/>
      <c r="J73" s="8"/>
      <c r="K73" s="8"/>
    </row>
    <row r="74" spans="1:13" x14ac:dyDescent="0.25">
      <c r="A74" s="1" t="s">
        <v>7</v>
      </c>
      <c r="B74" s="6">
        <v>1.29322320004102</v>
      </c>
      <c r="C74" s="6">
        <v>0.43470959470339599</v>
      </c>
      <c r="D74" s="6">
        <v>0.36758406997509402</v>
      </c>
      <c r="E74" s="10">
        <v>77.803592516854394</v>
      </c>
      <c r="F74" s="10">
        <v>69.014990506950269</v>
      </c>
      <c r="G74" s="10">
        <v>13.904999999999999</v>
      </c>
      <c r="H74" s="8"/>
      <c r="I74" s="8"/>
      <c r="J74" s="8"/>
      <c r="K74" s="8"/>
    </row>
    <row r="75" spans="1:13" x14ac:dyDescent="0.25">
      <c r="A75" s="1" t="s">
        <v>20</v>
      </c>
      <c r="B75" s="2"/>
      <c r="C75" s="2"/>
      <c r="D75" s="2"/>
      <c r="E75" s="10"/>
      <c r="G75" s="10">
        <v>7.7779999999999996</v>
      </c>
      <c r="H75" s="8"/>
      <c r="I75" s="8"/>
      <c r="J75" s="8"/>
      <c r="K75" s="8"/>
    </row>
    <row r="76" spans="1:13" x14ac:dyDescent="0.25">
      <c r="A76" s="1" t="s">
        <v>8</v>
      </c>
      <c r="B76" s="6">
        <v>1.2870368477726899</v>
      </c>
      <c r="C76" s="6">
        <v>0.29324836284144801</v>
      </c>
      <c r="D76" s="6">
        <v>4.3375577562074601E-2</v>
      </c>
      <c r="E76" s="10"/>
      <c r="G76" s="10">
        <v>5.5549999999999997</v>
      </c>
      <c r="H76" s="8"/>
      <c r="I76" s="8"/>
      <c r="J76" s="8"/>
      <c r="K76" s="8"/>
    </row>
    <row r="77" spans="1:13" x14ac:dyDescent="0.25">
      <c r="A77" s="1" t="s">
        <v>9</v>
      </c>
      <c r="B77" s="6">
        <v>1.3490789487664501</v>
      </c>
      <c r="C77" s="6">
        <v>0.20911471061197601</v>
      </c>
      <c r="D77" s="6">
        <v>4.5262412029273197E-2</v>
      </c>
      <c r="E77" s="10"/>
      <c r="G77" s="10">
        <v>12.67</v>
      </c>
      <c r="H77" s="8"/>
      <c r="I77" s="8"/>
      <c r="J77" s="8"/>
      <c r="K77" s="8"/>
    </row>
    <row r="78" spans="1:13" x14ac:dyDescent="0.25">
      <c r="A78" s="1" t="s">
        <v>10</v>
      </c>
      <c r="B78" s="7">
        <v>0.56520265738304298</v>
      </c>
      <c r="C78" s="7">
        <v>-1.0275595596207601</v>
      </c>
      <c r="D78" s="7">
        <v>-6.6277814143714905E-2</v>
      </c>
      <c r="E78" s="10">
        <v>66.341763171136677</v>
      </c>
      <c r="F78" s="10">
        <v>64.242932047955975</v>
      </c>
      <c r="G78" s="10">
        <v>5.3390000000000004</v>
      </c>
      <c r="H78" s="8"/>
      <c r="I78" s="8"/>
      <c r="J78" s="8"/>
      <c r="K78" s="8"/>
    </row>
    <row r="79" spans="1:13" x14ac:dyDescent="0.25">
      <c r="A79" s="1" t="s">
        <v>11</v>
      </c>
      <c r="B79" s="7">
        <v>0.82233612818652901</v>
      </c>
      <c r="C79" s="7">
        <v>-0.50591021290758598</v>
      </c>
      <c r="D79" s="7">
        <v>-0.161754895727207</v>
      </c>
      <c r="E79" s="10">
        <v>66.341763171136677</v>
      </c>
      <c r="F79" s="10">
        <v>64.242932047955975</v>
      </c>
      <c r="G79" s="10">
        <v>5.1369999999999996</v>
      </c>
      <c r="H79" s="8"/>
      <c r="I79" s="8"/>
      <c r="J79" s="8"/>
      <c r="K79" s="8"/>
    </row>
    <row r="80" spans="1:1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2" t="s">
        <v>22</v>
      </c>
      <c r="B81" s="12" t="s">
        <v>23</v>
      </c>
      <c r="C81" s="12" t="s">
        <v>24</v>
      </c>
      <c r="D81" s="12" t="s">
        <v>1</v>
      </c>
      <c r="E81" s="12" t="s">
        <v>25</v>
      </c>
      <c r="F81" s="12" t="s">
        <v>18</v>
      </c>
      <c r="G81" s="12" t="s">
        <v>28</v>
      </c>
      <c r="H81" s="12" t="s">
        <v>29</v>
      </c>
      <c r="I81" s="9"/>
      <c r="J81" s="9"/>
      <c r="K81" s="9"/>
    </row>
    <row r="82" spans="1:11" x14ac:dyDescent="0.25">
      <c r="A82" s="1" t="s">
        <v>2</v>
      </c>
      <c r="B82" s="6">
        <v>1.7878260187067601</v>
      </c>
      <c r="C82" s="6">
        <v>0.26654667808256899</v>
      </c>
      <c r="D82" s="6">
        <v>0.57681691180727601</v>
      </c>
      <c r="E82" s="6">
        <v>0.16472908104553</v>
      </c>
      <c r="F82" s="6">
        <v>0.27048577500075</v>
      </c>
      <c r="H82" s="1"/>
      <c r="I82" s="2"/>
      <c r="J82" s="2"/>
      <c r="K82" s="2"/>
    </row>
    <row r="83" spans="1:11" x14ac:dyDescent="0.25">
      <c r="A83" s="1" t="s">
        <v>3</v>
      </c>
      <c r="B83" s="6">
        <v>2.8770644107042802</v>
      </c>
      <c r="C83" s="6">
        <v>0.541500872594741</v>
      </c>
      <c r="D83" s="6">
        <v>0.54443871754473905</v>
      </c>
      <c r="E83" s="6">
        <v>0.24600566680348099</v>
      </c>
      <c r="F83" s="6">
        <v>0.55540922852805497</v>
      </c>
      <c r="H83" s="1"/>
      <c r="I83" s="2"/>
      <c r="J83" s="2"/>
      <c r="K83" s="2"/>
    </row>
    <row r="84" spans="1:11" x14ac:dyDescent="0.25">
      <c r="A84" s="1" t="s">
        <v>4</v>
      </c>
      <c r="B84" s="6">
        <v>1.2050076272027901</v>
      </c>
      <c r="C84" s="6">
        <v>0.92674759673055396</v>
      </c>
      <c r="D84" s="6">
        <v>0.13984116014494999</v>
      </c>
      <c r="E84" s="6">
        <v>0.58415158227019104</v>
      </c>
      <c r="F84" s="6">
        <v>0.66959836720930499</v>
      </c>
      <c r="G84" s="10">
        <v>66.912425378311355</v>
      </c>
      <c r="H84" s="10">
        <v>64.048876322946043</v>
      </c>
      <c r="I84" s="2"/>
      <c r="J84" s="2"/>
      <c r="K84" s="2"/>
    </row>
    <row r="85" spans="1:11" x14ac:dyDescent="0.25">
      <c r="A85" s="1" t="s">
        <v>5</v>
      </c>
      <c r="B85" s="6">
        <v>1.11910970408747</v>
      </c>
      <c r="C85" s="6">
        <v>0.156816283020727</v>
      </c>
      <c r="D85" s="6">
        <v>8.9326261366187695E-2</v>
      </c>
      <c r="E85" s="6">
        <v>5.92725219807008E-2</v>
      </c>
      <c r="F85" s="6">
        <v>0.1017952207019</v>
      </c>
      <c r="G85" s="10">
        <v>72.370164511034233</v>
      </c>
      <c r="H85" s="10">
        <v>69.142603119806424</v>
      </c>
      <c r="I85" s="2"/>
      <c r="J85" s="2"/>
      <c r="K85" s="2"/>
    </row>
    <row r="86" spans="1:11" x14ac:dyDescent="0.25">
      <c r="A86" s="1" t="s">
        <v>6</v>
      </c>
      <c r="B86" s="6">
        <v>1.4074954172257299</v>
      </c>
      <c r="C86" s="6">
        <v>0.25880560171696498</v>
      </c>
      <c r="D86" s="6">
        <v>4.6283799610675601E-2</v>
      </c>
      <c r="E86" s="6">
        <v>0.10621290455320199</v>
      </c>
      <c r="F86" s="7">
        <v>-0.90837567524790197</v>
      </c>
      <c r="G86" s="10">
        <v>77.803592516854394</v>
      </c>
      <c r="H86" s="10">
        <v>69.014990506950269</v>
      </c>
      <c r="I86" s="2"/>
      <c r="J86" s="2"/>
      <c r="K86" s="2"/>
    </row>
    <row r="87" spans="1:11" x14ac:dyDescent="0.25">
      <c r="A87" s="1" t="s">
        <v>7</v>
      </c>
      <c r="B87" s="6">
        <v>1.41606982531736</v>
      </c>
      <c r="C87" s="6">
        <v>0.52921681534296305</v>
      </c>
      <c r="D87" s="6">
        <v>3.0850994672477702E-2</v>
      </c>
      <c r="E87" s="6">
        <v>0.17041594173230901</v>
      </c>
      <c r="F87" s="6">
        <v>0.33346513766249403</v>
      </c>
      <c r="G87" s="10">
        <v>77.803592516854394</v>
      </c>
      <c r="H87" s="10">
        <v>69.014990506950269</v>
      </c>
      <c r="I87" s="2"/>
      <c r="J87" s="2"/>
      <c r="K87" s="2"/>
    </row>
    <row r="88" spans="1:11" x14ac:dyDescent="0.25">
      <c r="A88" s="1" t="s">
        <v>20</v>
      </c>
      <c r="B88" s="6">
        <v>1.5689444337549201</v>
      </c>
      <c r="C88" s="6">
        <v>0.71850105371235795</v>
      </c>
      <c r="D88" s="6">
        <v>0.164262280281398</v>
      </c>
      <c r="E88" s="6">
        <v>0.415644787212891</v>
      </c>
      <c r="F88" s="6">
        <v>0.60238698682230296</v>
      </c>
      <c r="I88" s="2"/>
      <c r="J88" s="2"/>
      <c r="K88" s="2"/>
    </row>
    <row r="89" spans="1:11" x14ac:dyDescent="0.25">
      <c r="A89" s="1" t="s">
        <v>21</v>
      </c>
      <c r="B89" s="6">
        <v>1.15872732148062</v>
      </c>
      <c r="C89" s="6">
        <v>0.40647074977609499</v>
      </c>
      <c r="D89" s="7">
        <v>-4.45444212598241E-2</v>
      </c>
      <c r="E89" s="6">
        <v>5.4008474266980598E-2</v>
      </c>
      <c r="F89" s="6">
        <v>0.21627118090962999</v>
      </c>
      <c r="I89" s="2"/>
      <c r="J89" s="2"/>
      <c r="K89" s="2"/>
    </row>
    <row r="90" spans="1:11" x14ac:dyDescent="0.25">
      <c r="A90" s="1" t="s">
        <v>11</v>
      </c>
      <c r="B90" s="6">
        <v>1.1637562782531401</v>
      </c>
      <c r="C90" s="6">
        <v>0.401331670241585</v>
      </c>
      <c r="D90" s="6">
        <v>6.7271555006068101E-2</v>
      </c>
      <c r="E90" s="6">
        <v>8.1392652419518097E-2</v>
      </c>
      <c r="F90" s="6">
        <v>0.164652348864086</v>
      </c>
      <c r="G90" s="10">
        <v>66.341763171136677</v>
      </c>
      <c r="H90" s="10">
        <v>64.242932047955975</v>
      </c>
      <c r="I90" s="2"/>
      <c r="J90" s="2"/>
      <c r="K90" s="2"/>
    </row>
    <row r="91" spans="1:11" x14ac:dyDescent="0.25">
      <c r="A91" s="1"/>
      <c r="B91" s="1"/>
      <c r="C91" s="1"/>
      <c r="D91" s="1"/>
      <c r="E91" s="1"/>
      <c r="F91" s="1"/>
      <c r="G91" s="1"/>
      <c r="I91" s="1"/>
      <c r="J91" s="1"/>
      <c r="K91" s="1"/>
    </row>
    <row r="92" spans="1:11" x14ac:dyDescent="0.25">
      <c r="H92" s="1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AC44" sqref="AC44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9" t="s">
        <v>12</v>
      </c>
      <c r="C2" s="9" t="s">
        <v>28</v>
      </c>
      <c r="D2" s="9" t="s">
        <v>23</v>
      </c>
      <c r="E2" s="9" t="s">
        <v>24</v>
      </c>
      <c r="F2" s="9" t="s">
        <v>1</v>
      </c>
    </row>
    <row r="3" spans="2:6" x14ac:dyDescent="0.25">
      <c r="B3" s="9" t="s">
        <v>4</v>
      </c>
      <c r="C3" s="8">
        <v>9.4725974000000004E-2</v>
      </c>
      <c r="D3" s="6">
        <v>2.1746388039620901</v>
      </c>
      <c r="E3" s="6">
        <v>0.90358482744648005</v>
      </c>
      <c r="F3" s="6">
        <v>0.17369777575697301</v>
      </c>
    </row>
    <row r="4" spans="2:6" x14ac:dyDescent="0.25">
      <c r="B4" s="9" t="s">
        <v>5</v>
      </c>
      <c r="C4" s="8">
        <v>0.102452336</v>
      </c>
      <c r="D4" s="6">
        <v>2.2792285281778502</v>
      </c>
      <c r="E4" s="6">
        <v>0.663434225775831</v>
      </c>
      <c r="F4" s="6">
        <v>9.9143945152060597E-2</v>
      </c>
    </row>
    <row r="5" spans="2:6" x14ac:dyDescent="0.25">
      <c r="B5" s="9" t="s">
        <v>7</v>
      </c>
      <c r="C5" s="8">
        <v>0.110144282</v>
      </c>
      <c r="D5" s="6">
        <v>1.45242884682964</v>
      </c>
      <c r="E5" s="6">
        <v>0.238708102284336</v>
      </c>
      <c r="F5" s="6">
        <v>0.14477972148899501</v>
      </c>
    </row>
    <row r="6" spans="2:6" x14ac:dyDescent="0.25">
      <c r="B6" s="9" t="s">
        <v>11</v>
      </c>
      <c r="C6" s="8">
        <v>9.3918104000000002E-2</v>
      </c>
      <c r="D6" s="7">
        <v>0.84619083652769</v>
      </c>
      <c r="E6" s="7">
        <v>-0.57708462423306806</v>
      </c>
      <c r="F6" s="7">
        <v>-7.8588218215967606E-2</v>
      </c>
    </row>
    <row r="8" spans="2:6" x14ac:dyDescent="0.25">
      <c r="B8" s="1" t="s">
        <v>17</v>
      </c>
      <c r="C8" s="9" t="s">
        <v>28</v>
      </c>
      <c r="D8" s="9" t="s">
        <v>23</v>
      </c>
      <c r="E8" s="9" t="s">
        <v>24</v>
      </c>
      <c r="F8" s="9" t="s">
        <v>1</v>
      </c>
    </row>
    <row r="9" spans="2:6" x14ac:dyDescent="0.25">
      <c r="B9" s="9" t="s">
        <v>4</v>
      </c>
      <c r="C9" s="8">
        <v>9.4725974000000004E-2</v>
      </c>
      <c r="D9" s="7">
        <v>0.93103098270545204</v>
      </c>
      <c r="E9" s="7">
        <v>0.356634245125801</v>
      </c>
      <c r="F9" s="7">
        <v>1.7836570943256701E-2</v>
      </c>
    </row>
    <row r="10" spans="2:6" x14ac:dyDescent="0.25">
      <c r="B10" s="9" t="s">
        <v>5</v>
      </c>
      <c r="C10" s="8">
        <v>0.102452336</v>
      </c>
      <c r="D10" s="7">
        <v>0.62021758140125105</v>
      </c>
      <c r="E10" s="7">
        <v>-0.834312574960141</v>
      </c>
      <c r="F10" s="7">
        <v>-0.54160608613664096</v>
      </c>
    </row>
    <row r="11" spans="2:6" x14ac:dyDescent="0.25">
      <c r="B11" s="9" t="s">
        <v>7</v>
      </c>
      <c r="C11" s="8">
        <v>0.110144282</v>
      </c>
      <c r="D11" s="6">
        <v>1.0770799229366299</v>
      </c>
      <c r="E11" s="6">
        <v>0.64255712913469198</v>
      </c>
      <c r="F11" s="6">
        <v>0.41389016217674901</v>
      </c>
    </row>
    <row r="12" spans="2:6" x14ac:dyDescent="0.25">
      <c r="B12" s="9" t="s">
        <v>11</v>
      </c>
      <c r="C12" s="8">
        <v>9.3918104000000002E-2</v>
      </c>
      <c r="D12" s="6">
        <v>1.6537701478523501</v>
      </c>
      <c r="E12" s="6">
        <v>0.384403035464087</v>
      </c>
      <c r="F12" s="6">
        <v>5.9760012226563401E-2</v>
      </c>
    </row>
    <row r="14" spans="2:6" x14ac:dyDescent="0.25">
      <c r="B14" s="1" t="s">
        <v>16</v>
      </c>
      <c r="C14" s="9" t="s">
        <v>28</v>
      </c>
      <c r="D14" s="9" t="s">
        <v>23</v>
      </c>
      <c r="E14" s="9" t="s">
        <v>24</v>
      </c>
      <c r="F14" s="9" t="s">
        <v>1</v>
      </c>
    </row>
    <row r="15" spans="2:6" x14ac:dyDescent="0.25">
      <c r="B15" s="9" t="s">
        <v>4</v>
      </c>
      <c r="C15" s="8">
        <v>9.4725974000000004E-2</v>
      </c>
      <c r="D15" s="6">
        <v>1.5737102771314899</v>
      </c>
      <c r="E15" s="6">
        <v>0.86635228697468503</v>
      </c>
      <c r="F15" s="6">
        <v>0.199680501000808</v>
      </c>
    </row>
    <row r="16" spans="2:6" x14ac:dyDescent="0.25">
      <c r="B16" s="9" t="s">
        <v>5</v>
      </c>
      <c r="C16" s="8">
        <v>0.102452336</v>
      </c>
      <c r="D16" s="6">
        <v>1.50347635019633</v>
      </c>
      <c r="E16" s="6">
        <v>0.96614890517595997</v>
      </c>
      <c r="F16" s="6">
        <v>0.12535086320927399</v>
      </c>
    </row>
    <row r="17" spans="2:6" x14ac:dyDescent="0.25">
      <c r="B17" s="9" t="s">
        <v>7</v>
      </c>
      <c r="C17" s="8">
        <v>0.110144282</v>
      </c>
      <c r="D17" s="6">
        <v>1.29322320004102</v>
      </c>
      <c r="E17" s="6">
        <v>0.43470959470339599</v>
      </c>
      <c r="F17" s="6">
        <v>0.36758406997509402</v>
      </c>
    </row>
    <row r="18" spans="2:6" x14ac:dyDescent="0.25">
      <c r="B18" s="9" t="s">
        <v>11</v>
      </c>
      <c r="C18" s="8">
        <v>9.3918104000000002E-2</v>
      </c>
      <c r="D18" s="7">
        <v>0.82233612818652901</v>
      </c>
      <c r="E18" s="7">
        <v>-0.50591021290758598</v>
      </c>
      <c r="F18" s="7">
        <v>-0.161754895727207</v>
      </c>
    </row>
    <row r="20" spans="2:6" x14ac:dyDescent="0.25">
      <c r="B20" s="1" t="s">
        <v>15</v>
      </c>
      <c r="C20" s="9" t="s">
        <v>28</v>
      </c>
      <c r="D20" s="9" t="s">
        <v>23</v>
      </c>
      <c r="E20" s="9" t="s">
        <v>24</v>
      </c>
      <c r="F20" s="9" t="s">
        <v>1</v>
      </c>
    </row>
    <row r="21" spans="2:6" x14ac:dyDescent="0.25">
      <c r="B21" s="9" t="s">
        <v>4</v>
      </c>
      <c r="C21" s="8">
        <v>9.4725974000000004E-2</v>
      </c>
      <c r="D21" s="6">
        <v>2.2885725031264901</v>
      </c>
      <c r="E21" s="6">
        <v>0.86069377106338596</v>
      </c>
      <c r="F21" s="6">
        <v>0.14822690674265199</v>
      </c>
    </row>
    <row r="22" spans="2:6" x14ac:dyDescent="0.25">
      <c r="B22" s="9" t="s">
        <v>5</v>
      </c>
      <c r="C22" s="8">
        <v>0.102452336</v>
      </c>
      <c r="D22" s="7">
        <v>0.65629846710779305</v>
      </c>
      <c r="E22" s="7">
        <v>-0.38672859447744201</v>
      </c>
      <c r="F22" s="7">
        <v>-9.02599646039247E-2</v>
      </c>
    </row>
    <row r="23" spans="2:6" x14ac:dyDescent="0.25">
      <c r="B23" s="9" t="s">
        <v>7</v>
      </c>
      <c r="C23" s="8">
        <v>0.110144282</v>
      </c>
      <c r="D23" s="7">
        <v>0.61809493388466297</v>
      </c>
      <c r="E23" s="7">
        <v>-0.851696935181535</v>
      </c>
      <c r="F23" s="7">
        <v>-0.17562342751062601</v>
      </c>
    </row>
    <row r="24" spans="2:6" x14ac:dyDescent="0.25">
      <c r="B24" s="9" t="s">
        <v>11</v>
      </c>
      <c r="C24" s="8">
        <v>9.3918104000000002E-2</v>
      </c>
    </row>
    <row r="26" spans="2:6" x14ac:dyDescent="0.25">
      <c r="B26" s="1" t="s">
        <v>14</v>
      </c>
      <c r="C26" s="9" t="s">
        <v>28</v>
      </c>
      <c r="D26" s="9" t="s">
        <v>23</v>
      </c>
      <c r="E26" s="9" t="s">
        <v>24</v>
      </c>
      <c r="F26" s="9" t="s">
        <v>1</v>
      </c>
    </row>
    <row r="27" spans="2:6" x14ac:dyDescent="0.25">
      <c r="B27" s="9" t="s">
        <v>4</v>
      </c>
      <c r="C27" s="8">
        <v>9.4725974000000004E-2</v>
      </c>
      <c r="D27" s="6">
        <v>1.2975667452931301</v>
      </c>
      <c r="E27" s="6">
        <v>0.86785733003031096</v>
      </c>
      <c r="F27" s="6">
        <v>0.10077650528672399</v>
      </c>
    </row>
    <row r="28" spans="2:6" x14ac:dyDescent="0.25">
      <c r="B28" s="9" t="s">
        <v>5</v>
      </c>
      <c r="C28" s="8">
        <v>0.102452336</v>
      </c>
      <c r="D28" s="6">
        <v>1.0575708895152101</v>
      </c>
      <c r="E28" s="6">
        <v>0.26292322495904802</v>
      </c>
      <c r="F28" s="6">
        <v>6.3493902184217604E-2</v>
      </c>
    </row>
    <row r="29" spans="2:6" x14ac:dyDescent="0.25">
      <c r="B29" s="9" t="s">
        <v>7</v>
      </c>
      <c r="C29" s="8">
        <v>0.110144282</v>
      </c>
    </row>
    <row r="30" spans="2:6" x14ac:dyDescent="0.25">
      <c r="B30" s="9" t="s">
        <v>11</v>
      </c>
      <c r="C30" s="8">
        <v>9.3918104000000002E-2</v>
      </c>
    </row>
    <row r="32" spans="2:6" x14ac:dyDescent="0.25">
      <c r="B32" s="1" t="s">
        <v>13</v>
      </c>
      <c r="C32" s="9" t="s">
        <v>28</v>
      </c>
      <c r="D32" s="9" t="s">
        <v>23</v>
      </c>
      <c r="E32" s="9" t="s">
        <v>24</v>
      </c>
      <c r="F32" s="9" t="s">
        <v>1</v>
      </c>
    </row>
    <row r="33" spans="2:8" x14ac:dyDescent="0.25">
      <c r="B33" s="9" t="s">
        <v>4</v>
      </c>
      <c r="C33" s="8">
        <v>9.4725974000000004E-2</v>
      </c>
      <c r="D33" s="7">
        <v>0.92254459679364598</v>
      </c>
      <c r="E33" s="6">
        <v>0.385385071473553</v>
      </c>
      <c r="F33" s="6">
        <v>6.6875193364792196E-2</v>
      </c>
    </row>
    <row r="34" spans="2:8" x14ac:dyDescent="0.25">
      <c r="B34" s="9" t="s">
        <v>5</v>
      </c>
      <c r="C34" s="8">
        <v>0.102452336</v>
      </c>
      <c r="D34" s="7">
        <v>0.53817423509068496</v>
      </c>
      <c r="E34" s="7">
        <v>-0.51784566087035699</v>
      </c>
      <c r="F34" s="7">
        <v>-8.6669485065099E-2</v>
      </c>
    </row>
    <row r="35" spans="2:8" x14ac:dyDescent="0.25">
      <c r="B35" s="9" t="s">
        <v>7</v>
      </c>
      <c r="C35" s="8">
        <v>0.110144282</v>
      </c>
    </row>
    <row r="36" spans="2:8" x14ac:dyDescent="0.25">
      <c r="B36" s="9" t="s">
        <v>11</v>
      </c>
      <c r="C36" s="8">
        <v>9.3918104000000002E-2</v>
      </c>
    </row>
    <row r="38" spans="2:8" x14ac:dyDescent="0.25">
      <c r="B38" s="9" t="s">
        <v>22</v>
      </c>
      <c r="C38" s="9" t="s">
        <v>28</v>
      </c>
      <c r="D38" s="9" t="s">
        <v>23</v>
      </c>
      <c r="E38" s="9" t="s">
        <v>24</v>
      </c>
      <c r="F38" s="9" t="s">
        <v>1</v>
      </c>
      <c r="G38" s="9" t="s">
        <v>25</v>
      </c>
      <c r="H38" s="9" t="s">
        <v>18</v>
      </c>
    </row>
    <row r="39" spans="2:8" x14ac:dyDescent="0.25">
      <c r="B39" s="9" t="s">
        <v>4</v>
      </c>
      <c r="C39" s="8">
        <v>9.4725974000000004E-2</v>
      </c>
      <c r="D39" s="6">
        <v>1.2050076272027901</v>
      </c>
      <c r="E39" s="6">
        <v>0.92674759673055396</v>
      </c>
      <c r="F39" s="6">
        <v>0.13984116014494999</v>
      </c>
      <c r="G39" s="6">
        <v>0.58415158227019104</v>
      </c>
      <c r="H39" s="6">
        <v>0.66959836720930499</v>
      </c>
    </row>
    <row r="40" spans="2:8" x14ac:dyDescent="0.25">
      <c r="B40" s="9" t="s">
        <v>5</v>
      </c>
      <c r="C40" s="8">
        <v>0.102452336</v>
      </c>
      <c r="D40" s="6">
        <v>1.11910970408747</v>
      </c>
      <c r="E40" s="6">
        <v>0.156816283020727</v>
      </c>
      <c r="F40" s="6">
        <v>8.9326261366187695E-2</v>
      </c>
      <c r="G40" s="6">
        <v>5.92725219807008E-2</v>
      </c>
      <c r="H40" s="6">
        <v>0.1017952207019</v>
      </c>
    </row>
    <row r="41" spans="2:8" x14ac:dyDescent="0.25">
      <c r="B41" s="9" t="s">
        <v>7</v>
      </c>
      <c r="C41" s="8">
        <v>0.110144282</v>
      </c>
      <c r="D41" s="6">
        <v>1.41606982531736</v>
      </c>
      <c r="E41" s="6">
        <v>0.52921681534296305</v>
      </c>
      <c r="F41" s="6">
        <v>3.0850994672477702E-2</v>
      </c>
      <c r="G41" s="6">
        <v>0.17041594173230901</v>
      </c>
      <c r="H41" s="6">
        <v>0.33346513766249403</v>
      </c>
    </row>
    <row r="42" spans="2:8" x14ac:dyDescent="0.25">
      <c r="B42" s="9" t="s">
        <v>11</v>
      </c>
      <c r="C42" s="8">
        <v>9.3918104000000002E-2</v>
      </c>
      <c r="D42" s="6">
        <v>1.1637562782531401</v>
      </c>
      <c r="E42" s="6">
        <v>0.401331670241585</v>
      </c>
      <c r="F42" s="6">
        <v>6.7271555006068101E-2</v>
      </c>
      <c r="G42" s="6">
        <v>8.1392652419518097E-2</v>
      </c>
      <c r="H42" s="6">
        <v>0.164652348864086</v>
      </c>
    </row>
    <row r="44" spans="2:8" x14ac:dyDescent="0.25">
      <c r="B44" s="1" t="s">
        <v>19</v>
      </c>
      <c r="C44" s="9" t="s">
        <v>28</v>
      </c>
      <c r="D44" s="9" t="s">
        <v>23</v>
      </c>
      <c r="E44" s="9" t="s">
        <v>24</v>
      </c>
      <c r="F44" s="9" t="s">
        <v>1</v>
      </c>
      <c r="G44" s="9" t="s">
        <v>25</v>
      </c>
      <c r="H44" s="9" t="s">
        <v>18</v>
      </c>
    </row>
    <row r="45" spans="2:8" x14ac:dyDescent="0.25">
      <c r="B45" s="9" t="s">
        <v>4</v>
      </c>
      <c r="C45" s="8">
        <v>9.4725974000000004E-2</v>
      </c>
      <c r="D45" s="7">
        <v>0.76151296818251002</v>
      </c>
      <c r="E45" s="7">
        <v>-0.82455849900808098</v>
      </c>
      <c r="F45" s="7">
        <v>-0.53010922957415696</v>
      </c>
      <c r="G45" s="7">
        <v>-0.67807302432253402</v>
      </c>
      <c r="H45" s="7">
        <v>-0.81917889363282403</v>
      </c>
    </row>
    <row r="46" spans="2:8" x14ac:dyDescent="0.25">
      <c r="B46" s="9" t="s">
        <v>5</v>
      </c>
      <c r="C46" s="8">
        <v>0.102452336</v>
      </c>
      <c r="D46" s="7">
        <v>0.63241662033349</v>
      </c>
      <c r="E46" s="7">
        <v>-0.77305412456000899</v>
      </c>
      <c r="F46" s="7">
        <v>-0.511670862423525</v>
      </c>
      <c r="G46" s="7">
        <v>-0.62213976025652196</v>
      </c>
      <c r="H46" s="7">
        <v>-0.76662036881149098</v>
      </c>
    </row>
    <row r="47" spans="2:8" x14ac:dyDescent="0.25">
      <c r="B47" s="9" t="s">
        <v>7</v>
      </c>
      <c r="C47" s="8">
        <v>0.110144282</v>
      </c>
      <c r="D47" s="7">
        <v>0.64478493475432996</v>
      </c>
      <c r="E47" s="7">
        <v>-0.64445784381595494</v>
      </c>
      <c r="F47" s="7">
        <v>-0.24334139198969101</v>
      </c>
      <c r="G47" s="7">
        <v>-0.34407999236201098</v>
      </c>
      <c r="H47" s="7">
        <v>-0.52379920048275397</v>
      </c>
    </row>
    <row r="48" spans="2:8" x14ac:dyDescent="0.25">
      <c r="B48" s="9" t="s">
        <v>11</v>
      </c>
      <c r="C48" s="8">
        <v>9.3918104000000002E-2</v>
      </c>
      <c r="D48" s="7">
        <v>0.74506131022172795</v>
      </c>
      <c r="E48" s="7">
        <v>-0.75894808346496501</v>
      </c>
      <c r="F48" s="7">
        <v>-0.37958282657101999</v>
      </c>
      <c r="G48" s="7">
        <v>-0.37092334927613402</v>
      </c>
      <c r="H48" s="7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9" t="s">
        <v>12</v>
      </c>
      <c r="C2" s="9" t="s">
        <v>28</v>
      </c>
      <c r="D2" s="9" t="s">
        <v>23</v>
      </c>
      <c r="E2" s="9" t="s">
        <v>24</v>
      </c>
      <c r="F2" s="9" t="s">
        <v>1</v>
      </c>
    </row>
    <row r="3" spans="2:6" x14ac:dyDescent="0.25">
      <c r="B3" s="9" t="s">
        <v>4</v>
      </c>
      <c r="C3" s="8">
        <v>9.4725974000000004E-2</v>
      </c>
      <c r="D3" s="6">
        <v>2.1746388039620901</v>
      </c>
      <c r="E3" s="6">
        <v>0.90358482744648005</v>
      </c>
      <c r="F3" s="6">
        <v>0.17369777575697301</v>
      </c>
    </row>
    <row r="4" spans="2:6" x14ac:dyDescent="0.25">
      <c r="B4" s="9" t="s">
        <v>5</v>
      </c>
      <c r="C4" s="8">
        <v>0.102452336</v>
      </c>
      <c r="D4" s="6">
        <v>2.2792285281778502</v>
      </c>
      <c r="E4" s="6">
        <v>0.663434225775831</v>
      </c>
      <c r="F4" s="6">
        <v>9.9143945152060597E-2</v>
      </c>
    </row>
    <row r="5" spans="2:6" x14ac:dyDescent="0.25">
      <c r="B5" s="9" t="s">
        <v>6</v>
      </c>
      <c r="C5" s="8">
        <v>0.110144282</v>
      </c>
      <c r="D5" s="6">
        <v>1.4480475262282899</v>
      </c>
      <c r="E5" s="6">
        <v>0.66475177086608195</v>
      </c>
      <c r="F5" s="6">
        <v>0.21234239309632399</v>
      </c>
    </row>
    <row r="6" spans="2:6" x14ac:dyDescent="0.25">
      <c r="B6" s="9" t="s">
        <v>10</v>
      </c>
      <c r="C6" s="8">
        <v>9.3918104000000002E-2</v>
      </c>
      <c r="D6" s="7">
        <v>0.665445371933445</v>
      </c>
      <c r="E6" s="7">
        <v>-1.0305451800868599</v>
      </c>
      <c r="F6" s="7">
        <v>-4.1760232547360499E-2</v>
      </c>
    </row>
    <row r="8" spans="2:6" x14ac:dyDescent="0.25">
      <c r="B8" s="1" t="s">
        <v>17</v>
      </c>
      <c r="C8" s="9" t="s">
        <v>28</v>
      </c>
      <c r="D8" s="9" t="s">
        <v>23</v>
      </c>
      <c r="E8" s="9" t="s">
        <v>24</v>
      </c>
      <c r="F8" s="9" t="s">
        <v>1</v>
      </c>
    </row>
    <row r="9" spans="2:6" x14ac:dyDescent="0.25">
      <c r="B9" s="9" t="s">
        <v>4</v>
      </c>
      <c r="C9" s="8">
        <v>9.4725974000000004E-2</v>
      </c>
      <c r="D9" s="7">
        <v>0.93103098270545204</v>
      </c>
      <c r="E9" s="7">
        <v>0.356634245125801</v>
      </c>
      <c r="F9" s="7">
        <v>1.7836570943256701E-2</v>
      </c>
    </row>
    <row r="10" spans="2:6" x14ac:dyDescent="0.25">
      <c r="B10" s="9" t="s">
        <v>5</v>
      </c>
      <c r="C10" s="8">
        <v>0.102452336</v>
      </c>
      <c r="D10" s="7">
        <v>0.62021758140125105</v>
      </c>
      <c r="E10" s="7">
        <v>-0.834312574960141</v>
      </c>
      <c r="F10" s="7">
        <v>-0.54160608613664096</v>
      </c>
    </row>
    <row r="11" spans="2:6" x14ac:dyDescent="0.25">
      <c r="B11" s="9" t="s">
        <v>6</v>
      </c>
      <c r="C11" s="8">
        <v>0.110144282</v>
      </c>
      <c r="D11" s="7">
        <v>0.77501210984665403</v>
      </c>
      <c r="E11" s="7">
        <v>-0.908415578463458</v>
      </c>
      <c r="F11" s="7">
        <v>-0.17637365181995501</v>
      </c>
    </row>
    <row r="12" spans="2:6" x14ac:dyDescent="0.25">
      <c r="B12" s="9" t="s">
        <v>10</v>
      </c>
      <c r="C12" s="8">
        <v>9.3918104000000002E-2</v>
      </c>
      <c r="D12" s="7">
        <v>0.66267278810022201</v>
      </c>
      <c r="E12" s="7">
        <v>-1.0273129897173701</v>
      </c>
      <c r="F12" s="7">
        <v>-4.74716361793363E-2</v>
      </c>
    </row>
    <row r="14" spans="2:6" x14ac:dyDescent="0.25">
      <c r="B14" s="1" t="s">
        <v>16</v>
      </c>
      <c r="C14" s="9" t="s">
        <v>28</v>
      </c>
      <c r="D14" s="9" t="s">
        <v>23</v>
      </c>
      <c r="E14" s="9" t="s">
        <v>24</v>
      </c>
      <c r="F14" s="9" t="s">
        <v>1</v>
      </c>
    </row>
    <row r="15" spans="2:6" x14ac:dyDescent="0.25">
      <c r="B15" s="9" t="s">
        <v>4</v>
      </c>
      <c r="C15" s="8">
        <v>9.4725974000000004E-2</v>
      </c>
      <c r="D15" s="6">
        <v>1.5737102771314899</v>
      </c>
      <c r="E15" s="6">
        <v>0.86635228697468503</v>
      </c>
      <c r="F15" s="6">
        <v>0.199680501000808</v>
      </c>
    </row>
    <row r="16" spans="2:6" x14ac:dyDescent="0.25">
      <c r="B16" s="9" t="s">
        <v>5</v>
      </c>
      <c r="C16" s="8">
        <v>0.102452336</v>
      </c>
      <c r="D16" s="6">
        <v>1.50347635019633</v>
      </c>
      <c r="E16" s="6">
        <v>0.96614890517595997</v>
      </c>
      <c r="F16" s="6">
        <v>0.12535086320927399</v>
      </c>
    </row>
    <row r="17" spans="2:6" x14ac:dyDescent="0.25">
      <c r="B17" s="9" t="s">
        <v>6</v>
      </c>
      <c r="C17" s="8">
        <v>0.110144282</v>
      </c>
      <c r="D17" s="6">
        <v>1.46809780024647</v>
      </c>
      <c r="E17" s="6">
        <v>0.61110995616383801</v>
      </c>
      <c r="F17" s="6">
        <v>0.42964915677977999</v>
      </c>
    </row>
    <row r="18" spans="2:6" x14ac:dyDescent="0.25">
      <c r="B18" s="9" t="s">
        <v>10</v>
      </c>
      <c r="C18" s="8">
        <v>9.3918104000000002E-2</v>
      </c>
      <c r="D18" s="7">
        <v>0.56520265738304298</v>
      </c>
      <c r="E18" s="7">
        <v>-1.0275595596207601</v>
      </c>
      <c r="F18" s="7">
        <v>-6.6277814143714905E-2</v>
      </c>
    </row>
    <row r="20" spans="2:6" x14ac:dyDescent="0.25">
      <c r="B20" s="1" t="s">
        <v>15</v>
      </c>
      <c r="C20" s="9" t="s">
        <v>28</v>
      </c>
      <c r="D20" s="9" t="s">
        <v>23</v>
      </c>
      <c r="E20" s="9" t="s">
        <v>24</v>
      </c>
      <c r="F20" s="9" t="s">
        <v>1</v>
      </c>
    </row>
    <row r="21" spans="2:6" x14ac:dyDescent="0.25">
      <c r="B21" s="9" t="s">
        <v>4</v>
      </c>
      <c r="C21" s="8">
        <v>9.4725974000000004E-2</v>
      </c>
      <c r="D21" s="6">
        <v>2.2885725031264901</v>
      </c>
      <c r="E21" s="6">
        <v>0.86069377106338596</v>
      </c>
      <c r="F21" s="6">
        <v>0.14822690674265199</v>
      </c>
    </row>
    <row r="22" spans="2:6" x14ac:dyDescent="0.25">
      <c r="B22" s="9" t="s">
        <v>5</v>
      </c>
      <c r="C22" s="8">
        <v>0.102452336</v>
      </c>
      <c r="D22" s="7">
        <v>0.65629846710779305</v>
      </c>
      <c r="E22" s="7">
        <v>-0.38672859447744201</v>
      </c>
      <c r="F22" s="7">
        <v>-9.02599646039247E-2</v>
      </c>
    </row>
    <row r="23" spans="2:6" x14ac:dyDescent="0.25">
      <c r="B23" s="9" t="s">
        <v>6</v>
      </c>
      <c r="C23" s="8">
        <v>0.110144282</v>
      </c>
      <c r="D23" s="7">
        <v>0.92225532580611602</v>
      </c>
      <c r="E23" s="7">
        <v>-0.36586676677487101</v>
      </c>
      <c r="F23" s="6">
        <v>3.59517217205262E-2</v>
      </c>
    </row>
    <row r="24" spans="2:6" x14ac:dyDescent="0.25">
      <c r="B24" s="9" t="s">
        <v>10</v>
      </c>
      <c r="C24" s="8">
        <v>9.3918104000000002E-2</v>
      </c>
    </row>
    <row r="26" spans="2:6" x14ac:dyDescent="0.25">
      <c r="B26" s="1" t="s">
        <v>14</v>
      </c>
      <c r="C26" s="9" t="s">
        <v>28</v>
      </c>
      <c r="D26" s="9" t="s">
        <v>23</v>
      </c>
      <c r="E26" s="9" t="s">
        <v>24</v>
      </c>
      <c r="F26" s="9" t="s">
        <v>1</v>
      </c>
    </row>
    <row r="27" spans="2:6" x14ac:dyDescent="0.25">
      <c r="B27" s="9" t="s">
        <v>4</v>
      </c>
      <c r="C27" s="8">
        <v>9.4725974000000004E-2</v>
      </c>
      <c r="D27" s="6">
        <v>1.2975667452931301</v>
      </c>
      <c r="E27" s="6">
        <v>0.86785733003031096</v>
      </c>
      <c r="F27" s="6">
        <v>0.10077650528672399</v>
      </c>
    </row>
    <row r="28" spans="2:6" x14ac:dyDescent="0.25">
      <c r="B28" s="9" t="s">
        <v>5</v>
      </c>
      <c r="C28" s="8">
        <v>0.102452336</v>
      </c>
      <c r="D28" s="6">
        <v>1.0575708895152101</v>
      </c>
      <c r="E28" s="6">
        <v>0.26292322495904802</v>
      </c>
      <c r="F28" s="6">
        <v>6.3493902184217604E-2</v>
      </c>
    </row>
    <row r="29" spans="2:6" x14ac:dyDescent="0.25">
      <c r="B29" s="9" t="s">
        <v>6</v>
      </c>
      <c r="C29" s="8">
        <v>0.110144282</v>
      </c>
    </row>
    <row r="30" spans="2:6" x14ac:dyDescent="0.25">
      <c r="B30" s="9" t="s">
        <v>10</v>
      </c>
      <c r="C30" s="8">
        <v>9.3918104000000002E-2</v>
      </c>
    </row>
    <row r="32" spans="2:6" x14ac:dyDescent="0.25">
      <c r="B32" s="1" t="s">
        <v>13</v>
      </c>
      <c r="C32" s="9" t="s">
        <v>28</v>
      </c>
      <c r="D32" s="9" t="s">
        <v>23</v>
      </c>
      <c r="E32" s="9" t="s">
        <v>24</v>
      </c>
      <c r="F32" s="9" t="s">
        <v>1</v>
      </c>
    </row>
    <row r="33" spans="2:8" x14ac:dyDescent="0.25">
      <c r="B33" s="9" t="s">
        <v>4</v>
      </c>
      <c r="C33" s="8">
        <v>9.4725974000000004E-2</v>
      </c>
      <c r="D33" s="7">
        <v>0.92254459679364598</v>
      </c>
      <c r="E33" s="6">
        <v>0.385385071473553</v>
      </c>
      <c r="F33" s="6">
        <v>6.6875193364792196E-2</v>
      </c>
    </row>
    <row r="34" spans="2:8" x14ac:dyDescent="0.25">
      <c r="B34" s="9" t="s">
        <v>5</v>
      </c>
      <c r="C34" s="8">
        <v>0.102452336</v>
      </c>
      <c r="D34" s="7">
        <v>0.53817423509068496</v>
      </c>
      <c r="E34" s="7">
        <v>-0.51784566087035699</v>
      </c>
      <c r="F34" s="7">
        <v>-8.6669485065099E-2</v>
      </c>
    </row>
    <row r="35" spans="2:8" x14ac:dyDescent="0.25">
      <c r="B35" s="9" t="s">
        <v>6</v>
      </c>
      <c r="C35" s="8">
        <v>0.110144282</v>
      </c>
    </row>
    <row r="36" spans="2:8" x14ac:dyDescent="0.25">
      <c r="B36" s="9" t="s">
        <v>10</v>
      </c>
      <c r="C36" s="8">
        <v>9.3918104000000002E-2</v>
      </c>
    </row>
    <row r="38" spans="2:8" x14ac:dyDescent="0.25">
      <c r="B38" s="9" t="s">
        <v>22</v>
      </c>
      <c r="C38" s="9" t="s">
        <v>28</v>
      </c>
      <c r="D38" s="9" t="s">
        <v>23</v>
      </c>
      <c r="E38" s="9" t="s">
        <v>24</v>
      </c>
      <c r="F38" s="9" t="s">
        <v>1</v>
      </c>
      <c r="G38" s="9" t="s">
        <v>25</v>
      </c>
      <c r="H38" s="9" t="s">
        <v>18</v>
      </c>
    </row>
    <row r="39" spans="2:8" x14ac:dyDescent="0.25">
      <c r="B39" s="1" t="s">
        <v>4</v>
      </c>
      <c r="C39" s="8">
        <v>9.4725974000000004E-2</v>
      </c>
      <c r="D39" s="6">
        <v>1.2050076272027901</v>
      </c>
      <c r="E39" s="6">
        <v>0.92674759673055396</v>
      </c>
      <c r="F39" s="6">
        <v>0.13984116014494999</v>
      </c>
      <c r="G39" s="6">
        <v>0.58415158227019104</v>
      </c>
      <c r="H39" s="6">
        <v>0.66959836720930499</v>
      </c>
    </row>
    <row r="40" spans="2:8" x14ac:dyDescent="0.25">
      <c r="B40" s="1" t="s">
        <v>5</v>
      </c>
      <c r="C40" s="8">
        <v>0.102452336</v>
      </c>
      <c r="D40" s="6">
        <v>1.11910970408747</v>
      </c>
      <c r="E40" s="6">
        <v>0.156816283020727</v>
      </c>
      <c r="F40" s="6">
        <v>8.9326261366187695E-2</v>
      </c>
      <c r="G40" s="6">
        <v>5.92725219807008E-2</v>
      </c>
      <c r="H40" s="6">
        <v>0.1017952207019</v>
      </c>
    </row>
    <row r="41" spans="2:8" x14ac:dyDescent="0.25">
      <c r="B41" s="1" t="s">
        <v>6</v>
      </c>
      <c r="C41" s="8">
        <v>0.110144282</v>
      </c>
      <c r="D41" s="6">
        <v>1.4074954172257299</v>
      </c>
      <c r="E41" s="6">
        <v>0.25880560171696498</v>
      </c>
      <c r="F41" s="6">
        <v>4.6283799610675601E-2</v>
      </c>
      <c r="G41" s="6">
        <v>0.10621290455320199</v>
      </c>
      <c r="H41" s="7">
        <v>-0.90837567524790197</v>
      </c>
    </row>
    <row r="42" spans="2:8" x14ac:dyDescent="0.25">
      <c r="B42" s="1" t="s">
        <v>11</v>
      </c>
      <c r="C42" s="8">
        <v>9.3918104000000002E-2</v>
      </c>
      <c r="D42" s="6">
        <v>1.1637562782531401</v>
      </c>
      <c r="E42" s="6">
        <v>0.401331670241585</v>
      </c>
      <c r="F42" s="6">
        <v>6.7271555006068101E-2</v>
      </c>
      <c r="G42" s="6">
        <v>8.1392652419518097E-2</v>
      </c>
      <c r="H42" s="6">
        <v>0.164652348864086</v>
      </c>
    </row>
    <row r="44" spans="2:8" x14ac:dyDescent="0.25">
      <c r="B44" s="1" t="s">
        <v>19</v>
      </c>
      <c r="C44" s="9" t="s">
        <v>28</v>
      </c>
      <c r="D44" s="9" t="s">
        <v>23</v>
      </c>
      <c r="E44" s="9" t="s">
        <v>24</v>
      </c>
      <c r="F44" s="9" t="s">
        <v>1</v>
      </c>
      <c r="G44" s="9" t="s">
        <v>25</v>
      </c>
      <c r="H44" s="9" t="s">
        <v>18</v>
      </c>
    </row>
    <row r="45" spans="2:8" x14ac:dyDescent="0.25">
      <c r="B45" s="1" t="s">
        <v>4</v>
      </c>
      <c r="C45" s="8">
        <v>9.4725974000000004E-2</v>
      </c>
      <c r="D45" s="7">
        <v>0.76151296818251002</v>
      </c>
      <c r="E45" s="7">
        <v>-0.82455849900808098</v>
      </c>
      <c r="F45" s="7">
        <v>-0.53010922957415696</v>
      </c>
      <c r="G45" s="7">
        <v>-0.67807302432253402</v>
      </c>
      <c r="H45" s="7">
        <v>-0.81917889363282403</v>
      </c>
    </row>
    <row r="46" spans="2:8" x14ac:dyDescent="0.25">
      <c r="B46" s="1" t="s">
        <v>5</v>
      </c>
      <c r="C46" s="8">
        <v>0.102452336</v>
      </c>
      <c r="D46" s="7">
        <v>0.63241662033349</v>
      </c>
      <c r="E46" s="7">
        <v>-0.77305412456000899</v>
      </c>
      <c r="F46" s="7">
        <v>-0.511670862423525</v>
      </c>
      <c r="G46" s="7">
        <v>-0.62213976025652196</v>
      </c>
      <c r="H46" s="7">
        <v>-0.76662036881149098</v>
      </c>
    </row>
    <row r="47" spans="2:8" x14ac:dyDescent="0.25">
      <c r="B47" s="1" t="s">
        <v>6</v>
      </c>
      <c r="C47" s="8">
        <v>0.110144282</v>
      </c>
      <c r="D47" s="7">
        <v>0.68587815994758305</v>
      </c>
      <c r="E47" s="7">
        <v>-0.74314055155585101</v>
      </c>
      <c r="F47" s="7">
        <v>-0.22155858359451899</v>
      </c>
      <c r="G47" s="7">
        <v>-0.51680913320449795</v>
      </c>
      <c r="H47" s="7">
        <v>-0.79093223163479298</v>
      </c>
    </row>
    <row r="48" spans="2:8" x14ac:dyDescent="0.25">
      <c r="B48" s="1" t="s">
        <v>11</v>
      </c>
      <c r="C48" s="8">
        <v>9.3918104000000002E-2</v>
      </c>
      <c r="D48" s="7">
        <v>0.74506131022172795</v>
      </c>
      <c r="E48" s="7">
        <v>-0.75894808346496501</v>
      </c>
      <c r="F48" s="7">
        <v>-0.37958282657101999</v>
      </c>
      <c r="G48" s="7">
        <v>-0.37092334927613402</v>
      </c>
      <c r="H48" s="7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2026-06-25T02:47:57Z</dcterms:modified>
</cp:coreProperties>
</file>