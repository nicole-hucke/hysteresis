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Documents\hysteresis\correlations\HI_tauc\"/>
    </mc:Choice>
  </mc:AlternateContent>
  <xr:revisionPtr revIDLastSave="0" documentId="13_ncr:1_{5EE56646-8088-4326-A4D1-2F0ADE0E82F4}" xr6:coauthVersionLast="47" xr6:coauthVersionMax="47" xr10:uidLastSave="{00000000-0000-0000-0000-000000000000}"/>
  <bookViews>
    <workbookView xWindow="-120" yWindow="-120" windowWidth="29040" windowHeight="15720" tabRatio="586" xr2:uid="{867610DC-2157-4A8B-BAD4-C3624B9432BC}"/>
  </bookViews>
  <sheets>
    <sheet name="all" sheetId="1" r:id="rId1"/>
    <sheet name="downstream" sheetId="3" r:id="rId2"/>
    <sheet name="upstream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<sst xmlns="http://schemas.openxmlformats.org/spreadsheetml/2006/main" count="416" uniqueCount="36">
  <si>
    <t xml:space="preserve">Aich (2014) </t>
  </si>
  <si>
    <t>SSC (mg/L)</t>
  </si>
  <si>
    <t>DOC (mg/L)</t>
  </si>
  <si>
    <t>Lawler Adapted</t>
  </si>
  <si>
    <t>fDOM RFU</t>
  </si>
  <si>
    <t>Langlois (2005)</t>
  </si>
  <si>
    <t>Lawler (2006)</t>
  </si>
  <si>
    <t>Lloyd (2016)</t>
  </si>
  <si>
    <t>Clockwise</t>
  </si>
  <si>
    <t>Counter-Clockwise</t>
  </si>
  <si>
    <t>Event</t>
  </si>
  <si>
    <t>Peak concentration (mg/L)</t>
  </si>
  <si>
    <t>Event_1</t>
  </si>
  <si>
    <t>Event_2</t>
  </si>
  <si>
    <t>Event_3</t>
  </si>
  <si>
    <t>Event_4</t>
  </si>
  <si>
    <t>Event_5</t>
  </si>
  <si>
    <t>Event_6</t>
  </si>
  <si>
    <t>Event_7</t>
  </si>
  <si>
    <t>Event_8</t>
  </si>
  <si>
    <t>Event_9</t>
  </si>
  <si>
    <t>Event_10</t>
  </si>
  <si>
    <t>Event_11</t>
  </si>
  <si>
    <t>Event_12</t>
  </si>
  <si>
    <t>Event_13</t>
  </si>
  <si>
    <t>Event_14</t>
  </si>
  <si>
    <t>Event_15</t>
  </si>
  <si>
    <t>Turnidity NTU</t>
  </si>
  <si>
    <t>Peak concentration (NTU)</t>
  </si>
  <si>
    <r>
      <t xml:space="preserve">Time between events (no </t>
    </r>
    <r>
      <rPr>
        <b/>
        <sz val="10"/>
        <color theme="1"/>
        <rFont val="Aptos"/>
        <family val="2"/>
        <charset val="1"/>
      </rPr>
      <t>τ</t>
    </r>
    <r>
      <rPr>
        <b/>
        <sz val="10"/>
        <color theme="1"/>
        <rFont val="Aptos Narrow"/>
        <family val="2"/>
      </rPr>
      <t>c exceedance)</t>
    </r>
    <r>
      <rPr>
        <b/>
        <sz val="10"/>
        <color theme="1"/>
        <rFont val="Aptos Narrow"/>
        <family val="2"/>
        <scheme val="minor"/>
      </rPr>
      <t xml:space="preserve"> (hrs)</t>
    </r>
  </si>
  <si>
    <t>Time between events τc exceedance (hrs)</t>
  </si>
  <si>
    <t>D</t>
  </si>
  <si>
    <t>U</t>
  </si>
  <si>
    <t>τc50</t>
  </si>
  <si>
    <t>Dmax</t>
  </si>
  <si>
    <t>Peak concentration (RFU)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</si>
</sst>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"/>
    <numFmt numFmtId="166" formatCode="0.00000"/>
    <numFmt numFmtId="167" formatCode="0.0000"/>
    <numFmt numFmtId="168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Aptos"/>
      <family val="2"/>
      <charset val="1"/>
    </font>
    <font>
      <b/>
      <sz val="10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167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166" fontId="0" fillId="0" borderId="0" xfId="0" applyNumberFormat="1" applyFill="1" applyAlignment="1">
      <alignment horizontal="center"/>
    </xf>
    <xf numFmtId="167" fontId="0" fillId="0" borderId="0" xfId="0" applyNumberFormat="1" applyFill="1" applyAlignment="1">
      <alignment horizontal="center"/>
    </xf>
    <xf numFmtId="0" fontId="0" fillId="0" borderId="0" xfId="0" applyFill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168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</a:t>
            </a:r>
            <a:r>
              <a:rPr lang="en-US" baseline="0"/>
              <a:t> HI to tc50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all!$C$4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8959894400189136E-3"/>
                  <c:y val="0.22144861560354748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all!$C$10:$C$33</c:f>
              <c:numCache>
                <c:formatCode>0.0000</c:formatCode>
                <c:ptCount val="24"/>
                <c:pt idx="0">
                  <c:v>1.31746197777344</c:v>
                </c:pt>
                <c:pt idx="1">
                  <c:v>0.89735303995633098</c:v>
                </c:pt>
                <c:pt idx="2">
                  <c:v>1.39880081037808</c:v>
                </c:pt>
                <c:pt idx="3">
                  <c:v>1.2210038373368299</c:v>
                </c:pt>
                <c:pt idx="4">
                  <c:v>1.5249018262283101</c:v>
                </c:pt>
                <c:pt idx="7">
                  <c:v>1.36678278361715</c:v>
                </c:pt>
                <c:pt idx="10">
                  <c:v>1.8695993339197901</c:v>
                </c:pt>
                <c:pt idx="11">
                  <c:v>1.21795864622288</c:v>
                </c:pt>
                <c:pt idx="12">
                  <c:v>1.0299659938988901</c:v>
                </c:pt>
                <c:pt idx="15">
                  <c:v>1.1534447144942801</c:v>
                </c:pt>
                <c:pt idx="16">
                  <c:v>1.6625275928143599</c:v>
                </c:pt>
                <c:pt idx="17">
                  <c:v>0.83858009935182098</c:v>
                </c:pt>
                <c:pt idx="18">
                  <c:v>2.31938512736013</c:v>
                </c:pt>
                <c:pt idx="19">
                  <c:v>1.66955637894203</c:v>
                </c:pt>
                <c:pt idx="21">
                  <c:v>0.90805045415642205</c:v>
                </c:pt>
                <c:pt idx="22">
                  <c:v>1.0862889042163599</c:v>
                </c:pt>
                <c:pt idx="23">
                  <c:v>0.39254775269290398</c:v>
                </c:pt>
              </c:numCache>
            </c:numRef>
          </c:xVal>
          <c:yVal>
            <c:numRef>
              <c:f>all!$I$10:$I$33</c:f>
              <c:numCache>
                <c:formatCode>General</c:formatCode>
                <c:ptCount val="24"/>
                <c:pt idx="0">
                  <c:v>113.72040256</c:v>
                </c:pt>
                <c:pt idx="2">
                  <c:v>112.66319882000001</c:v>
                </c:pt>
                <c:pt idx="3">
                  <c:v>114.89097618</c:v>
                </c:pt>
                <c:pt idx="4">
                  <c:v>116.55531655999999</c:v>
                </c:pt>
                <c:pt idx="6">
                  <c:v>118.40602251999999</c:v>
                </c:pt>
                <c:pt idx="7">
                  <c:v>115.75512236</c:v>
                </c:pt>
                <c:pt idx="8">
                  <c:v>121.12197168</c:v>
                </c:pt>
                <c:pt idx="12">
                  <c:v>118.22733427999999</c:v>
                </c:pt>
                <c:pt idx="13">
                  <c:v>108.51115272</c:v>
                </c:pt>
                <c:pt idx="14">
                  <c:v>106.97060942</c:v>
                </c:pt>
                <c:pt idx="15">
                  <c:v>113.72040256</c:v>
                </c:pt>
                <c:pt idx="17">
                  <c:v>112.66319882000001</c:v>
                </c:pt>
                <c:pt idx="18">
                  <c:v>114.89097618</c:v>
                </c:pt>
                <c:pt idx="19">
                  <c:v>116.55531655999999</c:v>
                </c:pt>
                <c:pt idx="21">
                  <c:v>118.40602251999999</c:v>
                </c:pt>
                <c:pt idx="22">
                  <c:v>115.75512236</c:v>
                </c:pt>
                <c:pt idx="23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6D-48CC-9F42-C8DA52771502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4.7489574381930605E-2"/>
                  <c:y val="0.2258965244138286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all!$D$10:$D$33</c:f>
              <c:numCache>
                <c:formatCode>0.0000</c:formatCode>
                <c:ptCount val="24"/>
                <c:pt idx="0">
                  <c:v>0.66698565105034602</c:v>
                </c:pt>
                <c:pt idx="1">
                  <c:v>0.19762137224995299</c:v>
                </c:pt>
                <c:pt idx="2">
                  <c:v>0.54807771119966198</c:v>
                </c:pt>
                <c:pt idx="3">
                  <c:v>0.10106112243990099</c:v>
                </c:pt>
                <c:pt idx="4">
                  <c:v>0.50902572287082404</c:v>
                </c:pt>
                <c:pt idx="7">
                  <c:v>0.463447965306029</c:v>
                </c:pt>
                <c:pt idx="10">
                  <c:v>0.44896728093636801</c:v>
                </c:pt>
                <c:pt idx="11">
                  <c:v>1.5264059910121399</c:v>
                </c:pt>
                <c:pt idx="12">
                  <c:v>0.71671353985517805</c:v>
                </c:pt>
                <c:pt idx="15">
                  <c:v>0.678678630991426</c:v>
                </c:pt>
                <c:pt idx="16">
                  <c:v>0.81343884511072295</c:v>
                </c:pt>
                <c:pt idx="17">
                  <c:v>-1.07855599689062</c:v>
                </c:pt>
                <c:pt idx="18">
                  <c:v>1.34776836410395</c:v>
                </c:pt>
                <c:pt idx="19">
                  <c:v>0.55456789410428697</c:v>
                </c:pt>
                <c:pt idx="20">
                  <c:v>0.70468449804027899</c:v>
                </c:pt>
                <c:pt idx="21">
                  <c:v>-0.373253605455523</c:v>
                </c:pt>
                <c:pt idx="22">
                  <c:v>0.63056904760694898</c:v>
                </c:pt>
                <c:pt idx="23">
                  <c:v>-0.623899602892661</c:v>
                </c:pt>
              </c:numCache>
            </c:numRef>
          </c:xVal>
          <c:yVal>
            <c:numRef>
              <c:f>all!$I$10:$I$33</c:f>
              <c:numCache>
                <c:formatCode>General</c:formatCode>
                <c:ptCount val="24"/>
                <c:pt idx="0">
                  <c:v>113.72040256</c:v>
                </c:pt>
                <c:pt idx="2">
                  <c:v>112.66319882000001</c:v>
                </c:pt>
                <c:pt idx="3">
                  <c:v>114.89097618</c:v>
                </c:pt>
                <c:pt idx="4">
                  <c:v>116.55531655999999</c:v>
                </c:pt>
                <c:pt idx="6">
                  <c:v>118.40602251999999</c:v>
                </c:pt>
                <c:pt idx="7">
                  <c:v>115.75512236</c:v>
                </c:pt>
                <c:pt idx="8">
                  <c:v>121.12197168</c:v>
                </c:pt>
                <c:pt idx="12">
                  <c:v>118.22733427999999</c:v>
                </c:pt>
                <c:pt idx="13">
                  <c:v>108.51115272</c:v>
                </c:pt>
                <c:pt idx="14">
                  <c:v>106.97060942</c:v>
                </c:pt>
                <c:pt idx="15">
                  <c:v>113.72040256</c:v>
                </c:pt>
                <c:pt idx="17">
                  <c:v>112.66319882000001</c:v>
                </c:pt>
                <c:pt idx="18">
                  <c:v>114.89097618</c:v>
                </c:pt>
                <c:pt idx="19">
                  <c:v>116.55531655999999</c:v>
                </c:pt>
                <c:pt idx="21">
                  <c:v>118.40602251999999</c:v>
                </c:pt>
                <c:pt idx="22">
                  <c:v>115.75512236</c:v>
                </c:pt>
                <c:pt idx="23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96D-48CC-9F42-C8DA52771502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9.3012290532318576E-2"/>
                  <c:y val="0.19612362551341794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all!$E$10:$E$33</c:f>
              <c:numCache>
                <c:formatCode>0.0000</c:formatCode>
                <c:ptCount val="24"/>
                <c:pt idx="0">
                  <c:v>8.8732929175135894E-2</c:v>
                </c:pt>
                <c:pt idx="1">
                  <c:v>-1.9463558010346702E-2</c:v>
                </c:pt>
                <c:pt idx="2">
                  <c:v>0.10415722716452799</c:v>
                </c:pt>
                <c:pt idx="3">
                  <c:v>4.66251429291673E-2</c:v>
                </c:pt>
                <c:pt idx="4">
                  <c:v>9.0894558490112708E-3</c:v>
                </c:pt>
                <c:pt idx="7">
                  <c:v>2.0373962034653699E-2</c:v>
                </c:pt>
                <c:pt idx="10">
                  <c:v>2.4947102971666898E-2</c:v>
                </c:pt>
                <c:pt idx="11">
                  <c:v>9.6293174744729593E-3</c:v>
                </c:pt>
                <c:pt idx="12">
                  <c:v>0.14608753400636901</c:v>
                </c:pt>
                <c:pt idx="15">
                  <c:v>1.27691539373017E-2</c:v>
                </c:pt>
                <c:pt idx="16">
                  <c:v>6.7576112725014403E-2</c:v>
                </c:pt>
                <c:pt idx="17">
                  <c:v>-0.35416666689988402</c:v>
                </c:pt>
                <c:pt idx="18">
                  <c:v>4.5646344187588998E-2</c:v>
                </c:pt>
                <c:pt idx="19">
                  <c:v>1.47909285306715E-2</c:v>
                </c:pt>
                <c:pt idx="20">
                  <c:v>3.5842816756479302E-2</c:v>
                </c:pt>
                <c:pt idx="21">
                  <c:v>-4.0383997186219003E-2</c:v>
                </c:pt>
                <c:pt idx="22">
                  <c:v>3.6679485231980898E-2</c:v>
                </c:pt>
                <c:pt idx="23">
                  <c:v>-0.76160033358371604</c:v>
                </c:pt>
              </c:numCache>
            </c:numRef>
          </c:xVal>
          <c:yVal>
            <c:numRef>
              <c:f>all!$I$10:$I$33</c:f>
              <c:numCache>
                <c:formatCode>General</c:formatCode>
                <c:ptCount val="24"/>
                <c:pt idx="0">
                  <c:v>113.72040256</c:v>
                </c:pt>
                <c:pt idx="2">
                  <c:v>112.66319882000001</c:v>
                </c:pt>
                <c:pt idx="3">
                  <c:v>114.89097618</c:v>
                </c:pt>
                <c:pt idx="4">
                  <c:v>116.55531655999999</c:v>
                </c:pt>
                <c:pt idx="6">
                  <c:v>118.40602251999999</c:v>
                </c:pt>
                <c:pt idx="7">
                  <c:v>115.75512236</c:v>
                </c:pt>
                <c:pt idx="8">
                  <c:v>121.12197168</c:v>
                </c:pt>
                <c:pt idx="12">
                  <c:v>118.22733427999999</c:v>
                </c:pt>
                <c:pt idx="13">
                  <c:v>108.51115272</c:v>
                </c:pt>
                <c:pt idx="14">
                  <c:v>106.97060942</c:v>
                </c:pt>
                <c:pt idx="15">
                  <c:v>113.72040256</c:v>
                </c:pt>
                <c:pt idx="17">
                  <c:v>112.66319882000001</c:v>
                </c:pt>
                <c:pt idx="18">
                  <c:v>114.89097618</c:v>
                </c:pt>
                <c:pt idx="19">
                  <c:v>116.55531655999999</c:v>
                </c:pt>
                <c:pt idx="21">
                  <c:v>118.40602251999999</c:v>
                </c:pt>
                <c:pt idx="22">
                  <c:v>115.75512236</c:v>
                </c:pt>
                <c:pt idx="23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96D-48CC-9F42-C8DA52771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82927"/>
        <c:axId val="129899727"/>
      </c:scatterChart>
      <c:valAx>
        <c:axId val="12988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9727"/>
        <c:crosses val="autoZero"/>
        <c:crossBetween val="midCat"/>
      </c:valAx>
      <c:valAx>
        <c:axId val="1298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Critical</a:t>
                </a:r>
                <a:r>
                  <a:rPr lang="en-US" baseline="0"/>
                  <a:t> Shear Stress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2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</a:t>
            </a:r>
            <a:r>
              <a:rPr lang="en-US" baseline="0"/>
              <a:t> HI to tc50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all!$C$4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8959894400189136E-3"/>
                  <c:y val="0.22144861560354748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all!$C$42:$C$65</c:f>
              <c:numCache>
                <c:formatCode>0.000</c:formatCode>
                <c:ptCount val="24"/>
                <c:pt idx="0">
                  <c:v>1.01982556926034</c:v>
                </c:pt>
                <c:pt idx="1">
                  <c:v>1.0105385292601801</c:v>
                </c:pt>
                <c:pt idx="2">
                  <c:v>1.04413498578157</c:v>
                </c:pt>
                <c:pt idx="3">
                  <c:v>1.04959681992682</c:v>
                </c:pt>
                <c:pt idx="4">
                  <c:v>0.97400899474341096</c:v>
                </c:pt>
                <c:pt idx="7">
                  <c:v>1.03922347944993</c:v>
                </c:pt>
                <c:pt idx="10">
                  <c:v>1.0683907677478099</c:v>
                </c:pt>
                <c:pt idx="11">
                  <c:v>1.13117180110701</c:v>
                </c:pt>
                <c:pt idx="12">
                  <c:v>0.99421602518435603</c:v>
                </c:pt>
                <c:pt idx="14">
                  <c:v>1.0587750080951299</c:v>
                </c:pt>
                <c:pt idx="15">
                  <c:v>1.04764110720538</c:v>
                </c:pt>
                <c:pt idx="16">
                  <c:v>1.1477045338510801</c:v>
                </c:pt>
                <c:pt idx="17">
                  <c:v>1.1126612766097499</c:v>
                </c:pt>
                <c:pt idx="18">
                  <c:v>1.2530304455719099</c:v>
                </c:pt>
                <c:pt idx="19">
                  <c:v>1.0813804129035001</c:v>
                </c:pt>
                <c:pt idx="20">
                  <c:v>1.2134925086481201</c:v>
                </c:pt>
                <c:pt idx="21">
                  <c:v>1.08380817355586</c:v>
                </c:pt>
                <c:pt idx="22">
                  <c:v>1.0367372638660399</c:v>
                </c:pt>
                <c:pt idx="23">
                  <c:v>1.1282134088167699</c:v>
                </c:pt>
              </c:numCache>
            </c:numRef>
          </c:xVal>
          <c:yVal>
            <c:numRef>
              <c:f>all!$I$42:$I$65</c:f>
              <c:numCache>
                <c:formatCode>General</c:formatCode>
                <c:ptCount val="24"/>
                <c:pt idx="0">
                  <c:v>113.72040256</c:v>
                </c:pt>
                <c:pt idx="2">
                  <c:v>112.66319882000001</c:v>
                </c:pt>
                <c:pt idx="3">
                  <c:v>114.89097618</c:v>
                </c:pt>
                <c:pt idx="4">
                  <c:v>116.55531655999999</c:v>
                </c:pt>
                <c:pt idx="6">
                  <c:v>118.40602251999999</c:v>
                </c:pt>
                <c:pt idx="7">
                  <c:v>115.75512236</c:v>
                </c:pt>
                <c:pt idx="8">
                  <c:v>121.12197168</c:v>
                </c:pt>
                <c:pt idx="12">
                  <c:v>118.22733427999999</c:v>
                </c:pt>
                <c:pt idx="13">
                  <c:v>108.51115272</c:v>
                </c:pt>
                <c:pt idx="14">
                  <c:v>106.97060942</c:v>
                </c:pt>
                <c:pt idx="15">
                  <c:v>113.72040256</c:v>
                </c:pt>
                <c:pt idx="17">
                  <c:v>112.66319882000001</c:v>
                </c:pt>
                <c:pt idx="18">
                  <c:v>114.89097618</c:v>
                </c:pt>
                <c:pt idx="19">
                  <c:v>116.55531655999999</c:v>
                </c:pt>
                <c:pt idx="21">
                  <c:v>118.40602251999999</c:v>
                </c:pt>
                <c:pt idx="22">
                  <c:v>115.75512236</c:v>
                </c:pt>
                <c:pt idx="23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F7-473C-BC0E-862E5880EE58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4.7489574381930605E-2"/>
                  <c:y val="0.2258965244138286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all!$D$42:$D$65</c:f>
              <c:numCache>
                <c:formatCode>0.000</c:formatCode>
                <c:ptCount val="24"/>
                <c:pt idx="0">
                  <c:v>0.38831940167197898</c:v>
                </c:pt>
                <c:pt idx="1">
                  <c:v>0.597784224122066</c:v>
                </c:pt>
                <c:pt idx="2">
                  <c:v>0.92934562720262803</c:v>
                </c:pt>
                <c:pt idx="3">
                  <c:v>-0.33094957948560899</c:v>
                </c:pt>
                <c:pt idx="4">
                  <c:v>-0.27375631737886102</c:v>
                </c:pt>
                <c:pt idx="7">
                  <c:v>0.59399199353963394</c:v>
                </c:pt>
                <c:pt idx="10">
                  <c:v>0.74870138294766397</c:v>
                </c:pt>
                <c:pt idx="11">
                  <c:v>1.1019405303793299</c:v>
                </c:pt>
                <c:pt idx="12">
                  <c:v>0.17884914222762199</c:v>
                </c:pt>
                <c:pt idx="14">
                  <c:v>0.662333397055619</c:v>
                </c:pt>
                <c:pt idx="15">
                  <c:v>1.10062768451704</c:v>
                </c:pt>
                <c:pt idx="16">
                  <c:v>0.97101599927504101</c:v>
                </c:pt>
                <c:pt idx="17">
                  <c:v>0.95380985457733503</c:v>
                </c:pt>
                <c:pt idx="18">
                  <c:v>1.1029723476739599</c:v>
                </c:pt>
                <c:pt idx="19">
                  <c:v>0.52079829390269505</c:v>
                </c:pt>
                <c:pt idx="20">
                  <c:v>0.94175163201491896</c:v>
                </c:pt>
                <c:pt idx="21">
                  <c:v>0.28231733716004298</c:v>
                </c:pt>
                <c:pt idx="22">
                  <c:v>0.55097576187408004</c:v>
                </c:pt>
                <c:pt idx="23">
                  <c:v>0.99053604379690696</c:v>
                </c:pt>
              </c:numCache>
            </c:numRef>
          </c:xVal>
          <c:yVal>
            <c:numRef>
              <c:f>all!$I$42:$I$65</c:f>
              <c:numCache>
                <c:formatCode>General</c:formatCode>
                <c:ptCount val="24"/>
                <c:pt idx="0">
                  <c:v>113.72040256</c:v>
                </c:pt>
                <c:pt idx="2">
                  <c:v>112.66319882000001</c:v>
                </c:pt>
                <c:pt idx="3">
                  <c:v>114.89097618</c:v>
                </c:pt>
                <c:pt idx="4">
                  <c:v>116.55531655999999</c:v>
                </c:pt>
                <c:pt idx="6">
                  <c:v>118.40602251999999</c:v>
                </c:pt>
                <c:pt idx="7">
                  <c:v>115.75512236</c:v>
                </c:pt>
                <c:pt idx="8">
                  <c:v>121.12197168</c:v>
                </c:pt>
                <c:pt idx="12">
                  <c:v>118.22733427999999</c:v>
                </c:pt>
                <c:pt idx="13">
                  <c:v>108.51115272</c:v>
                </c:pt>
                <c:pt idx="14">
                  <c:v>106.97060942</c:v>
                </c:pt>
                <c:pt idx="15">
                  <c:v>113.72040256</c:v>
                </c:pt>
                <c:pt idx="17">
                  <c:v>112.66319882000001</c:v>
                </c:pt>
                <c:pt idx="18">
                  <c:v>114.89097618</c:v>
                </c:pt>
                <c:pt idx="19">
                  <c:v>116.55531655999999</c:v>
                </c:pt>
                <c:pt idx="21">
                  <c:v>118.40602251999999</c:v>
                </c:pt>
                <c:pt idx="22">
                  <c:v>115.75512236</c:v>
                </c:pt>
                <c:pt idx="23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F7-473C-BC0E-862E5880EE58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5.3252946629997952E-2"/>
                  <c:y val="1.6192228261109907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all!$E$42:$E$65</c:f>
              <c:numCache>
                <c:formatCode>0.000</c:formatCode>
                <c:ptCount val="24"/>
                <c:pt idx="0">
                  <c:v>1.20306787922476E-2</c:v>
                </c:pt>
                <c:pt idx="1">
                  <c:v>2.7386597361713599E-2</c:v>
                </c:pt>
                <c:pt idx="2">
                  <c:v>2.8615745110634201E-2</c:v>
                </c:pt>
                <c:pt idx="3">
                  <c:v>4.4113621235337297E-2</c:v>
                </c:pt>
                <c:pt idx="4">
                  <c:v>-8.0536265843332393E-3</c:v>
                </c:pt>
                <c:pt idx="7">
                  <c:v>2.7450804091866201E-2</c:v>
                </c:pt>
                <c:pt idx="10">
                  <c:v>6.5697545304297195E-2</c:v>
                </c:pt>
                <c:pt idx="11">
                  <c:v>0.132436068542756</c:v>
                </c:pt>
                <c:pt idx="12">
                  <c:v>-4.2076076707890497E-3</c:v>
                </c:pt>
                <c:pt idx="14">
                  <c:v>0.12430930853391101</c:v>
                </c:pt>
                <c:pt idx="15">
                  <c:v>9.2876994447724404E-2</c:v>
                </c:pt>
                <c:pt idx="16">
                  <c:v>8.3834633446242604E-2</c:v>
                </c:pt>
                <c:pt idx="17">
                  <c:v>4.4857179056258203E-2</c:v>
                </c:pt>
                <c:pt idx="18">
                  <c:v>7.6664996000854094E-2</c:v>
                </c:pt>
                <c:pt idx="19">
                  <c:v>2.1219861817338499E-2</c:v>
                </c:pt>
                <c:pt idx="20">
                  <c:v>8.5275451626537893E-2</c:v>
                </c:pt>
                <c:pt idx="21">
                  <c:v>3.1629539106965802E-2</c:v>
                </c:pt>
                <c:pt idx="22">
                  <c:v>4.3964016574286002E-2</c:v>
                </c:pt>
                <c:pt idx="23">
                  <c:v>5.3048699734524599E-2</c:v>
                </c:pt>
              </c:numCache>
            </c:numRef>
          </c:xVal>
          <c:yVal>
            <c:numRef>
              <c:f>all!$I$42:$I$65</c:f>
              <c:numCache>
                <c:formatCode>General</c:formatCode>
                <c:ptCount val="24"/>
                <c:pt idx="0">
                  <c:v>113.72040256</c:v>
                </c:pt>
                <c:pt idx="2">
                  <c:v>112.66319882000001</c:v>
                </c:pt>
                <c:pt idx="3">
                  <c:v>114.89097618</c:v>
                </c:pt>
                <c:pt idx="4">
                  <c:v>116.55531655999999</c:v>
                </c:pt>
                <c:pt idx="6">
                  <c:v>118.40602251999999</c:v>
                </c:pt>
                <c:pt idx="7">
                  <c:v>115.75512236</c:v>
                </c:pt>
                <c:pt idx="8">
                  <c:v>121.12197168</c:v>
                </c:pt>
                <c:pt idx="12">
                  <c:v>118.22733427999999</c:v>
                </c:pt>
                <c:pt idx="13">
                  <c:v>108.51115272</c:v>
                </c:pt>
                <c:pt idx="14">
                  <c:v>106.97060942</c:v>
                </c:pt>
                <c:pt idx="15">
                  <c:v>113.72040256</c:v>
                </c:pt>
                <c:pt idx="17">
                  <c:v>112.66319882000001</c:v>
                </c:pt>
                <c:pt idx="18">
                  <c:v>114.89097618</c:v>
                </c:pt>
                <c:pt idx="19">
                  <c:v>116.55531655999999</c:v>
                </c:pt>
                <c:pt idx="21">
                  <c:v>118.40602251999999</c:v>
                </c:pt>
                <c:pt idx="22">
                  <c:v>115.75512236</c:v>
                </c:pt>
                <c:pt idx="23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9F7-473C-BC0E-862E5880E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82927"/>
        <c:axId val="129899727"/>
      </c:scatterChart>
      <c:valAx>
        <c:axId val="12988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9727"/>
        <c:crosses val="autoZero"/>
        <c:crossBetween val="midCat"/>
      </c:valAx>
      <c:valAx>
        <c:axId val="1298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Critical</a:t>
                </a:r>
                <a:r>
                  <a:rPr lang="en-US" baseline="0"/>
                  <a:t> Shear Stress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2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</a:t>
            </a:r>
            <a:r>
              <a:rPr lang="en-US" baseline="0"/>
              <a:t> HI to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all!$C$4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5867128298522853E-2"/>
                  <c:y val="0.15634127049626317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all!$C$10:$C$33</c:f>
              <c:numCache>
                <c:formatCode>0.0000</c:formatCode>
                <c:ptCount val="24"/>
                <c:pt idx="0">
                  <c:v>1.31746197777344</c:v>
                </c:pt>
                <c:pt idx="1">
                  <c:v>0.89735303995633098</c:v>
                </c:pt>
                <c:pt idx="2">
                  <c:v>1.39880081037808</c:v>
                </c:pt>
                <c:pt idx="3">
                  <c:v>1.2210038373368299</c:v>
                </c:pt>
                <c:pt idx="4">
                  <c:v>1.5249018262283101</c:v>
                </c:pt>
                <c:pt idx="7">
                  <c:v>1.36678278361715</c:v>
                </c:pt>
                <c:pt idx="10">
                  <c:v>1.8695993339197901</c:v>
                </c:pt>
                <c:pt idx="11">
                  <c:v>1.21795864622288</c:v>
                </c:pt>
                <c:pt idx="12">
                  <c:v>1.0299659938988901</c:v>
                </c:pt>
                <c:pt idx="15">
                  <c:v>1.1534447144942801</c:v>
                </c:pt>
                <c:pt idx="16">
                  <c:v>1.6625275928143599</c:v>
                </c:pt>
                <c:pt idx="17">
                  <c:v>0.83858009935182098</c:v>
                </c:pt>
                <c:pt idx="18">
                  <c:v>2.31938512736013</c:v>
                </c:pt>
                <c:pt idx="19">
                  <c:v>1.66955637894203</c:v>
                </c:pt>
                <c:pt idx="21">
                  <c:v>0.90805045415642205</c:v>
                </c:pt>
                <c:pt idx="22">
                  <c:v>1.0862889042163599</c:v>
                </c:pt>
                <c:pt idx="23">
                  <c:v>0.39254775269290398</c:v>
                </c:pt>
              </c:numCache>
            </c:numRef>
          </c:xVal>
          <c:yVal>
            <c:numRef>
              <c:f>all!$J$10:$J$33</c:f>
              <c:numCache>
                <c:formatCode>General</c:formatCode>
                <c:ptCount val="24"/>
                <c:pt idx="0">
                  <c:v>47.354999999999997</c:v>
                </c:pt>
                <c:pt idx="2">
                  <c:v>101.105</c:v>
                </c:pt>
                <c:pt idx="3">
                  <c:v>44.466000000000001</c:v>
                </c:pt>
                <c:pt idx="4">
                  <c:v>47.503</c:v>
                </c:pt>
                <c:pt idx="6">
                  <c:v>54.055999999999997</c:v>
                </c:pt>
                <c:pt idx="7">
                  <c:v>53.783999999999999</c:v>
                </c:pt>
                <c:pt idx="8">
                  <c:v>53.783999999999999</c:v>
                </c:pt>
                <c:pt idx="12">
                  <c:v>60.710430000000002</c:v>
                </c:pt>
                <c:pt idx="13">
                  <c:v>45.71622</c:v>
                </c:pt>
                <c:pt idx="14">
                  <c:v>46.063560000000003</c:v>
                </c:pt>
                <c:pt idx="15">
                  <c:v>47.354999999999997</c:v>
                </c:pt>
                <c:pt idx="17">
                  <c:v>101.105</c:v>
                </c:pt>
                <c:pt idx="18">
                  <c:v>44.466000000000001</c:v>
                </c:pt>
                <c:pt idx="19">
                  <c:v>47.503</c:v>
                </c:pt>
                <c:pt idx="21">
                  <c:v>54.055999999999997</c:v>
                </c:pt>
                <c:pt idx="22">
                  <c:v>53.783999999999999</c:v>
                </c:pt>
                <c:pt idx="23">
                  <c:v>53.783999999999999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6A-4D4E-A1FA-351E5470F28C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5820609639809114E-2"/>
                  <c:y val="0.11100427763978285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all!$D$10:$D$33</c:f>
              <c:numCache>
                <c:formatCode>0.0000</c:formatCode>
                <c:ptCount val="24"/>
                <c:pt idx="0">
                  <c:v>0.66698565105034602</c:v>
                </c:pt>
                <c:pt idx="1">
                  <c:v>0.19762137224995299</c:v>
                </c:pt>
                <c:pt idx="2">
                  <c:v>0.54807771119966198</c:v>
                </c:pt>
                <c:pt idx="3">
                  <c:v>0.10106112243990099</c:v>
                </c:pt>
                <c:pt idx="4">
                  <c:v>0.50902572287082404</c:v>
                </c:pt>
                <c:pt idx="7">
                  <c:v>0.463447965306029</c:v>
                </c:pt>
                <c:pt idx="10">
                  <c:v>0.44896728093636801</c:v>
                </c:pt>
                <c:pt idx="11">
                  <c:v>1.5264059910121399</c:v>
                </c:pt>
                <c:pt idx="12">
                  <c:v>0.71671353985517805</c:v>
                </c:pt>
                <c:pt idx="15">
                  <c:v>0.678678630991426</c:v>
                </c:pt>
                <c:pt idx="16">
                  <c:v>0.81343884511072295</c:v>
                </c:pt>
                <c:pt idx="17">
                  <c:v>-1.07855599689062</c:v>
                </c:pt>
                <c:pt idx="18">
                  <c:v>1.34776836410395</c:v>
                </c:pt>
                <c:pt idx="19">
                  <c:v>0.55456789410428697</c:v>
                </c:pt>
                <c:pt idx="20">
                  <c:v>0.70468449804027899</c:v>
                </c:pt>
                <c:pt idx="21">
                  <c:v>-0.373253605455523</c:v>
                </c:pt>
                <c:pt idx="22">
                  <c:v>0.63056904760694898</c:v>
                </c:pt>
                <c:pt idx="23">
                  <c:v>-0.623899602892661</c:v>
                </c:pt>
              </c:numCache>
            </c:numRef>
          </c:xVal>
          <c:yVal>
            <c:numRef>
              <c:f>all!$J$10:$J$33</c:f>
              <c:numCache>
                <c:formatCode>General</c:formatCode>
                <c:ptCount val="24"/>
                <c:pt idx="0">
                  <c:v>47.354999999999997</c:v>
                </c:pt>
                <c:pt idx="2">
                  <c:v>101.105</c:v>
                </c:pt>
                <c:pt idx="3">
                  <c:v>44.466000000000001</c:v>
                </c:pt>
                <c:pt idx="4">
                  <c:v>47.503</c:v>
                </c:pt>
                <c:pt idx="6">
                  <c:v>54.055999999999997</c:v>
                </c:pt>
                <c:pt idx="7">
                  <c:v>53.783999999999999</c:v>
                </c:pt>
                <c:pt idx="8">
                  <c:v>53.783999999999999</c:v>
                </c:pt>
                <c:pt idx="12">
                  <c:v>60.710430000000002</c:v>
                </c:pt>
                <c:pt idx="13">
                  <c:v>45.71622</c:v>
                </c:pt>
                <c:pt idx="14">
                  <c:v>46.063560000000003</c:v>
                </c:pt>
                <c:pt idx="15">
                  <c:v>47.354999999999997</c:v>
                </c:pt>
                <c:pt idx="17">
                  <c:v>101.105</c:v>
                </c:pt>
                <c:pt idx="18">
                  <c:v>44.466000000000001</c:v>
                </c:pt>
                <c:pt idx="19">
                  <c:v>47.503</c:v>
                </c:pt>
                <c:pt idx="21">
                  <c:v>54.055999999999997</c:v>
                </c:pt>
                <c:pt idx="22">
                  <c:v>53.783999999999999</c:v>
                </c:pt>
                <c:pt idx="23">
                  <c:v>53.783999999999999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D6A-4D4E-A1FA-351E5470F28C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4926049517057017E-2"/>
                  <c:y val="0.1664923572884569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all!$E$10:$E$33</c:f>
              <c:numCache>
                <c:formatCode>0.0000</c:formatCode>
                <c:ptCount val="24"/>
                <c:pt idx="0">
                  <c:v>8.8732929175135894E-2</c:v>
                </c:pt>
                <c:pt idx="1">
                  <c:v>-1.9463558010346702E-2</c:v>
                </c:pt>
                <c:pt idx="2">
                  <c:v>0.10415722716452799</c:v>
                </c:pt>
                <c:pt idx="3">
                  <c:v>4.66251429291673E-2</c:v>
                </c:pt>
                <c:pt idx="4">
                  <c:v>9.0894558490112708E-3</c:v>
                </c:pt>
                <c:pt idx="7">
                  <c:v>2.0373962034653699E-2</c:v>
                </c:pt>
                <c:pt idx="10">
                  <c:v>2.4947102971666898E-2</c:v>
                </c:pt>
                <c:pt idx="11">
                  <c:v>9.6293174744729593E-3</c:v>
                </c:pt>
                <c:pt idx="12">
                  <c:v>0.14608753400636901</c:v>
                </c:pt>
                <c:pt idx="15">
                  <c:v>1.27691539373017E-2</c:v>
                </c:pt>
                <c:pt idx="16">
                  <c:v>6.7576112725014403E-2</c:v>
                </c:pt>
                <c:pt idx="17">
                  <c:v>-0.35416666689988402</c:v>
                </c:pt>
                <c:pt idx="18">
                  <c:v>4.5646344187588998E-2</c:v>
                </c:pt>
                <c:pt idx="19">
                  <c:v>1.47909285306715E-2</c:v>
                </c:pt>
                <c:pt idx="20">
                  <c:v>3.5842816756479302E-2</c:v>
                </c:pt>
                <c:pt idx="21">
                  <c:v>-4.0383997186219003E-2</c:v>
                </c:pt>
                <c:pt idx="22">
                  <c:v>3.6679485231980898E-2</c:v>
                </c:pt>
                <c:pt idx="23">
                  <c:v>-0.76160033358371604</c:v>
                </c:pt>
              </c:numCache>
            </c:numRef>
          </c:xVal>
          <c:yVal>
            <c:numRef>
              <c:f>all!$J$10:$J$33</c:f>
              <c:numCache>
                <c:formatCode>General</c:formatCode>
                <c:ptCount val="24"/>
                <c:pt idx="0">
                  <c:v>47.354999999999997</c:v>
                </c:pt>
                <c:pt idx="2">
                  <c:v>101.105</c:v>
                </c:pt>
                <c:pt idx="3">
                  <c:v>44.466000000000001</c:v>
                </c:pt>
                <c:pt idx="4">
                  <c:v>47.503</c:v>
                </c:pt>
                <c:pt idx="6">
                  <c:v>54.055999999999997</c:v>
                </c:pt>
                <c:pt idx="7">
                  <c:v>53.783999999999999</c:v>
                </c:pt>
                <c:pt idx="8">
                  <c:v>53.783999999999999</c:v>
                </c:pt>
                <c:pt idx="12">
                  <c:v>60.710430000000002</c:v>
                </c:pt>
                <c:pt idx="13">
                  <c:v>45.71622</c:v>
                </c:pt>
                <c:pt idx="14">
                  <c:v>46.063560000000003</c:v>
                </c:pt>
                <c:pt idx="15">
                  <c:v>47.354999999999997</c:v>
                </c:pt>
                <c:pt idx="17">
                  <c:v>101.105</c:v>
                </c:pt>
                <c:pt idx="18">
                  <c:v>44.466000000000001</c:v>
                </c:pt>
                <c:pt idx="19">
                  <c:v>47.503</c:v>
                </c:pt>
                <c:pt idx="21">
                  <c:v>54.055999999999997</c:v>
                </c:pt>
                <c:pt idx="22">
                  <c:v>53.783999999999999</c:v>
                </c:pt>
                <c:pt idx="23">
                  <c:v>53.783999999999999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D6A-4D4E-A1FA-351E5470F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82927"/>
        <c:axId val="129899727"/>
      </c:scatterChart>
      <c:valAx>
        <c:axId val="12988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9727"/>
        <c:crosses val="autoZero"/>
        <c:crossBetween val="midCat"/>
      </c:valAx>
      <c:valAx>
        <c:axId val="1298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2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</a:t>
            </a:r>
            <a:r>
              <a:rPr lang="en-US" baseline="0"/>
              <a:t> HI to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all!$C$4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5867128298522853E-2"/>
                  <c:y val="0.15634127049626317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all!$C$42:$C$65</c:f>
              <c:numCache>
                <c:formatCode>0.000</c:formatCode>
                <c:ptCount val="24"/>
                <c:pt idx="0">
                  <c:v>1.01982556926034</c:v>
                </c:pt>
                <c:pt idx="1">
                  <c:v>1.0105385292601801</c:v>
                </c:pt>
                <c:pt idx="2">
                  <c:v>1.04413498578157</c:v>
                </c:pt>
                <c:pt idx="3">
                  <c:v>1.04959681992682</c:v>
                </c:pt>
                <c:pt idx="4">
                  <c:v>0.97400899474341096</c:v>
                </c:pt>
                <c:pt idx="7">
                  <c:v>1.03922347944993</c:v>
                </c:pt>
                <c:pt idx="10">
                  <c:v>1.0683907677478099</c:v>
                </c:pt>
                <c:pt idx="11">
                  <c:v>1.13117180110701</c:v>
                </c:pt>
                <c:pt idx="12">
                  <c:v>0.99421602518435603</c:v>
                </c:pt>
                <c:pt idx="14">
                  <c:v>1.0587750080951299</c:v>
                </c:pt>
                <c:pt idx="15">
                  <c:v>1.04764110720538</c:v>
                </c:pt>
                <c:pt idx="16">
                  <c:v>1.1477045338510801</c:v>
                </c:pt>
                <c:pt idx="17">
                  <c:v>1.1126612766097499</c:v>
                </c:pt>
                <c:pt idx="18">
                  <c:v>1.2530304455719099</c:v>
                </c:pt>
                <c:pt idx="19">
                  <c:v>1.0813804129035001</c:v>
                </c:pt>
                <c:pt idx="20">
                  <c:v>1.2134925086481201</c:v>
                </c:pt>
                <c:pt idx="21">
                  <c:v>1.08380817355586</c:v>
                </c:pt>
                <c:pt idx="22">
                  <c:v>1.0367372638660399</c:v>
                </c:pt>
                <c:pt idx="23">
                  <c:v>1.1282134088167699</c:v>
                </c:pt>
              </c:numCache>
            </c:numRef>
          </c:xVal>
          <c:yVal>
            <c:numRef>
              <c:f>all!$J$42:$J$65</c:f>
              <c:numCache>
                <c:formatCode>General</c:formatCode>
                <c:ptCount val="24"/>
                <c:pt idx="0">
                  <c:v>47.354999999999997</c:v>
                </c:pt>
                <c:pt idx="2">
                  <c:v>101.105</c:v>
                </c:pt>
                <c:pt idx="3">
                  <c:v>44.466000000000001</c:v>
                </c:pt>
                <c:pt idx="4">
                  <c:v>47.503</c:v>
                </c:pt>
                <c:pt idx="6">
                  <c:v>54.055999999999997</c:v>
                </c:pt>
                <c:pt idx="7">
                  <c:v>53.783999999999999</c:v>
                </c:pt>
                <c:pt idx="8">
                  <c:v>53.783999999999999</c:v>
                </c:pt>
                <c:pt idx="12">
                  <c:v>60.710430000000002</c:v>
                </c:pt>
                <c:pt idx="13">
                  <c:v>45.71622</c:v>
                </c:pt>
                <c:pt idx="14">
                  <c:v>46.063560000000003</c:v>
                </c:pt>
                <c:pt idx="15">
                  <c:v>47.354999999999997</c:v>
                </c:pt>
                <c:pt idx="17">
                  <c:v>101.105</c:v>
                </c:pt>
                <c:pt idx="18">
                  <c:v>44.466000000000001</c:v>
                </c:pt>
                <c:pt idx="19">
                  <c:v>47.503</c:v>
                </c:pt>
                <c:pt idx="21">
                  <c:v>54.055999999999997</c:v>
                </c:pt>
                <c:pt idx="22">
                  <c:v>53.783999999999999</c:v>
                </c:pt>
                <c:pt idx="23">
                  <c:v>53.783999999999999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D8-4392-A552-A7E637397AA0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5820609639809114E-2"/>
                  <c:y val="0.11100427763978285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all!$D$42:$D$65</c:f>
              <c:numCache>
                <c:formatCode>0.000</c:formatCode>
                <c:ptCount val="24"/>
                <c:pt idx="0">
                  <c:v>0.38831940167197898</c:v>
                </c:pt>
                <c:pt idx="1">
                  <c:v>0.597784224122066</c:v>
                </c:pt>
                <c:pt idx="2">
                  <c:v>0.92934562720262803</c:v>
                </c:pt>
                <c:pt idx="3">
                  <c:v>-0.33094957948560899</c:v>
                </c:pt>
                <c:pt idx="4">
                  <c:v>-0.27375631737886102</c:v>
                </c:pt>
                <c:pt idx="7">
                  <c:v>0.59399199353963394</c:v>
                </c:pt>
                <c:pt idx="10">
                  <c:v>0.74870138294766397</c:v>
                </c:pt>
                <c:pt idx="11">
                  <c:v>1.1019405303793299</c:v>
                </c:pt>
                <c:pt idx="12">
                  <c:v>0.17884914222762199</c:v>
                </c:pt>
                <c:pt idx="14">
                  <c:v>0.662333397055619</c:v>
                </c:pt>
                <c:pt idx="15">
                  <c:v>1.10062768451704</c:v>
                </c:pt>
                <c:pt idx="16">
                  <c:v>0.97101599927504101</c:v>
                </c:pt>
                <c:pt idx="17">
                  <c:v>0.95380985457733503</c:v>
                </c:pt>
                <c:pt idx="18">
                  <c:v>1.1029723476739599</c:v>
                </c:pt>
                <c:pt idx="19">
                  <c:v>0.52079829390269505</c:v>
                </c:pt>
                <c:pt idx="20">
                  <c:v>0.94175163201491896</c:v>
                </c:pt>
                <c:pt idx="21">
                  <c:v>0.28231733716004298</c:v>
                </c:pt>
                <c:pt idx="22">
                  <c:v>0.55097576187408004</c:v>
                </c:pt>
                <c:pt idx="23">
                  <c:v>0.99053604379690696</c:v>
                </c:pt>
              </c:numCache>
            </c:numRef>
          </c:xVal>
          <c:yVal>
            <c:numRef>
              <c:f>all!$J$42:$J$65</c:f>
              <c:numCache>
                <c:formatCode>General</c:formatCode>
                <c:ptCount val="24"/>
                <c:pt idx="0">
                  <c:v>47.354999999999997</c:v>
                </c:pt>
                <c:pt idx="2">
                  <c:v>101.105</c:v>
                </c:pt>
                <c:pt idx="3">
                  <c:v>44.466000000000001</c:v>
                </c:pt>
                <c:pt idx="4">
                  <c:v>47.503</c:v>
                </c:pt>
                <c:pt idx="6">
                  <c:v>54.055999999999997</c:v>
                </c:pt>
                <c:pt idx="7">
                  <c:v>53.783999999999999</c:v>
                </c:pt>
                <c:pt idx="8">
                  <c:v>53.783999999999999</c:v>
                </c:pt>
                <c:pt idx="12">
                  <c:v>60.710430000000002</c:v>
                </c:pt>
                <c:pt idx="13">
                  <c:v>45.71622</c:v>
                </c:pt>
                <c:pt idx="14">
                  <c:v>46.063560000000003</c:v>
                </c:pt>
                <c:pt idx="15">
                  <c:v>47.354999999999997</c:v>
                </c:pt>
                <c:pt idx="17">
                  <c:v>101.105</c:v>
                </c:pt>
                <c:pt idx="18">
                  <c:v>44.466000000000001</c:v>
                </c:pt>
                <c:pt idx="19">
                  <c:v>47.503</c:v>
                </c:pt>
                <c:pt idx="21">
                  <c:v>54.055999999999997</c:v>
                </c:pt>
                <c:pt idx="22">
                  <c:v>53.783999999999999</c:v>
                </c:pt>
                <c:pt idx="23">
                  <c:v>53.783999999999999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D8-4392-A552-A7E637397AA0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4926049517057017E-2"/>
                  <c:y val="0.1664923572884569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all!$E$42:$E$65</c:f>
              <c:numCache>
                <c:formatCode>0.000</c:formatCode>
                <c:ptCount val="24"/>
                <c:pt idx="0">
                  <c:v>1.20306787922476E-2</c:v>
                </c:pt>
                <c:pt idx="1">
                  <c:v>2.7386597361713599E-2</c:v>
                </c:pt>
                <c:pt idx="2">
                  <c:v>2.8615745110634201E-2</c:v>
                </c:pt>
                <c:pt idx="3">
                  <c:v>4.4113621235337297E-2</c:v>
                </c:pt>
                <c:pt idx="4">
                  <c:v>-8.0536265843332393E-3</c:v>
                </c:pt>
                <c:pt idx="7">
                  <c:v>2.7450804091866201E-2</c:v>
                </c:pt>
                <c:pt idx="10">
                  <c:v>6.5697545304297195E-2</c:v>
                </c:pt>
                <c:pt idx="11">
                  <c:v>0.132436068542756</c:v>
                </c:pt>
                <c:pt idx="12">
                  <c:v>-4.2076076707890497E-3</c:v>
                </c:pt>
                <c:pt idx="14">
                  <c:v>0.12430930853391101</c:v>
                </c:pt>
                <c:pt idx="15">
                  <c:v>9.2876994447724404E-2</c:v>
                </c:pt>
                <c:pt idx="16">
                  <c:v>8.3834633446242604E-2</c:v>
                </c:pt>
                <c:pt idx="17">
                  <c:v>4.4857179056258203E-2</c:v>
                </c:pt>
                <c:pt idx="18">
                  <c:v>7.6664996000854094E-2</c:v>
                </c:pt>
                <c:pt idx="19">
                  <c:v>2.1219861817338499E-2</c:v>
                </c:pt>
                <c:pt idx="20">
                  <c:v>8.5275451626537893E-2</c:v>
                </c:pt>
                <c:pt idx="21">
                  <c:v>3.1629539106965802E-2</c:v>
                </c:pt>
                <c:pt idx="22">
                  <c:v>4.3964016574286002E-2</c:v>
                </c:pt>
                <c:pt idx="23">
                  <c:v>5.3048699734524599E-2</c:v>
                </c:pt>
              </c:numCache>
            </c:numRef>
          </c:xVal>
          <c:yVal>
            <c:numRef>
              <c:f>all!$J$42:$J$65</c:f>
              <c:numCache>
                <c:formatCode>General</c:formatCode>
                <c:ptCount val="24"/>
                <c:pt idx="0">
                  <c:v>47.354999999999997</c:v>
                </c:pt>
                <c:pt idx="2">
                  <c:v>101.105</c:v>
                </c:pt>
                <c:pt idx="3">
                  <c:v>44.466000000000001</c:v>
                </c:pt>
                <c:pt idx="4">
                  <c:v>47.503</c:v>
                </c:pt>
                <c:pt idx="6">
                  <c:v>54.055999999999997</c:v>
                </c:pt>
                <c:pt idx="7">
                  <c:v>53.783999999999999</c:v>
                </c:pt>
                <c:pt idx="8">
                  <c:v>53.783999999999999</c:v>
                </c:pt>
                <c:pt idx="12">
                  <c:v>60.710430000000002</c:v>
                </c:pt>
                <c:pt idx="13">
                  <c:v>45.71622</c:v>
                </c:pt>
                <c:pt idx="14">
                  <c:v>46.063560000000003</c:v>
                </c:pt>
                <c:pt idx="15">
                  <c:v>47.354999999999997</c:v>
                </c:pt>
                <c:pt idx="17">
                  <c:v>101.105</c:v>
                </c:pt>
                <c:pt idx="18">
                  <c:v>44.466000000000001</c:v>
                </c:pt>
                <c:pt idx="19">
                  <c:v>47.503</c:v>
                </c:pt>
                <c:pt idx="21">
                  <c:v>54.055999999999997</c:v>
                </c:pt>
                <c:pt idx="22">
                  <c:v>53.783999999999999</c:v>
                </c:pt>
                <c:pt idx="23">
                  <c:v>53.783999999999999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0D8-4392-A552-A7E637397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82927"/>
        <c:axId val="129899727"/>
      </c:scatterChart>
      <c:valAx>
        <c:axId val="12988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9727"/>
        <c:crosses val="autoZero"/>
        <c:crossBetween val="midCat"/>
      </c:valAx>
      <c:valAx>
        <c:axId val="1298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2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between events </a:t>
            </a:r>
            <a:r>
              <a:rPr lang="en-US" baseline="0"/>
              <a:t>to tc50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all!$G$4</c:f>
              <c:strCache>
                <c:ptCount val="1"/>
                <c:pt idx="0">
                  <c:v>Time between events (no τc exceedance) (hrs)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774664092473365"/>
                  <c:y val="7.0111217032094053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all!$G$10:$G$33</c:f>
              <c:numCache>
                <c:formatCode>General</c:formatCode>
                <c:ptCount val="24"/>
                <c:pt idx="0">
                  <c:v>21</c:v>
                </c:pt>
                <c:pt idx="1">
                  <c:v>21.5</c:v>
                </c:pt>
                <c:pt idx="2">
                  <c:v>75</c:v>
                </c:pt>
                <c:pt idx="3">
                  <c:v>47.5</c:v>
                </c:pt>
                <c:pt idx="4">
                  <c:v>23.5</c:v>
                </c:pt>
                <c:pt idx="5">
                  <c:v>27.75</c:v>
                </c:pt>
                <c:pt idx="6">
                  <c:v>20</c:v>
                </c:pt>
                <c:pt idx="7">
                  <c:v>23.75</c:v>
                </c:pt>
                <c:pt idx="8">
                  <c:v>23.5</c:v>
                </c:pt>
                <c:pt idx="9">
                  <c:v>24</c:v>
                </c:pt>
                <c:pt idx="11">
                  <c:v>22</c:v>
                </c:pt>
                <c:pt idx="12">
                  <c:v>21.75</c:v>
                </c:pt>
                <c:pt idx="13">
                  <c:v>48.5</c:v>
                </c:pt>
                <c:pt idx="14">
                  <c:v>28.75</c:v>
                </c:pt>
                <c:pt idx="15">
                  <c:v>21</c:v>
                </c:pt>
                <c:pt idx="16">
                  <c:v>21.5</c:v>
                </c:pt>
                <c:pt idx="17">
                  <c:v>75</c:v>
                </c:pt>
                <c:pt idx="18">
                  <c:v>47.5</c:v>
                </c:pt>
                <c:pt idx="19">
                  <c:v>23.5</c:v>
                </c:pt>
                <c:pt idx="20">
                  <c:v>27.75</c:v>
                </c:pt>
                <c:pt idx="21">
                  <c:v>20</c:v>
                </c:pt>
                <c:pt idx="22">
                  <c:v>23.75</c:v>
                </c:pt>
                <c:pt idx="23">
                  <c:v>23.5</c:v>
                </c:pt>
              </c:numCache>
            </c:numRef>
          </c:xVal>
          <c:yVal>
            <c:numRef>
              <c:f>all!$I$10:$I$33</c:f>
              <c:numCache>
                <c:formatCode>General</c:formatCode>
                <c:ptCount val="24"/>
                <c:pt idx="0">
                  <c:v>113.72040256</c:v>
                </c:pt>
                <c:pt idx="2">
                  <c:v>112.66319882000001</c:v>
                </c:pt>
                <c:pt idx="3">
                  <c:v>114.89097618</c:v>
                </c:pt>
                <c:pt idx="4">
                  <c:v>116.55531655999999</c:v>
                </c:pt>
                <c:pt idx="6">
                  <c:v>118.40602251999999</c:v>
                </c:pt>
                <c:pt idx="7">
                  <c:v>115.75512236</c:v>
                </c:pt>
                <c:pt idx="8">
                  <c:v>121.12197168</c:v>
                </c:pt>
                <c:pt idx="12">
                  <c:v>118.22733427999999</c:v>
                </c:pt>
                <c:pt idx="13">
                  <c:v>108.51115272</c:v>
                </c:pt>
                <c:pt idx="14">
                  <c:v>106.97060942</c:v>
                </c:pt>
                <c:pt idx="15">
                  <c:v>113.72040256</c:v>
                </c:pt>
                <c:pt idx="17">
                  <c:v>112.66319882000001</c:v>
                </c:pt>
                <c:pt idx="18">
                  <c:v>114.89097618</c:v>
                </c:pt>
                <c:pt idx="19">
                  <c:v>116.55531655999999</c:v>
                </c:pt>
                <c:pt idx="21">
                  <c:v>118.40602251999999</c:v>
                </c:pt>
                <c:pt idx="22">
                  <c:v>115.75512236</c:v>
                </c:pt>
                <c:pt idx="23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E7-46CA-B618-654D67C47FBA}"/>
            </c:ext>
          </c:extLst>
        </c:ser>
        <c:ser>
          <c:idx val="1"/>
          <c:order val="1"/>
          <c:tx>
            <c:strRef>
              <c:f>all!$H$4</c:f>
              <c:strCache>
                <c:ptCount val="1"/>
                <c:pt idx="0">
                  <c:v>Time between events τc exceedance (hrs)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955098096524016"/>
                  <c:y val="-0.1138507261817977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all!$H$10:$H$33</c:f>
              <c:numCache>
                <c:formatCode>General</c:formatCode>
                <c:ptCount val="24"/>
                <c:pt idx="0">
                  <c:v>21</c:v>
                </c:pt>
                <c:pt idx="2">
                  <c:v>96.5</c:v>
                </c:pt>
                <c:pt idx="3">
                  <c:v>47.5</c:v>
                </c:pt>
                <c:pt idx="4">
                  <c:v>23.5</c:v>
                </c:pt>
                <c:pt idx="6">
                  <c:v>47.75</c:v>
                </c:pt>
                <c:pt idx="7">
                  <c:v>23.75</c:v>
                </c:pt>
                <c:pt idx="8">
                  <c:v>23.5</c:v>
                </c:pt>
                <c:pt idx="13">
                  <c:v>48.5</c:v>
                </c:pt>
                <c:pt idx="14">
                  <c:v>28.75</c:v>
                </c:pt>
                <c:pt idx="15">
                  <c:v>21</c:v>
                </c:pt>
                <c:pt idx="17">
                  <c:v>96.5</c:v>
                </c:pt>
                <c:pt idx="18">
                  <c:v>47.5</c:v>
                </c:pt>
                <c:pt idx="19">
                  <c:v>23.5</c:v>
                </c:pt>
                <c:pt idx="21">
                  <c:v>47.75</c:v>
                </c:pt>
                <c:pt idx="22">
                  <c:v>23.75</c:v>
                </c:pt>
                <c:pt idx="23">
                  <c:v>23.5</c:v>
                </c:pt>
              </c:numCache>
            </c:numRef>
          </c:xVal>
          <c:yVal>
            <c:numRef>
              <c:f>all!$I$10:$I$33</c:f>
              <c:numCache>
                <c:formatCode>General</c:formatCode>
                <c:ptCount val="24"/>
                <c:pt idx="0">
                  <c:v>113.72040256</c:v>
                </c:pt>
                <c:pt idx="2">
                  <c:v>112.66319882000001</c:v>
                </c:pt>
                <c:pt idx="3">
                  <c:v>114.89097618</c:v>
                </c:pt>
                <c:pt idx="4">
                  <c:v>116.55531655999999</c:v>
                </c:pt>
                <c:pt idx="6">
                  <c:v>118.40602251999999</c:v>
                </c:pt>
                <c:pt idx="7">
                  <c:v>115.75512236</c:v>
                </c:pt>
                <c:pt idx="8">
                  <c:v>121.12197168</c:v>
                </c:pt>
                <c:pt idx="12">
                  <c:v>118.22733427999999</c:v>
                </c:pt>
                <c:pt idx="13">
                  <c:v>108.51115272</c:v>
                </c:pt>
                <c:pt idx="14">
                  <c:v>106.97060942</c:v>
                </c:pt>
                <c:pt idx="15">
                  <c:v>113.72040256</c:v>
                </c:pt>
                <c:pt idx="17">
                  <c:v>112.66319882000001</c:v>
                </c:pt>
                <c:pt idx="18">
                  <c:v>114.89097618</c:v>
                </c:pt>
                <c:pt idx="19">
                  <c:v>116.55531655999999</c:v>
                </c:pt>
                <c:pt idx="21">
                  <c:v>118.40602251999999</c:v>
                </c:pt>
                <c:pt idx="22">
                  <c:v>115.75512236</c:v>
                </c:pt>
                <c:pt idx="23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E7-46CA-B618-654D67C47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82927"/>
        <c:axId val="129899727"/>
      </c:scatterChart>
      <c:valAx>
        <c:axId val="12988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9727"/>
        <c:crosses val="autoZero"/>
        <c:crossBetween val="midCat"/>
      </c:valAx>
      <c:valAx>
        <c:axId val="1298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Critical</a:t>
                </a:r>
                <a:r>
                  <a:rPr lang="en-US" baseline="0"/>
                  <a:t> Shear Stress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2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</a:t>
            </a:r>
            <a:r>
              <a:rPr lang="en-US" baseline="0"/>
              <a:t> </a:t>
            </a:r>
            <a:r>
              <a:rPr lang="en-US"/>
              <a:t>concentration</a:t>
            </a:r>
            <a:r>
              <a:rPr lang="en-US" baseline="0"/>
              <a:t> to tc50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all!$B$3</c:f>
              <c:strCache>
                <c:ptCount val="1"/>
                <c:pt idx="0">
                  <c:v>SSC (mg/L)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955098096524016"/>
                  <c:y val="-0.1138507261817977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all!$F$10:$F$33</c:f>
              <c:numCache>
                <c:formatCode>0.00</c:formatCode>
                <c:ptCount val="24"/>
                <c:pt idx="0">
                  <c:v>10.34482759</c:v>
                </c:pt>
                <c:pt idx="1">
                  <c:v>26.086956520000001</c:v>
                </c:pt>
                <c:pt idx="2">
                  <c:v>8.125</c:v>
                </c:pt>
                <c:pt idx="3">
                  <c:v>12.67</c:v>
                </c:pt>
                <c:pt idx="4">
                  <c:v>42</c:v>
                </c:pt>
                <c:pt idx="7">
                  <c:v>20.666666670000001</c:v>
                </c:pt>
                <c:pt idx="10">
                  <c:v>16</c:v>
                </c:pt>
                <c:pt idx="11">
                  <c:v>21.5</c:v>
                </c:pt>
                <c:pt idx="12">
                  <c:v>12.222222220000001</c:v>
                </c:pt>
                <c:pt idx="15">
                  <c:v>11.25</c:v>
                </c:pt>
                <c:pt idx="16">
                  <c:v>15</c:v>
                </c:pt>
                <c:pt idx="17">
                  <c:v>11.612903230000001</c:v>
                </c:pt>
                <c:pt idx="18">
                  <c:v>14.545454550000001</c:v>
                </c:pt>
                <c:pt idx="19">
                  <c:v>45</c:v>
                </c:pt>
                <c:pt idx="20">
                  <c:v>20</c:v>
                </c:pt>
                <c:pt idx="21">
                  <c:v>4.375</c:v>
                </c:pt>
                <c:pt idx="22">
                  <c:v>24.375</c:v>
                </c:pt>
                <c:pt idx="23">
                  <c:v>5.7142857139999998</c:v>
                </c:pt>
              </c:numCache>
            </c:numRef>
          </c:xVal>
          <c:yVal>
            <c:numRef>
              <c:f>all!$I$10:$I$33</c:f>
              <c:numCache>
                <c:formatCode>General</c:formatCode>
                <c:ptCount val="24"/>
                <c:pt idx="0">
                  <c:v>113.72040256</c:v>
                </c:pt>
                <c:pt idx="2">
                  <c:v>112.66319882000001</c:v>
                </c:pt>
                <c:pt idx="3">
                  <c:v>114.89097618</c:v>
                </c:pt>
                <c:pt idx="4">
                  <c:v>116.55531655999999</c:v>
                </c:pt>
                <c:pt idx="6">
                  <c:v>118.40602251999999</c:v>
                </c:pt>
                <c:pt idx="7">
                  <c:v>115.75512236</c:v>
                </c:pt>
                <c:pt idx="8">
                  <c:v>121.12197168</c:v>
                </c:pt>
                <c:pt idx="12">
                  <c:v>118.22733427999999</c:v>
                </c:pt>
                <c:pt idx="13">
                  <c:v>108.51115272</c:v>
                </c:pt>
                <c:pt idx="14">
                  <c:v>106.97060942</c:v>
                </c:pt>
                <c:pt idx="15">
                  <c:v>113.72040256</c:v>
                </c:pt>
                <c:pt idx="17">
                  <c:v>112.66319882000001</c:v>
                </c:pt>
                <c:pt idx="18">
                  <c:v>114.89097618</c:v>
                </c:pt>
                <c:pt idx="19">
                  <c:v>116.55531655999999</c:v>
                </c:pt>
                <c:pt idx="21">
                  <c:v>118.40602251999999</c:v>
                </c:pt>
                <c:pt idx="22">
                  <c:v>115.75512236</c:v>
                </c:pt>
                <c:pt idx="23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DA2-4915-B80A-E3BFCA3A9295}"/>
            </c:ext>
          </c:extLst>
        </c:ser>
        <c:ser>
          <c:idx val="0"/>
          <c:order val="1"/>
          <c:tx>
            <c:strRef>
              <c:f>all!$B$35</c:f>
              <c:strCache>
                <c:ptCount val="1"/>
                <c:pt idx="0">
                  <c:v>DOC (mg/L)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2976517346989181"/>
                  <c:y val="-0.1597466559672583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all!$F$42:$F$65</c:f>
              <c:numCache>
                <c:formatCode>0.00</c:formatCode>
                <c:ptCount val="24"/>
                <c:pt idx="0">
                  <c:v>3.3380000000000001</c:v>
                </c:pt>
                <c:pt idx="1">
                  <c:v>3.37</c:v>
                </c:pt>
                <c:pt idx="2">
                  <c:v>3.2989999999999999</c:v>
                </c:pt>
                <c:pt idx="3">
                  <c:v>3.1309999999999998</c:v>
                </c:pt>
                <c:pt idx="4">
                  <c:v>3.7759999999999998</c:v>
                </c:pt>
                <c:pt idx="7">
                  <c:v>3.5110000000000001</c:v>
                </c:pt>
                <c:pt idx="10" formatCode="General">
                  <c:v>3.8290000000000002</c:v>
                </c:pt>
                <c:pt idx="11" formatCode="General">
                  <c:v>4.6630000000000003</c:v>
                </c:pt>
                <c:pt idx="12" formatCode="General">
                  <c:v>3.9940000000000002</c:v>
                </c:pt>
                <c:pt idx="14" formatCode="General">
                  <c:v>3.8860000000000001</c:v>
                </c:pt>
                <c:pt idx="15" formatCode="General">
                  <c:v>3.7970000000000002</c:v>
                </c:pt>
                <c:pt idx="16" formatCode="General">
                  <c:v>4.5410000000000004</c:v>
                </c:pt>
                <c:pt idx="17" formatCode="General">
                  <c:v>3.456</c:v>
                </c:pt>
                <c:pt idx="18" formatCode="General">
                  <c:v>4.681</c:v>
                </c:pt>
                <c:pt idx="19" formatCode="General">
                  <c:v>4.9790000000000001</c:v>
                </c:pt>
                <c:pt idx="20" formatCode="General">
                  <c:v>4.6879999999999997</c:v>
                </c:pt>
                <c:pt idx="21" formatCode="General">
                  <c:v>3.4780000000000002</c:v>
                </c:pt>
                <c:pt idx="22" formatCode="General">
                  <c:v>4.0039999999999996</c:v>
                </c:pt>
                <c:pt idx="23" formatCode="General">
                  <c:v>3.5750000000000002</c:v>
                </c:pt>
              </c:numCache>
            </c:numRef>
          </c:xVal>
          <c:yVal>
            <c:numRef>
              <c:f>all!$I$42:$I$65</c:f>
              <c:numCache>
                <c:formatCode>General</c:formatCode>
                <c:ptCount val="24"/>
                <c:pt idx="0">
                  <c:v>113.72040256</c:v>
                </c:pt>
                <c:pt idx="2">
                  <c:v>112.66319882000001</c:v>
                </c:pt>
                <c:pt idx="3">
                  <c:v>114.89097618</c:v>
                </c:pt>
                <c:pt idx="4">
                  <c:v>116.55531655999999</c:v>
                </c:pt>
                <c:pt idx="6">
                  <c:v>118.40602251999999</c:v>
                </c:pt>
                <c:pt idx="7">
                  <c:v>115.75512236</c:v>
                </c:pt>
                <c:pt idx="8">
                  <c:v>121.12197168</c:v>
                </c:pt>
                <c:pt idx="12">
                  <c:v>118.22733427999999</c:v>
                </c:pt>
                <c:pt idx="13">
                  <c:v>108.51115272</c:v>
                </c:pt>
                <c:pt idx="14">
                  <c:v>106.97060942</c:v>
                </c:pt>
                <c:pt idx="15">
                  <c:v>113.72040256</c:v>
                </c:pt>
                <c:pt idx="17">
                  <c:v>112.66319882000001</c:v>
                </c:pt>
                <c:pt idx="18">
                  <c:v>114.89097618</c:v>
                </c:pt>
                <c:pt idx="19">
                  <c:v>116.55531655999999</c:v>
                </c:pt>
                <c:pt idx="21">
                  <c:v>118.40602251999999</c:v>
                </c:pt>
                <c:pt idx="22">
                  <c:v>115.75512236</c:v>
                </c:pt>
                <c:pt idx="23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DA2-4915-B80A-E3BFCA3A9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82927"/>
        <c:axId val="129899727"/>
      </c:scatterChart>
      <c:valAx>
        <c:axId val="12988292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9727"/>
        <c:crosses val="autoZero"/>
        <c:crossBetween val="midCat"/>
      </c:valAx>
      <c:valAx>
        <c:axId val="1298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Critical</a:t>
                </a:r>
                <a:r>
                  <a:rPr lang="en-US" baseline="0"/>
                  <a:t> Shear Stress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2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</a:t>
            </a:r>
            <a:r>
              <a:rPr lang="en-US" baseline="0"/>
              <a:t> HI to tc50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all!$D$67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8959894400189136E-3"/>
                  <c:y val="0.22144861560354748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all!$D$71:$D$96</c:f>
              <c:numCache>
                <c:formatCode>0.0000</c:formatCode>
                <c:ptCount val="26"/>
                <c:pt idx="0">
                  <c:v>1.14568818263897</c:v>
                </c:pt>
                <c:pt idx="1">
                  <c:v>1.10273002217056</c:v>
                </c:pt>
                <c:pt idx="2">
                  <c:v>1.2576523908335999</c:v>
                </c:pt>
                <c:pt idx="3">
                  <c:v>1.24807759229999</c:v>
                </c:pt>
                <c:pt idx="4">
                  <c:v>1.42877693896201</c:v>
                </c:pt>
                <c:pt idx="5">
                  <c:v>1.33941755807892</c:v>
                </c:pt>
                <c:pt idx="6">
                  <c:v>1.3769164984553499</c:v>
                </c:pt>
                <c:pt idx="7">
                  <c:v>1.66488624253968</c:v>
                </c:pt>
                <c:pt idx="8">
                  <c:v>1.1538999764416</c:v>
                </c:pt>
                <c:pt idx="9">
                  <c:v>1.5749763159783401</c:v>
                </c:pt>
                <c:pt idx="10">
                  <c:v>1.3735151389442699</c:v>
                </c:pt>
                <c:pt idx="12">
                  <c:v>1.05849048577709</c:v>
                </c:pt>
                <c:pt idx="13">
                  <c:v>1.4368219825375701</c:v>
                </c:pt>
                <c:pt idx="14">
                  <c:v>1.1632876834321</c:v>
                </c:pt>
                <c:pt idx="15">
                  <c:v>1.1661766362910899</c:v>
                </c:pt>
                <c:pt idx="16">
                  <c:v>1.1611078257792899</c:v>
                </c:pt>
                <c:pt idx="17">
                  <c:v>1.2283054504143001</c:v>
                </c:pt>
                <c:pt idx="18">
                  <c:v>1.2985932043400299</c:v>
                </c:pt>
                <c:pt idx="19">
                  <c:v>1.25880991704892</c:v>
                </c:pt>
                <c:pt idx="20">
                  <c:v>1.2914529576795399</c:v>
                </c:pt>
                <c:pt idx="21">
                  <c:v>1.2886907903199001</c:v>
                </c:pt>
                <c:pt idx="22">
                  <c:v>1.39612401914989</c:v>
                </c:pt>
                <c:pt idx="23">
                  <c:v>1.15490049713987</c:v>
                </c:pt>
                <c:pt idx="24">
                  <c:v>1.6223687074200499</c:v>
                </c:pt>
                <c:pt idx="25">
                  <c:v>1.4572146309152101</c:v>
                </c:pt>
              </c:numCache>
            </c:numRef>
          </c:xVal>
          <c:yVal>
            <c:numRef>
              <c:f>all!$L$70:$L$96</c:f>
              <c:numCache>
                <c:formatCode>General</c:formatCode>
                <c:ptCount val="27"/>
                <c:pt idx="0">
                  <c:v>118.22733427999999</c:v>
                </c:pt>
                <c:pt idx="1">
                  <c:v>108.51115272</c:v>
                </c:pt>
                <c:pt idx="2">
                  <c:v>106.97060942</c:v>
                </c:pt>
                <c:pt idx="3">
                  <c:v>113.72040256</c:v>
                </c:pt>
                <c:pt idx="5">
                  <c:v>112.66319882000001</c:v>
                </c:pt>
                <c:pt idx="6">
                  <c:v>114.89097618</c:v>
                </c:pt>
                <c:pt idx="7">
                  <c:v>116.55531655999999</c:v>
                </c:pt>
                <c:pt idx="9">
                  <c:v>118.40602251999999</c:v>
                </c:pt>
                <c:pt idx="10">
                  <c:v>115.75512236</c:v>
                </c:pt>
                <c:pt idx="11">
                  <c:v>121.12197168</c:v>
                </c:pt>
                <c:pt idx="15">
                  <c:v>118.22733427999999</c:v>
                </c:pt>
                <c:pt idx="16">
                  <c:v>108.51115272</c:v>
                </c:pt>
                <c:pt idx="17">
                  <c:v>106.97060942</c:v>
                </c:pt>
                <c:pt idx="18">
                  <c:v>113.72040256</c:v>
                </c:pt>
                <c:pt idx="20">
                  <c:v>112.66319882000001</c:v>
                </c:pt>
                <c:pt idx="21">
                  <c:v>114.89097618</c:v>
                </c:pt>
                <c:pt idx="22">
                  <c:v>116.55531655999999</c:v>
                </c:pt>
                <c:pt idx="24">
                  <c:v>118.40602251999999</c:v>
                </c:pt>
                <c:pt idx="25">
                  <c:v>115.75512236</c:v>
                </c:pt>
                <c:pt idx="26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9E-4FE2-A8AD-24922B3D7994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4.7489574381930605E-2"/>
                  <c:y val="0.2258965244138286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all!$D$10:$D$33</c:f>
              <c:numCache>
                <c:formatCode>0.0000</c:formatCode>
                <c:ptCount val="24"/>
                <c:pt idx="0">
                  <c:v>0.66698565105034602</c:v>
                </c:pt>
                <c:pt idx="1">
                  <c:v>0.19762137224995299</c:v>
                </c:pt>
                <c:pt idx="2">
                  <c:v>0.54807771119966198</c:v>
                </c:pt>
                <c:pt idx="3">
                  <c:v>0.10106112243990099</c:v>
                </c:pt>
                <c:pt idx="4">
                  <c:v>0.50902572287082404</c:v>
                </c:pt>
                <c:pt idx="7">
                  <c:v>0.463447965306029</c:v>
                </c:pt>
                <c:pt idx="10">
                  <c:v>0.44896728093636801</c:v>
                </c:pt>
                <c:pt idx="11">
                  <c:v>1.5264059910121399</c:v>
                </c:pt>
                <c:pt idx="12">
                  <c:v>0.71671353985517805</c:v>
                </c:pt>
                <c:pt idx="15">
                  <c:v>0.678678630991426</c:v>
                </c:pt>
                <c:pt idx="16">
                  <c:v>0.81343884511072295</c:v>
                </c:pt>
                <c:pt idx="17">
                  <c:v>-1.07855599689062</c:v>
                </c:pt>
                <c:pt idx="18">
                  <c:v>1.34776836410395</c:v>
                </c:pt>
                <c:pt idx="19">
                  <c:v>0.55456789410428697</c:v>
                </c:pt>
                <c:pt idx="20">
                  <c:v>0.70468449804027899</c:v>
                </c:pt>
                <c:pt idx="21">
                  <c:v>-0.373253605455523</c:v>
                </c:pt>
                <c:pt idx="22">
                  <c:v>0.63056904760694898</c:v>
                </c:pt>
                <c:pt idx="23">
                  <c:v>-0.623899602892661</c:v>
                </c:pt>
              </c:numCache>
            </c:numRef>
          </c:xVal>
          <c:yVal>
            <c:numRef>
              <c:f>all!$I$10:$I$33</c:f>
              <c:numCache>
                <c:formatCode>General</c:formatCode>
                <c:ptCount val="24"/>
                <c:pt idx="0">
                  <c:v>113.72040256</c:v>
                </c:pt>
                <c:pt idx="2">
                  <c:v>112.66319882000001</c:v>
                </c:pt>
                <c:pt idx="3">
                  <c:v>114.89097618</c:v>
                </c:pt>
                <c:pt idx="4">
                  <c:v>116.55531655999999</c:v>
                </c:pt>
                <c:pt idx="6">
                  <c:v>118.40602251999999</c:v>
                </c:pt>
                <c:pt idx="7">
                  <c:v>115.75512236</c:v>
                </c:pt>
                <c:pt idx="8">
                  <c:v>121.12197168</c:v>
                </c:pt>
                <c:pt idx="12">
                  <c:v>118.22733427999999</c:v>
                </c:pt>
                <c:pt idx="13">
                  <c:v>108.51115272</c:v>
                </c:pt>
                <c:pt idx="14">
                  <c:v>106.97060942</c:v>
                </c:pt>
                <c:pt idx="15">
                  <c:v>113.72040256</c:v>
                </c:pt>
                <c:pt idx="17">
                  <c:v>112.66319882000001</c:v>
                </c:pt>
                <c:pt idx="18">
                  <c:v>114.89097618</c:v>
                </c:pt>
                <c:pt idx="19">
                  <c:v>116.55531655999999</c:v>
                </c:pt>
                <c:pt idx="21">
                  <c:v>118.40602251999999</c:v>
                </c:pt>
                <c:pt idx="22">
                  <c:v>115.75512236</c:v>
                </c:pt>
                <c:pt idx="23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59E-4FE2-A8AD-24922B3D7994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9.3012290532318576E-2"/>
                  <c:y val="0.19612362551341794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all!$E$10:$E$33</c:f>
              <c:numCache>
                <c:formatCode>0.0000</c:formatCode>
                <c:ptCount val="24"/>
                <c:pt idx="0">
                  <c:v>8.8732929175135894E-2</c:v>
                </c:pt>
                <c:pt idx="1">
                  <c:v>-1.9463558010346702E-2</c:v>
                </c:pt>
                <c:pt idx="2">
                  <c:v>0.10415722716452799</c:v>
                </c:pt>
                <c:pt idx="3">
                  <c:v>4.66251429291673E-2</c:v>
                </c:pt>
                <c:pt idx="4">
                  <c:v>9.0894558490112708E-3</c:v>
                </c:pt>
                <c:pt idx="7">
                  <c:v>2.0373962034653699E-2</c:v>
                </c:pt>
                <c:pt idx="10">
                  <c:v>2.4947102971666898E-2</c:v>
                </c:pt>
                <c:pt idx="11">
                  <c:v>9.6293174744729593E-3</c:v>
                </c:pt>
                <c:pt idx="12">
                  <c:v>0.14608753400636901</c:v>
                </c:pt>
                <c:pt idx="15">
                  <c:v>1.27691539373017E-2</c:v>
                </c:pt>
                <c:pt idx="16">
                  <c:v>6.7576112725014403E-2</c:v>
                </c:pt>
                <c:pt idx="17">
                  <c:v>-0.35416666689988402</c:v>
                </c:pt>
                <c:pt idx="18">
                  <c:v>4.5646344187588998E-2</c:v>
                </c:pt>
                <c:pt idx="19">
                  <c:v>1.47909285306715E-2</c:v>
                </c:pt>
                <c:pt idx="20">
                  <c:v>3.5842816756479302E-2</c:v>
                </c:pt>
                <c:pt idx="21">
                  <c:v>-4.0383997186219003E-2</c:v>
                </c:pt>
                <c:pt idx="22">
                  <c:v>3.6679485231980898E-2</c:v>
                </c:pt>
                <c:pt idx="23">
                  <c:v>-0.76160033358371604</c:v>
                </c:pt>
              </c:numCache>
            </c:numRef>
          </c:xVal>
          <c:yVal>
            <c:numRef>
              <c:f>all!$I$10:$I$33</c:f>
              <c:numCache>
                <c:formatCode>General</c:formatCode>
                <c:ptCount val="24"/>
                <c:pt idx="0">
                  <c:v>113.72040256</c:v>
                </c:pt>
                <c:pt idx="2">
                  <c:v>112.66319882000001</c:v>
                </c:pt>
                <c:pt idx="3">
                  <c:v>114.89097618</c:v>
                </c:pt>
                <c:pt idx="4">
                  <c:v>116.55531655999999</c:v>
                </c:pt>
                <c:pt idx="6">
                  <c:v>118.40602251999999</c:v>
                </c:pt>
                <c:pt idx="7">
                  <c:v>115.75512236</c:v>
                </c:pt>
                <c:pt idx="8">
                  <c:v>121.12197168</c:v>
                </c:pt>
                <c:pt idx="12">
                  <c:v>118.22733427999999</c:v>
                </c:pt>
                <c:pt idx="13">
                  <c:v>108.51115272</c:v>
                </c:pt>
                <c:pt idx="14">
                  <c:v>106.97060942</c:v>
                </c:pt>
                <c:pt idx="15">
                  <c:v>113.72040256</c:v>
                </c:pt>
                <c:pt idx="17">
                  <c:v>112.66319882000001</c:v>
                </c:pt>
                <c:pt idx="18">
                  <c:v>114.89097618</c:v>
                </c:pt>
                <c:pt idx="19">
                  <c:v>116.55531655999999</c:v>
                </c:pt>
                <c:pt idx="21">
                  <c:v>118.40602251999999</c:v>
                </c:pt>
                <c:pt idx="22">
                  <c:v>115.75512236</c:v>
                </c:pt>
                <c:pt idx="23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59E-4FE2-A8AD-24922B3D7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82927"/>
        <c:axId val="129899727"/>
      </c:scatterChart>
      <c:valAx>
        <c:axId val="12988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9727"/>
        <c:crosses val="autoZero"/>
        <c:crossBetween val="midCat"/>
      </c:valAx>
      <c:valAx>
        <c:axId val="1298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Critical</a:t>
                </a:r>
                <a:r>
                  <a:rPr lang="en-US" baseline="0"/>
                  <a:t> Shear Stress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2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fDOM</a:t>
            </a:r>
            <a:r>
              <a:rPr lang="en-US" baseline="0"/>
              <a:t> HI to tc50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66650974548111"/>
          <c:y val="0.18004530917761208"/>
          <c:w val="0.75074186828700784"/>
          <c:h val="0.49375460344531691"/>
        </c:manualLayout>
      </c:layout>
      <c:scatterChart>
        <c:scatterStyle val="lineMarker"/>
        <c:varyColors val="0"/>
        <c:ser>
          <c:idx val="0"/>
          <c:order val="0"/>
          <c:tx>
            <c:strRef>
              <c:f>all!$C$4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9686427824308545E-2"/>
                  <c:y val="0.23287174337896996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all!$Q$71:$Q$96</c:f>
              <c:numCache>
                <c:formatCode>0.00000</c:formatCode>
                <c:ptCount val="26"/>
                <c:pt idx="0">
                  <c:v>0.99703728594241603</c:v>
                </c:pt>
                <c:pt idx="1">
                  <c:v>1.05414106800948</c:v>
                </c:pt>
                <c:pt idx="2">
                  <c:v>1.00376784280544</c:v>
                </c:pt>
                <c:pt idx="3">
                  <c:v>0.965580440673389</c:v>
                </c:pt>
                <c:pt idx="4">
                  <c:v>1.0368691348627199</c:v>
                </c:pt>
                <c:pt idx="5">
                  <c:v>0.98011971152962396</c:v>
                </c:pt>
                <c:pt idx="6">
                  <c:v>0.80472452573481301</c:v>
                </c:pt>
                <c:pt idx="7">
                  <c:v>1.07122215244959</c:v>
                </c:pt>
                <c:pt idx="8">
                  <c:v>0.96842975873578097</c:v>
                </c:pt>
                <c:pt idx="9">
                  <c:v>0.99721998555050795</c:v>
                </c:pt>
                <c:pt idx="10">
                  <c:v>1.0088578932758001</c:v>
                </c:pt>
                <c:pt idx="12" formatCode="0.000">
                  <c:v>0.45078352403799399</c:v>
                </c:pt>
                <c:pt idx="13" formatCode="0.000">
                  <c:v>0.94043662960440699</c:v>
                </c:pt>
                <c:pt idx="14" formatCode="0.000">
                  <c:v>0.95863149267075098</c:v>
                </c:pt>
                <c:pt idx="15" formatCode="0.000">
                  <c:v>0.98251699448728103</c:v>
                </c:pt>
                <c:pt idx="16" formatCode="0.000">
                  <c:v>1.0568614326035</c:v>
                </c:pt>
                <c:pt idx="17" formatCode="0.000">
                  <c:v>1.03826719630338</c:v>
                </c:pt>
                <c:pt idx="18" formatCode="0.000">
                  <c:v>0.93867849021001804</c:v>
                </c:pt>
                <c:pt idx="19" formatCode="0.000">
                  <c:v>1.08896416336113</c:v>
                </c:pt>
                <c:pt idx="20" formatCode="0.000">
                  <c:v>1.18553177339745</c:v>
                </c:pt>
                <c:pt idx="21" formatCode="0.000">
                  <c:v>1.0643830961710401</c:v>
                </c:pt>
                <c:pt idx="22" formatCode="0.000">
                  <c:v>1.0913993357873799</c:v>
                </c:pt>
                <c:pt idx="23" formatCode="0.000">
                  <c:v>1.00259808767117</c:v>
                </c:pt>
                <c:pt idx="24" formatCode="0.000">
                  <c:v>1.0043452914566</c:v>
                </c:pt>
                <c:pt idx="25" formatCode="0.000">
                  <c:v>0.40870513477919201</c:v>
                </c:pt>
              </c:numCache>
            </c:numRef>
          </c:xVal>
          <c:yVal>
            <c:numRef>
              <c:f>all!$L$72:$L$96</c:f>
              <c:numCache>
                <c:formatCode>General</c:formatCode>
                <c:ptCount val="25"/>
                <c:pt idx="0">
                  <c:v>106.97060942</c:v>
                </c:pt>
                <c:pt idx="1">
                  <c:v>113.72040256</c:v>
                </c:pt>
                <c:pt idx="3">
                  <c:v>112.66319882000001</c:v>
                </c:pt>
                <c:pt idx="4">
                  <c:v>114.89097618</c:v>
                </c:pt>
                <c:pt idx="5">
                  <c:v>116.55531655999999</c:v>
                </c:pt>
                <c:pt idx="7">
                  <c:v>118.40602251999999</c:v>
                </c:pt>
                <c:pt idx="8">
                  <c:v>115.75512236</c:v>
                </c:pt>
                <c:pt idx="9">
                  <c:v>121.12197168</c:v>
                </c:pt>
                <c:pt idx="13">
                  <c:v>118.22733427999999</c:v>
                </c:pt>
                <c:pt idx="14">
                  <c:v>108.51115272</c:v>
                </c:pt>
                <c:pt idx="15">
                  <c:v>106.97060942</c:v>
                </c:pt>
                <c:pt idx="16">
                  <c:v>113.72040256</c:v>
                </c:pt>
                <c:pt idx="18">
                  <c:v>112.66319882000001</c:v>
                </c:pt>
                <c:pt idx="19">
                  <c:v>114.89097618</c:v>
                </c:pt>
                <c:pt idx="20">
                  <c:v>116.55531655999999</c:v>
                </c:pt>
                <c:pt idx="22">
                  <c:v>118.40602251999999</c:v>
                </c:pt>
                <c:pt idx="23">
                  <c:v>115.75512236</c:v>
                </c:pt>
                <c:pt idx="24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85-4C0C-AFFB-E6460C752539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9.130137025449811E-2"/>
                  <c:y val="0.1795121026416848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all!$R$70:$R$96</c:f>
              <c:numCache>
                <c:formatCode>0.0000</c:formatCode>
                <c:ptCount val="27"/>
                <c:pt idx="0">
                  <c:v>-0.31071591767089402</c:v>
                </c:pt>
                <c:pt idx="1">
                  <c:v>-0.72341186519112299</c:v>
                </c:pt>
                <c:pt idx="2">
                  <c:v>0.54135397831396403</c:v>
                </c:pt>
                <c:pt idx="3">
                  <c:v>-0.28173278371114102</c:v>
                </c:pt>
                <c:pt idx="4">
                  <c:v>-0.28388728833714599</c:v>
                </c:pt>
                <c:pt idx="5">
                  <c:v>-0.167176048352111</c:v>
                </c:pt>
                <c:pt idx="6">
                  <c:v>-0.234414236192791</c:v>
                </c:pt>
                <c:pt idx="7">
                  <c:v>-0.91543606234553399</c:v>
                </c:pt>
                <c:pt idx="8">
                  <c:v>-0.11116405161722299</c:v>
                </c:pt>
                <c:pt idx="9">
                  <c:v>-0.44122459346906301</c:v>
                </c:pt>
                <c:pt idx="10">
                  <c:v>-0.221642867808126</c:v>
                </c:pt>
                <c:pt idx="11">
                  <c:v>0.120506313986007</c:v>
                </c:pt>
                <c:pt idx="12">
                  <c:v>0.99778765474319298</c:v>
                </c:pt>
                <c:pt idx="13" formatCode="0.000">
                  <c:v>-0.811886428716041</c:v>
                </c:pt>
                <c:pt idx="14" formatCode="0.000">
                  <c:v>-0.54271122756527101</c:v>
                </c:pt>
                <c:pt idx="15" formatCode="0.000">
                  <c:v>-0.67772868565601696</c:v>
                </c:pt>
                <c:pt idx="16" formatCode="0.000">
                  <c:v>-0.76078071695181804</c:v>
                </c:pt>
                <c:pt idx="17" formatCode="0.000">
                  <c:v>0.64678217889059297</c:v>
                </c:pt>
                <c:pt idx="18" formatCode="0.000">
                  <c:v>-0.15477977693324399</c:v>
                </c:pt>
                <c:pt idx="19" formatCode="0.000">
                  <c:v>-0.86583274285189604</c:v>
                </c:pt>
                <c:pt idx="20" formatCode="0.000">
                  <c:v>0.61214631104569395</c:v>
                </c:pt>
                <c:pt idx="21" formatCode="0.000">
                  <c:v>0.59208584316733603</c:v>
                </c:pt>
                <c:pt idx="22" formatCode="0.000">
                  <c:v>0.74012064453311799</c:v>
                </c:pt>
                <c:pt idx="23" formatCode="0.000">
                  <c:v>0.62408685090742599</c:v>
                </c:pt>
                <c:pt idx="24" formatCode="0.000">
                  <c:v>0.25147892096544</c:v>
                </c:pt>
                <c:pt idx="25" formatCode="0.000">
                  <c:v>-2.3625782421043601E-2</c:v>
                </c:pt>
                <c:pt idx="26" formatCode="0.000">
                  <c:v>-0.95802365966780301</c:v>
                </c:pt>
              </c:numCache>
            </c:numRef>
          </c:xVal>
          <c:yVal>
            <c:numRef>
              <c:f>all!$L$70:$L$96</c:f>
              <c:numCache>
                <c:formatCode>General</c:formatCode>
                <c:ptCount val="27"/>
                <c:pt idx="0">
                  <c:v>118.22733427999999</c:v>
                </c:pt>
                <c:pt idx="1">
                  <c:v>108.51115272</c:v>
                </c:pt>
                <c:pt idx="2">
                  <c:v>106.97060942</c:v>
                </c:pt>
                <c:pt idx="3">
                  <c:v>113.72040256</c:v>
                </c:pt>
                <c:pt idx="5">
                  <c:v>112.66319882000001</c:v>
                </c:pt>
                <c:pt idx="6">
                  <c:v>114.89097618</c:v>
                </c:pt>
                <c:pt idx="7">
                  <c:v>116.55531655999999</c:v>
                </c:pt>
                <c:pt idx="9">
                  <c:v>118.40602251999999</c:v>
                </c:pt>
                <c:pt idx="10">
                  <c:v>115.75512236</c:v>
                </c:pt>
                <c:pt idx="11">
                  <c:v>121.12197168</c:v>
                </c:pt>
                <c:pt idx="15">
                  <c:v>118.22733427999999</c:v>
                </c:pt>
                <c:pt idx="16">
                  <c:v>108.51115272</c:v>
                </c:pt>
                <c:pt idx="17">
                  <c:v>106.97060942</c:v>
                </c:pt>
                <c:pt idx="18">
                  <c:v>113.72040256</c:v>
                </c:pt>
                <c:pt idx="20">
                  <c:v>112.66319882000001</c:v>
                </c:pt>
                <c:pt idx="21">
                  <c:v>114.89097618</c:v>
                </c:pt>
                <c:pt idx="22">
                  <c:v>116.55531655999999</c:v>
                </c:pt>
                <c:pt idx="24">
                  <c:v>118.40602251999999</c:v>
                </c:pt>
                <c:pt idx="25">
                  <c:v>115.75512236</c:v>
                </c:pt>
                <c:pt idx="26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85-4C0C-AFFB-E6460C752539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736952289204706"/>
                  <c:y val="-3.9816576951641038E-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all!$S$70:$S$97</c:f>
              <c:numCache>
                <c:formatCode>0.0000</c:formatCode>
                <c:ptCount val="28"/>
                <c:pt idx="0">
                  <c:v>-3.7834846370905402E-3</c:v>
                </c:pt>
                <c:pt idx="1">
                  <c:v>6.4581353214806597E-2</c:v>
                </c:pt>
                <c:pt idx="2">
                  <c:v>6.1895687016862502E-2</c:v>
                </c:pt>
                <c:pt idx="3">
                  <c:v>2.95836818188689E-2</c:v>
                </c:pt>
                <c:pt idx="4">
                  <c:v>-5.4892758010415703E-2</c:v>
                </c:pt>
                <c:pt idx="5">
                  <c:v>8.8641812543785899E-3</c:v>
                </c:pt>
                <c:pt idx="6">
                  <c:v>1.32778322661357E-2</c:v>
                </c:pt>
                <c:pt idx="7">
                  <c:v>-6.0975544853349099E-2</c:v>
                </c:pt>
                <c:pt idx="8">
                  <c:v>4.2081062239471598E-2</c:v>
                </c:pt>
                <c:pt idx="9">
                  <c:v>-1.77749404385871E-2</c:v>
                </c:pt>
                <c:pt idx="10">
                  <c:v>3.08855730575289E-3</c:v>
                </c:pt>
                <c:pt idx="11">
                  <c:v>-5.3081166180475401E-3</c:v>
                </c:pt>
                <c:pt idx="12">
                  <c:v>0.99566811930969701</c:v>
                </c:pt>
                <c:pt idx="13" formatCode="0.000">
                  <c:v>-9.3763935417501706E-2</c:v>
                </c:pt>
                <c:pt idx="14" formatCode="0.000">
                  <c:v>-5.2796335197095298E-2</c:v>
                </c:pt>
                <c:pt idx="15" formatCode="0.000">
                  <c:v>-5.9125313303963402E-2</c:v>
                </c:pt>
                <c:pt idx="16" formatCode="0.000">
                  <c:v>-4.1714957549384597E-2</c:v>
                </c:pt>
                <c:pt idx="17" formatCode="0.000">
                  <c:v>7.3340759088016003E-2</c:v>
                </c:pt>
                <c:pt idx="18" formatCode="0.000">
                  <c:v>7.1354925056258001E-3</c:v>
                </c:pt>
                <c:pt idx="19" formatCode="0.000">
                  <c:v>-0.28463650723553102</c:v>
                </c:pt>
                <c:pt idx="20" formatCode="0.000">
                  <c:v>-7.3287190867590401E-3</c:v>
                </c:pt>
                <c:pt idx="21" formatCode="0.000">
                  <c:v>0.10941628444022999</c:v>
                </c:pt>
                <c:pt idx="22" formatCode="0.000">
                  <c:v>-8.4675321487204705E-2</c:v>
                </c:pt>
                <c:pt idx="23" formatCode="0.000">
                  <c:v>-3.2911415817637998E-2</c:v>
                </c:pt>
                <c:pt idx="24" formatCode="0.000">
                  <c:v>-4.46763074582908E-2</c:v>
                </c:pt>
                <c:pt idx="25" formatCode="0.000">
                  <c:v>-1.53118918462132E-3</c:v>
                </c:pt>
                <c:pt idx="26" formatCode="0.000">
                  <c:v>-0.17920927988478999</c:v>
                </c:pt>
              </c:numCache>
            </c:numRef>
          </c:xVal>
          <c:yVal>
            <c:numRef>
              <c:f>all!$L$70:$L$96</c:f>
              <c:numCache>
                <c:formatCode>General</c:formatCode>
                <c:ptCount val="27"/>
                <c:pt idx="0">
                  <c:v>118.22733427999999</c:v>
                </c:pt>
                <c:pt idx="1">
                  <c:v>108.51115272</c:v>
                </c:pt>
                <c:pt idx="2">
                  <c:v>106.97060942</c:v>
                </c:pt>
                <c:pt idx="3">
                  <c:v>113.72040256</c:v>
                </c:pt>
                <c:pt idx="5">
                  <c:v>112.66319882000001</c:v>
                </c:pt>
                <c:pt idx="6">
                  <c:v>114.89097618</c:v>
                </c:pt>
                <c:pt idx="7">
                  <c:v>116.55531655999999</c:v>
                </c:pt>
                <c:pt idx="9">
                  <c:v>118.40602251999999</c:v>
                </c:pt>
                <c:pt idx="10">
                  <c:v>115.75512236</c:v>
                </c:pt>
                <c:pt idx="11">
                  <c:v>121.12197168</c:v>
                </c:pt>
                <c:pt idx="15">
                  <c:v>118.22733427999999</c:v>
                </c:pt>
                <c:pt idx="16">
                  <c:v>108.51115272</c:v>
                </c:pt>
                <c:pt idx="17">
                  <c:v>106.97060942</c:v>
                </c:pt>
                <c:pt idx="18">
                  <c:v>113.72040256</c:v>
                </c:pt>
                <c:pt idx="20">
                  <c:v>112.66319882000001</c:v>
                </c:pt>
                <c:pt idx="21">
                  <c:v>114.89097618</c:v>
                </c:pt>
                <c:pt idx="22">
                  <c:v>116.55531655999999</c:v>
                </c:pt>
                <c:pt idx="24">
                  <c:v>118.40602251999999</c:v>
                </c:pt>
                <c:pt idx="25">
                  <c:v>115.75512236</c:v>
                </c:pt>
                <c:pt idx="26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185-4C0C-AFFB-E6460C752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82927"/>
        <c:axId val="129899727"/>
      </c:scatterChart>
      <c:valAx>
        <c:axId val="12988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9727"/>
        <c:crosses val="autoZero"/>
        <c:crossBetween val="midCat"/>
      </c:valAx>
      <c:valAx>
        <c:axId val="129899727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Critical</a:t>
                </a:r>
                <a:r>
                  <a:rPr lang="en-US" baseline="0"/>
                  <a:t> Shear Stress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2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</a:t>
            </a:r>
            <a:r>
              <a:rPr lang="en-US" baseline="0"/>
              <a:t> HI to tc50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downstream!$C$4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3.2634862540543166E-2"/>
                  <c:y val="-0.19317617701518877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downstream!$C$10:$C$20</c:f>
              <c:numCache>
                <c:formatCode>0.0000</c:formatCode>
                <c:ptCount val="11"/>
                <c:pt idx="0">
                  <c:v>1.31746197777344</c:v>
                </c:pt>
                <c:pt idx="1">
                  <c:v>0.89735303995633098</c:v>
                </c:pt>
                <c:pt idx="2">
                  <c:v>1.39880081037808</c:v>
                </c:pt>
                <c:pt idx="3">
                  <c:v>1.2210038373368299</c:v>
                </c:pt>
                <c:pt idx="4">
                  <c:v>1.5249018262283101</c:v>
                </c:pt>
                <c:pt idx="7">
                  <c:v>1.36678278361715</c:v>
                </c:pt>
              </c:numCache>
            </c:numRef>
          </c:xVal>
          <c:yVal>
            <c:numRef>
              <c:f>downstream!$I$10:$I$20</c:f>
              <c:numCache>
                <c:formatCode>General</c:formatCode>
                <c:ptCount val="11"/>
                <c:pt idx="0">
                  <c:v>113.72040256</c:v>
                </c:pt>
                <c:pt idx="2">
                  <c:v>112.66319882000001</c:v>
                </c:pt>
                <c:pt idx="3">
                  <c:v>114.89097618</c:v>
                </c:pt>
                <c:pt idx="4">
                  <c:v>116.55531655999999</c:v>
                </c:pt>
                <c:pt idx="6">
                  <c:v>118.40602251999999</c:v>
                </c:pt>
                <c:pt idx="7">
                  <c:v>115.75512236</c:v>
                </c:pt>
                <c:pt idx="8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96-42D0-A8AB-6AFC26730A4F}"/>
            </c:ext>
          </c:extLst>
        </c:ser>
        <c:ser>
          <c:idx val="1"/>
          <c:order val="1"/>
          <c:tx>
            <c:strRef>
              <c:f>downstream!$D$4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543318484049627E-2"/>
                  <c:y val="-0.2212612523697921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downstream!$D$10:$D$20</c:f>
              <c:numCache>
                <c:formatCode>0.0000</c:formatCode>
                <c:ptCount val="11"/>
                <c:pt idx="0">
                  <c:v>0.66698565105034602</c:v>
                </c:pt>
                <c:pt idx="1">
                  <c:v>0.19762137224995299</c:v>
                </c:pt>
                <c:pt idx="2">
                  <c:v>0.54807771119966198</c:v>
                </c:pt>
                <c:pt idx="3">
                  <c:v>0.10106112243990099</c:v>
                </c:pt>
                <c:pt idx="4">
                  <c:v>0.50902572287082404</c:v>
                </c:pt>
                <c:pt idx="7">
                  <c:v>0.463447965306029</c:v>
                </c:pt>
              </c:numCache>
            </c:numRef>
          </c:xVal>
          <c:yVal>
            <c:numRef>
              <c:f>downstream!$I$10:$I$20</c:f>
              <c:numCache>
                <c:formatCode>General</c:formatCode>
                <c:ptCount val="11"/>
                <c:pt idx="0">
                  <c:v>113.72040256</c:v>
                </c:pt>
                <c:pt idx="2">
                  <c:v>112.66319882000001</c:v>
                </c:pt>
                <c:pt idx="3">
                  <c:v>114.89097618</c:v>
                </c:pt>
                <c:pt idx="4">
                  <c:v>116.55531655999999</c:v>
                </c:pt>
                <c:pt idx="6">
                  <c:v>118.40602251999999</c:v>
                </c:pt>
                <c:pt idx="7">
                  <c:v>115.75512236</c:v>
                </c:pt>
                <c:pt idx="8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96-42D0-A8AB-6AFC26730A4F}"/>
            </c:ext>
          </c:extLst>
        </c:ser>
        <c:ser>
          <c:idx val="2"/>
          <c:order val="2"/>
          <c:tx>
            <c:strRef>
              <c:f>downstream!$E$4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5061112842532803E-2"/>
                  <c:y val="-0.3207928915809957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downstream!$E$10:$E$20</c:f>
              <c:numCache>
                <c:formatCode>0.0000</c:formatCode>
                <c:ptCount val="11"/>
                <c:pt idx="0">
                  <c:v>8.8732929175135894E-2</c:v>
                </c:pt>
                <c:pt idx="1">
                  <c:v>-1.9463558010346702E-2</c:v>
                </c:pt>
                <c:pt idx="2">
                  <c:v>0.10415722716452799</c:v>
                </c:pt>
                <c:pt idx="3">
                  <c:v>4.66251429291673E-2</c:v>
                </c:pt>
                <c:pt idx="4">
                  <c:v>9.0894558490112708E-3</c:v>
                </c:pt>
                <c:pt idx="7">
                  <c:v>2.0373962034653699E-2</c:v>
                </c:pt>
              </c:numCache>
            </c:numRef>
          </c:xVal>
          <c:yVal>
            <c:numRef>
              <c:f>downstream!$I$10:$I$20</c:f>
              <c:numCache>
                <c:formatCode>General</c:formatCode>
                <c:ptCount val="11"/>
                <c:pt idx="0">
                  <c:v>113.72040256</c:v>
                </c:pt>
                <c:pt idx="2">
                  <c:v>112.66319882000001</c:v>
                </c:pt>
                <c:pt idx="3">
                  <c:v>114.89097618</c:v>
                </c:pt>
                <c:pt idx="4">
                  <c:v>116.55531655999999</c:v>
                </c:pt>
                <c:pt idx="6">
                  <c:v>118.40602251999999</c:v>
                </c:pt>
                <c:pt idx="7">
                  <c:v>115.75512236</c:v>
                </c:pt>
                <c:pt idx="8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296-42D0-A8AB-6AFC26730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82927"/>
        <c:axId val="129899727"/>
      </c:scatterChart>
      <c:valAx>
        <c:axId val="12988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9727"/>
        <c:crosses val="autoZero"/>
        <c:crossBetween val="midCat"/>
      </c:valAx>
      <c:valAx>
        <c:axId val="1298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Critical</a:t>
                </a:r>
                <a:r>
                  <a:rPr lang="en-US" baseline="0"/>
                  <a:t> Shear Stress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2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</a:t>
            </a:r>
            <a:r>
              <a:rPr lang="en-US" baseline="0"/>
              <a:t> HI to tc50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365954875027539"/>
          <c:y val="0.16220354928196187"/>
          <c:w val="0.76606370807209556"/>
          <c:h val="0.54392146896857607"/>
        </c:manualLayout>
      </c:layout>
      <c:scatterChart>
        <c:scatterStyle val="lineMarker"/>
        <c:varyColors val="0"/>
        <c:ser>
          <c:idx val="0"/>
          <c:order val="0"/>
          <c:tx>
            <c:strRef>
              <c:f>downstream!$C$4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4.6894223051689984E-2"/>
                  <c:y val="-0.2331585413894651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downstream!$C$28:$C$65</c:f>
              <c:numCache>
                <c:formatCode>0.000</c:formatCode>
                <c:ptCount val="38"/>
                <c:pt idx="0">
                  <c:v>1.01982556926034</c:v>
                </c:pt>
                <c:pt idx="1">
                  <c:v>1.0105385292601801</c:v>
                </c:pt>
                <c:pt idx="2">
                  <c:v>1.04413498578157</c:v>
                </c:pt>
                <c:pt idx="3">
                  <c:v>1.04959681992682</c:v>
                </c:pt>
                <c:pt idx="4">
                  <c:v>0.97400899474341096</c:v>
                </c:pt>
                <c:pt idx="7">
                  <c:v>1.03922347944993</c:v>
                </c:pt>
              </c:numCache>
            </c:numRef>
          </c:xVal>
          <c:yVal>
            <c:numRef>
              <c:f>downstream!$I$28:$I$65</c:f>
              <c:numCache>
                <c:formatCode>General</c:formatCode>
                <c:ptCount val="38"/>
                <c:pt idx="0">
                  <c:v>113.72040256</c:v>
                </c:pt>
                <c:pt idx="2">
                  <c:v>112.66319882000001</c:v>
                </c:pt>
                <c:pt idx="3">
                  <c:v>114.89097618</c:v>
                </c:pt>
                <c:pt idx="4">
                  <c:v>116.55531655999999</c:v>
                </c:pt>
                <c:pt idx="6">
                  <c:v>118.40602251999999</c:v>
                </c:pt>
                <c:pt idx="7">
                  <c:v>115.75512236</c:v>
                </c:pt>
                <c:pt idx="8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B4-471C-BB93-90FE1821BEC9}"/>
            </c:ext>
          </c:extLst>
        </c:ser>
        <c:ser>
          <c:idx val="1"/>
          <c:order val="1"/>
          <c:tx>
            <c:strRef>
              <c:f>downstream!$D$4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182643594614814E-2"/>
                  <c:y val="-0.1882966531957036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downstream!$D$28:$D$65</c:f>
              <c:numCache>
                <c:formatCode>0.000</c:formatCode>
                <c:ptCount val="38"/>
                <c:pt idx="0">
                  <c:v>0.38831940167197898</c:v>
                </c:pt>
                <c:pt idx="1">
                  <c:v>0.597784224122066</c:v>
                </c:pt>
                <c:pt idx="2">
                  <c:v>0.92934562720262803</c:v>
                </c:pt>
                <c:pt idx="3">
                  <c:v>-0.33094957948560899</c:v>
                </c:pt>
                <c:pt idx="4">
                  <c:v>-0.27375631737886102</c:v>
                </c:pt>
                <c:pt idx="7">
                  <c:v>0.59399199353963394</c:v>
                </c:pt>
              </c:numCache>
            </c:numRef>
          </c:xVal>
          <c:yVal>
            <c:numRef>
              <c:f>downstream!$I$28:$I$65</c:f>
              <c:numCache>
                <c:formatCode>General</c:formatCode>
                <c:ptCount val="38"/>
                <c:pt idx="0">
                  <c:v>113.72040256</c:v>
                </c:pt>
                <c:pt idx="2">
                  <c:v>112.66319882000001</c:v>
                </c:pt>
                <c:pt idx="3">
                  <c:v>114.89097618</c:v>
                </c:pt>
                <c:pt idx="4">
                  <c:v>116.55531655999999</c:v>
                </c:pt>
                <c:pt idx="6">
                  <c:v>118.40602251999999</c:v>
                </c:pt>
                <c:pt idx="7">
                  <c:v>115.75512236</c:v>
                </c:pt>
                <c:pt idx="8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B4-471C-BB93-90FE1821BEC9}"/>
            </c:ext>
          </c:extLst>
        </c:ser>
        <c:ser>
          <c:idx val="2"/>
          <c:order val="2"/>
          <c:tx>
            <c:strRef>
              <c:f>downstream!$E$4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2881431406248013E-2"/>
                  <c:y val="-0.29676166588154917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downstream!$E$28:$E$65</c:f>
              <c:numCache>
                <c:formatCode>0.000</c:formatCode>
                <c:ptCount val="38"/>
                <c:pt idx="0">
                  <c:v>1.20306787922476E-2</c:v>
                </c:pt>
                <c:pt idx="1">
                  <c:v>2.7386597361713599E-2</c:v>
                </c:pt>
                <c:pt idx="2">
                  <c:v>2.8615745110634201E-2</c:v>
                </c:pt>
                <c:pt idx="3">
                  <c:v>4.4113621235337297E-2</c:v>
                </c:pt>
                <c:pt idx="4">
                  <c:v>-8.0536265843332393E-3</c:v>
                </c:pt>
                <c:pt idx="7">
                  <c:v>2.7450804091866201E-2</c:v>
                </c:pt>
              </c:numCache>
            </c:numRef>
          </c:xVal>
          <c:yVal>
            <c:numRef>
              <c:f>downstream!$I$28:$I$65</c:f>
              <c:numCache>
                <c:formatCode>General</c:formatCode>
                <c:ptCount val="38"/>
                <c:pt idx="0">
                  <c:v>113.72040256</c:v>
                </c:pt>
                <c:pt idx="2">
                  <c:v>112.66319882000001</c:v>
                </c:pt>
                <c:pt idx="3">
                  <c:v>114.89097618</c:v>
                </c:pt>
                <c:pt idx="4">
                  <c:v>116.55531655999999</c:v>
                </c:pt>
                <c:pt idx="6">
                  <c:v>118.40602251999999</c:v>
                </c:pt>
                <c:pt idx="7">
                  <c:v>115.75512236</c:v>
                </c:pt>
                <c:pt idx="8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CB4-471C-BB93-90FE1821B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82927"/>
        <c:axId val="129899727"/>
      </c:scatterChart>
      <c:valAx>
        <c:axId val="12988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9727"/>
        <c:crosses val="autoZero"/>
        <c:crossBetween val="midCat"/>
      </c:valAx>
      <c:valAx>
        <c:axId val="1298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Critical</a:t>
                </a:r>
                <a:r>
                  <a:rPr lang="en-US" baseline="0"/>
                  <a:t> Shear Stress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2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</a:t>
            </a:r>
            <a:r>
              <a:rPr lang="en-US" baseline="0"/>
              <a:t> HI to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downstream!$C$4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5867128298522853E-2"/>
                  <c:y val="0.15634127049626317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downstream!$C$10:$C$20</c:f>
              <c:numCache>
                <c:formatCode>0.0000</c:formatCode>
                <c:ptCount val="11"/>
                <c:pt idx="0">
                  <c:v>1.31746197777344</c:v>
                </c:pt>
                <c:pt idx="1">
                  <c:v>0.89735303995633098</c:v>
                </c:pt>
                <c:pt idx="2">
                  <c:v>1.39880081037808</c:v>
                </c:pt>
                <c:pt idx="3">
                  <c:v>1.2210038373368299</c:v>
                </c:pt>
                <c:pt idx="4">
                  <c:v>1.5249018262283101</c:v>
                </c:pt>
                <c:pt idx="7">
                  <c:v>1.36678278361715</c:v>
                </c:pt>
              </c:numCache>
            </c:numRef>
          </c:xVal>
          <c:yVal>
            <c:numRef>
              <c:f>downstream!$J$10:$J$20</c:f>
              <c:numCache>
                <c:formatCode>General</c:formatCode>
                <c:ptCount val="11"/>
                <c:pt idx="0">
                  <c:v>47.354999999999997</c:v>
                </c:pt>
                <c:pt idx="2">
                  <c:v>101.105</c:v>
                </c:pt>
                <c:pt idx="3">
                  <c:v>44.466000000000001</c:v>
                </c:pt>
                <c:pt idx="4">
                  <c:v>47.503</c:v>
                </c:pt>
                <c:pt idx="6">
                  <c:v>54.055999999999997</c:v>
                </c:pt>
                <c:pt idx="7">
                  <c:v>53.783999999999999</c:v>
                </c:pt>
                <c:pt idx="8">
                  <c:v>53.783999999999999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B5-4B10-8C27-DFE3B1DB272E}"/>
            </c:ext>
          </c:extLst>
        </c:ser>
        <c:ser>
          <c:idx val="1"/>
          <c:order val="1"/>
          <c:tx>
            <c:strRef>
              <c:f>downstream!$D$4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5820609639809114E-2"/>
                  <c:y val="0.11100427763978285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downstream!$D$10:$D$20</c:f>
              <c:numCache>
                <c:formatCode>0.0000</c:formatCode>
                <c:ptCount val="11"/>
                <c:pt idx="0">
                  <c:v>0.66698565105034602</c:v>
                </c:pt>
                <c:pt idx="1">
                  <c:v>0.19762137224995299</c:v>
                </c:pt>
                <c:pt idx="2">
                  <c:v>0.54807771119966198</c:v>
                </c:pt>
                <c:pt idx="3">
                  <c:v>0.10106112243990099</c:v>
                </c:pt>
                <c:pt idx="4">
                  <c:v>0.50902572287082404</c:v>
                </c:pt>
                <c:pt idx="7">
                  <c:v>0.463447965306029</c:v>
                </c:pt>
              </c:numCache>
            </c:numRef>
          </c:xVal>
          <c:yVal>
            <c:numRef>
              <c:f>downstream!$J$10:$J$20</c:f>
              <c:numCache>
                <c:formatCode>General</c:formatCode>
                <c:ptCount val="11"/>
                <c:pt idx="0">
                  <c:v>47.354999999999997</c:v>
                </c:pt>
                <c:pt idx="2">
                  <c:v>101.105</c:v>
                </c:pt>
                <c:pt idx="3">
                  <c:v>44.466000000000001</c:v>
                </c:pt>
                <c:pt idx="4">
                  <c:v>47.503</c:v>
                </c:pt>
                <c:pt idx="6">
                  <c:v>54.055999999999997</c:v>
                </c:pt>
                <c:pt idx="7">
                  <c:v>53.783999999999999</c:v>
                </c:pt>
                <c:pt idx="8">
                  <c:v>53.783999999999999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1B5-4B10-8C27-DFE3B1DB272E}"/>
            </c:ext>
          </c:extLst>
        </c:ser>
        <c:ser>
          <c:idx val="2"/>
          <c:order val="2"/>
          <c:tx>
            <c:strRef>
              <c:f>downstream!$E$4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4926049517057017E-2"/>
                  <c:y val="0.1664923572884569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downstream!$E$10:$E$20</c:f>
              <c:numCache>
                <c:formatCode>0.0000</c:formatCode>
                <c:ptCount val="11"/>
                <c:pt idx="0">
                  <c:v>8.8732929175135894E-2</c:v>
                </c:pt>
                <c:pt idx="1">
                  <c:v>-1.9463558010346702E-2</c:v>
                </c:pt>
                <c:pt idx="2">
                  <c:v>0.10415722716452799</c:v>
                </c:pt>
                <c:pt idx="3">
                  <c:v>4.66251429291673E-2</c:v>
                </c:pt>
                <c:pt idx="4">
                  <c:v>9.0894558490112708E-3</c:v>
                </c:pt>
                <c:pt idx="7">
                  <c:v>2.0373962034653699E-2</c:v>
                </c:pt>
              </c:numCache>
            </c:numRef>
          </c:xVal>
          <c:yVal>
            <c:numRef>
              <c:f>downstream!$J$10:$J$20</c:f>
              <c:numCache>
                <c:formatCode>General</c:formatCode>
                <c:ptCount val="11"/>
                <c:pt idx="0">
                  <c:v>47.354999999999997</c:v>
                </c:pt>
                <c:pt idx="2">
                  <c:v>101.105</c:v>
                </c:pt>
                <c:pt idx="3">
                  <c:v>44.466000000000001</c:v>
                </c:pt>
                <c:pt idx="4">
                  <c:v>47.503</c:v>
                </c:pt>
                <c:pt idx="6">
                  <c:v>54.055999999999997</c:v>
                </c:pt>
                <c:pt idx="7">
                  <c:v>53.783999999999999</c:v>
                </c:pt>
                <c:pt idx="8">
                  <c:v>53.783999999999999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1B5-4B10-8C27-DFE3B1DB2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82927"/>
        <c:axId val="129899727"/>
      </c:scatterChart>
      <c:valAx>
        <c:axId val="12988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9727"/>
        <c:crosses val="autoZero"/>
        <c:crossBetween val="midCat"/>
      </c:valAx>
      <c:valAx>
        <c:axId val="1298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2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</a:t>
            </a:r>
            <a:r>
              <a:rPr lang="en-US" baseline="0"/>
              <a:t> HI to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downstream!$C$4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5867128298522853E-2"/>
                  <c:y val="0.15634127049626317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downstream!$C$28:$C$65</c:f>
              <c:numCache>
                <c:formatCode>0.000</c:formatCode>
                <c:ptCount val="38"/>
                <c:pt idx="0">
                  <c:v>1.01982556926034</c:v>
                </c:pt>
                <c:pt idx="1">
                  <c:v>1.0105385292601801</c:v>
                </c:pt>
                <c:pt idx="2">
                  <c:v>1.04413498578157</c:v>
                </c:pt>
                <c:pt idx="3">
                  <c:v>1.04959681992682</c:v>
                </c:pt>
                <c:pt idx="4">
                  <c:v>0.97400899474341096</c:v>
                </c:pt>
                <c:pt idx="7">
                  <c:v>1.03922347944993</c:v>
                </c:pt>
              </c:numCache>
            </c:numRef>
          </c:xVal>
          <c:yVal>
            <c:numRef>
              <c:f>downstream!$J$28:$J$65</c:f>
              <c:numCache>
                <c:formatCode>General</c:formatCode>
                <c:ptCount val="38"/>
                <c:pt idx="0">
                  <c:v>47.354999999999997</c:v>
                </c:pt>
                <c:pt idx="2">
                  <c:v>101.105</c:v>
                </c:pt>
                <c:pt idx="3">
                  <c:v>44.466000000000001</c:v>
                </c:pt>
                <c:pt idx="4">
                  <c:v>47.503</c:v>
                </c:pt>
                <c:pt idx="6">
                  <c:v>54.055999999999997</c:v>
                </c:pt>
                <c:pt idx="7">
                  <c:v>53.783999999999999</c:v>
                </c:pt>
                <c:pt idx="8">
                  <c:v>53.783999999999999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18-4127-AF90-989C146A793A}"/>
            </c:ext>
          </c:extLst>
        </c:ser>
        <c:ser>
          <c:idx val="1"/>
          <c:order val="1"/>
          <c:tx>
            <c:strRef>
              <c:f>downstream!$D$4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5820609639809114E-2"/>
                  <c:y val="0.11100427763978285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downstream!$D$28:$D$65</c:f>
              <c:numCache>
                <c:formatCode>0.000</c:formatCode>
                <c:ptCount val="38"/>
                <c:pt idx="0">
                  <c:v>0.38831940167197898</c:v>
                </c:pt>
                <c:pt idx="1">
                  <c:v>0.597784224122066</c:v>
                </c:pt>
                <c:pt idx="2">
                  <c:v>0.92934562720262803</c:v>
                </c:pt>
                <c:pt idx="3">
                  <c:v>-0.33094957948560899</c:v>
                </c:pt>
                <c:pt idx="4">
                  <c:v>-0.27375631737886102</c:v>
                </c:pt>
                <c:pt idx="7">
                  <c:v>0.59399199353963394</c:v>
                </c:pt>
              </c:numCache>
            </c:numRef>
          </c:xVal>
          <c:yVal>
            <c:numRef>
              <c:f>downstream!$J$28:$J$65</c:f>
              <c:numCache>
                <c:formatCode>General</c:formatCode>
                <c:ptCount val="38"/>
                <c:pt idx="0">
                  <c:v>47.354999999999997</c:v>
                </c:pt>
                <c:pt idx="2">
                  <c:v>101.105</c:v>
                </c:pt>
                <c:pt idx="3">
                  <c:v>44.466000000000001</c:v>
                </c:pt>
                <c:pt idx="4">
                  <c:v>47.503</c:v>
                </c:pt>
                <c:pt idx="6">
                  <c:v>54.055999999999997</c:v>
                </c:pt>
                <c:pt idx="7">
                  <c:v>53.783999999999999</c:v>
                </c:pt>
                <c:pt idx="8">
                  <c:v>53.783999999999999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18-4127-AF90-989C146A793A}"/>
            </c:ext>
          </c:extLst>
        </c:ser>
        <c:ser>
          <c:idx val="2"/>
          <c:order val="2"/>
          <c:tx>
            <c:strRef>
              <c:f>downstream!$E$4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4926049517057017E-2"/>
                  <c:y val="0.1664923572884569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downstream!$E$28:$E$65</c:f>
              <c:numCache>
                <c:formatCode>0.000</c:formatCode>
                <c:ptCount val="38"/>
                <c:pt idx="0">
                  <c:v>1.20306787922476E-2</c:v>
                </c:pt>
                <c:pt idx="1">
                  <c:v>2.7386597361713599E-2</c:v>
                </c:pt>
                <c:pt idx="2">
                  <c:v>2.8615745110634201E-2</c:v>
                </c:pt>
                <c:pt idx="3">
                  <c:v>4.4113621235337297E-2</c:v>
                </c:pt>
                <c:pt idx="4">
                  <c:v>-8.0536265843332393E-3</c:v>
                </c:pt>
                <c:pt idx="7">
                  <c:v>2.7450804091866201E-2</c:v>
                </c:pt>
              </c:numCache>
            </c:numRef>
          </c:xVal>
          <c:yVal>
            <c:numRef>
              <c:f>downstream!$J$28:$J$65</c:f>
              <c:numCache>
                <c:formatCode>General</c:formatCode>
                <c:ptCount val="38"/>
                <c:pt idx="0">
                  <c:v>47.354999999999997</c:v>
                </c:pt>
                <c:pt idx="2">
                  <c:v>101.105</c:v>
                </c:pt>
                <c:pt idx="3">
                  <c:v>44.466000000000001</c:v>
                </c:pt>
                <c:pt idx="4">
                  <c:v>47.503</c:v>
                </c:pt>
                <c:pt idx="6">
                  <c:v>54.055999999999997</c:v>
                </c:pt>
                <c:pt idx="7">
                  <c:v>53.783999999999999</c:v>
                </c:pt>
                <c:pt idx="8">
                  <c:v>53.783999999999999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F18-4127-AF90-989C146A7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82927"/>
        <c:axId val="129899727"/>
      </c:scatterChart>
      <c:valAx>
        <c:axId val="12988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9727"/>
        <c:crosses val="autoZero"/>
        <c:crossBetween val="midCat"/>
      </c:valAx>
      <c:valAx>
        <c:axId val="1298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2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between events </a:t>
            </a:r>
            <a:r>
              <a:rPr lang="en-US" baseline="0"/>
              <a:t>to tc50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downstream!$G$4</c:f>
              <c:strCache>
                <c:ptCount val="1"/>
                <c:pt idx="0">
                  <c:v>Time between events (no τc exceedance) (hrs)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490974235850939"/>
                  <c:y val="-0.28431494229436594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downstream!$G$10:$G$20</c:f>
              <c:numCache>
                <c:formatCode>General</c:formatCode>
                <c:ptCount val="11"/>
                <c:pt idx="0">
                  <c:v>21</c:v>
                </c:pt>
                <c:pt idx="1">
                  <c:v>21.5</c:v>
                </c:pt>
                <c:pt idx="2">
                  <c:v>75</c:v>
                </c:pt>
                <c:pt idx="3">
                  <c:v>47.5</c:v>
                </c:pt>
                <c:pt idx="4">
                  <c:v>23.5</c:v>
                </c:pt>
                <c:pt idx="5">
                  <c:v>27.75</c:v>
                </c:pt>
                <c:pt idx="6">
                  <c:v>20</c:v>
                </c:pt>
                <c:pt idx="7">
                  <c:v>23.75</c:v>
                </c:pt>
                <c:pt idx="8">
                  <c:v>23.5</c:v>
                </c:pt>
                <c:pt idx="9">
                  <c:v>24</c:v>
                </c:pt>
              </c:numCache>
            </c:numRef>
          </c:xVal>
          <c:yVal>
            <c:numRef>
              <c:f>downstream!$I$10:$I$20</c:f>
              <c:numCache>
                <c:formatCode>General</c:formatCode>
                <c:ptCount val="11"/>
                <c:pt idx="0">
                  <c:v>113.72040256</c:v>
                </c:pt>
                <c:pt idx="2">
                  <c:v>112.66319882000001</c:v>
                </c:pt>
                <c:pt idx="3">
                  <c:v>114.89097618</c:v>
                </c:pt>
                <c:pt idx="4">
                  <c:v>116.55531655999999</c:v>
                </c:pt>
                <c:pt idx="6">
                  <c:v>118.40602251999999</c:v>
                </c:pt>
                <c:pt idx="7">
                  <c:v>115.75512236</c:v>
                </c:pt>
                <c:pt idx="8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E6-4F48-BADB-BC9DE8FE8795}"/>
            </c:ext>
          </c:extLst>
        </c:ser>
        <c:ser>
          <c:idx val="1"/>
          <c:order val="1"/>
          <c:tx>
            <c:strRef>
              <c:f>downstream!$H$4</c:f>
              <c:strCache>
                <c:ptCount val="1"/>
                <c:pt idx="0">
                  <c:v>Time between events τc exceedance (hrs)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955098096524016"/>
                  <c:y val="-0.1138507261817977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downstream!$H$10:$H$20</c:f>
              <c:numCache>
                <c:formatCode>General</c:formatCode>
                <c:ptCount val="11"/>
                <c:pt idx="0">
                  <c:v>21</c:v>
                </c:pt>
                <c:pt idx="2">
                  <c:v>96.5</c:v>
                </c:pt>
                <c:pt idx="3">
                  <c:v>47.5</c:v>
                </c:pt>
                <c:pt idx="4">
                  <c:v>23.5</c:v>
                </c:pt>
                <c:pt idx="6">
                  <c:v>47.75</c:v>
                </c:pt>
                <c:pt idx="7">
                  <c:v>23.75</c:v>
                </c:pt>
                <c:pt idx="8">
                  <c:v>23.5</c:v>
                </c:pt>
              </c:numCache>
            </c:numRef>
          </c:xVal>
          <c:yVal>
            <c:numRef>
              <c:f>downstream!$I$10:$I$20</c:f>
              <c:numCache>
                <c:formatCode>General</c:formatCode>
                <c:ptCount val="11"/>
                <c:pt idx="0">
                  <c:v>113.72040256</c:v>
                </c:pt>
                <c:pt idx="2">
                  <c:v>112.66319882000001</c:v>
                </c:pt>
                <c:pt idx="3">
                  <c:v>114.89097618</c:v>
                </c:pt>
                <c:pt idx="4">
                  <c:v>116.55531655999999</c:v>
                </c:pt>
                <c:pt idx="6">
                  <c:v>118.40602251999999</c:v>
                </c:pt>
                <c:pt idx="7">
                  <c:v>115.75512236</c:v>
                </c:pt>
                <c:pt idx="8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9E6-4F48-BADB-BC9DE8FE8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82927"/>
        <c:axId val="129899727"/>
      </c:scatterChart>
      <c:valAx>
        <c:axId val="12988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9727"/>
        <c:crosses val="autoZero"/>
        <c:crossBetween val="midCat"/>
      </c:valAx>
      <c:valAx>
        <c:axId val="1298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Critical</a:t>
                </a:r>
                <a:r>
                  <a:rPr lang="en-US" baseline="0"/>
                  <a:t> Shear Stress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2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</a:t>
            </a:r>
            <a:r>
              <a:rPr lang="en-US" baseline="0"/>
              <a:t> </a:t>
            </a:r>
            <a:r>
              <a:rPr lang="en-US"/>
              <a:t>concentration</a:t>
            </a:r>
            <a:r>
              <a:rPr lang="en-US" baseline="0"/>
              <a:t> to tc50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downstream!$B$3</c:f>
              <c:strCache>
                <c:ptCount val="1"/>
                <c:pt idx="0">
                  <c:v>SSC (mg/L)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955098096524016"/>
                  <c:y val="-0.1138507261817977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downstream!$F$10:$F$20</c:f>
              <c:numCache>
                <c:formatCode>0.00</c:formatCode>
                <c:ptCount val="11"/>
                <c:pt idx="0">
                  <c:v>10.34482759</c:v>
                </c:pt>
                <c:pt idx="1">
                  <c:v>26.086956520000001</c:v>
                </c:pt>
                <c:pt idx="2">
                  <c:v>8.125</c:v>
                </c:pt>
                <c:pt idx="3">
                  <c:v>12.67</c:v>
                </c:pt>
                <c:pt idx="4">
                  <c:v>42</c:v>
                </c:pt>
                <c:pt idx="7">
                  <c:v>20.666666670000001</c:v>
                </c:pt>
              </c:numCache>
            </c:numRef>
          </c:xVal>
          <c:yVal>
            <c:numRef>
              <c:f>downstream!$I$10:$I$20</c:f>
              <c:numCache>
                <c:formatCode>General</c:formatCode>
                <c:ptCount val="11"/>
                <c:pt idx="0">
                  <c:v>113.72040256</c:v>
                </c:pt>
                <c:pt idx="2">
                  <c:v>112.66319882000001</c:v>
                </c:pt>
                <c:pt idx="3">
                  <c:v>114.89097618</c:v>
                </c:pt>
                <c:pt idx="4">
                  <c:v>116.55531655999999</c:v>
                </c:pt>
                <c:pt idx="6">
                  <c:v>118.40602251999999</c:v>
                </c:pt>
                <c:pt idx="7">
                  <c:v>115.75512236</c:v>
                </c:pt>
                <c:pt idx="8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3D-49F4-9C49-308D9692F213}"/>
            </c:ext>
          </c:extLst>
        </c:ser>
        <c:ser>
          <c:idx val="0"/>
          <c:order val="1"/>
          <c:tx>
            <c:strRef>
              <c:f>downstream!$B$21</c:f>
              <c:strCache>
                <c:ptCount val="1"/>
                <c:pt idx="0">
                  <c:v>DOC (mg/L)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2976517346989181"/>
                  <c:y val="-0.1597466559672583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downstream!$F$28:$F$65</c:f>
              <c:numCache>
                <c:formatCode>0.00</c:formatCode>
                <c:ptCount val="38"/>
                <c:pt idx="0">
                  <c:v>3.3380000000000001</c:v>
                </c:pt>
                <c:pt idx="1">
                  <c:v>3.37</c:v>
                </c:pt>
                <c:pt idx="2">
                  <c:v>3.2989999999999999</c:v>
                </c:pt>
                <c:pt idx="3">
                  <c:v>3.1309999999999998</c:v>
                </c:pt>
                <c:pt idx="4">
                  <c:v>3.7759999999999998</c:v>
                </c:pt>
                <c:pt idx="7">
                  <c:v>3.5110000000000001</c:v>
                </c:pt>
              </c:numCache>
            </c:numRef>
          </c:xVal>
          <c:yVal>
            <c:numRef>
              <c:f>downstream!$I$28:$I$65</c:f>
              <c:numCache>
                <c:formatCode>General</c:formatCode>
                <c:ptCount val="38"/>
                <c:pt idx="0">
                  <c:v>113.72040256</c:v>
                </c:pt>
                <c:pt idx="2">
                  <c:v>112.66319882000001</c:v>
                </c:pt>
                <c:pt idx="3">
                  <c:v>114.89097618</c:v>
                </c:pt>
                <c:pt idx="4">
                  <c:v>116.55531655999999</c:v>
                </c:pt>
                <c:pt idx="6">
                  <c:v>118.40602251999999</c:v>
                </c:pt>
                <c:pt idx="7">
                  <c:v>115.75512236</c:v>
                </c:pt>
                <c:pt idx="8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3D-49F4-9C49-308D9692F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82927"/>
        <c:axId val="129899727"/>
      </c:scatterChart>
      <c:valAx>
        <c:axId val="12988292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9727"/>
        <c:crosses val="autoZero"/>
        <c:crossBetween val="midCat"/>
      </c:valAx>
      <c:valAx>
        <c:axId val="1298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Critical</a:t>
                </a:r>
                <a:r>
                  <a:rPr lang="en-US" baseline="0"/>
                  <a:t> Shear Stress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2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</a:t>
            </a:r>
            <a:r>
              <a:rPr lang="en-US" baseline="0"/>
              <a:t> HI to tc50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downstream!$D$67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7737770323194973E-2"/>
                  <c:y val="-0.11368172599284594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downstream!$D$71:$D$96</c:f>
              <c:numCache>
                <c:formatCode>0.0000</c:formatCode>
                <c:ptCount val="26"/>
                <c:pt idx="0">
                  <c:v>1.14568818263897</c:v>
                </c:pt>
                <c:pt idx="1">
                  <c:v>1.10273002217056</c:v>
                </c:pt>
                <c:pt idx="2">
                  <c:v>1.2576523908335999</c:v>
                </c:pt>
                <c:pt idx="3">
                  <c:v>1.24807759229999</c:v>
                </c:pt>
                <c:pt idx="4">
                  <c:v>1.42877693896201</c:v>
                </c:pt>
                <c:pt idx="5">
                  <c:v>1.33941755807892</c:v>
                </c:pt>
                <c:pt idx="6">
                  <c:v>1.3769164984553499</c:v>
                </c:pt>
                <c:pt idx="7">
                  <c:v>1.66488624253968</c:v>
                </c:pt>
                <c:pt idx="8">
                  <c:v>1.1538999764416</c:v>
                </c:pt>
                <c:pt idx="9">
                  <c:v>1.5749763159783401</c:v>
                </c:pt>
                <c:pt idx="10">
                  <c:v>1.3735151389442699</c:v>
                </c:pt>
              </c:numCache>
            </c:numRef>
          </c:xVal>
          <c:yVal>
            <c:numRef>
              <c:f>downstream!$L$70:$L$96</c:f>
              <c:numCache>
                <c:formatCode>General</c:formatCode>
                <c:ptCount val="27"/>
                <c:pt idx="0">
                  <c:v>118.22733427999999</c:v>
                </c:pt>
                <c:pt idx="1">
                  <c:v>108.51115272</c:v>
                </c:pt>
                <c:pt idx="2">
                  <c:v>106.97060942</c:v>
                </c:pt>
                <c:pt idx="3">
                  <c:v>113.72040256</c:v>
                </c:pt>
                <c:pt idx="5">
                  <c:v>112.66319882000001</c:v>
                </c:pt>
                <c:pt idx="6">
                  <c:v>114.89097618</c:v>
                </c:pt>
                <c:pt idx="7">
                  <c:v>116.55531655999999</c:v>
                </c:pt>
                <c:pt idx="9">
                  <c:v>118.40602251999999</c:v>
                </c:pt>
                <c:pt idx="10">
                  <c:v>115.75512236</c:v>
                </c:pt>
                <c:pt idx="11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02-446D-A302-C28CA037F4B1}"/>
            </c:ext>
          </c:extLst>
        </c:ser>
        <c:ser>
          <c:idx val="1"/>
          <c:order val="1"/>
          <c:tx>
            <c:strRef>
              <c:f>downstream!$D$4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4.323325954405189E-2"/>
                  <c:y val="-0.14952034230107711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downstream!$D$10:$D$20</c:f>
              <c:numCache>
                <c:formatCode>0.0000</c:formatCode>
                <c:ptCount val="11"/>
                <c:pt idx="0">
                  <c:v>0.66698565105034602</c:v>
                </c:pt>
                <c:pt idx="1">
                  <c:v>0.19762137224995299</c:v>
                </c:pt>
                <c:pt idx="2">
                  <c:v>0.54807771119966198</c:v>
                </c:pt>
                <c:pt idx="3">
                  <c:v>0.10106112243990099</c:v>
                </c:pt>
                <c:pt idx="4">
                  <c:v>0.50902572287082404</c:v>
                </c:pt>
                <c:pt idx="7">
                  <c:v>0.463447965306029</c:v>
                </c:pt>
              </c:numCache>
            </c:numRef>
          </c:xVal>
          <c:yVal>
            <c:numRef>
              <c:f>downstream!$I$10:$I$20</c:f>
              <c:numCache>
                <c:formatCode>General</c:formatCode>
                <c:ptCount val="11"/>
                <c:pt idx="0">
                  <c:v>113.72040256</c:v>
                </c:pt>
                <c:pt idx="2">
                  <c:v>112.66319882000001</c:v>
                </c:pt>
                <c:pt idx="3">
                  <c:v>114.89097618</c:v>
                </c:pt>
                <c:pt idx="4">
                  <c:v>116.55531655999999</c:v>
                </c:pt>
                <c:pt idx="6">
                  <c:v>118.40602251999999</c:v>
                </c:pt>
                <c:pt idx="7">
                  <c:v>115.75512236</c:v>
                </c:pt>
                <c:pt idx="8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02-446D-A302-C28CA037F4B1}"/>
            </c:ext>
          </c:extLst>
        </c:ser>
        <c:ser>
          <c:idx val="2"/>
          <c:order val="2"/>
          <c:tx>
            <c:strRef>
              <c:f>downstream!$E$4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9939281071671935E-3"/>
                  <c:y val="-0.21349937030915145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downstream!$E$10:$E$20</c:f>
              <c:numCache>
                <c:formatCode>0.0000</c:formatCode>
                <c:ptCount val="11"/>
                <c:pt idx="0">
                  <c:v>8.8732929175135894E-2</c:v>
                </c:pt>
                <c:pt idx="1">
                  <c:v>-1.9463558010346702E-2</c:v>
                </c:pt>
                <c:pt idx="2">
                  <c:v>0.10415722716452799</c:v>
                </c:pt>
                <c:pt idx="3">
                  <c:v>4.66251429291673E-2</c:v>
                </c:pt>
                <c:pt idx="4">
                  <c:v>9.0894558490112708E-3</c:v>
                </c:pt>
                <c:pt idx="7">
                  <c:v>2.0373962034653699E-2</c:v>
                </c:pt>
              </c:numCache>
            </c:numRef>
          </c:xVal>
          <c:yVal>
            <c:numRef>
              <c:f>downstream!$I$10:$I$20</c:f>
              <c:numCache>
                <c:formatCode>General</c:formatCode>
                <c:ptCount val="11"/>
                <c:pt idx="0">
                  <c:v>113.72040256</c:v>
                </c:pt>
                <c:pt idx="2">
                  <c:v>112.66319882000001</c:v>
                </c:pt>
                <c:pt idx="3">
                  <c:v>114.89097618</c:v>
                </c:pt>
                <c:pt idx="4">
                  <c:v>116.55531655999999</c:v>
                </c:pt>
                <c:pt idx="6">
                  <c:v>118.40602251999999</c:v>
                </c:pt>
                <c:pt idx="7">
                  <c:v>115.75512236</c:v>
                </c:pt>
                <c:pt idx="8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302-446D-A302-C28CA037F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82927"/>
        <c:axId val="129899727"/>
      </c:scatterChart>
      <c:valAx>
        <c:axId val="12988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9727"/>
        <c:crosses val="autoZero"/>
        <c:crossBetween val="midCat"/>
      </c:valAx>
      <c:valAx>
        <c:axId val="1298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Critical</a:t>
                </a:r>
                <a:r>
                  <a:rPr lang="en-US" baseline="0"/>
                  <a:t> Shear Stress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2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fDOM</a:t>
            </a:r>
            <a:r>
              <a:rPr lang="en-US" baseline="0"/>
              <a:t> HI to tc50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66650974548111"/>
          <c:y val="0.18004530917761208"/>
          <c:w val="0.75074186828700784"/>
          <c:h val="0.49375460344531691"/>
        </c:manualLayout>
      </c:layout>
      <c:scatterChart>
        <c:scatterStyle val="lineMarker"/>
        <c:varyColors val="0"/>
        <c:ser>
          <c:idx val="0"/>
          <c:order val="0"/>
          <c:tx>
            <c:strRef>
              <c:f>downstream!$C$4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9686427824308545E-2"/>
                  <c:y val="0.23287174337896996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downstream!$Q$71:$Q$96</c:f>
              <c:numCache>
                <c:formatCode>0.00000</c:formatCode>
                <c:ptCount val="26"/>
                <c:pt idx="0">
                  <c:v>0.99703728594241603</c:v>
                </c:pt>
                <c:pt idx="1">
                  <c:v>1.05414106800948</c:v>
                </c:pt>
                <c:pt idx="2">
                  <c:v>1.00376784280544</c:v>
                </c:pt>
                <c:pt idx="3">
                  <c:v>0.965580440673389</c:v>
                </c:pt>
                <c:pt idx="4">
                  <c:v>1.0368691348627199</c:v>
                </c:pt>
                <c:pt idx="5">
                  <c:v>0.98011971152962396</c:v>
                </c:pt>
                <c:pt idx="6">
                  <c:v>0.80472452573481301</c:v>
                </c:pt>
                <c:pt idx="7">
                  <c:v>1.07122215244959</c:v>
                </c:pt>
                <c:pt idx="8">
                  <c:v>0.96842975873578097</c:v>
                </c:pt>
                <c:pt idx="9">
                  <c:v>0.99721998555050795</c:v>
                </c:pt>
                <c:pt idx="10">
                  <c:v>1.0088578932758001</c:v>
                </c:pt>
              </c:numCache>
            </c:numRef>
          </c:xVal>
          <c:yVal>
            <c:numRef>
              <c:f>downstream!$L$72:$L$96</c:f>
              <c:numCache>
                <c:formatCode>General</c:formatCode>
                <c:ptCount val="25"/>
                <c:pt idx="0">
                  <c:v>106.97060942</c:v>
                </c:pt>
                <c:pt idx="1">
                  <c:v>113.72040256</c:v>
                </c:pt>
                <c:pt idx="3">
                  <c:v>112.66319882000001</c:v>
                </c:pt>
                <c:pt idx="4">
                  <c:v>114.89097618</c:v>
                </c:pt>
                <c:pt idx="5">
                  <c:v>116.55531655999999</c:v>
                </c:pt>
                <c:pt idx="7">
                  <c:v>118.40602251999999</c:v>
                </c:pt>
                <c:pt idx="8">
                  <c:v>115.75512236</c:v>
                </c:pt>
                <c:pt idx="9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D3-45AC-BA23-CCEA9B98A9F0}"/>
            </c:ext>
          </c:extLst>
        </c:ser>
        <c:ser>
          <c:idx val="1"/>
          <c:order val="1"/>
          <c:tx>
            <c:strRef>
              <c:f>downstream!$D$4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9.130137025449811E-2"/>
                  <c:y val="0.1795121026416848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downstream!$R$70:$R$96</c:f>
              <c:numCache>
                <c:formatCode>0.0000</c:formatCode>
                <c:ptCount val="27"/>
                <c:pt idx="0">
                  <c:v>-0.31071591767089402</c:v>
                </c:pt>
                <c:pt idx="1">
                  <c:v>-0.72341186519112299</c:v>
                </c:pt>
                <c:pt idx="2">
                  <c:v>0.54135397831396403</c:v>
                </c:pt>
                <c:pt idx="3">
                  <c:v>-0.28173278371114102</c:v>
                </c:pt>
                <c:pt idx="4">
                  <c:v>-0.28388728833714599</c:v>
                </c:pt>
                <c:pt idx="5">
                  <c:v>-0.167176048352111</c:v>
                </c:pt>
                <c:pt idx="6">
                  <c:v>-0.234414236192791</c:v>
                </c:pt>
                <c:pt idx="7">
                  <c:v>-0.91543606234553399</c:v>
                </c:pt>
                <c:pt idx="8">
                  <c:v>-0.11116405161722299</c:v>
                </c:pt>
                <c:pt idx="9">
                  <c:v>-0.44122459346906301</c:v>
                </c:pt>
                <c:pt idx="10">
                  <c:v>-0.221642867808126</c:v>
                </c:pt>
                <c:pt idx="11">
                  <c:v>0.120506313986007</c:v>
                </c:pt>
                <c:pt idx="12">
                  <c:v>0.99778765474319298</c:v>
                </c:pt>
              </c:numCache>
            </c:numRef>
          </c:xVal>
          <c:yVal>
            <c:numRef>
              <c:f>downstream!$L$70:$L$96</c:f>
              <c:numCache>
                <c:formatCode>General</c:formatCode>
                <c:ptCount val="27"/>
                <c:pt idx="0">
                  <c:v>118.22733427999999</c:v>
                </c:pt>
                <c:pt idx="1">
                  <c:v>108.51115272</c:v>
                </c:pt>
                <c:pt idx="2">
                  <c:v>106.97060942</c:v>
                </c:pt>
                <c:pt idx="3">
                  <c:v>113.72040256</c:v>
                </c:pt>
                <c:pt idx="5">
                  <c:v>112.66319882000001</c:v>
                </c:pt>
                <c:pt idx="6">
                  <c:v>114.89097618</c:v>
                </c:pt>
                <c:pt idx="7">
                  <c:v>116.55531655999999</c:v>
                </c:pt>
                <c:pt idx="9">
                  <c:v>118.40602251999999</c:v>
                </c:pt>
                <c:pt idx="10">
                  <c:v>115.75512236</c:v>
                </c:pt>
                <c:pt idx="11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CD3-45AC-BA23-CCEA9B98A9F0}"/>
            </c:ext>
          </c:extLst>
        </c:ser>
        <c:ser>
          <c:idx val="2"/>
          <c:order val="2"/>
          <c:tx>
            <c:strRef>
              <c:f>downstream!$E$4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736952289204706"/>
                  <c:y val="-3.9816576951641038E-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downstream!$S$70:$S$97</c:f>
              <c:numCache>
                <c:formatCode>0.0000</c:formatCode>
                <c:ptCount val="28"/>
                <c:pt idx="0">
                  <c:v>-3.7834846370905402E-3</c:v>
                </c:pt>
                <c:pt idx="1">
                  <c:v>6.4581353214806597E-2</c:v>
                </c:pt>
                <c:pt idx="2">
                  <c:v>6.1895687016862502E-2</c:v>
                </c:pt>
                <c:pt idx="3">
                  <c:v>2.95836818188689E-2</c:v>
                </c:pt>
                <c:pt idx="4">
                  <c:v>-5.4892758010415703E-2</c:v>
                </c:pt>
                <c:pt idx="5">
                  <c:v>8.8641812543785899E-3</c:v>
                </c:pt>
                <c:pt idx="6">
                  <c:v>1.32778322661357E-2</c:v>
                </c:pt>
                <c:pt idx="7">
                  <c:v>-6.0975544853349099E-2</c:v>
                </c:pt>
                <c:pt idx="8">
                  <c:v>4.2081062239471598E-2</c:v>
                </c:pt>
                <c:pt idx="9">
                  <c:v>-1.77749404385871E-2</c:v>
                </c:pt>
                <c:pt idx="10">
                  <c:v>3.08855730575289E-3</c:v>
                </c:pt>
                <c:pt idx="11">
                  <c:v>-5.3081166180475401E-3</c:v>
                </c:pt>
                <c:pt idx="12">
                  <c:v>0.99566811930969701</c:v>
                </c:pt>
              </c:numCache>
            </c:numRef>
          </c:xVal>
          <c:yVal>
            <c:numRef>
              <c:f>downstream!$L$70:$L$96</c:f>
              <c:numCache>
                <c:formatCode>General</c:formatCode>
                <c:ptCount val="27"/>
                <c:pt idx="0">
                  <c:v>118.22733427999999</c:v>
                </c:pt>
                <c:pt idx="1">
                  <c:v>108.51115272</c:v>
                </c:pt>
                <c:pt idx="2">
                  <c:v>106.97060942</c:v>
                </c:pt>
                <c:pt idx="3">
                  <c:v>113.72040256</c:v>
                </c:pt>
                <c:pt idx="5">
                  <c:v>112.66319882000001</c:v>
                </c:pt>
                <c:pt idx="6">
                  <c:v>114.89097618</c:v>
                </c:pt>
                <c:pt idx="7">
                  <c:v>116.55531655999999</c:v>
                </c:pt>
                <c:pt idx="9">
                  <c:v>118.40602251999999</c:v>
                </c:pt>
                <c:pt idx="10">
                  <c:v>115.75512236</c:v>
                </c:pt>
                <c:pt idx="11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CD3-45AC-BA23-CCEA9B98A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82927"/>
        <c:axId val="129899727"/>
      </c:scatterChart>
      <c:valAx>
        <c:axId val="12988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9727"/>
        <c:crosses val="autoZero"/>
        <c:crossBetween val="midCat"/>
      </c:valAx>
      <c:valAx>
        <c:axId val="129899727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Critical</a:t>
                </a:r>
                <a:r>
                  <a:rPr lang="en-US" baseline="0"/>
                  <a:t> Shear Stress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2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</a:t>
            </a:r>
            <a:r>
              <a:rPr lang="en-US" baseline="0"/>
              <a:t> HI to tc50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upstream!$C$4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8959894400189136E-3"/>
                  <c:y val="0.22144861560354748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upstream!$C$10:$C$33</c:f>
              <c:numCache>
                <c:formatCode>0.0000</c:formatCode>
                <c:ptCount val="24"/>
                <c:pt idx="10">
                  <c:v>1.8695993339197901</c:v>
                </c:pt>
                <c:pt idx="11">
                  <c:v>1.21795864622288</c:v>
                </c:pt>
                <c:pt idx="12">
                  <c:v>1.0299659938988901</c:v>
                </c:pt>
                <c:pt idx="15">
                  <c:v>1.1534447144942801</c:v>
                </c:pt>
                <c:pt idx="16">
                  <c:v>1.6625275928143599</c:v>
                </c:pt>
                <c:pt idx="17">
                  <c:v>0.83858009935182098</c:v>
                </c:pt>
                <c:pt idx="18">
                  <c:v>2.31938512736013</c:v>
                </c:pt>
                <c:pt idx="19">
                  <c:v>1.66955637894203</c:v>
                </c:pt>
                <c:pt idx="21">
                  <c:v>0.90805045415642205</c:v>
                </c:pt>
                <c:pt idx="22">
                  <c:v>1.0862889042163599</c:v>
                </c:pt>
                <c:pt idx="23">
                  <c:v>0.39254775269290398</c:v>
                </c:pt>
              </c:numCache>
            </c:numRef>
          </c:xVal>
          <c:yVal>
            <c:numRef>
              <c:f>upstream!$I$10:$I$33</c:f>
              <c:numCache>
                <c:formatCode>General</c:formatCode>
                <c:ptCount val="24"/>
                <c:pt idx="12">
                  <c:v>118.22733427999999</c:v>
                </c:pt>
                <c:pt idx="13">
                  <c:v>108.51115272</c:v>
                </c:pt>
                <c:pt idx="14">
                  <c:v>106.97060942</c:v>
                </c:pt>
                <c:pt idx="15">
                  <c:v>113.72040256</c:v>
                </c:pt>
                <c:pt idx="17">
                  <c:v>112.66319882000001</c:v>
                </c:pt>
                <c:pt idx="18">
                  <c:v>114.89097618</c:v>
                </c:pt>
                <c:pt idx="19">
                  <c:v>116.55531655999999</c:v>
                </c:pt>
                <c:pt idx="21">
                  <c:v>118.40602251999999</c:v>
                </c:pt>
                <c:pt idx="22">
                  <c:v>115.75512236</c:v>
                </c:pt>
                <c:pt idx="23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50-4938-A264-59A68DA73C5D}"/>
            </c:ext>
          </c:extLst>
        </c:ser>
        <c:ser>
          <c:idx val="1"/>
          <c:order val="1"/>
          <c:tx>
            <c:strRef>
              <c:f>upstream!$D$4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4.7489574381930605E-2"/>
                  <c:y val="0.2258965244138286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upstream!$D$10:$D$33</c:f>
              <c:numCache>
                <c:formatCode>0.0000</c:formatCode>
                <c:ptCount val="24"/>
                <c:pt idx="10">
                  <c:v>0.44896728093636801</c:v>
                </c:pt>
                <c:pt idx="11">
                  <c:v>1.5264059910121399</c:v>
                </c:pt>
                <c:pt idx="12">
                  <c:v>0.71671353985517805</c:v>
                </c:pt>
                <c:pt idx="15">
                  <c:v>0.678678630991426</c:v>
                </c:pt>
                <c:pt idx="16">
                  <c:v>0.81343884511072295</c:v>
                </c:pt>
                <c:pt idx="17">
                  <c:v>-1.07855599689062</c:v>
                </c:pt>
                <c:pt idx="18">
                  <c:v>1.34776836410395</c:v>
                </c:pt>
                <c:pt idx="19">
                  <c:v>0.55456789410428697</c:v>
                </c:pt>
                <c:pt idx="20">
                  <c:v>0.70468449804027899</c:v>
                </c:pt>
                <c:pt idx="21">
                  <c:v>-0.373253605455523</c:v>
                </c:pt>
                <c:pt idx="22">
                  <c:v>0.63056904760694898</c:v>
                </c:pt>
                <c:pt idx="23">
                  <c:v>-0.623899602892661</c:v>
                </c:pt>
              </c:numCache>
            </c:numRef>
          </c:xVal>
          <c:yVal>
            <c:numRef>
              <c:f>upstream!$I$10:$I$33</c:f>
              <c:numCache>
                <c:formatCode>General</c:formatCode>
                <c:ptCount val="24"/>
                <c:pt idx="12">
                  <c:v>118.22733427999999</c:v>
                </c:pt>
                <c:pt idx="13">
                  <c:v>108.51115272</c:v>
                </c:pt>
                <c:pt idx="14">
                  <c:v>106.97060942</c:v>
                </c:pt>
                <c:pt idx="15">
                  <c:v>113.72040256</c:v>
                </c:pt>
                <c:pt idx="17">
                  <c:v>112.66319882000001</c:v>
                </c:pt>
                <c:pt idx="18">
                  <c:v>114.89097618</c:v>
                </c:pt>
                <c:pt idx="19">
                  <c:v>116.55531655999999</c:v>
                </c:pt>
                <c:pt idx="21">
                  <c:v>118.40602251999999</c:v>
                </c:pt>
                <c:pt idx="22">
                  <c:v>115.75512236</c:v>
                </c:pt>
                <c:pt idx="23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A50-4938-A264-59A68DA73C5D}"/>
            </c:ext>
          </c:extLst>
        </c:ser>
        <c:ser>
          <c:idx val="2"/>
          <c:order val="2"/>
          <c:tx>
            <c:strRef>
              <c:f>upstream!$E$4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9.3012290532318576E-2"/>
                  <c:y val="0.19612362551341794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upstream!$E$10:$E$33</c:f>
              <c:numCache>
                <c:formatCode>0.0000</c:formatCode>
                <c:ptCount val="24"/>
                <c:pt idx="10">
                  <c:v>2.4947102971666898E-2</c:v>
                </c:pt>
                <c:pt idx="11">
                  <c:v>9.6293174744729593E-3</c:v>
                </c:pt>
                <c:pt idx="12">
                  <c:v>0.14608753400636901</c:v>
                </c:pt>
                <c:pt idx="15">
                  <c:v>1.27691539373017E-2</c:v>
                </c:pt>
                <c:pt idx="16">
                  <c:v>6.7576112725014403E-2</c:v>
                </c:pt>
                <c:pt idx="17">
                  <c:v>-0.35416666689988402</c:v>
                </c:pt>
                <c:pt idx="18">
                  <c:v>4.5646344187588998E-2</c:v>
                </c:pt>
                <c:pt idx="19">
                  <c:v>1.47909285306715E-2</c:v>
                </c:pt>
                <c:pt idx="20">
                  <c:v>3.5842816756479302E-2</c:v>
                </c:pt>
                <c:pt idx="21">
                  <c:v>-4.0383997186219003E-2</c:v>
                </c:pt>
                <c:pt idx="22">
                  <c:v>3.6679485231980898E-2</c:v>
                </c:pt>
                <c:pt idx="23">
                  <c:v>-0.76160033358371604</c:v>
                </c:pt>
              </c:numCache>
            </c:numRef>
          </c:xVal>
          <c:yVal>
            <c:numRef>
              <c:f>upstream!$I$10:$I$33</c:f>
              <c:numCache>
                <c:formatCode>General</c:formatCode>
                <c:ptCount val="24"/>
                <c:pt idx="12">
                  <c:v>118.22733427999999</c:v>
                </c:pt>
                <c:pt idx="13">
                  <c:v>108.51115272</c:v>
                </c:pt>
                <c:pt idx="14">
                  <c:v>106.97060942</c:v>
                </c:pt>
                <c:pt idx="15">
                  <c:v>113.72040256</c:v>
                </c:pt>
                <c:pt idx="17">
                  <c:v>112.66319882000001</c:v>
                </c:pt>
                <c:pt idx="18">
                  <c:v>114.89097618</c:v>
                </c:pt>
                <c:pt idx="19">
                  <c:v>116.55531655999999</c:v>
                </c:pt>
                <c:pt idx="21">
                  <c:v>118.40602251999999</c:v>
                </c:pt>
                <c:pt idx="22">
                  <c:v>115.75512236</c:v>
                </c:pt>
                <c:pt idx="23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A50-4938-A264-59A68DA73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82927"/>
        <c:axId val="129899727"/>
      </c:scatterChart>
      <c:valAx>
        <c:axId val="12988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9727"/>
        <c:crosses val="autoZero"/>
        <c:crossBetween val="midCat"/>
      </c:valAx>
      <c:valAx>
        <c:axId val="1298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Critical</a:t>
                </a:r>
                <a:r>
                  <a:rPr lang="en-US" baseline="0"/>
                  <a:t> Shear Stress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2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</a:t>
            </a:r>
            <a:r>
              <a:rPr lang="en-US" baseline="0"/>
              <a:t> HI to tc50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upstream!$C$4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8959894400189136E-3"/>
                  <c:y val="0.22144861560354748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upstream!$C$42:$C$65</c:f>
              <c:numCache>
                <c:formatCode>0.000</c:formatCode>
                <c:ptCount val="24"/>
                <c:pt idx="10">
                  <c:v>1.0683907677478099</c:v>
                </c:pt>
                <c:pt idx="11">
                  <c:v>1.13117180110701</c:v>
                </c:pt>
                <c:pt idx="12">
                  <c:v>0.99421602518435603</c:v>
                </c:pt>
                <c:pt idx="14">
                  <c:v>1.0587750080951299</c:v>
                </c:pt>
                <c:pt idx="15">
                  <c:v>1.04764110720538</c:v>
                </c:pt>
                <c:pt idx="16">
                  <c:v>1.1477045338510801</c:v>
                </c:pt>
                <c:pt idx="17">
                  <c:v>1.1126612766097499</c:v>
                </c:pt>
                <c:pt idx="18">
                  <c:v>1.2530304455719099</c:v>
                </c:pt>
                <c:pt idx="19">
                  <c:v>1.0813804129035001</c:v>
                </c:pt>
                <c:pt idx="20">
                  <c:v>1.2134925086481201</c:v>
                </c:pt>
                <c:pt idx="21">
                  <c:v>1.08380817355586</c:v>
                </c:pt>
                <c:pt idx="22">
                  <c:v>1.0367372638660399</c:v>
                </c:pt>
                <c:pt idx="23">
                  <c:v>1.1282134088167699</c:v>
                </c:pt>
              </c:numCache>
            </c:numRef>
          </c:xVal>
          <c:yVal>
            <c:numRef>
              <c:f>upstream!$I$42:$I$65</c:f>
              <c:numCache>
                <c:formatCode>General</c:formatCode>
                <c:ptCount val="24"/>
                <c:pt idx="12">
                  <c:v>118.22733427999999</c:v>
                </c:pt>
                <c:pt idx="13">
                  <c:v>108.51115272</c:v>
                </c:pt>
                <c:pt idx="14">
                  <c:v>106.97060942</c:v>
                </c:pt>
                <c:pt idx="15">
                  <c:v>113.72040256</c:v>
                </c:pt>
                <c:pt idx="17">
                  <c:v>112.66319882000001</c:v>
                </c:pt>
                <c:pt idx="18">
                  <c:v>114.89097618</c:v>
                </c:pt>
                <c:pt idx="19">
                  <c:v>116.55531655999999</c:v>
                </c:pt>
                <c:pt idx="21">
                  <c:v>118.40602251999999</c:v>
                </c:pt>
                <c:pt idx="22">
                  <c:v>115.75512236</c:v>
                </c:pt>
                <c:pt idx="23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1A-4E7E-BD65-E0B6ADEEE29E}"/>
            </c:ext>
          </c:extLst>
        </c:ser>
        <c:ser>
          <c:idx val="1"/>
          <c:order val="1"/>
          <c:tx>
            <c:strRef>
              <c:f>upstream!$D$4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4.7489574381930605E-2"/>
                  <c:y val="0.2258965244138286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upstream!$D$42:$D$65</c:f>
              <c:numCache>
                <c:formatCode>0.000</c:formatCode>
                <c:ptCount val="24"/>
                <c:pt idx="10">
                  <c:v>0.74870138294766397</c:v>
                </c:pt>
                <c:pt idx="11">
                  <c:v>1.1019405303793299</c:v>
                </c:pt>
                <c:pt idx="12">
                  <c:v>0.17884914222762199</c:v>
                </c:pt>
                <c:pt idx="14">
                  <c:v>0.662333397055619</c:v>
                </c:pt>
                <c:pt idx="15">
                  <c:v>1.10062768451704</c:v>
                </c:pt>
                <c:pt idx="16">
                  <c:v>0.97101599927504101</c:v>
                </c:pt>
                <c:pt idx="17">
                  <c:v>0.95380985457733503</c:v>
                </c:pt>
                <c:pt idx="18">
                  <c:v>1.1029723476739599</c:v>
                </c:pt>
                <c:pt idx="19">
                  <c:v>0.52079829390269505</c:v>
                </c:pt>
                <c:pt idx="20">
                  <c:v>0.94175163201491896</c:v>
                </c:pt>
                <c:pt idx="21">
                  <c:v>0.28231733716004298</c:v>
                </c:pt>
                <c:pt idx="22">
                  <c:v>0.55097576187408004</c:v>
                </c:pt>
                <c:pt idx="23">
                  <c:v>0.99053604379690696</c:v>
                </c:pt>
              </c:numCache>
            </c:numRef>
          </c:xVal>
          <c:yVal>
            <c:numRef>
              <c:f>upstream!$I$42:$I$65</c:f>
              <c:numCache>
                <c:formatCode>General</c:formatCode>
                <c:ptCount val="24"/>
                <c:pt idx="12">
                  <c:v>118.22733427999999</c:v>
                </c:pt>
                <c:pt idx="13">
                  <c:v>108.51115272</c:v>
                </c:pt>
                <c:pt idx="14">
                  <c:v>106.97060942</c:v>
                </c:pt>
                <c:pt idx="15">
                  <c:v>113.72040256</c:v>
                </c:pt>
                <c:pt idx="17">
                  <c:v>112.66319882000001</c:v>
                </c:pt>
                <c:pt idx="18">
                  <c:v>114.89097618</c:v>
                </c:pt>
                <c:pt idx="19">
                  <c:v>116.55531655999999</c:v>
                </c:pt>
                <c:pt idx="21">
                  <c:v>118.40602251999999</c:v>
                </c:pt>
                <c:pt idx="22">
                  <c:v>115.75512236</c:v>
                </c:pt>
                <c:pt idx="23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D1A-4E7E-BD65-E0B6ADEEE29E}"/>
            </c:ext>
          </c:extLst>
        </c:ser>
        <c:ser>
          <c:idx val="2"/>
          <c:order val="2"/>
          <c:tx>
            <c:strRef>
              <c:f>upstream!$E$4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5.3252946629997952E-2"/>
                  <c:y val="1.6192228261109907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upstream!$E$42:$E$65</c:f>
              <c:numCache>
                <c:formatCode>0.000</c:formatCode>
                <c:ptCount val="24"/>
                <c:pt idx="10">
                  <c:v>6.5697545304297195E-2</c:v>
                </c:pt>
                <c:pt idx="11">
                  <c:v>0.132436068542756</c:v>
                </c:pt>
                <c:pt idx="12">
                  <c:v>-4.2076076707890497E-3</c:v>
                </c:pt>
                <c:pt idx="14">
                  <c:v>0.12430930853391101</c:v>
                </c:pt>
                <c:pt idx="15">
                  <c:v>9.2876994447724404E-2</c:v>
                </c:pt>
                <c:pt idx="16">
                  <c:v>8.3834633446242604E-2</c:v>
                </c:pt>
                <c:pt idx="17">
                  <c:v>4.4857179056258203E-2</c:v>
                </c:pt>
                <c:pt idx="18">
                  <c:v>7.6664996000854094E-2</c:v>
                </c:pt>
                <c:pt idx="19">
                  <c:v>2.1219861817338499E-2</c:v>
                </c:pt>
                <c:pt idx="20">
                  <c:v>8.5275451626537893E-2</c:v>
                </c:pt>
                <c:pt idx="21">
                  <c:v>3.1629539106965802E-2</c:v>
                </c:pt>
                <c:pt idx="22">
                  <c:v>4.3964016574286002E-2</c:v>
                </c:pt>
                <c:pt idx="23">
                  <c:v>5.3048699734524599E-2</c:v>
                </c:pt>
              </c:numCache>
            </c:numRef>
          </c:xVal>
          <c:yVal>
            <c:numRef>
              <c:f>upstream!$I$42:$I$65</c:f>
              <c:numCache>
                <c:formatCode>General</c:formatCode>
                <c:ptCount val="24"/>
                <c:pt idx="12">
                  <c:v>118.22733427999999</c:v>
                </c:pt>
                <c:pt idx="13">
                  <c:v>108.51115272</c:v>
                </c:pt>
                <c:pt idx="14">
                  <c:v>106.97060942</c:v>
                </c:pt>
                <c:pt idx="15">
                  <c:v>113.72040256</c:v>
                </c:pt>
                <c:pt idx="17">
                  <c:v>112.66319882000001</c:v>
                </c:pt>
                <c:pt idx="18">
                  <c:v>114.89097618</c:v>
                </c:pt>
                <c:pt idx="19">
                  <c:v>116.55531655999999</c:v>
                </c:pt>
                <c:pt idx="21">
                  <c:v>118.40602251999999</c:v>
                </c:pt>
                <c:pt idx="22">
                  <c:v>115.75512236</c:v>
                </c:pt>
                <c:pt idx="23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D1A-4E7E-BD65-E0B6ADEEE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82927"/>
        <c:axId val="129899727"/>
      </c:scatterChart>
      <c:valAx>
        <c:axId val="12988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9727"/>
        <c:crosses val="autoZero"/>
        <c:crossBetween val="midCat"/>
      </c:valAx>
      <c:valAx>
        <c:axId val="1298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Critical</a:t>
                </a:r>
                <a:r>
                  <a:rPr lang="en-US" baseline="0"/>
                  <a:t> Shear Stress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2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</a:t>
            </a:r>
            <a:r>
              <a:rPr lang="en-US" baseline="0"/>
              <a:t> HI to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upstream!$C$4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5867128298522853E-2"/>
                  <c:y val="0.15634127049626317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upstream!$C$10:$C$33</c:f>
              <c:numCache>
                <c:formatCode>0.0000</c:formatCode>
                <c:ptCount val="24"/>
                <c:pt idx="10">
                  <c:v>1.8695993339197901</c:v>
                </c:pt>
                <c:pt idx="11">
                  <c:v>1.21795864622288</c:v>
                </c:pt>
                <c:pt idx="12">
                  <c:v>1.0299659938988901</c:v>
                </c:pt>
                <c:pt idx="15">
                  <c:v>1.1534447144942801</c:v>
                </c:pt>
                <c:pt idx="16">
                  <c:v>1.6625275928143599</c:v>
                </c:pt>
                <c:pt idx="17">
                  <c:v>0.83858009935182098</c:v>
                </c:pt>
                <c:pt idx="18">
                  <c:v>2.31938512736013</c:v>
                </c:pt>
                <c:pt idx="19">
                  <c:v>1.66955637894203</c:v>
                </c:pt>
                <c:pt idx="21">
                  <c:v>0.90805045415642205</c:v>
                </c:pt>
                <c:pt idx="22">
                  <c:v>1.0862889042163599</c:v>
                </c:pt>
                <c:pt idx="23">
                  <c:v>0.39254775269290398</c:v>
                </c:pt>
              </c:numCache>
            </c:numRef>
          </c:xVal>
          <c:yVal>
            <c:numRef>
              <c:f>upstream!$J$10:$J$33</c:f>
              <c:numCache>
                <c:formatCode>General</c:formatCode>
                <c:ptCount val="24"/>
                <c:pt idx="12">
                  <c:v>60.710430000000002</c:v>
                </c:pt>
                <c:pt idx="13">
                  <c:v>45.71622</c:v>
                </c:pt>
                <c:pt idx="14">
                  <c:v>46.063560000000003</c:v>
                </c:pt>
                <c:pt idx="15">
                  <c:v>47.354999999999997</c:v>
                </c:pt>
                <c:pt idx="17">
                  <c:v>101.105</c:v>
                </c:pt>
                <c:pt idx="18">
                  <c:v>44.466000000000001</c:v>
                </c:pt>
                <c:pt idx="19">
                  <c:v>47.503</c:v>
                </c:pt>
                <c:pt idx="21">
                  <c:v>54.055999999999997</c:v>
                </c:pt>
                <c:pt idx="22">
                  <c:v>53.783999999999999</c:v>
                </c:pt>
                <c:pt idx="23">
                  <c:v>53.783999999999999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58-4812-A61D-AA8A98E987FC}"/>
            </c:ext>
          </c:extLst>
        </c:ser>
        <c:ser>
          <c:idx val="1"/>
          <c:order val="1"/>
          <c:tx>
            <c:strRef>
              <c:f>upstream!$D$4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5820609639809114E-2"/>
                  <c:y val="0.11100427763978285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upstream!$D$10:$D$33</c:f>
              <c:numCache>
                <c:formatCode>0.0000</c:formatCode>
                <c:ptCount val="24"/>
                <c:pt idx="10">
                  <c:v>0.44896728093636801</c:v>
                </c:pt>
                <c:pt idx="11">
                  <c:v>1.5264059910121399</c:v>
                </c:pt>
                <c:pt idx="12">
                  <c:v>0.71671353985517805</c:v>
                </c:pt>
                <c:pt idx="15">
                  <c:v>0.678678630991426</c:v>
                </c:pt>
                <c:pt idx="16">
                  <c:v>0.81343884511072295</c:v>
                </c:pt>
                <c:pt idx="17">
                  <c:v>-1.07855599689062</c:v>
                </c:pt>
                <c:pt idx="18">
                  <c:v>1.34776836410395</c:v>
                </c:pt>
                <c:pt idx="19">
                  <c:v>0.55456789410428697</c:v>
                </c:pt>
                <c:pt idx="20">
                  <c:v>0.70468449804027899</c:v>
                </c:pt>
                <c:pt idx="21">
                  <c:v>-0.373253605455523</c:v>
                </c:pt>
                <c:pt idx="22">
                  <c:v>0.63056904760694898</c:v>
                </c:pt>
                <c:pt idx="23">
                  <c:v>-0.623899602892661</c:v>
                </c:pt>
              </c:numCache>
            </c:numRef>
          </c:xVal>
          <c:yVal>
            <c:numRef>
              <c:f>upstream!$J$10:$J$33</c:f>
              <c:numCache>
                <c:formatCode>General</c:formatCode>
                <c:ptCount val="24"/>
                <c:pt idx="12">
                  <c:v>60.710430000000002</c:v>
                </c:pt>
                <c:pt idx="13">
                  <c:v>45.71622</c:v>
                </c:pt>
                <c:pt idx="14">
                  <c:v>46.063560000000003</c:v>
                </c:pt>
                <c:pt idx="15">
                  <c:v>47.354999999999997</c:v>
                </c:pt>
                <c:pt idx="17">
                  <c:v>101.105</c:v>
                </c:pt>
                <c:pt idx="18">
                  <c:v>44.466000000000001</c:v>
                </c:pt>
                <c:pt idx="19">
                  <c:v>47.503</c:v>
                </c:pt>
                <c:pt idx="21">
                  <c:v>54.055999999999997</c:v>
                </c:pt>
                <c:pt idx="22">
                  <c:v>53.783999999999999</c:v>
                </c:pt>
                <c:pt idx="23">
                  <c:v>53.783999999999999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58-4812-A61D-AA8A98E987FC}"/>
            </c:ext>
          </c:extLst>
        </c:ser>
        <c:ser>
          <c:idx val="2"/>
          <c:order val="2"/>
          <c:tx>
            <c:strRef>
              <c:f>upstream!$E$4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4926049517057017E-2"/>
                  <c:y val="0.1664923572884569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upstream!$E$10:$E$33</c:f>
              <c:numCache>
                <c:formatCode>0.0000</c:formatCode>
                <c:ptCount val="24"/>
                <c:pt idx="10">
                  <c:v>2.4947102971666898E-2</c:v>
                </c:pt>
                <c:pt idx="11">
                  <c:v>9.6293174744729593E-3</c:v>
                </c:pt>
                <c:pt idx="12">
                  <c:v>0.14608753400636901</c:v>
                </c:pt>
                <c:pt idx="15">
                  <c:v>1.27691539373017E-2</c:v>
                </c:pt>
                <c:pt idx="16">
                  <c:v>6.7576112725014403E-2</c:v>
                </c:pt>
                <c:pt idx="17">
                  <c:v>-0.35416666689988402</c:v>
                </c:pt>
                <c:pt idx="18">
                  <c:v>4.5646344187588998E-2</c:v>
                </c:pt>
                <c:pt idx="19">
                  <c:v>1.47909285306715E-2</c:v>
                </c:pt>
                <c:pt idx="20">
                  <c:v>3.5842816756479302E-2</c:v>
                </c:pt>
                <c:pt idx="21">
                  <c:v>-4.0383997186219003E-2</c:v>
                </c:pt>
                <c:pt idx="22">
                  <c:v>3.6679485231980898E-2</c:v>
                </c:pt>
                <c:pt idx="23">
                  <c:v>-0.76160033358371604</c:v>
                </c:pt>
              </c:numCache>
            </c:numRef>
          </c:xVal>
          <c:yVal>
            <c:numRef>
              <c:f>upstream!$J$10:$J$33</c:f>
              <c:numCache>
                <c:formatCode>General</c:formatCode>
                <c:ptCount val="24"/>
                <c:pt idx="12">
                  <c:v>60.710430000000002</c:v>
                </c:pt>
                <c:pt idx="13">
                  <c:v>45.71622</c:v>
                </c:pt>
                <c:pt idx="14">
                  <c:v>46.063560000000003</c:v>
                </c:pt>
                <c:pt idx="15">
                  <c:v>47.354999999999997</c:v>
                </c:pt>
                <c:pt idx="17">
                  <c:v>101.105</c:v>
                </c:pt>
                <c:pt idx="18">
                  <c:v>44.466000000000001</c:v>
                </c:pt>
                <c:pt idx="19">
                  <c:v>47.503</c:v>
                </c:pt>
                <c:pt idx="21">
                  <c:v>54.055999999999997</c:v>
                </c:pt>
                <c:pt idx="22">
                  <c:v>53.783999999999999</c:v>
                </c:pt>
                <c:pt idx="23">
                  <c:v>53.783999999999999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558-4812-A61D-AA8A98E98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82927"/>
        <c:axId val="129899727"/>
      </c:scatterChart>
      <c:valAx>
        <c:axId val="12988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9727"/>
        <c:crosses val="autoZero"/>
        <c:crossBetween val="midCat"/>
      </c:valAx>
      <c:valAx>
        <c:axId val="1298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2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</a:t>
            </a:r>
            <a:r>
              <a:rPr lang="en-US" baseline="0"/>
              <a:t> HI to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upstream!$C$4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5867128298522853E-2"/>
                  <c:y val="0.15634127049626317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upstream!$C$42:$C$65</c:f>
              <c:numCache>
                <c:formatCode>0.000</c:formatCode>
                <c:ptCount val="24"/>
                <c:pt idx="10">
                  <c:v>1.0683907677478099</c:v>
                </c:pt>
                <c:pt idx="11">
                  <c:v>1.13117180110701</c:v>
                </c:pt>
                <c:pt idx="12">
                  <c:v>0.99421602518435603</c:v>
                </c:pt>
                <c:pt idx="14">
                  <c:v>1.0587750080951299</c:v>
                </c:pt>
                <c:pt idx="15">
                  <c:v>1.04764110720538</c:v>
                </c:pt>
                <c:pt idx="16">
                  <c:v>1.1477045338510801</c:v>
                </c:pt>
                <c:pt idx="17">
                  <c:v>1.1126612766097499</c:v>
                </c:pt>
                <c:pt idx="18">
                  <c:v>1.2530304455719099</c:v>
                </c:pt>
                <c:pt idx="19">
                  <c:v>1.0813804129035001</c:v>
                </c:pt>
                <c:pt idx="20">
                  <c:v>1.2134925086481201</c:v>
                </c:pt>
                <c:pt idx="21">
                  <c:v>1.08380817355586</c:v>
                </c:pt>
                <c:pt idx="22">
                  <c:v>1.0367372638660399</c:v>
                </c:pt>
                <c:pt idx="23">
                  <c:v>1.1282134088167699</c:v>
                </c:pt>
              </c:numCache>
            </c:numRef>
          </c:xVal>
          <c:yVal>
            <c:numRef>
              <c:f>upstream!$J$42:$J$65</c:f>
              <c:numCache>
                <c:formatCode>General</c:formatCode>
                <c:ptCount val="24"/>
                <c:pt idx="12">
                  <c:v>60.710430000000002</c:v>
                </c:pt>
                <c:pt idx="13">
                  <c:v>45.71622</c:v>
                </c:pt>
                <c:pt idx="14">
                  <c:v>46.063560000000003</c:v>
                </c:pt>
                <c:pt idx="15">
                  <c:v>47.354999999999997</c:v>
                </c:pt>
                <c:pt idx="17">
                  <c:v>101.105</c:v>
                </c:pt>
                <c:pt idx="18">
                  <c:v>44.466000000000001</c:v>
                </c:pt>
                <c:pt idx="19">
                  <c:v>47.503</c:v>
                </c:pt>
                <c:pt idx="21">
                  <c:v>54.055999999999997</c:v>
                </c:pt>
                <c:pt idx="22">
                  <c:v>53.783999999999999</c:v>
                </c:pt>
                <c:pt idx="23">
                  <c:v>53.783999999999999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8A-4ECF-B5C7-387EF6839C81}"/>
            </c:ext>
          </c:extLst>
        </c:ser>
        <c:ser>
          <c:idx val="1"/>
          <c:order val="1"/>
          <c:tx>
            <c:strRef>
              <c:f>upstream!$D$4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5820609639809114E-2"/>
                  <c:y val="0.11100427763978285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upstream!$D$42:$D$65</c:f>
              <c:numCache>
                <c:formatCode>0.000</c:formatCode>
                <c:ptCount val="24"/>
                <c:pt idx="10">
                  <c:v>0.74870138294766397</c:v>
                </c:pt>
                <c:pt idx="11">
                  <c:v>1.1019405303793299</c:v>
                </c:pt>
                <c:pt idx="12">
                  <c:v>0.17884914222762199</c:v>
                </c:pt>
                <c:pt idx="14">
                  <c:v>0.662333397055619</c:v>
                </c:pt>
                <c:pt idx="15">
                  <c:v>1.10062768451704</c:v>
                </c:pt>
                <c:pt idx="16">
                  <c:v>0.97101599927504101</c:v>
                </c:pt>
                <c:pt idx="17">
                  <c:v>0.95380985457733503</c:v>
                </c:pt>
                <c:pt idx="18">
                  <c:v>1.1029723476739599</c:v>
                </c:pt>
                <c:pt idx="19">
                  <c:v>0.52079829390269505</c:v>
                </c:pt>
                <c:pt idx="20">
                  <c:v>0.94175163201491896</c:v>
                </c:pt>
                <c:pt idx="21">
                  <c:v>0.28231733716004298</c:v>
                </c:pt>
                <c:pt idx="22">
                  <c:v>0.55097576187408004</c:v>
                </c:pt>
                <c:pt idx="23">
                  <c:v>0.99053604379690696</c:v>
                </c:pt>
              </c:numCache>
            </c:numRef>
          </c:xVal>
          <c:yVal>
            <c:numRef>
              <c:f>upstream!$J$42:$J$65</c:f>
              <c:numCache>
                <c:formatCode>General</c:formatCode>
                <c:ptCount val="24"/>
                <c:pt idx="12">
                  <c:v>60.710430000000002</c:v>
                </c:pt>
                <c:pt idx="13">
                  <c:v>45.71622</c:v>
                </c:pt>
                <c:pt idx="14">
                  <c:v>46.063560000000003</c:v>
                </c:pt>
                <c:pt idx="15">
                  <c:v>47.354999999999997</c:v>
                </c:pt>
                <c:pt idx="17">
                  <c:v>101.105</c:v>
                </c:pt>
                <c:pt idx="18">
                  <c:v>44.466000000000001</c:v>
                </c:pt>
                <c:pt idx="19">
                  <c:v>47.503</c:v>
                </c:pt>
                <c:pt idx="21">
                  <c:v>54.055999999999997</c:v>
                </c:pt>
                <c:pt idx="22">
                  <c:v>53.783999999999999</c:v>
                </c:pt>
                <c:pt idx="23">
                  <c:v>53.783999999999999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18A-4ECF-B5C7-387EF6839C81}"/>
            </c:ext>
          </c:extLst>
        </c:ser>
        <c:ser>
          <c:idx val="2"/>
          <c:order val="2"/>
          <c:tx>
            <c:strRef>
              <c:f>upstream!$E$4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4926049517057017E-2"/>
                  <c:y val="0.1664923572884569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upstream!$E$42:$E$65</c:f>
              <c:numCache>
                <c:formatCode>0.000</c:formatCode>
                <c:ptCount val="24"/>
                <c:pt idx="10">
                  <c:v>6.5697545304297195E-2</c:v>
                </c:pt>
                <c:pt idx="11">
                  <c:v>0.132436068542756</c:v>
                </c:pt>
                <c:pt idx="12">
                  <c:v>-4.2076076707890497E-3</c:v>
                </c:pt>
                <c:pt idx="14">
                  <c:v>0.12430930853391101</c:v>
                </c:pt>
                <c:pt idx="15">
                  <c:v>9.2876994447724404E-2</c:v>
                </c:pt>
                <c:pt idx="16">
                  <c:v>8.3834633446242604E-2</c:v>
                </c:pt>
                <c:pt idx="17">
                  <c:v>4.4857179056258203E-2</c:v>
                </c:pt>
                <c:pt idx="18">
                  <c:v>7.6664996000854094E-2</c:v>
                </c:pt>
                <c:pt idx="19">
                  <c:v>2.1219861817338499E-2</c:v>
                </c:pt>
                <c:pt idx="20">
                  <c:v>8.5275451626537893E-2</c:v>
                </c:pt>
                <c:pt idx="21">
                  <c:v>3.1629539106965802E-2</c:v>
                </c:pt>
                <c:pt idx="22">
                  <c:v>4.3964016574286002E-2</c:v>
                </c:pt>
                <c:pt idx="23">
                  <c:v>5.3048699734524599E-2</c:v>
                </c:pt>
              </c:numCache>
            </c:numRef>
          </c:xVal>
          <c:yVal>
            <c:numRef>
              <c:f>upstream!$J$42:$J$65</c:f>
              <c:numCache>
                <c:formatCode>General</c:formatCode>
                <c:ptCount val="24"/>
                <c:pt idx="12">
                  <c:v>60.710430000000002</c:v>
                </c:pt>
                <c:pt idx="13">
                  <c:v>45.71622</c:v>
                </c:pt>
                <c:pt idx="14">
                  <c:v>46.063560000000003</c:v>
                </c:pt>
                <c:pt idx="15">
                  <c:v>47.354999999999997</c:v>
                </c:pt>
                <c:pt idx="17">
                  <c:v>101.105</c:v>
                </c:pt>
                <c:pt idx="18">
                  <c:v>44.466000000000001</c:v>
                </c:pt>
                <c:pt idx="19">
                  <c:v>47.503</c:v>
                </c:pt>
                <c:pt idx="21">
                  <c:v>54.055999999999997</c:v>
                </c:pt>
                <c:pt idx="22">
                  <c:v>53.783999999999999</c:v>
                </c:pt>
                <c:pt idx="23">
                  <c:v>53.783999999999999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18A-4ECF-B5C7-387EF6839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82927"/>
        <c:axId val="129899727"/>
      </c:scatterChart>
      <c:valAx>
        <c:axId val="12988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9727"/>
        <c:crosses val="autoZero"/>
        <c:crossBetween val="midCat"/>
      </c:valAx>
      <c:valAx>
        <c:axId val="1298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2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between events </a:t>
            </a:r>
            <a:r>
              <a:rPr lang="en-US" baseline="0"/>
              <a:t>to tc50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upstream!$G$4</c:f>
              <c:strCache>
                <c:ptCount val="1"/>
                <c:pt idx="0">
                  <c:v>Time between events (no τc exceedance) (hrs)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774664092473365"/>
                  <c:y val="7.0111217032094053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upstream!$G$10:$G$33</c:f>
              <c:numCache>
                <c:formatCode>General</c:formatCode>
                <c:ptCount val="24"/>
                <c:pt idx="11">
                  <c:v>22</c:v>
                </c:pt>
                <c:pt idx="12">
                  <c:v>21.75</c:v>
                </c:pt>
                <c:pt idx="13">
                  <c:v>48.5</c:v>
                </c:pt>
                <c:pt idx="14">
                  <c:v>28.75</c:v>
                </c:pt>
                <c:pt idx="15">
                  <c:v>21</c:v>
                </c:pt>
                <c:pt idx="16">
                  <c:v>21.5</c:v>
                </c:pt>
                <c:pt idx="17">
                  <c:v>75</c:v>
                </c:pt>
                <c:pt idx="18">
                  <c:v>47.5</c:v>
                </c:pt>
                <c:pt idx="19">
                  <c:v>23.5</c:v>
                </c:pt>
                <c:pt idx="20">
                  <c:v>27.75</c:v>
                </c:pt>
                <c:pt idx="21">
                  <c:v>20</c:v>
                </c:pt>
                <c:pt idx="22">
                  <c:v>23.75</c:v>
                </c:pt>
                <c:pt idx="23">
                  <c:v>23.5</c:v>
                </c:pt>
              </c:numCache>
            </c:numRef>
          </c:xVal>
          <c:yVal>
            <c:numRef>
              <c:f>upstream!$I$10:$I$33</c:f>
              <c:numCache>
                <c:formatCode>General</c:formatCode>
                <c:ptCount val="24"/>
                <c:pt idx="12">
                  <c:v>118.22733427999999</c:v>
                </c:pt>
                <c:pt idx="13">
                  <c:v>108.51115272</c:v>
                </c:pt>
                <c:pt idx="14">
                  <c:v>106.97060942</c:v>
                </c:pt>
                <c:pt idx="15">
                  <c:v>113.72040256</c:v>
                </c:pt>
                <c:pt idx="17">
                  <c:v>112.66319882000001</c:v>
                </c:pt>
                <c:pt idx="18">
                  <c:v>114.89097618</c:v>
                </c:pt>
                <c:pt idx="19">
                  <c:v>116.55531655999999</c:v>
                </c:pt>
                <c:pt idx="21">
                  <c:v>118.40602251999999</c:v>
                </c:pt>
                <c:pt idx="22">
                  <c:v>115.75512236</c:v>
                </c:pt>
                <c:pt idx="23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4A-4B4B-BD8E-903726F5B214}"/>
            </c:ext>
          </c:extLst>
        </c:ser>
        <c:ser>
          <c:idx val="1"/>
          <c:order val="1"/>
          <c:tx>
            <c:strRef>
              <c:f>upstream!$H$4</c:f>
              <c:strCache>
                <c:ptCount val="1"/>
                <c:pt idx="0">
                  <c:v>Time between events τc exceedance (hrs)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955098096524016"/>
                  <c:y val="-0.1138507261817977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upstream!$H$10:$H$33</c:f>
              <c:numCache>
                <c:formatCode>General</c:formatCode>
                <c:ptCount val="24"/>
                <c:pt idx="13">
                  <c:v>48.5</c:v>
                </c:pt>
                <c:pt idx="14">
                  <c:v>28.75</c:v>
                </c:pt>
                <c:pt idx="15">
                  <c:v>21</c:v>
                </c:pt>
                <c:pt idx="17">
                  <c:v>96.5</c:v>
                </c:pt>
                <c:pt idx="18">
                  <c:v>47.5</c:v>
                </c:pt>
                <c:pt idx="19">
                  <c:v>23.5</c:v>
                </c:pt>
                <c:pt idx="21">
                  <c:v>47.75</c:v>
                </c:pt>
                <c:pt idx="22">
                  <c:v>23.75</c:v>
                </c:pt>
                <c:pt idx="23">
                  <c:v>23.5</c:v>
                </c:pt>
              </c:numCache>
            </c:numRef>
          </c:xVal>
          <c:yVal>
            <c:numRef>
              <c:f>upstream!$I$10:$I$33</c:f>
              <c:numCache>
                <c:formatCode>General</c:formatCode>
                <c:ptCount val="24"/>
                <c:pt idx="12">
                  <c:v>118.22733427999999</c:v>
                </c:pt>
                <c:pt idx="13">
                  <c:v>108.51115272</c:v>
                </c:pt>
                <c:pt idx="14">
                  <c:v>106.97060942</c:v>
                </c:pt>
                <c:pt idx="15">
                  <c:v>113.72040256</c:v>
                </c:pt>
                <c:pt idx="17">
                  <c:v>112.66319882000001</c:v>
                </c:pt>
                <c:pt idx="18">
                  <c:v>114.89097618</c:v>
                </c:pt>
                <c:pt idx="19">
                  <c:v>116.55531655999999</c:v>
                </c:pt>
                <c:pt idx="21">
                  <c:v>118.40602251999999</c:v>
                </c:pt>
                <c:pt idx="22">
                  <c:v>115.75512236</c:v>
                </c:pt>
                <c:pt idx="23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4A-4B4B-BD8E-903726F5B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82927"/>
        <c:axId val="129899727"/>
      </c:scatterChart>
      <c:valAx>
        <c:axId val="12988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9727"/>
        <c:crosses val="autoZero"/>
        <c:crossBetween val="midCat"/>
      </c:valAx>
      <c:valAx>
        <c:axId val="1298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Critical</a:t>
                </a:r>
                <a:r>
                  <a:rPr lang="en-US" baseline="0"/>
                  <a:t> Shear Stress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2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</a:t>
            </a:r>
            <a:r>
              <a:rPr lang="en-US" baseline="0"/>
              <a:t> </a:t>
            </a:r>
            <a:r>
              <a:rPr lang="en-US"/>
              <a:t>concentration</a:t>
            </a:r>
            <a:r>
              <a:rPr lang="en-US" baseline="0"/>
              <a:t> to tc50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upstream!$B$3</c:f>
              <c:strCache>
                <c:ptCount val="1"/>
                <c:pt idx="0">
                  <c:v>SSC (mg/L)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955098096524016"/>
                  <c:y val="-0.1138507261817977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upstream!$F$10:$F$33</c:f>
              <c:numCache>
                <c:formatCode>0.00</c:formatCode>
                <c:ptCount val="24"/>
                <c:pt idx="10">
                  <c:v>16</c:v>
                </c:pt>
                <c:pt idx="11">
                  <c:v>21.5</c:v>
                </c:pt>
                <c:pt idx="12">
                  <c:v>12.222222220000001</c:v>
                </c:pt>
                <c:pt idx="15">
                  <c:v>11.25</c:v>
                </c:pt>
                <c:pt idx="16">
                  <c:v>15</c:v>
                </c:pt>
                <c:pt idx="17">
                  <c:v>11.612903230000001</c:v>
                </c:pt>
                <c:pt idx="18">
                  <c:v>14.545454550000001</c:v>
                </c:pt>
                <c:pt idx="19">
                  <c:v>45</c:v>
                </c:pt>
                <c:pt idx="20">
                  <c:v>20</c:v>
                </c:pt>
                <c:pt idx="21">
                  <c:v>4.375</c:v>
                </c:pt>
                <c:pt idx="22">
                  <c:v>24.375</c:v>
                </c:pt>
                <c:pt idx="23">
                  <c:v>5.7142857139999998</c:v>
                </c:pt>
              </c:numCache>
            </c:numRef>
          </c:xVal>
          <c:yVal>
            <c:numRef>
              <c:f>upstream!$I$10:$I$33</c:f>
              <c:numCache>
                <c:formatCode>General</c:formatCode>
                <c:ptCount val="24"/>
                <c:pt idx="12">
                  <c:v>118.22733427999999</c:v>
                </c:pt>
                <c:pt idx="13">
                  <c:v>108.51115272</c:v>
                </c:pt>
                <c:pt idx="14">
                  <c:v>106.97060942</c:v>
                </c:pt>
                <c:pt idx="15">
                  <c:v>113.72040256</c:v>
                </c:pt>
                <c:pt idx="17">
                  <c:v>112.66319882000001</c:v>
                </c:pt>
                <c:pt idx="18">
                  <c:v>114.89097618</c:v>
                </c:pt>
                <c:pt idx="19">
                  <c:v>116.55531655999999</c:v>
                </c:pt>
                <c:pt idx="21">
                  <c:v>118.40602251999999</c:v>
                </c:pt>
                <c:pt idx="22">
                  <c:v>115.75512236</c:v>
                </c:pt>
                <c:pt idx="23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0F-44EA-859B-46B7FE5C836E}"/>
            </c:ext>
          </c:extLst>
        </c:ser>
        <c:ser>
          <c:idx val="0"/>
          <c:order val="1"/>
          <c:tx>
            <c:strRef>
              <c:f>upstream!$B$35</c:f>
              <c:strCache>
                <c:ptCount val="1"/>
                <c:pt idx="0">
                  <c:v>DOC (mg/L)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2976517346989181"/>
                  <c:y val="-0.1597466559672583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upstream!$F$42:$F$65</c:f>
              <c:numCache>
                <c:formatCode>0.00</c:formatCode>
                <c:ptCount val="24"/>
                <c:pt idx="10" formatCode="General">
                  <c:v>3.8290000000000002</c:v>
                </c:pt>
                <c:pt idx="11" formatCode="General">
                  <c:v>4.6630000000000003</c:v>
                </c:pt>
                <c:pt idx="12" formatCode="General">
                  <c:v>3.9940000000000002</c:v>
                </c:pt>
                <c:pt idx="14" formatCode="General">
                  <c:v>3.8860000000000001</c:v>
                </c:pt>
                <c:pt idx="15" formatCode="General">
                  <c:v>3.7970000000000002</c:v>
                </c:pt>
                <c:pt idx="16" formatCode="General">
                  <c:v>4.5410000000000004</c:v>
                </c:pt>
                <c:pt idx="17" formatCode="General">
                  <c:v>3.456</c:v>
                </c:pt>
                <c:pt idx="18" formatCode="General">
                  <c:v>4.681</c:v>
                </c:pt>
                <c:pt idx="19" formatCode="General">
                  <c:v>4.9790000000000001</c:v>
                </c:pt>
                <c:pt idx="20" formatCode="General">
                  <c:v>4.6879999999999997</c:v>
                </c:pt>
                <c:pt idx="21" formatCode="General">
                  <c:v>3.4780000000000002</c:v>
                </c:pt>
                <c:pt idx="22" formatCode="General">
                  <c:v>4.0039999999999996</c:v>
                </c:pt>
                <c:pt idx="23" formatCode="General">
                  <c:v>3.5750000000000002</c:v>
                </c:pt>
              </c:numCache>
            </c:numRef>
          </c:xVal>
          <c:yVal>
            <c:numRef>
              <c:f>upstream!$I$42:$I$65</c:f>
              <c:numCache>
                <c:formatCode>General</c:formatCode>
                <c:ptCount val="24"/>
                <c:pt idx="12">
                  <c:v>118.22733427999999</c:v>
                </c:pt>
                <c:pt idx="13">
                  <c:v>108.51115272</c:v>
                </c:pt>
                <c:pt idx="14">
                  <c:v>106.97060942</c:v>
                </c:pt>
                <c:pt idx="15">
                  <c:v>113.72040256</c:v>
                </c:pt>
                <c:pt idx="17">
                  <c:v>112.66319882000001</c:v>
                </c:pt>
                <c:pt idx="18">
                  <c:v>114.89097618</c:v>
                </c:pt>
                <c:pt idx="19">
                  <c:v>116.55531655999999</c:v>
                </c:pt>
                <c:pt idx="21">
                  <c:v>118.40602251999999</c:v>
                </c:pt>
                <c:pt idx="22">
                  <c:v>115.75512236</c:v>
                </c:pt>
                <c:pt idx="23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0F-44EA-859B-46B7FE5C8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82927"/>
        <c:axId val="129899727"/>
      </c:scatterChart>
      <c:valAx>
        <c:axId val="12988292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concentration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9727"/>
        <c:crosses val="autoZero"/>
        <c:crossBetween val="midCat"/>
      </c:valAx>
      <c:valAx>
        <c:axId val="1298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Critical</a:t>
                </a:r>
                <a:r>
                  <a:rPr lang="en-US" baseline="0"/>
                  <a:t> Shear Stress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2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</a:t>
            </a:r>
            <a:r>
              <a:rPr lang="en-US" baseline="0"/>
              <a:t> HI to tc50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upstream!$D$67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8959894400189136E-3"/>
                  <c:y val="0.22144861560354748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upstream!$D$71:$D$96</c:f>
              <c:numCache>
                <c:formatCode>0.0000</c:formatCode>
                <c:ptCount val="26"/>
                <c:pt idx="12">
                  <c:v>1.05849048577709</c:v>
                </c:pt>
                <c:pt idx="13">
                  <c:v>1.4368219825375701</c:v>
                </c:pt>
                <c:pt idx="14">
                  <c:v>1.1632876834321</c:v>
                </c:pt>
                <c:pt idx="15">
                  <c:v>1.1661766362910899</c:v>
                </c:pt>
                <c:pt idx="16">
                  <c:v>1.1611078257792899</c:v>
                </c:pt>
                <c:pt idx="17">
                  <c:v>1.2283054504143001</c:v>
                </c:pt>
                <c:pt idx="18">
                  <c:v>1.2985932043400299</c:v>
                </c:pt>
                <c:pt idx="19">
                  <c:v>1.25880991704892</c:v>
                </c:pt>
                <c:pt idx="20">
                  <c:v>1.2914529576795399</c:v>
                </c:pt>
                <c:pt idx="21">
                  <c:v>1.2886907903199001</c:v>
                </c:pt>
                <c:pt idx="22">
                  <c:v>1.39612401914989</c:v>
                </c:pt>
                <c:pt idx="23">
                  <c:v>1.15490049713987</c:v>
                </c:pt>
                <c:pt idx="24">
                  <c:v>1.6223687074200499</c:v>
                </c:pt>
                <c:pt idx="25">
                  <c:v>1.4572146309152101</c:v>
                </c:pt>
              </c:numCache>
            </c:numRef>
          </c:xVal>
          <c:yVal>
            <c:numRef>
              <c:f>upstream!$L$70:$L$96</c:f>
              <c:numCache>
                <c:formatCode>General</c:formatCode>
                <c:ptCount val="27"/>
                <c:pt idx="15">
                  <c:v>118.22733427999999</c:v>
                </c:pt>
                <c:pt idx="16">
                  <c:v>108.51115272</c:v>
                </c:pt>
                <c:pt idx="17">
                  <c:v>106.97060942</c:v>
                </c:pt>
                <c:pt idx="18">
                  <c:v>113.72040256</c:v>
                </c:pt>
                <c:pt idx="20">
                  <c:v>112.66319882000001</c:v>
                </c:pt>
                <c:pt idx="21">
                  <c:v>114.89097618</c:v>
                </c:pt>
                <c:pt idx="22">
                  <c:v>116.55531655999999</c:v>
                </c:pt>
                <c:pt idx="24">
                  <c:v>118.40602251999999</c:v>
                </c:pt>
                <c:pt idx="25">
                  <c:v>115.75512236</c:v>
                </c:pt>
                <c:pt idx="26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A0-456B-A762-1392B362D1E9}"/>
            </c:ext>
          </c:extLst>
        </c:ser>
        <c:ser>
          <c:idx val="1"/>
          <c:order val="1"/>
          <c:tx>
            <c:strRef>
              <c:f>upstream!$D$4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4.7489574381930605E-2"/>
                  <c:y val="0.2258965244138286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upstream!$D$10:$D$33</c:f>
              <c:numCache>
                <c:formatCode>0.0000</c:formatCode>
                <c:ptCount val="24"/>
                <c:pt idx="10">
                  <c:v>0.44896728093636801</c:v>
                </c:pt>
                <c:pt idx="11">
                  <c:v>1.5264059910121399</c:v>
                </c:pt>
                <c:pt idx="12">
                  <c:v>0.71671353985517805</c:v>
                </c:pt>
                <c:pt idx="15">
                  <c:v>0.678678630991426</c:v>
                </c:pt>
                <c:pt idx="16">
                  <c:v>0.81343884511072295</c:v>
                </c:pt>
                <c:pt idx="17">
                  <c:v>-1.07855599689062</c:v>
                </c:pt>
                <c:pt idx="18">
                  <c:v>1.34776836410395</c:v>
                </c:pt>
                <c:pt idx="19">
                  <c:v>0.55456789410428697</c:v>
                </c:pt>
                <c:pt idx="20">
                  <c:v>0.70468449804027899</c:v>
                </c:pt>
                <c:pt idx="21">
                  <c:v>-0.373253605455523</c:v>
                </c:pt>
                <c:pt idx="22">
                  <c:v>0.63056904760694898</c:v>
                </c:pt>
                <c:pt idx="23">
                  <c:v>-0.623899602892661</c:v>
                </c:pt>
              </c:numCache>
            </c:numRef>
          </c:xVal>
          <c:yVal>
            <c:numRef>
              <c:f>upstream!$I$10:$I$33</c:f>
              <c:numCache>
                <c:formatCode>General</c:formatCode>
                <c:ptCount val="24"/>
                <c:pt idx="12">
                  <c:v>118.22733427999999</c:v>
                </c:pt>
                <c:pt idx="13">
                  <c:v>108.51115272</c:v>
                </c:pt>
                <c:pt idx="14">
                  <c:v>106.97060942</c:v>
                </c:pt>
                <c:pt idx="15">
                  <c:v>113.72040256</c:v>
                </c:pt>
                <c:pt idx="17">
                  <c:v>112.66319882000001</c:v>
                </c:pt>
                <c:pt idx="18">
                  <c:v>114.89097618</c:v>
                </c:pt>
                <c:pt idx="19">
                  <c:v>116.55531655999999</c:v>
                </c:pt>
                <c:pt idx="21">
                  <c:v>118.40602251999999</c:v>
                </c:pt>
                <c:pt idx="22">
                  <c:v>115.75512236</c:v>
                </c:pt>
                <c:pt idx="23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A0-456B-A762-1392B362D1E9}"/>
            </c:ext>
          </c:extLst>
        </c:ser>
        <c:ser>
          <c:idx val="2"/>
          <c:order val="2"/>
          <c:tx>
            <c:strRef>
              <c:f>upstream!$E$4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9.3012290532318576E-2"/>
                  <c:y val="0.19612362551341794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upstream!$E$10:$E$33</c:f>
              <c:numCache>
                <c:formatCode>0.0000</c:formatCode>
                <c:ptCount val="24"/>
                <c:pt idx="10">
                  <c:v>2.4947102971666898E-2</c:v>
                </c:pt>
                <c:pt idx="11">
                  <c:v>9.6293174744729593E-3</c:v>
                </c:pt>
                <c:pt idx="12">
                  <c:v>0.14608753400636901</c:v>
                </c:pt>
                <c:pt idx="15">
                  <c:v>1.27691539373017E-2</c:v>
                </c:pt>
                <c:pt idx="16">
                  <c:v>6.7576112725014403E-2</c:v>
                </c:pt>
                <c:pt idx="17">
                  <c:v>-0.35416666689988402</c:v>
                </c:pt>
                <c:pt idx="18">
                  <c:v>4.5646344187588998E-2</c:v>
                </c:pt>
                <c:pt idx="19">
                  <c:v>1.47909285306715E-2</c:v>
                </c:pt>
                <c:pt idx="20">
                  <c:v>3.5842816756479302E-2</c:v>
                </c:pt>
                <c:pt idx="21">
                  <c:v>-4.0383997186219003E-2</c:v>
                </c:pt>
                <c:pt idx="22">
                  <c:v>3.6679485231980898E-2</c:v>
                </c:pt>
                <c:pt idx="23">
                  <c:v>-0.76160033358371604</c:v>
                </c:pt>
              </c:numCache>
            </c:numRef>
          </c:xVal>
          <c:yVal>
            <c:numRef>
              <c:f>upstream!$I$10:$I$33</c:f>
              <c:numCache>
                <c:formatCode>General</c:formatCode>
                <c:ptCount val="24"/>
                <c:pt idx="12">
                  <c:v>118.22733427999999</c:v>
                </c:pt>
                <c:pt idx="13">
                  <c:v>108.51115272</c:v>
                </c:pt>
                <c:pt idx="14">
                  <c:v>106.97060942</c:v>
                </c:pt>
                <c:pt idx="15">
                  <c:v>113.72040256</c:v>
                </c:pt>
                <c:pt idx="17">
                  <c:v>112.66319882000001</c:v>
                </c:pt>
                <c:pt idx="18">
                  <c:v>114.89097618</c:v>
                </c:pt>
                <c:pt idx="19">
                  <c:v>116.55531655999999</c:v>
                </c:pt>
                <c:pt idx="21">
                  <c:v>118.40602251999999</c:v>
                </c:pt>
                <c:pt idx="22">
                  <c:v>115.75512236</c:v>
                </c:pt>
                <c:pt idx="23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7A0-456B-A762-1392B362D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82927"/>
        <c:axId val="129899727"/>
      </c:scatterChart>
      <c:valAx>
        <c:axId val="12988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9727"/>
        <c:crosses val="autoZero"/>
        <c:crossBetween val="midCat"/>
      </c:valAx>
      <c:valAx>
        <c:axId val="1298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Critical</a:t>
                </a:r>
                <a:r>
                  <a:rPr lang="en-US" baseline="0"/>
                  <a:t> Shear Stress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2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fDOM</a:t>
            </a:r>
            <a:r>
              <a:rPr lang="en-US" baseline="0"/>
              <a:t> HI to tc50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66650974548111"/>
          <c:y val="0.18004530917761208"/>
          <c:w val="0.75074186828700784"/>
          <c:h val="0.49375460344531691"/>
        </c:manualLayout>
      </c:layout>
      <c:scatterChart>
        <c:scatterStyle val="lineMarker"/>
        <c:varyColors val="0"/>
        <c:ser>
          <c:idx val="0"/>
          <c:order val="0"/>
          <c:tx>
            <c:strRef>
              <c:f>upstream!$C$4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9686427824308545E-2"/>
                  <c:y val="0.23287174337896996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upstream!$Q$71:$Q$96</c:f>
              <c:numCache>
                <c:formatCode>0.00000</c:formatCode>
                <c:ptCount val="26"/>
                <c:pt idx="12" formatCode="0.000">
                  <c:v>0.45078352403799399</c:v>
                </c:pt>
                <c:pt idx="13" formatCode="0.000">
                  <c:v>0.94043662960440699</c:v>
                </c:pt>
                <c:pt idx="14" formatCode="0.000">
                  <c:v>0.95863149267075098</c:v>
                </c:pt>
                <c:pt idx="15" formatCode="0.000">
                  <c:v>0.98251699448728103</c:v>
                </c:pt>
                <c:pt idx="16" formatCode="0.000">
                  <c:v>1.0568614326035</c:v>
                </c:pt>
                <c:pt idx="17" formatCode="0.000">
                  <c:v>1.03826719630338</c:v>
                </c:pt>
                <c:pt idx="18" formatCode="0.000">
                  <c:v>0.93867849021001804</c:v>
                </c:pt>
                <c:pt idx="19" formatCode="0.000">
                  <c:v>1.08896416336113</c:v>
                </c:pt>
                <c:pt idx="20" formatCode="0.000">
                  <c:v>1.18553177339745</c:v>
                </c:pt>
                <c:pt idx="21" formatCode="0.000">
                  <c:v>1.0643830961710401</c:v>
                </c:pt>
                <c:pt idx="22" formatCode="0.000">
                  <c:v>1.0913993357873799</c:v>
                </c:pt>
                <c:pt idx="23" formatCode="0.000">
                  <c:v>1.00259808767117</c:v>
                </c:pt>
                <c:pt idx="24" formatCode="0.000">
                  <c:v>1.0043452914566</c:v>
                </c:pt>
                <c:pt idx="25" formatCode="0.000">
                  <c:v>0.40870513477919201</c:v>
                </c:pt>
              </c:numCache>
            </c:numRef>
          </c:xVal>
          <c:yVal>
            <c:numRef>
              <c:f>upstream!$L$72:$L$96</c:f>
              <c:numCache>
                <c:formatCode>General</c:formatCode>
                <c:ptCount val="25"/>
                <c:pt idx="13">
                  <c:v>118.22733427999999</c:v>
                </c:pt>
                <c:pt idx="14">
                  <c:v>108.51115272</c:v>
                </c:pt>
                <c:pt idx="15">
                  <c:v>106.97060942</c:v>
                </c:pt>
                <c:pt idx="16">
                  <c:v>113.72040256</c:v>
                </c:pt>
                <c:pt idx="18">
                  <c:v>112.66319882000001</c:v>
                </c:pt>
                <c:pt idx="19">
                  <c:v>114.89097618</c:v>
                </c:pt>
                <c:pt idx="20">
                  <c:v>116.55531655999999</c:v>
                </c:pt>
                <c:pt idx="22">
                  <c:v>118.40602251999999</c:v>
                </c:pt>
                <c:pt idx="23">
                  <c:v>115.75512236</c:v>
                </c:pt>
                <c:pt idx="24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6D-4A15-9309-B955914F0568}"/>
            </c:ext>
          </c:extLst>
        </c:ser>
        <c:ser>
          <c:idx val="1"/>
          <c:order val="1"/>
          <c:tx>
            <c:strRef>
              <c:f>upstream!$D$4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9.130137025449811E-2"/>
                  <c:y val="0.1795121026416848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upstream!$R$70:$R$96</c:f>
              <c:numCache>
                <c:formatCode>0.0000</c:formatCode>
                <c:ptCount val="27"/>
                <c:pt idx="13" formatCode="0.000">
                  <c:v>-0.811886428716041</c:v>
                </c:pt>
                <c:pt idx="14" formatCode="0.000">
                  <c:v>-0.54271122756527101</c:v>
                </c:pt>
                <c:pt idx="15" formatCode="0.000">
                  <c:v>-0.67772868565601696</c:v>
                </c:pt>
                <c:pt idx="16" formatCode="0.000">
                  <c:v>-0.76078071695181804</c:v>
                </c:pt>
                <c:pt idx="17" formatCode="0.000">
                  <c:v>0.64678217889059297</c:v>
                </c:pt>
                <c:pt idx="18" formatCode="0.000">
                  <c:v>-0.15477977693324399</c:v>
                </c:pt>
                <c:pt idx="19" formatCode="0.000">
                  <c:v>-0.86583274285189604</c:v>
                </c:pt>
                <c:pt idx="20" formatCode="0.000">
                  <c:v>0.61214631104569395</c:v>
                </c:pt>
                <c:pt idx="21" formatCode="0.000">
                  <c:v>0.59208584316733603</c:v>
                </c:pt>
                <c:pt idx="22" formatCode="0.000">
                  <c:v>0.74012064453311799</c:v>
                </c:pt>
                <c:pt idx="23" formatCode="0.000">
                  <c:v>0.62408685090742599</c:v>
                </c:pt>
                <c:pt idx="24" formatCode="0.000">
                  <c:v>0.25147892096544</c:v>
                </c:pt>
                <c:pt idx="25" formatCode="0.000">
                  <c:v>-2.3625782421043601E-2</c:v>
                </c:pt>
                <c:pt idx="26" formatCode="0.000">
                  <c:v>-0.95802365966780301</c:v>
                </c:pt>
              </c:numCache>
            </c:numRef>
          </c:xVal>
          <c:yVal>
            <c:numRef>
              <c:f>upstream!$L$70:$L$96</c:f>
              <c:numCache>
                <c:formatCode>General</c:formatCode>
                <c:ptCount val="27"/>
                <c:pt idx="15">
                  <c:v>118.22733427999999</c:v>
                </c:pt>
                <c:pt idx="16">
                  <c:v>108.51115272</c:v>
                </c:pt>
                <c:pt idx="17">
                  <c:v>106.97060942</c:v>
                </c:pt>
                <c:pt idx="18">
                  <c:v>113.72040256</c:v>
                </c:pt>
                <c:pt idx="20">
                  <c:v>112.66319882000001</c:v>
                </c:pt>
                <c:pt idx="21">
                  <c:v>114.89097618</c:v>
                </c:pt>
                <c:pt idx="22">
                  <c:v>116.55531655999999</c:v>
                </c:pt>
                <c:pt idx="24">
                  <c:v>118.40602251999999</c:v>
                </c:pt>
                <c:pt idx="25">
                  <c:v>115.75512236</c:v>
                </c:pt>
                <c:pt idx="26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6D-4A15-9309-B955914F0568}"/>
            </c:ext>
          </c:extLst>
        </c:ser>
        <c:ser>
          <c:idx val="2"/>
          <c:order val="2"/>
          <c:tx>
            <c:strRef>
              <c:f>upstream!$E$4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736952289204706"/>
                  <c:y val="-3.9816576951641038E-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upstream!$S$70:$S$97</c:f>
              <c:numCache>
                <c:formatCode>0.0000</c:formatCode>
                <c:ptCount val="28"/>
                <c:pt idx="13" formatCode="0.000">
                  <c:v>-9.3763935417501706E-2</c:v>
                </c:pt>
                <c:pt idx="14" formatCode="0.000">
                  <c:v>-5.2796335197095298E-2</c:v>
                </c:pt>
                <c:pt idx="15" formatCode="0.000">
                  <c:v>-5.9125313303963402E-2</c:v>
                </c:pt>
                <c:pt idx="16" formatCode="0.000">
                  <c:v>-4.1714957549384597E-2</c:v>
                </c:pt>
                <c:pt idx="17" formatCode="0.000">
                  <c:v>7.3340759088016003E-2</c:v>
                </c:pt>
                <c:pt idx="18" formatCode="0.000">
                  <c:v>7.1354925056258001E-3</c:v>
                </c:pt>
                <c:pt idx="19" formatCode="0.000">
                  <c:v>-0.28463650723553102</c:v>
                </c:pt>
                <c:pt idx="20" formatCode="0.000">
                  <c:v>-7.3287190867590401E-3</c:v>
                </c:pt>
                <c:pt idx="21" formatCode="0.000">
                  <c:v>0.10941628444022999</c:v>
                </c:pt>
                <c:pt idx="22" formatCode="0.000">
                  <c:v>-8.4675321487204705E-2</c:v>
                </c:pt>
                <c:pt idx="23" formatCode="0.000">
                  <c:v>-3.2911415817637998E-2</c:v>
                </c:pt>
                <c:pt idx="24" formatCode="0.000">
                  <c:v>-4.46763074582908E-2</c:v>
                </c:pt>
                <c:pt idx="25" formatCode="0.000">
                  <c:v>-1.53118918462132E-3</c:v>
                </c:pt>
                <c:pt idx="26" formatCode="0.000">
                  <c:v>-0.17920927988478999</c:v>
                </c:pt>
              </c:numCache>
            </c:numRef>
          </c:xVal>
          <c:yVal>
            <c:numRef>
              <c:f>upstream!$L$70:$L$96</c:f>
              <c:numCache>
                <c:formatCode>General</c:formatCode>
                <c:ptCount val="27"/>
                <c:pt idx="15">
                  <c:v>118.22733427999999</c:v>
                </c:pt>
                <c:pt idx="16">
                  <c:v>108.51115272</c:v>
                </c:pt>
                <c:pt idx="17">
                  <c:v>106.97060942</c:v>
                </c:pt>
                <c:pt idx="18">
                  <c:v>113.72040256</c:v>
                </c:pt>
                <c:pt idx="20">
                  <c:v>112.66319882000001</c:v>
                </c:pt>
                <c:pt idx="21">
                  <c:v>114.89097618</c:v>
                </c:pt>
                <c:pt idx="22">
                  <c:v>116.55531655999999</c:v>
                </c:pt>
                <c:pt idx="24">
                  <c:v>118.40602251999999</c:v>
                </c:pt>
                <c:pt idx="25">
                  <c:v>115.75512236</c:v>
                </c:pt>
                <c:pt idx="26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66D-4A15-9309-B955914F0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82927"/>
        <c:axId val="129899727"/>
      </c:scatterChart>
      <c:valAx>
        <c:axId val="12988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9727"/>
        <c:crosses val="autoZero"/>
        <c:crossBetween val="midCat"/>
      </c:valAx>
      <c:valAx>
        <c:axId val="129899727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Critical</a:t>
                </a:r>
                <a:r>
                  <a:rPr lang="en-US" baseline="0"/>
                  <a:t> Shear Stress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2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209427</xdr:colOff>
      <xdr:row>2</xdr:row>
      <xdr:rowOff>136198</xdr:rowOff>
    </xdr:from>
    <xdr:to>
      <xdr:col>15</xdr:col>
      <xdr:colOff>757861</xdr:colOff>
      <xdr:row>15</xdr:row>
      <xdr:rowOff>184626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D2A44E-5B2C-34C9-2B5A-1392E0690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215148</xdr:colOff>
      <xdr:row>16</xdr:row>
      <xdr:rowOff>108787</xdr:rowOff>
    </xdr:from>
    <xdr:to>
      <xdr:col>15</xdr:col>
      <xdr:colOff>763582</xdr:colOff>
      <xdr:row>30</xdr:row>
      <xdr:rowOff>155311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2AEC37-1AA9-4DEC-AD14-B832B0E8B6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89249</xdr:colOff>
      <xdr:row>31</xdr:row>
      <xdr:rowOff>100360</xdr:rowOff>
    </xdr:from>
    <xdr:to>
      <xdr:col>19</xdr:col>
      <xdr:colOff>885430</xdr:colOff>
      <xdr:row>43</xdr:row>
      <xdr:rowOff>168294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A7CE95-1333-40EC-8316-5A614467D9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86005</xdr:colOff>
      <xdr:row>43</xdr:row>
      <xdr:rowOff>169831</xdr:rowOff>
    </xdr:from>
    <xdr:to>
      <xdr:col>19</xdr:col>
      <xdr:colOff>884091</xdr:colOff>
      <xdr:row>57</xdr:row>
      <xdr:rowOff>24261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D89F678-0478-494B-A185-56317EB6CC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828674</xdr:colOff>
      <xdr:row>2</xdr:row>
      <xdr:rowOff>157583</xdr:rowOff>
    </xdr:from>
    <xdr:to>
      <xdr:col>19</xdr:col>
      <xdr:colOff>881062</xdr:colOff>
      <xdr:row>16</xdr:row>
      <xdr:rowOff>7271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426D99D-8940-468D-9824-3360558A07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80962</xdr:colOff>
      <xdr:row>16</xdr:row>
      <xdr:rowOff>105142</xdr:rowOff>
    </xdr:from>
    <xdr:to>
      <xdr:col>19</xdr:col>
      <xdr:colOff>897765</xdr:colOff>
      <xdr:row>30</xdr:row>
      <xdr:rowOff>154123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A343180-F290-4882-BA6D-BA32A5C4E5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175846</xdr:colOff>
      <xdr:row>31</xdr:row>
      <xdr:rowOff>152034</xdr:rowOff>
    </xdr:from>
    <xdr:to>
      <xdr:col>15</xdr:col>
      <xdr:colOff>718565</xdr:colOff>
      <xdr:row>43</xdr:row>
      <xdr:rowOff>163193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EEC9911-9B41-49DE-9045-56D7EFED90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179662</xdr:colOff>
      <xdr:row>43</xdr:row>
      <xdr:rowOff>167485</xdr:rowOff>
    </xdr:from>
    <xdr:to>
      <xdr:col>15</xdr:col>
      <xdr:colOff>724286</xdr:colOff>
      <xdr:row>57</xdr:row>
      <xdr:rowOff>116732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BD8CC9F-6959-4299-947C-31E963AC2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209427</xdr:colOff>
      <xdr:row>2</xdr:row>
      <xdr:rowOff>136198</xdr:rowOff>
    </xdr:from>
    <xdr:to>
      <xdr:col>15</xdr:col>
      <xdr:colOff>757861</xdr:colOff>
      <xdr:row>15</xdr:row>
      <xdr:rowOff>184626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907D3A-1DBF-43A4-A1A5-624C35690C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215148</xdr:colOff>
      <xdr:row>16</xdr:row>
      <xdr:rowOff>108787</xdr:rowOff>
    </xdr:from>
    <xdr:to>
      <xdr:col>15</xdr:col>
      <xdr:colOff>763582</xdr:colOff>
      <xdr:row>30</xdr:row>
      <xdr:rowOff>155311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A2E1AA-1852-4E33-9F2C-6DBB2CFF65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89249</xdr:colOff>
      <xdr:row>31</xdr:row>
      <xdr:rowOff>100360</xdr:rowOff>
    </xdr:from>
    <xdr:to>
      <xdr:col>19</xdr:col>
      <xdr:colOff>885430</xdr:colOff>
      <xdr:row>43</xdr:row>
      <xdr:rowOff>168294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C8E804-9626-498A-80EB-05624D503E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86005</xdr:colOff>
      <xdr:row>43</xdr:row>
      <xdr:rowOff>169831</xdr:rowOff>
    </xdr:from>
    <xdr:to>
      <xdr:col>19</xdr:col>
      <xdr:colOff>884091</xdr:colOff>
      <xdr:row>57</xdr:row>
      <xdr:rowOff>24261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CB18A8-8C18-4652-AEF3-BFA94C1141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828674</xdr:colOff>
      <xdr:row>2</xdr:row>
      <xdr:rowOff>157583</xdr:rowOff>
    </xdr:from>
    <xdr:to>
      <xdr:col>19</xdr:col>
      <xdr:colOff>881062</xdr:colOff>
      <xdr:row>16</xdr:row>
      <xdr:rowOff>7271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3AE6564-E255-4082-BC50-85523EB8C6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80962</xdr:colOff>
      <xdr:row>16</xdr:row>
      <xdr:rowOff>105142</xdr:rowOff>
    </xdr:from>
    <xdr:to>
      <xdr:col>19</xdr:col>
      <xdr:colOff>897765</xdr:colOff>
      <xdr:row>30</xdr:row>
      <xdr:rowOff>154123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61A6F87-78C4-4FF7-BE3E-FBC8C54FCF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175846</xdr:colOff>
      <xdr:row>31</xdr:row>
      <xdr:rowOff>152034</xdr:rowOff>
    </xdr:from>
    <xdr:to>
      <xdr:col>15</xdr:col>
      <xdr:colOff>718565</xdr:colOff>
      <xdr:row>43</xdr:row>
      <xdr:rowOff>163193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59A702A-F7FD-4D4A-9002-B0649C7480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179662</xdr:colOff>
      <xdr:row>43</xdr:row>
      <xdr:rowOff>167485</xdr:rowOff>
    </xdr:from>
    <xdr:to>
      <xdr:col>15</xdr:col>
      <xdr:colOff>724286</xdr:colOff>
      <xdr:row>57</xdr:row>
      <xdr:rowOff>116732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26762D6-064B-4B43-A4B6-F25174BD65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209427</xdr:colOff>
      <xdr:row>2</xdr:row>
      <xdr:rowOff>136198</xdr:rowOff>
    </xdr:from>
    <xdr:to>
      <xdr:col>15</xdr:col>
      <xdr:colOff>757861</xdr:colOff>
      <xdr:row>15</xdr:row>
      <xdr:rowOff>184626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9FC42E-22B9-43D6-852B-8B9812EB39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215148</xdr:colOff>
      <xdr:row>16</xdr:row>
      <xdr:rowOff>108787</xdr:rowOff>
    </xdr:from>
    <xdr:to>
      <xdr:col>15</xdr:col>
      <xdr:colOff>763582</xdr:colOff>
      <xdr:row>30</xdr:row>
      <xdr:rowOff>155311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BE86CA-0305-4AC7-AB46-C45BA4E5DB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89249</xdr:colOff>
      <xdr:row>31</xdr:row>
      <xdr:rowOff>100360</xdr:rowOff>
    </xdr:from>
    <xdr:to>
      <xdr:col>19</xdr:col>
      <xdr:colOff>885430</xdr:colOff>
      <xdr:row>43</xdr:row>
      <xdr:rowOff>168294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B3E41B-3FD7-4084-91EC-2EC2CF1120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86005</xdr:colOff>
      <xdr:row>43</xdr:row>
      <xdr:rowOff>169831</xdr:rowOff>
    </xdr:from>
    <xdr:to>
      <xdr:col>19</xdr:col>
      <xdr:colOff>884091</xdr:colOff>
      <xdr:row>57</xdr:row>
      <xdr:rowOff>24261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824735A-4AA7-42BB-AC95-DF497D4872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828674</xdr:colOff>
      <xdr:row>2</xdr:row>
      <xdr:rowOff>157583</xdr:rowOff>
    </xdr:from>
    <xdr:to>
      <xdr:col>19</xdr:col>
      <xdr:colOff>881062</xdr:colOff>
      <xdr:row>16</xdr:row>
      <xdr:rowOff>7271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F72AAFF-0DBF-4912-9227-B24E1E6BED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80962</xdr:colOff>
      <xdr:row>16</xdr:row>
      <xdr:rowOff>105142</xdr:rowOff>
    </xdr:from>
    <xdr:to>
      <xdr:col>19</xdr:col>
      <xdr:colOff>897765</xdr:colOff>
      <xdr:row>30</xdr:row>
      <xdr:rowOff>154123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E6EC3FB-7D81-4167-A887-0F8A2B40C4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175846</xdr:colOff>
      <xdr:row>31</xdr:row>
      <xdr:rowOff>152034</xdr:rowOff>
    </xdr:from>
    <xdr:to>
      <xdr:col>15</xdr:col>
      <xdr:colOff>718565</xdr:colOff>
      <xdr:row>43</xdr:row>
      <xdr:rowOff>163193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EE50DBF-E569-46F1-BD07-524CD613F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179662</xdr:colOff>
      <xdr:row>43</xdr:row>
      <xdr:rowOff>167485</xdr:rowOff>
    </xdr:from>
    <xdr:to>
      <xdr:col>15</xdr:col>
      <xdr:colOff>724286</xdr:colOff>
      <xdr:row>57</xdr:row>
      <xdr:rowOff>116732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16E2684-BFEB-4BBA-BA3D-2056D9E05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27869-60E0-43BF-B7FC-18286E7E1076}">
  <dimension ref="A1:X97"/>
  <sheetViews>
    <sheetView tabSelected="1" topLeftCell="D1" zoomScale="70" zoomScaleNormal="70" workbookViewId="0">
      <selection activeCell="U10" sqref="U10"/>
    </sheetView>
  </sheetViews>
  <sheetFormatPr defaultRowHeight="15" x14ac:dyDescent="0.25"/>
  <cols>
    <col min="1" max="1" width="3" style="1" customWidth="1"/>
    <col min="2" max="2" width="13" customWidth="1"/>
    <col min="3" max="3" width="19.140625" customWidth="1"/>
    <col min="4" max="4" width="18.42578125" customWidth="1"/>
    <col min="5" max="5" width="18.7109375" customWidth="1"/>
    <col min="6" max="6" width="21.140625" customWidth="1"/>
    <col min="7" max="7" width="24.85546875" customWidth="1"/>
    <col min="8" max="8" width="23.7109375" customWidth="1"/>
    <col min="9" max="9" width="20.7109375" customWidth="1"/>
    <col min="10" max="10" width="21.85546875" customWidth="1"/>
    <col min="11" max="11" width="18" customWidth="1"/>
    <col min="12" max="12" width="20.5703125" customWidth="1"/>
    <col min="13" max="13" width="21.7109375" customWidth="1"/>
    <col min="14" max="14" width="18.7109375" customWidth="1"/>
    <col min="16" max="16" width="12.42578125" customWidth="1"/>
    <col min="17" max="17" width="16.5703125" customWidth="1"/>
    <col min="18" max="18" width="15.85546875" customWidth="1"/>
    <col min="19" max="19" width="14.7109375" customWidth="1"/>
    <col min="20" max="20" width="14" customWidth="1"/>
    <col min="21" max="21" width="13.140625" customWidth="1"/>
    <col min="22" max="22" width="15.85546875" customWidth="1"/>
    <col min="23" max="23" width="16.7109375" customWidth="1"/>
    <col min="24" max="24" width="15.42578125" customWidth="1"/>
  </cols>
  <sheetData>
    <row r="1" spans="2:15" x14ac:dyDescent="0.25">
      <c r="H1" s="4" t="s">
        <v>8</v>
      </c>
    </row>
    <row r="2" spans="2:15" x14ac:dyDescent="0.25">
      <c r="H2" s="5" t="s">
        <v>9</v>
      </c>
    </row>
    <row r="3" spans="2:15" x14ac:dyDescent="0.25">
      <c r="B3" s="1" t="s">
        <v>1</v>
      </c>
      <c r="C3" s="1"/>
      <c r="D3" s="1"/>
      <c r="E3" s="1"/>
      <c r="F3" s="1"/>
      <c r="G3" s="1"/>
      <c r="H3" s="3"/>
      <c r="I3" s="1"/>
      <c r="J3" s="1"/>
      <c r="K3" s="1"/>
      <c r="L3" s="1"/>
      <c r="M3" s="1"/>
      <c r="N3" s="1"/>
      <c r="O3" s="1"/>
    </row>
    <row r="4" spans="2:15" ht="30" x14ac:dyDescent="0.25">
      <c r="B4" s="16" t="s">
        <v>10</v>
      </c>
      <c r="C4" s="16" t="s">
        <v>5</v>
      </c>
      <c r="D4" s="16" t="s">
        <v>6</v>
      </c>
      <c r="E4" s="16" t="s">
        <v>0</v>
      </c>
      <c r="F4" s="17" t="s">
        <v>11</v>
      </c>
      <c r="G4" s="20" t="s">
        <v>29</v>
      </c>
      <c r="H4" s="20" t="s">
        <v>30</v>
      </c>
      <c r="I4" s="16" t="s">
        <v>33</v>
      </c>
      <c r="J4" s="16" t="s">
        <v>34</v>
      </c>
      <c r="K4" s="1"/>
      <c r="L4" s="1"/>
      <c r="M4" s="1"/>
      <c r="N4" s="1"/>
      <c r="O4" s="1"/>
    </row>
    <row r="5" spans="2:15" x14ac:dyDescent="0.25">
      <c r="B5" s="1" t="s">
        <v>12</v>
      </c>
      <c r="C5" s="6">
        <v>1.86943505833322</v>
      </c>
      <c r="D5" s="6">
        <v>1.9314296164550899</v>
      </c>
      <c r="E5" s="6">
        <v>9.4513218106104094E-2</v>
      </c>
      <c r="F5" s="10">
        <v>23.15789474</v>
      </c>
      <c r="G5" s="1">
        <v>6055.55</v>
      </c>
      <c r="H5" s="10"/>
      <c r="K5" s="2"/>
      <c r="L5" s="2"/>
      <c r="M5" s="1"/>
      <c r="N5" s="1"/>
      <c r="O5" s="1"/>
    </row>
    <row r="6" spans="2:15" x14ac:dyDescent="0.25">
      <c r="B6" s="1" t="s">
        <v>13</v>
      </c>
      <c r="C6" s="6">
        <v>1.3545954270153699</v>
      </c>
      <c r="D6" s="6">
        <v>1.0089470650494099</v>
      </c>
      <c r="E6" s="6">
        <v>4.2663094228711902E-2</v>
      </c>
      <c r="F6" s="10">
        <v>23</v>
      </c>
      <c r="G6" s="1">
        <v>22</v>
      </c>
      <c r="H6" s="1"/>
      <c r="K6" s="2"/>
      <c r="L6" s="2"/>
      <c r="M6" s="1"/>
      <c r="N6" s="1"/>
      <c r="O6" s="1"/>
    </row>
    <row r="7" spans="2:15" x14ac:dyDescent="0.25">
      <c r="B7" s="1" t="s">
        <v>14</v>
      </c>
      <c r="C7" s="6"/>
      <c r="D7" s="6"/>
      <c r="E7" s="6"/>
      <c r="F7" s="10"/>
      <c r="G7" s="1">
        <v>21.75</v>
      </c>
      <c r="H7" s="1">
        <v>6099.3</v>
      </c>
      <c r="I7" s="1">
        <v>118.22733427999999</v>
      </c>
      <c r="J7" s="1">
        <v>60.710430000000002</v>
      </c>
      <c r="K7" s="2"/>
      <c r="L7" s="2"/>
      <c r="M7" s="6"/>
      <c r="N7" s="1"/>
      <c r="O7" s="1"/>
    </row>
    <row r="8" spans="2:15" x14ac:dyDescent="0.25">
      <c r="B8" s="1" t="s">
        <v>15</v>
      </c>
      <c r="C8" s="6"/>
      <c r="D8" s="6"/>
      <c r="E8" s="6"/>
      <c r="F8" s="10"/>
      <c r="G8" s="1">
        <v>48.5</v>
      </c>
      <c r="H8" s="1">
        <v>48.5</v>
      </c>
      <c r="I8" s="1">
        <v>108.51115272</v>
      </c>
      <c r="J8" s="1">
        <v>45.71622</v>
      </c>
      <c r="K8" s="2"/>
      <c r="L8" s="2"/>
      <c r="M8" s="6"/>
      <c r="N8" s="1"/>
      <c r="O8" s="1"/>
    </row>
    <row r="9" spans="2:15" x14ac:dyDescent="0.25">
      <c r="B9" s="1" t="s">
        <v>16</v>
      </c>
      <c r="C9" s="6"/>
      <c r="D9" s="6"/>
      <c r="E9" s="6"/>
      <c r="F9" s="10"/>
      <c r="G9" s="1">
        <v>28.75</v>
      </c>
      <c r="H9" s="1">
        <v>28.75</v>
      </c>
      <c r="I9" s="1">
        <v>106.97060942</v>
      </c>
      <c r="J9" s="1">
        <v>46.063560000000003</v>
      </c>
      <c r="K9" s="2"/>
      <c r="L9" s="2"/>
      <c r="M9" s="6"/>
      <c r="N9" s="1"/>
      <c r="O9" s="1"/>
    </row>
    <row r="10" spans="2:15" x14ac:dyDescent="0.25">
      <c r="B10" s="1" t="s">
        <v>17</v>
      </c>
      <c r="C10" s="6">
        <v>1.31746197777344</v>
      </c>
      <c r="D10" s="6">
        <v>0.66698565105034602</v>
      </c>
      <c r="E10" s="6">
        <v>8.8732929175135894E-2</v>
      </c>
      <c r="F10" s="10">
        <v>10.34482759</v>
      </c>
      <c r="G10" s="1">
        <v>21</v>
      </c>
      <c r="H10" s="1">
        <v>21</v>
      </c>
      <c r="I10" s="1">
        <v>113.72040256</v>
      </c>
      <c r="J10" s="1">
        <v>47.354999999999997</v>
      </c>
      <c r="K10" s="2"/>
      <c r="L10" s="2"/>
      <c r="M10" s="6"/>
      <c r="N10" s="1"/>
      <c r="O10" s="1"/>
    </row>
    <row r="11" spans="2:15" x14ac:dyDescent="0.25">
      <c r="B11" s="1" t="s">
        <v>18</v>
      </c>
      <c r="C11" s="6">
        <v>0.89735303995633098</v>
      </c>
      <c r="D11" s="6">
        <v>0.19762137224995299</v>
      </c>
      <c r="E11" s="6">
        <v>-1.9463558010346702E-2</v>
      </c>
      <c r="F11" s="10">
        <v>26.086956520000001</v>
      </c>
      <c r="G11" s="1">
        <v>21.5</v>
      </c>
      <c r="H11" s="1"/>
      <c r="I11" s="1"/>
      <c r="J11" s="1"/>
      <c r="K11" s="2"/>
      <c r="L11" s="2"/>
      <c r="M11" s="6"/>
      <c r="N11" s="1"/>
      <c r="O11" s="1"/>
    </row>
    <row r="12" spans="2:15" x14ac:dyDescent="0.25">
      <c r="B12" s="1" t="s">
        <v>19</v>
      </c>
      <c r="C12" s="6">
        <v>1.39880081037808</v>
      </c>
      <c r="D12" s="6">
        <v>0.54807771119966198</v>
      </c>
      <c r="E12" s="6">
        <v>0.10415722716452799</v>
      </c>
      <c r="F12" s="10">
        <v>8.125</v>
      </c>
      <c r="G12" s="1">
        <v>75</v>
      </c>
      <c r="H12" s="1">
        <v>96.5</v>
      </c>
      <c r="I12" s="1">
        <v>112.66319882000001</v>
      </c>
      <c r="J12" s="1">
        <v>101.105</v>
      </c>
      <c r="K12" s="2"/>
      <c r="L12" s="2"/>
      <c r="M12" s="6"/>
      <c r="N12" s="1"/>
      <c r="O12" s="1"/>
    </row>
    <row r="13" spans="2:15" x14ac:dyDescent="0.25">
      <c r="B13" s="1" t="s">
        <v>20</v>
      </c>
      <c r="C13" s="6">
        <v>1.2210038373368299</v>
      </c>
      <c r="D13" s="6">
        <v>0.10106112243990099</v>
      </c>
      <c r="E13" s="6">
        <v>4.66251429291673E-2</v>
      </c>
      <c r="F13" s="10">
        <v>12.67</v>
      </c>
      <c r="G13" s="1">
        <v>47.5</v>
      </c>
      <c r="H13" s="1">
        <v>47.5</v>
      </c>
      <c r="I13" s="1">
        <v>114.89097618</v>
      </c>
      <c r="J13" s="1">
        <v>44.466000000000001</v>
      </c>
      <c r="K13" s="2"/>
      <c r="L13" s="2"/>
      <c r="M13" s="6"/>
      <c r="N13" s="1"/>
      <c r="O13" s="1"/>
    </row>
    <row r="14" spans="2:15" x14ac:dyDescent="0.25">
      <c r="B14" s="1" t="s">
        <v>21</v>
      </c>
      <c r="C14" s="6">
        <v>1.5249018262283101</v>
      </c>
      <c r="D14" s="6">
        <v>0.50902572287082404</v>
      </c>
      <c r="E14" s="6">
        <v>9.0894558490112708E-3</v>
      </c>
      <c r="F14" s="10">
        <v>42</v>
      </c>
      <c r="G14" s="1">
        <v>23.5</v>
      </c>
      <c r="H14" s="1">
        <v>23.5</v>
      </c>
      <c r="I14" s="1">
        <v>116.55531655999999</v>
      </c>
      <c r="J14" s="1">
        <v>47.503</v>
      </c>
      <c r="K14" s="1"/>
      <c r="L14" s="7"/>
      <c r="M14" s="6"/>
      <c r="N14" s="1"/>
      <c r="O14" s="1"/>
    </row>
    <row r="15" spans="2:15" x14ac:dyDescent="0.25">
      <c r="B15" s="1" t="s">
        <v>22</v>
      </c>
      <c r="C15" s="6"/>
      <c r="D15" s="6"/>
      <c r="E15" s="6"/>
      <c r="F15" s="10"/>
      <c r="G15" s="1">
        <v>27.75</v>
      </c>
      <c r="H15" s="1"/>
      <c r="I15" s="1"/>
      <c r="J15" s="1"/>
      <c r="K15" s="1"/>
      <c r="L15" s="7"/>
      <c r="M15" s="6"/>
      <c r="N15" s="1"/>
      <c r="O15" s="1"/>
    </row>
    <row r="16" spans="2:15" x14ac:dyDescent="0.25">
      <c r="B16" s="1" t="s">
        <v>23</v>
      </c>
      <c r="C16" s="6"/>
      <c r="D16" s="6"/>
      <c r="E16" s="6"/>
      <c r="F16" s="10"/>
      <c r="G16" s="1">
        <v>20</v>
      </c>
      <c r="H16" s="1">
        <v>47.75</v>
      </c>
      <c r="I16" s="1">
        <v>118.40602251999999</v>
      </c>
      <c r="J16" s="1">
        <v>54.055999999999997</v>
      </c>
      <c r="K16" s="1"/>
      <c r="L16" s="1"/>
      <c r="M16" s="1"/>
      <c r="N16" s="1"/>
      <c r="O16" s="1"/>
    </row>
    <row r="17" spans="2:15" x14ac:dyDescent="0.25">
      <c r="B17" s="1" t="s">
        <v>24</v>
      </c>
      <c r="C17" s="6">
        <v>1.36678278361715</v>
      </c>
      <c r="D17" s="6">
        <v>0.463447965306029</v>
      </c>
      <c r="E17" s="6">
        <v>2.0373962034653699E-2</v>
      </c>
      <c r="F17" s="10">
        <v>20.666666670000001</v>
      </c>
      <c r="G17" s="1">
        <v>23.75</v>
      </c>
      <c r="H17" s="1">
        <v>23.75</v>
      </c>
      <c r="I17" s="1">
        <v>115.75512236</v>
      </c>
      <c r="J17" s="1">
        <v>53.783999999999999</v>
      </c>
      <c r="K17" s="1"/>
      <c r="L17" s="1"/>
      <c r="M17" s="1"/>
      <c r="N17" s="1"/>
      <c r="O17" s="1"/>
    </row>
    <row r="18" spans="2:15" x14ac:dyDescent="0.25">
      <c r="B18" s="1" t="s">
        <v>25</v>
      </c>
      <c r="C18" s="6"/>
      <c r="D18" s="6"/>
      <c r="E18" s="6"/>
      <c r="F18" s="10"/>
      <c r="G18" s="1">
        <v>23.5</v>
      </c>
      <c r="H18" s="1">
        <v>23.5</v>
      </c>
      <c r="I18" s="1">
        <v>121.12197168</v>
      </c>
      <c r="J18" s="1">
        <v>53.783999999999999</v>
      </c>
      <c r="K18" s="1"/>
      <c r="L18" s="1"/>
      <c r="M18" s="1"/>
      <c r="N18" s="1"/>
      <c r="O18" s="1"/>
    </row>
    <row r="19" spans="2:15" x14ac:dyDescent="0.25">
      <c r="B19" s="1" t="s">
        <v>26</v>
      </c>
      <c r="C19" s="6"/>
      <c r="D19" s="6"/>
      <c r="E19" s="6"/>
      <c r="F19" s="10"/>
      <c r="G19" s="1">
        <v>24</v>
      </c>
      <c r="K19" s="2"/>
      <c r="L19" s="2"/>
      <c r="M19" s="1"/>
      <c r="N19" s="1"/>
      <c r="O19" s="1"/>
    </row>
    <row r="20" spans="2:15" x14ac:dyDescent="0.25">
      <c r="B20" s="1" t="s">
        <v>12</v>
      </c>
      <c r="C20" s="6">
        <v>1.8695993339197901</v>
      </c>
      <c r="D20" s="6">
        <v>0.44896728093636801</v>
      </c>
      <c r="E20" s="6">
        <v>2.4947102971666898E-2</v>
      </c>
      <c r="F20" s="10">
        <v>16</v>
      </c>
      <c r="G20" s="1"/>
      <c r="H20" s="10"/>
      <c r="K20" s="2"/>
      <c r="L20" s="2"/>
      <c r="M20" s="1"/>
      <c r="N20" s="1"/>
      <c r="O20" s="1"/>
    </row>
    <row r="21" spans="2:15" x14ac:dyDescent="0.25">
      <c r="B21" s="1" t="s">
        <v>13</v>
      </c>
      <c r="C21" s="6">
        <v>1.21795864622288</v>
      </c>
      <c r="D21" s="6">
        <v>1.5264059910121399</v>
      </c>
      <c r="E21" s="6">
        <v>9.6293174744729593E-3</v>
      </c>
      <c r="F21" s="10">
        <v>21.5</v>
      </c>
      <c r="G21" s="1">
        <v>22</v>
      </c>
      <c r="H21" s="1"/>
      <c r="K21" s="2"/>
      <c r="L21" s="2"/>
      <c r="M21" s="6"/>
      <c r="N21" s="1"/>
      <c r="O21" s="1"/>
    </row>
    <row r="22" spans="2:15" x14ac:dyDescent="0.25">
      <c r="B22" s="1" t="s">
        <v>14</v>
      </c>
      <c r="C22" s="6">
        <v>1.0299659938988901</v>
      </c>
      <c r="D22" s="6">
        <v>0.71671353985517805</v>
      </c>
      <c r="E22" s="6">
        <v>0.14608753400636901</v>
      </c>
      <c r="F22" s="10">
        <v>12.222222220000001</v>
      </c>
      <c r="G22" s="1">
        <v>21.75</v>
      </c>
      <c r="H22" s="1"/>
      <c r="I22" s="1">
        <v>118.22733427999999</v>
      </c>
      <c r="J22" s="1">
        <v>60.710430000000002</v>
      </c>
      <c r="K22" s="2"/>
      <c r="L22" s="2"/>
      <c r="M22" s="6"/>
      <c r="N22" s="1"/>
      <c r="O22" s="1"/>
    </row>
    <row r="23" spans="2:15" x14ac:dyDescent="0.25">
      <c r="B23" s="1" t="s">
        <v>15</v>
      </c>
      <c r="C23" s="6"/>
      <c r="D23" s="6"/>
      <c r="E23" s="6"/>
      <c r="F23" s="10"/>
      <c r="G23" s="1">
        <v>48.5</v>
      </c>
      <c r="H23" s="1">
        <v>48.5</v>
      </c>
      <c r="I23" s="1">
        <v>108.51115272</v>
      </c>
      <c r="J23" s="1">
        <v>45.71622</v>
      </c>
      <c r="K23" s="1"/>
      <c r="L23" s="1"/>
      <c r="M23" s="6"/>
      <c r="N23" s="1"/>
      <c r="O23" s="1"/>
    </row>
    <row r="24" spans="2:15" x14ac:dyDescent="0.25">
      <c r="B24" s="1" t="s">
        <v>16</v>
      </c>
      <c r="C24" s="6"/>
      <c r="D24" s="6"/>
      <c r="E24" s="6"/>
      <c r="F24" s="10"/>
      <c r="G24" s="1">
        <v>28.75</v>
      </c>
      <c r="H24" s="1">
        <v>28.75</v>
      </c>
      <c r="I24" s="1">
        <v>106.97060942</v>
      </c>
      <c r="J24" s="1">
        <v>46.063560000000003</v>
      </c>
      <c r="K24" s="1"/>
      <c r="L24" s="1"/>
      <c r="M24" s="6"/>
      <c r="N24" s="1"/>
      <c r="O24" s="1"/>
    </row>
    <row r="25" spans="2:15" x14ac:dyDescent="0.25">
      <c r="B25" s="1" t="s">
        <v>17</v>
      </c>
      <c r="C25" s="6">
        <v>1.1534447144942801</v>
      </c>
      <c r="D25" s="6">
        <v>0.678678630991426</v>
      </c>
      <c r="E25" s="6">
        <v>1.27691539373017E-2</v>
      </c>
      <c r="F25" s="10">
        <v>11.25</v>
      </c>
      <c r="G25" s="1">
        <v>21</v>
      </c>
      <c r="H25" s="1">
        <v>21</v>
      </c>
      <c r="I25" s="1">
        <v>113.72040256</v>
      </c>
      <c r="J25" s="1">
        <v>47.354999999999997</v>
      </c>
      <c r="K25" s="1"/>
      <c r="L25" s="1"/>
      <c r="M25" s="6"/>
      <c r="N25" s="1"/>
      <c r="O25" s="1"/>
    </row>
    <row r="26" spans="2:15" x14ac:dyDescent="0.25">
      <c r="B26" s="1" t="s">
        <v>18</v>
      </c>
      <c r="C26" s="6">
        <v>1.6625275928143599</v>
      </c>
      <c r="D26" s="6">
        <v>0.81343884511072295</v>
      </c>
      <c r="E26" s="6">
        <v>6.7576112725014403E-2</v>
      </c>
      <c r="F26" s="10">
        <v>15</v>
      </c>
      <c r="G26" s="1">
        <v>21.5</v>
      </c>
      <c r="H26" s="1"/>
      <c r="I26" s="1"/>
      <c r="J26" s="1"/>
      <c r="K26" s="1"/>
      <c r="L26" s="1"/>
      <c r="M26" s="6"/>
      <c r="N26" s="1"/>
      <c r="O26" s="1"/>
    </row>
    <row r="27" spans="2:15" x14ac:dyDescent="0.25">
      <c r="B27" s="1" t="s">
        <v>19</v>
      </c>
      <c r="C27" s="6">
        <v>0.83858009935182098</v>
      </c>
      <c r="D27" s="6">
        <v>-1.07855599689062</v>
      </c>
      <c r="E27" s="6">
        <v>-0.35416666689988402</v>
      </c>
      <c r="F27" s="10">
        <v>11.612903230000001</v>
      </c>
      <c r="G27" s="1">
        <v>75</v>
      </c>
      <c r="H27" s="1">
        <v>96.5</v>
      </c>
      <c r="I27" s="1">
        <v>112.66319882000001</v>
      </c>
      <c r="J27" s="1">
        <v>101.105</v>
      </c>
      <c r="K27" s="1"/>
      <c r="L27" s="1"/>
      <c r="M27" s="6"/>
      <c r="N27" s="1"/>
      <c r="O27" s="1"/>
    </row>
    <row r="28" spans="2:15" x14ac:dyDescent="0.25">
      <c r="B28" s="1" t="s">
        <v>20</v>
      </c>
      <c r="C28" s="6">
        <v>2.31938512736013</v>
      </c>
      <c r="D28" s="6">
        <v>1.34776836410395</v>
      </c>
      <c r="E28" s="6">
        <v>4.5646344187588998E-2</v>
      </c>
      <c r="F28" s="10">
        <v>14.545454550000001</v>
      </c>
      <c r="G28" s="1">
        <v>47.5</v>
      </c>
      <c r="H28" s="1">
        <v>47.5</v>
      </c>
      <c r="I28" s="1">
        <v>114.89097618</v>
      </c>
      <c r="J28" s="1">
        <v>44.466000000000001</v>
      </c>
      <c r="K28" s="1"/>
      <c r="L28" s="1"/>
      <c r="M28" s="6"/>
      <c r="N28" s="1"/>
      <c r="O28" s="1"/>
    </row>
    <row r="29" spans="2:15" x14ac:dyDescent="0.25">
      <c r="B29" s="1" t="s">
        <v>21</v>
      </c>
      <c r="C29" s="6">
        <v>1.66955637894203</v>
      </c>
      <c r="D29" s="6">
        <v>0.55456789410428697</v>
      </c>
      <c r="E29" s="6">
        <v>1.47909285306715E-2</v>
      </c>
      <c r="F29" s="10">
        <v>45</v>
      </c>
      <c r="G29" s="1">
        <v>23.5</v>
      </c>
      <c r="H29" s="1">
        <v>23.5</v>
      </c>
      <c r="I29" s="1">
        <v>116.55531655999999</v>
      </c>
      <c r="J29" s="1">
        <v>47.503</v>
      </c>
      <c r="K29" s="1"/>
      <c r="L29" s="1"/>
      <c r="M29" s="6"/>
      <c r="N29" s="1"/>
      <c r="O29" s="1"/>
    </row>
    <row r="30" spans="2:15" x14ac:dyDescent="0.25">
      <c r="B30" s="1" t="s">
        <v>22</v>
      </c>
      <c r="C30" s="6"/>
      <c r="D30" s="6">
        <v>0.70468449804027899</v>
      </c>
      <c r="E30" s="6">
        <v>3.5842816756479302E-2</v>
      </c>
      <c r="F30" s="10">
        <v>20</v>
      </c>
      <c r="G30" s="1">
        <v>27.75</v>
      </c>
      <c r="H30" s="1"/>
      <c r="I30" s="1"/>
      <c r="J30" s="1"/>
      <c r="K30" s="1"/>
      <c r="L30" s="1"/>
      <c r="M30" s="1"/>
      <c r="N30" s="1"/>
      <c r="O30" s="1"/>
    </row>
    <row r="31" spans="2:15" x14ac:dyDescent="0.25">
      <c r="B31" s="1" t="s">
        <v>23</v>
      </c>
      <c r="C31" s="6">
        <v>0.90805045415642205</v>
      </c>
      <c r="D31" s="6">
        <v>-0.373253605455523</v>
      </c>
      <c r="E31" s="6">
        <v>-4.0383997186219003E-2</v>
      </c>
      <c r="F31" s="10">
        <v>4.375</v>
      </c>
      <c r="G31" s="1">
        <v>20</v>
      </c>
      <c r="H31" s="1">
        <v>47.75</v>
      </c>
      <c r="I31" s="1">
        <v>118.40602251999999</v>
      </c>
      <c r="J31" s="1">
        <v>54.055999999999997</v>
      </c>
      <c r="K31" s="1"/>
      <c r="L31" s="1"/>
      <c r="M31" s="1"/>
      <c r="N31" s="1"/>
      <c r="O31" s="1"/>
    </row>
    <row r="32" spans="2:15" x14ac:dyDescent="0.25">
      <c r="B32" s="1" t="s">
        <v>24</v>
      </c>
      <c r="C32" s="6">
        <v>1.0862889042163599</v>
      </c>
      <c r="D32" s="6">
        <v>0.63056904760694898</v>
      </c>
      <c r="E32" s="6">
        <v>3.6679485231980898E-2</v>
      </c>
      <c r="F32" s="10">
        <v>24.375</v>
      </c>
      <c r="G32" s="1">
        <v>23.75</v>
      </c>
      <c r="H32" s="1">
        <v>23.75</v>
      </c>
      <c r="I32" s="1">
        <v>115.75512236</v>
      </c>
      <c r="J32" s="1">
        <v>53.783999999999999</v>
      </c>
      <c r="K32" s="1"/>
      <c r="L32" s="1"/>
      <c r="M32" s="1"/>
      <c r="N32" s="1"/>
      <c r="O32" s="1"/>
    </row>
    <row r="33" spans="2:16" x14ac:dyDescent="0.25">
      <c r="B33" s="1" t="s">
        <v>25</v>
      </c>
      <c r="C33" s="6">
        <v>0.39254775269290398</v>
      </c>
      <c r="D33" s="6">
        <v>-0.623899602892661</v>
      </c>
      <c r="E33" s="6">
        <v>-0.76160033358371604</v>
      </c>
      <c r="F33" s="10">
        <v>5.7142857139999998</v>
      </c>
      <c r="G33" s="1">
        <v>23.5</v>
      </c>
      <c r="H33" s="1">
        <v>23.5</v>
      </c>
      <c r="I33" s="1">
        <v>121.12197168</v>
      </c>
      <c r="J33" s="1">
        <v>53.783999999999999</v>
      </c>
      <c r="K33" s="2"/>
      <c r="L33" s="2"/>
      <c r="M33" s="1"/>
      <c r="N33" s="1"/>
      <c r="O33" s="1"/>
    </row>
    <row r="34" spans="2:16" x14ac:dyDescent="0.25">
      <c r="B34" s="11"/>
      <c r="C34" s="12"/>
      <c r="D34" s="12"/>
      <c r="E34" s="12"/>
      <c r="F34" s="11"/>
      <c r="G34" s="11"/>
      <c r="H34" s="11"/>
      <c r="K34" s="2"/>
      <c r="L34" s="2"/>
      <c r="M34" s="1"/>
      <c r="N34" s="1"/>
      <c r="O34" s="1"/>
    </row>
    <row r="35" spans="2:16" x14ac:dyDescent="0.25">
      <c r="B35" s="15" t="s">
        <v>2</v>
      </c>
      <c r="C35" s="1"/>
      <c r="D35" s="1"/>
      <c r="E35" s="1"/>
      <c r="F35" s="1"/>
      <c r="G35" s="13"/>
      <c r="H35" s="11"/>
      <c r="I35" s="1"/>
      <c r="J35" s="2"/>
      <c r="K35" s="2"/>
      <c r="L35" s="2"/>
      <c r="M35" s="6"/>
      <c r="N35" s="1"/>
      <c r="O35" s="1"/>
    </row>
    <row r="36" spans="2:16" ht="30" x14ac:dyDescent="0.25">
      <c r="B36" s="8" t="s">
        <v>10</v>
      </c>
      <c r="C36" s="8" t="s">
        <v>5</v>
      </c>
      <c r="D36" s="8" t="s">
        <v>6</v>
      </c>
      <c r="E36" s="8" t="s">
        <v>0</v>
      </c>
      <c r="F36" s="9" t="s">
        <v>11</v>
      </c>
      <c r="G36" s="18" t="s">
        <v>29</v>
      </c>
      <c r="H36" s="18" t="s">
        <v>30</v>
      </c>
      <c r="I36" s="16" t="s">
        <v>33</v>
      </c>
      <c r="J36" s="16" t="s">
        <v>34</v>
      </c>
      <c r="K36" s="2"/>
      <c r="L36" s="2"/>
      <c r="M36" s="6"/>
      <c r="N36" s="1"/>
      <c r="O36" s="1"/>
    </row>
    <row r="37" spans="2:16" x14ac:dyDescent="0.25">
      <c r="B37" s="1" t="s">
        <v>12</v>
      </c>
      <c r="C37" s="19">
        <v>0.96641125607193401</v>
      </c>
      <c r="D37" s="19">
        <v>0.28028790761501998</v>
      </c>
      <c r="E37" s="19">
        <v>3.4332675043980999E-2</v>
      </c>
      <c r="F37" s="10">
        <v>3.806</v>
      </c>
      <c r="G37" s="1">
        <v>6055.55</v>
      </c>
      <c r="H37" s="10"/>
      <c r="K37" s="1"/>
      <c r="L37" s="1"/>
      <c r="M37" s="6"/>
      <c r="N37" s="1"/>
      <c r="O37" s="1"/>
    </row>
    <row r="38" spans="2:16" x14ac:dyDescent="0.25">
      <c r="B38" s="1" t="s">
        <v>13</v>
      </c>
      <c r="C38" s="19">
        <v>0.998307366622182</v>
      </c>
      <c r="D38" s="19">
        <v>1.3951542417579801</v>
      </c>
      <c r="E38" s="19">
        <v>2.8668980226143202E-2</v>
      </c>
      <c r="F38" s="10">
        <v>3.6539999999999999</v>
      </c>
      <c r="G38" s="1">
        <v>22</v>
      </c>
      <c r="H38" s="1"/>
      <c r="K38" s="1"/>
      <c r="L38" s="1"/>
      <c r="M38" s="6"/>
      <c r="N38" s="1"/>
      <c r="O38" s="1"/>
    </row>
    <row r="39" spans="2:16" x14ac:dyDescent="0.25">
      <c r="B39" s="1" t="s">
        <v>14</v>
      </c>
      <c r="C39" s="19"/>
      <c r="D39" s="19"/>
      <c r="E39" s="19"/>
      <c r="F39" s="10"/>
      <c r="G39" s="1">
        <v>21.75</v>
      </c>
      <c r="H39" s="1">
        <v>6099.3</v>
      </c>
      <c r="I39" s="1">
        <v>118.22733427999999</v>
      </c>
      <c r="J39" s="1">
        <v>60.710430000000002</v>
      </c>
      <c r="K39" s="1"/>
      <c r="L39" s="1"/>
      <c r="M39" s="6"/>
      <c r="N39" s="1"/>
      <c r="O39" s="1"/>
    </row>
    <row r="40" spans="2:16" x14ac:dyDescent="0.25">
      <c r="B40" s="1" t="s">
        <v>15</v>
      </c>
      <c r="C40" s="19"/>
      <c r="D40" s="19"/>
      <c r="E40" s="19"/>
      <c r="F40" s="10"/>
      <c r="G40" s="1">
        <v>48.5</v>
      </c>
      <c r="H40" s="1">
        <v>48.5</v>
      </c>
      <c r="I40" s="1">
        <v>108.51115272</v>
      </c>
      <c r="J40" s="1">
        <v>45.71622</v>
      </c>
      <c r="K40" s="1"/>
      <c r="L40" s="1"/>
      <c r="M40" s="6"/>
      <c r="N40" s="1"/>
      <c r="O40" s="1"/>
    </row>
    <row r="41" spans="2:16" x14ac:dyDescent="0.25">
      <c r="B41" s="1" t="s">
        <v>16</v>
      </c>
      <c r="C41" s="19"/>
      <c r="D41" s="19"/>
      <c r="E41" s="19"/>
      <c r="F41" s="10"/>
      <c r="G41" s="1">
        <v>28.75</v>
      </c>
      <c r="H41" s="1">
        <v>28.75</v>
      </c>
      <c r="I41" s="1">
        <v>106.97060942</v>
      </c>
      <c r="J41" s="1">
        <v>46.063560000000003</v>
      </c>
      <c r="K41" s="1"/>
      <c r="L41" s="1"/>
      <c r="M41" s="6"/>
      <c r="N41" s="1"/>
      <c r="O41" s="1"/>
    </row>
    <row r="42" spans="2:16" x14ac:dyDescent="0.25">
      <c r="B42" s="1" t="s">
        <v>17</v>
      </c>
      <c r="C42" s="19">
        <v>1.01982556926034</v>
      </c>
      <c r="D42" s="19">
        <v>0.38831940167197898</v>
      </c>
      <c r="E42" s="19">
        <v>1.20306787922476E-2</v>
      </c>
      <c r="F42" s="10">
        <v>3.3380000000000001</v>
      </c>
      <c r="G42" s="1">
        <v>21</v>
      </c>
      <c r="H42" s="1">
        <v>21</v>
      </c>
      <c r="I42" s="1">
        <v>113.72040256</v>
      </c>
      <c r="J42" s="1">
        <v>47.354999999999997</v>
      </c>
      <c r="K42" s="1"/>
      <c r="L42" s="1"/>
      <c r="M42" s="6"/>
      <c r="N42" s="1"/>
      <c r="O42" s="1"/>
    </row>
    <row r="43" spans="2:16" x14ac:dyDescent="0.25">
      <c r="B43" s="1" t="s">
        <v>18</v>
      </c>
      <c r="C43" s="19">
        <v>1.0105385292601801</v>
      </c>
      <c r="D43" s="19">
        <v>0.597784224122066</v>
      </c>
      <c r="E43" s="19">
        <v>2.7386597361713599E-2</v>
      </c>
      <c r="F43" s="10">
        <v>3.37</v>
      </c>
      <c r="G43" s="1">
        <v>21.5</v>
      </c>
      <c r="H43" s="1"/>
      <c r="I43" s="1"/>
      <c r="J43" s="1"/>
      <c r="K43" s="1"/>
      <c r="L43" s="1"/>
      <c r="M43" s="6"/>
      <c r="N43" s="1"/>
      <c r="O43" s="1"/>
    </row>
    <row r="44" spans="2:16" x14ac:dyDescent="0.25">
      <c r="B44" s="1" t="s">
        <v>19</v>
      </c>
      <c r="C44" s="19">
        <v>1.04413498578157</v>
      </c>
      <c r="D44" s="19">
        <v>0.92934562720262803</v>
      </c>
      <c r="E44" s="19">
        <v>2.8615745110634201E-2</v>
      </c>
      <c r="F44" s="10">
        <v>3.2989999999999999</v>
      </c>
      <c r="G44" s="1">
        <v>75</v>
      </c>
      <c r="H44" s="1">
        <v>96.5</v>
      </c>
      <c r="I44" s="1">
        <v>112.66319882000001</v>
      </c>
      <c r="J44" s="1">
        <v>101.105</v>
      </c>
      <c r="K44" s="11"/>
      <c r="L44" s="11"/>
      <c r="M44" s="11"/>
      <c r="N44" s="11"/>
      <c r="O44" s="11"/>
      <c r="P44" s="14"/>
    </row>
    <row r="45" spans="2:16" x14ac:dyDescent="0.25">
      <c r="B45" s="1" t="s">
        <v>20</v>
      </c>
      <c r="C45" s="19">
        <v>1.04959681992682</v>
      </c>
      <c r="D45" s="19">
        <v>-0.33094957948560899</v>
      </c>
      <c r="E45" s="19">
        <v>4.4113621235337297E-2</v>
      </c>
      <c r="F45" s="10">
        <v>3.1309999999999998</v>
      </c>
      <c r="G45" s="1">
        <v>47.5</v>
      </c>
      <c r="H45" s="1">
        <v>47.5</v>
      </c>
      <c r="I45" s="1">
        <v>114.89097618</v>
      </c>
      <c r="J45" s="1">
        <v>44.466000000000001</v>
      </c>
      <c r="K45" s="11"/>
      <c r="L45" s="11"/>
      <c r="M45" s="11"/>
      <c r="N45" s="11"/>
      <c r="O45" s="11"/>
      <c r="P45" s="14"/>
    </row>
    <row r="46" spans="2:16" x14ac:dyDescent="0.25">
      <c r="B46" s="1" t="s">
        <v>21</v>
      </c>
      <c r="C46" s="19">
        <v>0.97400899474341096</v>
      </c>
      <c r="D46" s="19">
        <v>-0.27375631737886102</v>
      </c>
      <c r="E46" s="19">
        <v>-8.0536265843332393E-3</v>
      </c>
      <c r="F46" s="10">
        <v>3.7759999999999998</v>
      </c>
      <c r="G46" s="1">
        <v>23.5</v>
      </c>
      <c r="H46" s="1">
        <v>23.5</v>
      </c>
      <c r="I46" s="1">
        <v>116.55531655999999</v>
      </c>
      <c r="J46" s="1">
        <v>47.503</v>
      </c>
      <c r="K46" s="12"/>
      <c r="L46" s="12"/>
      <c r="M46" s="12"/>
      <c r="N46" s="12"/>
      <c r="O46" s="11"/>
      <c r="P46" s="14"/>
    </row>
    <row r="47" spans="2:16" x14ac:dyDescent="0.25">
      <c r="B47" s="1" t="s">
        <v>22</v>
      </c>
      <c r="C47" s="19"/>
      <c r="D47" s="19"/>
      <c r="E47" s="19"/>
      <c r="F47" s="10"/>
      <c r="G47" s="1">
        <v>27.75</v>
      </c>
      <c r="H47" s="1"/>
      <c r="I47" s="1"/>
      <c r="J47" s="1"/>
      <c r="K47" s="12"/>
      <c r="L47" s="12"/>
      <c r="M47" s="12"/>
      <c r="N47" s="12"/>
      <c r="O47" s="11"/>
      <c r="P47" s="14"/>
    </row>
    <row r="48" spans="2:16" x14ac:dyDescent="0.25">
      <c r="B48" s="1" t="s">
        <v>23</v>
      </c>
      <c r="C48" s="19"/>
      <c r="D48" s="19"/>
      <c r="E48" s="19"/>
      <c r="F48" s="10"/>
      <c r="G48" s="1">
        <v>20</v>
      </c>
      <c r="H48" s="1">
        <v>47.75</v>
      </c>
      <c r="I48" s="1">
        <v>118.40602251999999</v>
      </c>
      <c r="J48" s="1">
        <v>54.055999999999997</v>
      </c>
      <c r="K48" s="12"/>
      <c r="L48" s="12"/>
      <c r="M48" s="12"/>
      <c r="N48" s="12"/>
      <c r="O48" s="11"/>
      <c r="P48" s="14"/>
    </row>
    <row r="49" spans="2:16" x14ac:dyDescent="0.25">
      <c r="B49" s="1" t="s">
        <v>24</v>
      </c>
      <c r="C49" s="19">
        <v>1.03922347944993</v>
      </c>
      <c r="D49" s="19">
        <v>0.59399199353963394</v>
      </c>
      <c r="E49" s="19">
        <v>2.7450804091866201E-2</v>
      </c>
      <c r="F49" s="10">
        <v>3.5110000000000001</v>
      </c>
      <c r="G49" s="1">
        <v>23.75</v>
      </c>
      <c r="H49" s="1">
        <v>23.75</v>
      </c>
      <c r="I49" s="1">
        <v>115.75512236</v>
      </c>
      <c r="J49" s="1">
        <v>53.783999999999999</v>
      </c>
      <c r="K49" s="12"/>
      <c r="L49" s="12"/>
      <c r="M49" s="12"/>
      <c r="N49" s="12"/>
      <c r="O49" s="11"/>
      <c r="P49" s="14"/>
    </row>
    <row r="50" spans="2:16" x14ac:dyDescent="0.25">
      <c r="B50" s="1" t="s">
        <v>25</v>
      </c>
      <c r="C50" s="19"/>
      <c r="D50" s="19"/>
      <c r="E50" s="19"/>
      <c r="F50" s="10"/>
      <c r="G50" s="1">
        <v>23.5</v>
      </c>
      <c r="H50" s="1">
        <v>23.5</v>
      </c>
      <c r="I50" s="1">
        <v>121.12197168</v>
      </c>
      <c r="J50" s="1">
        <v>53.783999999999999</v>
      </c>
      <c r="K50" s="12"/>
      <c r="L50" s="12"/>
      <c r="M50" s="12"/>
      <c r="N50" s="12"/>
      <c r="O50" s="11"/>
      <c r="P50" s="14"/>
    </row>
    <row r="51" spans="2:16" x14ac:dyDescent="0.25">
      <c r="B51" s="1" t="s">
        <v>26</v>
      </c>
      <c r="C51" s="19"/>
      <c r="D51" s="19"/>
      <c r="E51" s="19"/>
      <c r="F51" s="10"/>
      <c r="G51" s="1">
        <v>24</v>
      </c>
      <c r="K51" s="12"/>
      <c r="L51" s="12"/>
      <c r="M51" s="12"/>
      <c r="N51" s="12"/>
      <c r="O51" s="11"/>
      <c r="P51" s="14"/>
    </row>
    <row r="52" spans="2:16" x14ac:dyDescent="0.25">
      <c r="B52" s="1" t="s">
        <v>12</v>
      </c>
      <c r="C52" s="19">
        <v>1.0683907677478099</v>
      </c>
      <c r="D52" s="19">
        <v>0.74870138294766397</v>
      </c>
      <c r="E52" s="19">
        <v>6.5697545304297195E-2</v>
      </c>
      <c r="F52" s="1">
        <v>3.8290000000000002</v>
      </c>
      <c r="G52" s="1"/>
      <c r="H52" s="10"/>
      <c r="K52" s="12"/>
      <c r="L52" s="12"/>
      <c r="M52" s="12"/>
      <c r="N52" s="12"/>
      <c r="O52" s="11"/>
      <c r="P52" s="14"/>
    </row>
    <row r="53" spans="2:16" x14ac:dyDescent="0.25">
      <c r="B53" s="1" t="s">
        <v>13</v>
      </c>
      <c r="C53" s="19">
        <v>1.13117180110701</v>
      </c>
      <c r="D53" s="19">
        <v>1.1019405303793299</v>
      </c>
      <c r="E53" s="19">
        <v>0.132436068542756</v>
      </c>
      <c r="F53" s="1">
        <v>4.6630000000000003</v>
      </c>
      <c r="G53" s="1">
        <v>22</v>
      </c>
      <c r="H53" s="1"/>
      <c r="K53" s="12"/>
      <c r="L53" s="12"/>
      <c r="M53" s="12"/>
      <c r="N53" s="12"/>
      <c r="O53" s="11"/>
      <c r="P53" s="14"/>
    </row>
    <row r="54" spans="2:16" x14ac:dyDescent="0.25">
      <c r="B54" s="1" t="s">
        <v>14</v>
      </c>
      <c r="C54" s="19">
        <v>0.99421602518435603</v>
      </c>
      <c r="D54" s="19">
        <v>0.17884914222762199</v>
      </c>
      <c r="E54" s="19">
        <v>-4.2076076707890497E-3</v>
      </c>
      <c r="F54" s="1">
        <v>3.9940000000000002</v>
      </c>
      <c r="G54" s="1">
        <v>21.75</v>
      </c>
      <c r="H54" s="1"/>
      <c r="I54" s="1">
        <v>118.22733427999999</v>
      </c>
      <c r="J54" s="1">
        <v>60.710430000000002</v>
      </c>
      <c r="K54" s="12"/>
      <c r="L54" s="12"/>
      <c r="M54" s="12"/>
      <c r="N54" s="12"/>
      <c r="O54" s="11"/>
      <c r="P54" s="14"/>
    </row>
    <row r="55" spans="2:16" x14ac:dyDescent="0.25">
      <c r="B55" s="1" t="s">
        <v>15</v>
      </c>
      <c r="C55" s="19"/>
      <c r="D55" s="19"/>
      <c r="E55" s="19"/>
      <c r="F55" s="1"/>
      <c r="G55" s="1">
        <v>48.5</v>
      </c>
      <c r="H55" s="1">
        <v>48.5</v>
      </c>
      <c r="I55" s="1">
        <v>108.51115272</v>
      </c>
      <c r="J55" s="1">
        <v>45.71622</v>
      </c>
      <c r="K55" s="11"/>
      <c r="L55" s="11"/>
      <c r="M55" s="11"/>
      <c r="N55" s="11"/>
      <c r="O55" s="11"/>
      <c r="P55" s="14"/>
    </row>
    <row r="56" spans="2:16" x14ac:dyDescent="0.25">
      <c r="B56" s="1" t="s">
        <v>16</v>
      </c>
      <c r="C56" s="19">
        <v>1.0587750080951299</v>
      </c>
      <c r="D56" s="19">
        <v>0.662333397055619</v>
      </c>
      <c r="E56" s="19">
        <v>0.12430930853391101</v>
      </c>
      <c r="F56" s="1">
        <v>3.8860000000000001</v>
      </c>
      <c r="G56" s="1">
        <v>28.75</v>
      </c>
      <c r="H56" s="1">
        <v>28.75</v>
      </c>
      <c r="I56" s="1">
        <v>106.97060942</v>
      </c>
      <c r="J56" s="1">
        <v>46.063560000000003</v>
      </c>
      <c r="K56" s="14"/>
      <c r="L56" s="14"/>
      <c r="M56" s="14"/>
      <c r="N56" s="14"/>
      <c r="O56" s="14"/>
      <c r="P56" s="14"/>
    </row>
    <row r="57" spans="2:16" x14ac:dyDescent="0.25">
      <c r="B57" s="1" t="s">
        <v>17</v>
      </c>
      <c r="C57" s="19">
        <v>1.04764110720538</v>
      </c>
      <c r="D57" s="19">
        <v>1.10062768451704</v>
      </c>
      <c r="E57" s="19">
        <v>9.2876994447724404E-2</v>
      </c>
      <c r="F57" s="1">
        <v>3.7970000000000002</v>
      </c>
      <c r="G57" s="1">
        <v>21</v>
      </c>
      <c r="H57" s="1">
        <v>21</v>
      </c>
      <c r="I57" s="1">
        <v>113.72040256</v>
      </c>
      <c r="J57" s="1">
        <v>47.354999999999997</v>
      </c>
      <c r="K57" s="14"/>
      <c r="L57" s="14"/>
      <c r="M57" s="14"/>
      <c r="N57" s="14"/>
      <c r="O57" s="14"/>
      <c r="P57" s="14"/>
    </row>
    <row r="58" spans="2:16" x14ac:dyDescent="0.25">
      <c r="B58" s="1" t="s">
        <v>18</v>
      </c>
      <c r="C58" s="19">
        <v>1.1477045338510801</v>
      </c>
      <c r="D58" s="19">
        <v>0.97101599927504101</v>
      </c>
      <c r="E58" s="19">
        <v>8.3834633446242604E-2</v>
      </c>
      <c r="F58" s="1">
        <v>4.5410000000000004</v>
      </c>
      <c r="G58" s="1">
        <v>21.5</v>
      </c>
      <c r="H58" s="1"/>
      <c r="I58" s="1"/>
      <c r="J58" s="1"/>
    </row>
    <row r="59" spans="2:16" x14ac:dyDescent="0.25">
      <c r="B59" s="1" t="s">
        <v>19</v>
      </c>
      <c r="C59" s="19">
        <v>1.1126612766097499</v>
      </c>
      <c r="D59" s="19">
        <v>0.95380985457733503</v>
      </c>
      <c r="E59" s="19">
        <v>4.4857179056258203E-2</v>
      </c>
      <c r="F59" s="1">
        <v>3.456</v>
      </c>
      <c r="G59" s="1">
        <v>75</v>
      </c>
      <c r="H59" s="1">
        <v>96.5</v>
      </c>
      <c r="I59" s="1">
        <v>112.66319882000001</v>
      </c>
      <c r="J59" s="1">
        <v>101.105</v>
      </c>
    </row>
    <row r="60" spans="2:16" x14ac:dyDescent="0.25">
      <c r="B60" s="1" t="s">
        <v>20</v>
      </c>
      <c r="C60" s="19">
        <v>1.2530304455719099</v>
      </c>
      <c r="D60" s="19">
        <v>1.1029723476739599</v>
      </c>
      <c r="E60" s="19">
        <v>7.6664996000854094E-2</v>
      </c>
      <c r="F60" s="1">
        <v>4.681</v>
      </c>
      <c r="G60" s="1">
        <v>47.5</v>
      </c>
      <c r="H60" s="1">
        <v>47.5</v>
      </c>
      <c r="I60" s="1">
        <v>114.89097618</v>
      </c>
      <c r="J60" s="1">
        <v>44.466000000000001</v>
      </c>
    </row>
    <row r="61" spans="2:16" x14ac:dyDescent="0.25">
      <c r="B61" s="1" t="s">
        <v>21</v>
      </c>
      <c r="C61" s="19">
        <v>1.0813804129035001</v>
      </c>
      <c r="D61" s="19">
        <v>0.52079829390269505</v>
      </c>
      <c r="E61" s="19">
        <v>2.1219861817338499E-2</v>
      </c>
      <c r="F61" s="1">
        <v>4.9790000000000001</v>
      </c>
      <c r="G61" s="1">
        <v>23.5</v>
      </c>
      <c r="H61" s="1">
        <v>23.5</v>
      </c>
      <c r="I61" s="1">
        <v>116.55531655999999</v>
      </c>
      <c r="J61" s="1">
        <v>47.503</v>
      </c>
    </row>
    <row r="62" spans="2:16" x14ac:dyDescent="0.25">
      <c r="B62" s="1" t="s">
        <v>22</v>
      </c>
      <c r="C62" s="19">
        <v>1.2134925086481201</v>
      </c>
      <c r="D62" s="19">
        <v>0.94175163201491896</v>
      </c>
      <c r="E62" s="19">
        <v>8.5275451626537893E-2</v>
      </c>
      <c r="F62" s="1">
        <v>4.6879999999999997</v>
      </c>
      <c r="G62" s="1">
        <v>27.75</v>
      </c>
      <c r="H62" s="1"/>
      <c r="I62" s="1"/>
      <c r="J62" s="1"/>
    </row>
    <row r="63" spans="2:16" x14ac:dyDescent="0.25">
      <c r="B63" s="1" t="s">
        <v>23</v>
      </c>
      <c r="C63" s="19">
        <v>1.08380817355586</v>
      </c>
      <c r="D63" s="19">
        <v>0.28231733716004298</v>
      </c>
      <c r="E63" s="19">
        <v>3.1629539106965802E-2</v>
      </c>
      <c r="F63" s="1">
        <v>3.4780000000000002</v>
      </c>
      <c r="G63" s="1">
        <v>20</v>
      </c>
      <c r="H63" s="1">
        <v>47.75</v>
      </c>
      <c r="I63" s="1">
        <v>118.40602251999999</v>
      </c>
      <c r="J63" s="1">
        <v>54.055999999999997</v>
      </c>
    </row>
    <row r="64" spans="2:16" x14ac:dyDescent="0.25">
      <c r="B64" s="1" t="s">
        <v>24</v>
      </c>
      <c r="C64" s="19">
        <v>1.0367372638660399</v>
      </c>
      <c r="D64" s="19">
        <v>0.55097576187408004</v>
      </c>
      <c r="E64" s="19">
        <v>4.3964016574286002E-2</v>
      </c>
      <c r="F64" s="1">
        <v>4.0039999999999996</v>
      </c>
      <c r="G64" s="1">
        <v>23.75</v>
      </c>
      <c r="H64" s="1">
        <v>23.75</v>
      </c>
      <c r="I64" s="1">
        <v>115.75512236</v>
      </c>
      <c r="J64" s="1">
        <v>53.783999999999999</v>
      </c>
    </row>
    <row r="65" spans="2:24" x14ac:dyDescent="0.25">
      <c r="B65" s="1" t="s">
        <v>25</v>
      </c>
      <c r="C65" s="19">
        <v>1.1282134088167699</v>
      </c>
      <c r="D65" s="19">
        <v>0.99053604379690696</v>
      </c>
      <c r="E65" s="19">
        <v>5.3048699734524599E-2</v>
      </c>
      <c r="F65" s="1">
        <v>3.5750000000000002</v>
      </c>
      <c r="G65" s="1">
        <v>23.5</v>
      </c>
      <c r="H65" s="1">
        <v>23.5</v>
      </c>
      <c r="I65" s="1">
        <v>121.12197168</v>
      </c>
      <c r="J65" s="1">
        <v>53.783999999999999</v>
      </c>
    </row>
    <row r="67" spans="2:24" ht="45" x14ac:dyDescent="0.25">
      <c r="B67" s="1"/>
      <c r="C67" s="16" t="s">
        <v>27</v>
      </c>
      <c r="D67" s="16" t="s">
        <v>5</v>
      </c>
      <c r="E67" s="16" t="s">
        <v>6</v>
      </c>
      <c r="F67" s="16" t="s">
        <v>0</v>
      </c>
      <c r="G67" s="16" t="s">
        <v>7</v>
      </c>
      <c r="H67" s="16" t="s">
        <v>3</v>
      </c>
      <c r="I67" s="17" t="s">
        <v>28</v>
      </c>
      <c r="J67" s="18" t="s">
        <v>29</v>
      </c>
      <c r="K67" s="18" t="s">
        <v>30</v>
      </c>
      <c r="L67" s="16" t="s">
        <v>33</v>
      </c>
      <c r="M67" s="16" t="s">
        <v>34</v>
      </c>
      <c r="P67" s="16" t="s">
        <v>4</v>
      </c>
      <c r="Q67" s="16" t="s">
        <v>5</v>
      </c>
      <c r="R67" s="16" t="s">
        <v>6</v>
      </c>
      <c r="S67" s="16" t="s">
        <v>0</v>
      </c>
      <c r="T67" s="16" t="s">
        <v>7</v>
      </c>
      <c r="U67" s="16" t="s">
        <v>3</v>
      </c>
      <c r="V67" s="17" t="s">
        <v>35</v>
      </c>
      <c r="W67" s="20" t="s">
        <v>29</v>
      </c>
      <c r="X67" s="20" t="s">
        <v>30</v>
      </c>
    </row>
    <row r="68" spans="2:24" x14ac:dyDescent="0.25">
      <c r="B68" s="1" t="s">
        <v>31</v>
      </c>
      <c r="C68" s="1" t="s">
        <v>12</v>
      </c>
      <c r="D68" s="1"/>
      <c r="E68" s="6">
        <v>0.178366367675658</v>
      </c>
      <c r="F68" s="6">
        <v>5.1856335362832198E-2</v>
      </c>
      <c r="G68" s="6">
        <v>0.245194595440726</v>
      </c>
      <c r="H68" s="6">
        <v>0.32289162790592602</v>
      </c>
      <c r="I68" s="19">
        <v>14.086130000000001</v>
      </c>
      <c r="J68" s="1"/>
      <c r="K68" s="10"/>
      <c r="P68" s="1" t="s">
        <v>12</v>
      </c>
      <c r="Q68" s="1"/>
      <c r="R68" s="6">
        <v>0.22825064648054</v>
      </c>
      <c r="S68" s="6">
        <v>1.3430417175947699E-2</v>
      </c>
      <c r="T68" s="6">
        <v>0.34964310339422999</v>
      </c>
      <c r="U68" s="6">
        <v>0.38367204340486</v>
      </c>
      <c r="V68" s="6">
        <v>0.68921237999999996</v>
      </c>
      <c r="W68" s="1"/>
      <c r="X68" s="10"/>
    </row>
    <row r="69" spans="2:24" x14ac:dyDescent="0.25">
      <c r="B69" s="1" t="s">
        <v>31</v>
      </c>
      <c r="C69" s="1" t="s">
        <v>13</v>
      </c>
      <c r="D69" s="6">
        <v>1.39679058575205</v>
      </c>
      <c r="E69" s="6">
        <v>0.88641107886014003</v>
      </c>
      <c r="F69" s="6">
        <v>0.103368750113241</v>
      </c>
      <c r="G69" s="6">
        <v>0.16161880352222899</v>
      </c>
      <c r="H69" s="6">
        <v>0.25317898030309399</v>
      </c>
      <c r="I69" s="19">
        <v>23.435036</v>
      </c>
      <c r="J69" s="1">
        <v>22</v>
      </c>
      <c r="K69" s="1"/>
      <c r="P69" s="1" t="s">
        <v>13</v>
      </c>
      <c r="Q69" s="2">
        <v>0.96435758092830903</v>
      </c>
      <c r="R69" s="6">
        <v>-0.28959025014214101</v>
      </c>
      <c r="S69" s="6">
        <v>-1.61778645652975E-2</v>
      </c>
      <c r="T69" s="6">
        <v>-0.53634613240336904</v>
      </c>
      <c r="U69" s="6">
        <v>-0.61476468522274297</v>
      </c>
      <c r="V69" s="6">
        <v>0.75338316000000005</v>
      </c>
      <c r="W69" s="1">
        <v>22</v>
      </c>
      <c r="X69" s="1"/>
    </row>
    <row r="70" spans="2:24" x14ac:dyDescent="0.25">
      <c r="B70" s="1" t="s">
        <v>31</v>
      </c>
      <c r="C70" s="1" t="s">
        <v>14</v>
      </c>
      <c r="D70" s="6">
        <v>1.2108318271354701</v>
      </c>
      <c r="E70" s="6">
        <v>0.92629163740877796</v>
      </c>
      <c r="F70" s="6">
        <v>0.11077055296162799</v>
      </c>
      <c r="G70" s="6">
        <v>0.24079928816250401</v>
      </c>
      <c r="H70" s="6">
        <v>0.39872475769786198</v>
      </c>
      <c r="I70" s="19">
        <v>16.113236000000001</v>
      </c>
      <c r="J70" s="1">
        <v>21.75</v>
      </c>
      <c r="K70" s="1"/>
      <c r="L70" s="1">
        <v>118.22733427999999</v>
      </c>
      <c r="M70" s="1">
        <v>60.710430000000002</v>
      </c>
      <c r="P70" s="1" t="s">
        <v>14</v>
      </c>
      <c r="Q70" s="2">
        <v>0.98302221968248604</v>
      </c>
      <c r="R70" s="6">
        <v>-0.31071591767089402</v>
      </c>
      <c r="S70" s="6">
        <v>-3.7834846370905402E-3</v>
      </c>
      <c r="T70" s="6">
        <v>-0.196474990445519</v>
      </c>
      <c r="U70" s="6">
        <v>-0.21613261406053699</v>
      </c>
      <c r="V70" s="6">
        <v>0.70003090000000001</v>
      </c>
      <c r="W70" s="1">
        <v>21.75</v>
      </c>
      <c r="X70" s="1"/>
    </row>
    <row r="71" spans="2:24" x14ac:dyDescent="0.25">
      <c r="B71" s="1" t="s">
        <v>31</v>
      </c>
      <c r="C71" s="1" t="s">
        <v>15</v>
      </c>
      <c r="D71" s="6">
        <v>1.14568818263897</v>
      </c>
      <c r="E71" s="6">
        <v>0.723568252950335</v>
      </c>
      <c r="F71" s="6">
        <v>1.0650915621547401E-2</v>
      </c>
      <c r="G71" s="6">
        <v>-4.325976748147E-2</v>
      </c>
      <c r="H71" s="6">
        <v>-2.1394164632562102E-3</v>
      </c>
      <c r="I71" s="19">
        <v>12.133376200000001</v>
      </c>
      <c r="J71" s="1">
        <v>48.5</v>
      </c>
      <c r="K71" s="1">
        <v>48.5</v>
      </c>
      <c r="L71" s="1">
        <v>108.51115272</v>
      </c>
      <c r="M71" s="1">
        <v>45.71622</v>
      </c>
      <c r="P71" s="1" t="s">
        <v>15</v>
      </c>
      <c r="Q71" s="2">
        <v>0.99703728594241603</v>
      </c>
      <c r="R71" s="6">
        <v>-0.72341186519112299</v>
      </c>
      <c r="S71" s="6">
        <v>6.4581353214806597E-2</v>
      </c>
      <c r="T71" s="6">
        <v>-0.23577970708992499</v>
      </c>
      <c r="U71" s="6">
        <v>-0.60322234971197997</v>
      </c>
      <c r="V71" s="6">
        <v>0.67864073999999996</v>
      </c>
      <c r="W71" s="1">
        <v>48.5</v>
      </c>
      <c r="X71" s="1">
        <v>48.5</v>
      </c>
    </row>
    <row r="72" spans="2:24" x14ac:dyDescent="0.25">
      <c r="B72" s="1" t="s">
        <v>31</v>
      </c>
      <c r="C72" s="1" t="s">
        <v>16</v>
      </c>
      <c r="D72" s="6">
        <v>1.10273002217056</v>
      </c>
      <c r="E72" s="6">
        <v>0.92947006080395</v>
      </c>
      <c r="F72" s="6">
        <v>-2.2683422982125001E-2</v>
      </c>
      <c r="G72" s="6">
        <v>0.321471482716705</v>
      </c>
      <c r="H72" s="6">
        <v>0.58728211271901798</v>
      </c>
      <c r="I72" s="19">
        <v>13.1930706</v>
      </c>
      <c r="J72" s="1">
        <v>28.75</v>
      </c>
      <c r="K72" s="1">
        <v>28.75</v>
      </c>
      <c r="L72" s="1">
        <v>106.97060942</v>
      </c>
      <c r="M72" s="1">
        <v>46.063560000000003</v>
      </c>
      <c r="P72" s="1" t="s">
        <v>16</v>
      </c>
      <c r="Q72" s="2">
        <v>1.05414106800948</v>
      </c>
      <c r="R72" s="6">
        <v>0.54135397831396403</v>
      </c>
      <c r="S72" s="6">
        <v>6.1895687016862502E-2</v>
      </c>
      <c r="T72" s="6">
        <v>0.29281906900594301</v>
      </c>
      <c r="U72" s="6">
        <v>0.45795473111708401</v>
      </c>
      <c r="V72" s="6">
        <v>0.62161316</v>
      </c>
      <c r="W72" s="1">
        <v>28.75</v>
      </c>
      <c r="X72" s="1">
        <v>28.75</v>
      </c>
    </row>
    <row r="73" spans="2:24" x14ac:dyDescent="0.25">
      <c r="B73" s="1" t="s">
        <v>31</v>
      </c>
      <c r="C73" s="1" t="s">
        <v>17</v>
      </c>
      <c r="D73" s="6">
        <v>1.2576523908335999</v>
      </c>
      <c r="E73" s="6">
        <v>0.77855192606860901</v>
      </c>
      <c r="F73" s="6">
        <v>0.15621819275209001</v>
      </c>
      <c r="G73" s="6">
        <v>0.37178756536818502</v>
      </c>
      <c r="H73" s="6">
        <v>0.39529566790648002</v>
      </c>
      <c r="I73" s="19">
        <v>9.7677034200000001</v>
      </c>
      <c r="J73" s="1">
        <v>21</v>
      </c>
      <c r="K73" s="1">
        <v>21</v>
      </c>
      <c r="L73" s="1">
        <v>113.72040256</v>
      </c>
      <c r="M73" s="1">
        <v>47.354999999999997</v>
      </c>
      <c r="P73" s="1" t="s">
        <v>17</v>
      </c>
      <c r="Q73" s="2">
        <v>1.00376784280544</v>
      </c>
      <c r="R73" s="6">
        <v>-0.28173278371114102</v>
      </c>
      <c r="S73" s="6">
        <v>2.95836818188689E-2</v>
      </c>
      <c r="T73" s="6">
        <v>-0.24798451961503901</v>
      </c>
      <c r="U73" s="6">
        <v>-0.30540995193675702</v>
      </c>
      <c r="V73" s="6">
        <v>0.65177686000000001</v>
      </c>
      <c r="W73" s="1">
        <v>21</v>
      </c>
      <c r="X73" s="1">
        <v>21</v>
      </c>
    </row>
    <row r="74" spans="2:24" x14ac:dyDescent="0.25">
      <c r="B74" s="1" t="s">
        <v>31</v>
      </c>
      <c r="C74" s="1" t="s">
        <v>18</v>
      </c>
      <c r="D74" s="6">
        <v>1.24807759229999</v>
      </c>
      <c r="E74" s="6">
        <v>0.55577143716833499</v>
      </c>
      <c r="F74" s="6">
        <v>0.15071577677020101</v>
      </c>
      <c r="G74" s="6">
        <v>-2.2915992990330501E-3</v>
      </c>
      <c r="H74" s="6">
        <v>-1.29409007610388E-2</v>
      </c>
      <c r="I74" s="19">
        <v>15.528736</v>
      </c>
      <c r="J74" s="1">
        <v>21.5</v>
      </c>
      <c r="K74" s="1"/>
      <c r="L74" s="1"/>
      <c r="M74" s="1"/>
      <c r="P74" s="1" t="s">
        <v>18</v>
      </c>
      <c r="Q74" s="2">
        <v>0.965580440673389</v>
      </c>
      <c r="R74" s="6">
        <v>-0.28388728833714599</v>
      </c>
      <c r="S74" s="6">
        <v>-5.4892758010415703E-2</v>
      </c>
      <c r="T74" s="6">
        <v>-0.382367394435078</v>
      </c>
      <c r="U74" s="6">
        <v>-0.492949102990132</v>
      </c>
      <c r="V74" s="6">
        <v>0.73085986000000003</v>
      </c>
      <c r="W74" s="1">
        <v>21.5</v>
      </c>
      <c r="X74" s="1"/>
    </row>
    <row r="75" spans="2:24" x14ac:dyDescent="0.25">
      <c r="B75" s="1" t="s">
        <v>31</v>
      </c>
      <c r="C75" s="1" t="s">
        <v>19</v>
      </c>
      <c r="D75" s="6">
        <v>1.42877693896201</v>
      </c>
      <c r="E75" s="6">
        <v>0.33551375674123601</v>
      </c>
      <c r="F75" s="6">
        <v>5.5397551503622099E-2</v>
      </c>
      <c r="G75" s="6">
        <v>0.19084932454591899</v>
      </c>
      <c r="H75" s="6">
        <v>0.27742482843094801</v>
      </c>
      <c r="I75" s="19">
        <v>14.369724039999999</v>
      </c>
      <c r="J75" s="1">
        <v>75</v>
      </c>
      <c r="K75" s="1">
        <v>96.5</v>
      </c>
      <c r="L75" s="1">
        <v>112.66319882000001</v>
      </c>
      <c r="M75" s="1">
        <v>101.105</v>
      </c>
      <c r="P75" s="1" t="s">
        <v>19</v>
      </c>
      <c r="Q75" s="2">
        <v>1.0368691348627199</v>
      </c>
      <c r="R75" s="6">
        <v>-0.167176048352111</v>
      </c>
      <c r="S75" s="6">
        <v>8.8641812543785899E-3</v>
      </c>
      <c r="T75" s="6">
        <v>-0.35015813294515502</v>
      </c>
      <c r="U75" s="6">
        <v>-0.46503716149950902</v>
      </c>
      <c r="V75" s="6">
        <v>0.69966109999999904</v>
      </c>
      <c r="W75" s="1">
        <v>75</v>
      </c>
      <c r="X75" s="1">
        <v>96.5</v>
      </c>
    </row>
    <row r="76" spans="2:24" x14ac:dyDescent="0.25">
      <c r="B76" s="1" t="s">
        <v>31</v>
      </c>
      <c r="C76" s="1" t="s">
        <v>20</v>
      </c>
      <c r="D76" s="6">
        <v>1.33941755807892</v>
      </c>
      <c r="E76" s="6">
        <v>0.63731372986403501</v>
      </c>
      <c r="F76" s="6">
        <v>6.9883057908481996E-2</v>
      </c>
      <c r="G76" s="6">
        <v>-1.2096500870022699E-2</v>
      </c>
      <c r="H76" s="6">
        <v>-0.121081543489465</v>
      </c>
      <c r="I76" s="19">
        <v>19.197853511999998</v>
      </c>
      <c r="J76" s="1">
        <v>47.5</v>
      </c>
      <c r="K76" s="1">
        <v>47.5</v>
      </c>
      <c r="L76" s="1">
        <v>114.89097618</v>
      </c>
      <c r="M76" s="1">
        <v>44.466000000000001</v>
      </c>
      <c r="P76" s="1" t="s">
        <v>20</v>
      </c>
      <c r="Q76" s="2">
        <v>0.98011971152962396</v>
      </c>
      <c r="R76" s="6">
        <v>-0.234414236192791</v>
      </c>
      <c r="S76" s="6">
        <v>1.32778322661357E-2</v>
      </c>
      <c r="T76" s="6">
        <v>-0.50424136937081498</v>
      </c>
      <c r="U76" s="6">
        <v>-0.59921100307099695</v>
      </c>
      <c r="V76" s="6">
        <v>0.83630937999999999</v>
      </c>
      <c r="W76" s="1">
        <v>47.5</v>
      </c>
      <c r="X76" s="1">
        <v>47.5</v>
      </c>
    </row>
    <row r="77" spans="2:24" x14ac:dyDescent="0.25">
      <c r="B77" s="1" t="s">
        <v>31</v>
      </c>
      <c r="C77" s="1" t="s">
        <v>21</v>
      </c>
      <c r="D77" s="6">
        <v>1.3769164984553499</v>
      </c>
      <c r="E77" s="6">
        <v>-0.44248745305980902</v>
      </c>
      <c r="F77" s="6">
        <v>7.8645648239850305E-2</v>
      </c>
      <c r="G77" s="6">
        <v>-1.00953850119604E-2</v>
      </c>
      <c r="H77" s="6">
        <v>-0.30001520861446102</v>
      </c>
      <c r="I77" s="19">
        <v>45.413344000000002</v>
      </c>
      <c r="J77" s="1">
        <v>23.5</v>
      </c>
      <c r="K77" s="1">
        <v>23.5</v>
      </c>
      <c r="L77" s="1">
        <v>116.55531655999999</v>
      </c>
      <c r="M77" s="1">
        <v>47.503</v>
      </c>
      <c r="P77" s="1" t="s">
        <v>21</v>
      </c>
      <c r="Q77" s="2">
        <v>0.80472452573481301</v>
      </c>
      <c r="R77" s="6">
        <v>-0.91543606234553399</v>
      </c>
      <c r="S77" s="6">
        <v>-6.0975544853349099E-2</v>
      </c>
      <c r="T77" s="6">
        <v>-0.49173834482130302</v>
      </c>
      <c r="U77" s="6">
        <v>-0.81638215147709303</v>
      </c>
      <c r="V77" s="6">
        <v>1.0153706</v>
      </c>
      <c r="W77" s="1">
        <v>23.5</v>
      </c>
      <c r="X77" s="1">
        <v>23.5</v>
      </c>
    </row>
    <row r="78" spans="2:24" x14ac:dyDescent="0.25">
      <c r="B78" s="1" t="s">
        <v>31</v>
      </c>
      <c r="C78" s="1" t="s">
        <v>22</v>
      </c>
      <c r="D78" s="6">
        <v>1.66488624253968</v>
      </c>
      <c r="E78" s="6">
        <v>0.73952445342362605</v>
      </c>
      <c r="F78" s="6">
        <v>0.17832892113485599</v>
      </c>
      <c r="G78" s="6">
        <v>0.27423838854409399</v>
      </c>
      <c r="H78" s="6">
        <v>0.48361043234368201</v>
      </c>
      <c r="I78" s="19">
        <v>26.537703021999999</v>
      </c>
      <c r="J78" s="1">
        <v>27.75</v>
      </c>
      <c r="K78" s="1"/>
      <c r="L78" s="1"/>
      <c r="M78" s="1"/>
      <c r="P78" s="1" t="s">
        <v>22</v>
      </c>
      <c r="Q78" s="2">
        <v>1.07122215244959</v>
      </c>
      <c r="R78" s="6">
        <v>-0.11116405161722299</v>
      </c>
      <c r="S78" s="6">
        <v>4.2081062239471598E-2</v>
      </c>
      <c r="T78" s="6">
        <v>-0.189204803446921</v>
      </c>
      <c r="U78" s="6">
        <v>-0.35789938707520003</v>
      </c>
      <c r="V78" s="6">
        <v>0.97403329999999999</v>
      </c>
      <c r="W78" s="1">
        <v>27.75</v>
      </c>
      <c r="X78" s="1"/>
    </row>
    <row r="79" spans="2:24" x14ac:dyDescent="0.25">
      <c r="B79" s="1" t="s">
        <v>31</v>
      </c>
      <c r="C79" s="1" t="s">
        <v>23</v>
      </c>
      <c r="D79" s="6">
        <v>1.1538999764416</v>
      </c>
      <c r="E79" s="6">
        <v>9.3645385178040705E-2</v>
      </c>
      <c r="F79" s="6">
        <v>2.1496979213356301E-3</v>
      </c>
      <c r="G79" s="6">
        <v>9.4162329729257102E-2</v>
      </c>
      <c r="H79" s="6">
        <v>0.14570872911704</v>
      </c>
      <c r="I79" s="19">
        <v>13.041978800000001</v>
      </c>
      <c r="J79" s="1">
        <v>20</v>
      </c>
      <c r="K79" s="1">
        <v>47.75</v>
      </c>
      <c r="L79" s="1">
        <v>118.40602251999999</v>
      </c>
      <c r="M79" s="1">
        <v>54.055999999999997</v>
      </c>
      <c r="P79" s="1" t="s">
        <v>23</v>
      </c>
      <c r="Q79" s="2">
        <v>0.96842975873578097</v>
      </c>
      <c r="R79" s="6">
        <v>-0.44122459346906301</v>
      </c>
      <c r="S79" s="6">
        <v>-1.77749404385871E-2</v>
      </c>
      <c r="T79" s="6">
        <v>-0.32892352624960403</v>
      </c>
      <c r="U79" s="6">
        <v>-0.35193689103828402</v>
      </c>
      <c r="V79" s="6">
        <v>0.83745153999999999</v>
      </c>
      <c r="W79" s="1">
        <v>20</v>
      </c>
      <c r="X79" s="1">
        <v>47.75</v>
      </c>
    </row>
    <row r="80" spans="2:24" x14ac:dyDescent="0.25">
      <c r="B80" s="1" t="s">
        <v>31</v>
      </c>
      <c r="C80" s="1" t="s">
        <v>24</v>
      </c>
      <c r="D80" s="6">
        <v>1.5749763159783401</v>
      </c>
      <c r="E80" s="6">
        <v>0.78100360785877099</v>
      </c>
      <c r="F80" s="6">
        <v>0.101236914763633</v>
      </c>
      <c r="G80" s="6">
        <v>0.182359888343469</v>
      </c>
      <c r="H80" s="6">
        <v>0.231871322621472</v>
      </c>
      <c r="I80" s="19">
        <v>27.244893999999999</v>
      </c>
      <c r="J80" s="1">
        <v>23.75</v>
      </c>
      <c r="K80" s="1">
        <v>23.75</v>
      </c>
      <c r="L80" s="1">
        <v>115.75512236</v>
      </c>
      <c r="M80" s="1">
        <v>53.783999999999999</v>
      </c>
      <c r="P80" s="1" t="s">
        <v>24</v>
      </c>
      <c r="Q80" s="2">
        <v>0.99721998555050795</v>
      </c>
      <c r="R80" s="6">
        <v>-0.221642867808126</v>
      </c>
      <c r="S80" s="6">
        <v>3.08855730575289E-3</v>
      </c>
      <c r="T80" s="6">
        <v>-0.240487300709117</v>
      </c>
      <c r="U80" s="6">
        <v>-0.35714514817447202</v>
      </c>
      <c r="V80" s="6">
        <v>0.94095271999999996</v>
      </c>
      <c r="W80" s="1">
        <v>23.75</v>
      </c>
      <c r="X80" s="1">
        <v>23.75</v>
      </c>
    </row>
    <row r="81" spans="2:24" x14ac:dyDescent="0.25">
      <c r="B81" s="1" t="s">
        <v>31</v>
      </c>
      <c r="C81" s="1" t="s">
        <v>25</v>
      </c>
      <c r="D81" s="6">
        <v>1.3735151389442699</v>
      </c>
      <c r="E81" s="6">
        <v>0.76865077228085099</v>
      </c>
      <c r="F81" s="6">
        <v>0.107400232693555</v>
      </c>
      <c r="G81" s="6">
        <v>0.29530329286121099</v>
      </c>
      <c r="H81" s="6">
        <v>0.55988644938947996</v>
      </c>
      <c r="I81" s="19">
        <v>16.4784592</v>
      </c>
      <c r="J81" s="1">
        <v>23.5</v>
      </c>
      <c r="K81" s="1">
        <v>23.5</v>
      </c>
      <c r="L81" s="1">
        <v>121.12197168</v>
      </c>
      <c r="M81" s="1">
        <v>53.783999999999999</v>
      </c>
      <c r="P81" s="1" t="s">
        <v>25</v>
      </c>
      <c r="Q81" s="2">
        <v>1.0088578932758001</v>
      </c>
      <c r="R81" s="6">
        <v>0.120506313986007</v>
      </c>
      <c r="S81" s="6">
        <v>-5.3081166180475401E-3</v>
      </c>
      <c r="T81" s="6">
        <v>-3.9205413426507497E-2</v>
      </c>
      <c r="U81" s="6">
        <v>-5.52660269452276E-2</v>
      </c>
      <c r="V81" s="6">
        <v>0.87974381999999995</v>
      </c>
      <c r="W81" s="1">
        <v>23.5</v>
      </c>
      <c r="X81" s="1">
        <v>23.5</v>
      </c>
    </row>
    <row r="82" spans="2:24" x14ac:dyDescent="0.25">
      <c r="B82" s="1" t="s">
        <v>31</v>
      </c>
      <c r="C82" s="1" t="s">
        <v>26</v>
      </c>
      <c r="D82" s="6"/>
      <c r="E82" s="6">
        <v>0.960491106137359</v>
      </c>
      <c r="F82" s="6">
        <v>0.81801121488623596</v>
      </c>
      <c r="G82" s="6">
        <v>0.71514874979041299</v>
      </c>
      <c r="H82" s="6">
        <v>0.98118225364978595</v>
      </c>
      <c r="I82" s="19">
        <v>11.486862199999999</v>
      </c>
      <c r="J82" s="1">
        <v>24</v>
      </c>
      <c r="P82" s="1" t="s">
        <v>26</v>
      </c>
      <c r="Q82" s="2"/>
      <c r="R82" s="6">
        <v>0.99778765474319298</v>
      </c>
      <c r="S82" s="6">
        <v>0.99566811930969701</v>
      </c>
      <c r="T82" s="6">
        <v>0.88983788394215502</v>
      </c>
      <c r="U82" s="6">
        <v>0.99575457978189197</v>
      </c>
      <c r="V82" s="6">
        <v>0.67221945999999999</v>
      </c>
      <c r="W82" s="1">
        <v>24</v>
      </c>
    </row>
    <row r="83" spans="2:24" x14ac:dyDescent="0.25">
      <c r="B83" s="1" t="s">
        <v>32</v>
      </c>
      <c r="C83" s="1" t="s">
        <v>12</v>
      </c>
      <c r="D83" s="6">
        <v>1.05849048577709</v>
      </c>
      <c r="E83" s="6">
        <v>-0.73582121336391904</v>
      </c>
      <c r="F83" s="6">
        <v>8.4573685986466099E-2</v>
      </c>
      <c r="G83" s="6">
        <v>-0.287259060209199</v>
      </c>
      <c r="H83" s="6">
        <v>-0.58797102878241003</v>
      </c>
      <c r="I83" s="6">
        <v>19.942087656000002</v>
      </c>
      <c r="J83" s="1"/>
      <c r="K83" s="10"/>
      <c r="P83" s="1" t="s">
        <v>12</v>
      </c>
      <c r="Q83" s="19">
        <v>0.45078352403799399</v>
      </c>
      <c r="R83" s="19">
        <v>-0.811886428716041</v>
      </c>
      <c r="S83" s="19">
        <v>-9.3763935417501706E-2</v>
      </c>
      <c r="T83" s="19">
        <v>-0.59242476500051999</v>
      </c>
      <c r="U83" s="19">
        <v>-0.69147766882403905</v>
      </c>
      <c r="V83" s="19">
        <v>0.91760478000000001</v>
      </c>
      <c r="W83" s="1"/>
      <c r="X83" s="10"/>
    </row>
    <row r="84" spans="2:24" x14ac:dyDescent="0.25">
      <c r="B84" s="1" t="s">
        <v>32</v>
      </c>
      <c r="C84" s="1" t="s">
        <v>13</v>
      </c>
      <c r="D84" s="6">
        <v>1.4368219825375701</v>
      </c>
      <c r="E84" s="6">
        <v>0.96854380596042999</v>
      </c>
      <c r="F84" s="6">
        <v>0.198594884621278</v>
      </c>
      <c r="G84" s="6">
        <v>0.27258911823182802</v>
      </c>
      <c r="H84" s="6">
        <v>0.46273610324349101</v>
      </c>
      <c r="I84" s="6">
        <v>27.006948699999999</v>
      </c>
      <c r="J84" s="1">
        <v>22</v>
      </c>
      <c r="K84" s="1"/>
      <c r="P84" s="1" t="s">
        <v>13</v>
      </c>
      <c r="Q84" s="19">
        <v>0.94043662960440699</v>
      </c>
      <c r="R84" s="19">
        <v>-0.54271122756527101</v>
      </c>
      <c r="S84" s="19">
        <v>-5.2796335197095298E-2</v>
      </c>
      <c r="T84" s="19">
        <v>-0.51710856794982696</v>
      </c>
      <c r="U84" s="19">
        <v>-0.70546594396719597</v>
      </c>
      <c r="V84" s="19">
        <v>0.96415406000000003</v>
      </c>
      <c r="W84" s="1">
        <v>22</v>
      </c>
      <c r="X84" s="1"/>
    </row>
    <row r="85" spans="2:24" x14ac:dyDescent="0.25">
      <c r="B85" s="1" t="s">
        <v>32</v>
      </c>
      <c r="C85" s="1" t="s">
        <v>14</v>
      </c>
      <c r="D85" s="6">
        <v>1.1632876834321</v>
      </c>
      <c r="E85" s="6">
        <v>0.91285830032378401</v>
      </c>
      <c r="F85" s="6">
        <v>6.8212961854365706E-2</v>
      </c>
      <c r="G85" s="6">
        <v>3.5537077624845197E-2</v>
      </c>
      <c r="H85" s="6">
        <v>0.22937370048900599</v>
      </c>
      <c r="I85" s="6">
        <v>17.163158299999999</v>
      </c>
      <c r="J85" s="1">
        <v>21.75</v>
      </c>
      <c r="K85" s="1"/>
      <c r="L85" s="1">
        <v>118.22733427999999</v>
      </c>
      <c r="M85" s="1">
        <v>60.710430000000002</v>
      </c>
      <c r="P85" s="1" t="s">
        <v>14</v>
      </c>
      <c r="Q85" s="19">
        <v>0.95863149267075098</v>
      </c>
      <c r="R85" s="19">
        <v>-0.67772868565601696</v>
      </c>
      <c r="S85" s="19">
        <v>-5.9125313303963402E-2</v>
      </c>
      <c r="T85" s="19">
        <v>-0.22388684560642999</v>
      </c>
      <c r="U85" s="19">
        <v>-0.31865749564567802</v>
      </c>
      <c r="V85" s="19">
        <v>0.87021844000000004</v>
      </c>
      <c r="W85" s="1">
        <v>21.75</v>
      </c>
      <c r="X85" s="1"/>
    </row>
    <row r="86" spans="2:24" x14ac:dyDescent="0.25">
      <c r="B86" s="1" t="s">
        <v>32</v>
      </c>
      <c r="C86" s="1" t="s">
        <v>15</v>
      </c>
      <c r="D86" s="6">
        <v>1.1661766362910899</v>
      </c>
      <c r="E86" s="6">
        <v>0.69952356032694896</v>
      </c>
      <c r="F86" s="6">
        <v>4.9611646415268197E-2</v>
      </c>
      <c r="G86" s="6">
        <v>2.5953044020623199E-2</v>
      </c>
      <c r="H86" s="6">
        <v>5.1311236293024601E-2</v>
      </c>
      <c r="I86" s="6">
        <v>11.844246328000001</v>
      </c>
      <c r="J86" s="1">
        <v>48.5</v>
      </c>
      <c r="K86" s="1">
        <v>48.5</v>
      </c>
      <c r="L86" s="1">
        <v>108.51115272</v>
      </c>
      <c r="M86" s="1">
        <v>45.71622</v>
      </c>
      <c r="P86" s="1" t="s">
        <v>15</v>
      </c>
      <c r="Q86" s="19">
        <v>0.98251699448728103</v>
      </c>
      <c r="R86" s="19">
        <v>-0.76078071695181804</v>
      </c>
      <c r="S86" s="19">
        <v>-4.1714957549384597E-2</v>
      </c>
      <c r="T86" s="19">
        <v>-0.48948097268950003</v>
      </c>
      <c r="U86" s="19">
        <v>-0.68365663642373098</v>
      </c>
      <c r="V86" s="19">
        <v>0.67463406000000004</v>
      </c>
      <c r="W86" s="1">
        <v>48.5</v>
      </c>
      <c r="X86" s="1">
        <v>48.5</v>
      </c>
    </row>
    <row r="87" spans="2:24" x14ac:dyDescent="0.25">
      <c r="B87" s="1" t="s">
        <v>32</v>
      </c>
      <c r="C87" s="1" t="s">
        <v>16</v>
      </c>
      <c r="D87" s="6">
        <v>1.1611078257792899</v>
      </c>
      <c r="E87" s="6">
        <v>0.97668665464899096</v>
      </c>
      <c r="F87" s="6">
        <v>0.107447815904682</v>
      </c>
      <c r="G87" s="6">
        <v>0.42120473230354999</v>
      </c>
      <c r="H87" s="6">
        <v>0.51748356145943097</v>
      </c>
      <c r="I87" s="6">
        <v>10.4846146</v>
      </c>
      <c r="J87" s="1">
        <v>28.75</v>
      </c>
      <c r="K87" s="1">
        <v>28.75</v>
      </c>
      <c r="L87" s="1">
        <v>106.97060942</v>
      </c>
      <c r="M87" s="1">
        <v>46.063560000000003</v>
      </c>
      <c r="P87" s="1" t="s">
        <v>16</v>
      </c>
      <c r="Q87" s="19">
        <v>1.0568614326035</v>
      </c>
      <c r="R87" s="19">
        <v>0.64678217889059297</v>
      </c>
      <c r="S87" s="19">
        <v>7.3340759088016003E-2</v>
      </c>
      <c r="T87" s="19">
        <v>0.25169140730518702</v>
      </c>
      <c r="U87" s="19">
        <v>0.491835866659809</v>
      </c>
      <c r="V87" s="19">
        <v>0.70251850000000005</v>
      </c>
      <c r="W87" s="1">
        <v>28.75</v>
      </c>
      <c r="X87" s="1">
        <v>28.75</v>
      </c>
    </row>
    <row r="88" spans="2:24" x14ac:dyDescent="0.25">
      <c r="B88" s="1" t="s">
        <v>32</v>
      </c>
      <c r="C88" s="1" t="s">
        <v>17</v>
      </c>
      <c r="D88" s="6">
        <v>1.2283054504143001</v>
      </c>
      <c r="E88" s="6">
        <v>0.33582626900186402</v>
      </c>
      <c r="F88" s="6">
        <v>0.39411883766970102</v>
      </c>
      <c r="G88" s="6">
        <v>0.156387959199389</v>
      </c>
      <c r="H88" s="6">
        <v>0.23252415029498999</v>
      </c>
      <c r="I88" s="6">
        <v>12.196904200000001</v>
      </c>
      <c r="J88" s="1">
        <v>21</v>
      </c>
      <c r="K88" s="1">
        <v>21</v>
      </c>
      <c r="L88" s="1">
        <v>113.72040256</v>
      </c>
      <c r="M88" s="1">
        <v>47.354999999999997</v>
      </c>
      <c r="P88" s="1" t="s">
        <v>17</v>
      </c>
      <c r="Q88" s="19">
        <v>1.03826719630338</v>
      </c>
      <c r="R88" s="19">
        <v>-0.15477977693324399</v>
      </c>
      <c r="S88" s="19">
        <v>7.1354925056258001E-3</v>
      </c>
      <c r="T88" s="19">
        <v>-0.367349220425781</v>
      </c>
      <c r="U88" s="19">
        <v>-0.40648853244771799</v>
      </c>
      <c r="V88" s="19">
        <v>0.78001461999999999</v>
      </c>
      <c r="W88" s="1">
        <v>21</v>
      </c>
      <c r="X88" s="1">
        <v>21</v>
      </c>
    </row>
    <row r="89" spans="2:24" x14ac:dyDescent="0.25">
      <c r="B89" s="1" t="s">
        <v>32</v>
      </c>
      <c r="C89" s="1" t="s">
        <v>18</v>
      </c>
      <c r="D89" s="6">
        <v>1.2985932043400299</v>
      </c>
      <c r="E89" s="6">
        <v>0.52794332050181203</v>
      </c>
      <c r="F89" s="6">
        <v>9.0698601563059603E-2</v>
      </c>
      <c r="G89" s="6">
        <v>8.6133318916628995E-2</v>
      </c>
      <c r="H89" s="6">
        <v>0.182064258836168</v>
      </c>
      <c r="I89" s="6">
        <v>15.053141999999999</v>
      </c>
      <c r="J89" s="1">
        <v>21.5</v>
      </c>
      <c r="K89" s="1"/>
      <c r="L89" s="1"/>
      <c r="M89" s="1"/>
      <c r="P89" s="1" t="s">
        <v>18</v>
      </c>
      <c r="Q89" s="19">
        <v>0.93867849021001804</v>
      </c>
      <c r="R89" s="19">
        <v>-0.86583274285189604</v>
      </c>
      <c r="S89" s="19">
        <v>-0.28463650723553102</v>
      </c>
      <c r="T89" s="19">
        <v>-0.16387797241242599</v>
      </c>
      <c r="U89" s="19">
        <v>-0.28853093635152299</v>
      </c>
      <c r="V89" s="19">
        <v>0.88951659999999999</v>
      </c>
      <c r="W89" s="1">
        <v>21.5</v>
      </c>
      <c r="X89" s="1"/>
    </row>
    <row r="90" spans="2:24" x14ac:dyDescent="0.25">
      <c r="B90" s="1" t="s">
        <v>32</v>
      </c>
      <c r="C90" s="1" t="s">
        <v>19</v>
      </c>
      <c r="D90" s="6">
        <v>1.25880991704892</v>
      </c>
      <c r="E90" s="6">
        <v>0.94081849763111403</v>
      </c>
      <c r="F90" s="6">
        <v>9.9852529707758195E-2</v>
      </c>
      <c r="G90" s="6">
        <v>0.14441306620899</v>
      </c>
      <c r="H90" s="6">
        <v>0.127313045897571</v>
      </c>
      <c r="I90" s="6">
        <v>10.8144344</v>
      </c>
      <c r="J90" s="1">
        <v>75</v>
      </c>
      <c r="K90" s="1">
        <v>96.5</v>
      </c>
      <c r="L90" s="1">
        <v>112.66319882000001</v>
      </c>
      <c r="M90" s="1">
        <v>101.105</v>
      </c>
      <c r="P90" s="1" t="s">
        <v>19</v>
      </c>
      <c r="Q90" s="19">
        <v>1.08896416336113</v>
      </c>
      <c r="R90" s="19">
        <v>0.61214631104569395</v>
      </c>
      <c r="S90" s="19">
        <v>-7.3287190867590401E-3</v>
      </c>
      <c r="T90" s="19">
        <v>7.0929531816344302E-2</v>
      </c>
      <c r="U90" s="19">
        <v>2.6686926823699001E-2</v>
      </c>
      <c r="V90" s="19">
        <v>2.5169402000000001</v>
      </c>
      <c r="W90" s="1">
        <v>75</v>
      </c>
      <c r="X90" s="1">
        <v>96.5</v>
      </c>
    </row>
    <row r="91" spans="2:24" x14ac:dyDescent="0.25">
      <c r="B91" s="1" t="s">
        <v>32</v>
      </c>
      <c r="C91" s="1" t="s">
        <v>20</v>
      </c>
      <c r="D91" s="6">
        <v>1.2914529576795399</v>
      </c>
      <c r="E91" s="6">
        <v>0.445945938664987</v>
      </c>
      <c r="F91" s="6">
        <v>5.5815481283492403E-2</v>
      </c>
      <c r="G91" s="6">
        <v>-2.5071828435610701E-2</v>
      </c>
      <c r="H91" s="6">
        <v>-6.0561861956973301E-2</v>
      </c>
      <c r="I91" s="6">
        <v>14.806100799999999</v>
      </c>
      <c r="J91" s="1">
        <v>47.5</v>
      </c>
      <c r="K91" s="1">
        <v>47.5</v>
      </c>
      <c r="L91" s="1">
        <v>114.89097618</v>
      </c>
      <c r="M91" s="1">
        <v>44.466000000000001</v>
      </c>
      <c r="P91" s="1" t="s">
        <v>20</v>
      </c>
      <c r="Q91" s="19">
        <v>1.18553177339745</v>
      </c>
      <c r="R91" s="19">
        <v>0.59208584316733603</v>
      </c>
      <c r="S91" s="19">
        <v>0.10941628444022999</v>
      </c>
      <c r="T91" s="19">
        <v>-8.2652311661493602E-2</v>
      </c>
      <c r="U91" s="19">
        <v>-0.14457153571433501</v>
      </c>
      <c r="V91" s="19">
        <v>2.1202784000000001</v>
      </c>
      <c r="W91" s="1">
        <v>47.5</v>
      </c>
      <c r="X91" s="1">
        <v>47.5</v>
      </c>
    </row>
    <row r="92" spans="2:24" x14ac:dyDescent="0.25">
      <c r="B92" s="1" t="s">
        <v>32</v>
      </c>
      <c r="C92" s="1" t="s">
        <v>21</v>
      </c>
      <c r="D92" s="6">
        <v>1.2886907903199001</v>
      </c>
      <c r="E92" s="6">
        <v>-0.136935986249347</v>
      </c>
      <c r="F92" s="6">
        <v>9.5391388976058394E-2</v>
      </c>
      <c r="G92" s="6">
        <v>-4.6773396023209401E-2</v>
      </c>
      <c r="H92" s="6">
        <v>-0.39859988725441597</v>
      </c>
      <c r="I92" s="6">
        <v>40.336936000000001</v>
      </c>
      <c r="J92" s="1">
        <v>23.5</v>
      </c>
      <c r="K92" s="1">
        <v>23.5</v>
      </c>
      <c r="L92" s="1">
        <v>116.55531655999999</v>
      </c>
      <c r="M92" s="1">
        <v>47.503</v>
      </c>
      <c r="P92" s="1" t="s">
        <v>21</v>
      </c>
      <c r="Q92" s="19">
        <v>1.0643830961710401</v>
      </c>
      <c r="R92" s="19">
        <v>0.74012064453311799</v>
      </c>
      <c r="S92" s="19">
        <v>-8.4675321487204705E-2</v>
      </c>
      <c r="T92" s="19">
        <v>-1.32723063904272E-2</v>
      </c>
      <c r="U92" s="19">
        <v>3.4508337465724501E-3</v>
      </c>
      <c r="V92" s="19">
        <v>1.5569007399999999</v>
      </c>
      <c r="W92" s="1">
        <v>23.5</v>
      </c>
      <c r="X92" s="1">
        <v>23.5</v>
      </c>
    </row>
    <row r="93" spans="2:24" x14ac:dyDescent="0.25">
      <c r="B93" s="1" t="s">
        <v>32</v>
      </c>
      <c r="C93" s="1" t="s">
        <v>22</v>
      </c>
      <c r="D93" s="6">
        <v>1.39612401914989</v>
      </c>
      <c r="E93" s="6">
        <v>0.97165157928161605</v>
      </c>
      <c r="F93" s="6">
        <v>9.9540545016305104E-2</v>
      </c>
      <c r="G93" s="6">
        <v>0.34044235934827199</v>
      </c>
      <c r="H93" s="6">
        <v>0.39047571029020101</v>
      </c>
      <c r="I93" s="6">
        <v>19.439147999999999</v>
      </c>
      <c r="J93" s="1">
        <v>27.75</v>
      </c>
      <c r="K93" s="1"/>
      <c r="L93" s="1"/>
      <c r="M93" s="1"/>
      <c r="P93" s="1" t="s">
        <v>22</v>
      </c>
      <c r="Q93" s="19">
        <v>1.0913993357873799</v>
      </c>
      <c r="R93" s="19">
        <v>0.62408685090742599</v>
      </c>
      <c r="S93" s="19">
        <v>-3.2911415817637998E-2</v>
      </c>
      <c r="T93" s="19">
        <v>0.135780500269543</v>
      </c>
      <c r="U93" s="19">
        <v>0.34605165591715997</v>
      </c>
      <c r="V93" s="19">
        <v>1.0782071600000001</v>
      </c>
      <c r="W93" s="1">
        <v>27.75</v>
      </c>
      <c r="X93" s="1"/>
    </row>
    <row r="94" spans="2:24" x14ac:dyDescent="0.25">
      <c r="B94" s="1" t="s">
        <v>32</v>
      </c>
      <c r="C94" s="1" t="s">
        <v>23</v>
      </c>
      <c r="D94" s="6">
        <v>1.15490049713987</v>
      </c>
      <c r="E94" s="6">
        <v>0.47813963463856402</v>
      </c>
      <c r="F94" s="6">
        <v>0.115227328160236</v>
      </c>
      <c r="G94" s="6">
        <v>0.11991903441809899</v>
      </c>
      <c r="H94" s="6">
        <v>0.21451548931331799</v>
      </c>
      <c r="I94" s="6">
        <v>13.531736435999999</v>
      </c>
      <c r="J94" s="1">
        <v>20</v>
      </c>
      <c r="K94" s="1">
        <v>47.75</v>
      </c>
      <c r="L94" s="1">
        <v>118.40602251999999</v>
      </c>
      <c r="M94" s="1">
        <v>54.055999999999997</v>
      </c>
      <c r="P94" s="1" t="s">
        <v>23</v>
      </c>
      <c r="Q94" s="19">
        <v>1.00259808767117</v>
      </c>
      <c r="R94" s="19">
        <v>0.25147892096544</v>
      </c>
      <c r="S94" s="19">
        <v>-4.46763074582908E-2</v>
      </c>
      <c r="T94" s="19">
        <v>-5.9627669242487899E-2</v>
      </c>
      <c r="U94" s="19">
        <v>5.9741205921352902E-2</v>
      </c>
      <c r="V94" s="19">
        <v>0.85047623999999999</v>
      </c>
      <c r="W94" s="1">
        <v>20</v>
      </c>
      <c r="X94" s="1">
        <v>47.75</v>
      </c>
    </row>
    <row r="95" spans="2:24" x14ac:dyDescent="0.25">
      <c r="B95" s="1" t="s">
        <v>32</v>
      </c>
      <c r="C95" s="1" t="s">
        <v>24</v>
      </c>
      <c r="D95" s="6">
        <v>1.6223687074200499</v>
      </c>
      <c r="E95" s="6">
        <v>0.74242380847501299</v>
      </c>
      <c r="F95" s="6">
        <v>0.157732693122626</v>
      </c>
      <c r="G95" s="6">
        <v>0.24344741431210701</v>
      </c>
      <c r="H95" s="6">
        <v>0.36717190942204098</v>
      </c>
      <c r="I95" s="6">
        <v>27.867789999999999</v>
      </c>
      <c r="J95" s="1">
        <v>23.75</v>
      </c>
      <c r="K95" s="1">
        <v>23.75</v>
      </c>
      <c r="L95" s="1">
        <v>115.75512236</v>
      </c>
      <c r="M95" s="1">
        <v>53.783999999999999</v>
      </c>
      <c r="P95" s="1" t="s">
        <v>24</v>
      </c>
      <c r="Q95" s="19">
        <v>1.0043452914566</v>
      </c>
      <c r="R95" s="19">
        <v>-2.3625782421043601E-2</v>
      </c>
      <c r="S95" s="19">
        <v>-1.53118918462132E-3</v>
      </c>
      <c r="T95" s="19">
        <v>-0.19809625651833401</v>
      </c>
      <c r="U95" s="19">
        <v>-0.33765036599230702</v>
      </c>
      <c r="V95" s="19">
        <v>0.9663117</v>
      </c>
      <c r="W95" s="1">
        <v>23.75</v>
      </c>
      <c r="X95" s="1">
        <v>23.75</v>
      </c>
    </row>
    <row r="96" spans="2:24" x14ac:dyDescent="0.25">
      <c r="B96" s="1" t="s">
        <v>32</v>
      </c>
      <c r="C96" s="1" t="s">
        <v>25</v>
      </c>
      <c r="D96" s="6">
        <v>1.4572146309152101</v>
      </c>
      <c r="E96" s="6">
        <v>0.80433038241724497</v>
      </c>
      <c r="F96" s="6">
        <v>0.121156039239802</v>
      </c>
      <c r="G96" s="6">
        <v>0.22398918216711</v>
      </c>
      <c r="H96" s="6">
        <v>0.39903109616354998</v>
      </c>
      <c r="I96" s="6">
        <v>16.916785999999998</v>
      </c>
      <c r="J96" s="1">
        <v>23.5</v>
      </c>
      <c r="K96" s="1">
        <v>23.5</v>
      </c>
      <c r="L96" s="1">
        <v>121.12197168</v>
      </c>
      <c r="M96" s="1">
        <v>53.783999999999999</v>
      </c>
      <c r="P96" s="1" t="s">
        <v>25</v>
      </c>
      <c r="Q96" s="19">
        <v>0.40870513477919201</v>
      </c>
      <c r="R96" s="19">
        <v>-0.95802365966780301</v>
      </c>
      <c r="S96" s="19">
        <v>-0.17920927988478999</v>
      </c>
      <c r="T96" s="19">
        <v>-0.425235161473629</v>
      </c>
      <c r="U96" s="19">
        <v>-0.63163315448990498</v>
      </c>
      <c r="V96" s="19">
        <v>2.6299551999999999</v>
      </c>
      <c r="W96" s="1">
        <v>23.5</v>
      </c>
      <c r="X96" s="1">
        <v>23.5</v>
      </c>
    </row>
    <row r="97" spans="16:22" x14ac:dyDescent="0.25">
      <c r="P97" s="1"/>
      <c r="Q97" s="19"/>
      <c r="R97" s="19"/>
      <c r="S97" s="19"/>
      <c r="T97" s="19"/>
      <c r="U97" s="19"/>
      <c r="V97" s="19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2EB8A-B5CD-45DF-8945-25E538A6637B}">
  <dimension ref="A1:X97"/>
  <sheetViews>
    <sheetView topLeftCell="I1" zoomScaleNormal="100" workbookViewId="0">
      <selection activeCell="V65" sqref="V65"/>
    </sheetView>
  </sheetViews>
  <sheetFormatPr defaultRowHeight="15" x14ac:dyDescent="0.25"/>
  <cols>
    <col min="1" max="1" width="3" style="1" customWidth="1"/>
    <col min="2" max="2" width="13" customWidth="1"/>
    <col min="3" max="3" width="19.140625" customWidth="1"/>
    <col min="4" max="4" width="18.42578125" customWidth="1"/>
    <col min="5" max="5" width="18.7109375" customWidth="1"/>
    <col min="6" max="6" width="21.140625" customWidth="1"/>
    <col min="7" max="7" width="24.85546875" customWidth="1"/>
    <col min="8" max="8" width="23.7109375" customWidth="1"/>
    <col min="9" max="9" width="20.7109375" customWidth="1"/>
    <col min="10" max="10" width="21.85546875" customWidth="1"/>
    <col min="11" max="11" width="18" customWidth="1"/>
    <col min="12" max="12" width="20.5703125" customWidth="1"/>
    <col min="13" max="13" width="21.7109375" customWidth="1"/>
    <col min="14" max="14" width="18.7109375" customWidth="1"/>
    <col min="16" max="16" width="12.42578125" customWidth="1"/>
    <col min="17" max="17" width="16.5703125" customWidth="1"/>
    <col min="18" max="18" width="15.85546875" customWidth="1"/>
    <col min="19" max="19" width="14.7109375" customWidth="1"/>
    <col min="20" max="20" width="14" customWidth="1"/>
    <col min="21" max="21" width="13.140625" customWidth="1"/>
    <col min="22" max="22" width="15.85546875" customWidth="1"/>
    <col min="23" max="23" width="16.7109375" customWidth="1"/>
    <col min="24" max="24" width="15.42578125" customWidth="1"/>
  </cols>
  <sheetData>
    <row r="1" spans="2:15" x14ac:dyDescent="0.25">
      <c r="H1" s="4" t="s">
        <v>8</v>
      </c>
    </row>
    <row r="2" spans="2:15" x14ac:dyDescent="0.25">
      <c r="H2" s="5" t="s">
        <v>9</v>
      </c>
    </row>
    <row r="3" spans="2:15" x14ac:dyDescent="0.25">
      <c r="B3" s="1" t="s">
        <v>1</v>
      </c>
      <c r="C3" s="1"/>
      <c r="D3" s="1"/>
      <c r="E3" s="1"/>
      <c r="F3" s="1"/>
      <c r="G3" s="1"/>
      <c r="H3" s="3"/>
      <c r="I3" s="1"/>
      <c r="J3" s="1"/>
      <c r="K3" s="1"/>
      <c r="L3" s="1"/>
      <c r="M3" s="1"/>
      <c r="N3" s="1"/>
      <c r="O3" s="1"/>
    </row>
    <row r="4" spans="2:15" ht="30" x14ac:dyDescent="0.25">
      <c r="B4" s="16" t="s">
        <v>10</v>
      </c>
      <c r="C4" s="16" t="s">
        <v>5</v>
      </c>
      <c r="D4" s="16" t="s">
        <v>6</v>
      </c>
      <c r="E4" s="16" t="s">
        <v>0</v>
      </c>
      <c r="F4" s="17" t="s">
        <v>11</v>
      </c>
      <c r="G4" s="20" t="s">
        <v>29</v>
      </c>
      <c r="H4" s="20" t="s">
        <v>30</v>
      </c>
      <c r="I4" s="16" t="s">
        <v>33</v>
      </c>
      <c r="J4" s="16" t="s">
        <v>34</v>
      </c>
      <c r="K4" s="1"/>
      <c r="L4" s="1"/>
      <c r="M4" s="1"/>
      <c r="N4" s="1"/>
      <c r="O4" s="1"/>
    </row>
    <row r="5" spans="2:15" x14ac:dyDescent="0.25">
      <c r="B5" s="1" t="s">
        <v>12</v>
      </c>
      <c r="C5" s="6">
        <v>1.86943505833322</v>
      </c>
      <c r="D5" s="6">
        <v>1.9314296164550899</v>
      </c>
      <c r="E5" s="6">
        <v>9.4513218106104094E-2</v>
      </c>
      <c r="F5" s="10">
        <v>23.15789474</v>
      </c>
      <c r="G5" s="1">
        <v>6055.55</v>
      </c>
      <c r="H5" s="10"/>
      <c r="K5" s="2"/>
      <c r="L5" s="2"/>
      <c r="M5" s="1"/>
      <c r="N5" s="1"/>
      <c r="O5" s="1"/>
    </row>
    <row r="6" spans="2:15" x14ac:dyDescent="0.25">
      <c r="B6" s="1" t="s">
        <v>13</v>
      </c>
      <c r="C6" s="6">
        <v>1.3545954270153699</v>
      </c>
      <c r="D6" s="6">
        <v>1.0089470650494099</v>
      </c>
      <c r="E6" s="6">
        <v>4.2663094228711902E-2</v>
      </c>
      <c r="F6" s="10">
        <v>23</v>
      </c>
      <c r="G6" s="1">
        <v>22</v>
      </c>
      <c r="H6" s="1"/>
      <c r="K6" s="2"/>
      <c r="L6" s="2"/>
      <c r="M6" s="1"/>
      <c r="N6" s="1"/>
      <c r="O6" s="1"/>
    </row>
    <row r="7" spans="2:15" x14ac:dyDescent="0.25">
      <c r="B7" s="1" t="s">
        <v>14</v>
      </c>
      <c r="C7" s="6"/>
      <c r="D7" s="6"/>
      <c r="E7" s="6"/>
      <c r="F7" s="10"/>
      <c r="G7" s="1">
        <v>21.75</v>
      </c>
      <c r="H7" s="1">
        <v>6099.3</v>
      </c>
      <c r="I7" s="1">
        <v>118.22733427999999</v>
      </c>
      <c r="J7" s="1">
        <v>60.710430000000002</v>
      </c>
      <c r="K7" s="2"/>
      <c r="L7" s="2"/>
      <c r="M7" s="6"/>
      <c r="N7" s="1"/>
      <c r="O7" s="1"/>
    </row>
    <row r="8" spans="2:15" x14ac:dyDescent="0.25">
      <c r="B8" s="1" t="s">
        <v>15</v>
      </c>
      <c r="C8" s="6"/>
      <c r="D8" s="6"/>
      <c r="E8" s="6"/>
      <c r="F8" s="10"/>
      <c r="G8" s="1">
        <v>48.5</v>
      </c>
      <c r="H8" s="1">
        <v>48.5</v>
      </c>
      <c r="I8" s="1">
        <v>108.51115272</v>
      </c>
      <c r="J8" s="1">
        <v>45.71622</v>
      </c>
      <c r="K8" s="2"/>
      <c r="L8" s="2"/>
      <c r="M8" s="6"/>
      <c r="N8" s="1"/>
      <c r="O8" s="1"/>
    </row>
    <row r="9" spans="2:15" x14ac:dyDescent="0.25">
      <c r="B9" s="1" t="s">
        <v>16</v>
      </c>
      <c r="C9" s="6"/>
      <c r="D9" s="6"/>
      <c r="E9" s="6"/>
      <c r="F9" s="10"/>
      <c r="G9" s="1">
        <v>28.75</v>
      </c>
      <c r="H9" s="1">
        <v>28.75</v>
      </c>
      <c r="I9" s="1">
        <v>106.97060942</v>
      </c>
      <c r="J9" s="1">
        <v>46.063560000000003</v>
      </c>
      <c r="K9" s="2"/>
      <c r="L9" s="2"/>
      <c r="M9" s="6"/>
      <c r="N9" s="1"/>
      <c r="O9" s="1"/>
    </row>
    <row r="10" spans="2:15" x14ac:dyDescent="0.25">
      <c r="B10" s="1" t="s">
        <v>17</v>
      </c>
      <c r="C10" s="6">
        <v>1.31746197777344</v>
      </c>
      <c r="D10" s="6">
        <v>0.66698565105034602</v>
      </c>
      <c r="E10" s="6">
        <v>8.8732929175135894E-2</v>
      </c>
      <c r="F10" s="10">
        <v>10.34482759</v>
      </c>
      <c r="G10" s="1">
        <v>21</v>
      </c>
      <c r="H10" s="1">
        <v>21</v>
      </c>
      <c r="I10" s="1">
        <v>113.72040256</v>
      </c>
      <c r="J10" s="1">
        <v>47.354999999999997</v>
      </c>
      <c r="K10" s="2"/>
      <c r="L10" s="2"/>
      <c r="M10" s="6"/>
      <c r="N10" s="1"/>
      <c r="O10" s="1"/>
    </row>
    <row r="11" spans="2:15" x14ac:dyDescent="0.25">
      <c r="B11" s="1" t="s">
        <v>18</v>
      </c>
      <c r="C11" s="6">
        <v>0.89735303995633098</v>
      </c>
      <c r="D11" s="6">
        <v>0.19762137224995299</v>
      </c>
      <c r="E11" s="6">
        <v>-1.9463558010346702E-2</v>
      </c>
      <c r="F11" s="10">
        <v>26.086956520000001</v>
      </c>
      <c r="G11" s="1">
        <v>21.5</v>
      </c>
      <c r="H11" s="1"/>
      <c r="I11" s="1"/>
      <c r="J11" s="1"/>
      <c r="K11" s="2"/>
      <c r="L11" s="2"/>
      <c r="M11" s="6"/>
      <c r="N11" s="1"/>
      <c r="O11" s="1"/>
    </row>
    <row r="12" spans="2:15" x14ac:dyDescent="0.25">
      <c r="B12" s="1" t="s">
        <v>19</v>
      </c>
      <c r="C12" s="6">
        <v>1.39880081037808</v>
      </c>
      <c r="D12" s="6">
        <v>0.54807771119966198</v>
      </c>
      <c r="E12" s="6">
        <v>0.10415722716452799</v>
      </c>
      <c r="F12" s="10">
        <v>8.125</v>
      </c>
      <c r="G12" s="1">
        <v>75</v>
      </c>
      <c r="H12" s="1">
        <v>96.5</v>
      </c>
      <c r="I12" s="1">
        <v>112.66319882000001</v>
      </c>
      <c r="J12" s="1">
        <v>101.105</v>
      </c>
      <c r="K12" s="2"/>
      <c r="L12" s="2"/>
      <c r="M12" s="6"/>
      <c r="N12" s="1"/>
      <c r="O12" s="1"/>
    </row>
    <row r="13" spans="2:15" x14ac:dyDescent="0.25">
      <c r="B13" s="1" t="s">
        <v>20</v>
      </c>
      <c r="C13" s="6">
        <v>1.2210038373368299</v>
      </c>
      <c r="D13" s="6">
        <v>0.10106112243990099</v>
      </c>
      <c r="E13" s="6">
        <v>4.66251429291673E-2</v>
      </c>
      <c r="F13" s="10">
        <v>12.67</v>
      </c>
      <c r="G13" s="1">
        <v>47.5</v>
      </c>
      <c r="H13" s="1">
        <v>47.5</v>
      </c>
      <c r="I13" s="1">
        <v>114.89097618</v>
      </c>
      <c r="J13" s="1">
        <v>44.466000000000001</v>
      </c>
      <c r="K13" s="2"/>
      <c r="L13" s="2"/>
      <c r="M13" s="6"/>
      <c r="N13" s="1"/>
      <c r="O13" s="1"/>
    </row>
    <row r="14" spans="2:15" x14ac:dyDescent="0.25">
      <c r="B14" s="1" t="s">
        <v>21</v>
      </c>
      <c r="C14" s="6">
        <v>1.5249018262283101</v>
      </c>
      <c r="D14" s="6">
        <v>0.50902572287082404</v>
      </c>
      <c r="E14" s="6">
        <v>9.0894558490112708E-3</v>
      </c>
      <c r="F14" s="10">
        <v>42</v>
      </c>
      <c r="G14" s="1">
        <v>23.5</v>
      </c>
      <c r="H14" s="1">
        <v>23.5</v>
      </c>
      <c r="I14" s="1">
        <v>116.55531655999999</v>
      </c>
      <c r="J14" s="1">
        <v>47.503</v>
      </c>
      <c r="K14" s="1"/>
      <c r="L14" s="7"/>
      <c r="M14" s="6"/>
      <c r="N14" s="1"/>
      <c r="O14" s="1"/>
    </row>
    <row r="15" spans="2:15" x14ac:dyDescent="0.25">
      <c r="B15" s="1" t="s">
        <v>22</v>
      </c>
      <c r="C15" s="6"/>
      <c r="D15" s="6"/>
      <c r="E15" s="6"/>
      <c r="F15" s="10"/>
      <c r="G15" s="1">
        <v>27.75</v>
      </c>
      <c r="H15" s="1"/>
      <c r="I15" s="1"/>
      <c r="J15" s="1"/>
      <c r="K15" s="1"/>
      <c r="L15" s="7"/>
      <c r="M15" s="6"/>
      <c r="N15" s="1"/>
      <c r="O15" s="1"/>
    </row>
    <row r="16" spans="2:15" x14ac:dyDescent="0.25">
      <c r="B16" s="1" t="s">
        <v>23</v>
      </c>
      <c r="C16" s="6"/>
      <c r="D16" s="6"/>
      <c r="E16" s="6"/>
      <c r="F16" s="10"/>
      <c r="G16" s="1">
        <v>20</v>
      </c>
      <c r="H16" s="1">
        <v>47.75</v>
      </c>
      <c r="I16" s="1">
        <v>118.40602251999999</v>
      </c>
      <c r="J16" s="1">
        <v>54.055999999999997</v>
      </c>
      <c r="K16" s="1"/>
      <c r="L16" s="1"/>
      <c r="M16" s="1"/>
      <c r="N16" s="1"/>
      <c r="O16" s="1"/>
    </row>
    <row r="17" spans="2:15" x14ac:dyDescent="0.25">
      <c r="B17" s="1" t="s">
        <v>24</v>
      </c>
      <c r="C17" s="6">
        <v>1.36678278361715</v>
      </c>
      <c r="D17" s="6">
        <v>0.463447965306029</v>
      </c>
      <c r="E17" s="6">
        <v>2.0373962034653699E-2</v>
      </c>
      <c r="F17" s="10">
        <v>20.666666670000001</v>
      </c>
      <c r="G17" s="1">
        <v>23.75</v>
      </c>
      <c r="H17" s="1">
        <v>23.75</v>
      </c>
      <c r="I17" s="1">
        <v>115.75512236</v>
      </c>
      <c r="J17" s="1">
        <v>53.783999999999999</v>
      </c>
      <c r="K17" s="1"/>
      <c r="L17" s="1"/>
      <c r="M17" s="1"/>
      <c r="N17" s="1"/>
      <c r="O17" s="1"/>
    </row>
    <row r="18" spans="2:15" x14ac:dyDescent="0.25">
      <c r="B18" s="1" t="s">
        <v>25</v>
      </c>
      <c r="C18" s="6"/>
      <c r="D18" s="6"/>
      <c r="E18" s="6"/>
      <c r="F18" s="10"/>
      <c r="G18" s="1">
        <v>23.5</v>
      </c>
      <c r="H18" s="1">
        <v>23.5</v>
      </c>
      <c r="I18" s="1">
        <v>121.12197168</v>
      </c>
      <c r="J18" s="1">
        <v>53.783999999999999</v>
      </c>
      <c r="K18" s="1"/>
      <c r="L18" s="1"/>
      <c r="M18" s="1"/>
      <c r="N18" s="1"/>
      <c r="O18" s="1"/>
    </row>
    <row r="19" spans="2:15" x14ac:dyDescent="0.25">
      <c r="B19" s="1" t="s">
        <v>26</v>
      </c>
      <c r="C19" s="6"/>
      <c r="D19" s="6"/>
      <c r="E19" s="6"/>
      <c r="F19" s="10"/>
      <c r="G19" s="1">
        <v>24</v>
      </c>
      <c r="K19" s="2"/>
      <c r="L19" s="2"/>
      <c r="M19" s="1"/>
      <c r="N19" s="1"/>
      <c r="O19" s="1"/>
    </row>
    <row r="20" spans="2:15" x14ac:dyDescent="0.25">
      <c r="B20" s="1"/>
      <c r="C20" s="6"/>
      <c r="D20" s="6"/>
      <c r="E20" s="6"/>
      <c r="F20" s="10"/>
      <c r="G20" s="1"/>
      <c r="H20" s="10"/>
      <c r="K20" s="2"/>
      <c r="L20" s="2"/>
      <c r="M20" s="1"/>
      <c r="N20" s="1"/>
      <c r="O20" s="1"/>
    </row>
    <row r="21" spans="2:15" x14ac:dyDescent="0.25">
      <c r="B21" s="15" t="s">
        <v>2</v>
      </c>
      <c r="C21" s="1"/>
      <c r="D21" s="1"/>
      <c r="E21" s="1"/>
      <c r="F21" s="1"/>
      <c r="G21" s="13"/>
      <c r="H21" s="11"/>
      <c r="I21" s="1"/>
      <c r="J21" s="2"/>
      <c r="K21" s="2"/>
      <c r="L21" s="2"/>
      <c r="M21" s="6"/>
      <c r="N21" s="1"/>
      <c r="O21" s="1"/>
    </row>
    <row r="22" spans="2:15" ht="30" x14ac:dyDescent="0.25">
      <c r="B22" s="8" t="s">
        <v>10</v>
      </c>
      <c r="C22" s="8" t="s">
        <v>5</v>
      </c>
      <c r="D22" s="8" t="s">
        <v>6</v>
      </c>
      <c r="E22" s="8" t="s">
        <v>0</v>
      </c>
      <c r="F22" s="9" t="s">
        <v>11</v>
      </c>
      <c r="G22" s="18" t="s">
        <v>29</v>
      </c>
      <c r="H22" s="18" t="s">
        <v>30</v>
      </c>
      <c r="I22" s="16" t="s">
        <v>33</v>
      </c>
      <c r="J22" s="16" t="s">
        <v>34</v>
      </c>
      <c r="K22" s="2"/>
      <c r="L22" s="2"/>
      <c r="M22" s="6"/>
      <c r="N22" s="1"/>
      <c r="O22" s="1"/>
    </row>
    <row r="23" spans="2:15" x14ac:dyDescent="0.25">
      <c r="B23" s="1" t="s">
        <v>12</v>
      </c>
      <c r="C23" s="19">
        <v>0.96641125607193401</v>
      </c>
      <c r="D23" s="19">
        <v>0.28028790761501998</v>
      </c>
      <c r="E23" s="19">
        <v>3.4332675043980999E-2</v>
      </c>
      <c r="F23" s="10">
        <v>3.806</v>
      </c>
      <c r="G23" s="1">
        <v>6055.55</v>
      </c>
      <c r="H23" s="10"/>
      <c r="K23" s="1"/>
      <c r="L23" s="1"/>
      <c r="M23" s="6"/>
      <c r="N23" s="1"/>
      <c r="O23" s="1"/>
    </row>
    <row r="24" spans="2:15" x14ac:dyDescent="0.25">
      <c r="B24" s="1" t="s">
        <v>13</v>
      </c>
      <c r="C24" s="19">
        <v>0.998307366622182</v>
      </c>
      <c r="D24" s="19">
        <v>1.3951542417579801</v>
      </c>
      <c r="E24" s="19">
        <v>2.8668980226143202E-2</v>
      </c>
      <c r="F24" s="10">
        <v>3.6539999999999999</v>
      </c>
      <c r="G24" s="1">
        <v>22</v>
      </c>
      <c r="H24" s="1"/>
      <c r="K24" s="1"/>
      <c r="L24" s="1"/>
      <c r="M24" s="6"/>
      <c r="N24" s="1"/>
      <c r="O24" s="1"/>
    </row>
    <row r="25" spans="2:15" x14ac:dyDescent="0.25">
      <c r="B25" s="1" t="s">
        <v>14</v>
      </c>
      <c r="C25" s="19"/>
      <c r="D25" s="19"/>
      <c r="E25" s="19"/>
      <c r="F25" s="10"/>
      <c r="G25" s="1">
        <v>21.75</v>
      </c>
      <c r="H25" s="1">
        <v>6099.3</v>
      </c>
      <c r="I25" s="1">
        <v>118.22733427999999</v>
      </c>
      <c r="J25" s="1">
        <v>60.710430000000002</v>
      </c>
      <c r="K25" s="1"/>
      <c r="L25" s="1"/>
      <c r="M25" s="6"/>
      <c r="N25" s="1"/>
      <c r="O25" s="1"/>
    </row>
    <row r="26" spans="2:15" x14ac:dyDescent="0.25">
      <c r="B26" s="1" t="s">
        <v>15</v>
      </c>
      <c r="C26" s="19"/>
      <c r="D26" s="19"/>
      <c r="E26" s="19"/>
      <c r="F26" s="10"/>
      <c r="G26" s="1">
        <v>48.5</v>
      </c>
      <c r="H26" s="1">
        <v>48.5</v>
      </c>
      <c r="I26" s="1">
        <v>108.51115272</v>
      </c>
      <c r="J26" s="1">
        <v>45.71622</v>
      </c>
      <c r="K26" s="1"/>
      <c r="L26" s="1"/>
      <c r="M26" s="6"/>
      <c r="N26" s="1"/>
      <c r="O26" s="1"/>
    </row>
    <row r="27" spans="2:15" x14ac:dyDescent="0.25">
      <c r="B27" s="1" t="s">
        <v>16</v>
      </c>
      <c r="C27" s="19"/>
      <c r="D27" s="19"/>
      <c r="E27" s="19"/>
      <c r="F27" s="10"/>
      <c r="G27" s="1">
        <v>28.75</v>
      </c>
      <c r="H27" s="1">
        <v>28.75</v>
      </c>
      <c r="I27" s="1">
        <v>106.97060942</v>
      </c>
      <c r="J27" s="1">
        <v>46.063560000000003</v>
      </c>
      <c r="K27" s="1"/>
      <c r="L27" s="1"/>
      <c r="M27" s="6"/>
      <c r="N27" s="1"/>
      <c r="O27" s="1"/>
    </row>
    <row r="28" spans="2:15" x14ac:dyDescent="0.25">
      <c r="B28" s="1" t="s">
        <v>17</v>
      </c>
      <c r="C28" s="19">
        <v>1.01982556926034</v>
      </c>
      <c r="D28" s="19">
        <v>0.38831940167197898</v>
      </c>
      <c r="E28" s="19">
        <v>1.20306787922476E-2</v>
      </c>
      <c r="F28" s="10">
        <v>3.3380000000000001</v>
      </c>
      <c r="G28" s="1">
        <v>21</v>
      </c>
      <c r="H28" s="1">
        <v>21</v>
      </c>
      <c r="I28" s="1">
        <v>113.72040256</v>
      </c>
      <c r="J28" s="1">
        <v>47.354999999999997</v>
      </c>
      <c r="K28" s="1"/>
      <c r="L28" s="1"/>
      <c r="M28" s="6"/>
      <c r="N28" s="1"/>
      <c r="O28" s="1"/>
    </row>
    <row r="29" spans="2:15" x14ac:dyDescent="0.25">
      <c r="B29" s="1" t="s">
        <v>18</v>
      </c>
      <c r="C29" s="19">
        <v>1.0105385292601801</v>
      </c>
      <c r="D29" s="19">
        <v>0.597784224122066</v>
      </c>
      <c r="E29" s="19">
        <v>2.7386597361713599E-2</v>
      </c>
      <c r="F29" s="10">
        <v>3.37</v>
      </c>
      <c r="G29" s="1">
        <v>21.5</v>
      </c>
      <c r="H29" s="1"/>
      <c r="I29" s="1"/>
      <c r="J29" s="1"/>
      <c r="K29" s="1"/>
      <c r="L29" s="1"/>
      <c r="M29" s="6"/>
      <c r="N29" s="1"/>
      <c r="O29" s="1"/>
    </row>
    <row r="30" spans="2:15" x14ac:dyDescent="0.25">
      <c r="B30" s="1" t="s">
        <v>19</v>
      </c>
      <c r="C30" s="19">
        <v>1.04413498578157</v>
      </c>
      <c r="D30" s="19">
        <v>0.92934562720262803</v>
      </c>
      <c r="E30" s="19">
        <v>2.8615745110634201E-2</v>
      </c>
      <c r="F30" s="10">
        <v>3.2989999999999999</v>
      </c>
      <c r="G30" s="1">
        <v>75</v>
      </c>
      <c r="H30" s="1">
        <v>96.5</v>
      </c>
      <c r="I30" s="1">
        <v>112.66319882000001</v>
      </c>
      <c r="J30" s="1">
        <v>101.105</v>
      </c>
      <c r="K30" s="1"/>
      <c r="L30" s="1"/>
      <c r="M30" s="1"/>
      <c r="N30" s="1"/>
      <c r="O30" s="1"/>
    </row>
    <row r="31" spans="2:15" x14ac:dyDescent="0.25">
      <c r="B31" s="1" t="s">
        <v>20</v>
      </c>
      <c r="C31" s="19">
        <v>1.04959681992682</v>
      </c>
      <c r="D31" s="19">
        <v>-0.33094957948560899</v>
      </c>
      <c r="E31" s="19">
        <v>4.4113621235337297E-2</v>
      </c>
      <c r="F31" s="10">
        <v>3.1309999999999998</v>
      </c>
      <c r="G31" s="1">
        <v>47.5</v>
      </c>
      <c r="H31" s="1">
        <v>47.5</v>
      </c>
      <c r="I31" s="1">
        <v>114.89097618</v>
      </c>
      <c r="J31" s="1">
        <v>44.466000000000001</v>
      </c>
      <c r="K31" s="1"/>
      <c r="L31" s="1"/>
      <c r="M31" s="1"/>
      <c r="N31" s="1"/>
      <c r="O31" s="1"/>
    </row>
    <row r="32" spans="2:15" x14ac:dyDescent="0.25">
      <c r="B32" s="1" t="s">
        <v>21</v>
      </c>
      <c r="C32" s="19">
        <v>0.97400899474341096</v>
      </c>
      <c r="D32" s="19">
        <v>-0.27375631737886102</v>
      </c>
      <c r="E32" s="19">
        <v>-8.0536265843332393E-3</v>
      </c>
      <c r="F32" s="10">
        <v>3.7759999999999998</v>
      </c>
      <c r="G32" s="1">
        <v>23.5</v>
      </c>
      <c r="H32" s="1">
        <v>23.5</v>
      </c>
      <c r="I32" s="1">
        <v>116.55531655999999</v>
      </c>
      <c r="J32" s="1">
        <v>47.503</v>
      </c>
      <c r="K32" s="1"/>
      <c r="L32" s="1"/>
      <c r="M32" s="1"/>
      <c r="N32" s="1"/>
      <c r="O32" s="1"/>
    </row>
    <row r="33" spans="2:16" x14ac:dyDescent="0.25">
      <c r="B33" s="1" t="s">
        <v>22</v>
      </c>
      <c r="C33" s="19"/>
      <c r="D33" s="19"/>
      <c r="E33" s="19"/>
      <c r="F33" s="10"/>
      <c r="G33" s="1">
        <v>27.75</v>
      </c>
      <c r="H33" s="1"/>
      <c r="I33" s="1"/>
      <c r="J33" s="1"/>
      <c r="K33" s="2"/>
      <c r="L33" s="2"/>
      <c r="M33" s="1"/>
      <c r="N33" s="1"/>
      <c r="O33" s="1"/>
    </row>
    <row r="34" spans="2:16" x14ac:dyDescent="0.25">
      <c r="B34" s="1" t="s">
        <v>23</v>
      </c>
      <c r="C34" s="19"/>
      <c r="D34" s="19"/>
      <c r="E34" s="19"/>
      <c r="F34" s="10"/>
      <c r="G34" s="1">
        <v>20</v>
      </c>
      <c r="H34" s="1">
        <v>47.75</v>
      </c>
      <c r="I34" s="1">
        <v>118.40602251999999</v>
      </c>
      <c r="J34" s="1">
        <v>54.055999999999997</v>
      </c>
      <c r="K34" s="2"/>
      <c r="L34" s="2"/>
      <c r="M34" s="1"/>
      <c r="N34" s="1"/>
      <c r="O34" s="1"/>
    </row>
    <row r="35" spans="2:16" x14ac:dyDescent="0.25">
      <c r="B35" s="1" t="s">
        <v>24</v>
      </c>
      <c r="C35" s="19">
        <v>1.03922347944993</v>
      </c>
      <c r="D35" s="19">
        <v>0.59399199353963394</v>
      </c>
      <c r="E35" s="19">
        <v>2.7450804091866201E-2</v>
      </c>
      <c r="F35" s="10">
        <v>3.5110000000000001</v>
      </c>
      <c r="G35" s="1">
        <v>23.75</v>
      </c>
      <c r="H35" s="1">
        <v>23.75</v>
      </c>
      <c r="I35" s="1">
        <v>115.75512236</v>
      </c>
      <c r="J35" s="1">
        <v>53.783999999999999</v>
      </c>
      <c r="K35" s="2"/>
      <c r="L35" s="2"/>
      <c r="M35" s="6"/>
      <c r="N35" s="1"/>
      <c r="O35" s="1"/>
    </row>
    <row r="36" spans="2:16" x14ac:dyDescent="0.25">
      <c r="B36" s="1" t="s">
        <v>25</v>
      </c>
      <c r="C36" s="19"/>
      <c r="D36" s="19"/>
      <c r="E36" s="19"/>
      <c r="F36" s="10"/>
      <c r="G36" s="1">
        <v>23.5</v>
      </c>
      <c r="H36" s="1">
        <v>23.5</v>
      </c>
      <c r="I36" s="1">
        <v>121.12197168</v>
      </c>
      <c r="J36" s="1">
        <v>53.783999999999999</v>
      </c>
      <c r="K36" s="2"/>
      <c r="L36" s="2"/>
      <c r="M36" s="6"/>
      <c r="N36" s="1"/>
      <c r="O36" s="1"/>
    </row>
    <row r="37" spans="2:16" x14ac:dyDescent="0.25">
      <c r="B37" s="1" t="s">
        <v>26</v>
      </c>
      <c r="C37" s="19"/>
      <c r="D37" s="19"/>
      <c r="E37" s="19"/>
      <c r="F37" s="10"/>
      <c r="G37" s="1">
        <v>24</v>
      </c>
      <c r="K37" s="1"/>
      <c r="L37" s="1"/>
      <c r="M37" s="6"/>
      <c r="N37" s="1"/>
      <c r="O37" s="1"/>
    </row>
    <row r="38" spans="2:16" x14ac:dyDescent="0.25">
      <c r="K38" s="1"/>
      <c r="L38" s="1"/>
      <c r="M38" s="6"/>
      <c r="N38" s="1"/>
      <c r="O38" s="1"/>
    </row>
    <row r="39" spans="2:16" x14ac:dyDescent="0.25">
      <c r="K39" s="1"/>
      <c r="L39" s="1"/>
      <c r="M39" s="6"/>
      <c r="N39" s="1"/>
      <c r="O39" s="1"/>
    </row>
    <row r="40" spans="2:16" x14ac:dyDescent="0.25">
      <c r="K40" s="1"/>
      <c r="L40" s="1"/>
      <c r="M40" s="6"/>
      <c r="N40" s="1"/>
      <c r="O40" s="1"/>
    </row>
    <row r="41" spans="2:16" x14ac:dyDescent="0.25">
      <c r="K41" s="1"/>
      <c r="L41" s="1"/>
      <c r="M41" s="6"/>
      <c r="N41" s="1"/>
      <c r="O41" s="1"/>
    </row>
    <row r="42" spans="2:16" x14ac:dyDescent="0.25">
      <c r="K42" s="1"/>
      <c r="L42" s="1"/>
      <c r="M42" s="6"/>
      <c r="N42" s="1"/>
      <c r="O42" s="1"/>
    </row>
    <row r="43" spans="2:16" x14ac:dyDescent="0.25">
      <c r="K43" s="1"/>
      <c r="L43" s="1"/>
      <c r="M43" s="6"/>
      <c r="N43" s="1"/>
      <c r="O43" s="1"/>
    </row>
    <row r="44" spans="2:16" x14ac:dyDescent="0.25">
      <c r="K44" s="11"/>
      <c r="L44" s="11"/>
      <c r="M44" s="11"/>
      <c r="N44" s="11"/>
      <c r="O44" s="11"/>
      <c r="P44" s="14"/>
    </row>
    <row r="45" spans="2:16" x14ac:dyDescent="0.25">
      <c r="K45" s="11"/>
      <c r="L45" s="11"/>
      <c r="M45" s="11"/>
      <c r="N45" s="11"/>
      <c r="O45" s="11"/>
      <c r="P45" s="14"/>
    </row>
    <row r="46" spans="2:16" x14ac:dyDescent="0.25">
      <c r="K46" s="12"/>
      <c r="L46" s="12"/>
      <c r="M46" s="12"/>
      <c r="N46" s="12"/>
      <c r="O46" s="11"/>
      <c r="P46" s="14"/>
    </row>
    <row r="47" spans="2:16" x14ac:dyDescent="0.25">
      <c r="K47" s="12"/>
      <c r="L47" s="12"/>
      <c r="M47" s="12"/>
      <c r="N47" s="12"/>
      <c r="O47" s="11"/>
      <c r="P47" s="14"/>
    </row>
    <row r="48" spans="2:16" x14ac:dyDescent="0.25">
      <c r="K48" s="12"/>
      <c r="L48" s="12"/>
      <c r="M48" s="12"/>
      <c r="N48" s="12"/>
      <c r="O48" s="11"/>
      <c r="P48" s="14"/>
    </row>
    <row r="49" spans="2:16" x14ac:dyDescent="0.25">
      <c r="K49" s="12"/>
      <c r="L49" s="12"/>
      <c r="M49" s="12"/>
      <c r="N49" s="12"/>
      <c r="O49" s="11"/>
      <c r="P49" s="14"/>
    </row>
    <row r="50" spans="2:16" x14ac:dyDescent="0.25">
      <c r="K50" s="12"/>
      <c r="L50" s="12"/>
      <c r="M50" s="12"/>
      <c r="N50" s="12"/>
      <c r="O50" s="11"/>
      <c r="P50" s="14"/>
    </row>
    <row r="51" spans="2:16" x14ac:dyDescent="0.25">
      <c r="K51" s="12"/>
      <c r="L51" s="12"/>
      <c r="M51" s="12"/>
      <c r="N51" s="12"/>
      <c r="O51" s="11"/>
      <c r="P51" s="14"/>
    </row>
    <row r="52" spans="2:16" x14ac:dyDescent="0.25">
      <c r="B52" s="1"/>
      <c r="C52" s="19"/>
      <c r="D52" s="19"/>
      <c r="E52" s="19"/>
      <c r="F52" s="1"/>
      <c r="G52" s="1"/>
      <c r="H52" s="10"/>
      <c r="K52" s="12"/>
      <c r="L52" s="12"/>
      <c r="M52" s="12"/>
      <c r="N52" s="12"/>
      <c r="O52" s="11"/>
      <c r="P52" s="14"/>
    </row>
    <row r="53" spans="2:16" x14ac:dyDescent="0.25">
      <c r="B53" s="1"/>
      <c r="C53" s="19"/>
      <c r="D53" s="19"/>
      <c r="E53" s="19"/>
      <c r="F53" s="1"/>
      <c r="G53" s="1"/>
      <c r="H53" s="1"/>
      <c r="K53" s="12"/>
      <c r="L53" s="12"/>
      <c r="M53" s="12"/>
      <c r="N53" s="12"/>
      <c r="O53" s="11"/>
      <c r="P53" s="14"/>
    </row>
    <row r="54" spans="2:16" x14ac:dyDescent="0.25">
      <c r="B54" s="1"/>
      <c r="C54" s="19"/>
      <c r="D54" s="19"/>
      <c r="E54" s="19"/>
      <c r="F54" s="1"/>
      <c r="G54" s="1"/>
      <c r="H54" s="1"/>
      <c r="I54" s="1"/>
      <c r="J54" s="1"/>
      <c r="K54" s="12"/>
      <c r="L54" s="12"/>
      <c r="M54" s="12"/>
      <c r="N54" s="12"/>
      <c r="O54" s="11"/>
      <c r="P54" s="14"/>
    </row>
    <row r="55" spans="2:16" x14ac:dyDescent="0.25">
      <c r="B55" s="1"/>
      <c r="C55" s="19"/>
      <c r="D55" s="19"/>
      <c r="E55" s="19"/>
      <c r="F55" s="1"/>
      <c r="G55" s="1"/>
      <c r="H55" s="1"/>
      <c r="I55" s="1"/>
      <c r="J55" s="1"/>
      <c r="K55" s="11"/>
      <c r="L55" s="11"/>
      <c r="M55" s="11"/>
      <c r="N55" s="11"/>
      <c r="O55" s="11"/>
      <c r="P55" s="14"/>
    </row>
    <row r="56" spans="2:16" x14ac:dyDescent="0.25">
      <c r="B56" s="1"/>
      <c r="C56" s="19"/>
      <c r="D56" s="19"/>
      <c r="E56" s="19"/>
      <c r="F56" s="1"/>
      <c r="G56" s="1"/>
      <c r="H56" s="1"/>
      <c r="I56" s="1"/>
      <c r="J56" s="1"/>
      <c r="K56" s="14"/>
      <c r="L56" s="14"/>
      <c r="M56" s="14"/>
      <c r="N56" s="14"/>
      <c r="O56" s="14"/>
      <c r="P56" s="14"/>
    </row>
    <row r="57" spans="2:16" x14ac:dyDescent="0.25">
      <c r="B57" s="1"/>
      <c r="C57" s="19"/>
      <c r="D57" s="19"/>
      <c r="E57" s="19"/>
      <c r="F57" s="1"/>
      <c r="G57" s="1"/>
      <c r="H57" s="1"/>
      <c r="I57" s="1"/>
      <c r="J57" s="1"/>
      <c r="K57" s="14"/>
      <c r="L57" s="14"/>
      <c r="M57" s="14"/>
      <c r="N57" s="14"/>
      <c r="O57" s="14"/>
      <c r="P57" s="14"/>
    </row>
    <row r="58" spans="2:16" x14ac:dyDescent="0.25">
      <c r="B58" s="1"/>
      <c r="C58" s="19"/>
      <c r="D58" s="19"/>
      <c r="E58" s="19"/>
      <c r="F58" s="1"/>
      <c r="G58" s="1"/>
      <c r="H58" s="1"/>
      <c r="I58" s="1"/>
      <c r="J58" s="1"/>
    </row>
    <row r="59" spans="2:16" x14ac:dyDescent="0.25">
      <c r="B59" s="1"/>
      <c r="C59" s="19"/>
      <c r="D59" s="19"/>
      <c r="E59" s="19"/>
      <c r="F59" s="1"/>
      <c r="G59" s="1"/>
      <c r="H59" s="1"/>
      <c r="I59" s="1"/>
      <c r="J59" s="1"/>
    </row>
    <row r="60" spans="2:16" x14ac:dyDescent="0.25">
      <c r="B60" s="1"/>
      <c r="C60" s="19"/>
      <c r="D60" s="19"/>
      <c r="E60" s="19"/>
      <c r="F60" s="1"/>
      <c r="G60" s="1"/>
      <c r="H60" s="1"/>
      <c r="I60" s="1"/>
      <c r="J60" s="1"/>
    </row>
    <row r="61" spans="2:16" x14ac:dyDescent="0.25">
      <c r="B61" s="1"/>
      <c r="C61" s="19"/>
      <c r="D61" s="19"/>
      <c r="E61" s="19"/>
      <c r="F61" s="1"/>
      <c r="G61" s="1"/>
      <c r="H61" s="1"/>
      <c r="I61" s="1"/>
      <c r="J61" s="1"/>
    </row>
    <row r="62" spans="2:16" x14ac:dyDescent="0.25">
      <c r="B62" s="1"/>
      <c r="C62" s="19"/>
      <c r="D62" s="19"/>
      <c r="E62" s="19"/>
      <c r="F62" s="1"/>
      <c r="G62" s="1"/>
      <c r="H62" s="1"/>
      <c r="I62" s="1"/>
      <c r="J62" s="1"/>
    </row>
    <row r="63" spans="2:16" x14ac:dyDescent="0.25">
      <c r="B63" s="1"/>
      <c r="C63" s="19"/>
      <c r="D63" s="19"/>
      <c r="E63" s="19"/>
      <c r="F63" s="1"/>
      <c r="G63" s="1"/>
      <c r="H63" s="1"/>
      <c r="I63" s="1"/>
      <c r="J63" s="1"/>
    </row>
    <row r="64" spans="2:16" x14ac:dyDescent="0.25">
      <c r="B64" s="1"/>
      <c r="C64" s="19"/>
      <c r="D64" s="19"/>
      <c r="E64" s="19"/>
      <c r="F64" s="1"/>
      <c r="G64" s="1"/>
      <c r="H64" s="1"/>
      <c r="I64" s="1"/>
      <c r="J64" s="1"/>
    </row>
    <row r="65" spans="2:24" x14ac:dyDescent="0.25">
      <c r="B65" s="1"/>
      <c r="C65" s="19"/>
      <c r="D65" s="19"/>
      <c r="E65" s="19"/>
      <c r="F65" s="1"/>
      <c r="G65" s="1"/>
      <c r="H65" s="1"/>
      <c r="I65" s="1"/>
      <c r="J65" s="1"/>
    </row>
    <row r="67" spans="2:24" ht="45" x14ac:dyDescent="0.25">
      <c r="B67" s="1"/>
      <c r="C67" s="16" t="s">
        <v>27</v>
      </c>
      <c r="D67" s="16" t="s">
        <v>5</v>
      </c>
      <c r="E67" s="16" t="s">
        <v>6</v>
      </c>
      <c r="F67" s="16" t="s">
        <v>0</v>
      </c>
      <c r="G67" s="16" t="s">
        <v>7</v>
      </c>
      <c r="H67" s="16" t="s">
        <v>3</v>
      </c>
      <c r="I67" s="17" t="s">
        <v>28</v>
      </c>
      <c r="J67" s="18" t="s">
        <v>29</v>
      </c>
      <c r="K67" s="18" t="s">
        <v>30</v>
      </c>
      <c r="L67" s="16" t="s">
        <v>33</v>
      </c>
      <c r="M67" s="16" t="s">
        <v>34</v>
      </c>
      <c r="P67" s="16" t="s">
        <v>4</v>
      </c>
      <c r="Q67" s="16" t="s">
        <v>5</v>
      </c>
      <c r="R67" s="16" t="s">
        <v>6</v>
      </c>
      <c r="S67" s="16" t="s">
        <v>0</v>
      </c>
      <c r="T67" s="16" t="s">
        <v>7</v>
      </c>
      <c r="U67" s="16" t="s">
        <v>3</v>
      </c>
      <c r="V67" s="17" t="s">
        <v>35</v>
      </c>
      <c r="W67" s="20" t="s">
        <v>29</v>
      </c>
      <c r="X67" s="20" t="s">
        <v>30</v>
      </c>
    </row>
    <row r="68" spans="2:24" x14ac:dyDescent="0.25">
      <c r="B68" s="1"/>
      <c r="C68" s="1" t="s">
        <v>12</v>
      </c>
      <c r="D68" s="1"/>
      <c r="E68" s="6">
        <v>0.178366367675658</v>
      </c>
      <c r="F68" s="6">
        <v>5.1856335362832198E-2</v>
      </c>
      <c r="G68" s="6">
        <v>0.245194595440726</v>
      </c>
      <c r="H68" s="6">
        <v>0.32289162790592602</v>
      </c>
      <c r="I68" s="19">
        <v>14.086130000000001</v>
      </c>
      <c r="J68" s="1"/>
      <c r="K68" s="10"/>
      <c r="P68" s="1" t="s">
        <v>12</v>
      </c>
      <c r="Q68" s="1"/>
      <c r="R68" s="6">
        <v>0.22825064648054</v>
      </c>
      <c r="S68" s="6">
        <v>1.3430417175947699E-2</v>
      </c>
      <c r="T68" s="6">
        <v>0.34964310339422999</v>
      </c>
      <c r="U68" s="6">
        <v>0.38367204340486</v>
      </c>
      <c r="V68" s="6">
        <v>0.68921237999999996</v>
      </c>
      <c r="W68" s="1"/>
      <c r="X68" s="10"/>
    </row>
    <row r="69" spans="2:24" x14ac:dyDescent="0.25">
      <c r="B69" s="1"/>
      <c r="C69" s="1" t="s">
        <v>13</v>
      </c>
      <c r="D69" s="6">
        <v>1.39679058575205</v>
      </c>
      <c r="E69" s="6">
        <v>0.88641107886014003</v>
      </c>
      <c r="F69" s="6">
        <v>0.103368750113241</v>
      </c>
      <c r="G69" s="6">
        <v>0.16161880352222899</v>
      </c>
      <c r="H69" s="6">
        <v>0.25317898030309399</v>
      </c>
      <c r="I69" s="19">
        <v>23.435036</v>
      </c>
      <c r="J69" s="1">
        <v>22</v>
      </c>
      <c r="K69" s="1"/>
      <c r="P69" s="1" t="s">
        <v>13</v>
      </c>
      <c r="Q69" s="2">
        <v>0.96435758092830903</v>
      </c>
      <c r="R69" s="6">
        <v>-0.28959025014214101</v>
      </c>
      <c r="S69" s="6">
        <v>-1.61778645652975E-2</v>
      </c>
      <c r="T69" s="6">
        <v>-0.53634613240336904</v>
      </c>
      <c r="U69" s="6">
        <v>-0.61476468522274297</v>
      </c>
      <c r="V69" s="6">
        <v>0.75338316000000005</v>
      </c>
      <c r="W69" s="1">
        <v>22</v>
      </c>
      <c r="X69" s="1"/>
    </row>
    <row r="70" spans="2:24" x14ac:dyDescent="0.25">
      <c r="B70" s="1"/>
      <c r="C70" s="1" t="s">
        <v>14</v>
      </c>
      <c r="D70" s="6">
        <v>1.2108318271354701</v>
      </c>
      <c r="E70" s="6">
        <v>0.92629163740877796</v>
      </c>
      <c r="F70" s="6">
        <v>0.11077055296162799</v>
      </c>
      <c r="G70" s="6">
        <v>0.24079928816250401</v>
      </c>
      <c r="H70" s="6">
        <v>0.39872475769786198</v>
      </c>
      <c r="I70" s="19">
        <v>16.113236000000001</v>
      </c>
      <c r="J70" s="1">
        <v>21.75</v>
      </c>
      <c r="K70" s="1"/>
      <c r="L70" s="1">
        <v>118.22733427999999</v>
      </c>
      <c r="M70" s="1">
        <v>60.710430000000002</v>
      </c>
      <c r="P70" s="1" t="s">
        <v>14</v>
      </c>
      <c r="Q70" s="2">
        <v>0.98302221968248604</v>
      </c>
      <c r="R70" s="6">
        <v>-0.31071591767089402</v>
      </c>
      <c r="S70" s="6">
        <v>-3.7834846370905402E-3</v>
      </c>
      <c r="T70" s="6">
        <v>-0.196474990445519</v>
      </c>
      <c r="U70" s="6">
        <v>-0.21613261406053699</v>
      </c>
      <c r="V70" s="6">
        <v>0.70003090000000001</v>
      </c>
      <c r="W70" s="1">
        <v>21.75</v>
      </c>
      <c r="X70" s="1"/>
    </row>
    <row r="71" spans="2:24" x14ac:dyDescent="0.25">
      <c r="B71" s="1"/>
      <c r="C71" s="1" t="s">
        <v>15</v>
      </c>
      <c r="D71" s="6">
        <v>1.14568818263897</v>
      </c>
      <c r="E71" s="6">
        <v>0.723568252950335</v>
      </c>
      <c r="F71" s="6">
        <v>1.0650915621547401E-2</v>
      </c>
      <c r="G71" s="6">
        <v>-4.325976748147E-2</v>
      </c>
      <c r="H71" s="6">
        <v>-2.1394164632562102E-3</v>
      </c>
      <c r="I71" s="19">
        <v>12.133376200000001</v>
      </c>
      <c r="J71" s="1">
        <v>48.5</v>
      </c>
      <c r="K71" s="1">
        <v>48.5</v>
      </c>
      <c r="L71" s="1">
        <v>108.51115272</v>
      </c>
      <c r="M71" s="1">
        <v>45.71622</v>
      </c>
      <c r="P71" s="1" t="s">
        <v>15</v>
      </c>
      <c r="Q71" s="2">
        <v>0.99703728594241603</v>
      </c>
      <c r="R71" s="6">
        <v>-0.72341186519112299</v>
      </c>
      <c r="S71" s="6">
        <v>6.4581353214806597E-2</v>
      </c>
      <c r="T71" s="6">
        <v>-0.23577970708992499</v>
      </c>
      <c r="U71" s="6">
        <v>-0.60322234971197997</v>
      </c>
      <c r="V71" s="6">
        <v>0.67864073999999996</v>
      </c>
      <c r="W71" s="1">
        <v>48.5</v>
      </c>
      <c r="X71" s="1">
        <v>48.5</v>
      </c>
    </row>
    <row r="72" spans="2:24" x14ac:dyDescent="0.25">
      <c r="B72" s="1"/>
      <c r="C72" s="1" t="s">
        <v>16</v>
      </c>
      <c r="D72" s="6">
        <v>1.10273002217056</v>
      </c>
      <c r="E72" s="6">
        <v>0.92947006080395</v>
      </c>
      <c r="F72" s="6">
        <v>-2.2683422982125001E-2</v>
      </c>
      <c r="G72" s="6">
        <v>0.321471482716705</v>
      </c>
      <c r="H72" s="6">
        <v>0.58728211271901798</v>
      </c>
      <c r="I72" s="19">
        <v>13.1930706</v>
      </c>
      <c r="J72" s="1">
        <v>28.75</v>
      </c>
      <c r="K72" s="1">
        <v>28.75</v>
      </c>
      <c r="L72" s="1">
        <v>106.97060942</v>
      </c>
      <c r="M72" s="1">
        <v>46.063560000000003</v>
      </c>
      <c r="P72" s="1" t="s">
        <v>16</v>
      </c>
      <c r="Q72" s="2">
        <v>1.05414106800948</v>
      </c>
      <c r="R72" s="6">
        <v>0.54135397831396403</v>
      </c>
      <c r="S72" s="6">
        <v>6.1895687016862502E-2</v>
      </c>
      <c r="T72" s="6">
        <v>0.29281906900594301</v>
      </c>
      <c r="U72" s="6">
        <v>0.45795473111708401</v>
      </c>
      <c r="V72" s="6">
        <v>0.62161316</v>
      </c>
      <c r="W72" s="1">
        <v>28.75</v>
      </c>
      <c r="X72" s="1">
        <v>28.75</v>
      </c>
    </row>
    <row r="73" spans="2:24" x14ac:dyDescent="0.25">
      <c r="B73" s="1"/>
      <c r="C73" s="1" t="s">
        <v>17</v>
      </c>
      <c r="D73" s="6">
        <v>1.2576523908335999</v>
      </c>
      <c r="E73" s="6">
        <v>0.77855192606860901</v>
      </c>
      <c r="F73" s="6">
        <v>0.15621819275209001</v>
      </c>
      <c r="G73" s="6">
        <v>0.37178756536818502</v>
      </c>
      <c r="H73" s="6">
        <v>0.39529566790648002</v>
      </c>
      <c r="I73" s="19">
        <v>9.7677034200000001</v>
      </c>
      <c r="J73" s="1">
        <v>21</v>
      </c>
      <c r="K73" s="1">
        <v>21</v>
      </c>
      <c r="L73" s="1">
        <v>113.72040256</v>
      </c>
      <c r="M73" s="1">
        <v>47.354999999999997</v>
      </c>
      <c r="P73" s="1" t="s">
        <v>17</v>
      </c>
      <c r="Q73" s="2">
        <v>1.00376784280544</v>
      </c>
      <c r="R73" s="6">
        <v>-0.28173278371114102</v>
      </c>
      <c r="S73" s="6">
        <v>2.95836818188689E-2</v>
      </c>
      <c r="T73" s="6">
        <v>-0.24798451961503901</v>
      </c>
      <c r="U73" s="6">
        <v>-0.30540995193675702</v>
      </c>
      <c r="V73" s="6">
        <v>0.65177686000000001</v>
      </c>
      <c r="W73" s="1">
        <v>21</v>
      </c>
      <c r="X73" s="1">
        <v>21</v>
      </c>
    </row>
    <row r="74" spans="2:24" x14ac:dyDescent="0.25">
      <c r="B74" s="1"/>
      <c r="C74" s="1" t="s">
        <v>18</v>
      </c>
      <c r="D74" s="6">
        <v>1.24807759229999</v>
      </c>
      <c r="E74" s="6">
        <v>0.55577143716833499</v>
      </c>
      <c r="F74" s="6">
        <v>0.15071577677020101</v>
      </c>
      <c r="G74" s="6">
        <v>-2.2915992990330501E-3</v>
      </c>
      <c r="H74" s="6">
        <v>-1.29409007610388E-2</v>
      </c>
      <c r="I74" s="19">
        <v>15.528736</v>
      </c>
      <c r="J74" s="1">
        <v>21.5</v>
      </c>
      <c r="K74" s="1"/>
      <c r="L74" s="1"/>
      <c r="M74" s="1"/>
      <c r="P74" s="1" t="s">
        <v>18</v>
      </c>
      <c r="Q74" s="2">
        <v>0.965580440673389</v>
      </c>
      <c r="R74" s="6">
        <v>-0.28388728833714599</v>
      </c>
      <c r="S74" s="6">
        <v>-5.4892758010415703E-2</v>
      </c>
      <c r="T74" s="6">
        <v>-0.382367394435078</v>
      </c>
      <c r="U74" s="6">
        <v>-0.492949102990132</v>
      </c>
      <c r="V74" s="6">
        <v>0.73085986000000003</v>
      </c>
      <c r="W74" s="1">
        <v>21.5</v>
      </c>
      <c r="X74" s="1"/>
    </row>
    <row r="75" spans="2:24" x14ac:dyDescent="0.25">
      <c r="B75" s="1"/>
      <c r="C75" s="1" t="s">
        <v>19</v>
      </c>
      <c r="D75" s="6">
        <v>1.42877693896201</v>
      </c>
      <c r="E75" s="6">
        <v>0.33551375674123601</v>
      </c>
      <c r="F75" s="6">
        <v>5.5397551503622099E-2</v>
      </c>
      <c r="G75" s="6">
        <v>0.19084932454591899</v>
      </c>
      <c r="H75" s="6">
        <v>0.27742482843094801</v>
      </c>
      <c r="I75" s="19">
        <v>14.369724039999999</v>
      </c>
      <c r="J75" s="1">
        <v>75</v>
      </c>
      <c r="K75" s="1">
        <v>96.5</v>
      </c>
      <c r="L75" s="1">
        <v>112.66319882000001</v>
      </c>
      <c r="M75" s="1">
        <v>101.105</v>
      </c>
      <c r="P75" s="1" t="s">
        <v>19</v>
      </c>
      <c r="Q75" s="2">
        <v>1.0368691348627199</v>
      </c>
      <c r="R75" s="6">
        <v>-0.167176048352111</v>
      </c>
      <c r="S75" s="6">
        <v>8.8641812543785899E-3</v>
      </c>
      <c r="T75" s="6">
        <v>-0.35015813294515502</v>
      </c>
      <c r="U75" s="6">
        <v>-0.46503716149950902</v>
      </c>
      <c r="V75" s="6">
        <v>0.69966109999999904</v>
      </c>
      <c r="W75" s="1">
        <v>75</v>
      </c>
      <c r="X75" s="1">
        <v>96.5</v>
      </c>
    </row>
    <row r="76" spans="2:24" x14ac:dyDescent="0.25">
      <c r="B76" s="1"/>
      <c r="C76" s="1" t="s">
        <v>20</v>
      </c>
      <c r="D76" s="6">
        <v>1.33941755807892</v>
      </c>
      <c r="E76" s="6">
        <v>0.63731372986403501</v>
      </c>
      <c r="F76" s="6">
        <v>6.9883057908481996E-2</v>
      </c>
      <c r="G76" s="6">
        <v>-1.2096500870022699E-2</v>
      </c>
      <c r="H76" s="6">
        <v>-0.121081543489465</v>
      </c>
      <c r="I76" s="19">
        <v>19.197853511999998</v>
      </c>
      <c r="J76" s="1">
        <v>47.5</v>
      </c>
      <c r="K76" s="1">
        <v>47.5</v>
      </c>
      <c r="L76" s="1">
        <v>114.89097618</v>
      </c>
      <c r="M76" s="1">
        <v>44.466000000000001</v>
      </c>
      <c r="P76" s="1" t="s">
        <v>20</v>
      </c>
      <c r="Q76" s="2">
        <v>0.98011971152962396</v>
      </c>
      <c r="R76" s="6">
        <v>-0.234414236192791</v>
      </c>
      <c r="S76" s="6">
        <v>1.32778322661357E-2</v>
      </c>
      <c r="T76" s="6">
        <v>-0.50424136937081498</v>
      </c>
      <c r="U76" s="6">
        <v>-0.59921100307099695</v>
      </c>
      <c r="V76" s="6">
        <v>0.83630937999999999</v>
      </c>
      <c r="W76" s="1">
        <v>47.5</v>
      </c>
      <c r="X76" s="1">
        <v>47.5</v>
      </c>
    </row>
    <row r="77" spans="2:24" x14ac:dyDescent="0.25">
      <c r="B77" s="1"/>
      <c r="C77" s="1" t="s">
        <v>21</v>
      </c>
      <c r="D77" s="6">
        <v>1.3769164984553499</v>
      </c>
      <c r="E77" s="6">
        <v>-0.44248745305980902</v>
      </c>
      <c r="F77" s="6">
        <v>7.8645648239850305E-2</v>
      </c>
      <c r="G77" s="6">
        <v>-1.00953850119604E-2</v>
      </c>
      <c r="H77" s="6">
        <v>-0.30001520861446102</v>
      </c>
      <c r="I77" s="19">
        <v>45.413344000000002</v>
      </c>
      <c r="J77" s="1">
        <v>23.5</v>
      </c>
      <c r="K77" s="1">
        <v>23.5</v>
      </c>
      <c r="L77" s="1">
        <v>116.55531655999999</v>
      </c>
      <c r="M77" s="1">
        <v>47.503</v>
      </c>
      <c r="P77" s="1" t="s">
        <v>21</v>
      </c>
      <c r="Q77" s="2">
        <v>0.80472452573481301</v>
      </c>
      <c r="R77" s="6">
        <v>-0.91543606234553399</v>
      </c>
      <c r="S77" s="6">
        <v>-6.0975544853349099E-2</v>
      </c>
      <c r="T77" s="6">
        <v>-0.49173834482130302</v>
      </c>
      <c r="U77" s="6">
        <v>-0.81638215147709303</v>
      </c>
      <c r="V77" s="6">
        <v>1.0153706</v>
      </c>
      <c r="W77" s="1">
        <v>23.5</v>
      </c>
      <c r="X77" s="1">
        <v>23.5</v>
      </c>
    </row>
    <row r="78" spans="2:24" x14ac:dyDescent="0.25">
      <c r="B78" s="1"/>
      <c r="C78" s="1" t="s">
        <v>22</v>
      </c>
      <c r="D78" s="6">
        <v>1.66488624253968</v>
      </c>
      <c r="E78" s="6">
        <v>0.73952445342362605</v>
      </c>
      <c r="F78" s="6">
        <v>0.17832892113485599</v>
      </c>
      <c r="G78" s="6">
        <v>0.27423838854409399</v>
      </c>
      <c r="H78" s="6">
        <v>0.48361043234368201</v>
      </c>
      <c r="I78" s="19">
        <v>26.537703021999999</v>
      </c>
      <c r="J78" s="1">
        <v>27.75</v>
      </c>
      <c r="K78" s="1"/>
      <c r="L78" s="1"/>
      <c r="M78" s="1"/>
      <c r="P78" s="1" t="s">
        <v>22</v>
      </c>
      <c r="Q78" s="2">
        <v>1.07122215244959</v>
      </c>
      <c r="R78" s="6">
        <v>-0.11116405161722299</v>
      </c>
      <c r="S78" s="6">
        <v>4.2081062239471598E-2</v>
      </c>
      <c r="T78" s="6">
        <v>-0.189204803446921</v>
      </c>
      <c r="U78" s="6">
        <v>-0.35789938707520003</v>
      </c>
      <c r="V78" s="6">
        <v>0.97403329999999999</v>
      </c>
      <c r="W78" s="1">
        <v>27.75</v>
      </c>
      <c r="X78" s="1"/>
    </row>
    <row r="79" spans="2:24" x14ac:dyDescent="0.25">
      <c r="B79" s="1"/>
      <c r="C79" s="1" t="s">
        <v>23</v>
      </c>
      <c r="D79" s="6">
        <v>1.1538999764416</v>
      </c>
      <c r="E79" s="6">
        <v>9.3645385178040705E-2</v>
      </c>
      <c r="F79" s="6">
        <v>2.1496979213356301E-3</v>
      </c>
      <c r="G79" s="6">
        <v>9.4162329729257102E-2</v>
      </c>
      <c r="H79" s="6">
        <v>0.14570872911704</v>
      </c>
      <c r="I79" s="19">
        <v>13.041978800000001</v>
      </c>
      <c r="J79" s="1">
        <v>20</v>
      </c>
      <c r="K79" s="1">
        <v>47.75</v>
      </c>
      <c r="L79" s="1">
        <v>118.40602251999999</v>
      </c>
      <c r="M79" s="1">
        <v>54.055999999999997</v>
      </c>
      <c r="P79" s="1" t="s">
        <v>23</v>
      </c>
      <c r="Q79" s="2">
        <v>0.96842975873578097</v>
      </c>
      <c r="R79" s="6">
        <v>-0.44122459346906301</v>
      </c>
      <c r="S79" s="6">
        <v>-1.77749404385871E-2</v>
      </c>
      <c r="T79" s="6">
        <v>-0.32892352624960403</v>
      </c>
      <c r="U79" s="6">
        <v>-0.35193689103828402</v>
      </c>
      <c r="V79" s="6">
        <v>0.83745153999999999</v>
      </c>
      <c r="W79" s="1">
        <v>20</v>
      </c>
      <c r="X79" s="1">
        <v>47.75</v>
      </c>
    </row>
    <row r="80" spans="2:24" x14ac:dyDescent="0.25">
      <c r="B80" s="1"/>
      <c r="C80" s="1" t="s">
        <v>24</v>
      </c>
      <c r="D80" s="6">
        <v>1.5749763159783401</v>
      </c>
      <c r="E80" s="6">
        <v>0.78100360785877099</v>
      </c>
      <c r="F80" s="6">
        <v>0.101236914763633</v>
      </c>
      <c r="G80" s="6">
        <v>0.182359888343469</v>
      </c>
      <c r="H80" s="6">
        <v>0.231871322621472</v>
      </c>
      <c r="I80" s="19">
        <v>27.244893999999999</v>
      </c>
      <c r="J80" s="1">
        <v>23.75</v>
      </c>
      <c r="K80" s="1">
        <v>23.75</v>
      </c>
      <c r="L80" s="1">
        <v>115.75512236</v>
      </c>
      <c r="M80" s="1">
        <v>53.783999999999999</v>
      </c>
      <c r="P80" s="1" t="s">
        <v>24</v>
      </c>
      <c r="Q80" s="2">
        <v>0.99721998555050795</v>
      </c>
      <c r="R80" s="6">
        <v>-0.221642867808126</v>
      </c>
      <c r="S80" s="6">
        <v>3.08855730575289E-3</v>
      </c>
      <c r="T80" s="6">
        <v>-0.240487300709117</v>
      </c>
      <c r="U80" s="6">
        <v>-0.35714514817447202</v>
      </c>
      <c r="V80" s="6">
        <v>0.94095271999999996</v>
      </c>
      <c r="W80" s="1">
        <v>23.75</v>
      </c>
      <c r="X80" s="1">
        <v>23.75</v>
      </c>
    </row>
    <row r="81" spans="2:24" x14ac:dyDescent="0.25">
      <c r="B81" s="1"/>
      <c r="C81" s="1" t="s">
        <v>25</v>
      </c>
      <c r="D81" s="6">
        <v>1.3735151389442699</v>
      </c>
      <c r="E81" s="6">
        <v>0.76865077228085099</v>
      </c>
      <c r="F81" s="6">
        <v>0.107400232693555</v>
      </c>
      <c r="G81" s="6">
        <v>0.29530329286121099</v>
      </c>
      <c r="H81" s="6">
        <v>0.55988644938947996</v>
      </c>
      <c r="I81" s="19">
        <v>16.4784592</v>
      </c>
      <c r="J81" s="1">
        <v>23.5</v>
      </c>
      <c r="K81" s="1">
        <v>23.5</v>
      </c>
      <c r="L81" s="1">
        <v>121.12197168</v>
      </c>
      <c r="M81" s="1">
        <v>53.783999999999999</v>
      </c>
      <c r="P81" s="1" t="s">
        <v>25</v>
      </c>
      <c r="Q81" s="2">
        <v>1.0088578932758001</v>
      </c>
      <c r="R81" s="6">
        <v>0.120506313986007</v>
      </c>
      <c r="S81" s="6">
        <v>-5.3081166180475401E-3</v>
      </c>
      <c r="T81" s="6">
        <v>-3.9205413426507497E-2</v>
      </c>
      <c r="U81" s="6">
        <v>-5.52660269452276E-2</v>
      </c>
      <c r="V81" s="6">
        <v>0.87974381999999995</v>
      </c>
      <c r="W81" s="1">
        <v>23.5</v>
      </c>
      <c r="X81" s="1">
        <v>23.5</v>
      </c>
    </row>
    <row r="82" spans="2:24" x14ac:dyDescent="0.25">
      <c r="B82" s="1"/>
      <c r="C82" s="1" t="s">
        <v>26</v>
      </c>
      <c r="D82" s="6"/>
      <c r="E82" s="6">
        <v>0.960491106137359</v>
      </c>
      <c r="F82" s="6">
        <v>0.81801121488623596</v>
      </c>
      <c r="G82" s="6">
        <v>0.71514874979041299</v>
      </c>
      <c r="H82" s="6">
        <v>0.98118225364978595</v>
      </c>
      <c r="I82" s="19">
        <v>11.486862199999999</v>
      </c>
      <c r="J82" s="1">
        <v>24</v>
      </c>
      <c r="P82" s="1" t="s">
        <v>26</v>
      </c>
      <c r="Q82" s="2"/>
      <c r="R82" s="6">
        <v>0.99778765474319298</v>
      </c>
      <c r="S82" s="6">
        <v>0.99566811930969701</v>
      </c>
      <c r="T82" s="6">
        <v>0.88983788394215502</v>
      </c>
      <c r="U82" s="6">
        <v>0.99575457978189197</v>
      </c>
      <c r="V82" s="6">
        <v>0.67221945999999999</v>
      </c>
      <c r="W82" s="1">
        <v>24</v>
      </c>
    </row>
    <row r="83" spans="2:24" x14ac:dyDescent="0.25">
      <c r="B83" s="1"/>
      <c r="C83" s="1"/>
      <c r="D83" s="6"/>
      <c r="E83" s="6"/>
      <c r="F83" s="6"/>
      <c r="G83" s="6"/>
      <c r="H83" s="6"/>
      <c r="I83" s="6"/>
      <c r="J83" s="1"/>
      <c r="K83" s="10"/>
      <c r="P83" s="1"/>
      <c r="Q83" s="19"/>
      <c r="R83" s="19"/>
      <c r="S83" s="19"/>
      <c r="T83" s="19"/>
      <c r="U83" s="19"/>
      <c r="V83" s="19"/>
      <c r="W83" s="1"/>
      <c r="X83" s="10"/>
    </row>
    <row r="84" spans="2:24" x14ac:dyDescent="0.25">
      <c r="B84" s="1"/>
      <c r="C84" s="1"/>
      <c r="D84" s="6"/>
      <c r="E84" s="6"/>
      <c r="F84" s="6"/>
      <c r="G84" s="6"/>
      <c r="H84" s="6"/>
      <c r="I84" s="6"/>
      <c r="J84" s="1"/>
      <c r="K84" s="1"/>
      <c r="P84" s="1"/>
      <c r="Q84" s="19"/>
      <c r="R84" s="19"/>
      <c r="S84" s="19"/>
      <c r="T84" s="19"/>
      <c r="U84" s="19"/>
      <c r="V84" s="19"/>
      <c r="W84" s="1"/>
      <c r="X84" s="1"/>
    </row>
    <row r="85" spans="2:24" x14ac:dyDescent="0.25">
      <c r="B85" s="1"/>
      <c r="C85" s="1"/>
      <c r="D85" s="6"/>
      <c r="E85" s="6"/>
      <c r="F85" s="6"/>
      <c r="G85" s="6"/>
      <c r="H85" s="6"/>
      <c r="I85" s="6"/>
      <c r="J85" s="1"/>
      <c r="K85" s="1"/>
      <c r="L85" s="1"/>
      <c r="M85" s="1"/>
      <c r="P85" s="1"/>
      <c r="Q85" s="19"/>
      <c r="R85" s="19"/>
      <c r="S85" s="19"/>
      <c r="T85" s="19"/>
      <c r="U85" s="19"/>
      <c r="V85" s="19"/>
      <c r="W85" s="1"/>
      <c r="X85" s="1"/>
    </row>
    <row r="86" spans="2:24" x14ac:dyDescent="0.25">
      <c r="B86" s="1"/>
      <c r="C86" s="1"/>
      <c r="D86" s="6"/>
      <c r="E86" s="6"/>
      <c r="F86" s="6"/>
      <c r="G86" s="6"/>
      <c r="H86" s="6"/>
      <c r="I86" s="6"/>
      <c r="J86" s="1"/>
      <c r="K86" s="1"/>
      <c r="L86" s="1"/>
      <c r="M86" s="1"/>
      <c r="P86" s="1"/>
      <c r="Q86" s="19"/>
      <c r="R86" s="19"/>
      <c r="S86" s="19"/>
      <c r="T86" s="19"/>
      <c r="U86" s="19"/>
      <c r="V86" s="19"/>
      <c r="W86" s="1"/>
      <c r="X86" s="1"/>
    </row>
    <row r="87" spans="2:24" x14ac:dyDescent="0.25">
      <c r="B87" s="1"/>
      <c r="C87" s="1"/>
      <c r="D87" s="6"/>
      <c r="E87" s="6"/>
      <c r="F87" s="6"/>
      <c r="G87" s="6"/>
      <c r="H87" s="6"/>
      <c r="I87" s="6"/>
      <c r="J87" s="1"/>
      <c r="K87" s="1"/>
      <c r="L87" s="1"/>
      <c r="M87" s="1"/>
      <c r="P87" s="1"/>
      <c r="Q87" s="19"/>
      <c r="R87" s="19"/>
      <c r="S87" s="19"/>
      <c r="T87" s="19"/>
      <c r="U87" s="19"/>
      <c r="V87" s="19"/>
      <c r="W87" s="1"/>
      <c r="X87" s="1"/>
    </row>
    <row r="88" spans="2:24" x14ac:dyDescent="0.25">
      <c r="B88" s="1"/>
      <c r="C88" s="1"/>
      <c r="D88" s="6"/>
      <c r="E88" s="6"/>
      <c r="F88" s="6"/>
      <c r="G88" s="6"/>
      <c r="H88" s="6"/>
      <c r="I88" s="6"/>
      <c r="J88" s="1"/>
      <c r="K88" s="1"/>
      <c r="L88" s="1"/>
      <c r="M88" s="1"/>
      <c r="P88" s="1"/>
      <c r="Q88" s="19"/>
      <c r="R88" s="19"/>
      <c r="S88" s="19"/>
      <c r="T88" s="19"/>
      <c r="U88" s="19"/>
      <c r="V88" s="19"/>
      <c r="W88" s="1"/>
      <c r="X88" s="1"/>
    </row>
    <row r="89" spans="2:24" x14ac:dyDescent="0.25">
      <c r="B89" s="1"/>
      <c r="C89" s="1"/>
      <c r="D89" s="6"/>
      <c r="E89" s="6"/>
      <c r="F89" s="6"/>
      <c r="G89" s="6"/>
      <c r="H89" s="6"/>
      <c r="I89" s="6"/>
      <c r="J89" s="1"/>
      <c r="K89" s="1"/>
      <c r="L89" s="1"/>
      <c r="M89" s="1"/>
      <c r="P89" s="1"/>
      <c r="Q89" s="19"/>
      <c r="R89" s="19"/>
      <c r="S89" s="19"/>
      <c r="T89" s="19"/>
      <c r="U89" s="19"/>
      <c r="V89" s="19"/>
      <c r="W89" s="1"/>
      <c r="X89" s="1"/>
    </row>
    <row r="90" spans="2:24" x14ac:dyDescent="0.25">
      <c r="B90" s="1"/>
      <c r="C90" s="1"/>
      <c r="D90" s="6"/>
      <c r="E90" s="6"/>
      <c r="F90" s="6"/>
      <c r="G90" s="6"/>
      <c r="H90" s="6"/>
      <c r="I90" s="6"/>
      <c r="J90" s="1"/>
      <c r="K90" s="1"/>
      <c r="L90" s="1"/>
      <c r="M90" s="1"/>
      <c r="P90" s="1"/>
      <c r="Q90" s="19"/>
      <c r="R90" s="19"/>
      <c r="S90" s="19"/>
      <c r="T90" s="19"/>
      <c r="U90" s="19"/>
      <c r="V90" s="19"/>
      <c r="W90" s="1"/>
      <c r="X90" s="1"/>
    </row>
    <row r="91" spans="2:24" x14ac:dyDescent="0.25">
      <c r="B91" s="1"/>
      <c r="C91" s="1"/>
      <c r="D91" s="6"/>
      <c r="E91" s="6"/>
      <c r="F91" s="6"/>
      <c r="G91" s="6"/>
      <c r="H91" s="6"/>
      <c r="I91" s="6"/>
      <c r="J91" s="1"/>
      <c r="K91" s="1"/>
      <c r="L91" s="1"/>
      <c r="M91" s="1"/>
      <c r="P91" s="1"/>
      <c r="Q91" s="19"/>
      <c r="R91" s="19"/>
      <c r="S91" s="19"/>
      <c r="T91" s="19"/>
      <c r="U91" s="19"/>
      <c r="V91" s="19"/>
      <c r="W91" s="1"/>
      <c r="X91" s="1"/>
    </row>
    <row r="92" spans="2:24" x14ac:dyDescent="0.25">
      <c r="B92" s="1"/>
      <c r="C92" s="1"/>
      <c r="D92" s="6"/>
      <c r="E92" s="6"/>
      <c r="F92" s="6"/>
      <c r="G92" s="6"/>
      <c r="H92" s="6"/>
      <c r="I92" s="6"/>
      <c r="J92" s="1"/>
      <c r="K92" s="1"/>
      <c r="L92" s="1"/>
      <c r="M92" s="1"/>
      <c r="P92" s="1"/>
      <c r="Q92" s="19"/>
      <c r="R92" s="19"/>
      <c r="S92" s="19"/>
      <c r="T92" s="19"/>
      <c r="U92" s="19"/>
      <c r="V92" s="19"/>
      <c r="W92" s="1"/>
      <c r="X92" s="1"/>
    </row>
    <row r="93" spans="2:24" x14ac:dyDescent="0.25">
      <c r="B93" s="1"/>
      <c r="C93" s="1"/>
      <c r="D93" s="6"/>
      <c r="E93" s="6"/>
      <c r="F93" s="6"/>
      <c r="G93" s="6"/>
      <c r="H93" s="6"/>
      <c r="I93" s="6"/>
      <c r="J93" s="1"/>
      <c r="K93" s="1"/>
      <c r="L93" s="1"/>
      <c r="M93" s="1"/>
      <c r="P93" s="1"/>
      <c r="Q93" s="19"/>
      <c r="R93" s="19"/>
      <c r="S93" s="19"/>
      <c r="T93" s="19"/>
      <c r="U93" s="19"/>
      <c r="V93" s="19"/>
      <c r="W93" s="1"/>
      <c r="X93" s="1"/>
    </row>
    <row r="94" spans="2:24" x14ac:dyDescent="0.25">
      <c r="B94" s="1"/>
      <c r="C94" s="1"/>
      <c r="D94" s="6"/>
      <c r="E94" s="6"/>
      <c r="F94" s="6"/>
      <c r="G94" s="6"/>
      <c r="H94" s="6"/>
      <c r="I94" s="6"/>
      <c r="J94" s="1"/>
      <c r="K94" s="1"/>
      <c r="L94" s="1"/>
      <c r="M94" s="1"/>
      <c r="P94" s="1"/>
      <c r="Q94" s="19"/>
      <c r="R94" s="19"/>
      <c r="S94" s="19"/>
      <c r="T94" s="19"/>
      <c r="U94" s="19"/>
      <c r="V94" s="19"/>
      <c r="W94" s="1"/>
      <c r="X94" s="1"/>
    </row>
    <row r="95" spans="2:24" x14ac:dyDescent="0.25">
      <c r="B95" s="1"/>
      <c r="C95" s="1"/>
      <c r="D95" s="6"/>
      <c r="E95" s="6"/>
      <c r="F95" s="6"/>
      <c r="G95" s="6"/>
      <c r="H95" s="6"/>
      <c r="I95" s="6"/>
      <c r="J95" s="1"/>
      <c r="K95" s="1"/>
      <c r="L95" s="1"/>
      <c r="M95" s="1"/>
      <c r="P95" s="1"/>
      <c r="Q95" s="19"/>
      <c r="R95" s="19"/>
      <c r="S95" s="19"/>
      <c r="T95" s="19"/>
      <c r="U95" s="19"/>
      <c r="V95" s="19"/>
      <c r="W95" s="1"/>
      <c r="X95" s="1"/>
    </row>
    <row r="96" spans="2:24" x14ac:dyDescent="0.25">
      <c r="B96" s="1"/>
      <c r="C96" s="1"/>
      <c r="D96" s="6"/>
      <c r="E96" s="6"/>
      <c r="F96" s="6"/>
      <c r="G96" s="6"/>
      <c r="H96" s="6"/>
      <c r="I96" s="6"/>
      <c r="J96" s="1"/>
      <c r="K96" s="1"/>
      <c r="L96" s="1"/>
      <c r="M96" s="1"/>
      <c r="P96" s="1"/>
      <c r="Q96" s="19"/>
      <c r="R96" s="19"/>
      <c r="S96" s="19"/>
      <c r="T96" s="19"/>
      <c r="U96" s="19"/>
      <c r="V96" s="19"/>
      <c r="W96" s="1"/>
      <c r="X96" s="1"/>
    </row>
    <row r="97" spans="16:22" x14ac:dyDescent="0.25">
      <c r="P97" s="1"/>
      <c r="Q97" s="19"/>
      <c r="R97" s="19"/>
      <c r="S97" s="19"/>
      <c r="T97" s="19"/>
      <c r="U97" s="19"/>
      <c r="V97" s="19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8C53E-DA7B-45A7-9283-508F5A94CB96}">
  <dimension ref="A1:X97"/>
  <sheetViews>
    <sheetView zoomScaleNormal="100" workbookViewId="0">
      <selection activeCell="H18" sqref="H18"/>
    </sheetView>
  </sheetViews>
  <sheetFormatPr defaultRowHeight="15" x14ac:dyDescent="0.25"/>
  <cols>
    <col min="1" max="1" width="3" style="1" customWidth="1"/>
    <col min="2" max="2" width="13" customWidth="1"/>
    <col min="3" max="3" width="19.140625" customWidth="1"/>
    <col min="4" max="4" width="18.42578125" customWidth="1"/>
    <col min="5" max="5" width="18.7109375" customWidth="1"/>
    <col min="6" max="6" width="21.140625" customWidth="1"/>
    <col min="7" max="7" width="24.85546875" customWidth="1"/>
    <col min="8" max="8" width="23.7109375" customWidth="1"/>
    <col min="9" max="9" width="20.7109375" customWidth="1"/>
    <col min="10" max="10" width="21.85546875" customWidth="1"/>
    <col min="11" max="11" width="18" customWidth="1"/>
    <col min="12" max="12" width="20.5703125" customWidth="1"/>
    <col min="13" max="13" width="21.7109375" customWidth="1"/>
    <col min="14" max="14" width="18.7109375" customWidth="1"/>
    <col min="16" max="16" width="12.42578125" customWidth="1"/>
    <col min="17" max="17" width="16.5703125" customWidth="1"/>
    <col min="18" max="18" width="15.85546875" customWidth="1"/>
    <col min="19" max="19" width="14.7109375" customWidth="1"/>
    <col min="20" max="20" width="14" customWidth="1"/>
    <col min="21" max="21" width="13.140625" customWidth="1"/>
    <col min="22" max="22" width="15.85546875" customWidth="1"/>
    <col min="23" max="23" width="16.7109375" customWidth="1"/>
    <col min="24" max="24" width="15.42578125" customWidth="1"/>
  </cols>
  <sheetData>
    <row r="1" spans="2:15" x14ac:dyDescent="0.25">
      <c r="H1" s="4" t="s">
        <v>8</v>
      </c>
    </row>
    <row r="2" spans="2:15" x14ac:dyDescent="0.25">
      <c r="H2" s="5" t="s">
        <v>9</v>
      </c>
    </row>
    <row r="3" spans="2:15" x14ac:dyDescent="0.25">
      <c r="B3" s="1" t="s">
        <v>1</v>
      </c>
      <c r="C3" s="1"/>
      <c r="D3" s="1"/>
      <c r="E3" s="1"/>
      <c r="F3" s="1"/>
      <c r="G3" s="1"/>
      <c r="H3" s="3"/>
      <c r="I3" s="1"/>
      <c r="J3" s="1"/>
      <c r="K3" s="1"/>
      <c r="L3" s="1"/>
      <c r="M3" s="1"/>
      <c r="N3" s="1"/>
      <c r="O3" s="1"/>
    </row>
    <row r="4" spans="2:15" ht="30" x14ac:dyDescent="0.25">
      <c r="B4" s="16" t="s">
        <v>10</v>
      </c>
      <c r="C4" s="16" t="s">
        <v>5</v>
      </c>
      <c r="D4" s="16" t="s">
        <v>6</v>
      </c>
      <c r="E4" s="16" t="s">
        <v>0</v>
      </c>
      <c r="F4" s="17" t="s">
        <v>11</v>
      </c>
      <c r="G4" s="20" t="s">
        <v>29</v>
      </c>
      <c r="H4" s="20" t="s">
        <v>30</v>
      </c>
      <c r="I4" s="16" t="s">
        <v>33</v>
      </c>
      <c r="J4" s="16" t="s">
        <v>34</v>
      </c>
      <c r="K4" s="1"/>
      <c r="L4" s="1"/>
      <c r="M4" s="1"/>
      <c r="N4" s="1"/>
      <c r="O4" s="1"/>
    </row>
    <row r="5" spans="2:15" x14ac:dyDescent="0.25">
      <c r="B5" s="1"/>
      <c r="C5" s="6"/>
      <c r="D5" s="6"/>
      <c r="E5" s="6"/>
      <c r="F5" s="10"/>
      <c r="G5" s="1"/>
      <c r="H5" s="10"/>
      <c r="K5" s="2"/>
      <c r="L5" s="2"/>
      <c r="M5" s="1"/>
      <c r="N5" s="1"/>
      <c r="O5" s="1"/>
    </row>
    <row r="6" spans="2:15" x14ac:dyDescent="0.25">
      <c r="B6" s="1"/>
      <c r="C6" s="6"/>
      <c r="D6" s="6"/>
      <c r="E6" s="6"/>
      <c r="F6" s="10"/>
      <c r="G6" s="1"/>
      <c r="H6" s="1"/>
      <c r="K6" s="2"/>
      <c r="L6" s="2"/>
      <c r="M6" s="1"/>
      <c r="N6" s="1"/>
      <c r="O6" s="1"/>
    </row>
    <row r="7" spans="2:15" x14ac:dyDescent="0.25">
      <c r="B7" s="1"/>
      <c r="C7" s="6"/>
      <c r="D7" s="6"/>
      <c r="E7" s="6"/>
      <c r="F7" s="10"/>
      <c r="G7" s="1"/>
      <c r="H7" s="1"/>
      <c r="I7" s="1"/>
      <c r="J7" s="1"/>
      <c r="K7" s="2"/>
      <c r="L7" s="2"/>
      <c r="M7" s="6"/>
      <c r="N7" s="1"/>
      <c r="O7" s="1"/>
    </row>
    <row r="8" spans="2:15" x14ac:dyDescent="0.25">
      <c r="B8" s="1"/>
      <c r="C8" s="6"/>
      <c r="D8" s="6"/>
      <c r="E8" s="6"/>
      <c r="F8" s="10"/>
      <c r="G8" s="1"/>
      <c r="H8" s="1"/>
      <c r="I8" s="1"/>
      <c r="J8" s="1"/>
      <c r="K8" s="2"/>
      <c r="L8" s="2"/>
      <c r="M8" s="6"/>
      <c r="N8" s="1"/>
      <c r="O8" s="1"/>
    </row>
    <row r="9" spans="2:15" x14ac:dyDescent="0.25">
      <c r="B9" s="1"/>
      <c r="C9" s="6"/>
      <c r="D9" s="6"/>
      <c r="E9" s="6"/>
      <c r="F9" s="10"/>
      <c r="G9" s="1"/>
      <c r="H9" s="1"/>
      <c r="I9" s="1"/>
      <c r="J9" s="1"/>
      <c r="K9" s="2"/>
      <c r="L9" s="2"/>
      <c r="M9" s="6"/>
      <c r="N9" s="1"/>
      <c r="O9" s="1"/>
    </row>
    <row r="10" spans="2:15" x14ac:dyDescent="0.25">
      <c r="B10" s="1"/>
      <c r="C10" s="6"/>
      <c r="D10" s="6"/>
      <c r="E10" s="6"/>
      <c r="F10" s="10"/>
      <c r="G10" s="1"/>
      <c r="H10" s="1"/>
      <c r="I10" s="1"/>
      <c r="J10" s="1"/>
      <c r="K10" s="2"/>
      <c r="L10" s="2"/>
      <c r="M10" s="6"/>
      <c r="N10" s="1"/>
      <c r="O10" s="1"/>
    </row>
    <row r="11" spans="2:15" x14ac:dyDescent="0.25">
      <c r="B11" s="1"/>
      <c r="C11" s="6"/>
      <c r="D11" s="6"/>
      <c r="E11" s="6"/>
      <c r="F11" s="10"/>
      <c r="G11" s="1"/>
      <c r="H11" s="1"/>
      <c r="I11" s="1"/>
      <c r="J11" s="1"/>
      <c r="K11" s="2"/>
      <c r="L11" s="2"/>
      <c r="M11" s="6"/>
      <c r="N11" s="1"/>
      <c r="O11" s="1"/>
    </row>
    <row r="12" spans="2:15" x14ac:dyDescent="0.25">
      <c r="B12" s="1"/>
      <c r="C12" s="6"/>
      <c r="D12" s="6"/>
      <c r="E12" s="6"/>
      <c r="F12" s="10"/>
      <c r="G12" s="1"/>
      <c r="H12" s="1"/>
      <c r="I12" s="1"/>
      <c r="J12" s="1"/>
      <c r="K12" s="2"/>
      <c r="L12" s="2"/>
      <c r="M12" s="6"/>
      <c r="N12" s="1"/>
      <c r="O12" s="1"/>
    </row>
    <row r="13" spans="2:15" x14ac:dyDescent="0.25">
      <c r="B13" s="1"/>
      <c r="C13" s="6"/>
      <c r="D13" s="6"/>
      <c r="E13" s="6"/>
      <c r="F13" s="10"/>
      <c r="G13" s="1"/>
      <c r="H13" s="1"/>
      <c r="I13" s="1"/>
      <c r="J13" s="1"/>
      <c r="K13" s="2"/>
      <c r="L13" s="2"/>
      <c r="M13" s="6"/>
      <c r="N13" s="1"/>
      <c r="O13" s="1"/>
    </row>
    <row r="14" spans="2:15" x14ac:dyDescent="0.25">
      <c r="B14" s="1"/>
      <c r="C14" s="6"/>
      <c r="D14" s="6"/>
      <c r="E14" s="6"/>
      <c r="F14" s="10"/>
      <c r="G14" s="1"/>
      <c r="H14" s="1"/>
      <c r="I14" s="1"/>
      <c r="J14" s="1"/>
      <c r="K14" s="1"/>
      <c r="L14" s="7"/>
      <c r="M14" s="6"/>
      <c r="N14" s="1"/>
      <c r="O14" s="1"/>
    </row>
    <row r="15" spans="2:15" x14ac:dyDescent="0.25">
      <c r="B15" s="1"/>
      <c r="C15" s="6"/>
      <c r="D15" s="6"/>
      <c r="E15" s="6"/>
      <c r="F15" s="10"/>
      <c r="G15" s="1"/>
      <c r="H15" s="1"/>
      <c r="I15" s="1"/>
      <c r="J15" s="1"/>
      <c r="K15" s="1"/>
      <c r="L15" s="7"/>
      <c r="M15" s="6"/>
      <c r="N15" s="1"/>
      <c r="O15" s="1"/>
    </row>
    <row r="16" spans="2:15" x14ac:dyDescent="0.25">
      <c r="B16" s="1"/>
      <c r="C16" s="6"/>
      <c r="D16" s="6"/>
      <c r="E16" s="6"/>
      <c r="F16" s="10"/>
      <c r="G16" s="1"/>
      <c r="H16" s="1"/>
      <c r="I16" s="1"/>
      <c r="J16" s="1"/>
      <c r="K16" s="1"/>
      <c r="L16" s="1"/>
      <c r="M16" s="1"/>
      <c r="N16" s="1"/>
      <c r="O16" s="1"/>
    </row>
    <row r="17" spans="2:15" x14ac:dyDescent="0.25">
      <c r="B17" s="1"/>
      <c r="C17" s="6"/>
      <c r="D17" s="6"/>
      <c r="E17" s="6"/>
      <c r="F17" s="10"/>
      <c r="G17" s="1"/>
      <c r="H17" s="1"/>
      <c r="I17" s="1"/>
      <c r="J17" s="1"/>
      <c r="K17" s="1"/>
      <c r="L17" s="1"/>
      <c r="M17" s="1"/>
      <c r="N17" s="1"/>
      <c r="O17" s="1"/>
    </row>
    <row r="18" spans="2:15" x14ac:dyDescent="0.25">
      <c r="B18" s="1"/>
      <c r="C18" s="6"/>
      <c r="D18" s="6"/>
      <c r="E18" s="6"/>
      <c r="F18" s="10"/>
      <c r="G18" s="1"/>
      <c r="H18" s="1"/>
      <c r="I18" s="1"/>
      <c r="J18" s="1"/>
      <c r="K18" s="1"/>
      <c r="L18" s="1"/>
      <c r="M18" s="1"/>
      <c r="N18" s="1"/>
      <c r="O18" s="1"/>
    </row>
    <row r="19" spans="2:15" x14ac:dyDescent="0.25">
      <c r="B19" s="1"/>
      <c r="C19" s="6"/>
      <c r="D19" s="6"/>
      <c r="E19" s="6"/>
      <c r="F19" s="10"/>
      <c r="G19" s="1"/>
      <c r="K19" s="2"/>
      <c r="L19" s="2"/>
      <c r="M19" s="1"/>
      <c r="N19" s="1"/>
      <c r="O19" s="1"/>
    </row>
    <row r="20" spans="2:15" x14ac:dyDescent="0.25">
      <c r="B20" s="1" t="s">
        <v>12</v>
      </c>
      <c r="C20" s="6">
        <v>1.8695993339197901</v>
      </c>
      <c r="D20" s="6">
        <v>0.44896728093636801</v>
      </c>
      <c r="E20" s="6">
        <v>2.4947102971666898E-2</v>
      </c>
      <c r="F20" s="10">
        <v>16</v>
      </c>
      <c r="G20" s="1"/>
      <c r="H20" s="10"/>
      <c r="K20" s="2"/>
      <c r="L20" s="2"/>
      <c r="M20" s="1"/>
      <c r="N20" s="1"/>
      <c r="O20" s="1"/>
    </row>
    <row r="21" spans="2:15" x14ac:dyDescent="0.25">
      <c r="B21" s="1" t="s">
        <v>13</v>
      </c>
      <c r="C21" s="6">
        <v>1.21795864622288</v>
      </c>
      <c r="D21" s="6">
        <v>1.5264059910121399</v>
      </c>
      <c r="E21" s="6">
        <v>9.6293174744729593E-3</v>
      </c>
      <c r="F21" s="10">
        <v>21.5</v>
      </c>
      <c r="G21" s="1">
        <v>22</v>
      </c>
      <c r="H21" s="1"/>
      <c r="K21" s="2"/>
      <c r="L21" s="2"/>
      <c r="M21" s="6"/>
      <c r="N21" s="1"/>
      <c r="O21" s="1"/>
    </row>
    <row r="22" spans="2:15" x14ac:dyDescent="0.25">
      <c r="B22" s="1" t="s">
        <v>14</v>
      </c>
      <c r="C22" s="6">
        <v>1.0299659938988901</v>
      </c>
      <c r="D22" s="6">
        <v>0.71671353985517805</v>
      </c>
      <c r="E22" s="6">
        <v>0.14608753400636901</v>
      </c>
      <c r="F22" s="10">
        <v>12.222222220000001</v>
      </c>
      <c r="G22" s="1">
        <v>21.75</v>
      </c>
      <c r="H22" s="1"/>
      <c r="I22" s="1">
        <v>118.22733427999999</v>
      </c>
      <c r="J22" s="1">
        <v>60.710430000000002</v>
      </c>
      <c r="K22" s="2"/>
      <c r="L22" s="2"/>
      <c r="M22" s="6"/>
      <c r="N22" s="1"/>
      <c r="O22" s="1"/>
    </row>
    <row r="23" spans="2:15" x14ac:dyDescent="0.25">
      <c r="B23" s="1" t="s">
        <v>15</v>
      </c>
      <c r="C23" s="6"/>
      <c r="D23" s="6"/>
      <c r="E23" s="6"/>
      <c r="F23" s="10"/>
      <c r="G23" s="1">
        <v>48.5</v>
      </c>
      <c r="H23" s="1">
        <v>48.5</v>
      </c>
      <c r="I23" s="1">
        <v>108.51115272</v>
      </c>
      <c r="J23" s="1">
        <v>45.71622</v>
      </c>
      <c r="K23" s="1"/>
      <c r="L23" s="1"/>
      <c r="M23" s="6"/>
      <c r="N23" s="1"/>
      <c r="O23" s="1"/>
    </row>
    <row r="24" spans="2:15" x14ac:dyDescent="0.25">
      <c r="B24" s="1" t="s">
        <v>16</v>
      </c>
      <c r="C24" s="6"/>
      <c r="D24" s="6"/>
      <c r="E24" s="6"/>
      <c r="F24" s="10"/>
      <c r="G24" s="1">
        <v>28.75</v>
      </c>
      <c r="H24" s="1">
        <v>28.75</v>
      </c>
      <c r="I24" s="1">
        <v>106.97060942</v>
      </c>
      <c r="J24" s="1">
        <v>46.063560000000003</v>
      </c>
      <c r="K24" s="1"/>
      <c r="L24" s="1"/>
      <c r="M24" s="6"/>
      <c r="N24" s="1"/>
      <c r="O24" s="1"/>
    </row>
    <row r="25" spans="2:15" x14ac:dyDescent="0.25">
      <c r="B25" s="1" t="s">
        <v>17</v>
      </c>
      <c r="C25" s="6">
        <v>1.1534447144942801</v>
      </c>
      <c r="D25" s="6">
        <v>0.678678630991426</v>
      </c>
      <c r="E25" s="6">
        <v>1.27691539373017E-2</v>
      </c>
      <c r="F25" s="10">
        <v>11.25</v>
      </c>
      <c r="G25" s="1">
        <v>21</v>
      </c>
      <c r="H25" s="1">
        <v>21</v>
      </c>
      <c r="I25" s="1">
        <v>113.72040256</v>
      </c>
      <c r="J25" s="1">
        <v>47.354999999999997</v>
      </c>
      <c r="K25" s="1"/>
      <c r="L25" s="1"/>
      <c r="M25" s="6"/>
      <c r="N25" s="1"/>
      <c r="O25" s="1"/>
    </row>
    <row r="26" spans="2:15" x14ac:dyDescent="0.25">
      <c r="B26" s="1" t="s">
        <v>18</v>
      </c>
      <c r="C26" s="6">
        <v>1.6625275928143599</v>
      </c>
      <c r="D26" s="6">
        <v>0.81343884511072295</v>
      </c>
      <c r="E26" s="6">
        <v>6.7576112725014403E-2</v>
      </c>
      <c r="F26" s="10">
        <v>15</v>
      </c>
      <c r="G26" s="1">
        <v>21.5</v>
      </c>
      <c r="H26" s="1"/>
      <c r="I26" s="1"/>
      <c r="J26" s="1"/>
      <c r="K26" s="1"/>
      <c r="L26" s="1"/>
      <c r="M26" s="6"/>
      <c r="N26" s="1"/>
      <c r="O26" s="1"/>
    </row>
    <row r="27" spans="2:15" x14ac:dyDescent="0.25">
      <c r="B27" s="1" t="s">
        <v>19</v>
      </c>
      <c r="C27" s="6">
        <v>0.83858009935182098</v>
      </c>
      <c r="D27" s="6">
        <v>-1.07855599689062</v>
      </c>
      <c r="E27" s="6">
        <v>-0.35416666689988402</v>
      </c>
      <c r="F27" s="10">
        <v>11.612903230000001</v>
      </c>
      <c r="G27" s="1">
        <v>75</v>
      </c>
      <c r="H27" s="1">
        <v>96.5</v>
      </c>
      <c r="I27" s="1">
        <v>112.66319882000001</v>
      </c>
      <c r="J27" s="1">
        <v>101.105</v>
      </c>
      <c r="K27" s="1"/>
      <c r="L27" s="1"/>
      <c r="M27" s="6"/>
      <c r="N27" s="1"/>
      <c r="O27" s="1"/>
    </row>
    <row r="28" spans="2:15" x14ac:dyDescent="0.25">
      <c r="B28" s="1" t="s">
        <v>20</v>
      </c>
      <c r="C28" s="6">
        <v>2.31938512736013</v>
      </c>
      <c r="D28" s="6">
        <v>1.34776836410395</v>
      </c>
      <c r="E28" s="6">
        <v>4.5646344187588998E-2</v>
      </c>
      <c r="F28" s="10">
        <v>14.545454550000001</v>
      </c>
      <c r="G28" s="1">
        <v>47.5</v>
      </c>
      <c r="H28" s="1">
        <v>47.5</v>
      </c>
      <c r="I28" s="1">
        <v>114.89097618</v>
      </c>
      <c r="J28" s="1">
        <v>44.466000000000001</v>
      </c>
      <c r="K28" s="1"/>
      <c r="L28" s="1"/>
      <c r="M28" s="6"/>
      <c r="N28" s="1"/>
      <c r="O28" s="1"/>
    </row>
    <row r="29" spans="2:15" x14ac:dyDescent="0.25">
      <c r="B29" s="1" t="s">
        <v>21</v>
      </c>
      <c r="C29" s="6">
        <v>1.66955637894203</v>
      </c>
      <c r="D29" s="6">
        <v>0.55456789410428697</v>
      </c>
      <c r="E29" s="6">
        <v>1.47909285306715E-2</v>
      </c>
      <c r="F29" s="10">
        <v>45</v>
      </c>
      <c r="G29" s="1">
        <v>23.5</v>
      </c>
      <c r="H29" s="1">
        <v>23.5</v>
      </c>
      <c r="I29" s="1">
        <v>116.55531655999999</v>
      </c>
      <c r="J29" s="1">
        <v>47.503</v>
      </c>
      <c r="K29" s="1"/>
      <c r="L29" s="1"/>
      <c r="M29" s="6"/>
      <c r="N29" s="1"/>
      <c r="O29" s="1"/>
    </row>
    <row r="30" spans="2:15" x14ac:dyDescent="0.25">
      <c r="B30" s="1" t="s">
        <v>22</v>
      </c>
      <c r="C30" s="6"/>
      <c r="D30" s="6">
        <v>0.70468449804027899</v>
      </c>
      <c r="E30" s="6">
        <v>3.5842816756479302E-2</v>
      </c>
      <c r="F30" s="10">
        <v>20</v>
      </c>
      <c r="G30" s="1">
        <v>27.75</v>
      </c>
      <c r="H30" s="1"/>
      <c r="I30" s="1"/>
      <c r="J30" s="1"/>
      <c r="K30" s="1"/>
      <c r="L30" s="1"/>
      <c r="M30" s="1"/>
      <c r="N30" s="1"/>
      <c r="O30" s="1"/>
    </row>
    <row r="31" spans="2:15" x14ac:dyDescent="0.25">
      <c r="B31" s="1" t="s">
        <v>23</v>
      </c>
      <c r="C31" s="6">
        <v>0.90805045415642205</v>
      </c>
      <c r="D31" s="6">
        <v>-0.373253605455523</v>
      </c>
      <c r="E31" s="6">
        <v>-4.0383997186219003E-2</v>
      </c>
      <c r="F31" s="10">
        <v>4.375</v>
      </c>
      <c r="G31" s="1">
        <v>20</v>
      </c>
      <c r="H31" s="1">
        <v>47.75</v>
      </c>
      <c r="I31" s="1">
        <v>118.40602251999999</v>
      </c>
      <c r="J31" s="1">
        <v>54.055999999999997</v>
      </c>
      <c r="K31" s="1"/>
      <c r="L31" s="1"/>
      <c r="M31" s="1"/>
      <c r="N31" s="1"/>
      <c r="O31" s="1"/>
    </row>
    <row r="32" spans="2:15" x14ac:dyDescent="0.25">
      <c r="B32" s="1" t="s">
        <v>24</v>
      </c>
      <c r="C32" s="6">
        <v>1.0862889042163599</v>
      </c>
      <c r="D32" s="6">
        <v>0.63056904760694898</v>
      </c>
      <c r="E32" s="6">
        <v>3.6679485231980898E-2</v>
      </c>
      <c r="F32" s="10">
        <v>24.375</v>
      </c>
      <c r="G32" s="1">
        <v>23.75</v>
      </c>
      <c r="H32" s="1">
        <v>23.75</v>
      </c>
      <c r="I32" s="1">
        <v>115.75512236</v>
      </c>
      <c r="J32" s="1">
        <v>53.783999999999999</v>
      </c>
      <c r="K32" s="1"/>
      <c r="L32" s="1"/>
      <c r="M32" s="1"/>
      <c r="N32" s="1"/>
      <c r="O32" s="1"/>
    </row>
    <row r="33" spans="2:16" x14ac:dyDescent="0.25">
      <c r="B33" s="1" t="s">
        <v>25</v>
      </c>
      <c r="C33" s="6">
        <v>0.39254775269290398</v>
      </c>
      <c r="D33" s="6">
        <v>-0.623899602892661</v>
      </c>
      <c r="E33" s="6">
        <v>-0.76160033358371604</v>
      </c>
      <c r="F33" s="10">
        <v>5.7142857139999998</v>
      </c>
      <c r="G33" s="1">
        <v>23.5</v>
      </c>
      <c r="H33" s="1">
        <v>23.5</v>
      </c>
      <c r="I33" s="1">
        <v>121.12197168</v>
      </c>
      <c r="J33" s="1">
        <v>53.783999999999999</v>
      </c>
      <c r="K33" s="2"/>
      <c r="L33" s="2"/>
      <c r="M33" s="1"/>
      <c r="N33" s="1"/>
      <c r="O33" s="1"/>
    </row>
    <row r="34" spans="2:16" x14ac:dyDescent="0.25">
      <c r="B34" s="11"/>
      <c r="C34" s="12"/>
      <c r="D34" s="12"/>
      <c r="E34" s="12"/>
      <c r="F34" s="11"/>
      <c r="G34" s="11"/>
      <c r="H34" s="11"/>
      <c r="K34" s="2"/>
      <c r="L34" s="2"/>
      <c r="M34" s="1"/>
      <c r="N34" s="1"/>
      <c r="O34" s="1"/>
    </row>
    <row r="35" spans="2:16" x14ac:dyDescent="0.25">
      <c r="B35" s="15" t="s">
        <v>2</v>
      </c>
      <c r="C35" s="1"/>
      <c r="D35" s="1"/>
      <c r="E35" s="1"/>
      <c r="F35" s="1"/>
      <c r="G35" s="13"/>
      <c r="H35" s="11"/>
      <c r="I35" s="1"/>
      <c r="J35" s="2"/>
      <c r="K35" s="2"/>
      <c r="L35" s="2"/>
      <c r="M35" s="6"/>
      <c r="N35" s="1"/>
      <c r="O35" s="1"/>
    </row>
    <row r="36" spans="2:16" ht="30" x14ac:dyDescent="0.25">
      <c r="B36" s="8" t="s">
        <v>10</v>
      </c>
      <c r="C36" s="8" t="s">
        <v>5</v>
      </c>
      <c r="D36" s="8" t="s">
        <v>6</v>
      </c>
      <c r="E36" s="8" t="s">
        <v>0</v>
      </c>
      <c r="F36" s="9" t="s">
        <v>11</v>
      </c>
      <c r="G36" s="18" t="s">
        <v>29</v>
      </c>
      <c r="H36" s="18" t="s">
        <v>30</v>
      </c>
      <c r="I36" s="16" t="s">
        <v>33</v>
      </c>
      <c r="J36" s="16" t="s">
        <v>34</v>
      </c>
      <c r="K36" s="2"/>
      <c r="L36" s="2"/>
      <c r="M36" s="6"/>
      <c r="N36" s="1"/>
      <c r="O36" s="1"/>
    </row>
    <row r="37" spans="2:16" x14ac:dyDescent="0.25">
      <c r="B37" s="1"/>
      <c r="C37" s="19"/>
      <c r="D37" s="19"/>
      <c r="E37" s="19"/>
      <c r="F37" s="10"/>
      <c r="G37" s="1"/>
      <c r="H37" s="10"/>
      <c r="K37" s="1"/>
      <c r="L37" s="1"/>
      <c r="M37" s="6"/>
      <c r="N37" s="1"/>
      <c r="O37" s="1"/>
    </row>
    <row r="38" spans="2:16" x14ac:dyDescent="0.25">
      <c r="B38" s="1"/>
      <c r="C38" s="19"/>
      <c r="D38" s="19"/>
      <c r="E38" s="19"/>
      <c r="F38" s="10"/>
      <c r="G38" s="1"/>
      <c r="H38" s="1"/>
      <c r="K38" s="1"/>
      <c r="L38" s="1"/>
      <c r="M38" s="6"/>
      <c r="N38" s="1"/>
      <c r="O38" s="1"/>
    </row>
    <row r="39" spans="2:16" x14ac:dyDescent="0.25">
      <c r="B39" s="1"/>
      <c r="C39" s="19"/>
      <c r="D39" s="19"/>
      <c r="E39" s="19"/>
      <c r="F39" s="10"/>
      <c r="G39" s="1"/>
      <c r="H39" s="1"/>
      <c r="I39" s="1"/>
      <c r="J39" s="1"/>
      <c r="K39" s="1"/>
      <c r="L39" s="1"/>
      <c r="M39" s="6"/>
      <c r="N39" s="1"/>
      <c r="O39" s="1"/>
    </row>
    <row r="40" spans="2:16" x14ac:dyDescent="0.25">
      <c r="B40" s="1"/>
      <c r="C40" s="19"/>
      <c r="D40" s="19"/>
      <c r="E40" s="19"/>
      <c r="F40" s="10"/>
      <c r="G40" s="1"/>
      <c r="H40" s="1"/>
      <c r="I40" s="1"/>
      <c r="J40" s="1"/>
      <c r="K40" s="1"/>
      <c r="L40" s="1"/>
      <c r="M40" s="6"/>
      <c r="N40" s="1"/>
      <c r="O40" s="1"/>
    </row>
    <row r="41" spans="2:16" x14ac:dyDescent="0.25">
      <c r="B41" s="1"/>
      <c r="C41" s="19"/>
      <c r="D41" s="19"/>
      <c r="E41" s="19"/>
      <c r="F41" s="10"/>
      <c r="G41" s="1"/>
      <c r="H41" s="1"/>
      <c r="I41" s="1"/>
      <c r="J41" s="1"/>
      <c r="K41" s="1"/>
      <c r="L41" s="1"/>
      <c r="M41" s="6"/>
      <c r="N41" s="1"/>
      <c r="O41" s="1"/>
    </row>
    <row r="42" spans="2:16" x14ac:dyDescent="0.25">
      <c r="B42" s="1"/>
      <c r="C42" s="19"/>
      <c r="D42" s="19"/>
      <c r="E42" s="19"/>
      <c r="F42" s="10"/>
      <c r="G42" s="1"/>
      <c r="H42" s="1"/>
      <c r="I42" s="1"/>
      <c r="J42" s="1"/>
      <c r="K42" s="1"/>
      <c r="L42" s="1"/>
      <c r="M42" s="6"/>
      <c r="N42" s="1"/>
      <c r="O42" s="1"/>
    </row>
    <row r="43" spans="2:16" x14ac:dyDescent="0.25">
      <c r="B43" s="1"/>
      <c r="C43" s="19"/>
      <c r="D43" s="19"/>
      <c r="E43" s="19"/>
      <c r="F43" s="10"/>
      <c r="G43" s="1"/>
      <c r="H43" s="1"/>
      <c r="I43" s="1"/>
      <c r="J43" s="1"/>
      <c r="K43" s="1"/>
      <c r="L43" s="1"/>
      <c r="M43" s="6"/>
      <c r="N43" s="1"/>
      <c r="O43" s="1"/>
    </row>
    <row r="44" spans="2:16" x14ac:dyDescent="0.25">
      <c r="B44" s="1"/>
      <c r="C44" s="19"/>
      <c r="D44" s="19"/>
      <c r="E44" s="19"/>
      <c r="F44" s="10"/>
      <c r="G44" s="1"/>
      <c r="H44" s="1"/>
      <c r="I44" s="1"/>
      <c r="J44" s="1"/>
      <c r="K44" s="11"/>
      <c r="L44" s="11"/>
      <c r="M44" s="11"/>
      <c r="N44" s="11"/>
      <c r="O44" s="11"/>
      <c r="P44" s="14"/>
    </row>
    <row r="45" spans="2:16" x14ac:dyDescent="0.25">
      <c r="B45" s="1"/>
      <c r="C45" s="19"/>
      <c r="D45" s="19"/>
      <c r="E45" s="19"/>
      <c r="F45" s="10"/>
      <c r="G45" s="1"/>
      <c r="H45" s="1"/>
      <c r="I45" s="1"/>
      <c r="J45" s="1"/>
      <c r="K45" s="11"/>
      <c r="L45" s="11"/>
      <c r="M45" s="11"/>
      <c r="N45" s="11"/>
      <c r="O45" s="11"/>
      <c r="P45" s="14"/>
    </row>
    <row r="46" spans="2:16" x14ac:dyDescent="0.25">
      <c r="B46" s="1"/>
      <c r="C46" s="19"/>
      <c r="D46" s="19"/>
      <c r="E46" s="19"/>
      <c r="F46" s="10"/>
      <c r="G46" s="1"/>
      <c r="H46" s="1"/>
      <c r="I46" s="1"/>
      <c r="J46" s="1"/>
      <c r="K46" s="12"/>
      <c r="L46" s="12"/>
      <c r="M46" s="12"/>
      <c r="N46" s="12"/>
      <c r="O46" s="11"/>
      <c r="P46" s="14"/>
    </row>
    <row r="47" spans="2:16" x14ac:dyDescent="0.25">
      <c r="B47" s="1"/>
      <c r="C47" s="19"/>
      <c r="D47" s="19"/>
      <c r="E47" s="19"/>
      <c r="F47" s="10"/>
      <c r="G47" s="1"/>
      <c r="H47" s="1"/>
      <c r="I47" s="1"/>
      <c r="J47" s="1"/>
      <c r="K47" s="12"/>
      <c r="L47" s="12"/>
      <c r="M47" s="12"/>
      <c r="N47" s="12"/>
      <c r="O47" s="11"/>
      <c r="P47" s="14"/>
    </row>
    <row r="48" spans="2:16" x14ac:dyDescent="0.25">
      <c r="B48" s="1"/>
      <c r="C48" s="19"/>
      <c r="D48" s="19"/>
      <c r="E48" s="19"/>
      <c r="F48" s="10"/>
      <c r="G48" s="1"/>
      <c r="H48" s="1"/>
      <c r="I48" s="1"/>
      <c r="J48" s="1"/>
      <c r="K48" s="12"/>
      <c r="L48" s="12"/>
      <c r="M48" s="12"/>
      <c r="N48" s="12"/>
      <c r="O48" s="11"/>
      <c r="P48" s="14"/>
    </row>
    <row r="49" spans="2:16" x14ac:dyDescent="0.25">
      <c r="B49" s="1"/>
      <c r="C49" s="19"/>
      <c r="D49" s="19"/>
      <c r="E49" s="19"/>
      <c r="F49" s="10"/>
      <c r="G49" s="1"/>
      <c r="H49" s="1"/>
      <c r="I49" s="1"/>
      <c r="J49" s="1"/>
      <c r="K49" s="12"/>
      <c r="L49" s="12"/>
      <c r="M49" s="12"/>
      <c r="N49" s="12"/>
      <c r="O49" s="11"/>
      <c r="P49" s="14"/>
    </row>
    <row r="50" spans="2:16" x14ac:dyDescent="0.25">
      <c r="B50" s="1"/>
      <c r="C50" s="19"/>
      <c r="D50" s="19"/>
      <c r="E50" s="19"/>
      <c r="F50" s="10"/>
      <c r="G50" s="1"/>
      <c r="H50" s="1"/>
      <c r="I50" s="1"/>
      <c r="J50" s="1"/>
      <c r="K50" s="12"/>
      <c r="L50" s="12"/>
      <c r="M50" s="12"/>
      <c r="N50" s="12"/>
      <c r="O50" s="11"/>
      <c r="P50" s="14"/>
    </row>
    <row r="51" spans="2:16" x14ac:dyDescent="0.25">
      <c r="B51" s="1"/>
      <c r="C51" s="19"/>
      <c r="D51" s="19"/>
      <c r="E51" s="19"/>
      <c r="F51" s="10"/>
      <c r="G51" s="1"/>
      <c r="K51" s="12"/>
      <c r="L51" s="12"/>
      <c r="M51" s="12"/>
      <c r="N51" s="12"/>
      <c r="O51" s="11"/>
      <c r="P51" s="14"/>
    </row>
    <row r="52" spans="2:16" x14ac:dyDescent="0.25">
      <c r="B52" s="1" t="s">
        <v>12</v>
      </c>
      <c r="C52" s="19">
        <v>1.0683907677478099</v>
      </c>
      <c r="D52" s="19">
        <v>0.74870138294766397</v>
      </c>
      <c r="E52" s="19">
        <v>6.5697545304297195E-2</v>
      </c>
      <c r="F52" s="1">
        <v>3.8290000000000002</v>
      </c>
      <c r="G52" s="1"/>
      <c r="H52" s="10"/>
      <c r="K52" s="12"/>
      <c r="L52" s="12"/>
      <c r="M52" s="12"/>
      <c r="N52" s="12"/>
      <c r="O52" s="11"/>
      <c r="P52" s="14"/>
    </row>
    <row r="53" spans="2:16" x14ac:dyDescent="0.25">
      <c r="B53" s="1" t="s">
        <v>13</v>
      </c>
      <c r="C53" s="19">
        <v>1.13117180110701</v>
      </c>
      <c r="D53" s="19">
        <v>1.1019405303793299</v>
      </c>
      <c r="E53" s="19">
        <v>0.132436068542756</v>
      </c>
      <c r="F53" s="1">
        <v>4.6630000000000003</v>
      </c>
      <c r="G53" s="1">
        <v>22</v>
      </c>
      <c r="H53" s="1"/>
      <c r="K53" s="12"/>
      <c r="L53" s="12"/>
      <c r="M53" s="12"/>
      <c r="N53" s="12"/>
      <c r="O53" s="11"/>
      <c r="P53" s="14"/>
    </row>
    <row r="54" spans="2:16" x14ac:dyDescent="0.25">
      <c r="B54" s="1" t="s">
        <v>14</v>
      </c>
      <c r="C54" s="19">
        <v>0.99421602518435603</v>
      </c>
      <c r="D54" s="19">
        <v>0.17884914222762199</v>
      </c>
      <c r="E54" s="19">
        <v>-4.2076076707890497E-3</v>
      </c>
      <c r="F54" s="1">
        <v>3.9940000000000002</v>
      </c>
      <c r="G54" s="1">
        <v>21.75</v>
      </c>
      <c r="H54" s="1"/>
      <c r="I54" s="1">
        <v>118.22733427999999</v>
      </c>
      <c r="J54" s="1">
        <v>60.710430000000002</v>
      </c>
      <c r="K54" s="12"/>
      <c r="L54" s="12"/>
      <c r="M54" s="12"/>
      <c r="N54" s="12"/>
      <c r="O54" s="11"/>
      <c r="P54" s="14"/>
    </row>
    <row r="55" spans="2:16" x14ac:dyDescent="0.25">
      <c r="B55" s="1" t="s">
        <v>15</v>
      </c>
      <c r="C55" s="19"/>
      <c r="D55" s="19"/>
      <c r="E55" s="19"/>
      <c r="F55" s="1"/>
      <c r="G55" s="1">
        <v>48.5</v>
      </c>
      <c r="H55" s="1">
        <v>48.5</v>
      </c>
      <c r="I55" s="1">
        <v>108.51115272</v>
      </c>
      <c r="J55" s="1">
        <v>45.71622</v>
      </c>
      <c r="K55" s="11"/>
      <c r="L55" s="11"/>
      <c r="M55" s="11"/>
      <c r="N55" s="11"/>
      <c r="O55" s="11"/>
      <c r="P55" s="14"/>
    </row>
    <row r="56" spans="2:16" x14ac:dyDescent="0.25">
      <c r="B56" s="1" t="s">
        <v>16</v>
      </c>
      <c r="C56" s="19">
        <v>1.0587750080951299</v>
      </c>
      <c r="D56" s="19">
        <v>0.662333397055619</v>
      </c>
      <c r="E56" s="19">
        <v>0.12430930853391101</v>
      </c>
      <c r="F56" s="1">
        <v>3.8860000000000001</v>
      </c>
      <c r="G56" s="1">
        <v>28.75</v>
      </c>
      <c r="H56" s="1">
        <v>28.75</v>
      </c>
      <c r="I56" s="1">
        <v>106.97060942</v>
      </c>
      <c r="J56" s="1">
        <v>46.063560000000003</v>
      </c>
      <c r="K56" s="14"/>
      <c r="L56" s="14"/>
      <c r="M56" s="14"/>
      <c r="N56" s="14"/>
      <c r="O56" s="14"/>
      <c r="P56" s="14"/>
    </row>
    <row r="57" spans="2:16" x14ac:dyDescent="0.25">
      <c r="B57" s="1" t="s">
        <v>17</v>
      </c>
      <c r="C57" s="19">
        <v>1.04764110720538</v>
      </c>
      <c r="D57" s="19">
        <v>1.10062768451704</v>
      </c>
      <c r="E57" s="19">
        <v>9.2876994447724404E-2</v>
      </c>
      <c r="F57" s="1">
        <v>3.7970000000000002</v>
      </c>
      <c r="G57" s="1">
        <v>21</v>
      </c>
      <c r="H57" s="1">
        <v>21</v>
      </c>
      <c r="I57" s="1">
        <v>113.72040256</v>
      </c>
      <c r="J57" s="1">
        <v>47.354999999999997</v>
      </c>
      <c r="K57" s="14"/>
      <c r="L57" s="14"/>
      <c r="M57" s="14"/>
      <c r="N57" s="14"/>
      <c r="O57" s="14"/>
      <c r="P57" s="14"/>
    </row>
    <row r="58" spans="2:16" x14ac:dyDescent="0.25">
      <c r="B58" s="1" t="s">
        <v>18</v>
      </c>
      <c r="C58" s="19">
        <v>1.1477045338510801</v>
      </c>
      <c r="D58" s="19">
        <v>0.97101599927504101</v>
      </c>
      <c r="E58" s="19">
        <v>8.3834633446242604E-2</v>
      </c>
      <c r="F58" s="1">
        <v>4.5410000000000004</v>
      </c>
      <c r="G58" s="1">
        <v>21.5</v>
      </c>
      <c r="H58" s="1"/>
      <c r="I58" s="1"/>
      <c r="J58" s="1"/>
    </row>
    <row r="59" spans="2:16" x14ac:dyDescent="0.25">
      <c r="B59" s="1" t="s">
        <v>19</v>
      </c>
      <c r="C59" s="19">
        <v>1.1126612766097499</v>
      </c>
      <c r="D59" s="19">
        <v>0.95380985457733503</v>
      </c>
      <c r="E59" s="19">
        <v>4.4857179056258203E-2</v>
      </c>
      <c r="F59" s="1">
        <v>3.456</v>
      </c>
      <c r="G59" s="1">
        <v>75</v>
      </c>
      <c r="H59" s="1">
        <v>96.5</v>
      </c>
      <c r="I59" s="1">
        <v>112.66319882000001</v>
      </c>
      <c r="J59" s="1">
        <v>101.105</v>
      </c>
    </row>
    <row r="60" spans="2:16" x14ac:dyDescent="0.25">
      <c r="B60" s="1" t="s">
        <v>20</v>
      </c>
      <c r="C60" s="19">
        <v>1.2530304455719099</v>
      </c>
      <c r="D60" s="19">
        <v>1.1029723476739599</v>
      </c>
      <c r="E60" s="19">
        <v>7.6664996000854094E-2</v>
      </c>
      <c r="F60" s="1">
        <v>4.681</v>
      </c>
      <c r="G60" s="1">
        <v>47.5</v>
      </c>
      <c r="H60" s="1">
        <v>47.5</v>
      </c>
      <c r="I60" s="1">
        <v>114.89097618</v>
      </c>
      <c r="J60" s="1">
        <v>44.466000000000001</v>
      </c>
    </row>
    <row r="61" spans="2:16" x14ac:dyDescent="0.25">
      <c r="B61" s="1" t="s">
        <v>21</v>
      </c>
      <c r="C61" s="19">
        <v>1.0813804129035001</v>
      </c>
      <c r="D61" s="19">
        <v>0.52079829390269505</v>
      </c>
      <c r="E61" s="19">
        <v>2.1219861817338499E-2</v>
      </c>
      <c r="F61" s="1">
        <v>4.9790000000000001</v>
      </c>
      <c r="G61" s="1">
        <v>23.5</v>
      </c>
      <c r="H61" s="1">
        <v>23.5</v>
      </c>
      <c r="I61" s="1">
        <v>116.55531655999999</v>
      </c>
      <c r="J61" s="1">
        <v>47.503</v>
      </c>
    </row>
    <row r="62" spans="2:16" x14ac:dyDescent="0.25">
      <c r="B62" s="1" t="s">
        <v>22</v>
      </c>
      <c r="C62" s="19">
        <v>1.2134925086481201</v>
      </c>
      <c r="D62" s="19">
        <v>0.94175163201491896</v>
      </c>
      <c r="E62" s="19">
        <v>8.5275451626537893E-2</v>
      </c>
      <c r="F62" s="1">
        <v>4.6879999999999997</v>
      </c>
      <c r="G62" s="1">
        <v>27.75</v>
      </c>
      <c r="H62" s="1"/>
      <c r="I62" s="1"/>
      <c r="J62" s="1"/>
    </row>
    <row r="63" spans="2:16" x14ac:dyDescent="0.25">
      <c r="B63" s="1" t="s">
        <v>23</v>
      </c>
      <c r="C63" s="19">
        <v>1.08380817355586</v>
      </c>
      <c r="D63" s="19">
        <v>0.28231733716004298</v>
      </c>
      <c r="E63" s="19">
        <v>3.1629539106965802E-2</v>
      </c>
      <c r="F63" s="1">
        <v>3.4780000000000002</v>
      </c>
      <c r="G63" s="1">
        <v>20</v>
      </c>
      <c r="H63" s="1">
        <v>47.75</v>
      </c>
      <c r="I63" s="1">
        <v>118.40602251999999</v>
      </c>
      <c r="J63" s="1">
        <v>54.055999999999997</v>
      </c>
    </row>
    <row r="64" spans="2:16" x14ac:dyDescent="0.25">
      <c r="B64" s="1" t="s">
        <v>24</v>
      </c>
      <c r="C64" s="19">
        <v>1.0367372638660399</v>
      </c>
      <c r="D64" s="19">
        <v>0.55097576187408004</v>
      </c>
      <c r="E64" s="19">
        <v>4.3964016574286002E-2</v>
      </c>
      <c r="F64" s="1">
        <v>4.0039999999999996</v>
      </c>
      <c r="G64" s="1">
        <v>23.75</v>
      </c>
      <c r="H64" s="1">
        <v>23.75</v>
      </c>
      <c r="I64" s="1">
        <v>115.75512236</v>
      </c>
      <c r="J64" s="1">
        <v>53.783999999999999</v>
      </c>
    </row>
    <row r="65" spans="2:24" x14ac:dyDescent="0.25">
      <c r="B65" s="1" t="s">
        <v>25</v>
      </c>
      <c r="C65" s="19">
        <v>1.1282134088167699</v>
      </c>
      <c r="D65" s="19">
        <v>0.99053604379690696</v>
      </c>
      <c r="E65" s="19">
        <v>5.3048699734524599E-2</v>
      </c>
      <c r="F65" s="1">
        <v>3.5750000000000002</v>
      </c>
      <c r="G65" s="1">
        <v>23.5</v>
      </c>
      <c r="H65" s="1">
        <v>23.5</v>
      </c>
      <c r="I65" s="1">
        <v>121.12197168</v>
      </c>
      <c r="J65" s="1">
        <v>53.783999999999999</v>
      </c>
    </row>
    <row r="67" spans="2:24" ht="45" x14ac:dyDescent="0.25">
      <c r="B67" s="1"/>
      <c r="C67" s="16" t="s">
        <v>27</v>
      </c>
      <c r="D67" s="16" t="s">
        <v>5</v>
      </c>
      <c r="E67" s="16" t="s">
        <v>6</v>
      </c>
      <c r="F67" s="16" t="s">
        <v>0</v>
      </c>
      <c r="G67" s="16" t="s">
        <v>7</v>
      </c>
      <c r="H67" s="16" t="s">
        <v>3</v>
      </c>
      <c r="I67" s="17" t="s">
        <v>28</v>
      </c>
      <c r="J67" s="18" t="s">
        <v>29</v>
      </c>
      <c r="K67" s="18" t="s">
        <v>30</v>
      </c>
      <c r="L67" s="16" t="s">
        <v>33</v>
      </c>
      <c r="M67" s="16" t="s">
        <v>34</v>
      </c>
      <c r="P67" s="16" t="s">
        <v>4</v>
      </c>
      <c r="Q67" s="16" t="s">
        <v>5</v>
      </c>
      <c r="R67" s="16" t="s">
        <v>6</v>
      </c>
      <c r="S67" s="16" t="s">
        <v>0</v>
      </c>
      <c r="T67" s="16" t="s">
        <v>7</v>
      </c>
      <c r="U67" s="16" t="s">
        <v>3</v>
      </c>
      <c r="V67" s="17" t="s">
        <v>35</v>
      </c>
      <c r="W67" s="20" t="s">
        <v>29</v>
      </c>
      <c r="X67" s="20" t="s">
        <v>30</v>
      </c>
    </row>
    <row r="68" spans="2:24" x14ac:dyDescent="0.25">
      <c r="B68" s="1" t="s">
        <v>31</v>
      </c>
      <c r="C68" s="1"/>
      <c r="D68" s="1"/>
      <c r="E68" s="6"/>
      <c r="F68" s="6"/>
      <c r="G68" s="6"/>
      <c r="H68" s="6"/>
      <c r="I68" s="19"/>
      <c r="J68" s="1"/>
      <c r="K68" s="10"/>
      <c r="P68" s="1"/>
      <c r="Q68" s="1"/>
      <c r="R68" s="6"/>
      <c r="S68" s="6"/>
      <c r="T68" s="6"/>
      <c r="U68" s="6"/>
      <c r="V68" s="6"/>
      <c r="W68" s="1"/>
      <c r="X68" s="10"/>
    </row>
    <row r="69" spans="2:24" x14ac:dyDescent="0.25">
      <c r="B69" s="1" t="s">
        <v>31</v>
      </c>
      <c r="C69" s="1"/>
      <c r="D69" s="6"/>
      <c r="E69" s="6"/>
      <c r="F69" s="6"/>
      <c r="G69" s="6"/>
      <c r="H69" s="6"/>
      <c r="I69" s="19"/>
      <c r="J69" s="1"/>
      <c r="K69" s="1"/>
      <c r="P69" s="1"/>
      <c r="Q69" s="2"/>
      <c r="R69" s="6"/>
      <c r="S69" s="6"/>
      <c r="T69" s="6"/>
      <c r="U69" s="6"/>
      <c r="V69" s="6"/>
      <c r="W69" s="1"/>
      <c r="X69" s="1"/>
    </row>
    <row r="70" spans="2:24" x14ac:dyDescent="0.25">
      <c r="B70" s="1" t="s">
        <v>31</v>
      </c>
      <c r="C70" s="1"/>
      <c r="D70" s="6"/>
      <c r="E70" s="6"/>
      <c r="F70" s="6"/>
      <c r="G70" s="6"/>
      <c r="H70" s="6"/>
      <c r="I70" s="19"/>
      <c r="J70" s="1"/>
      <c r="K70" s="1"/>
      <c r="L70" s="1"/>
      <c r="M70" s="1"/>
      <c r="P70" s="1"/>
      <c r="Q70" s="2"/>
      <c r="R70" s="6"/>
      <c r="S70" s="6"/>
      <c r="T70" s="6"/>
      <c r="U70" s="6"/>
      <c r="V70" s="6"/>
      <c r="W70" s="1"/>
      <c r="X70" s="1"/>
    </row>
    <row r="71" spans="2:24" x14ac:dyDescent="0.25">
      <c r="B71" s="1" t="s">
        <v>31</v>
      </c>
      <c r="C71" s="1"/>
      <c r="D71" s="6"/>
      <c r="E71" s="6"/>
      <c r="F71" s="6"/>
      <c r="G71" s="6"/>
      <c r="H71" s="6"/>
      <c r="I71" s="19"/>
      <c r="J71" s="1"/>
      <c r="K71" s="1"/>
      <c r="L71" s="1"/>
      <c r="M71" s="1"/>
      <c r="P71" s="1"/>
      <c r="Q71" s="2"/>
      <c r="R71" s="6"/>
      <c r="S71" s="6"/>
      <c r="T71" s="6"/>
      <c r="U71" s="6"/>
      <c r="V71" s="6"/>
      <c r="W71" s="1"/>
      <c r="X71" s="1"/>
    </row>
    <row r="72" spans="2:24" x14ac:dyDescent="0.25">
      <c r="B72" s="1" t="s">
        <v>31</v>
      </c>
      <c r="C72" s="1"/>
      <c r="D72" s="6"/>
      <c r="E72" s="6"/>
      <c r="F72" s="6"/>
      <c r="G72" s="6"/>
      <c r="H72" s="6"/>
      <c r="I72" s="19"/>
      <c r="J72" s="1"/>
      <c r="K72" s="1"/>
      <c r="L72" s="1"/>
      <c r="M72" s="1"/>
      <c r="P72" s="1"/>
      <c r="Q72" s="2"/>
      <c r="R72" s="6"/>
      <c r="S72" s="6"/>
      <c r="T72" s="6"/>
      <c r="U72" s="6"/>
      <c r="V72" s="6"/>
      <c r="W72" s="1"/>
      <c r="X72" s="1"/>
    </row>
    <row r="73" spans="2:24" x14ac:dyDescent="0.25">
      <c r="B73" s="1" t="s">
        <v>31</v>
      </c>
      <c r="C73" s="1"/>
      <c r="D73" s="6"/>
      <c r="E73" s="6"/>
      <c r="F73" s="6"/>
      <c r="G73" s="6"/>
      <c r="H73" s="6"/>
      <c r="I73" s="19"/>
      <c r="J73" s="1"/>
      <c r="K73" s="1"/>
      <c r="L73" s="1"/>
      <c r="M73" s="1"/>
      <c r="P73" s="1"/>
      <c r="Q73" s="2"/>
      <c r="R73" s="6"/>
      <c r="S73" s="6"/>
      <c r="T73" s="6"/>
      <c r="U73" s="6"/>
      <c r="V73" s="6"/>
      <c r="W73" s="1"/>
      <c r="X73" s="1"/>
    </row>
    <row r="74" spans="2:24" x14ac:dyDescent="0.25">
      <c r="B74" s="1" t="s">
        <v>31</v>
      </c>
      <c r="C74" s="1"/>
      <c r="D74" s="6"/>
      <c r="E74" s="6"/>
      <c r="F74" s="6"/>
      <c r="G74" s="6"/>
      <c r="H74" s="6"/>
      <c r="I74" s="19"/>
      <c r="J74" s="1"/>
      <c r="K74" s="1"/>
      <c r="L74" s="1"/>
      <c r="M74" s="1"/>
      <c r="P74" s="1"/>
      <c r="Q74" s="2"/>
      <c r="R74" s="6"/>
      <c r="S74" s="6"/>
      <c r="T74" s="6"/>
      <c r="U74" s="6"/>
      <c r="V74" s="6"/>
      <c r="W74" s="1"/>
      <c r="X74" s="1"/>
    </row>
    <row r="75" spans="2:24" x14ac:dyDescent="0.25">
      <c r="B75" s="1" t="s">
        <v>31</v>
      </c>
      <c r="C75" s="1"/>
      <c r="D75" s="6"/>
      <c r="E75" s="6"/>
      <c r="F75" s="6"/>
      <c r="G75" s="6"/>
      <c r="H75" s="6"/>
      <c r="I75" s="19"/>
      <c r="J75" s="1"/>
      <c r="K75" s="1"/>
      <c r="L75" s="1"/>
      <c r="M75" s="1"/>
      <c r="P75" s="1"/>
      <c r="Q75" s="2"/>
      <c r="R75" s="6"/>
      <c r="S75" s="6"/>
      <c r="T75" s="6"/>
      <c r="U75" s="6"/>
      <c r="V75" s="6"/>
      <c r="W75" s="1"/>
      <c r="X75" s="1"/>
    </row>
    <row r="76" spans="2:24" x14ac:dyDescent="0.25">
      <c r="B76" s="1" t="s">
        <v>31</v>
      </c>
      <c r="C76" s="1"/>
      <c r="D76" s="6"/>
      <c r="E76" s="6"/>
      <c r="F76" s="6"/>
      <c r="G76" s="6"/>
      <c r="H76" s="6"/>
      <c r="I76" s="19"/>
      <c r="J76" s="1"/>
      <c r="K76" s="1"/>
      <c r="L76" s="1"/>
      <c r="M76" s="1"/>
      <c r="P76" s="1"/>
      <c r="Q76" s="2"/>
      <c r="R76" s="6"/>
      <c r="S76" s="6"/>
      <c r="T76" s="6"/>
      <c r="U76" s="6"/>
      <c r="V76" s="6"/>
      <c r="W76" s="1"/>
      <c r="X76" s="1"/>
    </row>
    <row r="77" spans="2:24" x14ac:dyDescent="0.25">
      <c r="B77" s="1" t="s">
        <v>31</v>
      </c>
      <c r="C77" s="1"/>
      <c r="D77" s="6"/>
      <c r="E77" s="6"/>
      <c r="F77" s="6"/>
      <c r="G77" s="6"/>
      <c r="H77" s="6"/>
      <c r="I77" s="19"/>
      <c r="J77" s="1"/>
      <c r="K77" s="1"/>
      <c r="L77" s="1"/>
      <c r="M77" s="1"/>
      <c r="P77" s="1"/>
      <c r="Q77" s="2"/>
      <c r="R77" s="6"/>
      <c r="S77" s="6"/>
      <c r="T77" s="6"/>
      <c r="U77" s="6"/>
      <c r="V77" s="6"/>
      <c r="W77" s="1"/>
      <c r="X77" s="1"/>
    </row>
    <row r="78" spans="2:24" x14ac:dyDescent="0.25">
      <c r="B78" s="1" t="s">
        <v>31</v>
      </c>
      <c r="C78" s="1"/>
      <c r="D78" s="6"/>
      <c r="E78" s="6"/>
      <c r="F78" s="6"/>
      <c r="G78" s="6"/>
      <c r="H78" s="6"/>
      <c r="I78" s="19"/>
      <c r="J78" s="1"/>
      <c r="K78" s="1"/>
      <c r="L78" s="1"/>
      <c r="M78" s="1"/>
      <c r="P78" s="1"/>
      <c r="Q78" s="2"/>
      <c r="R78" s="6"/>
      <c r="S78" s="6"/>
      <c r="T78" s="6"/>
      <c r="U78" s="6"/>
      <c r="V78" s="6"/>
      <c r="W78" s="1"/>
      <c r="X78" s="1"/>
    </row>
    <row r="79" spans="2:24" x14ac:dyDescent="0.25">
      <c r="B79" s="1" t="s">
        <v>31</v>
      </c>
      <c r="C79" s="1"/>
      <c r="D79" s="6"/>
      <c r="E79" s="6"/>
      <c r="F79" s="6"/>
      <c r="G79" s="6"/>
      <c r="H79" s="6"/>
      <c r="I79" s="19"/>
      <c r="J79" s="1"/>
      <c r="K79" s="1"/>
      <c r="L79" s="1"/>
      <c r="M79" s="1"/>
      <c r="P79" s="1"/>
      <c r="Q79" s="2"/>
      <c r="R79" s="6"/>
      <c r="S79" s="6"/>
      <c r="T79" s="6"/>
      <c r="U79" s="6"/>
      <c r="V79" s="6"/>
      <c r="W79" s="1"/>
      <c r="X79" s="1"/>
    </row>
    <row r="80" spans="2:24" x14ac:dyDescent="0.25">
      <c r="B80" s="1" t="s">
        <v>31</v>
      </c>
      <c r="C80" s="1"/>
      <c r="D80" s="6"/>
      <c r="E80" s="6"/>
      <c r="F80" s="6"/>
      <c r="G80" s="6"/>
      <c r="H80" s="6"/>
      <c r="I80" s="19"/>
      <c r="J80" s="1"/>
      <c r="K80" s="1"/>
      <c r="L80" s="1"/>
      <c r="M80" s="1"/>
      <c r="P80" s="1"/>
      <c r="Q80" s="2"/>
      <c r="R80" s="6"/>
      <c r="S80" s="6"/>
      <c r="T80" s="6"/>
      <c r="U80" s="6"/>
      <c r="V80" s="6"/>
      <c r="W80" s="1"/>
      <c r="X80" s="1"/>
    </row>
    <row r="81" spans="2:24" x14ac:dyDescent="0.25">
      <c r="B81" s="1" t="s">
        <v>31</v>
      </c>
      <c r="C81" s="1"/>
      <c r="D81" s="6"/>
      <c r="E81" s="6"/>
      <c r="F81" s="6"/>
      <c r="G81" s="6"/>
      <c r="H81" s="6"/>
      <c r="I81" s="19"/>
      <c r="J81" s="1"/>
      <c r="K81" s="1"/>
      <c r="L81" s="1"/>
      <c r="M81" s="1"/>
      <c r="P81" s="1"/>
      <c r="Q81" s="2"/>
      <c r="R81" s="6"/>
      <c r="S81" s="6"/>
      <c r="T81" s="6"/>
      <c r="U81" s="6"/>
      <c r="V81" s="6"/>
      <c r="W81" s="1"/>
      <c r="X81" s="1"/>
    </row>
    <row r="82" spans="2:24" x14ac:dyDescent="0.25">
      <c r="B82" s="1" t="s">
        <v>31</v>
      </c>
      <c r="C82" s="1"/>
      <c r="D82" s="6"/>
      <c r="E82" s="6"/>
      <c r="F82" s="6"/>
      <c r="G82" s="6"/>
      <c r="H82" s="6"/>
      <c r="I82" s="19"/>
      <c r="J82" s="1"/>
      <c r="P82" s="1"/>
      <c r="Q82" s="2"/>
      <c r="R82" s="6"/>
      <c r="S82" s="6"/>
      <c r="T82" s="6"/>
      <c r="U82" s="6"/>
      <c r="V82" s="6"/>
      <c r="W82" s="1"/>
    </row>
    <row r="83" spans="2:24" x14ac:dyDescent="0.25">
      <c r="B83" s="1" t="s">
        <v>32</v>
      </c>
      <c r="C83" s="1" t="s">
        <v>12</v>
      </c>
      <c r="D83" s="6">
        <v>1.05849048577709</v>
      </c>
      <c r="E83" s="6">
        <v>-0.73582121336391904</v>
      </c>
      <c r="F83" s="6">
        <v>8.4573685986466099E-2</v>
      </c>
      <c r="G83" s="6">
        <v>-0.287259060209199</v>
      </c>
      <c r="H83" s="6">
        <v>-0.58797102878241003</v>
      </c>
      <c r="I83" s="6">
        <v>19.942087656000002</v>
      </c>
      <c r="J83" s="1"/>
      <c r="K83" s="10"/>
      <c r="P83" s="1" t="s">
        <v>12</v>
      </c>
      <c r="Q83" s="19">
        <v>0.45078352403799399</v>
      </c>
      <c r="R83" s="19">
        <v>-0.811886428716041</v>
      </c>
      <c r="S83" s="19">
        <v>-9.3763935417501706E-2</v>
      </c>
      <c r="T83" s="19">
        <v>-0.59242476500051999</v>
      </c>
      <c r="U83" s="19">
        <v>-0.69147766882403905</v>
      </c>
      <c r="V83" s="19">
        <v>0.91760478000000001</v>
      </c>
      <c r="W83" s="1"/>
      <c r="X83" s="10"/>
    </row>
    <row r="84" spans="2:24" x14ac:dyDescent="0.25">
      <c r="B84" s="1" t="s">
        <v>32</v>
      </c>
      <c r="C84" s="1" t="s">
        <v>13</v>
      </c>
      <c r="D84" s="6">
        <v>1.4368219825375701</v>
      </c>
      <c r="E84" s="6">
        <v>0.96854380596042999</v>
      </c>
      <c r="F84" s="6">
        <v>0.198594884621278</v>
      </c>
      <c r="G84" s="6">
        <v>0.27258911823182802</v>
      </c>
      <c r="H84" s="6">
        <v>0.46273610324349101</v>
      </c>
      <c r="I84" s="6">
        <v>27.006948699999999</v>
      </c>
      <c r="J84" s="1">
        <v>22</v>
      </c>
      <c r="K84" s="1"/>
      <c r="P84" s="1" t="s">
        <v>13</v>
      </c>
      <c r="Q84" s="19">
        <v>0.94043662960440699</v>
      </c>
      <c r="R84" s="19">
        <v>-0.54271122756527101</v>
      </c>
      <c r="S84" s="19">
        <v>-5.2796335197095298E-2</v>
      </c>
      <c r="T84" s="19">
        <v>-0.51710856794982696</v>
      </c>
      <c r="U84" s="19">
        <v>-0.70546594396719597</v>
      </c>
      <c r="V84" s="19">
        <v>0.96415406000000003</v>
      </c>
      <c r="W84" s="1">
        <v>22</v>
      </c>
      <c r="X84" s="1"/>
    </row>
    <row r="85" spans="2:24" x14ac:dyDescent="0.25">
      <c r="B85" s="1" t="s">
        <v>32</v>
      </c>
      <c r="C85" s="1" t="s">
        <v>14</v>
      </c>
      <c r="D85" s="6">
        <v>1.1632876834321</v>
      </c>
      <c r="E85" s="6">
        <v>0.91285830032378401</v>
      </c>
      <c r="F85" s="6">
        <v>6.8212961854365706E-2</v>
      </c>
      <c r="G85" s="6">
        <v>3.5537077624845197E-2</v>
      </c>
      <c r="H85" s="6">
        <v>0.22937370048900599</v>
      </c>
      <c r="I85" s="6">
        <v>17.163158299999999</v>
      </c>
      <c r="J85" s="1">
        <v>21.75</v>
      </c>
      <c r="K85" s="1"/>
      <c r="L85" s="1">
        <v>118.22733427999999</v>
      </c>
      <c r="M85" s="1">
        <v>60.710430000000002</v>
      </c>
      <c r="P85" s="1" t="s">
        <v>14</v>
      </c>
      <c r="Q85" s="19">
        <v>0.95863149267075098</v>
      </c>
      <c r="R85" s="19">
        <v>-0.67772868565601696</v>
      </c>
      <c r="S85" s="19">
        <v>-5.9125313303963402E-2</v>
      </c>
      <c r="T85" s="19">
        <v>-0.22388684560642999</v>
      </c>
      <c r="U85" s="19">
        <v>-0.31865749564567802</v>
      </c>
      <c r="V85" s="19">
        <v>0.87021844000000004</v>
      </c>
      <c r="W85" s="1">
        <v>21.75</v>
      </c>
      <c r="X85" s="1"/>
    </row>
    <row r="86" spans="2:24" x14ac:dyDescent="0.25">
      <c r="B86" s="1" t="s">
        <v>32</v>
      </c>
      <c r="C86" s="1" t="s">
        <v>15</v>
      </c>
      <c r="D86" s="6">
        <v>1.1661766362910899</v>
      </c>
      <c r="E86" s="6">
        <v>0.69952356032694896</v>
      </c>
      <c r="F86" s="6">
        <v>4.9611646415268197E-2</v>
      </c>
      <c r="G86" s="6">
        <v>2.5953044020623199E-2</v>
      </c>
      <c r="H86" s="6">
        <v>5.1311236293024601E-2</v>
      </c>
      <c r="I86" s="6">
        <v>11.844246328000001</v>
      </c>
      <c r="J86" s="1">
        <v>48.5</v>
      </c>
      <c r="K86" s="1">
        <v>48.5</v>
      </c>
      <c r="L86" s="1">
        <v>108.51115272</v>
      </c>
      <c r="M86" s="1">
        <v>45.71622</v>
      </c>
      <c r="P86" s="1" t="s">
        <v>15</v>
      </c>
      <c r="Q86" s="19">
        <v>0.98251699448728103</v>
      </c>
      <c r="R86" s="19">
        <v>-0.76078071695181804</v>
      </c>
      <c r="S86" s="19">
        <v>-4.1714957549384597E-2</v>
      </c>
      <c r="T86" s="19">
        <v>-0.48948097268950003</v>
      </c>
      <c r="U86" s="19">
        <v>-0.68365663642373098</v>
      </c>
      <c r="V86" s="19">
        <v>0.67463406000000004</v>
      </c>
      <c r="W86" s="1">
        <v>48.5</v>
      </c>
      <c r="X86" s="1">
        <v>48.5</v>
      </c>
    </row>
    <row r="87" spans="2:24" x14ac:dyDescent="0.25">
      <c r="B87" s="1" t="s">
        <v>32</v>
      </c>
      <c r="C87" s="1" t="s">
        <v>16</v>
      </c>
      <c r="D87" s="6">
        <v>1.1611078257792899</v>
      </c>
      <c r="E87" s="6">
        <v>0.97668665464899096</v>
      </c>
      <c r="F87" s="6">
        <v>0.107447815904682</v>
      </c>
      <c r="G87" s="6">
        <v>0.42120473230354999</v>
      </c>
      <c r="H87" s="6">
        <v>0.51748356145943097</v>
      </c>
      <c r="I87" s="6">
        <v>10.4846146</v>
      </c>
      <c r="J87" s="1">
        <v>28.75</v>
      </c>
      <c r="K87" s="1">
        <v>28.75</v>
      </c>
      <c r="L87" s="1">
        <v>106.97060942</v>
      </c>
      <c r="M87" s="1">
        <v>46.063560000000003</v>
      </c>
      <c r="P87" s="1" t="s">
        <v>16</v>
      </c>
      <c r="Q87" s="19">
        <v>1.0568614326035</v>
      </c>
      <c r="R87" s="19">
        <v>0.64678217889059297</v>
      </c>
      <c r="S87" s="19">
        <v>7.3340759088016003E-2</v>
      </c>
      <c r="T87" s="19">
        <v>0.25169140730518702</v>
      </c>
      <c r="U87" s="19">
        <v>0.491835866659809</v>
      </c>
      <c r="V87" s="19">
        <v>0.70251850000000005</v>
      </c>
      <c r="W87" s="1">
        <v>28.75</v>
      </c>
      <c r="X87" s="1">
        <v>28.75</v>
      </c>
    </row>
    <row r="88" spans="2:24" x14ac:dyDescent="0.25">
      <c r="B88" s="1" t="s">
        <v>32</v>
      </c>
      <c r="C88" s="1" t="s">
        <v>17</v>
      </c>
      <c r="D88" s="6">
        <v>1.2283054504143001</v>
      </c>
      <c r="E88" s="6">
        <v>0.33582626900186402</v>
      </c>
      <c r="F88" s="6">
        <v>0.39411883766970102</v>
      </c>
      <c r="G88" s="6">
        <v>0.156387959199389</v>
      </c>
      <c r="H88" s="6">
        <v>0.23252415029498999</v>
      </c>
      <c r="I88" s="6">
        <v>12.196904200000001</v>
      </c>
      <c r="J88" s="1">
        <v>21</v>
      </c>
      <c r="K88" s="1">
        <v>21</v>
      </c>
      <c r="L88" s="1">
        <v>113.72040256</v>
      </c>
      <c r="M88" s="1">
        <v>47.354999999999997</v>
      </c>
      <c r="P88" s="1" t="s">
        <v>17</v>
      </c>
      <c r="Q88" s="19">
        <v>1.03826719630338</v>
      </c>
      <c r="R88" s="19">
        <v>-0.15477977693324399</v>
      </c>
      <c r="S88" s="19">
        <v>7.1354925056258001E-3</v>
      </c>
      <c r="T88" s="19">
        <v>-0.367349220425781</v>
      </c>
      <c r="U88" s="19">
        <v>-0.40648853244771799</v>
      </c>
      <c r="V88" s="19">
        <v>0.78001461999999999</v>
      </c>
      <c r="W88" s="1">
        <v>21</v>
      </c>
      <c r="X88" s="1">
        <v>21</v>
      </c>
    </row>
    <row r="89" spans="2:24" x14ac:dyDescent="0.25">
      <c r="B89" s="1" t="s">
        <v>32</v>
      </c>
      <c r="C89" s="1" t="s">
        <v>18</v>
      </c>
      <c r="D89" s="6">
        <v>1.2985932043400299</v>
      </c>
      <c r="E89" s="6">
        <v>0.52794332050181203</v>
      </c>
      <c r="F89" s="6">
        <v>9.0698601563059603E-2</v>
      </c>
      <c r="G89" s="6">
        <v>8.6133318916628995E-2</v>
      </c>
      <c r="H89" s="6">
        <v>0.182064258836168</v>
      </c>
      <c r="I89" s="6">
        <v>15.053141999999999</v>
      </c>
      <c r="J89" s="1">
        <v>21.5</v>
      </c>
      <c r="K89" s="1"/>
      <c r="L89" s="1"/>
      <c r="M89" s="1"/>
      <c r="P89" s="1" t="s">
        <v>18</v>
      </c>
      <c r="Q89" s="19">
        <v>0.93867849021001804</v>
      </c>
      <c r="R89" s="19">
        <v>-0.86583274285189604</v>
      </c>
      <c r="S89" s="19">
        <v>-0.28463650723553102</v>
      </c>
      <c r="T89" s="19">
        <v>-0.16387797241242599</v>
      </c>
      <c r="U89" s="19">
        <v>-0.28853093635152299</v>
      </c>
      <c r="V89" s="19">
        <v>0.88951659999999999</v>
      </c>
      <c r="W89" s="1">
        <v>21.5</v>
      </c>
      <c r="X89" s="1"/>
    </row>
    <row r="90" spans="2:24" x14ac:dyDescent="0.25">
      <c r="B90" s="1" t="s">
        <v>32</v>
      </c>
      <c r="C90" s="1" t="s">
        <v>19</v>
      </c>
      <c r="D90" s="6">
        <v>1.25880991704892</v>
      </c>
      <c r="E90" s="6">
        <v>0.94081849763111403</v>
      </c>
      <c r="F90" s="6">
        <v>9.9852529707758195E-2</v>
      </c>
      <c r="G90" s="6">
        <v>0.14441306620899</v>
      </c>
      <c r="H90" s="6">
        <v>0.127313045897571</v>
      </c>
      <c r="I90" s="6">
        <v>10.8144344</v>
      </c>
      <c r="J90" s="1">
        <v>75</v>
      </c>
      <c r="K90" s="1">
        <v>96.5</v>
      </c>
      <c r="L90" s="1">
        <v>112.66319882000001</v>
      </c>
      <c r="M90" s="1">
        <v>101.105</v>
      </c>
      <c r="P90" s="1" t="s">
        <v>19</v>
      </c>
      <c r="Q90" s="19">
        <v>1.08896416336113</v>
      </c>
      <c r="R90" s="19">
        <v>0.61214631104569395</v>
      </c>
      <c r="S90" s="19">
        <v>-7.3287190867590401E-3</v>
      </c>
      <c r="T90" s="19">
        <v>7.0929531816344302E-2</v>
      </c>
      <c r="U90" s="19">
        <v>2.6686926823699001E-2</v>
      </c>
      <c r="V90" s="19">
        <v>2.5169402000000001</v>
      </c>
      <c r="W90" s="1">
        <v>75</v>
      </c>
      <c r="X90" s="1">
        <v>96.5</v>
      </c>
    </row>
    <row r="91" spans="2:24" x14ac:dyDescent="0.25">
      <c r="B91" s="1" t="s">
        <v>32</v>
      </c>
      <c r="C91" s="1" t="s">
        <v>20</v>
      </c>
      <c r="D91" s="6">
        <v>1.2914529576795399</v>
      </c>
      <c r="E91" s="6">
        <v>0.445945938664987</v>
      </c>
      <c r="F91" s="6">
        <v>5.5815481283492403E-2</v>
      </c>
      <c r="G91" s="6">
        <v>-2.5071828435610701E-2</v>
      </c>
      <c r="H91" s="6">
        <v>-6.0561861956973301E-2</v>
      </c>
      <c r="I91" s="6">
        <v>14.806100799999999</v>
      </c>
      <c r="J91" s="1">
        <v>47.5</v>
      </c>
      <c r="K91" s="1">
        <v>47.5</v>
      </c>
      <c r="L91" s="1">
        <v>114.89097618</v>
      </c>
      <c r="M91" s="1">
        <v>44.466000000000001</v>
      </c>
      <c r="P91" s="1" t="s">
        <v>20</v>
      </c>
      <c r="Q91" s="19">
        <v>1.18553177339745</v>
      </c>
      <c r="R91" s="19">
        <v>0.59208584316733603</v>
      </c>
      <c r="S91" s="19">
        <v>0.10941628444022999</v>
      </c>
      <c r="T91" s="19">
        <v>-8.2652311661493602E-2</v>
      </c>
      <c r="U91" s="19">
        <v>-0.14457153571433501</v>
      </c>
      <c r="V91" s="19">
        <v>2.1202784000000001</v>
      </c>
      <c r="W91" s="1">
        <v>47.5</v>
      </c>
      <c r="X91" s="1">
        <v>47.5</v>
      </c>
    </row>
    <row r="92" spans="2:24" x14ac:dyDescent="0.25">
      <c r="B92" s="1" t="s">
        <v>32</v>
      </c>
      <c r="C92" s="1" t="s">
        <v>21</v>
      </c>
      <c r="D92" s="6">
        <v>1.2886907903199001</v>
      </c>
      <c r="E92" s="6">
        <v>-0.136935986249347</v>
      </c>
      <c r="F92" s="6">
        <v>9.5391388976058394E-2</v>
      </c>
      <c r="G92" s="6">
        <v>-4.6773396023209401E-2</v>
      </c>
      <c r="H92" s="6">
        <v>-0.39859988725441597</v>
      </c>
      <c r="I92" s="6">
        <v>40.336936000000001</v>
      </c>
      <c r="J92" s="1">
        <v>23.5</v>
      </c>
      <c r="K92" s="1">
        <v>23.5</v>
      </c>
      <c r="L92" s="1">
        <v>116.55531655999999</v>
      </c>
      <c r="M92" s="1">
        <v>47.503</v>
      </c>
      <c r="P92" s="1" t="s">
        <v>21</v>
      </c>
      <c r="Q92" s="19">
        <v>1.0643830961710401</v>
      </c>
      <c r="R92" s="19">
        <v>0.74012064453311799</v>
      </c>
      <c r="S92" s="19">
        <v>-8.4675321487204705E-2</v>
      </c>
      <c r="T92" s="19">
        <v>-1.32723063904272E-2</v>
      </c>
      <c r="U92" s="19">
        <v>3.4508337465724501E-3</v>
      </c>
      <c r="V92" s="19">
        <v>1.5569007399999999</v>
      </c>
      <c r="W92" s="1">
        <v>23.5</v>
      </c>
      <c r="X92" s="1">
        <v>23.5</v>
      </c>
    </row>
    <row r="93" spans="2:24" x14ac:dyDescent="0.25">
      <c r="B93" s="1" t="s">
        <v>32</v>
      </c>
      <c r="C93" s="1" t="s">
        <v>22</v>
      </c>
      <c r="D93" s="6">
        <v>1.39612401914989</v>
      </c>
      <c r="E93" s="6">
        <v>0.97165157928161605</v>
      </c>
      <c r="F93" s="6">
        <v>9.9540545016305104E-2</v>
      </c>
      <c r="G93" s="6">
        <v>0.34044235934827199</v>
      </c>
      <c r="H93" s="6">
        <v>0.39047571029020101</v>
      </c>
      <c r="I93" s="6">
        <v>19.439147999999999</v>
      </c>
      <c r="J93" s="1">
        <v>27.75</v>
      </c>
      <c r="K93" s="1"/>
      <c r="L93" s="1"/>
      <c r="M93" s="1"/>
      <c r="P93" s="1" t="s">
        <v>22</v>
      </c>
      <c r="Q93" s="19">
        <v>1.0913993357873799</v>
      </c>
      <c r="R93" s="19">
        <v>0.62408685090742599</v>
      </c>
      <c r="S93" s="19">
        <v>-3.2911415817637998E-2</v>
      </c>
      <c r="T93" s="19">
        <v>0.135780500269543</v>
      </c>
      <c r="U93" s="19">
        <v>0.34605165591715997</v>
      </c>
      <c r="V93" s="19">
        <v>1.0782071600000001</v>
      </c>
      <c r="W93" s="1">
        <v>27.75</v>
      </c>
      <c r="X93" s="1"/>
    </row>
    <row r="94" spans="2:24" x14ac:dyDescent="0.25">
      <c r="B94" s="1" t="s">
        <v>32</v>
      </c>
      <c r="C94" s="1" t="s">
        <v>23</v>
      </c>
      <c r="D94" s="6">
        <v>1.15490049713987</v>
      </c>
      <c r="E94" s="6">
        <v>0.47813963463856402</v>
      </c>
      <c r="F94" s="6">
        <v>0.115227328160236</v>
      </c>
      <c r="G94" s="6">
        <v>0.11991903441809899</v>
      </c>
      <c r="H94" s="6">
        <v>0.21451548931331799</v>
      </c>
      <c r="I94" s="6">
        <v>13.531736435999999</v>
      </c>
      <c r="J94" s="1">
        <v>20</v>
      </c>
      <c r="K94" s="1">
        <v>47.75</v>
      </c>
      <c r="L94" s="1">
        <v>118.40602251999999</v>
      </c>
      <c r="M94" s="1">
        <v>54.055999999999997</v>
      </c>
      <c r="P94" s="1" t="s">
        <v>23</v>
      </c>
      <c r="Q94" s="19">
        <v>1.00259808767117</v>
      </c>
      <c r="R94" s="19">
        <v>0.25147892096544</v>
      </c>
      <c r="S94" s="19">
        <v>-4.46763074582908E-2</v>
      </c>
      <c r="T94" s="19">
        <v>-5.9627669242487899E-2</v>
      </c>
      <c r="U94" s="19">
        <v>5.9741205921352902E-2</v>
      </c>
      <c r="V94" s="19">
        <v>0.85047623999999999</v>
      </c>
      <c r="W94" s="1">
        <v>20</v>
      </c>
      <c r="X94" s="1">
        <v>47.75</v>
      </c>
    </row>
    <row r="95" spans="2:24" x14ac:dyDescent="0.25">
      <c r="B95" s="1" t="s">
        <v>32</v>
      </c>
      <c r="C95" s="1" t="s">
        <v>24</v>
      </c>
      <c r="D95" s="6">
        <v>1.6223687074200499</v>
      </c>
      <c r="E95" s="6">
        <v>0.74242380847501299</v>
      </c>
      <c r="F95" s="6">
        <v>0.157732693122626</v>
      </c>
      <c r="G95" s="6">
        <v>0.24344741431210701</v>
      </c>
      <c r="H95" s="6">
        <v>0.36717190942204098</v>
      </c>
      <c r="I95" s="6">
        <v>27.867789999999999</v>
      </c>
      <c r="J95" s="1">
        <v>23.75</v>
      </c>
      <c r="K95" s="1">
        <v>23.75</v>
      </c>
      <c r="L95" s="1">
        <v>115.75512236</v>
      </c>
      <c r="M95" s="1">
        <v>53.783999999999999</v>
      </c>
      <c r="P95" s="1" t="s">
        <v>24</v>
      </c>
      <c r="Q95" s="19">
        <v>1.0043452914566</v>
      </c>
      <c r="R95" s="19">
        <v>-2.3625782421043601E-2</v>
      </c>
      <c r="S95" s="19">
        <v>-1.53118918462132E-3</v>
      </c>
      <c r="T95" s="19">
        <v>-0.19809625651833401</v>
      </c>
      <c r="U95" s="19">
        <v>-0.33765036599230702</v>
      </c>
      <c r="V95" s="19">
        <v>0.9663117</v>
      </c>
      <c r="W95" s="1">
        <v>23.75</v>
      </c>
      <c r="X95" s="1">
        <v>23.75</v>
      </c>
    </row>
    <row r="96" spans="2:24" x14ac:dyDescent="0.25">
      <c r="B96" s="1" t="s">
        <v>32</v>
      </c>
      <c r="C96" s="1" t="s">
        <v>25</v>
      </c>
      <c r="D96" s="6">
        <v>1.4572146309152101</v>
      </c>
      <c r="E96" s="6">
        <v>0.80433038241724497</v>
      </c>
      <c r="F96" s="6">
        <v>0.121156039239802</v>
      </c>
      <c r="G96" s="6">
        <v>0.22398918216711</v>
      </c>
      <c r="H96" s="6">
        <v>0.39903109616354998</v>
      </c>
      <c r="I96" s="6">
        <v>16.916785999999998</v>
      </c>
      <c r="J96" s="1">
        <v>23.5</v>
      </c>
      <c r="K96" s="1">
        <v>23.5</v>
      </c>
      <c r="L96" s="1">
        <v>121.12197168</v>
      </c>
      <c r="M96" s="1">
        <v>53.783999999999999</v>
      </c>
      <c r="P96" s="1" t="s">
        <v>25</v>
      </c>
      <c r="Q96" s="19">
        <v>0.40870513477919201</v>
      </c>
      <c r="R96" s="19">
        <v>-0.95802365966780301</v>
      </c>
      <c r="S96" s="19">
        <v>-0.17920927988478999</v>
      </c>
      <c r="T96" s="19">
        <v>-0.425235161473629</v>
      </c>
      <c r="U96" s="19">
        <v>-0.63163315448990498</v>
      </c>
      <c r="V96" s="19">
        <v>2.6299551999999999</v>
      </c>
      <c r="W96" s="1">
        <v>23.5</v>
      </c>
      <c r="X96" s="1">
        <v>23.5</v>
      </c>
    </row>
    <row r="97" spans="16:22" x14ac:dyDescent="0.25">
      <c r="P97" s="1"/>
      <c r="Q97" s="19"/>
      <c r="R97" s="19"/>
      <c r="S97" s="19"/>
      <c r="T97" s="19"/>
      <c r="U97" s="19"/>
      <c r="V97" s="19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downstream</vt:lpstr>
      <vt:lpstr>upstream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Hucke, Nicole (huck4481@vandals.uidaho.edu)</dc:creator>
  <cp:lastModifiedBy>Hucke, Nicole (huck4481@vandals.uidaho.edu)</cp:lastModifiedBy>
  <dcterms:created xsi:type="dcterms:W3CDTF">2026-05-27T03:14:16Z</dcterms:created>
  <dcterms:modified xsi:type="dcterms:W3CDTF">2026-06-24T04:12:20Z</dcterms:modified>
</cp:coreProperties>
</file>