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charts/chart8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xl/charts/chart9.xml" ContentType="application/vnd.openxmlformats-officedocument.drawingml.chart+xml"/>
  <Override PartName="/xl/charts/style9.xml" ContentType="application/vnd.ms-office.chartstyle+xml"/>
  <Override PartName="/xl/charts/colors9.xml" ContentType="application/vnd.ms-office.chartcolorstyle+xml"/>
  <Override PartName="/xl/charts/chart10.xml" ContentType="application/vnd.openxmlformats-officedocument.drawingml.chart+xml"/>
  <Override PartName="/xl/charts/style10.xml" ContentType="application/vnd.ms-office.chartstyle+xml"/>
  <Override PartName="/xl/charts/colors10.xml" ContentType="application/vnd.ms-office.chartcolorstyle+xml"/>
  <Override PartName="/xl/charts/chart11.xml" ContentType="application/vnd.openxmlformats-officedocument.drawingml.chart+xml"/>
  <Override PartName="/xl/charts/style11.xml" ContentType="application/vnd.ms-office.chartstyle+xml"/>
  <Override PartName="/xl/charts/colors11.xml" ContentType="application/vnd.ms-office.chartcolorstyle+xml"/>
  <Override PartName="/xl/charts/chart12.xml" ContentType="application/vnd.openxmlformats-officedocument.drawingml.chart+xml"/>
  <Override PartName="/xl/charts/style12.xml" ContentType="application/vnd.ms-office.chartstyle+xml"/>
  <Override PartName="/xl/charts/colors12.xml" ContentType="application/vnd.ms-office.chartcolorstyle+xml"/>
  <Override PartName="/xl/charts/chart13.xml" ContentType="application/vnd.openxmlformats-officedocument.drawingml.chart+xml"/>
  <Override PartName="/xl/charts/style13.xml" ContentType="application/vnd.ms-office.chartstyle+xml"/>
  <Override PartName="/xl/charts/colors13.xml" ContentType="application/vnd.ms-office.chartcolorstyle+xml"/>
  <Override PartName="/xl/charts/chart14.xml" ContentType="application/vnd.openxmlformats-officedocument.drawingml.chart+xml"/>
  <Override PartName="/xl/charts/style14.xml" ContentType="application/vnd.ms-office.chartstyle+xml"/>
  <Override PartName="/xl/charts/colors14.xml" ContentType="application/vnd.ms-office.chartcolorstyle+xml"/>
  <Override PartName="/xl/charts/chart15.xml" ContentType="application/vnd.openxmlformats-officedocument.drawingml.chart+xml"/>
  <Override PartName="/xl/charts/style15.xml" ContentType="application/vnd.ms-office.chartstyle+xml"/>
  <Override PartName="/xl/charts/colors15.xml" ContentType="application/vnd.ms-office.chartcolorstyle+xml"/>
  <Override PartName="/xl/charts/chart16.xml" ContentType="application/vnd.openxmlformats-officedocument.drawingml.chart+xml"/>
  <Override PartName="/xl/charts/style16.xml" ContentType="application/vnd.ms-office.chartstyle+xml"/>
  <Override PartName="/xl/charts/colors16.xml" ContentType="application/vnd.ms-office.chartcolorstyle+xml"/>
  <Override PartName="/xl/charts/chart17.xml" ContentType="application/vnd.openxmlformats-officedocument.drawingml.chart+xml"/>
  <Override PartName="/xl/charts/style17.xml" ContentType="application/vnd.ms-office.chartstyle+xml"/>
  <Override PartName="/xl/charts/colors17.xml" ContentType="application/vnd.ms-office.chartcolorstyle+xml"/>
  <Override PartName="/xl/charts/chart18.xml" ContentType="application/vnd.openxmlformats-officedocument.drawingml.chart+xml"/>
  <Override PartName="/xl/charts/style18.xml" ContentType="application/vnd.ms-office.chartstyle+xml"/>
  <Override PartName="/xl/charts/colors18.xml" ContentType="application/vnd.ms-office.chartcolorstyle+xml"/>
  <Override PartName="/xl/charts/chart19.xml" ContentType="application/vnd.openxmlformats-officedocument.drawingml.chart+xml"/>
  <Override PartName="/xl/charts/style19.xml" ContentType="application/vnd.ms-office.chartstyle+xml"/>
  <Override PartName="/xl/charts/colors19.xml" ContentType="application/vnd.ms-office.chartcolorstyle+xml"/>
  <Override PartName="/xl/charts/chart20.xml" ContentType="application/vnd.openxmlformats-officedocument.drawingml.chart+xml"/>
  <Override PartName="/xl/charts/style20.xml" ContentType="application/vnd.ms-office.chartstyle+xml"/>
  <Override PartName="/xl/charts/colors20.xml" ContentType="application/vnd.ms-office.chartcolorstyle+xml"/>
  <Override PartName="/xl/charts/chart21.xml" ContentType="application/vnd.openxmlformats-officedocument.drawingml.chart+xml"/>
  <Override PartName="/xl/charts/style21.xml" ContentType="application/vnd.ms-office.chartstyle+xml"/>
  <Override PartName="/xl/charts/colors21.xml" ContentType="application/vnd.ms-office.chartcolorstyle+xml"/>
  <Override PartName="/xl/charts/chart22.xml" ContentType="application/vnd.openxmlformats-officedocument.drawingml.chart+xml"/>
  <Override PartName="/xl/charts/style22.xml" ContentType="application/vnd.ms-office.chartstyle+xml"/>
  <Override PartName="/xl/charts/colors22.xml" ContentType="application/vnd.ms-office.chartcolorstyle+xml"/>
  <Override PartName="/xl/charts/chart23.xml" ContentType="application/vnd.openxmlformats-officedocument.drawingml.chart+xml"/>
  <Override PartName="/xl/charts/style23.xml" ContentType="application/vnd.ms-office.chartstyle+xml"/>
  <Override PartName="/xl/charts/colors23.xml" ContentType="application/vnd.ms-office.chartcolorstyle+xml"/>
  <Override PartName="/xl/charts/chart24.xml" ContentType="application/vnd.openxmlformats-officedocument.drawingml.chart+xml"/>
  <Override PartName="/xl/charts/style24.xml" ContentType="application/vnd.ms-office.chartstyle+xml"/>
  <Override PartName="/xl/charts/colors24.xml" ContentType="application/vnd.ms-office.chartcolorstyle+xml"/>
  <Override PartName="/xl/charts/chart25.xml" ContentType="application/vnd.openxmlformats-officedocument.drawingml.chart+xml"/>
  <Override PartName="/xl/charts/style25.xml" ContentType="application/vnd.ms-office.chartstyle+xml"/>
  <Override PartName="/xl/charts/colors25.xml" ContentType="application/vnd.ms-office.chartcolorstyle+xml"/>
  <Override PartName="/xl/charts/chart26.xml" ContentType="application/vnd.openxmlformats-officedocument.drawingml.chart+xml"/>
  <Override PartName="/xl/charts/style26.xml" ContentType="application/vnd.ms-office.chartstyle+xml"/>
  <Override PartName="/xl/charts/colors26.xml" ContentType="application/vnd.ms-office.chartcolorstyle+xml"/>
  <Override PartName="/xl/charts/chart27.xml" ContentType="application/vnd.openxmlformats-officedocument.drawingml.chart+xml"/>
  <Override PartName="/xl/charts/style27.xml" ContentType="application/vnd.ms-office.chartstyle+xml"/>
  <Override PartName="/xl/charts/colors27.xml" ContentType="application/vnd.ms-office.chartcolorstyle+xml"/>
  <Override PartName="/xl/charts/chart28.xml" ContentType="application/vnd.openxmlformats-officedocument.drawingml.chart+xml"/>
  <Override PartName="/xl/charts/style28.xml" ContentType="application/vnd.ms-office.chartstyle+xml"/>
  <Override PartName="/xl/charts/colors28.xml" ContentType="application/vnd.ms-office.chartcolorstyle+xml"/>
  <Override PartName="/xl/charts/chart29.xml" ContentType="application/vnd.openxmlformats-officedocument.drawingml.chart+xml"/>
  <Override PartName="/xl/charts/style29.xml" ContentType="application/vnd.ms-office.chartstyle+xml"/>
  <Override PartName="/xl/charts/colors29.xml" ContentType="application/vnd.ms-office.chartcolorstyle+xml"/>
  <Override PartName="/xl/charts/chart30.xml" ContentType="application/vnd.openxmlformats-officedocument.drawingml.chart+xml"/>
  <Override PartName="/xl/charts/style30.xml" ContentType="application/vnd.ms-office.chartstyle+xml"/>
  <Override PartName="/xl/charts/colors30.xml" ContentType="application/vnd.ms-office.chartcolorstyle+xml"/>
  <Override PartName="/xl/charts/chart31.xml" ContentType="application/vnd.openxmlformats-officedocument.drawingml.chart+xml"/>
  <Override PartName="/xl/charts/style31.xml" ContentType="application/vnd.ms-office.chartstyle+xml"/>
  <Override PartName="/xl/charts/colors31.xml" ContentType="application/vnd.ms-office.chartcolorstyle+xml"/>
  <Override PartName="/xl/charts/chart32.xml" ContentType="application/vnd.openxmlformats-officedocument.drawingml.chart+xml"/>
  <Override PartName="/xl/charts/style32.xml" ContentType="application/vnd.ms-office.chartstyle+xml"/>
  <Override PartName="/xl/charts/colors32.xml" ContentType="application/vnd.ms-office.chartcolorstyle+xml"/>
  <Override PartName="/xl/drawings/drawing2.xml" ContentType="application/vnd.openxmlformats-officedocument.drawing+xml"/>
  <Override PartName="/xl/charts/chart33.xml" ContentType="application/vnd.openxmlformats-officedocument.drawingml.chart+xml"/>
  <Override PartName="/xl/charts/style33.xml" ContentType="application/vnd.ms-office.chartstyle+xml"/>
  <Override PartName="/xl/charts/colors33.xml" ContentType="application/vnd.ms-office.chartcolorstyle+xml"/>
  <Override PartName="/xl/charts/chart34.xml" ContentType="application/vnd.openxmlformats-officedocument.drawingml.chart+xml"/>
  <Override PartName="/xl/charts/style34.xml" ContentType="application/vnd.ms-office.chartstyle+xml"/>
  <Override PartName="/xl/charts/colors34.xml" ContentType="application/vnd.ms-office.chartcolorstyle+xml"/>
  <Override PartName="/xl/charts/chart35.xml" ContentType="application/vnd.openxmlformats-officedocument.drawingml.chart+xml"/>
  <Override PartName="/xl/charts/style35.xml" ContentType="application/vnd.ms-office.chartstyle+xml"/>
  <Override PartName="/xl/charts/colors35.xml" ContentType="application/vnd.ms-office.chartcolorstyle+xml"/>
  <Override PartName="/xl/charts/chart36.xml" ContentType="application/vnd.openxmlformats-officedocument.drawingml.chart+xml"/>
  <Override PartName="/xl/charts/style36.xml" ContentType="application/vnd.ms-office.chartstyle+xml"/>
  <Override PartName="/xl/charts/colors36.xml" ContentType="application/vnd.ms-office.chartcolorstyle+xml"/>
  <Override PartName="/xl/charts/chart37.xml" ContentType="application/vnd.openxmlformats-officedocument.drawingml.chart+xml"/>
  <Override PartName="/xl/charts/style37.xml" ContentType="application/vnd.ms-office.chartstyle+xml"/>
  <Override PartName="/xl/charts/colors37.xml" ContentType="application/vnd.ms-office.chartcolorstyle+xml"/>
  <Override PartName="/xl/charts/chart38.xml" ContentType="application/vnd.openxmlformats-officedocument.drawingml.chart+xml"/>
  <Override PartName="/xl/charts/style38.xml" ContentType="application/vnd.ms-office.chartstyle+xml"/>
  <Override PartName="/xl/charts/colors38.xml" ContentType="application/vnd.ms-office.chartcolorstyle+xml"/>
  <Override PartName="/xl/charts/chart39.xml" ContentType="application/vnd.openxmlformats-officedocument.drawingml.chart+xml"/>
  <Override PartName="/xl/charts/style39.xml" ContentType="application/vnd.ms-office.chartstyle+xml"/>
  <Override PartName="/xl/charts/colors39.xml" ContentType="application/vnd.ms-office.chartcolorstyle+xml"/>
  <Override PartName="/xl/charts/chart40.xml" ContentType="application/vnd.openxmlformats-officedocument.drawingml.chart+xml"/>
  <Override PartName="/xl/charts/style40.xml" ContentType="application/vnd.ms-office.chartstyle+xml"/>
  <Override PartName="/xl/charts/colors40.xml" ContentType="application/vnd.ms-office.chartcolorstyle+xml"/>
  <Override PartName="/xl/drawings/drawing3.xml" ContentType="application/vnd.openxmlformats-officedocument.drawing+xml"/>
  <Override PartName="/xl/charts/chart41.xml" ContentType="application/vnd.openxmlformats-officedocument.drawingml.chart+xml"/>
  <Override PartName="/xl/charts/style41.xml" ContentType="application/vnd.ms-office.chartstyle+xml"/>
  <Override PartName="/xl/charts/colors41.xml" ContentType="application/vnd.ms-office.chartcolorstyle+xml"/>
  <Override PartName="/xl/charts/chart42.xml" ContentType="application/vnd.openxmlformats-officedocument.drawingml.chart+xml"/>
  <Override PartName="/xl/charts/style42.xml" ContentType="application/vnd.ms-office.chartstyle+xml"/>
  <Override PartName="/xl/charts/colors42.xml" ContentType="application/vnd.ms-office.chartcolorstyle+xml"/>
  <Override PartName="/xl/charts/chart43.xml" ContentType="application/vnd.openxmlformats-officedocument.drawingml.chart+xml"/>
  <Override PartName="/xl/charts/style43.xml" ContentType="application/vnd.ms-office.chartstyle+xml"/>
  <Override PartName="/xl/charts/colors43.xml" ContentType="application/vnd.ms-office.chartcolorstyle+xml"/>
  <Override PartName="/xl/charts/chart44.xml" ContentType="application/vnd.openxmlformats-officedocument.drawingml.chart+xml"/>
  <Override PartName="/xl/charts/style44.xml" ContentType="application/vnd.ms-office.chartstyle+xml"/>
  <Override PartName="/xl/charts/colors44.xml" ContentType="application/vnd.ms-office.chartcolorstyle+xml"/>
  <Override PartName="/xl/charts/chart45.xml" ContentType="application/vnd.openxmlformats-officedocument.drawingml.chart+xml"/>
  <Override PartName="/xl/charts/style45.xml" ContentType="application/vnd.ms-office.chartstyle+xml"/>
  <Override PartName="/xl/charts/colors45.xml" ContentType="application/vnd.ms-office.chartcolorstyle+xml"/>
  <Override PartName="/xl/charts/chart46.xml" ContentType="application/vnd.openxmlformats-officedocument.drawingml.chart+xml"/>
  <Override PartName="/xl/charts/style46.xml" ContentType="application/vnd.ms-office.chartstyle+xml"/>
  <Override PartName="/xl/charts/colors46.xml" ContentType="application/vnd.ms-office.chartcolorstyle+xml"/>
  <Override PartName="/xl/charts/chart47.xml" ContentType="application/vnd.openxmlformats-officedocument.drawingml.chart+xml"/>
  <Override PartName="/xl/charts/style47.xml" ContentType="application/vnd.ms-office.chartstyle+xml"/>
  <Override PartName="/xl/charts/colors47.xml" ContentType="application/vnd.ms-office.chartcolorstyle+xml"/>
  <Override PartName="/xl/charts/chart48.xml" ContentType="application/vnd.openxmlformats-officedocument.drawingml.chart+xml"/>
  <Override PartName="/xl/charts/style48.xml" ContentType="application/vnd.ms-office.chartstyle+xml"/>
  <Override PartName="/xl/charts/colors48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nicol\Documents\hysteresis\correlations\HI_tauc\"/>
    </mc:Choice>
  </mc:AlternateContent>
  <xr:revisionPtr revIDLastSave="0" documentId="13_ncr:1_{8C959181-1FB1-4F58-8E97-428B01D96715}" xr6:coauthVersionLast="47" xr6:coauthVersionMax="47" xr10:uidLastSave="{00000000-0000-0000-0000-000000000000}"/>
  <bookViews>
    <workbookView xWindow="-120" yWindow="-120" windowWidth="29040" windowHeight="15720" tabRatio="586" xr2:uid="{867610DC-2157-4A8B-BAD4-C3624B9432BC}"/>
  </bookViews>
  <sheets>
    <sheet name="all" sheetId="1" r:id="rId1"/>
    <sheet name="downstream" sheetId="3" r:id="rId2"/>
    <sheet name="upstream" sheetId="4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M7" i="1" l="1"/>
  <c r="O70" i="1" s="1"/>
  <c r="M8" i="1"/>
  <c r="O71" i="1" s="1"/>
  <c r="M9" i="1"/>
  <c r="O72" i="1" s="1"/>
  <c r="M10" i="1"/>
  <c r="O73" i="1" s="1"/>
  <c r="M12" i="1"/>
  <c r="O75" i="1" s="1"/>
  <c r="M13" i="1"/>
  <c r="O76" i="1" s="1"/>
  <c r="M14" i="1"/>
  <c r="O77" i="1" s="1"/>
  <c r="M16" i="1"/>
  <c r="O79" i="1" s="1"/>
  <c r="M17" i="1"/>
  <c r="O80" i="1" s="1"/>
  <c r="M18" i="1"/>
  <c r="O81" i="1" s="1"/>
  <c r="M22" i="1"/>
  <c r="O85" i="1" s="1"/>
  <c r="M23" i="1"/>
  <c r="O86" i="1" s="1"/>
  <c r="M24" i="1"/>
  <c r="O87" i="1" s="1"/>
  <c r="M25" i="1"/>
  <c r="O88" i="1" s="1"/>
  <c r="M27" i="1"/>
  <c r="O90" i="1" s="1"/>
  <c r="M28" i="1"/>
  <c r="O91" i="1" s="1"/>
  <c r="M29" i="1"/>
  <c r="O92" i="1" s="1"/>
  <c r="M31" i="1"/>
  <c r="O94" i="1" s="1"/>
  <c r="M32" i="1"/>
  <c r="O95" i="1" s="1"/>
  <c r="M33" i="1"/>
  <c r="O96" i="1" s="1"/>
</calcChain>
</file>

<file path=xl/sharedStrings.xml><?xml version="1.0" encoding="utf-8"?>
<sst xmlns="http://schemas.openxmlformats.org/spreadsheetml/2006/main" count="425" uniqueCount="42">
  <si>
    <t xml:space="preserve">Aich (2014) </t>
  </si>
  <si>
    <t>SSC (mg/L)</t>
  </si>
  <si>
    <t>DOC (mg/L)</t>
  </si>
  <si>
    <t>Lawler Adapted</t>
  </si>
  <si>
    <t>fDOM RFU</t>
  </si>
  <si>
    <t>Langlois (2005)</t>
  </si>
  <si>
    <t>Lawler (2006)</t>
  </si>
  <si>
    <t>Lloyd (2016)</t>
  </si>
  <si>
    <t>Clockwise</t>
  </si>
  <si>
    <t>Counter-Clockwise</t>
  </si>
  <si>
    <t>Event</t>
  </si>
  <si>
    <t>Peak concentration (mg/L)</t>
  </si>
  <si>
    <t>Event_1</t>
  </si>
  <si>
    <t>Event_2</t>
  </si>
  <si>
    <t>Event_3</t>
  </si>
  <si>
    <t>Event_4</t>
  </si>
  <si>
    <t>Event_5</t>
  </si>
  <si>
    <t>Event_6</t>
  </si>
  <si>
    <t>Event_7</t>
  </si>
  <si>
    <t>Event_8</t>
  </si>
  <si>
    <t>Event_9</t>
  </si>
  <si>
    <t>Event_10</t>
  </si>
  <si>
    <t>Event_11</t>
  </si>
  <si>
    <t>Event_12</t>
  </si>
  <si>
    <t>Event_13</t>
  </si>
  <si>
    <t>Event_14</t>
  </si>
  <si>
    <t>Event_15</t>
  </si>
  <si>
    <t>Turnidity NTU</t>
  </si>
  <si>
    <t>Peak concentration (NTU)</t>
  </si>
  <si>
    <r>
      <t xml:space="preserve">Time between events (no </t>
    </r>
    <r>
      <rPr>
        <b/>
        <sz val="10"/>
        <color theme="1"/>
        <rFont val="Aptos"/>
        <family val="2"/>
        <charset val="1"/>
      </rPr>
      <t>τ</t>
    </r>
    <r>
      <rPr>
        <b/>
        <sz val="10"/>
        <color theme="1"/>
        <rFont val="Aptos Narrow"/>
        <family val="2"/>
      </rPr>
      <t>c exceedance)</t>
    </r>
    <r>
      <rPr>
        <b/>
        <sz val="10"/>
        <color theme="1"/>
        <rFont val="Aptos Narrow"/>
        <family val="2"/>
        <scheme val="minor"/>
      </rPr>
      <t xml:space="preserve"> (hrs)</t>
    </r>
  </si>
  <si>
    <t>Time between events τc exceedance (hrs)</t>
  </si>
  <si>
    <t>D</t>
  </si>
  <si>
    <t>U</t>
  </si>
  <si>
    <t>τc50</t>
  </si>
  <si>
    <t>Dmax</t>
  </si>
  <si>
    <t>Peak concentration (RFU)</t>
  </si>
  <si>
    <r>
      <t xml:space="preserve">Peak </t>
    </r>
    <r>
      <rPr>
        <b/>
        <sz val="11"/>
        <color theme="1"/>
        <rFont val="Aptos"/>
        <family val="2"/>
      </rPr>
      <t>τ</t>
    </r>
  </si>
  <si>
    <r>
      <rPr>
        <b/>
        <sz val="11"/>
        <color theme="1"/>
        <rFont val="Aptos"/>
        <family val="2"/>
      </rPr>
      <t>τ</t>
    </r>
    <r>
      <rPr>
        <b/>
        <sz val="11"/>
        <color theme="1"/>
        <rFont val="Aptos Narrow"/>
        <family val="2"/>
      </rPr>
      <t xml:space="preserve">peak / </t>
    </r>
    <r>
      <rPr>
        <b/>
        <sz val="11"/>
        <color theme="1"/>
        <rFont val="Aptos"/>
        <family val="2"/>
      </rPr>
      <t>τ</t>
    </r>
    <r>
      <rPr>
        <b/>
        <sz val="11"/>
        <color theme="1"/>
        <rFont val="Aptos Narrow"/>
        <family val="2"/>
      </rPr>
      <t>c</t>
    </r>
  </si>
  <si>
    <t>τc50 (exceedance)</t>
  </si>
  <si>
    <r>
      <t xml:space="preserve">Time </t>
    </r>
    <r>
      <rPr>
        <b/>
        <sz val="11"/>
        <color theme="1"/>
        <rFont val="Aptos"/>
        <family val="2"/>
      </rPr>
      <t>τ &gt; τc</t>
    </r>
    <r>
      <rPr>
        <b/>
        <sz val="11"/>
        <color theme="1"/>
        <rFont val="Aptos Narrow"/>
        <family val="2"/>
        <scheme val="minor"/>
      </rPr>
      <t xml:space="preserve"> (hrs)</t>
    </r>
  </si>
  <si>
    <t>Excess Integral</t>
  </si>
  <si>
    <t>Excess Balance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</si>
</sst>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0.0000000"/>
    <numFmt numFmtId="165" formatCode="0.00000"/>
    <numFmt numFmtId="166" formatCode="0.0000"/>
    <numFmt numFmtId="167" formatCode="0.000"/>
  </numFmts>
  <fonts count="7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0"/>
      <color theme="1"/>
      <name val="Aptos Narrow"/>
      <family val="2"/>
      <scheme val="minor"/>
    </font>
    <font>
      <b/>
      <sz val="10"/>
      <color theme="1"/>
      <name val="Aptos"/>
      <family val="2"/>
      <charset val="1"/>
    </font>
    <font>
      <b/>
      <sz val="10"/>
      <color theme="1"/>
      <name val="Aptos Narrow"/>
      <family val="2"/>
    </font>
    <font>
      <b/>
      <sz val="11"/>
      <color theme="1"/>
      <name val="Aptos"/>
      <family val="2"/>
    </font>
    <font>
      <b/>
      <sz val="11"/>
      <color theme="1"/>
      <name val="Aptos Narrow"/>
      <family val="2"/>
    </font>
  </fonts>
  <fills count="4">
    <fill>
      <patternFill patternType="none"/>
    </fill>
    <fill>
      <patternFill patternType="gray125"/>
    </fill>
    <fill>
      <patternFill patternType="solid">
        <fgColor theme="9" tint="0.79998168889431442"/>
        <bgColor indexed="64"/>
      </patternFill>
    </fill>
    <fill>
      <patternFill patternType="solid">
        <fgColor theme="5" tint="0.79998168889431442"/>
        <bgColor indexed="64"/>
      </patternFill>
    </fill>
  </fills>
  <borders count="2">
    <border>
      <left/>
      <right/>
      <top/>
      <bottom/>
      <diagonal/>
    </border>
    <border>
      <left/>
      <right/>
      <top/>
      <bottom style="thin">
        <color indexed="64"/>
      </bottom>
      <diagonal/>
    </border>
  </borders>
  <cellStyleXfs count="1">
    <xf numFmtId="0" fontId="0" fillId="0" borderId="0"/>
  </cellStyleXfs>
  <cellXfs count="20">
    <xf numFmtId="0" fontId="0" fillId="0" borderId="0" xfId="0"/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0" fontId="0" fillId="0" borderId="0" xfId="0" applyAlignment="1">
      <alignment horizontal="left"/>
    </xf>
    <xf numFmtId="0" fontId="0" fillId="2" borderId="0" xfId="0" applyFill="1" applyAlignment="1">
      <alignment horizontal="left"/>
    </xf>
    <xf numFmtId="0" fontId="0" fillId="3" borderId="0" xfId="0" applyFill="1" applyAlignment="1">
      <alignment horizontal="left"/>
    </xf>
    <xf numFmtId="166" fontId="0" fillId="0" borderId="0" xfId="0" applyNumberFormat="1" applyAlignment="1">
      <alignment horizontal="center"/>
    </xf>
    <xf numFmtId="164" fontId="0" fillId="0" borderId="0" xfId="0" applyNumberFormat="1" applyAlignment="1">
      <alignment horizontal="center"/>
    </xf>
    <xf numFmtId="0" fontId="1" fillId="0" borderId="1" xfId="0" applyFont="1" applyBorder="1" applyAlignment="1">
      <alignment horizontal="center"/>
    </xf>
    <xf numFmtId="0" fontId="1" fillId="0" borderId="1" xfId="0" applyFont="1" applyBorder="1" applyAlignment="1">
      <alignment horizontal="center" wrapText="1"/>
    </xf>
    <xf numFmtId="2" fontId="0" fillId="0" borderId="0" xfId="0" applyNumberFormat="1" applyAlignment="1">
      <alignment horizontal="center"/>
    </xf>
    <xf numFmtId="0" fontId="1" fillId="0" borderId="0" xfId="0" applyFont="1" applyAlignment="1">
      <alignment horizontal="center"/>
    </xf>
    <xf numFmtId="0" fontId="1" fillId="0" borderId="1" xfId="0" applyFont="1" applyBorder="1" applyAlignment="1">
      <alignment horizontal="center" vertical="center"/>
    </xf>
    <xf numFmtId="0" fontId="1" fillId="0" borderId="1" xfId="0" applyFont="1" applyBorder="1" applyAlignment="1">
      <alignment horizontal="center" vertical="center" wrapText="1"/>
    </xf>
    <xf numFmtId="0" fontId="2" fillId="0" borderId="1" xfId="0" applyFont="1" applyBorder="1" applyAlignment="1">
      <alignment horizontal="center" wrapText="1"/>
    </xf>
    <xf numFmtId="167" fontId="0" fillId="0" borderId="0" xfId="0" applyNumberFormat="1" applyAlignment="1">
      <alignment horizontal="center"/>
    </xf>
    <xf numFmtId="0" fontId="2" fillId="0" borderId="1" xfId="0" applyFont="1" applyBorder="1" applyAlignment="1">
      <alignment horizontal="center" vertical="center" wrapText="1"/>
    </xf>
    <xf numFmtId="0" fontId="6" fillId="0" borderId="1" xfId="0" applyFont="1" applyBorder="1" applyAlignment="1">
      <alignment horizontal="center" vertical="center"/>
    </xf>
    <xf numFmtId="165" fontId="0" fillId="0" borderId="0" xfId="0" applyNumberFormat="1"/>
    <xf numFmtId="165" fontId="1" fillId="0" borderId="1" xfId="0" applyNumberFormat="1" applyFont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_rels/chart9.xml.rels><?xml version="1.0" encoding="UTF-8" standalone="yes"?>
<Relationships xmlns="http://schemas.openxmlformats.org/package/2006/relationships"><Relationship Id="rId2" Type="http://schemas.microsoft.com/office/2011/relationships/chartColorStyle" Target="colors9.xml"/><Relationship Id="rId1" Type="http://schemas.microsoft.com/office/2011/relationships/chartStyle" Target="style9.xml"/></Relationships>
</file>

<file path=xl/charts/_rels/chart10.xml.rels><?xml version="1.0" encoding="UTF-8" standalone="yes"?>
<Relationships xmlns="http://schemas.openxmlformats.org/package/2006/relationships"><Relationship Id="rId2" Type="http://schemas.microsoft.com/office/2011/relationships/chartColorStyle" Target="colors10.xml"/><Relationship Id="rId1" Type="http://schemas.microsoft.com/office/2011/relationships/chartStyle" Target="style10.xml"/></Relationships>
</file>

<file path=xl/charts/_rels/chart11.xml.rels><?xml version="1.0" encoding="UTF-8" standalone="yes"?>
<Relationships xmlns="http://schemas.openxmlformats.org/package/2006/relationships"><Relationship Id="rId2" Type="http://schemas.microsoft.com/office/2011/relationships/chartColorStyle" Target="colors11.xml"/><Relationship Id="rId1" Type="http://schemas.microsoft.com/office/2011/relationships/chartStyle" Target="style11.xml"/></Relationships>
</file>

<file path=xl/charts/_rels/chart12.xml.rels><?xml version="1.0" encoding="UTF-8" standalone="yes"?>
<Relationships xmlns="http://schemas.openxmlformats.org/package/2006/relationships"><Relationship Id="rId2" Type="http://schemas.microsoft.com/office/2011/relationships/chartColorStyle" Target="colors12.xml"/><Relationship Id="rId1" Type="http://schemas.microsoft.com/office/2011/relationships/chartStyle" Target="style12.xml"/></Relationships>
</file>

<file path=xl/charts/_rels/chart13.xml.rels><?xml version="1.0" encoding="UTF-8" standalone="yes"?>
<Relationships xmlns="http://schemas.openxmlformats.org/package/2006/relationships"><Relationship Id="rId2" Type="http://schemas.microsoft.com/office/2011/relationships/chartColorStyle" Target="colors13.xml"/><Relationship Id="rId1" Type="http://schemas.microsoft.com/office/2011/relationships/chartStyle" Target="style13.xml"/></Relationships>
</file>

<file path=xl/charts/_rels/chart14.xml.rels><?xml version="1.0" encoding="UTF-8" standalone="yes"?>
<Relationships xmlns="http://schemas.openxmlformats.org/package/2006/relationships"><Relationship Id="rId2" Type="http://schemas.microsoft.com/office/2011/relationships/chartColorStyle" Target="colors14.xml"/><Relationship Id="rId1" Type="http://schemas.microsoft.com/office/2011/relationships/chartStyle" Target="style14.xml"/></Relationships>
</file>

<file path=xl/charts/_rels/chart15.xml.rels><?xml version="1.0" encoding="UTF-8" standalone="yes"?>
<Relationships xmlns="http://schemas.openxmlformats.org/package/2006/relationships"><Relationship Id="rId2" Type="http://schemas.microsoft.com/office/2011/relationships/chartColorStyle" Target="colors15.xml"/><Relationship Id="rId1" Type="http://schemas.microsoft.com/office/2011/relationships/chartStyle" Target="style15.xml"/></Relationships>
</file>

<file path=xl/charts/_rels/chart16.xml.rels><?xml version="1.0" encoding="UTF-8" standalone="yes"?>
<Relationships xmlns="http://schemas.openxmlformats.org/package/2006/relationships"><Relationship Id="rId2" Type="http://schemas.microsoft.com/office/2011/relationships/chartColorStyle" Target="colors16.xml"/><Relationship Id="rId1" Type="http://schemas.microsoft.com/office/2011/relationships/chartStyle" Target="style16.xml"/></Relationships>
</file>

<file path=xl/charts/_rels/chart17.xml.rels><?xml version="1.0" encoding="UTF-8" standalone="yes"?>
<Relationships xmlns="http://schemas.openxmlformats.org/package/2006/relationships"><Relationship Id="rId2" Type="http://schemas.microsoft.com/office/2011/relationships/chartColorStyle" Target="colors17.xml"/><Relationship Id="rId1" Type="http://schemas.microsoft.com/office/2011/relationships/chartStyle" Target="style17.xml"/></Relationships>
</file>

<file path=xl/charts/_rels/chart18.xml.rels><?xml version="1.0" encoding="UTF-8" standalone="yes"?>
<Relationships xmlns="http://schemas.openxmlformats.org/package/2006/relationships"><Relationship Id="rId2" Type="http://schemas.microsoft.com/office/2011/relationships/chartColorStyle" Target="colors18.xml"/><Relationship Id="rId1" Type="http://schemas.microsoft.com/office/2011/relationships/chartStyle" Target="style18.xml"/></Relationships>
</file>

<file path=xl/charts/_rels/chart19.xml.rels><?xml version="1.0" encoding="UTF-8" standalone="yes"?>
<Relationships xmlns="http://schemas.openxmlformats.org/package/2006/relationships"><Relationship Id="rId2" Type="http://schemas.microsoft.com/office/2011/relationships/chartColorStyle" Target="colors19.xml"/><Relationship Id="rId1" Type="http://schemas.microsoft.com/office/2011/relationships/chartStyle" Target="style19.xml"/></Relationships>
</file>

<file path=xl/charts/_rels/chart20.xml.rels><?xml version="1.0" encoding="UTF-8" standalone="yes"?>
<Relationships xmlns="http://schemas.openxmlformats.org/package/2006/relationships"><Relationship Id="rId2" Type="http://schemas.microsoft.com/office/2011/relationships/chartColorStyle" Target="colors20.xml"/><Relationship Id="rId1" Type="http://schemas.microsoft.com/office/2011/relationships/chartStyle" Target="style20.xml"/></Relationships>
</file>

<file path=xl/charts/_rels/chart21.xml.rels><?xml version="1.0" encoding="UTF-8" standalone="yes"?>
<Relationships xmlns="http://schemas.openxmlformats.org/package/2006/relationships"><Relationship Id="rId2" Type="http://schemas.microsoft.com/office/2011/relationships/chartColorStyle" Target="colors21.xml"/><Relationship Id="rId1" Type="http://schemas.microsoft.com/office/2011/relationships/chartStyle" Target="style21.xml"/></Relationships>
</file>

<file path=xl/charts/_rels/chart22.xml.rels><?xml version="1.0" encoding="UTF-8" standalone="yes"?>
<Relationships xmlns="http://schemas.openxmlformats.org/package/2006/relationships"><Relationship Id="rId2" Type="http://schemas.microsoft.com/office/2011/relationships/chartColorStyle" Target="colors22.xml"/><Relationship Id="rId1" Type="http://schemas.microsoft.com/office/2011/relationships/chartStyle" Target="style22.xml"/></Relationships>
</file>

<file path=xl/charts/_rels/chart23.xml.rels><?xml version="1.0" encoding="UTF-8" standalone="yes"?>
<Relationships xmlns="http://schemas.openxmlformats.org/package/2006/relationships"><Relationship Id="rId2" Type="http://schemas.microsoft.com/office/2011/relationships/chartColorStyle" Target="colors23.xml"/><Relationship Id="rId1" Type="http://schemas.microsoft.com/office/2011/relationships/chartStyle" Target="style23.xml"/></Relationships>
</file>

<file path=xl/charts/_rels/chart24.xml.rels><?xml version="1.0" encoding="UTF-8" standalone="yes"?>
<Relationships xmlns="http://schemas.openxmlformats.org/package/2006/relationships"><Relationship Id="rId2" Type="http://schemas.microsoft.com/office/2011/relationships/chartColorStyle" Target="colors24.xml"/><Relationship Id="rId1" Type="http://schemas.microsoft.com/office/2011/relationships/chartStyle" Target="style24.xml"/></Relationships>
</file>

<file path=xl/charts/_rels/chart25.xml.rels><?xml version="1.0" encoding="UTF-8" standalone="yes"?>
<Relationships xmlns="http://schemas.openxmlformats.org/package/2006/relationships"><Relationship Id="rId2" Type="http://schemas.microsoft.com/office/2011/relationships/chartColorStyle" Target="colors25.xml"/><Relationship Id="rId1" Type="http://schemas.microsoft.com/office/2011/relationships/chartStyle" Target="style25.xml"/></Relationships>
</file>

<file path=xl/charts/_rels/chart26.xml.rels><?xml version="1.0" encoding="UTF-8" standalone="yes"?>
<Relationships xmlns="http://schemas.openxmlformats.org/package/2006/relationships"><Relationship Id="rId2" Type="http://schemas.microsoft.com/office/2011/relationships/chartColorStyle" Target="colors26.xml"/><Relationship Id="rId1" Type="http://schemas.microsoft.com/office/2011/relationships/chartStyle" Target="style26.xml"/></Relationships>
</file>

<file path=xl/charts/_rels/chart27.xml.rels><?xml version="1.0" encoding="UTF-8" standalone="yes"?>
<Relationships xmlns="http://schemas.openxmlformats.org/package/2006/relationships"><Relationship Id="rId2" Type="http://schemas.microsoft.com/office/2011/relationships/chartColorStyle" Target="colors27.xml"/><Relationship Id="rId1" Type="http://schemas.microsoft.com/office/2011/relationships/chartStyle" Target="style27.xml"/></Relationships>
</file>

<file path=xl/charts/_rels/chart28.xml.rels><?xml version="1.0" encoding="UTF-8" standalone="yes"?>
<Relationships xmlns="http://schemas.openxmlformats.org/package/2006/relationships"><Relationship Id="rId2" Type="http://schemas.microsoft.com/office/2011/relationships/chartColorStyle" Target="colors28.xml"/><Relationship Id="rId1" Type="http://schemas.microsoft.com/office/2011/relationships/chartStyle" Target="style28.xml"/></Relationships>
</file>

<file path=xl/charts/_rels/chart29.xml.rels><?xml version="1.0" encoding="UTF-8" standalone="yes"?>
<Relationships xmlns="http://schemas.openxmlformats.org/package/2006/relationships"><Relationship Id="rId2" Type="http://schemas.microsoft.com/office/2011/relationships/chartColorStyle" Target="colors29.xml"/><Relationship Id="rId1" Type="http://schemas.microsoft.com/office/2011/relationships/chartStyle" Target="style29.xml"/></Relationships>
</file>

<file path=xl/charts/_rels/chart30.xml.rels><?xml version="1.0" encoding="UTF-8" standalone="yes"?>
<Relationships xmlns="http://schemas.openxmlformats.org/package/2006/relationships"><Relationship Id="rId2" Type="http://schemas.microsoft.com/office/2011/relationships/chartColorStyle" Target="colors30.xml"/><Relationship Id="rId1" Type="http://schemas.microsoft.com/office/2011/relationships/chartStyle" Target="style30.xml"/></Relationships>
</file>

<file path=xl/charts/_rels/chart31.xml.rels><?xml version="1.0" encoding="UTF-8" standalone="yes"?>
<Relationships xmlns="http://schemas.openxmlformats.org/package/2006/relationships"><Relationship Id="rId2" Type="http://schemas.microsoft.com/office/2011/relationships/chartColorStyle" Target="colors31.xml"/><Relationship Id="rId1" Type="http://schemas.microsoft.com/office/2011/relationships/chartStyle" Target="style31.xml"/></Relationships>
</file>

<file path=xl/charts/_rels/chart32.xml.rels><?xml version="1.0" encoding="UTF-8" standalone="yes"?>
<Relationships xmlns="http://schemas.openxmlformats.org/package/2006/relationships"><Relationship Id="rId2" Type="http://schemas.microsoft.com/office/2011/relationships/chartColorStyle" Target="colors32.xml"/><Relationship Id="rId1" Type="http://schemas.microsoft.com/office/2011/relationships/chartStyle" Target="style32.xml"/></Relationships>
</file>

<file path=xl/charts/_rels/chart33.xml.rels><?xml version="1.0" encoding="UTF-8" standalone="yes"?>
<Relationships xmlns="http://schemas.openxmlformats.org/package/2006/relationships"><Relationship Id="rId2" Type="http://schemas.microsoft.com/office/2011/relationships/chartColorStyle" Target="colors33.xml"/><Relationship Id="rId1" Type="http://schemas.microsoft.com/office/2011/relationships/chartStyle" Target="style33.xml"/></Relationships>
</file>

<file path=xl/charts/_rels/chart34.xml.rels><?xml version="1.0" encoding="UTF-8" standalone="yes"?>
<Relationships xmlns="http://schemas.openxmlformats.org/package/2006/relationships"><Relationship Id="rId2" Type="http://schemas.microsoft.com/office/2011/relationships/chartColorStyle" Target="colors34.xml"/><Relationship Id="rId1" Type="http://schemas.microsoft.com/office/2011/relationships/chartStyle" Target="style34.xml"/></Relationships>
</file>

<file path=xl/charts/_rels/chart35.xml.rels><?xml version="1.0" encoding="UTF-8" standalone="yes"?>
<Relationships xmlns="http://schemas.openxmlformats.org/package/2006/relationships"><Relationship Id="rId2" Type="http://schemas.microsoft.com/office/2011/relationships/chartColorStyle" Target="colors35.xml"/><Relationship Id="rId1" Type="http://schemas.microsoft.com/office/2011/relationships/chartStyle" Target="style35.xml"/></Relationships>
</file>

<file path=xl/charts/_rels/chart36.xml.rels><?xml version="1.0" encoding="UTF-8" standalone="yes"?>
<Relationships xmlns="http://schemas.openxmlformats.org/package/2006/relationships"><Relationship Id="rId2" Type="http://schemas.microsoft.com/office/2011/relationships/chartColorStyle" Target="colors36.xml"/><Relationship Id="rId1" Type="http://schemas.microsoft.com/office/2011/relationships/chartStyle" Target="style36.xml"/></Relationships>
</file>

<file path=xl/charts/_rels/chart37.xml.rels><?xml version="1.0" encoding="UTF-8" standalone="yes"?>
<Relationships xmlns="http://schemas.openxmlformats.org/package/2006/relationships"><Relationship Id="rId2" Type="http://schemas.microsoft.com/office/2011/relationships/chartColorStyle" Target="colors37.xml"/><Relationship Id="rId1" Type="http://schemas.microsoft.com/office/2011/relationships/chartStyle" Target="style37.xml"/></Relationships>
</file>

<file path=xl/charts/_rels/chart38.xml.rels><?xml version="1.0" encoding="UTF-8" standalone="yes"?>
<Relationships xmlns="http://schemas.openxmlformats.org/package/2006/relationships"><Relationship Id="rId2" Type="http://schemas.microsoft.com/office/2011/relationships/chartColorStyle" Target="colors38.xml"/><Relationship Id="rId1" Type="http://schemas.microsoft.com/office/2011/relationships/chartStyle" Target="style38.xml"/></Relationships>
</file>

<file path=xl/charts/_rels/chart39.xml.rels><?xml version="1.0" encoding="UTF-8" standalone="yes"?>
<Relationships xmlns="http://schemas.openxmlformats.org/package/2006/relationships"><Relationship Id="rId2" Type="http://schemas.microsoft.com/office/2011/relationships/chartColorStyle" Target="colors39.xml"/><Relationship Id="rId1" Type="http://schemas.microsoft.com/office/2011/relationships/chartStyle" Target="style39.xml"/></Relationships>
</file>

<file path=xl/charts/_rels/chart40.xml.rels><?xml version="1.0" encoding="UTF-8" standalone="yes"?>
<Relationships xmlns="http://schemas.openxmlformats.org/package/2006/relationships"><Relationship Id="rId2" Type="http://schemas.microsoft.com/office/2011/relationships/chartColorStyle" Target="colors40.xml"/><Relationship Id="rId1" Type="http://schemas.microsoft.com/office/2011/relationships/chartStyle" Target="style40.xml"/></Relationships>
</file>

<file path=xl/charts/_rels/chart41.xml.rels><?xml version="1.0" encoding="UTF-8" standalone="yes"?>
<Relationships xmlns="http://schemas.openxmlformats.org/package/2006/relationships"><Relationship Id="rId2" Type="http://schemas.microsoft.com/office/2011/relationships/chartColorStyle" Target="colors41.xml"/><Relationship Id="rId1" Type="http://schemas.microsoft.com/office/2011/relationships/chartStyle" Target="style41.xml"/></Relationships>
</file>

<file path=xl/charts/_rels/chart42.xml.rels><?xml version="1.0" encoding="UTF-8" standalone="yes"?>
<Relationships xmlns="http://schemas.openxmlformats.org/package/2006/relationships"><Relationship Id="rId2" Type="http://schemas.microsoft.com/office/2011/relationships/chartColorStyle" Target="colors42.xml"/><Relationship Id="rId1" Type="http://schemas.microsoft.com/office/2011/relationships/chartStyle" Target="style42.xml"/></Relationships>
</file>

<file path=xl/charts/_rels/chart43.xml.rels><?xml version="1.0" encoding="UTF-8" standalone="yes"?>
<Relationships xmlns="http://schemas.openxmlformats.org/package/2006/relationships"><Relationship Id="rId2" Type="http://schemas.microsoft.com/office/2011/relationships/chartColorStyle" Target="colors43.xml"/><Relationship Id="rId1" Type="http://schemas.microsoft.com/office/2011/relationships/chartStyle" Target="style43.xml"/></Relationships>
</file>

<file path=xl/charts/_rels/chart44.xml.rels><?xml version="1.0" encoding="UTF-8" standalone="yes"?>
<Relationships xmlns="http://schemas.openxmlformats.org/package/2006/relationships"><Relationship Id="rId2" Type="http://schemas.microsoft.com/office/2011/relationships/chartColorStyle" Target="colors44.xml"/><Relationship Id="rId1" Type="http://schemas.microsoft.com/office/2011/relationships/chartStyle" Target="style44.xml"/></Relationships>
</file>

<file path=xl/charts/_rels/chart45.xml.rels><?xml version="1.0" encoding="UTF-8" standalone="yes"?>
<Relationships xmlns="http://schemas.openxmlformats.org/package/2006/relationships"><Relationship Id="rId2" Type="http://schemas.microsoft.com/office/2011/relationships/chartColorStyle" Target="colors45.xml"/><Relationship Id="rId1" Type="http://schemas.microsoft.com/office/2011/relationships/chartStyle" Target="style45.xml"/></Relationships>
</file>

<file path=xl/charts/_rels/chart46.xml.rels><?xml version="1.0" encoding="UTF-8" standalone="yes"?>
<Relationships xmlns="http://schemas.openxmlformats.org/package/2006/relationships"><Relationship Id="rId2" Type="http://schemas.microsoft.com/office/2011/relationships/chartColorStyle" Target="colors46.xml"/><Relationship Id="rId1" Type="http://schemas.microsoft.com/office/2011/relationships/chartStyle" Target="style46.xml"/></Relationships>
</file>

<file path=xl/charts/_rels/chart47.xml.rels><?xml version="1.0" encoding="UTF-8" standalone="yes"?>
<Relationships xmlns="http://schemas.openxmlformats.org/package/2006/relationships"><Relationship Id="rId2" Type="http://schemas.microsoft.com/office/2011/relationships/chartColorStyle" Target="colors47.xml"/><Relationship Id="rId1" Type="http://schemas.microsoft.com/office/2011/relationships/chartStyle" Target="style47.xml"/></Relationships>
</file>

<file path=xl/charts/_rels/chart48.xml.rels><?xml version="1.0" encoding="UTF-8" standalone="yes"?>
<Relationships xmlns="http://schemas.openxmlformats.org/package/2006/relationships"><Relationship Id="rId2" Type="http://schemas.microsoft.com/office/2011/relationships/chartColorStyle" Target="colors48.xml"/><Relationship Id="rId1" Type="http://schemas.microsoft.com/office/2011/relationships/chartStyle" Target="style48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SSC</a:t>
            </a:r>
            <a:r>
              <a:rPr lang="en-US" baseline="0"/>
              <a:t> HI to tc50 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all!$C$4</c:f>
              <c:strCache>
                <c:ptCount val="1"/>
                <c:pt idx="0">
                  <c:v>Langlois (2005)</c:v>
                </c:pt>
              </c:strCache>
            </c:strRef>
          </c:tx>
          <c:spPr>
            <a:ln w="381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5.8959894400189136E-3"/>
                  <c:y val="0.22144861560354748"/>
                </c:manualLayout>
              </c:layout>
              <c:numFmt formatCode="General" sourceLinked="0"/>
              <c:spPr>
                <a:solidFill>
                  <a:schemeClr val="tx2">
                    <a:lumMod val="10000"/>
                    <a:lumOff val="9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all!$C$10:$C$33</c:f>
              <c:numCache>
                <c:formatCode>0.0000</c:formatCode>
                <c:ptCount val="24"/>
                <c:pt idx="0">
                  <c:v>1.31746197777344</c:v>
                </c:pt>
                <c:pt idx="1">
                  <c:v>0.89735303995633098</c:v>
                </c:pt>
                <c:pt idx="2">
                  <c:v>1.39880081037808</c:v>
                </c:pt>
                <c:pt idx="3">
                  <c:v>1.2210038373368299</c:v>
                </c:pt>
                <c:pt idx="4">
                  <c:v>1.5249018262283101</c:v>
                </c:pt>
                <c:pt idx="7">
                  <c:v>1.36678278361715</c:v>
                </c:pt>
                <c:pt idx="10">
                  <c:v>1.8695993339197901</c:v>
                </c:pt>
                <c:pt idx="11">
                  <c:v>1.21795864622288</c:v>
                </c:pt>
                <c:pt idx="12">
                  <c:v>1.0299659938988901</c:v>
                </c:pt>
                <c:pt idx="15">
                  <c:v>1.1534447144942801</c:v>
                </c:pt>
                <c:pt idx="16">
                  <c:v>1.6625275928143599</c:v>
                </c:pt>
                <c:pt idx="17">
                  <c:v>0.83858009935182098</c:v>
                </c:pt>
                <c:pt idx="18">
                  <c:v>2.31938512736013</c:v>
                </c:pt>
                <c:pt idx="19">
                  <c:v>1.66955637894203</c:v>
                </c:pt>
                <c:pt idx="21">
                  <c:v>0.90805045415642205</c:v>
                </c:pt>
                <c:pt idx="22">
                  <c:v>1.0862889042163599</c:v>
                </c:pt>
                <c:pt idx="23">
                  <c:v>0.39254775269290398</c:v>
                </c:pt>
              </c:numCache>
            </c:numRef>
          </c:xVal>
          <c:yVal>
            <c:numRef>
              <c:f>all!$I$10:$I$33</c:f>
              <c:numCache>
                <c:formatCode>0.000</c:formatCode>
                <c:ptCount val="24"/>
                <c:pt idx="0">
                  <c:v>113.72040256</c:v>
                </c:pt>
                <c:pt idx="2">
                  <c:v>112.66319882000001</c:v>
                </c:pt>
                <c:pt idx="3">
                  <c:v>114.89097618</c:v>
                </c:pt>
                <c:pt idx="4">
                  <c:v>116.55531655999999</c:v>
                </c:pt>
                <c:pt idx="6">
                  <c:v>118.40602251999999</c:v>
                </c:pt>
                <c:pt idx="7">
                  <c:v>115.75512236</c:v>
                </c:pt>
                <c:pt idx="8">
                  <c:v>121.12197168</c:v>
                </c:pt>
                <c:pt idx="12">
                  <c:v>118.22733427999999</c:v>
                </c:pt>
                <c:pt idx="13">
                  <c:v>108.51115272</c:v>
                </c:pt>
                <c:pt idx="14">
                  <c:v>106.97060942</c:v>
                </c:pt>
                <c:pt idx="15">
                  <c:v>113.72040256</c:v>
                </c:pt>
                <c:pt idx="17">
                  <c:v>112.66319882000001</c:v>
                </c:pt>
                <c:pt idx="18">
                  <c:v>114.89097618</c:v>
                </c:pt>
                <c:pt idx="19">
                  <c:v>116.55531655999999</c:v>
                </c:pt>
                <c:pt idx="21">
                  <c:v>118.40602251999999</c:v>
                </c:pt>
                <c:pt idx="22">
                  <c:v>115.75512236</c:v>
                </c:pt>
                <c:pt idx="23">
                  <c:v>121.12197168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196D-48CC-9F42-C8DA52771502}"/>
            </c:ext>
          </c:extLst>
        </c:ser>
        <c:ser>
          <c:idx val="1"/>
          <c:order val="1"/>
          <c:tx>
            <c:strRef>
              <c:f>all!$D$4</c:f>
              <c:strCache>
                <c:ptCount val="1"/>
                <c:pt idx="0">
                  <c:v>Lawler (2006)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-4.7489574381930605E-2"/>
                  <c:y val="0.22589652441382868"/>
                </c:manualLayout>
              </c:layout>
              <c:numFmt formatCode="General" sourceLinked="0"/>
              <c:spPr>
                <a:solidFill>
                  <a:schemeClr val="accent2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all!$D$10:$D$33</c:f>
              <c:numCache>
                <c:formatCode>0.0000</c:formatCode>
                <c:ptCount val="24"/>
                <c:pt idx="0">
                  <c:v>0.66698565105034602</c:v>
                </c:pt>
                <c:pt idx="1">
                  <c:v>0.19762137224995299</c:v>
                </c:pt>
                <c:pt idx="2">
                  <c:v>0.54807771119966198</c:v>
                </c:pt>
                <c:pt idx="3">
                  <c:v>0.10106112243990099</c:v>
                </c:pt>
                <c:pt idx="4">
                  <c:v>0.50902572287082404</c:v>
                </c:pt>
                <c:pt idx="7">
                  <c:v>0.463447965306029</c:v>
                </c:pt>
                <c:pt idx="10">
                  <c:v>0.44896728093636801</c:v>
                </c:pt>
                <c:pt idx="11">
                  <c:v>1.5264059910121399</c:v>
                </c:pt>
                <c:pt idx="12">
                  <c:v>0.71671353985517805</c:v>
                </c:pt>
                <c:pt idx="15">
                  <c:v>0.678678630991426</c:v>
                </c:pt>
                <c:pt idx="16">
                  <c:v>0.81343884511072295</c:v>
                </c:pt>
                <c:pt idx="17">
                  <c:v>-1.07855599689062</c:v>
                </c:pt>
                <c:pt idx="18">
                  <c:v>1.34776836410395</c:v>
                </c:pt>
                <c:pt idx="19">
                  <c:v>0.55456789410428697</c:v>
                </c:pt>
                <c:pt idx="20">
                  <c:v>0.70468449804027899</c:v>
                </c:pt>
                <c:pt idx="21">
                  <c:v>-0.373253605455523</c:v>
                </c:pt>
                <c:pt idx="22">
                  <c:v>0.63056904760694898</c:v>
                </c:pt>
                <c:pt idx="23">
                  <c:v>-0.623899602892661</c:v>
                </c:pt>
              </c:numCache>
            </c:numRef>
          </c:xVal>
          <c:yVal>
            <c:numRef>
              <c:f>all!$I$10:$I$33</c:f>
              <c:numCache>
                <c:formatCode>0.000</c:formatCode>
                <c:ptCount val="24"/>
                <c:pt idx="0">
                  <c:v>113.72040256</c:v>
                </c:pt>
                <c:pt idx="2">
                  <c:v>112.66319882000001</c:v>
                </c:pt>
                <c:pt idx="3">
                  <c:v>114.89097618</c:v>
                </c:pt>
                <c:pt idx="4">
                  <c:v>116.55531655999999</c:v>
                </c:pt>
                <c:pt idx="6">
                  <c:v>118.40602251999999</c:v>
                </c:pt>
                <c:pt idx="7">
                  <c:v>115.75512236</c:v>
                </c:pt>
                <c:pt idx="8">
                  <c:v>121.12197168</c:v>
                </c:pt>
                <c:pt idx="12">
                  <c:v>118.22733427999999</c:v>
                </c:pt>
                <c:pt idx="13">
                  <c:v>108.51115272</c:v>
                </c:pt>
                <c:pt idx="14">
                  <c:v>106.97060942</c:v>
                </c:pt>
                <c:pt idx="15">
                  <c:v>113.72040256</c:v>
                </c:pt>
                <c:pt idx="17">
                  <c:v>112.66319882000001</c:v>
                </c:pt>
                <c:pt idx="18">
                  <c:v>114.89097618</c:v>
                </c:pt>
                <c:pt idx="19">
                  <c:v>116.55531655999999</c:v>
                </c:pt>
                <c:pt idx="21">
                  <c:v>118.40602251999999</c:v>
                </c:pt>
                <c:pt idx="22">
                  <c:v>115.75512236</c:v>
                </c:pt>
                <c:pt idx="23">
                  <c:v>121.12197168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196D-48CC-9F42-C8DA52771502}"/>
            </c:ext>
          </c:extLst>
        </c:ser>
        <c:ser>
          <c:idx val="2"/>
          <c:order val="2"/>
          <c:tx>
            <c:strRef>
              <c:f>all!$E$4</c:f>
              <c:strCache>
                <c:ptCount val="1"/>
                <c:pt idx="0">
                  <c:v>Aich (2014) 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3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-9.3012290532318576E-2"/>
                  <c:y val="0.19612362551341794"/>
                </c:manualLayout>
              </c:layout>
              <c:numFmt formatCode="General" sourceLinked="0"/>
              <c:spPr>
                <a:solidFill>
                  <a:schemeClr val="accent6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all!$E$10:$E$33</c:f>
              <c:numCache>
                <c:formatCode>0.0000</c:formatCode>
                <c:ptCount val="24"/>
                <c:pt idx="0">
                  <c:v>8.8732929175135894E-2</c:v>
                </c:pt>
                <c:pt idx="1">
                  <c:v>-1.9463558010346702E-2</c:v>
                </c:pt>
                <c:pt idx="2">
                  <c:v>0.10415722716452799</c:v>
                </c:pt>
                <c:pt idx="3">
                  <c:v>4.66251429291673E-2</c:v>
                </c:pt>
                <c:pt idx="4">
                  <c:v>9.0894558490112708E-3</c:v>
                </c:pt>
                <c:pt idx="7">
                  <c:v>2.0373962034653699E-2</c:v>
                </c:pt>
                <c:pt idx="10">
                  <c:v>2.4947102971666898E-2</c:v>
                </c:pt>
                <c:pt idx="11">
                  <c:v>9.6293174744729593E-3</c:v>
                </c:pt>
                <c:pt idx="12">
                  <c:v>0.14608753400636901</c:v>
                </c:pt>
                <c:pt idx="15">
                  <c:v>1.27691539373017E-2</c:v>
                </c:pt>
                <c:pt idx="16">
                  <c:v>6.7576112725014403E-2</c:v>
                </c:pt>
                <c:pt idx="17">
                  <c:v>-0.35416666689988402</c:v>
                </c:pt>
                <c:pt idx="18">
                  <c:v>4.5646344187588998E-2</c:v>
                </c:pt>
                <c:pt idx="19">
                  <c:v>1.47909285306715E-2</c:v>
                </c:pt>
                <c:pt idx="20">
                  <c:v>3.5842816756479302E-2</c:v>
                </c:pt>
                <c:pt idx="21">
                  <c:v>-4.0383997186219003E-2</c:v>
                </c:pt>
                <c:pt idx="22">
                  <c:v>3.6679485231980898E-2</c:v>
                </c:pt>
                <c:pt idx="23">
                  <c:v>-0.76160033358371604</c:v>
                </c:pt>
              </c:numCache>
            </c:numRef>
          </c:xVal>
          <c:yVal>
            <c:numRef>
              <c:f>all!$I$10:$I$33</c:f>
              <c:numCache>
                <c:formatCode>0.000</c:formatCode>
                <c:ptCount val="24"/>
                <c:pt idx="0">
                  <c:v>113.72040256</c:v>
                </c:pt>
                <c:pt idx="2">
                  <c:v>112.66319882000001</c:v>
                </c:pt>
                <c:pt idx="3">
                  <c:v>114.89097618</c:v>
                </c:pt>
                <c:pt idx="4">
                  <c:v>116.55531655999999</c:v>
                </c:pt>
                <c:pt idx="6">
                  <c:v>118.40602251999999</c:v>
                </c:pt>
                <c:pt idx="7">
                  <c:v>115.75512236</c:v>
                </c:pt>
                <c:pt idx="8">
                  <c:v>121.12197168</c:v>
                </c:pt>
                <c:pt idx="12">
                  <c:v>118.22733427999999</c:v>
                </c:pt>
                <c:pt idx="13">
                  <c:v>108.51115272</c:v>
                </c:pt>
                <c:pt idx="14">
                  <c:v>106.97060942</c:v>
                </c:pt>
                <c:pt idx="15">
                  <c:v>113.72040256</c:v>
                </c:pt>
                <c:pt idx="17">
                  <c:v>112.66319882000001</c:v>
                </c:pt>
                <c:pt idx="18">
                  <c:v>114.89097618</c:v>
                </c:pt>
                <c:pt idx="19">
                  <c:v>116.55531655999999</c:v>
                </c:pt>
                <c:pt idx="21">
                  <c:v>118.40602251999999</c:v>
                </c:pt>
                <c:pt idx="22">
                  <c:v>115.75512236</c:v>
                </c:pt>
                <c:pt idx="23">
                  <c:v>121.12197168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196D-48CC-9F42-C8DA5277150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29882927"/>
        <c:axId val="129899727"/>
      </c:scatterChart>
      <c:valAx>
        <c:axId val="129882927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Hysteresis Index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9899727"/>
        <c:crosses val="autoZero"/>
        <c:crossBetween val="midCat"/>
      </c:valAx>
      <c:valAx>
        <c:axId val="12989972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Critical</a:t>
                </a:r>
                <a:r>
                  <a:rPr lang="en-US" baseline="0"/>
                  <a:t> Shear Stress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0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9882927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legendEntry>
        <c:idx val="3"/>
        <c:delete val="1"/>
      </c:legendEntry>
      <c:legendEntry>
        <c:idx val="4"/>
        <c:delete val="1"/>
      </c:legendEntry>
      <c:legendEntry>
        <c:idx val="5"/>
        <c:delete val="1"/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DOC</a:t>
            </a:r>
            <a:r>
              <a:rPr lang="en-US" baseline="0"/>
              <a:t> HI to tc50 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all!$C$4</c:f>
              <c:strCache>
                <c:ptCount val="1"/>
                <c:pt idx="0">
                  <c:v>Langlois (2005)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5.8959894400189136E-3"/>
                  <c:y val="0.22144861560354748"/>
                </c:manualLayout>
              </c:layout>
              <c:numFmt formatCode="General" sourceLinked="0"/>
              <c:spPr>
                <a:solidFill>
                  <a:schemeClr val="tx2">
                    <a:lumMod val="10000"/>
                    <a:lumOff val="9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all!$C$42:$C$65</c:f>
              <c:numCache>
                <c:formatCode>0.000</c:formatCode>
                <c:ptCount val="24"/>
                <c:pt idx="0">
                  <c:v>1.01982556926034</c:v>
                </c:pt>
                <c:pt idx="1">
                  <c:v>1.0105385292601801</c:v>
                </c:pt>
                <c:pt idx="2">
                  <c:v>1.04413498578157</c:v>
                </c:pt>
                <c:pt idx="3">
                  <c:v>1.04959681992682</c:v>
                </c:pt>
                <c:pt idx="4">
                  <c:v>0.97400899474341096</c:v>
                </c:pt>
                <c:pt idx="7">
                  <c:v>1.03922347944993</c:v>
                </c:pt>
                <c:pt idx="10">
                  <c:v>1.0683907677478099</c:v>
                </c:pt>
                <c:pt idx="11">
                  <c:v>1.13117180110701</c:v>
                </c:pt>
                <c:pt idx="12">
                  <c:v>0.99421602518435603</c:v>
                </c:pt>
                <c:pt idx="14">
                  <c:v>1.0587750080951299</c:v>
                </c:pt>
                <c:pt idx="15">
                  <c:v>1.04764110720538</c:v>
                </c:pt>
                <c:pt idx="16">
                  <c:v>1.1477045338510801</c:v>
                </c:pt>
                <c:pt idx="17">
                  <c:v>1.1126612766097499</c:v>
                </c:pt>
                <c:pt idx="18">
                  <c:v>1.2530304455719099</c:v>
                </c:pt>
                <c:pt idx="19">
                  <c:v>1.0813804129035001</c:v>
                </c:pt>
                <c:pt idx="20">
                  <c:v>1.2134925086481201</c:v>
                </c:pt>
                <c:pt idx="21">
                  <c:v>1.08380817355586</c:v>
                </c:pt>
                <c:pt idx="22">
                  <c:v>1.0367372638660399</c:v>
                </c:pt>
                <c:pt idx="23">
                  <c:v>1.1282134088167699</c:v>
                </c:pt>
              </c:numCache>
            </c:numRef>
          </c:xVal>
          <c:yVal>
            <c:numRef>
              <c:f>all!$I$42:$I$65</c:f>
              <c:numCache>
                <c:formatCode>0.000</c:formatCode>
                <c:ptCount val="24"/>
                <c:pt idx="0">
                  <c:v>113.72040256</c:v>
                </c:pt>
                <c:pt idx="2">
                  <c:v>112.66319882000001</c:v>
                </c:pt>
                <c:pt idx="3">
                  <c:v>114.89097618</c:v>
                </c:pt>
                <c:pt idx="4">
                  <c:v>116.55531655999999</c:v>
                </c:pt>
                <c:pt idx="6">
                  <c:v>118.40602251999999</c:v>
                </c:pt>
                <c:pt idx="7">
                  <c:v>115.75512236</c:v>
                </c:pt>
                <c:pt idx="8">
                  <c:v>121.12197168</c:v>
                </c:pt>
                <c:pt idx="12">
                  <c:v>118.22733427999999</c:v>
                </c:pt>
                <c:pt idx="13">
                  <c:v>108.51115272</c:v>
                </c:pt>
                <c:pt idx="14">
                  <c:v>106.97060942</c:v>
                </c:pt>
                <c:pt idx="15">
                  <c:v>113.72040256</c:v>
                </c:pt>
                <c:pt idx="17">
                  <c:v>112.66319882000001</c:v>
                </c:pt>
                <c:pt idx="18">
                  <c:v>114.89097618</c:v>
                </c:pt>
                <c:pt idx="19">
                  <c:v>116.55531655999999</c:v>
                </c:pt>
                <c:pt idx="21">
                  <c:v>118.40602251999999</c:v>
                </c:pt>
                <c:pt idx="22">
                  <c:v>115.75512236</c:v>
                </c:pt>
                <c:pt idx="23">
                  <c:v>121.12197168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99F7-473C-BC0E-862E5880EE58}"/>
            </c:ext>
          </c:extLst>
        </c:ser>
        <c:ser>
          <c:idx val="1"/>
          <c:order val="1"/>
          <c:tx>
            <c:strRef>
              <c:f>all!$D$4</c:f>
              <c:strCache>
                <c:ptCount val="1"/>
                <c:pt idx="0">
                  <c:v>Lawler (2006)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-4.7489574381930605E-2"/>
                  <c:y val="0.22589652441382868"/>
                </c:manualLayout>
              </c:layout>
              <c:numFmt formatCode="General" sourceLinked="0"/>
              <c:spPr>
                <a:solidFill>
                  <a:schemeClr val="accent2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all!$D$42:$D$65</c:f>
              <c:numCache>
                <c:formatCode>0.000</c:formatCode>
                <c:ptCount val="24"/>
                <c:pt idx="0">
                  <c:v>0.38831940167197898</c:v>
                </c:pt>
                <c:pt idx="1">
                  <c:v>0.597784224122066</c:v>
                </c:pt>
                <c:pt idx="2">
                  <c:v>0.92934562720262803</c:v>
                </c:pt>
                <c:pt idx="3">
                  <c:v>-0.33094957948560899</c:v>
                </c:pt>
                <c:pt idx="4">
                  <c:v>-0.27375631737886102</c:v>
                </c:pt>
                <c:pt idx="7">
                  <c:v>0.59399199353963394</c:v>
                </c:pt>
                <c:pt idx="10">
                  <c:v>0.74870138294766397</c:v>
                </c:pt>
                <c:pt idx="11">
                  <c:v>1.1019405303793299</c:v>
                </c:pt>
                <c:pt idx="12">
                  <c:v>0.17884914222762199</c:v>
                </c:pt>
                <c:pt idx="14">
                  <c:v>0.662333397055619</c:v>
                </c:pt>
                <c:pt idx="15">
                  <c:v>1.10062768451704</c:v>
                </c:pt>
                <c:pt idx="16">
                  <c:v>0.97101599927504101</c:v>
                </c:pt>
                <c:pt idx="17">
                  <c:v>0.95380985457733503</c:v>
                </c:pt>
                <c:pt idx="18">
                  <c:v>1.1029723476739599</c:v>
                </c:pt>
                <c:pt idx="19">
                  <c:v>0.52079829390269505</c:v>
                </c:pt>
                <c:pt idx="20">
                  <c:v>0.94175163201491896</c:v>
                </c:pt>
                <c:pt idx="21">
                  <c:v>0.28231733716004298</c:v>
                </c:pt>
                <c:pt idx="22">
                  <c:v>0.55097576187408004</c:v>
                </c:pt>
                <c:pt idx="23">
                  <c:v>0.99053604379690696</c:v>
                </c:pt>
              </c:numCache>
            </c:numRef>
          </c:xVal>
          <c:yVal>
            <c:numRef>
              <c:f>all!$I$42:$I$65</c:f>
              <c:numCache>
                <c:formatCode>0.000</c:formatCode>
                <c:ptCount val="24"/>
                <c:pt idx="0">
                  <c:v>113.72040256</c:v>
                </c:pt>
                <c:pt idx="2">
                  <c:v>112.66319882000001</c:v>
                </c:pt>
                <c:pt idx="3">
                  <c:v>114.89097618</c:v>
                </c:pt>
                <c:pt idx="4">
                  <c:v>116.55531655999999</c:v>
                </c:pt>
                <c:pt idx="6">
                  <c:v>118.40602251999999</c:v>
                </c:pt>
                <c:pt idx="7">
                  <c:v>115.75512236</c:v>
                </c:pt>
                <c:pt idx="8">
                  <c:v>121.12197168</c:v>
                </c:pt>
                <c:pt idx="12">
                  <c:v>118.22733427999999</c:v>
                </c:pt>
                <c:pt idx="13">
                  <c:v>108.51115272</c:v>
                </c:pt>
                <c:pt idx="14">
                  <c:v>106.97060942</c:v>
                </c:pt>
                <c:pt idx="15">
                  <c:v>113.72040256</c:v>
                </c:pt>
                <c:pt idx="17">
                  <c:v>112.66319882000001</c:v>
                </c:pt>
                <c:pt idx="18">
                  <c:v>114.89097618</c:v>
                </c:pt>
                <c:pt idx="19">
                  <c:v>116.55531655999999</c:v>
                </c:pt>
                <c:pt idx="21">
                  <c:v>118.40602251999999</c:v>
                </c:pt>
                <c:pt idx="22">
                  <c:v>115.75512236</c:v>
                </c:pt>
                <c:pt idx="23">
                  <c:v>121.12197168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99F7-473C-BC0E-862E5880EE58}"/>
            </c:ext>
          </c:extLst>
        </c:ser>
        <c:ser>
          <c:idx val="2"/>
          <c:order val="2"/>
          <c:tx>
            <c:strRef>
              <c:f>all!$E$4</c:f>
              <c:strCache>
                <c:ptCount val="1"/>
                <c:pt idx="0">
                  <c:v>Aich (2014) 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3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-5.3252946629997952E-2"/>
                  <c:y val="1.6192228261109907E-2"/>
                </c:manualLayout>
              </c:layout>
              <c:numFmt formatCode="General" sourceLinked="0"/>
              <c:spPr>
                <a:solidFill>
                  <a:schemeClr val="accent6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all!$E$42:$E$65</c:f>
              <c:numCache>
                <c:formatCode>0.000</c:formatCode>
                <c:ptCount val="24"/>
                <c:pt idx="0">
                  <c:v>1.20306787922476E-2</c:v>
                </c:pt>
                <c:pt idx="1">
                  <c:v>2.7386597361713599E-2</c:v>
                </c:pt>
                <c:pt idx="2">
                  <c:v>2.8615745110634201E-2</c:v>
                </c:pt>
                <c:pt idx="3">
                  <c:v>4.4113621235337297E-2</c:v>
                </c:pt>
                <c:pt idx="4">
                  <c:v>-8.0536265843332393E-3</c:v>
                </c:pt>
                <c:pt idx="7">
                  <c:v>2.7450804091866201E-2</c:v>
                </c:pt>
                <c:pt idx="10">
                  <c:v>6.5697545304297195E-2</c:v>
                </c:pt>
                <c:pt idx="11">
                  <c:v>0.132436068542756</c:v>
                </c:pt>
                <c:pt idx="12">
                  <c:v>-4.2076076707890497E-3</c:v>
                </c:pt>
                <c:pt idx="14">
                  <c:v>0.12430930853391101</c:v>
                </c:pt>
                <c:pt idx="15">
                  <c:v>9.2876994447724404E-2</c:v>
                </c:pt>
                <c:pt idx="16">
                  <c:v>8.3834633446242604E-2</c:v>
                </c:pt>
                <c:pt idx="17">
                  <c:v>4.4857179056258203E-2</c:v>
                </c:pt>
                <c:pt idx="18">
                  <c:v>7.6664996000854094E-2</c:v>
                </c:pt>
                <c:pt idx="19">
                  <c:v>2.1219861817338499E-2</c:v>
                </c:pt>
                <c:pt idx="20">
                  <c:v>8.5275451626537893E-2</c:v>
                </c:pt>
                <c:pt idx="21">
                  <c:v>3.1629539106965802E-2</c:v>
                </c:pt>
                <c:pt idx="22">
                  <c:v>4.3964016574286002E-2</c:v>
                </c:pt>
                <c:pt idx="23">
                  <c:v>5.3048699734524599E-2</c:v>
                </c:pt>
              </c:numCache>
            </c:numRef>
          </c:xVal>
          <c:yVal>
            <c:numRef>
              <c:f>all!$I$42:$I$65</c:f>
              <c:numCache>
                <c:formatCode>0.000</c:formatCode>
                <c:ptCount val="24"/>
                <c:pt idx="0">
                  <c:v>113.72040256</c:v>
                </c:pt>
                <c:pt idx="2">
                  <c:v>112.66319882000001</c:v>
                </c:pt>
                <c:pt idx="3">
                  <c:v>114.89097618</c:v>
                </c:pt>
                <c:pt idx="4">
                  <c:v>116.55531655999999</c:v>
                </c:pt>
                <c:pt idx="6">
                  <c:v>118.40602251999999</c:v>
                </c:pt>
                <c:pt idx="7">
                  <c:v>115.75512236</c:v>
                </c:pt>
                <c:pt idx="8">
                  <c:v>121.12197168</c:v>
                </c:pt>
                <c:pt idx="12">
                  <c:v>118.22733427999999</c:v>
                </c:pt>
                <c:pt idx="13">
                  <c:v>108.51115272</c:v>
                </c:pt>
                <c:pt idx="14">
                  <c:v>106.97060942</c:v>
                </c:pt>
                <c:pt idx="15">
                  <c:v>113.72040256</c:v>
                </c:pt>
                <c:pt idx="17">
                  <c:v>112.66319882000001</c:v>
                </c:pt>
                <c:pt idx="18">
                  <c:v>114.89097618</c:v>
                </c:pt>
                <c:pt idx="19">
                  <c:v>116.55531655999999</c:v>
                </c:pt>
                <c:pt idx="21">
                  <c:v>118.40602251999999</c:v>
                </c:pt>
                <c:pt idx="22">
                  <c:v>115.75512236</c:v>
                </c:pt>
                <c:pt idx="23">
                  <c:v>121.12197168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99F7-473C-BC0E-862E5880EE5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29882927"/>
        <c:axId val="129899727"/>
      </c:scatterChart>
      <c:valAx>
        <c:axId val="129882927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Hysteresis Index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9899727"/>
        <c:crosses val="autoZero"/>
        <c:crossBetween val="midCat"/>
      </c:valAx>
      <c:valAx>
        <c:axId val="12989972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Critical</a:t>
                </a:r>
                <a:r>
                  <a:rPr lang="en-US" baseline="0"/>
                  <a:t> Shear Stress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0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9882927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legendEntry>
        <c:idx val="3"/>
        <c:delete val="1"/>
      </c:legendEntry>
      <c:legendEntry>
        <c:idx val="4"/>
        <c:delete val="1"/>
      </c:legendEntry>
      <c:legendEntry>
        <c:idx val="5"/>
        <c:delete val="1"/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SSC</a:t>
            </a:r>
            <a:r>
              <a:rPr lang="en-US" baseline="0"/>
              <a:t> HI to Dmax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all!$C$4</c:f>
              <c:strCache>
                <c:ptCount val="1"/>
                <c:pt idx="0">
                  <c:v>Langlois (2005)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1.5867128298522853E-2"/>
                  <c:y val="0.15634127049626317"/>
                </c:manualLayout>
              </c:layout>
              <c:numFmt formatCode="General" sourceLinked="0"/>
              <c:spPr>
                <a:solidFill>
                  <a:schemeClr val="tx2">
                    <a:lumMod val="10000"/>
                    <a:lumOff val="9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all!$C$10:$C$33</c:f>
              <c:numCache>
                <c:formatCode>0.0000</c:formatCode>
                <c:ptCount val="24"/>
                <c:pt idx="0">
                  <c:v>1.31746197777344</c:v>
                </c:pt>
                <c:pt idx="1">
                  <c:v>0.89735303995633098</c:v>
                </c:pt>
                <c:pt idx="2">
                  <c:v>1.39880081037808</c:v>
                </c:pt>
                <c:pt idx="3">
                  <c:v>1.2210038373368299</c:v>
                </c:pt>
                <c:pt idx="4">
                  <c:v>1.5249018262283101</c:v>
                </c:pt>
                <c:pt idx="7">
                  <c:v>1.36678278361715</c:v>
                </c:pt>
                <c:pt idx="10">
                  <c:v>1.8695993339197901</c:v>
                </c:pt>
                <c:pt idx="11">
                  <c:v>1.21795864622288</c:v>
                </c:pt>
                <c:pt idx="12">
                  <c:v>1.0299659938988901</c:v>
                </c:pt>
                <c:pt idx="15">
                  <c:v>1.1534447144942801</c:v>
                </c:pt>
                <c:pt idx="16">
                  <c:v>1.6625275928143599</c:v>
                </c:pt>
                <c:pt idx="17">
                  <c:v>0.83858009935182098</c:v>
                </c:pt>
                <c:pt idx="18">
                  <c:v>2.31938512736013</c:v>
                </c:pt>
                <c:pt idx="19">
                  <c:v>1.66955637894203</c:v>
                </c:pt>
                <c:pt idx="21">
                  <c:v>0.90805045415642205</c:v>
                </c:pt>
                <c:pt idx="22">
                  <c:v>1.0862889042163599</c:v>
                </c:pt>
                <c:pt idx="23">
                  <c:v>0.39254775269290398</c:v>
                </c:pt>
              </c:numCache>
            </c:numRef>
          </c:xVal>
          <c:yVal>
            <c:numRef>
              <c:f>all!$K$10:$K$33</c:f>
              <c:numCache>
                <c:formatCode>General</c:formatCode>
                <c:ptCount val="24"/>
                <c:pt idx="0">
                  <c:v>47.354999999999997</c:v>
                </c:pt>
                <c:pt idx="2">
                  <c:v>101.105</c:v>
                </c:pt>
                <c:pt idx="3">
                  <c:v>44.466000000000001</c:v>
                </c:pt>
                <c:pt idx="4">
                  <c:v>47.503</c:v>
                </c:pt>
                <c:pt idx="6">
                  <c:v>54.055999999999997</c:v>
                </c:pt>
                <c:pt idx="7">
                  <c:v>53.783999999999999</c:v>
                </c:pt>
                <c:pt idx="8">
                  <c:v>53.783999999999999</c:v>
                </c:pt>
                <c:pt idx="12">
                  <c:v>60.710430000000002</c:v>
                </c:pt>
                <c:pt idx="13">
                  <c:v>45.71622</c:v>
                </c:pt>
                <c:pt idx="14">
                  <c:v>46.063560000000003</c:v>
                </c:pt>
                <c:pt idx="15">
                  <c:v>47.354999999999997</c:v>
                </c:pt>
                <c:pt idx="17">
                  <c:v>101.105</c:v>
                </c:pt>
                <c:pt idx="18">
                  <c:v>44.466000000000001</c:v>
                </c:pt>
                <c:pt idx="19">
                  <c:v>47.503</c:v>
                </c:pt>
                <c:pt idx="21">
                  <c:v>54.055999999999997</c:v>
                </c:pt>
                <c:pt idx="22">
                  <c:v>53.783999999999999</c:v>
                </c:pt>
                <c:pt idx="23">
                  <c:v>53.783999999999999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4D6A-4D4E-A1FA-351E5470F28C}"/>
            </c:ext>
          </c:extLst>
        </c:ser>
        <c:ser>
          <c:idx val="1"/>
          <c:order val="1"/>
          <c:tx>
            <c:strRef>
              <c:f>all!$D$4</c:f>
              <c:strCache>
                <c:ptCount val="1"/>
                <c:pt idx="0">
                  <c:v>Lawler (2006)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-8.5820609639809114E-2"/>
                  <c:y val="0.11100427763978285"/>
                </c:manualLayout>
              </c:layout>
              <c:numFmt formatCode="General" sourceLinked="0"/>
              <c:spPr>
                <a:solidFill>
                  <a:schemeClr val="accent2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all!$D$10:$D$33</c:f>
              <c:numCache>
                <c:formatCode>0.0000</c:formatCode>
                <c:ptCount val="24"/>
                <c:pt idx="0">
                  <c:v>0.66698565105034602</c:v>
                </c:pt>
                <c:pt idx="1">
                  <c:v>0.19762137224995299</c:v>
                </c:pt>
                <c:pt idx="2">
                  <c:v>0.54807771119966198</c:v>
                </c:pt>
                <c:pt idx="3">
                  <c:v>0.10106112243990099</c:v>
                </c:pt>
                <c:pt idx="4">
                  <c:v>0.50902572287082404</c:v>
                </c:pt>
                <c:pt idx="7">
                  <c:v>0.463447965306029</c:v>
                </c:pt>
                <c:pt idx="10">
                  <c:v>0.44896728093636801</c:v>
                </c:pt>
                <c:pt idx="11">
                  <c:v>1.5264059910121399</c:v>
                </c:pt>
                <c:pt idx="12">
                  <c:v>0.71671353985517805</c:v>
                </c:pt>
                <c:pt idx="15">
                  <c:v>0.678678630991426</c:v>
                </c:pt>
                <c:pt idx="16">
                  <c:v>0.81343884511072295</c:v>
                </c:pt>
                <c:pt idx="17">
                  <c:v>-1.07855599689062</c:v>
                </c:pt>
                <c:pt idx="18">
                  <c:v>1.34776836410395</c:v>
                </c:pt>
                <c:pt idx="19">
                  <c:v>0.55456789410428697</c:v>
                </c:pt>
                <c:pt idx="20">
                  <c:v>0.70468449804027899</c:v>
                </c:pt>
                <c:pt idx="21">
                  <c:v>-0.373253605455523</c:v>
                </c:pt>
                <c:pt idx="22">
                  <c:v>0.63056904760694898</c:v>
                </c:pt>
                <c:pt idx="23">
                  <c:v>-0.623899602892661</c:v>
                </c:pt>
              </c:numCache>
            </c:numRef>
          </c:xVal>
          <c:yVal>
            <c:numRef>
              <c:f>all!$K$10:$K$33</c:f>
              <c:numCache>
                <c:formatCode>General</c:formatCode>
                <c:ptCount val="24"/>
                <c:pt idx="0">
                  <c:v>47.354999999999997</c:v>
                </c:pt>
                <c:pt idx="2">
                  <c:v>101.105</c:v>
                </c:pt>
                <c:pt idx="3">
                  <c:v>44.466000000000001</c:v>
                </c:pt>
                <c:pt idx="4">
                  <c:v>47.503</c:v>
                </c:pt>
                <c:pt idx="6">
                  <c:v>54.055999999999997</c:v>
                </c:pt>
                <c:pt idx="7">
                  <c:v>53.783999999999999</c:v>
                </c:pt>
                <c:pt idx="8">
                  <c:v>53.783999999999999</c:v>
                </c:pt>
                <c:pt idx="12">
                  <c:v>60.710430000000002</c:v>
                </c:pt>
                <c:pt idx="13">
                  <c:v>45.71622</c:v>
                </c:pt>
                <c:pt idx="14">
                  <c:v>46.063560000000003</c:v>
                </c:pt>
                <c:pt idx="15">
                  <c:v>47.354999999999997</c:v>
                </c:pt>
                <c:pt idx="17">
                  <c:v>101.105</c:v>
                </c:pt>
                <c:pt idx="18">
                  <c:v>44.466000000000001</c:v>
                </c:pt>
                <c:pt idx="19">
                  <c:v>47.503</c:v>
                </c:pt>
                <c:pt idx="21">
                  <c:v>54.055999999999997</c:v>
                </c:pt>
                <c:pt idx="22">
                  <c:v>53.783999999999999</c:v>
                </c:pt>
                <c:pt idx="23">
                  <c:v>53.783999999999999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4D6A-4D4E-A1FA-351E5470F28C}"/>
            </c:ext>
          </c:extLst>
        </c:ser>
        <c:ser>
          <c:idx val="2"/>
          <c:order val="2"/>
          <c:tx>
            <c:strRef>
              <c:f>all!$E$4</c:f>
              <c:strCache>
                <c:ptCount val="1"/>
                <c:pt idx="0">
                  <c:v>Aich (2014) 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3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-7.4926049517057017E-2"/>
                  <c:y val="0.16649235728845693"/>
                </c:manualLayout>
              </c:layout>
              <c:numFmt formatCode="General" sourceLinked="0"/>
              <c:spPr>
                <a:solidFill>
                  <a:schemeClr val="accent6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all!$E$10:$E$33</c:f>
              <c:numCache>
                <c:formatCode>0.0000</c:formatCode>
                <c:ptCount val="24"/>
                <c:pt idx="0">
                  <c:v>8.8732929175135894E-2</c:v>
                </c:pt>
                <c:pt idx="1">
                  <c:v>-1.9463558010346702E-2</c:v>
                </c:pt>
                <c:pt idx="2">
                  <c:v>0.10415722716452799</c:v>
                </c:pt>
                <c:pt idx="3">
                  <c:v>4.66251429291673E-2</c:v>
                </c:pt>
                <c:pt idx="4">
                  <c:v>9.0894558490112708E-3</c:v>
                </c:pt>
                <c:pt idx="7">
                  <c:v>2.0373962034653699E-2</c:v>
                </c:pt>
                <c:pt idx="10">
                  <c:v>2.4947102971666898E-2</c:v>
                </c:pt>
                <c:pt idx="11">
                  <c:v>9.6293174744729593E-3</c:v>
                </c:pt>
                <c:pt idx="12">
                  <c:v>0.14608753400636901</c:v>
                </c:pt>
                <c:pt idx="15">
                  <c:v>1.27691539373017E-2</c:v>
                </c:pt>
                <c:pt idx="16">
                  <c:v>6.7576112725014403E-2</c:v>
                </c:pt>
                <c:pt idx="17">
                  <c:v>-0.35416666689988402</c:v>
                </c:pt>
                <c:pt idx="18">
                  <c:v>4.5646344187588998E-2</c:v>
                </c:pt>
                <c:pt idx="19">
                  <c:v>1.47909285306715E-2</c:v>
                </c:pt>
                <c:pt idx="20">
                  <c:v>3.5842816756479302E-2</c:v>
                </c:pt>
                <c:pt idx="21">
                  <c:v>-4.0383997186219003E-2</c:v>
                </c:pt>
                <c:pt idx="22">
                  <c:v>3.6679485231980898E-2</c:v>
                </c:pt>
                <c:pt idx="23">
                  <c:v>-0.76160033358371604</c:v>
                </c:pt>
              </c:numCache>
            </c:numRef>
          </c:xVal>
          <c:yVal>
            <c:numRef>
              <c:f>all!$K$10:$K$33</c:f>
              <c:numCache>
                <c:formatCode>General</c:formatCode>
                <c:ptCount val="24"/>
                <c:pt idx="0">
                  <c:v>47.354999999999997</c:v>
                </c:pt>
                <c:pt idx="2">
                  <c:v>101.105</c:v>
                </c:pt>
                <c:pt idx="3">
                  <c:v>44.466000000000001</c:v>
                </c:pt>
                <c:pt idx="4">
                  <c:v>47.503</c:v>
                </c:pt>
                <c:pt idx="6">
                  <c:v>54.055999999999997</c:v>
                </c:pt>
                <c:pt idx="7">
                  <c:v>53.783999999999999</c:v>
                </c:pt>
                <c:pt idx="8">
                  <c:v>53.783999999999999</c:v>
                </c:pt>
                <c:pt idx="12">
                  <c:v>60.710430000000002</c:v>
                </c:pt>
                <c:pt idx="13">
                  <c:v>45.71622</c:v>
                </c:pt>
                <c:pt idx="14">
                  <c:v>46.063560000000003</c:v>
                </c:pt>
                <c:pt idx="15">
                  <c:v>47.354999999999997</c:v>
                </c:pt>
                <c:pt idx="17">
                  <c:v>101.105</c:v>
                </c:pt>
                <c:pt idx="18">
                  <c:v>44.466000000000001</c:v>
                </c:pt>
                <c:pt idx="19">
                  <c:v>47.503</c:v>
                </c:pt>
                <c:pt idx="21">
                  <c:v>54.055999999999997</c:v>
                </c:pt>
                <c:pt idx="22">
                  <c:v>53.783999999999999</c:v>
                </c:pt>
                <c:pt idx="23">
                  <c:v>53.783999999999999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4D6A-4D4E-A1FA-351E5470F28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29882927"/>
        <c:axId val="129899727"/>
      </c:scatterChart>
      <c:valAx>
        <c:axId val="129882927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Hysteresis Index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9899727"/>
        <c:crosses val="autoZero"/>
        <c:crossBetween val="midCat"/>
      </c:valAx>
      <c:valAx>
        <c:axId val="12989972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Dmax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9882927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DOC</a:t>
            </a:r>
            <a:r>
              <a:rPr lang="en-US" baseline="0"/>
              <a:t> HI to Dmax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all!$C$4</c:f>
              <c:strCache>
                <c:ptCount val="1"/>
                <c:pt idx="0">
                  <c:v>Langlois (2005)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1.5867128298522853E-2"/>
                  <c:y val="0.15634127049626317"/>
                </c:manualLayout>
              </c:layout>
              <c:numFmt formatCode="General" sourceLinked="0"/>
              <c:spPr>
                <a:solidFill>
                  <a:schemeClr val="tx2">
                    <a:lumMod val="10000"/>
                    <a:lumOff val="9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all!$C$42:$C$65</c:f>
              <c:numCache>
                <c:formatCode>0.000</c:formatCode>
                <c:ptCount val="24"/>
                <c:pt idx="0">
                  <c:v>1.01982556926034</c:v>
                </c:pt>
                <c:pt idx="1">
                  <c:v>1.0105385292601801</c:v>
                </c:pt>
                <c:pt idx="2">
                  <c:v>1.04413498578157</c:v>
                </c:pt>
                <c:pt idx="3">
                  <c:v>1.04959681992682</c:v>
                </c:pt>
                <c:pt idx="4">
                  <c:v>0.97400899474341096</c:v>
                </c:pt>
                <c:pt idx="7">
                  <c:v>1.03922347944993</c:v>
                </c:pt>
                <c:pt idx="10">
                  <c:v>1.0683907677478099</c:v>
                </c:pt>
                <c:pt idx="11">
                  <c:v>1.13117180110701</c:v>
                </c:pt>
                <c:pt idx="12">
                  <c:v>0.99421602518435603</c:v>
                </c:pt>
                <c:pt idx="14">
                  <c:v>1.0587750080951299</c:v>
                </c:pt>
                <c:pt idx="15">
                  <c:v>1.04764110720538</c:v>
                </c:pt>
                <c:pt idx="16">
                  <c:v>1.1477045338510801</c:v>
                </c:pt>
                <c:pt idx="17">
                  <c:v>1.1126612766097499</c:v>
                </c:pt>
                <c:pt idx="18">
                  <c:v>1.2530304455719099</c:v>
                </c:pt>
                <c:pt idx="19">
                  <c:v>1.0813804129035001</c:v>
                </c:pt>
                <c:pt idx="20">
                  <c:v>1.2134925086481201</c:v>
                </c:pt>
                <c:pt idx="21">
                  <c:v>1.08380817355586</c:v>
                </c:pt>
                <c:pt idx="22">
                  <c:v>1.0367372638660399</c:v>
                </c:pt>
                <c:pt idx="23">
                  <c:v>1.1282134088167699</c:v>
                </c:pt>
              </c:numCache>
            </c:numRef>
          </c:xVal>
          <c:yVal>
            <c:numRef>
              <c:f>all!$K$42:$K$65</c:f>
              <c:numCache>
                <c:formatCode>General</c:formatCode>
                <c:ptCount val="24"/>
                <c:pt idx="0">
                  <c:v>47.354999999999997</c:v>
                </c:pt>
                <c:pt idx="2">
                  <c:v>101.105</c:v>
                </c:pt>
                <c:pt idx="3">
                  <c:v>44.466000000000001</c:v>
                </c:pt>
                <c:pt idx="4">
                  <c:v>47.503</c:v>
                </c:pt>
                <c:pt idx="6">
                  <c:v>54.055999999999997</c:v>
                </c:pt>
                <c:pt idx="7">
                  <c:v>53.783999999999999</c:v>
                </c:pt>
                <c:pt idx="8">
                  <c:v>53.783999999999999</c:v>
                </c:pt>
                <c:pt idx="12">
                  <c:v>60.710430000000002</c:v>
                </c:pt>
                <c:pt idx="13">
                  <c:v>45.71622</c:v>
                </c:pt>
                <c:pt idx="14">
                  <c:v>46.063560000000003</c:v>
                </c:pt>
                <c:pt idx="15">
                  <c:v>47.354999999999997</c:v>
                </c:pt>
                <c:pt idx="17">
                  <c:v>101.105</c:v>
                </c:pt>
                <c:pt idx="18">
                  <c:v>44.466000000000001</c:v>
                </c:pt>
                <c:pt idx="19">
                  <c:v>47.503</c:v>
                </c:pt>
                <c:pt idx="21">
                  <c:v>54.055999999999997</c:v>
                </c:pt>
                <c:pt idx="22">
                  <c:v>53.783999999999999</c:v>
                </c:pt>
                <c:pt idx="23">
                  <c:v>53.783999999999999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F0D8-4392-A552-A7E637397AA0}"/>
            </c:ext>
          </c:extLst>
        </c:ser>
        <c:ser>
          <c:idx val="1"/>
          <c:order val="1"/>
          <c:tx>
            <c:strRef>
              <c:f>all!$D$4</c:f>
              <c:strCache>
                <c:ptCount val="1"/>
                <c:pt idx="0">
                  <c:v>Lawler (2006)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-8.5820609639809114E-2"/>
                  <c:y val="0.11100427763978285"/>
                </c:manualLayout>
              </c:layout>
              <c:numFmt formatCode="General" sourceLinked="0"/>
              <c:spPr>
                <a:solidFill>
                  <a:schemeClr val="accent2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all!$D$42:$D$65</c:f>
              <c:numCache>
                <c:formatCode>0.000</c:formatCode>
                <c:ptCount val="24"/>
                <c:pt idx="0">
                  <c:v>0.38831940167197898</c:v>
                </c:pt>
                <c:pt idx="1">
                  <c:v>0.597784224122066</c:v>
                </c:pt>
                <c:pt idx="2">
                  <c:v>0.92934562720262803</c:v>
                </c:pt>
                <c:pt idx="3">
                  <c:v>-0.33094957948560899</c:v>
                </c:pt>
                <c:pt idx="4">
                  <c:v>-0.27375631737886102</c:v>
                </c:pt>
                <c:pt idx="7">
                  <c:v>0.59399199353963394</c:v>
                </c:pt>
                <c:pt idx="10">
                  <c:v>0.74870138294766397</c:v>
                </c:pt>
                <c:pt idx="11">
                  <c:v>1.1019405303793299</c:v>
                </c:pt>
                <c:pt idx="12">
                  <c:v>0.17884914222762199</c:v>
                </c:pt>
                <c:pt idx="14">
                  <c:v>0.662333397055619</c:v>
                </c:pt>
                <c:pt idx="15">
                  <c:v>1.10062768451704</c:v>
                </c:pt>
                <c:pt idx="16">
                  <c:v>0.97101599927504101</c:v>
                </c:pt>
                <c:pt idx="17">
                  <c:v>0.95380985457733503</c:v>
                </c:pt>
                <c:pt idx="18">
                  <c:v>1.1029723476739599</c:v>
                </c:pt>
                <c:pt idx="19">
                  <c:v>0.52079829390269505</c:v>
                </c:pt>
                <c:pt idx="20">
                  <c:v>0.94175163201491896</c:v>
                </c:pt>
                <c:pt idx="21">
                  <c:v>0.28231733716004298</c:v>
                </c:pt>
                <c:pt idx="22">
                  <c:v>0.55097576187408004</c:v>
                </c:pt>
                <c:pt idx="23">
                  <c:v>0.99053604379690696</c:v>
                </c:pt>
              </c:numCache>
            </c:numRef>
          </c:xVal>
          <c:yVal>
            <c:numRef>
              <c:f>all!$K$42:$K$65</c:f>
              <c:numCache>
                <c:formatCode>General</c:formatCode>
                <c:ptCount val="24"/>
                <c:pt idx="0">
                  <c:v>47.354999999999997</c:v>
                </c:pt>
                <c:pt idx="2">
                  <c:v>101.105</c:v>
                </c:pt>
                <c:pt idx="3">
                  <c:v>44.466000000000001</c:v>
                </c:pt>
                <c:pt idx="4">
                  <c:v>47.503</c:v>
                </c:pt>
                <c:pt idx="6">
                  <c:v>54.055999999999997</c:v>
                </c:pt>
                <c:pt idx="7">
                  <c:v>53.783999999999999</c:v>
                </c:pt>
                <c:pt idx="8">
                  <c:v>53.783999999999999</c:v>
                </c:pt>
                <c:pt idx="12">
                  <c:v>60.710430000000002</c:v>
                </c:pt>
                <c:pt idx="13">
                  <c:v>45.71622</c:v>
                </c:pt>
                <c:pt idx="14">
                  <c:v>46.063560000000003</c:v>
                </c:pt>
                <c:pt idx="15">
                  <c:v>47.354999999999997</c:v>
                </c:pt>
                <c:pt idx="17">
                  <c:v>101.105</c:v>
                </c:pt>
                <c:pt idx="18">
                  <c:v>44.466000000000001</c:v>
                </c:pt>
                <c:pt idx="19">
                  <c:v>47.503</c:v>
                </c:pt>
                <c:pt idx="21">
                  <c:v>54.055999999999997</c:v>
                </c:pt>
                <c:pt idx="22">
                  <c:v>53.783999999999999</c:v>
                </c:pt>
                <c:pt idx="23">
                  <c:v>53.783999999999999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F0D8-4392-A552-A7E637397AA0}"/>
            </c:ext>
          </c:extLst>
        </c:ser>
        <c:ser>
          <c:idx val="2"/>
          <c:order val="2"/>
          <c:tx>
            <c:strRef>
              <c:f>all!$E$4</c:f>
              <c:strCache>
                <c:ptCount val="1"/>
                <c:pt idx="0">
                  <c:v>Aich (2014) 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3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-7.4926049517057017E-2"/>
                  <c:y val="0.16649235728845693"/>
                </c:manualLayout>
              </c:layout>
              <c:numFmt formatCode="General" sourceLinked="0"/>
              <c:spPr>
                <a:solidFill>
                  <a:schemeClr val="accent6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all!$E$42:$E$65</c:f>
              <c:numCache>
                <c:formatCode>0.000</c:formatCode>
                <c:ptCount val="24"/>
                <c:pt idx="0">
                  <c:v>1.20306787922476E-2</c:v>
                </c:pt>
                <c:pt idx="1">
                  <c:v>2.7386597361713599E-2</c:v>
                </c:pt>
                <c:pt idx="2">
                  <c:v>2.8615745110634201E-2</c:v>
                </c:pt>
                <c:pt idx="3">
                  <c:v>4.4113621235337297E-2</c:v>
                </c:pt>
                <c:pt idx="4">
                  <c:v>-8.0536265843332393E-3</c:v>
                </c:pt>
                <c:pt idx="7">
                  <c:v>2.7450804091866201E-2</c:v>
                </c:pt>
                <c:pt idx="10">
                  <c:v>6.5697545304297195E-2</c:v>
                </c:pt>
                <c:pt idx="11">
                  <c:v>0.132436068542756</c:v>
                </c:pt>
                <c:pt idx="12">
                  <c:v>-4.2076076707890497E-3</c:v>
                </c:pt>
                <c:pt idx="14">
                  <c:v>0.12430930853391101</c:v>
                </c:pt>
                <c:pt idx="15">
                  <c:v>9.2876994447724404E-2</c:v>
                </c:pt>
                <c:pt idx="16">
                  <c:v>8.3834633446242604E-2</c:v>
                </c:pt>
                <c:pt idx="17">
                  <c:v>4.4857179056258203E-2</c:v>
                </c:pt>
                <c:pt idx="18">
                  <c:v>7.6664996000854094E-2</c:v>
                </c:pt>
                <c:pt idx="19">
                  <c:v>2.1219861817338499E-2</c:v>
                </c:pt>
                <c:pt idx="20">
                  <c:v>8.5275451626537893E-2</c:v>
                </c:pt>
                <c:pt idx="21">
                  <c:v>3.1629539106965802E-2</c:v>
                </c:pt>
                <c:pt idx="22">
                  <c:v>4.3964016574286002E-2</c:v>
                </c:pt>
                <c:pt idx="23">
                  <c:v>5.3048699734524599E-2</c:v>
                </c:pt>
              </c:numCache>
            </c:numRef>
          </c:xVal>
          <c:yVal>
            <c:numRef>
              <c:f>all!$K$42:$K$65</c:f>
              <c:numCache>
                <c:formatCode>General</c:formatCode>
                <c:ptCount val="24"/>
                <c:pt idx="0">
                  <c:v>47.354999999999997</c:v>
                </c:pt>
                <c:pt idx="2">
                  <c:v>101.105</c:v>
                </c:pt>
                <c:pt idx="3">
                  <c:v>44.466000000000001</c:v>
                </c:pt>
                <c:pt idx="4">
                  <c:v>47.503</c:v>
                </c:pt>
                <c:pt idx="6">
                  <c:v>54.055999999999997</c:v>
                </c:pt>
                <c:pt idx="7">
                  <c:v>53.783999999999999</c:v>
                </c:pt>
                <c:pt idx="8">
                  <c:v>53.783999999999999</c:v>
                </c:pt>
                <c:pt idx="12">
                  <c:v>60.710430000000002</c:v>
                </c:pt>
                <c:pt idx="13">
                  <c:v>45.71622</c:v>
                </c:pt>
                <c:pt idx="14">
                  <c:v>46.063560000000003</c:v>
                </c:pt>
                <c:pt idx="15">
                  <c:v>47.354999999999997</c:v>
                </c:pt>
                <c:pt idx="17">
                  <c:v>101.105</c:v>
                </c:pt>
                <c:pt idx="18">
                  <c:v>44.466000000000001</c:v>
                </c:pt>
                <c:pt idx="19">
                  <c:v>47.503</c:v>
                </c:pt>
                <c:pt idx="21">
                  <c:v>54.055999999999997</c:v>
                </c:pt>
                <c:pt idx="22">
                  <c:v>53.783999999999999</c:v>
                </c:pt>
                <c:pt idx="23">
                  <c:v>53.783999999999999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F0D8-4392-A552-A7E637397AA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29882927"/>
        <c:axId val="129899727"/>
      </c:scatterChart>
      <c:valAx>
        <c:axId val="129882927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Hysteresis Index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9899727"/>
        <c:crosses val="autoZero"/>
        <c:crossBetween val="midCat"/>
      </c:valAx>
      <c:valAx>
        <c:axId val="12989972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Dmax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9882927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Time between events </a:t>
            </a:r>
            <a:r>
              <a:rPr lang="en-US" baseline="0"/>
              <a:t>to tc50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all!$G$4</c:f>
              <c:strCache>
                <c:ptCount val="1"/>
                <c:pt idx="0">
                  <c:v>Time between events (no τc exceedance) (hrs)</c:v>
                </c:pt>
              </c:strCache>
            </c:strRef>
          </c:tx>
          <c:spPr>
            <a:ln w="381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0.22774664092473365"/>
                  <c:y val="7.0111217032094053E-2"/>
                </c:manualLayout>
              </c:layout>
              <c:numFmt formatCode="General" sourceLinked="0"/>
              <c:spPr>
                <a:solidFill>
                  <a:schemeClr val="tx2">
                    <a:lumMod val="10000"/>
                    <a:lumOff val="9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all!$G$10:$G$33</c:f>
              <c:numCache>
                <c:formatCode>General</c:formatCode>
                <c:ptCount val="24"/>
                <c:pt idx="0">
                  <c:v>21</c:v>
                </c:pt>
                <c:pt idx="1">
                  <c:v>21.5</c:v>
                </c:pt>
                <c:pt idx="2">
                  <c:v>75</c:v>
                </c:pt>
                <c:pt idx="3">
                  <c:v>47.5</c:v>
                </c:pt>
                <c:pt idx="4">
                  <c:v>23.5</c:v>
                </c:pt>
                <c:pt idx="5">
                  <c:v>27.75</c:v>
                </c:pt>
                <c:pt idx="6">
                  <c:v>20</c:v>
                </c:pt>
                <c:pt idx="7">
                  <c:v>23.75</c:v>
                </c:pt>
                <c:pt idx="8">
                  <c:v>23.5</c:v>
                </c:pt>
                <c:pt idx="9">
                  <c:v>24</c:v>
                </c:pt>
                <c:pt idx="11">
                  <c:v>22</c:v>
                </c:pt>
                <c:pt idx="12">
                  <c:v>21.75</c:v>
                </c:pt>
                <c:pt idx="13">
                  <c:v>48.5</c:v>
                </c:pt>
                <c:pt idx="14">
                  <c:v>28.75</c:v>
                </c:pt>
                <c:pt idx="15">
                  <c:v>21</c:v>
                </c:pt>
                <c:pt idx="16">
                  <c:v>21.5</c:v>
                </c:pt>
                <c:pt idx="17">
                  <c:v>75</c:v>
                </c:pt>
                <c:pt idx="18">
                  <c:v>47.5</c:v>
                </c:pt>
                <c:pt idx="19">
                  <c:v>23.5</c:v>
                </c:pt>
                <c:pt idx="20">
                  <c:v>27.75</c:v>
                </c:pt>
                <c:pt idx="21">
                  <c:v>20</c:v>
                </c:pt>
                <c:pt idx="22">
                  <c:v>23.75</c:v>
                </c:pt>
                <c:pt idx="23">
                  <c:v>23.5</c:v>
                </c:pt>
              </c:numCache>
            </c:numRef>
          </c:xVal>
          <c:yVal>
            <c:numRef>
              <c:f>all!$I$10:$I$33</c:f>
              <c:numCache>
                <c:formatCode>0.000</c:formatCode>
                <c:ptCount val="24"/>
                <c:pt idx="0">
                  <c:v>113.72040256</c:v>
                </c:pt>
                <c:pt idx="2">
                  <c:v>112.66319882000001</c:v>
                </c:pt>
                <c:pt idx="3">
                  <c:v>114.89097618</c:v>
                </c:pt>
                <c:pt idx="4">
                  <c:v>116.55531655999999</c:v>
                </c:pt>
                <c:pt idx="6">
                  <c:v>118.40602251999999</c:v>
                </c:pt>
                <c:pt idx="7">
                  <c:v>115.75512236</c:v>
                </c:pt>
                <c:pt idx="8">
                  <c:v>121.12197168</c:v>
                </c:pt>
                <c:pt idx="12">
                  <c:v>118.22733427999999</c:v>
                </c:pt>
                <c:pt idx="13">
                  <c:v>108.51115272</c:v>
                </c:pt>
                <c:pt idx="14">
                  <c:v>106.97060942</c:v>
                </c:pt>
                <c:pt idx="15">
                  <c:v>113.72040256</c:v>
                </c:pt>
                <c:pt idx="17">
                  <c:v>112.66319882000001</c:v>
                </c:pt>
                <c:pt idx="18">
                  <c:v>114.89097618</c:v>
                </c:pt>
                <c:pt idx="19">
                  <c:v>116.55531655999999</c:v>
                </c:pt>
                <c:pt idx="21">
                  <c:v>118.40602251999999</c:v>
                </c:pt>
                <c:pt idx="22">
                  <c:v>115.75512236</c:v>
                </c:pt>
                <c:pt idx="23">
                  <c:v>121.12197168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B4E7-46CA-B618-654D67C47FBA}"/>
            </c:ext>
          </c:extLst>
        </c:ser>
        <c:ser>
          <c:idx val="1"/>
          <c:order val="1"/>
          <c:tx>
            <c:strRef>
              <c:f>all!$H$4</c:f>
              <c:strCache>
                <c:ptCount val="1"/>
                <c:pt idx="0">
                  <c:v>Time between events τc exceedance (hrs)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0.10955098096524016"/>
                  <c:y val="-0.11385072618179778"/>
                </c:manualLayout>
              </c:layout>
              <c:numFmt formatCode="General" sourceLinked="0"/>
              <c:spPr>
                <a:solidFill>
                  <a:schemeClr val="accent2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all!$H$10:$H$33</c:f>
              <c:numCache>
                <c:formatCode>General</c:formatCode>
                <c:ptCount val="24"/>
                <c:pt idx="0">
                  <c:v>21</c:v>
                </c:pt>
                <c:pt idx="2">
                  <c:v>96.5</c:v>
                </c:pt>
                <c:pt idx="3">
                  <c:v>47.5</c:v>
                </c:pt>
                <c:pt idx="4">
                  <c:v>23.5</c:v>
                </c:pt>
                <c:pt idx="6">
                  <c:v>47.75</c:v>
                </c:pt>
                <c:pt idx="7">
                  <c:v>23.75</c:v>
                </c:pt>
                <c:pt idx="8">
                  <c:v>23.5</c:v>
                </c:pt>
                <c:pt idx="13">
                  <c:v>48.5</c:v>
                </c:pt>
                <c:pt idx="14">
                  <c:v>28.75</c:v>
                </c:pt>
                <c:pt idx="15">
                  <c:v>21</c:v>
                </c:pt>
                <c:pt idx="17">
                  <c:v>96.5</c:v>
                </c:pt>
                <c:pt idx="18">
                  <c:v>47.5</c:v>
                </c:pt>
                <c:pt idx="19">
                  <c:v>23.5</c:v>
                </c:pt>
                <c:pt idx="21">
                  <c:v>47.75</c:v>
                </c:pt>
                <c:pt idx="22">
                  <c:v>23.75</c:v>
                </c:pt>
                <c:pt idx="23">
                  <c:v>23.5</c:v>
                </c:pt>
              </c:numCache>
            </c:numRef>
          </c:xVal>
          <c:yVal>
            <c:numRef>
              <c:f>all!$I$10:$I$33</c:f>
              <c:numCache>
                <c:formatCode>0.000</c:formatCode>
                <c:ptCount val="24"/>
                <c:pt idx="0">
                  <c:v>113.72040256</c:v>
                </c:pt>
                <c:pt idx="2">
                  <c:v>112.66319882000001</c:v>
                </c:pt>
                <c:pt idx="3">
                  <c:v>114.89097618</c:v>
                </c:pt>
                <c:pt idx="4">
                  <c:v>116.55531655999999</c:v>
                </c:pt>
                <c:pt idx="6">
                  <c:v>118.40602251999999</c:v>
                </c:pt>
                <c:pt idx="7">
                  <c:v>115.75512236</c:v>
                </c:pt>
                <c:pt idx="8">
                  <c:v>121.12197168</c:v>
                </c:pt>
                <c:pt idx="12">
                  <c:v>118.22733427999999</c:v>
                </c:pt>
                <c:pt idx="13">
                  <c:v>108.51115272</c:v>
                </c:pt>
                <c:pt idx="14">
                  <c:v>106.97060942</c:v>
                </c:pt>
                <c:pt idx="15">
                  <c:v>113.72040256</c:v>
                </c:pt>
                <c:pt idx="17">
                  <c:v>112.66319882000001</c:v>
                </c:pt>
                <c:pt idx="18">
                  <c:v>114.89097618</c:v>
                </c:pt>
                <c:pt idx="19">
                  <c:v>116.55531655999999</c:v>
                </c:pt>
                <c:pt idx="21">
                  <c:v>118.40602251999999</c:v>
                </c:pt>
                <c:pt idx="22">
                  <c:v>115.75512236</c:v>
                </c:pt>
                <c:pt idx="23">
                  <c:v>121.12197168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B4E7-46CA-B618-654D67C47FB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29882927"/>
        <c:axId val="129899727"/>
      </c:scatterChart>
      <c:valAx>
        <c:axId val="129882927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Hours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9899727"/>
        <c:crosses val="autoZero"/>
        <c:crossBetween val="midCat"/>
      </c:valAx>
      <c:valAx>
        <c:axId val="12989972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Critical</a:t>
                </a:r>
                <a:r>
                  <a:rPr lang="en-US" baseline="0"/>
                  <a:t> Shear Stress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0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9882927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legendEntry>
        <c:idx val="2"/>
        <c:delete val="1"/>
      </c:legendEntry>
      <c:legendEntry>
        <c:idx val="3"/>
        <c:delete val="1"/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Peak</a:t>
            </a:r>
            <a:r>
              <a:rPr lang="en-US" baseline="0"/>
              <a:t> </a:t>
            </a:r>
            <a:r>
              <a:rPr lang="en-US"/>
              <a:t>concentration</a:t>
            </a:r>
            <a:r>
              <a:rPr lang="en-US" baseline="0"/>
              <a:t> to tc50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1"/>
          <c:order val="0"/>
          <c:tx>
            <c:strRef>
              <c:f>all!$B$3</c:f>
              <c:strCache>
                <c:ptCount val="1"/>
                <c:pt idx="0">
                  <c:v>SSC (mg/L)</c:v>
                </c:pt>
              </c:strCache>
            </c:strRef>
          </c:tx>
          <c:spPr>
            <a:ln w="381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0.10955098096524016"/>
                  <c:y val="-0.11385072618179778"/>
                </c:manualLayout>
              </c:layout>
              <c:numFmt formatCode="General" sourceLinked="0"/>
              <c:spPr>
                <a:solidFill>
                  <a:schemeClr val="accent2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all!$F$10:$F$33</c:f>
              <c:numCache>
                <c:formatCode>0.00</c:formatCode>
                <c:ptCount val="24"/>
                <c:pt idx="0">
                  <c:v>10.34482759</c:v>
                </c:pt>
                <c:pt idx="1">
                  <c:v>26.086956520000001</c:v>
                </c:pt>
                <c:pt idx="2">
                  <c:v>8.125</c:v>
                </c:pt>
                <c:pt idx="3">
                  <c:v>12.67</c:v>
                </c:pt>
                <c:pt idx="4">
                  <c:v>42</c:v>
                </c:pt>
                <c:pt idx="7">
                  <c:v>20.666666670000001</c:v>
                </c:pt>
                <c:pt idx="10">
                  <c:v>16</c:v>
                </c:pt>
                <c:pt idx="11">
                  <c:v>21.5</c:v>
                </c:pt>
                <c:pt idx="12">
                  <c:v>12.222222220000001</c:v>
                </c:pt>
                <c:pt idx="15">
                  <c:v>11.25</c:v>
                </c:pt>
                <c:pt idx="16">
                  <c:v>15</c:v>
                </c:pt>
                <c:pt idx="17">
                  <c:v>11.612903230000001</c:v>
                </c:pt>
                <c:pt idx="18">
                  <c:v>14.545454550000001</c:v>
                </c:pt>
                <c:pt idx="19">
                  <c:v>45</c:v>
                </c:pt>
                <c:pt idx="20">
                  <c:v>20</c:v>
                </c:pt>
                <c:pt idx="21">
                  <c:v>4.375</c:v>
                </c:pt>
                <c:pt idx="22">
                  <c:v>24.375</c:v>
                </c:pt>
                <c:pt idx="23">
                  <c:v>5.7142857139999998</c:v>
                </c:pt>
              </c:numCache>
            </c:numRef>
          </c:xVal>
          <c:yVal>
            <c:numRef>
              <c:f>all!$I$10:$I$33</c:f>
              <c:numCache>
                <c:formatCode>0.000</c:formatCode>
                <c:ptCount val="24"/>
                <c:pt idx="0">
                  <c:v>113.72040256</c:v>
                </c:pt>
                <c:pt idx="2">
                  <c:v>112.66319882000001</c:v>
                </c:pt>
                <c:pt idx="3">
                  <c:v>114.89097618</c:v>
                </c:pt>
                <c:pt idx="4">
                  <c:v>116.55531655999999</c:v>
                </c:pt>
                <c:pt idx="6">
                  <c:v>118.40602251999999</c:v>
                </c:pt>
                <c:pt idx="7">
                  <c:v>115.75512236</c:v>
                </c:pt>
                <c:pt idx="8">
                  <c:v>121.12197168</c:v>
                </c:pt>
                <c:pt idx="12">
                  <c:v>118.22733427999999</c:v>
                </c:pt>
                <c:pt idx="13">
                  <c:v>108.51115272</c:v>
                </c:pt>
                <c:pt idx="14">
                  <c:v>106.97060942</c:v>
                </c:pt>
                <c:pt idx="15">
                  <c:v>113.72040256</c:v>
                </c:pt>
                <c:pt idx="17">
                  <c:v>112.66319882000001</c:v>
                </c:pt>
                <c:pt idx="18">
                  <c:v>114.89097618</c:v>
                </c:pt>
                <c:pt idx="19">
                  <c:v>116.55531655999999</c:v>
                </c:pt>
                <c:pt idx="21">
                  <c:v>118.40602251999999</c:v>
                </c:pt>
                <c:pt idx="22">
                  <c:v>115.75512236</c:v>
                </c:pt>
                <c:pt idx="23">
                  <c:v>121.12197168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8DA2-4915-B80A-E3BFCA3A9295}"/>
            </c:ext>
          </c:extLst>
        </c:ser>
        <c:ser>
          <c:idx val="0"/>
          <c:order val="1"/>
          <c:tx>
            <c:strRef>
              <c:f>all!$B$35</c:f>
              <c:strCache>
                <c:ptCount val="1"/>
                <c:pt idx="0">
                  <c:v>DOC (mg/L)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0.33808896547198652"/>
                  <c:y val="-0.2819180833561572"/>
                </c:manualLayout>
              </c:layout>
              <c:numFmt formatCode="General" sourceLinked="0"/>
              <c:spPr>
                <a:solidFill>
                  <a:schemeClr val="tx2">
                    <a:lumMod val="10000"/>
                    <a:lumOff val="9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all!$F$42:$F$65</c:f>
              <c:numCache>
                <c:formatCode>0.00</c:formatCode>
                <c:ptCount val="24"/>
                <c:pt idx="0">
                  <c:v>3.3380000000000001</c:v>
                </c:pt>
                <c:pt idx="1">
                  <c:v>3.37</c:v>
                </c:pt>
                <c:pt idx="2">
                  <c:v>3.2989999999999999</c:v>
                </c:pt>
                <c:pt idx="3">
                  <c:v>3.1309999999999998</c:v>
                </c:pt>
                <c:pt idx="4">
                  <c:v>3.7759999999999998</c:v>
                </c:pt>
                <c:pt idx="7">
                  <c:v>3.5110000000000001</c:v>
                </c:pt>
                <c:pt idx="10" formatCode="General">
                  <c:v>3.8290000000000002</c:v>
                </c:pt>
                <c:pt idx="11" formatCode="General">
                  <c:v>4.6630000000000003</c:v>
                </c:pt>
                <c:pt idx="12" formatCode="General">
                  <c:v>3.9940000000000002</c:v>
                </c:pt>
                <c:pt idx="14" formatCode="General">
                  <c:v>3.8860000000000001</c:v>
                </c:pt>
                <c:pt idx="15" formatCode="General">
                  <c:v>3.7970000000000002</c:v>
                </c:pt>
                <c:pt idx="16" formatCode="General">
                  <c:v>4.5410000000000004</c:v>
                </c:pt>
                <c:pt idx="17" formatCode="General">
                  <c:v>3.456</c:v>
                </c:pt>
                <c:pt idx="18" formatCode="General">
                  <c:v>4.681</c:v>
                </c:pt>
                <c:pt idx="19" formatCode="General">
                  <c:v>4.9790000000000001</c:v>
                </c:pt>
                <c:pt idx="20" formatCode="General">
                  <c:v>4.6879999999999997</c:v>
                </c:pt>
                <c:pt idx="21" formatCode="General">
                  <c:v>3.4780000000000002</c:v>
                </c:pt>
                <c:pt idx="22" formatCode="General">
                  <c:v>4.0039999999999996</c:v>
                </c:pt>
                <c:pt idx="23" formatCode="General">
                  <c:v>3.5750000000000002</c:v>
                </c:pt>
              </c:numCache>
            </c:numRef>
          </c:xVal>
          <c:yVal>
            <c:numRef>
              <c:f>all!$I$42:$I$65</c:f>
              <c:numCache>
                <c:formatCode>0.000</c:formatCode>
                <c:ptCount val="24"/>
                <c:pt idx="0">
                  <c:v>113.72040256</c:v>
                </c:pt>
                <c:pt idx="2">
                  <c:v>112.66319882000001</c:v>
                </c:pt>
                <c:pt idx="3">
                  <c:v>114.89097618</c:v>
                </c:pt>
                <c:pt idx="4">
                  <c:v>116.55531655999999</c:v>
                </c:pt>
                <c:pt idx="6">
                  <c:v>118.40602251999999</c:v>
                </c:pt>
                <c:pt idx="7">
                  <c:v>115.75512236</c:v>
                </c:pt>
                <c:pt idx="8">
                  <c:v>121.12197168</c:v>
                </c:pt>
                <c:pt idx="12">
                  <c:v>118.22733427999999</c:v>
                </c:pt>
                <c:pt idx="13">
                  <c:v>108.51115272</c:v>
                </c:pt>
                <c:pt idx="14">
                  <c:v>106.97060942</c:v>
                </c:pt>
                <c:pt idx="15">
                  <c:v>113.72040256</c:v>
                </c:pt>
                <c:pt idx="17">
                  <c:v>112.66319882000001</c:v>
                </c:pt>
                <c:pt idx="18">
                  <c:v>114.89097618</c:v>
                </c:pt>
                <c:pt idx="19">
                  <c:v>116.55531655999999</c:v>
                </c:pt>
                <c:pt idx="21">
                  <c:v>118.40602251999999</c:v>
                </c:pt>
                <c:pt idx="22">
                  <c:v>115.75512236</c:v>
                </c:pt>
                <c:pt idx="23">
                  <c:v>121.12197168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8DA2-4915-B80A-E3BFCA3A9295}"/>
            </c:ext>
          </c:extLst>
        </c:ser>
        <c:ser>
          <c:idx val="2"/>
          <c:order val="2"/>
          <c:tx>
            <c:strRef>
              <c:f>all!$C$67</c:f>
              <c:strCache>
                <c:ptCount val="1"/>
                <c:pt idx="0">
                  <c:v>Turnidity NTU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3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-0.45240058036810116"/>
                  <c:y val="-9.4009692470701164E-2"/>
                </c:manualLayout>
              </c:layout>
              <c:numFmt formatCode="General" sourceLinked="0"/>
              <c:spPr>
                <a:solidFill>
                  <a:schemeClr val="accent6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all!$I$70:$I$96</c:f>
              <c:numCache>
                <c:formatCode>0.000</c:formatCode>
                <c:ptCount val="27"/>
                <c:pt idx="0">
                  <c:v>16.113236000000001</c:v>
                </c:pt>
                <c:pt idx="1">
                  <c:v>12.133376200000001</c:v>
                </c:pt>
                <c:pt idx="2">
                  <c:v>13.1930706</c:v>
                </c:pt>
                <c:pt idx="3">
                  <c:v>9.7677034200000001</c:v>
                </c:pt>
                <c:pt idx="4">
                  <c:v>15.528736</c:v>
                </c:pt>
                <c:pt idx="5">
                  <c:v>14.369724039999999</c:v>
                </c:pt>
                <c:pt idx="6">
                  <c:v>19.197853511999998</c:v>
                </c:pt>
                <c:pt idx="7">
                  <c:v>45.413344000000002</c:v>
                </c:pt>
                <c:pt idx="8">
                  <c:v>26.537703021999999</c:v>
                </c:pt>
                <c:pt idx="9">
                  <c:v>13.041978800000001</c:v>
                </c:pt>
                <c:pt idx="10">
                  <c:v>27.244893999999999</c:v>
                </c:pt>
                <c:pt idx="11">
                  <c:v>16.4784592</c:v>
                </c:pt>
                <c:pt idx="13" formatCode="0.0000">
                  <c:v>19.942087656000002</c:v>
                </c:pt>
                <c:pt idx="14" formatCode="0.0000">
                  <c:v>27.006948699999999</c:v>
                </c:pt>
                <c:pt idx="15" formatCode="0.0000">
                  <c:v>17.163158299999999</c:v>
                </c:pt>
                <c:pt idx="16" formatCode="0.0000">
                  <c:v>11.844246328000001</c:v>
                </c:pt>
                <c:pt idx="17" formatCode="0.0000">
                  <c:v>10.4846146</c:v>
                </c:pt>
                <c:pt idx="18" formatCode="0.0000">
                  <c:v>12.196904200000001</c:v>
                </c:pt>
                <c:pt idx="19" formatCode="0.0000">
                  <c:v>15.053141999999999</c:v>
                </c:pt>
                <c:pt idx="20" formatCode="0.0000">
                  <c:v>10.8144344</c:v>
                </c:pt>
                <c:pt idx="21" formatCode="0.0000">
                  <c:v>14.806100799999999</c:v>
                </c:pt>
                <c:pt idx="22" formatCode="0.0000">
                  <c:v>40.336936000000001</c:v>
                </c:pt>
                <c:pt idx="23" formatCode="0.0000">
                  <c:v>19.439147999999999</c:v>
                </c:pt>
                <c:pt idx="24" formatCode="0.0000">
                  <c:v>13.531736435999999</c:v>
                </c:pt>
                <c:pt idx="25" formatCode="0.0000">
                  <c:v>27.867789999999999</c:v>
                </c:pt>
                <c:pt idx="26" formatCode="0.0000">
                  <c:v>16.916785999999998</c:v>
                </c:pt>
              </c:numCache>
            </c:numRef>
          </c:xVal>
          <c:yVal>
            <c:numRef>
              <c:f>all!$M$70:$M$96</c:f>
              <c:numCache>
                <c:formatCode>General</c:formatCode>
                <c:ptCount val="27"/>
                <c:pt idx="0">
                  <c:v>118.22733427999999</c:v>
                </c:pt>
                <c:pt idx="1">
                  <c:v>108.51115272</c:v>
                </c:pt>
                <c:pt idx="2">
                  <c:v>106.97060942</c:v>
                </c:pt>
                <c:pt idx="3">
                  <c:v>113.72040256</c:v>
                </c:pt>
                <c:pt idx="5">
                  <c:v>112.66319882000001</c:v>
                </c:pt>
                <c:pt idx="6">
                  <c:v>114.89097618</c:v>
                </c:pt>
                <c:pt idx="7">
                  <c:v>116.55531655999999</c:v>
                </c:pt>
                <c:pt idx="9">
                  <c:v>118.40602251999999</c:v>
                </c:pt>
                <c:pt idx="10">
                  <c:v>115.75512236</c:v>
                </c:pt>
                <c:pt idx="11">
                  <c:v>121.12197168</c:v>
                </c:pt>
                <c:pt idx="15">
                  <c:v>118.22733427999999</c:v>
                </c:pt>
                <c:pt idx="16">
                  <c:v>108.51115272</c:v>
                </c:pt>
                <c:pt idx="17">
                  <c:v>106.97060942</c:v>
                </c:pt>
                <c:pt idx="18">
                  <c:v>113.72040256</c:v>
                </c:pt>
                <c:pt idx="20">
                  <c:v>112.66319882000001</c:v>
                </c:pt>
                <c:pt idx="21">
                  <c:v>114.89097618</c:v>
                </c:pt>
                <c:pt idx="22">
                  <c:v>116.55531655999999</c:v>
                </c:pt>
                <c:pt idx="24">
                  <c:v>118.40602251999999</c:v>
                </c:pt>
                <c:pt idx="25">
                  <c:v>115.75512236</c:v>
                </c:pt>
                <c:pt idx="26">
                  <c:v>121.12197168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A660-40F6-8B5D-08167A8A9B8C}"/>
            </c:ext>
          </c:extLst>
        </c:ser>
        <c:ser>
          <c:idx val="3"/>
          <c:order val="3"/>
          <c:tx>
            <c:strRef>
              <c:f>all!$Q$67</c:f>
              <c:strCache>
                <c:ptCount val="1"/>
                <c:pt idx="0">
                  <c:v>fDOM RFU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4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-0.16138097471704624"/>
                  <c:y val="8.1413192988357752E-2"/>
                </c:manualLayout>
              </c:layout>
              <c:numFmt formatCode="General" sourceLinked="0"/>
              <c:spPr>
                <a:solidFill>
                  <a:schemeClr val="accent4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all!$W$68:$W$96</c:f>
              <c:numCache>
                <c:formatCode>0.0000</c:formatCode>
                <c:ptCount val="29"/>
                <c:pt idx="0">
                  <c:v>0.68921237999999996</c:v>
                </c:pt>
                <c:pt idx="1">
                  <c:v>0.75338316000000005</c:v>
                </c:pt>
                <c:pt idx="2">
                  <c:v>0.70003090000000001</c:v>
                </c:pt>
                <c:pt idx="3">
                  <c:v>0.67864073999999996</c:v>
                </c:pt>
                <c:pt idx="4">
                  <c:v>0.62161316</c:v>
                </c:pt>
                <c:pt idx="5">
                  <c:v>0.65177686000000001</c:v>
                </c:pt>
                <c:pt idx="6">
                  <c:v>0.73085986000000003</c:v>
                </c:pt>
                <c:pt idx="7">
                  <c:v>0.69966109999999904</c:v>
                </c:pt>
                <c:pt idx="8">
                  <c:v>0.83630937999999999</c:v>
                </c:pt>
                <c:pt idx="9">
                  <c:v>1.0153706</c:v>
                </c:pt>
                <c:pt idx="10">
                  <c:v>0.97403329999999999</c:v>
                </c:pt>
                <c:pt idx="11">
                  <c:v>0.83745153999999999</c:v>
                </c:pt>
                <c:pt idx="12">
                  <c:v>0.94095271999999996</c:v>
                </c:pt>
                <c:pt idx="13">
                  <c:v>0.87974381999999995</c:v>
                </c:pt>
                <c:pt idx="14">
                  <c:v>0.67221945999999999</c:v>
                </c:pt>
                <c:pt idx="15" formatCode="0.000">
                  <c:v>0.91760478000000001</c:v>
                </c:pt>
                <c:pt idx="16" formatCode="0.000">
                  <c:v>0.96415406000000003</c:v>
                </c:pt>
                <c:pt idx="17" formatCode="0.000">
                  <c:v>0.87021844000000004</c:v>
                </c:pt>
                <c:pt idx="18" formatCode="0.000">
                  <c:v>0.67463406000000004</c:v>
                </c:pt>
                <c:pt idx="19" formatCode="0.000">
                  <c:v>0.70251850000000005</c:v>
                </c:pt>
                <c:pt idx="20" formatCode="0.000">
                  <c:v>0.78001461999999999</c:v>
                </c:pt>
                <c:pt idx="21" formatCode="0.000">
                  <c:v>0.88951659999999999</c:v>
                </c:pt>
                <c:pt idx="22" formatCode="0.000">
                  <c:v>2.5169402000000001</c:v>
                </c:pt>
                <c:pt idx="23" formatCode="0.000">
                  <c:v>2.1202784000000001</c:v>
                </c:pt>
                <c:pt idx="24" formatCode="0.000">
                  <c:v>1.5569007399999999</c:v>
                </c:pt>
                <c:pt idx="25" formatCode="0.000">
                  <c:v>1.0782071600000001</c:v>
                </c:pt>
                <c:pt idx="26" formatCode="0.000">
                  <c:v>0.85047623999999999</c:v>
                </c:pt>
                <c:pt idx="27" formatCode="0.000">
                  <c:v>0.9663117</c:v>
                </c:pt>
                <c:pt idx="28" formatCode="0.000">
                  <c:v>2.6299551999999999</c:v>
                </c:pt>
              </c:numCache>
            </c:numRef>
          </c:xVal>
          <c:yVal>
            <c:numRef>
              <c:f>all!$M$70:$M$96</c:f>
              <c:numCache>
                <c:formatCode>General</c:formatCode>
                <c:ptCount val="27"/>
                <c:pt idx="0">
                  <c:v>118.22733427999999</c:v>
                </c:pt>
                <c:pt idx="1">
                  <c:v>108.51115272</c:v>
                </c:pt>
                <c:pt idx="2">
                  <c:v>106.97060942</c:v>
                </c:pt>
                <c:pt idx="3">
                  <c:v>113.72040256</c:v>
                </c:pt>
                <c:pt idx="5">
                  <c:v>112.66319882000001</c:v>
                </c:pt>
                <c:pt idx="6">
                  <c:v>114.89097618</c:v>
                </c:pt>
                <c:pt idx="7">
                  <c:v>116.55531655999999</c:v>
                </c:pt>
                <c:pt idx="9">
                  <c:v>118.40602251999999</c:v>
                </c:pt>
                <c:pt idx="10">
                  <c:v>115.75512236</c:v>
                </c:pt>
                <c:pt idx="11">
                  <c:v>121.12197168</c:v>
                </c:pt>
                <c:pt idx="15">
                  <c:v>118.22733427999999</c:v>
                </c:pt>
                <c:pt idx="16">
                  <c:v>108.51115272</c:v>
                </c:pt>
                <c:pt idx="17">
                  <c:v>106.97060942</c:v>
                </c:pt>
                <c:pt idx="18">
                  <c:v>113.72040256</c:v>
                </c:pt>
                <c:pt idx="20">
                  <c:v>112.66319882000001</c:v>
                </c:pt>
                <c:pt idx="21">
                  <c:v>114.89097618</c:v>
                </c:pt>
                <c:pt idx="22">
                  <c:v>116.55531655999999</c:v>
                </c:pt>
                <c:pt idx="24">
                  <c:v>118.40602251999999</c:v>
                </c:pt>
                <c:pt idx="25">
                  <c:v>115.75512236</c:v>
                </c:pt>
                <c:pt idx="26">
                  <c:v>121.12197168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A660-40F6-8B5D-08167A8A9B8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29882927"/>
        <c:axId val="129899727"/>
      </c:scatterChart>
      <c:valAx>
        <c:axId val="129882927"/>
        <c:scaling>
          <c:logBase val="10"/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Peak concentration (mg/L)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9899727"/>
        <c:crosses val="autoZero"/>
        <c:crossBetween val="midCat"/>
      </c:valAx>
      <c:valAx>
        <c:axId val="12989972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Critical</a:t>
                </a:r>
                <a:r>
                  <a:rPr lang="en-US" baseline="0"/>
                  <a:t> Shear Stress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0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9882927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legendEntry>
        <c:idx val="4"/>
        <c:delete val="1"/>
      </c:legendEntry>
      <c:legendEntry>
        <c:idx val="5"/>
        <c:delete val="1"/>
      </c:legendEntry>
      <c:legendEntry>
        <c:idx val="6"/>
        <c:delete val="1"/>
      </c:legendEntry>
      <c:legendEntry>
        <c:idx val="7"/>
        <c:delete val="1"/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Turbidity</a:t>
            </a:r>
            <a:r>
              <a:rPr lang="en-US" baseline="0"/>
              <a:t> HI to tc50 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all!$D$67</c:f>
              <c:strCache>
                <c:ptCount val="1"/>
                <c:pt idx="0">
                  <c:v>Langlois (2005)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5.8959894400189136E-3"/>
                  <c:y val="0.22144861560354748"/>
                </c:manualLayout>
              </c:layout>
              <c:numFmt formatCode="General" sourceLinked="0"/>
              <c:spPr>
                <a:solidFill>
                  <a:schemeClr val="tx2">
                    <a:lumMod val="10000"/>
                    <a:lumOff val="9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all!$D$70:$D$96</c:f>
              <c:numCache>
                <c:formatCode>0.0000</c:formatCode>
                <c:ptCount val="27"/>
                <c:pt idx="0">
                  <c:v>1.2108318271354701</c:v>
                </c:pt>
                <c:pt idx="1">
                  <c:v>1.14568818263897</c:v>
                </c:pt>
                <c:pt idx="2">
                  <c:v>1.10273002217056</c:v>
                </c:pt>
                <c:pt idx="3">
                  <c:v>1.2576523908335999</c:v>
                </c:pt>
                <c:pt idx="4">
                  <c:v>1.24807759229999</c:v>
                </c:pt>
                <c:pt idx="5">
                  <c:v>1.42877693896201</c:v>
                </c:pt>
                <c:pt idx="6">
                  <c:v>1.33941755807892</c:v>
                </c:pt>
                <c:pt idx="7">
                  <c:v>1.3769164984553499</c:v>
                </c:pt>
                <c:pt idx="8">
                  <c:v>1.66488624253968</c:v>
                </c:pt>
                <c:pt idx="9">
                  <c:v>1.1538999764416</c:v>
                </c:pt>
                <c:pt idx="10">
                  <c:v>1.5749763159783401</c:v>
                </c:pt>
                <c:pt idx="11">
                  <c:v>1.3735151389442699</c:v>
                </c:pt>
                <c:pt idx="13">
                  <c:v>1.05849048577709</c:v>
                </c:pt>
                <c:pt idx="14">
                  <c:v>1.4368219825375701</c:v>
                </c:pt>
                <c:pt idx="15">
                  <c:v>1.1632876834321</c:v>
                </c:pt>
                <c:pt idx="16">
                  <c:v>1.1661766362910899</c:v>
                </c:pt>
                <c:pt idx="17">
                  <c:v>1.1611078257792899</c:v>
                </c:pt>
                <c:pt idx="18">
                  <c:v>1.2283054504143001</c:v>
                </c:pt>
                <c:pt idx="19">
                  <c:v>1.2985932043400299</c:v>
                </c:pt>
                <c:pt idx="20">
                  <c:v>1.25880991704892</c:v>
                </c:pt>
                <c:pt idx="21">
                  <c:v>1.2914529576795399</c:v>
                </c:pt>
                <c:pt idx="22">
                  <c:v>1.2886907903199001</c:v>
                </c:pt>
                <c:pt idx="23">
                  <c:v>1.39612401914989</c:v>
                </c:pt>
                <c:pt idx="24">
                  <c:v>1.15490049713987</c:v>
                </c:pt>
                <c:pt idx="25">
                  <c:v>1.6223687074200499</c:v>
                </c:pt>
                <c:pt idx="26">
                  <c:v>1.4572146309152101</c:v>
                </c:pt>
              </c:numCache>
            </c:numRef>
          </c:xVal>
          <c:yVal>
            <c:numRef>
              <c:f>all!$M$70:$M$96</c:f>
              <c:numCache>
                <c:formatCode>General</c:formatCode>
                <c:ptCount val="27"/>
                <c:pt idx="0">
                  <c:v>118.22733427999999</c:v>
                </c:pt>
                <c:pt idx="1">
                  <c:v>108.51115272</c:v>
                </c:pt>
                <c:pt idx="2">
                  <c:v>106.97060942</c:v>
                </c:pt>
                <c:pt idx="3">
                  <c:v>113.72040256</c:v>
                </c:pt>
                <c:pt idx="5">
                  <c:v>112.66319882000001</c:v>
                </c:pt>
                <c:pt idx="6">
                  <c:v>114.89097618</c:v>
                </c:pt>
                <c:pt idx="7">
                  <c:v>116.55531655999999</c:v>
                </c:pt>
                <c:pt idx="9">
                  <c:v>118.40602251999999</c:v>
                </c:pt>
                <c:pt idx="10">
                  <c:v>115.75512236</c:v>
                </c:pt>
                <c:pt idx="11">
                  <c:v>121.12197168</c:v>
                </c:pt>
                <c:pt idx="15">
                  <c:v>118.22733427999999</c:v>
                </c:pt>
                <c:pt idx="16">
                  <c:v>108.51115272</c:v>
                </c:pt>
                <c:pt idx="17">
                  <c:v>106.97060942</c:v>
                </c:pt>
                <c:pt idx="18">
                  <c:v>113.72040256</c:v>
                </c:pt>
                <c:pt idx="20">
                  <c:v>112.66319882000001</c:v>
                </c:pt>
                <c:pt idx="21">
                  <c:v>114.89097618</c:v>
                </c:pt>
                <c:pt idx="22">
                  <c:v>116.55531655999999</c:v>
                </c:pt>
                <c:pt idx="24">
                  <c:v>118.40602251999999</c:v>
                </c:pt>
                <c:pt idx="25">
                  <c:v>115.75512236</c:v>
                </c:pt>
                <c:pt idx="26">
                  <c:v>121.12197168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B59E-4FE2-A8AD-24922B3D7994}"/>
            </c:ext>
          </c:extLst>
        </c:ser>
        <c:ser>
          <c:idx val="1"/>
          <c:order val="1"/>
          <c:tx>
            <c:strRef>
              <c:f>all!$E$67</c:f>
              <c:strCache>
                <c:ptCount val="1"/>
                <c:pt idx="0">
                  <c:v>Lawler (2006)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-4.6120579059411901E-2"/>
                  <c:y val="0.15879432548065067"/>
                </c:manualLayout>
              </c:layout>
              <c:numFmt formatCode="General" sourceLinked="0"/>
              <c:spPr>
                <a:solidFill>
                  <a:schemeClr val="accent2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all!$E$70:$E$96</c:f>
              <c:numCache>
                <c:formatCode>0.0000</c:formatCode>
                <c:ptCount val="27"/>
                <c:pt idx="0">
                  <c:v>0.92629163740877796</c:v>
                </c:pt>
                <c:pt idx="1">
                  <c:v>0.723568252950335</c:v>
                </c:pt>
                <c:pt idx="2">
                  <c:v>0.92947006080395</c:v>
                </c:pt>
                <c:pt idx="3">
                  <c:v>0.77855192606860901</c:v>
                </c:pt>
                <c:pt idx="4">
                  <c:v>0.55577143716833499</c:v>
                </c:pt>
                <c:pt idx="5">
                  <c:v>0.33551375674123601</c:v>
                </c:pt>
                <c:pt idx="6">
                  <c:v>0.63731372986403501</c:v>
                </c:pt>
                <c:pt idx="7">
                  <c:v>-0.44248745305980902</c:v>
                </c:pt>
                <c:pt idx="8">
                  <c:v>0.73952445342362605</c:v>
                </c:pt>
                <c:pt idx="9">
                  <c:v>9.3645385178040705E-2</c:v>
                </c:pt>
                <c:pt idx="10">
                  <c:v>0.78100360785877099</c:v>
                </c:pt>
                <c:pt idx="11">
                  <c:v>0.76865077228085099</c:v>
                </c:pt>
                <c:pt idx="13">
                  <c:v>-0.73582121336391904</c:v>
                </c:pt>
                <c:pt idx="14">
                  <c:v>0.96854380596042999</c:v>
                </c:pt>
                <c:pt idx="15">
                  <c:v>0.91285830032378401</c:v>
                </c:pt>
                <c:pt idx="16">
                  <c:v>0.69952356032694896</c:v>
                </c:pt>
                <c:pt idx="17">
                  <c:v>0.97668665464899096</c:v>
                </c:pt>
                <c:pt idx="18">
                  <c:v>0.33582626900186402</c:v>
                </c:pt>
                <c:pt idx="19">
                  <c:v>0.52794332050181203</c:v>
                </c:pt>
                <c:pt idx="20">
                  <c:v>0.94081849763111403</c:v>
                </c:pt>
                <c:pt idx="21">
                  <c:v>0.445945938664987</c:v>
                </c:pt>
                <c:pt idx="22">
                  <c:v>-0.136935986249347</c:v>
                </c:pt>
                <c:pt idx="23">
                  <c:v>0.97165157928161605</c:v>
                </c:pt>
                <c:pt idx="24">
                  <c:v>0.47813963463856402</c:v>
                </c:pt>
                <c:pt idx="25">
                  <c:v>0.74242380847501299</c:v>
                </c:pt>
                <c:pt idx="26">
                  <c:v>0.80433038241724497</c:v>
                </c:pt>
              </c:numCache>
            </c:numRef>
          </c:xVal>
          <c:yVal>
            <c:numRef>
              <c:f>all!$M$70:$M$96</c:f>
              <c:numCache>
                <c:formatCode>General</c:formatCode>
                <c:ptCount val="27"/>
                <c:pt idx="0">
                  <c:v>118.22733427999999</c:v>
                </c:pt>
                <c:pt idx="1">
                  <c:v>108.51115272</c:v>
                </c:pt>
                <c:pt idx="2">
                  <c:v>106.97060942</c:v>
                </c:pt>
                <c:pt idx="3">
                  <c:v>113.72040256</c:v>
                </c:pt>
                <c:pt idx="5">
                  <c:v>112.66319882000001</c:v>
                </c:pt>
                <c:pt idx="6">
                  <c:v>114.89097618</c:v>
                </c:pt>
                <c:pt idx="7">
                  <c:v>116.55531655999999</c:v>
                </c:pt>
                <c:pt idx="9">
                  <c:v>118.40602251999999</c:v>
                </c:pt>
                <c:pt idx="10">
                  <c:v>115.75512236</c:v>
                </c:pt>
                <c:pt idx="11">
                  <c:v>121.12197168</c:v>
                </c:pt>
                <c:pt idx="15">
                  <c:v>118.22733427999999</c:v>
                </c:pt>
                <c:pt idx="16">
                  <c:v>108.51115272</c:v>
                </c:pt>
                <c:pt idx="17">
                  <c:v>106.97060942</c:v>
                </c:pt>
                <c:pt idx="18">
                  <c:v>113.72040256</c:v>
                </c:pt>
                <c:pt idx="20">
                  <c:v>112.66319882000001</c:v>
                </c:pt>
                <c:pt idx="21">
                  <c:v>114.89097618</c:v>
                </c:pt>
                <c:pt idx="22">
                  <c:v>116.55531655999999</c:v>
                </c:pt>
                <c:pt idx="24">
                  <c:v>118.40602251999999</c:v>
                </c:pt>
                <c:pt idx="25">
                  <c:v>115.75512236</c:v>
                </c:pt>
                <c:pt idx="26">
                  <c:v>121.12197168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B59E-4FE2-A8AD-24922B3D7994}"/>
            </c:ext>
          </c:extLst>
        </c:ser>
        <c:ser>
          <c:idx val="2"/>
          <c:order val="2"/>
          <c:tx>
            <c:strRef>
              <c:f>all!$E$4</c:f>
              <c:strCache>
                <c:ptCount val="1"/>
                <c:pt idx="0">
                  <c:v>Aich (2014) 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3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-0.28519822466979017"/>
                  <c:y val="0.19744336064476747"/>
                </c:manualLayout>
              </c:layout>
              <c:numFmt formatCode="General" sourceLinked="0"/>
              <c:spPr>
                <a:solidFill>
                  <a:schemeClr val="accent6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all!$F$70:$F$96</c:f>
              <c:numCache>
                <c:formatCode>0.0000</c:formatCode>
                <c:ptCount val="27"/>
                <c:pt idx="0">
                  <c:v>0.11077055296162799</c:v>
                </c:pt>
                <c:pt idx="1">
                  <c:v>1.0650915621547401E-2</c:v>
                </c:pt>
                <c:pt idx="2">
                  <c:v>-2.2683422982125001E-2</c:v>
                </c:pt>
                <c:pt idx="3">
                  <c:v>0.15621819275209001</c:v>
                </c:pt>
                <c:pt idx="4">
                  <c:v>0.15071577677020101</c:v>
                </c:pt>
                <c:pt idx="5">
                  <c:v>5.5397551503622099E-2</c:v>
                </c:pt>
                <c:pt idx="6">
                  <c:v>6.9883057908481996E-2</c:v>
                </c:pt>
                <c:pt idx="7">
                  <c:v>7.8645648239850305E-2</c:v>
                </c:pt>
                <c:pt idx="8">
                  <c:v>0.17832892113485599</c:v>
                </c:pt>
                <c:pt idx="9">
                  <c:v>2.1496979213356301E-3</c:v>
                </c:pt>
                <c:pt idx="10">
                  <c:v>0.101236914763633</c:v>
                </c:pt>
                <c:pt idx="11">
                  <c:v>0.107400232693555</c:v>
                </c:pt>
                <c:pt idx="13">
                  <c:v>8.4573685986466099E-2</c:v>
                </c:pt>
                <c:pt idx="14">
                  <c:v>0.198594884621278</c:v>
                </c:pt>
                <c:pt idx="15">
                  <c:v>6.8212961854365706E-2</c:v>
                </c:pt>
                <c:pt idx="16">
                  <c:v>4.9611646415268197E-2</c:v>
                </c:pt>
                <c:pt idx="17">
                  <c:v>0.107447815904682</c:v>
                </c:pt>
                <c:pt idx="18">
                  <c:v>0.39411883766970102</c:v>
                </c:pt>
                <c:pt idx="19">
                  <c:v>9.0698601563059603E-2</c:v>
                </c:pt>
                <c:pt idx="20">
                  <c:v>9.9852529707758195E-2</c:v>
                </c:pt>
                <c:pt idx="21">
                  <c:v>5.5815481283492403E-2</c:v>
                </c:pt>
                <c:pt idx="22">
                  <c:v>9.5391388976058394E-2</c:v>
                </c:pt>
                <c:pt idx="23">
                  <c:v>9.9540545016305104E-2</c:v>
                </c:pt>
                <c:pt idx="24">
                  <c:v>0.115227328160236</c:v>
                </c:pt>
                <c:pt idx="25">
                  <c:v>0.157732693122626</c:v>
                </c:pt>
                <c:pt idx="26">
                  <c:v>0.121156039239802</c:v>
                </c:pt>
              </c:numCache>
            </c:numRef>
          </c:xVal>
          <c:yVal>
            <c:numRef>
              <c:f>all!$M$70:$M$96</c:f>
              <c:numCache>
                <c:formatCode>General</c:formatCode>
                <c:ptCount val="27"/>
                <c:pt idx="0">
                  <c:v>118.22733427999999</c:v>
                </c:pt>
                <c:pt idx="1">
                  <c:v>108.51115272</c:v>
                </c:pt>
                <c:pt idx="2">
                  <c:v>106.97060942</c:v>
                </c:pt>
                <c:pt idx="3">
                  <c:v>113.72040256</c:v>
                </c:pt>
                <c:pt idx="5">
                  <c:v>112.66319882000001</c:v>
                </c:pt>
                <c:pt idx="6">
                  <c:v>114.89097618</c:v>
                </c:pt>
                <c:pt idx="7">
                  <c:v>116.55531655999999</c:v>
                </c:pt>
                <c:pt idx="9">
                  <c:v>118.40602251999999</c:v>
                </c:pt>
                <c:pt idx="10">
                  <c:v>115.75512236</c:v>
                </c:pt>
                <c:pt idx="11">
                  <c:v>121.12197168</c:v>
                </c:pt>
                <c:pt idx="15">
                  <c:v>118.22733427999999</c:v>
                </c:pt>
                <c:pt idx="16">
                  <c:v>108.51115272</c:v>
                </c:pt>
                <c:pt idx="17">
                  <c:v>106.97060942</c:v>
                </c:pt>
                <c:pt idx="18">
                  <c:v>113.72040256</c:v>
                </c:pt>
                <c:pt idx="20">
                  <c:v>112.66319882000001</c:v>
                </c:pt>
                <c:pt idx="21">
                  <c:v>114.89097618</c:v>
                </c:pt>
                <c:pt idx="22">
                  <c:v>116.55531655999999</c:v>
                </c:pt>
                <c:pt idx="24">
                  <c:v>118.40602251999999</c:v>
                </c:pt>
                <c:pt idx="25">
                  <c:v>115.75512236</c:v>
                </c:pt>
                <c:pt idx="26">
                  <c:v>121.12197168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B59E-4FE2-A8AD-24922B3D799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29882927"/>
        <c:axId val="129899727"/>
      </c:scatterChart>
      <c:valAx>
        <c:axId val="129882927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Hysteresis Index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9899727"/>
        <c:crosses val="autoZero"/>
        <c:crossBetween val="midCat"/>
      </c:valAx>
      <c:valAx>
        <c:axId val="12989972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Critical</a:t>
                </a:r>
                <a:r>
                  <a:rPr lang="en-US" baseline="0"/>
                  <a:t> Shear Stress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9882927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legendEntry>
        <c:idx val="3"/>
        <c:delete val="1"/>
      </c:legendEntry>
      <c:legendEntry>
        <c:idx val="4"/>
        <c:delete val="1"/>
      </c:legendEntry>
      <c:legendEntry>
        <c:idx val="5"/>
        <c:delete val="1"/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fDOM</a:t>
            </a:r>
            <a:r>
              <a:rPr lang="en-US" baseline="0"/>
              <a:t> HI to tc50 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0.16066650974548111"/>
          <c:y val="0.18004530917761208"/>
          <c:w val="0.75074186828700784"/>
          <c:h val="0.49375460344531691"/>
        </c:manualLayout>
      </c:layout>
      <c:scatterChart>
        <c:scatterStyle val="lineMarker"/>
        <c:varyColors val="0"/>
        <c:ser>
          <c:idx val="0"/>
          <c:order val="0"/>
          <c:tx>
            <c:strRef>
              <c:f>all!$C$4</c:f>
              <c:strCache>
                <c:ptCount val="1"/>
                <c:pt idx="0">
                  <c:v>Langlois (2005)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5.9686427824308545E-2"/>
                  <c:y val="0.23287174337896996"/>
                </c:manualLayout>
              </c:layout>
              <c:numFmt formatCode="General" sourceLinked="0"/>
              <c:spPr>
                <a:solidFill>
                  <a:schemeClr val="tx2">
                    <a:lumMod val="10000"/>
                    <a:lumOff val="9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all!$R$70:$R$96</c:f>
              <c:numCache>
                <c:formatCode>0.00000</c:formatCode>
                <c:ptCount val="27"/>
                <c:pt idx="0">
                  <c:v>0.98302221968248604</c:v>
                </c:pt>
                <c:pt idx="1">
                  <c:v>0.99703728594241603</c:v>
                </c:pt>
                <c:pt idx="2">
                  <c:v>1.05414106800948</c:v>
                </c:pt>
                <c:pt idx="3">
                  <c:v>1.00376784280544</c:v>
                </c:pt>
                <c:pt idx="4">
                  <c:v>0.965580440673389</c:v>
                </c:pt>
                <c:pt idx="5">
                  <c:v>1.0368691348627199</c:v>
                </c:pt>
                <c:pt idx="6">
                  <c:v>0.98011971152962396</c:v>
                </c:pt>
                <c:pt idx="7">
                  <c:v>0.80472452573481301</c:v>
                </c:pt>
                <c:pt idx="8">
                  <c:v>1.07122215244959</c:v>
                </c:pt>
                <c:pt idx="9">
                  <c:v>0.96842975873578097</c:v>
                </c:pt>
                <c:pt idx="10">
                  <c:v>0.99721998555050795</c:v>
                </c:pt>
                <c:pt idx="11">
                  <c:v>1.0088578932758001</c:v>
                </c:pt>
                <c:pt idx="13" formatCode="0.000">
                  <c:v>0.45078352403799399</c:v>
                </c:pt>
                <c:pt idx="14" formatCode="0.000">
                  <c:v>0.94043662960440699</c:v>
                </c:pt>
                <c:pt idx="15" formatCode="0.000">
                  <c:v>0.95863149267075098</c:v>
                </c:pt>
                <c:pt idx="16" formatCode="0.000">
                  <c:v>0.98251699448728103</c:v>
                </c:pt>
                <c:pt idx="17" formatCode="0.000">
                  <c:v>1.0568614326035</c:v>
                </c:pt>
                <c:pt idx="18" formatCode="0.000">
                  <c:v>1.03826719630338</c:v>
                </c:pt>
                <c:pt idx="19" formatCode="0.000">
                  <c:v>0.93867849021001804</c:v>
                </c:pt>
                <c:pt idx="20" formatCode="0.000">
                  <c:v>1.08896416336113</c:v>
                </c:pt>
                <c:pt idx="21" formatCode="0.000">
                  <c:v>1.18553177339745</c:v>
                </c:pt>
                <c:pt idx="22" formatCode="0.000">
                  <c:v>1.0643830961710401</c:v>
                </c:pt>
                <c:pt idx="23" formatCode="0.000">
                  <c:v>1.0913993357873799</c:v>
                </c:pt>
                <c:pt idx="24" formatCode="0.000">
                  <c:v>1.00259808767117</c:v>
                </c:pt>
                <c:pt idx="25" formatCode="0.000">
                  <c:v>1.0043452914566</c:v>
                </c:pt>
                <c:pt idx="26" formatCode="0.000">
                  <c:v>0.40870513477919201</c:v>
                </c:pt>
              </c:numCache>
            </c:numRef>
          </c:xVal>
          <c:yVal>
            <c:numRef>
              <c:f>all!$M$70:$M$96</c:f>
              <c:numCache>
                <c:formatCode>General</c:formatCode>
                <c:ptCount val="27"/>
                <c:pt idx="0">
                  <c:v>118.22733427999999</c:v>
                </c:pt>
                <c:pt idx="1">
                  <c:v>108.51115272</c:v>
                </c:pt>
                <c:pt idx="2">
                  <c:v>106.97060942</c:v>
                </c:pt>
                <c:pt idx="3">
                  <c:v>113.72040256</c:v>
                </c:pt>
                <c:pt idx="5">
                  <c:v>112.66319882000001</c:v>
                </c:pt>
                <c:pt idx="6">
                  <c:v>114.89097618</c:v>
                </c:pt>
                <c:pt idx="7">
                  <c:v>116.55531655999999</c:v>
                </c:pt>
                <c:pt idx="9">
                  <c:v>118.40602251999999</c:v>
                </c:pt>
                <c:pt idx="10">
                  <c:v>115.75512236</c:v>
                </c:pt>
                <c:pt idx="11">
                  <c:v>121.12197168</c:v>
                </c:pt>
                <c:pt idx="15">
                  <c:v>118.22733427999999</c:v>
                </c:pt>
                <c:pt idx="16">
                  <c:v>108.51115272</c:v>
                </c:pt>
                <c:pt idx="17">
                  <c:v>106.97060942</c:v>
                </c:pt>
                <c:pt idx="18">
                  <c:v>113.72040256</c:v>
                </c:pt>
                <c:pt idx="20">
                  <c:v>112.66319882000001</c:v>
                </c:pt>
                <c:pt idx="21">
                  <c:v>114.89097618</c:v>
                </c:pt>
                <c:pt idx="22">
                  <c:v>116.55531655999999</c:v>
                </c:pt>
                <c:pt idx="24">
                  <c:v>118.40602251999999</c:v>
                </c:pt>
                <c:pt idx="25">
                  <c:v>115.75512236</c:v>
                </c:pt>
                <c:pt idx="26">
                  <c:v>121.12197168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4185-4C0C-AFFB-E6460C752539}"/>
            </c:ext>
          </c:extLst>
        </c:ser>
        <c:ser>
          <c:idx val="1"/>
          <c:order val="1"/>
          <c:tx>
            <c:strRef>
              <c:f>all!$D$4</c:f>
              <c:strCache>
                <c:ptCount val="1"/>
                <c:pt idx="0">
                  <c:v>Lawler (2006)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-9.130137025449811E-2"/>
                  <c:y val="0.17951210264168482"/>
                </c:manualLayout>
              </c:layout>
              <c:numFmt formatCode="General" sourceLinked="0"/>
              <c:spPr>
                <a:solidFill>
                  <a:schemeClr val="accent2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all!$S$70:$S$96</c:f>
              <c:numCache>
                <c:formatCode>0.0000</c:formatCode>
                <c:ptCount val="27"/>
                <c:pt idx="0">
                  <c:v>-0.31071591767089402</c:v>
                </c:pt>
                <c:pt idx="1">
                  <c:v>-0.72341186519112299</c:v>
                </c:pt>
                <c:pt idx="2">
                  <c:v>0.54135397831396403</c:v>
                </c:pt>
                <c:pt idx="3">
                  <c:v>-0.28173278371114102</c:v>
                </c:pt>
                <c:pt idx="4">
                  <c:v>-0.28388728833714599</c:v>
                </c:pt>
                <c:pt idx="5">
                  <c:v>-0.167176048352111</c:v>
                </c:pt>
                <c:pt idx="6">
                  <c:v>-0.234414236192791</c:v>
                </c:pt>
                <c:pt idx="7">
                  <c:v>-0.91543606234553399</c:v>
                </c:pt>
                <c:pt idx="8">
                  <c:v>-0.11116405161722299</c:v>
                </c:pt>
                <c:pt idx="9">
                  <c:v>-0.44122459346906301</c:v>
                </c:pt>
                <c:pt idx="10">
                  <c:v>-0.221642867808126</c:v>
                </c:pt>
                <c:pt idx="11">
                  <c:v>0.120506313986007</c:v>
                </c:pt>
                <c:pt idx="12">
                  <c:v>0.99778765474319298</c:v>
                </c:pt>
                <c:pt idx="13" formatCode="0.000">
                  <c:v>-0.811886428716041</c:v>
                </c:pt>
                <c:pt idx="14" formatCode="0.000">
                  <c:v>-0.54271122756527101</c:v>
                </c:pt>
                <c:pt idx="15" formatCode="0.000">
                  <c:v>-0.67772868565601696</c:v>
                </c:pt>
                <c:pt idx="16" formatCode="0.000">
                  <c:v>-0.76078071695181804</c:v>
                </c:pt>
                <c:pt idx="17" formatCode="0.000">
                  <c:v>0.64678217889059297</c:v>
                </c:pt>
                <c:pt idx="18" formatCode="0.000">
                  <c:v>-0.15477977693324399</c:v>
                </c:pt>
                <c:pt idx="19" formatCode="0.000">
                  <c:v>-0.86583274285189604</c:v>
                </c:pt>
                <c:pt idx="20" formatCode="0.000">
                  <c:v>0.61214631104569395</c:v>
                </c:pt>
                <c:pt idx="21" formatCode="0.000">
                  <c:v>0.59208584316733603</c:v>
                </c:pt>
                <c:pt idx="22" formatCode="0.000">
                  <c:v>0.74012064453311799</c:v>
                </c:pt>
                <c:pt idx="23" formatCode="0.000">
                  <c:v>0.62408685090742599</c:v>
                </c:pt>
                <c:pt idx="24" formatCode="0.000">
                  <c:v>0.25147892096544</c:v>
                </c:pt>
                <c:pt idx="25" formatCode="0.000">
                  <c:v>-2.3625782421043601E-2</c:v>
                </c:pt>
                <c:pt idx="26" formatCode="0.000">
                  <c:v>-0.95802365966780301</c:v>
                </c:pt>
              </c:numCache>
            </c:numRef>
          </c:xVal>
          <c:yVal>
            <c:numRef>
              <c:f>all!$M$70:$M$96</c:f>
              <c:numCache>
                <c:formatCode>General</c:formatCode>
                <c:ptCount val="27"/>
                <c:pt idx="0">
                  <c:v>118.22733427999999</c:v>
                </c:pt>
                <c:pt idx="1">
                  <c:v>108.51115272</c:v>
                </c:pt>
                <c:pt idx="2">
                  <c:v>106.97060942</c:v>
                </c:pt>
                <c:pt idx="3">
                  <c:v>113.72040256</c:v>
                </c:pt>
                <c:pt idx="5">
                  <c:v>112.66319882000001</c:v>
                </c:pt>
                <c:pt idx="6">
                  <c:v>114.89097618</c:v>
                </c:pt>
                <c:pt idx="7">
                  <c:v>116.55531655999999</c:v>
                </c:pt>
                <c:pt idx="9">
                  <c:v>118.40602251999999</c:v>
                </c:pt>
                <c:pt idx="10">
                  <c:v>115.75512236</c:v>
                </c:pt>
                <c:pt idx="11">
                  <c:v>121.12197168</c:v>
                </c:pt>
                <c:pt idx="15">
                  <c:v>118.22733427999999</c:v>
                </c:pt>
                <c:pt idx="16">
                  <c:v>108.51115272</c:v>
                </c:pt>
                <c:pt idx="17">
                  <c:v>106.97060942</c:v>
                </c:pt>
                <c:pt idx="18">
                  <c:v>113.72040256</c:v>
                </c:pt>
                <c:pt idx="20">
                  <c:v>112.66319882000001</c:v>
                </c:pt>
                <c:pt idx="21">
                  <c:v>114.89097618</c:v>
                </c:pt>
                <c:pt idx="22">
                  <c:v>116.55531655999999</c:v>
                </c:pt>
                <c:pt idx="24">
                  <c:v>118.40602251999999</c:v>
                </c:pt>
                <c:pt idx="25">
                  <c:v>115.75512236</c:v>
                </c:pt>
                <c:pt idx="26">
                  <c:v>121.12197168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4185-4C0C-AFFB-E6460C752539}"/>
            </c:ext>
          </c:extLst>
        </c:ser>
        <c:ser>
          <c:idx val="2"/>
          <c:order val="2"/>
          <c:tx>
            <c:strRef>
              <c:f>all!$E$4</c:f>
              <c:strCache>
                <c:ptCount val="1"/>
                <c:pt idx="0">
                  <c:v>Aich (2014) 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3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-0.2736952289204706"/>
                  <c:y val="-3.9816576951641038E-3"/>
                </c:manualLayout>
              </c:layout>
              <c:numFmt formatCode="General" sourceLinked="0"/>
              <c:spPr>
                <a:solidFill>
                  <a:schemeClr val="accent6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all!$T$70:$T$96</c:f>
              <c:numCache>
                <c:formatCode>0.0000</c:formatCode>
                <c:ptCount val="27"/>
                <c:pt idx="0">
                  <c:v>-3.7834846370905402E-3</c:v>
                </c:pt>
                <c:pt idx="1">
                  <c:v>6.4581353214806597E-2</c:v>
                </c:pt>
                <c:pt idx="2">
                  <c:v>6.1895687016862502E-2</c:v>
                </c:pt>
                <c:pt idx="3">
                  <c:v>2.95836818188689E-2</c:v>
                </c:pt>
                <c:pt idx="4">
                  <c:v>-5.4892758010415703E-2</c:v>
                </c:pt>
                <c:pt idx="5">
                  <c:v>8.8641812543785899E-3</c:v>
                </c:pt>
                <c:pt idx="6">
                  <c:v>1.32778322661357E-2</c:v>
                </c:pt>
                <c:pt idx="7">
                  <c:v>-6.0975544853349099E-2</c:v>
                </c:pt>
                <c:pt idx="8">
                  <c:v>4.2081062239471598E-2</c:v>
                </c:pt>
                <c:pt idx="9">
                  <c:v>-1.77749404385871E-2</c:v>
                </c:pt>
                <c:pt idx="10">
                  <c:v>3.08855730575289E-3</c:v>
                </c:pt>
                <c:pt idx="11">
                  <c:v>-5.3081166180475401E-3</c:v>
                </c:pt>
                <c:pt idx="12">
                  <c:v>0.99566811930969701</c:v>
                </c:pt>
                <c:pt idx="13" formatCode="0.000">
                  <c:v>-9.3763935417501706E-2</c:v>
                </c:pt>
                <c:pt idx="14" formatCode="0.000">
                  <c:v>-5.2796335197095298E-2</c:v>
                </c:pt>
                <c:pt idx="15" formatCode="0.000">
                  <c:v>-5.9125313303963402E-2</c:v>
                </c:pt>
                <c:pt idx="16" formatCode="0.000">
                  <c:v>-4.1714957549384597E-2</c:v>
                </c:pt>
                <c:pt idx="17" formatCode="0.000">
                  <c:v>7.3340759088016003E-2</c:v>
                </c:pt>
                <c:pt idx="18" formatCode="0.000">
                  <c:v>7.1354925056258001E-3</c:v>
                </c:pt>
                <c:pt idx="19" formatCode="0.000">
                  <c:v>-0.28463650723553102</c:v>
                </c:pt>
                <c:pt idx="20" formatCode="0.000">
                  <c:v>-7.3287190867590401E-3</c:v>
                </c:pt>
                <c:pt idx="21" formatCode="0.000">
                  <c:v>0.10941628444022999</c:v>
                </c:pt>
                <c:pt idx="22" formatCode="0.000">
                  <c:v>-8.4675321487204705E-2</c:v>
                </c:pt>
                <c:pt idx="23" formatCode="0.000">
                  <c:v>-3.2911415817637998E-2</c:v>
                </c:pt>
                <c:pt idx="24" formatCode="0.000">
                  <c:v>-4.46763074582908E-2</c:v>
                </c:pt>
                <c:pt idx="25" formatCode="0.000">
                  <c:v>-1.53118918462132E-3</c:v>
                </c:pt>
                <c:pt idx="26" formatCode="0.000">
                  <c:v>-0.17920927988478999</c:v>
                </c:pt>
              </c:numCache>
            </c:numRef>
          </c:xVal>
          <c:yVal>
            <c:numRef>
              <c:f>all!$M$70:$M$96</c:f>
              <c:numCache>
                <c:formatCode>General</c:formatCode>
                <c:ptCount val="27"/>
                <c:pt idx="0">
                  <c:v>118.22733427999999</c:v>
                </c:pt>
                <c:pt idx="1">
                  <c:v>108.51115272</c:v>
                </c:pt>
                <c:pt idx="2">
                  <c:v>106.97060942</c:v>
                </c:pt>
                <c:pt idx="3">
                  <c:v>113.72040256</c:v>
                </c:pt>
                <c:pt idx="5">
                  <c:v>112.66319882000001</c:v>
                </c:pt>
                <c:pt idx="6">
                  <c:v>114.89097618</c:v>
                </c:pt>
                <c:pt idx="7">
                  <c:v>116.55531655999999</c:v>
                </c:pt>
                <c:pt idx="9">
                  <c:v>118.40602251999999</c:v>
                </c:pt>
                <c:pt idx="10">
                  <c:v>115.75512236</c:v>
                </c:pt>
                <c:pt idx="11">
                  <c:v>121.12197168</c:v>
                </c:pt>
                <c:pt idx="15">
                  <c:v>118.22733427999999</c:v>
                </c:pt>
                <c:pt idx="16">
                  <c:v>108.51115272</c:v>
                </c:pt>
                <c:pt idx="17">
                  <c:v>106.97060942</c:v>
                </c:pt>
                <c:pt idx="18">
                  <c:v>113.72040256</c:v>
                </c:pt>
                <c:pt idx="20">
                  <c:v>112.66319882000001</c:v>
                </c:pt>
                <c:pt idx="21">
                  <c:v>114.89097618</c:v>
                </c:pt>
                <c:pt idx="22">
                  <c:v>116.55531655999999</c:v>
                </c:pt>
                <c:pt idx="24">
                  <c:v>118.40602251999999</c:v>
                </c:pt>
                <c:pt idx="25">
                  <c:v>115.75512236</c:v>
                </c:pt>
                <c:pt idx="26">
                  <c:v>121.12197168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4185-4C0C-AFFB-E6460C75253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29882927"/>
        <c:axId val="129899727"/>
      </c:scatterChart>
      <c:valAx>
        <c:axId val="129882927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Hysteresis Index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0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9899727"/>
        <c:crosses val="autoZero"/>
        <c:crossBetween val="midCat"/>
      </c:valAx>
      <c:valAx>
        <c:axId val="129899727"/>
        <c:scaling>
          <c:orientation val="minMax"/>
          <c:min val="1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Critical</a:t>
                </a:r>
                <a:r>
                  <a:rPr lang="en-US" baseline="0"/>
                  <a:t> Shear Stress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9882927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legendEntry>
        <c:idx val="3"/>
        <c:delete val="1"/>
      </c:legendEntry>
      <c:legendEntry>
        <c:idx val="4"/>
        <c:delete val="1"/>
      </c:legendEntry>
      <c:legendEntry>
        <c:idx val="5"/>
        <c:delete val="1"/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SSC</a:t>
            </a:r>
            <a:r>
              <a:rPr lang="en-US" baseline="0"/>
              <a:t> HI to </a:t>
            </a:r>
            <a:r>
              <a:rPr lang="el-GR" baseline="0"/>
              <a:t>τ</a:t>
            </a:r>
            <a:r>
              <a:rPr lang="en-US" baseline="0"/>
              <a:t>peak / </a:t>
            </a:r>
            <a:r>
              <a:rPr lang="el-GR" baseline="0"/>
              <a:t>τ</a:t>
            </a:r>
            <a:r>
              <a:rPr lang="en-US" baseline="0"/>
              <a:t>c50 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all!$C$4</c:f>
              <c:strCache>
                <c:ptCount val="1"/>
                <c:pt idx="0">
                  <c:v>Langlois (2005)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0.140538836878108"/>
                  <c:y val="-0.22517039671094208"/>
                </c:manualLayout>
              </c:layout>
              <c:numFmt formatCode="General" sourceLinked="0"/>
              <c:spPr>
                <a:solidFill>
                  <a:schemeClr val="tx2">
                    <a:lumMod val="10000"/>
                    <a:lumOff val="9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all!$C$10:$C$33</c:f>
              <c:numCache>
                <c:formatCode>0.0000</c:formatCode>
                <c:ptCount val="24"/>
                <c:pt idx="0">
                  <c:v>1.31746197777344</c:v>
                </c:pt>
                <c:pt idx="1">
                  <c:v>0.89735303995633098</c:v>
                </c:pt>
                <c:pt idx="2">
                  <c:v>1.39880081037808</c:v>
                </c:pt>
                <c:pt idx="3">
                  <c:v>1.2210038373368299</c:v>
                </c:pt>
                <c:pt idx="4">
                  <c:v>1.5249018262283101</c:v>
                </c:pt>
                <c:pt idx="7">
                  <c:v>1.36678278361715</c:v>
                </c:pt>
                <c:pt idx="10">
                  <c:v>1.8695993339197901</c:v>
                </c:pt>
                <c:pt idx="11">
                  <c:v>1.21795864622288</c:v>
                </c:pt>
                <c:pt idx="12">
                  <c:v>1.0299659938988901</c:v>
                </c:pt>
                <c:pt idx="15">
                  <c:v>1.1534447144942801</c:v>
                </c:pt>
                <c:pt idx="16">
                  <c:v>1.6625275928143599</c:v>
                </c:pt>
                <c:pt idx="17">
                  <c:v>0.83858009935182098</c:v>
                </c:pt>
                <c:pt idx="18">
                  <c:v>2.31938512736013</c:v>
                </c:pt>
                <c:pt idx="19">
                  <c:v>1.66955637894203</c:v>
                </c:pt>
                <c:pt idx="21">
                  <c:v>0.90805045415642205</c:v>
                </c:pt>
                <c:pt idx="22">
                  <c:v>1.0862889042163599</c:v>
                </c:pt>
                <c:pt idx="23">
                  <c:v>0.39254775269290398</c:v>
                </c:pt>
              </c:numCache>
            </c:numRef>
          </c:xVal>
          <c:yVal>
            <c:numRef>
              <c:f>all!$M$10:$M$33</c:f>
              <c:numCache>
                <c:formatCode>0.00000</c:formatCode>
                <c:ptCount val="24"/>
                <c:pt idx="0">
                  <c:v>1.0119508062412015</c:v>
                </c:pt>
                <c:pt idx="2">
                  <c:v>1.0239451393319936</c:v>
                </c:pt>
                <c:pt idx="3">
                  <c:v>1.0275460447393339</c:v>
                </c:pt>
                <c:pt idx="4">
                  <c:v>1.0275826446035865</c:v>
                </c:pt>
                <c:pt idx="6">
                  <c:v>1.0572093304532362</c:v>
                </c:pt>
                <c:pt idx="7">
                  <c:v>1.111235100018195</c:v>
                </c:pt>
                <c:pt idx="8">
                  <c:v>1.0519758315193652</c:v>
                </c:pt>
                <c:pt idx="12">
                  <c:v>1.0078290838208943</c:v>
                </c:pt>
                <c:pt idx="13">
                  <c:v>1.008246697022094</c:v>
                </c:pt>
                <c:pt idx="14">
                  <c:v>1.0490052443540898</c:v>
                </c:pt>
                <c:pt idx="15">
                  <c:v>1.0119508062412015</c:v>
                </c:pt>
                <c:pt idx="17">
                  <c:v>1.0239451393319936</c:v>
                </c:pt>
                <c:pt idx="18">
                  <c:v>1.0275460447393339</c:v>
                </c:pt>
                <c:pt idx="19">
                  <c:v>1.0275826446035865</c:v>
                </c:pt>
                <c:pt idx="21">
                  <c:v>1.0572093304532362</c:v>
                </c:pt>
                <c:pt idx="22">
                  <c:v>1.111235100018195</c:v>
                </c:pt>
                <c:pt idx="23">
                  <c:v>1.0519758315193652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7FE7-48D0-90D7-15B26F6A3951}"/>
            </c:ext>
          </c:extLst>
        </c:ser>
        <c:ser>
          <c:idx val="1"/>
          <c:order val="1"/>
          <c:tx>
            <c:strRef>
              <c:f>all!$D$4</c:f>
              <c:strCache>
                <c:ptCount val="1"/>
                <c:pt idx="0">
                  <c:v>Lawler (2006)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-2.8992702926352216E-2"/>
                  <c:y val="-0.16055369540271369"/>
                </c:manualLayout>
              </c:layout>
              <c:numFmt formatCode="General" sourceLinked="0"/>
              <c:spPr>
                <a:solidFill>
                  <a:schemeClr val="accent2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all!$D$10:$D$33</c:f>
              <c:numCache>
                <c:formatCode>0.0000</c:formatCode>
                <c:ptCount val="24"/>
                <c:pt idx="0">
                  <c:v>0.66698565105034602</c:v>
                </c:pt>
                <c:pt idx="1">
                  <c:v>0.19762137224995299</c:v>
                </c:pt>
                <c:pt idx="2">
                  <c:v>0.54807771119966198</c:v>
                </c:pt>
                <c:pt idx="3">
                  <c:v>0.10106112243990099</c:v>
                </c:pt>
                <c:pt idx="4">
                  <c:v>0.50902572287082404</c:v>
                </c:pt>
                <c:pt idx="7">
                  <c:v>0.463447965306029</c:v>
                </c:pt>
                <c:pt idx="10">
                  <c:v>0.44896728093636801</c:v>
                </c:pt>
                <c:pt idx="11">
                  <c:v>1.5264059910121399</c:v>
                </c:pt>
                <c:pt idx="12">
                  <c:v>0.71671353985517805</c:v>
                </c:pt>
                <c:pt idx="15">
                  <c:v>0.678678630991426</c:v>
                </c:pt>
                <c:pt idx="16">
                  <c:v>0.81343884511072295</c:v>
                </c:pt>
                <c:pt idx="17">
                  <c:v>-1.07855599689062</c:v>
                </c:pt>
                <c:pt idx="18">
                  <c:v>1.34776836410395</c:v>
                </c:pt>
                <c:pt idx="19">
                  <c:v>0.55456789410428697</c:v>
                </c:pt>
                <c:pt idx="20">
                  <c:v>0.70468449804027899</c:v>
                </c:pt>
                <c:pt idx="21">
                  <c:v>-0.373253605455523</c:v>
                </c:pt>
                <c:pt idx="22">
                  <c:v>0.63056904760694898</c:v>
                </c:pt>
                <c:pt idx="23">
                  <c:v>-0.623899602892661</c:v>
                </c:pt>
              </c:numCache>
            </c:numRef>
          </c:xVal>
          <c:yVal>
            <c:numRef>
              <c:f>all!$M$10:$M$33</c:f>
              <c:numCache>
                <c:formatCode>0.00000</c:formatCode>
                <c:ptCount val="24"/>
                <c:pt idx="0">
                  <c:v>1.0119508062412015</c:v>
                </c:pt>
                <c:pt idx="2">
                  <c:v>1.0239451393319936</c:v>
                </c:pt>
                <c:pt idx="3">
                  <c:v>1.0275460447393339</c:v>
                </c:pt>
                <c:pt idx="4">
                  <c:v>1.0275826446035865</c:v>
                </c:pt>
                <c:pt idx="6">
                  <c:v>1.0572093304532362</c:v>
                </c:pt>
                <c:pt idx="7">
                  <c:v>1.111235100018195</c:v>
                </c:pt>
                <c:pt idx="8">
                  <c:v>1.0519758315193652</c:v>
                </c:pt>
                <c:pt idx="12">
                  <c:v>1.0078290838208943</c:v>
                </c:pt>
                <c:pt idx="13">
                  <c:v>1.008246697022094</c:v>
                </c:pt>
                <c:pt idx="14">
                  <c:v>1.0490052443540898</c:v>
                </c:pt>
                <c:pt idx="15">
                  <c:v>1.0119508062412015</c:v>
                </c:pt>
                <c:pt idx="17">
                  <c:v>1.0239451393319936</c:v>
                </c:pt>
                <c:pt idx="18">
                  <c:v>1.0275460447393339</c:v>
                </c:pt>
                <c:pt idx="19">
                  <c:v>1.0275826446035865</c:v>
                </c:pt>
                <c:pt idx="21">
                  <c:v>1.0572093304532362</c:v>
                </c:pt>
                <c:pt idx="22">
                  <c:v>1.111235100018195</c:v>
                </c:pt>
                <c:pt idx="23">
                  <c:v>1.0519758315193652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7FE7-48D0-90D7-15B26F6A3951}"/>
            </c:ext>
          </c:extLst>
        </c:ser>
        <c:ser>
          <c:idx val="2"/>
          <c:order val="2"/>
          <c:tx>
            <c:strRef>
              <c:f>all!$E$4</c:f>
              <c:strCache>
                <c:ptCount val="1"/>
                <c:pt idx="0">
                  <c:v>Aich (2014) 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3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-0.10941511866499609"/>
                  <c:y val="-0.23209306230914611"/>
                </c:manualLayout>
              </c:layout>
              <c:numFmt formatCode="General" sourceLinked="0"/>
              <c:spPr>
                <a:solidFill>
                  <a:schemeClr val="accent6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all!$E$10:$E$33</c:f>
              <c:numCache>
                <c:formatCode>0.0000</c:formatCode>
                <c:ptCount val="24"/>
                <c:pt idx="0">
                  <c:v>8.8732929175135894E-2</c:v>
                </c:pt>
                <c:pt idx="1">
                  <c:v>-1.9463558010346702E-2</c:v>
                </c:pt>
                <c:pt idx="2">
                  <c:v>0.10415722716452799</c:v>
                </c:pt>
                <c:pt idx="3">
                  <c:v>4.66251429291673E-2</c:v>
                </c:pt>
                <c:pt idx="4">
                  <c:v>9.0894558490112708E-3</c:v>
                </c:pt>
                <c:pt idx="7">
                  <c:v>2.0373962034653699E-2</c:v>
                </c:pt>
                <c:pt idx="10">
                  <c:v>2.4947102971666898E-2</c:v>
                </c:pt>
                <c:pt idx="11">
                  <c:v>9.6293174744729593E-3</c:v>
                </c:pt>
                <c:pt idx="12">
                  <c:v>0.14608753400636901</c:v>
                </c:pt>
                <c:pt idx="15">
                  <c:v>1.27691539373017E-2</c:v>
                </c:pt>
                <c:pt idx="16">
                  <c:v>6.7576112725014403E-2</c:v>
                </c:pt>
                <c:pt idx="17">
                  <c:v>-0.35416666689988402</c:v>
                </c:pt>
                <c:pt idx="18">
                  <c:v>4.5646344187588998E-2</c:v>
                </c:pt>
                <c:pt idx="19">
                  <c:v>1.47909285306715E-2</c:v>
                </c:pt>
                <c:pt idx="20">
                  <c:v>3.5842816756479302E-2</c:v>
                </c:pt>
                <c:pt idx="21">
                  <c:v>-4.0383997186219003E-2</c:v>
                </c:pt>
                <c:pt idx="22">
                  <c:v>3.6679485231980898E-2</c:v>
                </c:pt>
                <c:pt idx="23">
                  <c:v>-0.76160033358371604</c:v>
                </c:pt>
              </c:numCache>
            </c:numRef>
          </c:xVal>
          <c:yVal>
            <c:numRef>
              <c:f>all!$M$10:$M$33</c:f>
              <c:numCache>
                <c:formatCode>0.00000</c:formatCode>
                <c:ptCount val="24"/>
                <c:pt idx="0">
                  <c:v>1.0119508062412015</c:v>
                </c:pt>
                <c:pt idx="2">
                  <c:v>1.0239451393319936</c:v>
                </c:pt>
                <c:pt idx="3">
                  <c:v>1.0275460447393339</c:v>
                </c:pt>
                <c:pt idx="4">
                  <c:v>1.0275826446035865</c:v>
                </c:pt>
                <c:pt idx="6">
                  <c:v>1.0572093304532362</c:v>
                </c:pt>
                <c:pt idx="7">
                  <c:v>1.111235100018195</c:v>
                </c:pt>
                <c:pt idx="8">
                  <c:v>1.0519758315193652</c:v>
                </c:pt>
                <c:pt idx="12">
                  <c:v>1.0078290838208943</c:v>
                </c:pt>
                <c:pt idx="13">
                  <c:v>1.008246697022094</c:v>
                </c:pt>
                <c:pt idx="14">
                  <c:v>1.0490052443540898</c:v>
                </c:pt>
                <c:pt idx="15">
                  <c:v>1.0119508062412015</c:v>
                </c:pt>
                <c:pt idx="17">
                  <c:v>1.0239451393319936</c:v>
                </c:pt>
                <c:pt idx="18">
                  <c:v>1.0275460447393339</c:v>
                </c:pt>
                <c:pt idx="19">
                  <c:v>1.0275826446035865</c:v>
                </c:pt>
                <c:pt idx="21">
                  <c:v>1.0572093304532362</c:v>
                </c:pt>
                <c:pt idx="22">
                  <c:v>1.111235100018195</c:v>
                </c:pt>
                <c:pt idx="23">
                  <c:v>1.0519758315193652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7FE7-48D0-90D7-15B26F6A395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29882927"/>
        <c:axId val="129899727"/>
      </c:scatterChart>
      <c:valAx>
        <c:axId val="129882927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Hysteresis Index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9899727"/>
        <c:crosses val="autoZero"/>
        <c:crossBetween val="midCat"/>
      </c:valAx>
      <c:valAx>
        <c:axId val="12989972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Critical</a:t>
                </a:r>
                <a:r>
                  <a:rPr lang="en-US" baseline="0"/>
                  <a:t> Shear Stress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000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9882927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legendEntry>
        <c:idx val="3"/>
        <c:delete val="1"/>
      </c:legendEntry>
      <c:legendEntry>
        <c:idx val="4"/>
        <c:delete val="1"/>
      </c:legendEntry>
      <c:legendEntry>
        <c:idx val="5"/>
        <c:delete val="1"/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DOC</a:t>
            </a:r>
            <a:r>
              <a:rPr lang="en-US" baseline="0"/>
              <a:t> HI to </a:t>
            </a:r>
            <a:r>
              <a:rPr lang="el-GR" baseline="0"/>
              <a:t>τ</a:t>
            </a:r>
            <a:r>
              <a:rPr lang="en-US" baseline="0"/>
              <a:t>peak / </a:t>
            </a:r>
            <a:r>
              <a:rPr lang="el-GR" baseline="0"/>
              <a:t>τ</a:t>
            </a:r>
            <a:r>
              <a:rPr lang="en-US" baseline="0"/>
              <a:t>c 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all!$C$4</c:f>
              <c:strCache>
                <c:ptCount val="1"/>
                <c:pt idx="0">
                  <c:v>Langlois (2005)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0.103817928544191"/>
                  <c:y val="-0.22758523602518349"/>
                </c:manualLayout>
              </c:layout>
              <c:numFmt formatCode="General" sourceLinked="0"/>
              <c:spPr>
                <a:solidFill>
                  <a:schemeClr val="tx2">
                    <a:lumMod val="10000"/>
                    <a:lumOff val="9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all!$C$42:$C$65</c:f>
              <c:numCache>
                <c:formatCode>0.000</c:formatCode>
                <c:ptCount val="24"/>
                <c:pt idx="0">
                  <c:v>1.01982556926034</c:v>
                </c:pt>
                <c:pt idx="1">
                  <c:v>1.0105385292601801</c:v>
                </c:pt>
                <c:pt idx="2">
                  <c:v>1.04413498578157</c:v>
                </c:pt>
                <c:pt idx="3">
                  <c:v>1.04959681992682</c:v>
                </c:pt>
                <c:pt idx="4">
                  <c:v>0.97400899474341096</c:v>
                </c:pt>
                <c:pt idx="7">
                  <c:v>1.03922347944993</c:v>
                </c:pt>
                <c:pt idx="10">
                  <c:v>1.0683907677478099</c:v>
                </c:pt>
                <c:pt idx="11">
                  <c:v>1.13117180110701</c:v>
                </c:pt>
                <c:pt idx="12">
                  <c:v>0.99421602518435603</c:v>
                </c:pt>
                <c:pt idx="14">
                  <c:v>1.0587750080951299</c:v>
                </c:pt>
                <c:pt idx="15">
                  <c:v>1.04764110720538</c:v>
                </c:pt>
                <c:pt idx="16">
                  <c:v>1.1477045338510801</c:v>
                </c:pt>
                <c:pt idx="17">
                  <c:v>1.1126612766097499</c:v>
                </c:pt>
                <c:pt idx="18">
                  <c:v>1.2530304455719099</c:v>
                </c:pt>
                <c:pt idx="19">
                  <c:v>1.0813804129035001</c:v>
                </c:pt>
                <c:pt idx="20">
                  <c:v>1.2134925086481201</c:v>
                </c:pt>
                <c:pt idx="21">
                  <c:v>1.08380817355586</c:v>
                </c:pt>
                <c:pt idx="22">
                  <c:v>1.0367372638660399</c:v>
                </c:pt>
                <c:pt idx="23">
                  <c:v>1.1282134088167699</c:v>
                </c:pt>
              </c:numCache>
            </c:numRef>
          </c:xVal>
          <c:yVal>
            <c:numRef>
              <c:f>all!$M$10:$M$33</c:f>
              <c:numCache>
                <c:formatCode>0.00000</c:formatCode>
                <c:ptCount val="24"/>
                <c:pt idx="0">
                  <c:v>1.0119508062412015</c:v>
                </c:pt>
                <c:pt idx="2">
                  <c:v>1.0239451393319936</c:v>
                </c:pt>
                <c:pt idx="3">
                  <c:v>1.0275460447393339</c:v>
                </c:pt>
                <c:pt idx="4">
                  <c:v>1.0275826446035865</c:v>
                </c:pt>
                <c:pt idx="6">
                  <c:v>1.0572093304532362</c:v>
                </c:pt>
                <c:pt idx="7">
                  <c:v>1.111235100018195</c:v>
                </c:pt>
                <c:pt idx="8">
                  <c:v>1.0519758315193652</c:v>
                </c:pt>
                <c:pt idx="12">
                  <c:v>1.0078290838208943</c:v>
                </c:pt>
                <c:pt idx="13">
                  <c:v>1.008246697022094</c:v>
                </c:pt>
                <c:pt idx="14">
                  <c:v>1.0490052443540898</c:v>
                </c:pt>
                <c:pt idx="15">
                  <c:v>1.0119508062412015</c:v>
                </c:pt>
                <c:pt idx="17">
                  <c:v>1.0239451393319936</c:v>
                </c:pt>
                <c:pt idx="18">
                  <c:v>1.0275460447393339</c:v>
                </c:pt>
                <c:pt idx="19">
                  <c:v>1.0275826446035865</c:v>
                </c:pt>
                <c:pt idx="21">
                  <c:v>1.0572093304532362</c:v>
                </c:pt>
                <c:pt idx="22">
                  <c:v>1.111235100018195</c:v>
                </c:pt>
                <c:pt idx="23">
                  <c:v>1.0519758315193652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77F9-4A33-91CD-F88085CBEA7B}"/>
            </c:ext>
          </c:extLst>
        </c:ser>
        <c:ser>
          <c:idx val="1"/>
          <c:order val="1"/>
          <c:tx>
            <c:strRef>
              <c:f>all!$D$4</c:f>
              <c:strCache>
                <c:ptCount val="1"/>
                <c:pt idx="0">
                  <c:v>Lawler (2006)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-5.3503399507648569E-2"/>
                  <c:y val="-0.12110967140883953"/>
                </c:manualLayout>
              </c:layout>
              <c:numFmt formatCode="General" sourceLinked="0"/>
              <c:spPr>
                <a:solidFill>
                  <a:schemeClr val="accent2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all!$D$42:$D$65</c:f>
              <c:numCache>
                <c:formatCode>0.000</c:formatCode>
                <c:ptCount val="24"/>
                <c:pt idx="0">
                  <c:v>0.38831940167197898</c:v>
                </c:pt>
                <c:pt idx="1">
                  <c:v>0.597784224122066</c:v>
                </c:pt>
                <c:pt idx="2">
                  <c:v>0.92934562720262803</c:v>
                </c:pt>
                <c:pt idx="3">
                  <c:v>-0.33094957948560899</c:v>
                </c:pt>
                <c:pt idx="4">
                  <c:v>-0.27375631737886102</c:v>
                </c:pt>
                <c:pt idx="7">
                  <c:v>0.59399199353963394</c:v>
                </c:pt>
                <c:pt idx="10">
                  <c:v>0.74870138294766397</c:v>
                </c:pt>
                <c:pt idx="11">
                  <c:v>1.1019405303793299</c:v>
                </c:pt>
                <c:pt idx="12">
                  <c:v>0.17884914222762199</c:v>
                </c:pt>
                <c:pt idx="14">
                  <c:v>0.662333397055619</c:v>
                </c:pt>
                <c:pt idx="15">
                  <c:v>1.10062768451704</c:v>
                </c:pt>
                <c:pt idx="16">
                  <c:v>0.97101599927504101</c:v>
                </c:pt>
                <c:pt idx="17">
                  <c:v>0.95380985457733503</c:v>
                </c:pt>
                <c:pt idx="18">
                  <c:v>1.1029723476739599</c:v>
                </c:pt>
                <c:pt idx="19">
                  <c:v>0.52079829390269505</c:v>
                </c:pt>
                <c:pt idx="20">
                  <c:v>0.94175163201491896</c:v>
                </c:pt>
                <c:pt idx="21">
                  <c:v>0.28231733716004298</c:v>
                </c:pt>
                <c:pt idx="22">
                  <c:v>0.55097576187408004</c:v>
                </c:pt>
                <c:pt idx="23">
                  <c:v>0.99053604379690696</c:v>
                </c:pt>
              </c:numCache>
            </c:numRef>
          </c:xVal>
          <c:yVal>
            <c:numRef>
              <c:f>all!$M$10:$M$33</c:f>
              <c:numCache>
                <c:formatCode>0.00000</c:formatCode>
                <c:ptCount val="24"/>
                <c:pt idx="0">
                  <c:v>1.0119508062412015</c:v>
                </c:pt>
                <c:pt idx="2">
                  <c:v>1.0239451393319936</c:v>
                </c:pt>
                <c:pt idx="3">
                  <c:v>1.0275460447393339</c:v>
                </c:pt>
                <c:pt idx="4">
                  <c:v>1.0275826446035865</c:v>
                </c:pt>
                <c:pt idx="6">
                  <c:v>1.0572093304532362</c:v>
                </c:pt>
                <c:pt idx="7">
                  <c:v>1.111235100018195</c:v>
                </c:pt>
                <c:pt idx="8">
                  <c:v>1.0519758315193652</c:v>
                </c:pt>
                <c:pt idx="12">
                  <c:v>1.0078290838208943</c:v>
                </c:pt>
                <c:pt idx="13">
                  <c:v>1.008246697022094</c:v>
                </c:pt>
                <c:pt idx="14">
                  <c:v>1.0490052443540898</c:v>
                </c:pt>
                <c:pt idx="15">
                  <c:v>1.0119508062412015</c:v>
                </c:pt>
                <c:pt idx="17">
                  <c:v>1.0239451393319936</c:v>
                </c:pt>
                <c:pt idx="18">
                  <c:v>1.0275460447393339</c:v>
                </c:pt>
                <c:pt idx="19">
                  <c:v>1.0275826446035865</c:v>
                </c:pt>
                <c:pt idx="21">
                  <c:v>1.0572093304532362</c:v>
                </c:pt>
                <c:pt idx="22">
                  <c:v>1.111235100018195</c:v>
                </c:pt>
                <c:pt idx="23">
                  <c:v>1.0519758315193652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77F9-4A33-91CD-F88085CBEA7B}"/>
            </c:ext>
          </c:extLst>
        </c:ser>
        <c:ser>
          <c:idx val="2"/>
          <c:order val="2"/>
          <c:tx>
            <c:strRef>
              <c:f>all!$E$4</c:f>
              <c:strCache>
                <c:ptCount val="1"/>
                <c:pt idx="0">
                  <c:v>Aich (2014) 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3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-5.3252946629997952E-2"/>
                  <c:y val="1.6192228261109907E-2"/>
                </c:manualLayout>
              </c:layout>
              <c:numFmt formatCode="General" sourceLinked="0"/>
              <c:spPr>
                <a:solidFill>
                  <a:schemeClr val="accent6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all!$E$42:$E$65</c:f>
              <c:numCache>
                <c:formatCode>0.000</c:formatCode>
                <c:ptCount val="24"/>
                <c:pt idx="0">
                  <c:v>1.20306787922476E-2</c:v>
                </c:pt>
                <c:pt idx="1">
                  <c:v>2.7386597361713599E-2</c:v>
                </c:pt>
                <c:pt idx="2">
                  <c:v>2.8615745110634201E-2</c:v>
                </c:pt>
                <c:pt idx="3">
                  <c:v>4.4113621235337297E-2</c:v>
                </c:pt>
                <c:pt idx="4">
                  <c:v>-8.0536265843332393E-3</c:v>
                </c:pt>
                <c:pt idx="7">
                  <c:v>2.7450804091866201E-2</c:v>
                </c:pt>
                <c:pt idx="10">
                  <c:v>6.5697545304297195E-2</c:v>
                </c:pt>
                <c:pt idx="11">
                  <c:v>0.132436068542756</c:v>
                </c:pt>
                <c:pt idx="12">
                  <c:v>-4.2076076707890497E-3</c:v>
                </c:pt>
                <c:pt idx="14">
                  <c:v>0.12430930853391101</c:v>
                </c:pt>
                <c:pt idx="15">
                  <c:v>9.2876994447724404E-2</c:v>
                </c:pt>
                <c:pt idx="16">
                  <c:v>8.3834633446242604E-2</c:v>
                </c:pt>
                <c:pt idx="17">
                  <c:v>4.4857179056258203E-2</c:v>
                </c:pt>
                <c:pt idx="18">
                  <c:v>7.6664996000854094E-2</c:v>
                </c:pt>
                <c:pt idx="19">
                  <c:v>2.1219861817338499E-2</c:v>
                </c:pt>
                <c:pt idx="20">
                  <c:v>8.5275451626537893E-2</c:v>
                </c:pt>
                <c:pt idx="21">
                  <c:v>3.1629539106965802E-2</c:v>
                </c:pt>
                <c:pt idx="22">
                  <c:v>4.3964016574286002E-2</c:v>
                </c:pt>
                <c:pt idx="23">
                  <c:v>5.3048699734524599E-2</c:v>
                </c:pt>
              </c:numCache>
            </c:numRef>
          </c:xVal>
          <c:yVal>
            <c:numRef>
              <c:f>all!$M$10:$M$33</c:f>
              <c:numCache>
                <c:formatCode>0.00000</c:formatCode>
                <c:ptCount val="24"/>
                <c:pt idx="0">
                  <c:v>1.0119508062412015</c:v>
                </c:pt>
                <c:pt idx="2">
                  <c:v>1.0239451393319936</c:v>
                </c:pt>
                <c:pt idx="3">
                  <c:v>1.0275460447393339</c:v>
                </c:pt>
                <c:pt idx="4">
                  <c:v>1.0275826446035865</c:v>
                </c:pt>
                <c:pt idx="6">
                  <c:v>1.0572093304532362</c:v>
                </c:pt>
                <c:pt idx="7">
                  <c:v>1.111235100018195</c:v>
                </c:pt>
                <c:pt idx="8">
                  <c:v>1.0519758315193652</c:v>
                </c:pt>
                <c:pt idx="12">
                  <c:v>1.0078290838208943</c:v>
                </c:pt>
                <c:pt idx="13">
                  <c:v>1.008246697022094</c:v>
                </c:pt>
                <c:pt idx="14">
                  <c:v>1.0490052443540898</c:v>
                </c:pt>
                <c:pt idx="15">
                  <c:v>1.0119508062412015</c:v>
                </c:pt>
                <c:pt idx="17">
                  <c:v>1.0239451393319936</c:v>
                </c:pt>
                <c:pt idx="18">
                  <c:v>1.0275460447393339</c:v>
                </c:pt>
                <c:pt idx="19">
                  <c:v>1.0275826446035865</c:v>
                </c:pt>
                <c:pt idx="21">
                  <c:v>1.0572093304532362</c:v>
                </c:pt>
                <c:pt idx="22">
                  <c:v>1.111235100018195</c:v>
                </c:pt>
                <c:pt idx="23">
                  <c:v>1.0519758315193652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77F9-4A33-91CD-F88085CBEA7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29882927"/>
        <c:axId val="129899727"/>
      </c:scatterChart>
      <c:valAx>
        <c:axId val="129882927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Hysteresis Index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9899727"/>
        <c:crosses val="autoZero"/>
        <c:crossBetween val="midCat"/>
      </c:valAx>
      <c:valAx>
        <c:axId val="12989972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Critical</a:t>
                </a:r>
                <a:r>
                  <a:rPr lang="en-US" baseline="0"/>
                  <a:t> Shear Stress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000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9882927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legendEntry>
        <c:idx val="3"/>
        <c:delete val="1"/>
      </c:legendEntry>
      <c:legendEntry>
        <c:idx val="4"/>
        <c:delete val="1"/>
      </c:legendEntry>
      <c:legendEntry>
        <c:idx val="5"/>
        <c:delete val="1"/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Turbidity</a:t>
            </a:r>
            <a:r>
              <a:rPr lang="en-US" baseline="0"/>
              <a:t> HI to </a:t>
            </a:r>
            <a:r>
              <a:rPr lang="el-GR" baseline="0"/>
              <a:t>τ</a:t>
            </a:r>
            <a:r>
              <a:rPr lang="en-US" baseline="0"/>
              <a:t>peak / </a:t>
            </a:r>
            <a:r>
              <a:rPr lang="el-GR" baseline="0"/>
              <a:t>τ</a:t>
            </a:r>
            <a:r>
              <a:rPr lang="en-US" baseline="0"/>
              <a:t>c 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all!$D$67</c:f>
              <c:strCache>
                <c:ptCount val="1"/>
                <c:pt idx="0">
                  <c:v>Langlois (2005)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0.11053586447631981"/>
                  <c:y val="0.17677503226929414"/>
                </c:manualLayout>
              </c:layout>
              <c:numFmt formatCode="General" sourceLinked="0"/>
              <c:spPr>
                <a:solidFill>
                  <a:schemeClr val="tx2">
                    <a:lumMod val="10000"/>
                    <a:lumOff val="9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all!$D$71:$D$96</c:f>
              <c:numCache>
                <c:formatCode>0.0000</c:formatCode>
                <c:ptCount val="26"/>
                <c:pt idx="0">
                  <c:v>1.14568818263897</c:v>
                </c:pt>
                <c:pt idx="1">
                  <c:v>1.10273002217056</c:v>
                </c:pt>
                <c:pt idx="2">
                  <c:v>1.2576523908335999</c:v>
                </c:pt>
                <c:pt idx="3">
                  <c:v>1.24807759229999</c:v>
                </c:pt>
                <c:pt idx="4">
                  <c:v>1.42877693896201</c:v>
                </c:pt>
                <c:pt idx="5">
                  <c:v>1.33941755807892</c:v>
                </c:pt>
                <c:pt idx="6">
                  <c:v>1.3769164984553499</c:v>
                </c:pt>
                <c:pt idx="7">
                  <c:v>1.66488624253968</c:v>
                </c:pt>
                <c:pt idx="8">
                  <c:v>1.1538999764416</c:v>
                </c:pt>
                <c:pt idx="9">
                  <c:v>1.5749763159783401</c:v>
                </c:pt>
                <c:pt idx="10">
                  <c:v>1.3735151389442699</c:v>
                </c:pt>
                <c:pt idx="12">
                  <c:v>1.05849048577709</c:v>
                </c:pt>
                <c:pt idx="13">
                  <c:v>1.4368219825375701</c:v>
                </c:pt>
                <c:pt idx="14">
                  <c:v>1.1632876834321</c:v>
                </c:pt>
                <c:pt idx="15">
                  <c:v>1.1661766362910899</c:v>
                </c:pt>
                <c:pt idx="16">
                  <c:v>1.1611078257792899</c:v>
                </c:pt>
                <c:pt idx="17">
                  <c:v>1.2283054504143001</c:v>
                </c:pt>
                <c:pt idx="18">
                  <c:v>1.2985932043400299</c:v>
                </c:pt>
                <c:pt idx="19">
                  <c:v>1.25880991704892</c:v>
                </c:pt>
                <c:pt idx="20">
                  <c:v>1.2914529576795399</c:v>
                </c:pt>
                <c:pt idx="21">
                  <c:v>1.2886907903199001</c:v>
                </c:pt>
                <c:pt idx="22">
                  <c:v>1.39612401914989</c:v>
                </c:pt>
                <c:pt idx="23">
                  <c:v>1.15490049713987</c:v>
                </c:pt>
                <c:pt idx="24">
                  <c:v>1.6223687074200499</c:v>
                </c:pt>
                <c:pt idx="25">
                  <c:v>1.4572146309152101</c:v>
                </c:pt>
              </c:numCache>
            </c:numRef>
          </c:xVal>
          <c:yVal>
            <c:numRef>
              <c:f>all!$O$70:$O$96</c:f>
              <c:numCache>
                <c:formatCode>0.0000</c:formatCode>
                <c:ptCount val="27"/>
                <c:pt idx="0">
                  <c:v>1.0078290838208943</c:v>
                </c:pt>
                <c:pt idx="1">
                  <c:v>1.008246697022094</c:v>
                </c:pt>
                <c:pt idx="2">
                  <c:v>1.0490052443540898</c:v>
                </c:pt>
                <c:pt idx="3">
                  <c:v>1.0119508062412015</c:v>
                </c:pt>
                <c:pt idx="5">
                  <c:v>1.0239451393319936</c:v>
                </c:pt>
                <c:pt idx="6">
                  <c:v>1.0275460447393339</c:v>
                </c:pt>
                <c:pt idx="7">
                  <c:v>1.0275826446035865</c:v>
                </c:pt>
                <c:pt idx="9">
                  <c:v>1.0572093304532362</c:v>
                </c:pt>
                <c:pt idx="10">
                  <c:v>1.111235100018195</c:v>
                </c:pt>
                <c:pt idx="11">
                  <c:v>1.0519758315193652</c:v>
                </c:pt>
                <c:pt idx="15">
                  <c:v>1.0078290838208943</c:v>
                </c:pt>
                <c:pt idx="16">
                  <c:v>1.008246697022094</c:v>
                </c:pt>
                <c:pt idx="17">
                  <c:v>1.0490052443540898</c:v>
                </c:pt>
                <c:pt idx="18">
                  <c:v>1.0119508062412015</c:v>
                </c:pt>
                <c:pt idx="20">
                  <c:v>1.0239451393319936</c:v>
                </c:pt>
                <c:pt idx="21">
                  <c:v>1.0275460447393339</c:v>
                </c:pt>
                <c:pt idx="22">
                  <c:v>1.0275826446035865</c:v>
                </c:pt>
                <c:pt idx="24">
                  <c:v>1.0572093304532362</c:v>
                </c:pt>
                <c:pt idx="25">
                  <c:v>1.111235100018195</c:v>
                </c:pt>
                <c:pt idx="26">
                  <c:v>1.0519758315193652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89B0-4F67-B585-505BD48DB43F}"/>
            </c:ext>
          </c:extLst>
        </c:ser>
        <c:ser>
          <c:idx val="1"/>
          <c:order val="1"/>
          <c:tx>
            <c:strRef>
              <c:f>all!$D$4</c:f>
              <c:strCache>
                <c:ptCount val="1"/>
                <c:pt idx="0">
                  <c:v>Lawler (2006)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-0.27376431492018183"/>
                  <c:y val="7.0662819944373401E-2"/>
                </c:manualLayout>
              </c:layout>
              <c:numFmt formatCode="General" sourceLinked="0"/>
              <c:spPr>
                <a:solidFill>
                  <a:schemeClr val="accent2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all!$E$70:$E$96</c:f>
              <c:numCache>
                <c:formatCode>0.0000</c:formatCode>
                <c:ptCount val="27"/>
                <c:pt idx="0">
                  <c:v>0.92629163740877796</c:v>
                </c:pt>
                <c:pt idx="1">
                  <c:v>0.723568252950335</c:v>
                </c:pt>
                <c:pt idx="2">
                  <c:v>0.92947006080395</c:v>
                </c:pt>
                <c:pt idx="3">
                  <c:v>0.77855192606860901</c:v>
                </c:pt>
                <c:pt idx="4">
                  <c:v>0.55577143716833499</c:v>
                </c:pt>
                <c:pt idx="5">
                  <c:v>0.33551375674123601</c:v>
                </c:pt>
                <c:pt idx="6">
                  <c:v>0.63731372986403501</c:v>
                </c:pt>
                <c:pt idx="7">
                  <c:v>-0.44248745305980902</c:v>
                </c:pt>
                <c:pt idx="8">
                  <c:v>0.73952445342362605</c:v>
                </c:pt>
                <c:pt idx="9">
                  <c:v>9.3645385178040705E-2</c:v>
                </c:pt>
                <c:pt idx="10">
                  <c:v>0.78100360785877099</c:v>
                </c:pt>
                <c:pt idx="11">
                  <c:v>0.76865077228085099</c:v>
                </c:pt>
                <c:pt idx="13">
                  <c:v>-0.73582121336391904</c:v>
                </c:pt>
                <c:pt idx="14">
                  <c:v>0.96854380596042999</c:v>
                </c:pt>
                <c:pt idx="15">
                  <c:v>0.91285830032378401</c:v>
                </c:pt>
                <c:pt idx="16">
                  <c:v>0.69952356032694896</c:v>
                </c:pt>
                <c:pt idx="17">
                  <c:v>0.97668665464899096</c:v>
                </c:pt>
                <c:pt idx="18">
                  <c:v>0.33582626900186402</c:v>
                </c:pt>
                <c:pt idx="19">
                  <c:v>0.52794332050181203</c:v>
                </c:pt>
                <c:pt idx="20">
                  <c:v>0.94081849763111403</c:v>
                </c:pt>
                <c:pt idx="21">
                  <c:v>0.445945938664987</c:v>
                </c:pt>
                <c:pt idx="22">
                  <c:v>-0.136935986249347</c:v>
                </c:pt>
                <c:pt idx="23">
                  <c:v>0.97165157928161605</c:v>
                </c:pt>
                <c:pt idx="24">
                  <c:v>0.47813963463856402</c:v>
                </c:pt>
                <c:pt idx="25">
                  <c:v>0.74242380847501299</c:v>
                </c:pt>
                <c:pt idx="26">
                  <c:v>0.80433038241724497</c:v>
                </c:pt>
              </c:numCache>
            </c:numRef>
          </c:xVal>
          <c:yVal>
            <c:numRef>
              <c:f>all!$O$70:$O$96</c:f>
              <c:numCache>
                <c:formatCode>0.0000</c:formatCode>
                <c:ptCount val="27"/>
                <c:pt idx="0">
                  <c:v>1.0078290838208943</c:v>
                </c:pt>
                <c:pt idx="1">
                  <c:v>1.008246697022094</c:v>
                </c:pt>
                <c:pt idx="2">
                  <c:v>1.0490052443540898</c:v>
                </c:pt>
                <c:pt idx="3">
                  <c:v>1.0119508062412015</c:v>
                </c:pt>
                <c:pt idx="5">
                  <c:v>1.0239451393319936</c:v>
                </c:pt>
                <c:pt idx="6">
                  <c:v>1.0275460447393339</c:v>
                </c:pt>
                <c:pt idx="7">
                  <c:v>1.0275826446035865</c:v>
                </c:pt>
                <c:pt idx="9">
                  <c:v>1.0572093304532362</c:v>
                </c:pt>
                <c:pt idx="10">
                  <c:v>1.111235100018195</c:v>
                </c:pt>
                <c:pt idx="11">
                  <c:v>1.0519758315193652</c:v>
                </c:pt>
                <c:pt idx="15">
                  <c:v>1.0078290838208943</c:v>
                </c:pt>
                <c:pt idx="16">
                  <c:v>1.008246697022094</c:v>
                </c:pt>
                <c:pt idx="17">
                  <c:v>1.0490052443540898</c:v>
                </c:pt>
                <c:pt idx="18">
                  <c:v>1.0119508062412015</c:v>
                </c:pt>
                <c:pt idx="20">
                  <c:v>1.0239451393319936</c:v>
                </c:pt>
                <c:pt idx="21">
                  <c:v>1.0275460447393339</c:v>
                </c:pt>
                <c:pt idx="22">
                  <c:v>1.0275826446035865</c:v>
                </c:pt>
                <c:pt idx="24">
                  <c:v>1.0572093304532362</c:v>
                </c:pt>
                <c:pt idx="25">
                  <c:v>1.111235100018195</c:v>
                </c:pt>
                <c:pt idx="26">
                  <c:v>1.0519758315193652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89B0-4F67-B585-505BD48DB43F}"/>
            </c:ext>
          </c:extLst>
        </c:ser>
        <c:ser>
          <c:idx val="2"/>
          <c:order val="2"/>
          <c:tx>
            <c:strRef>
              <c:f>all!$E$4</c:f>
              <c:strCache>
                <c:ptCount val="1"/>
                <c:pt idx="0">
                  <c:v>Aich (2014) 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3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-0.23577159736104777"/>
                  <c:y val="-0.16991637519451017"/>
                </c:manualLayout>
              </c:layout>
              <c:numFmt formatCode="General" sourceLinked="0"/>
              <c:spPr>
                <a:solidFill>
                  <a:schemeClr val="accent6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all!$F$70:$F$96</c:f>
              <c:numCache>
                <c:formatCode>0.0000</c:formatCode>
                <c:ptCount val="27"/>
                <c:pt idx="0">
                  <c:v>0.11077055296162799</c:v>
                </c:pt>
                <c:pt idx="1">
                  <c:v>1.0650915621547401E-2</c:v>
                </c:pt>
                <c:pt idx="2">
                  <c:v>-2.2683422982125001E-2</c:v>
                </c:pt>
                <c:pt idx="3">
                  <c:v>0.15621819275209001</c:v>
                </c:pt>
                <c:pt idx="4">
                  <c:v>0.15071577677020101</c:v>
                </c:pt>
                <c:pt idx="5">
                  <c:v>5.5397551503622099E-2</c:v>
                </c:pt>
                <c:pt idx="6">
                  <c:v>6.9883057908481996E-2</c:v>
                </c:pt>
                <c:pt idx="7">
                  <c:v>7.8645648239850305E-2</c:v>
                </c:pt>
                <c:pt idx="8">
                  <c:v>0.17832892113485599</c:v>
                </c:pt>
                <c:pt idx="9">
                  <c:v>2.1496979213356301E-3</c:v>
                </c:pt>
                <c:pt idx="10">
                  <c:v>0.101236914763633</c:v>
                </c:pt>
                <c:pt idx="11">
                  <c:v>0.107400232693555</c:v>
                </c:pt>
                <c:pt idx="13">
                  <c:v>8.4573685986466099E-2</c:v>
                </c:pt>
                <c:pt idx="14">
                  <c:v>0.198594884621278</c:v>
                </c:pt>
                <c:pt idx="15">
                  <c:v>6.8212961854365706E-2</c:v>
                </c:pt>
                <c:pt idx="16">
                  <c:v>4.9611646415268197E-2</c:v>
                </c:pt>
                <c:pt idx="17">
                  <c:v>0.107447815904682</c:v>
                </c:pt>
                <c:pt idx="18">
                  <c:v>0.39411883766970102</c:v>
                </c:pt>
                <c:pt idx="19">
                  <c:v>9.0698601563059603E-2</c:v>
                </c:pt>
                <c:pt idx="20">
                  <c:v>9.9852529707758195E-2</c:v>
                </c:pt>
                <c:pt idx="21">
                  <c:v>5.5815481283492403E-2</c:v>
                </c:pt>
                <c:pt idx="22">
                  <c:v>9.5391388976058394E-2</c:v>
                </c:pt>
                <c:pt idx="23">
                  <c:v>9.9540545016305104E-2</c:v>
                </c:pt>
                <c:pt idx="24">
                  <c:v>0.115227328160236</c:v>
                </c:pt>
                <c:pt idx="25">
                  <c:v>0.157732693122626</c:v>
                </c:pt>
                <c:pt idx="26">
                  <c:v>0.121156039239802</c:v>
                </c:pt>
              </c:numCache>
            </c:numRef>
          </c:xVal>
          <c:yVal>
            <c:numRef>
              <c:f>all!$O$70:$O$96</c:f>
              <c:numCache>
                <c:formatCode>0.0000</c:formatCode>
                <c:ptCount val="27"/>
                <c:pt idx="0">
                  <c:v>1.0078290838208943</c:v>
                </c:pt>
                <c:pt idx="1">
                  <c:v>1.008246697022094</c:v>
                </c:pt>
                <c:pt idx="2">
                  <c:v>1.0490052443540898</c:v>
                </c:pt>
                <c:pt idx="3">
                  <c:v>1.0119508062412015</c:v>
                </c:pt>
                <c:pt idx="5">
                  <c:v>1.0239451393319936</c:v>
                </c:pt>
                <c:pt idx="6">
                  <c:v>1.0275460447393339</c:v>
                </c:pt>
                <c:pt idx="7">
                  <c:v>1.0275826446035865</c:v>
                </c:pt>
                <c:pt idx="9">
                  <c:v>1.0572093304532362</c:v>
                </c:pt>
                <c:pt idx="10">
                  <c:v>1.111235100018195</c:v>
                </c:pt>
                <c:pt idx="11">
                  <c:v>1.0519758315193652</c:v>
                </c:pt>
                <c:pt idx="15">
                  <c:v>1.0078290838208943</c:v>
                </c:pt>
                <c:pt idx="16">
                  <c:v>1.008246697022094</c:v>
                </c:pt>
                <c:pt idx="17">
                  <c:v>1.0490052443540898</c:v>
                </c:pt>
                <c:pt idx="18">
                  <c:v>1.0119508062412015</c:v>
                </c:pt>
                <c:pt idx="20">
                  <c:v>1.0239451393319936</c:v>
                </c:pt>
                <c:pt idx="21">
                  <c:v>1.0275460447393339</c:v>
                </c:pt>
                <c:pt idx="22">
                  <c:v>1.0275826446035865</c:v>
                </c:pt>
                <c:pt idx="24">
                  <c:v>1.0572093304532362</c:v>
                </c:pt>
                <c:pt idx="25">
                  <c:v>1.111235100018195</c:v>
                </c:pt>
                <c:pt idx="26">
                  <c:v>1.0519758315193652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89B0-4F67-B585-505BD48DB43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29882927"/>
        <c:axId val="129899727"/>
      </c:scatterChart>
      <c:valAx>
        <c:axId val="129882927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Hysteresis Index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9899727"/>
        <c:crosses val="autoZero"/>
        <c:crossBetween val="midCat"/>
      </c:valAx>
      <c:valAx>
        <c:axId val="12989972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Critical</a:t>
                </a:r>
                <a:r>
                  <a:rPr lang="en-US" baseline="0"/>
                  <a:t> Shear Stress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00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9882927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legendEntry>
        <c:idx val="3"/>
        <c:delete val="1"/>
      </c:legendEntry>
      <c:legendEntry>
        <c:idx val="4"/>
        <c:delete val="1"/>
      </c:legendEntry>
      <c:legendEntry>
        <c:idx val="5"/>
        <c:delete val="1"/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fDOM</a:t>
            </a:r>
            <a:r>
              <a:rPr lang="en-US" baseline="0"/>
              <a:t> HI to </a:t>
            </a:r>
            <a:r>
              <a:rPr lang="el-GR" baseline="0"/>
              <a:t>τ</a:t>
            </a:r>
            <a:r>
              <a:rPr lang="en-US" baseline="0"/>
              <a:t>peak / </a:t>
            </a:r>
            <a:r>
              <a:rPr lang="el-GR" baseline="0"/>
              <a:t>τ</a:t>
            </a:r>
            <a:r>
              <a:rPr lang="en-US" baseline="0"/>
              <a:t>c 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0.16066650974548111"/>
          <c:y val="0.18004530917761208"/>
          <c:w val="0.75074186828700784"/>
          <c:h val="0.49375460344531691"/>
        </c:manualLayout>
      </c:layout>
      <c:scatterChart>
        <c:scatterStyle val="lineMarker"/>
        <c:varyColors val="0"/>
        <c:ser>
          <c:idx val="0"/>
          <c:order val="0"/>
          <c:tx>
            <c:strRef>
              <c:f>all!$C$4</c:f>
              <c:strCache>
                <c:ptCount val="1"/>
                <c:pt idx="0">
                  <c:v>Langlois (2005)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8.9872444092425854E-2"/>
                  <c:y val="0.24743458855375658"/>
                </c:manualLayout>
              </c:layout>
              <c:numFmt formatCode="General" sourceLinked="0"/>
              <c:spPr>
                <a:solidFill>
                  <a:schemeClr val="tx2">
                    <a:lumMod val="10000"/>
                    <a:lumOff val="9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all!$R$70:$R$96</c:f>
              <c:numCache>
                <c:formatCode>0.00000</c:formatCode>
                <c:ptCount val="27"/>
                <c:pt idx="0">
                  <c:v>0.98302221968248604</c:v>
                </c:pt>
                <c:pt idx="1">
                  <c:v>0.99703728594241603</c:v>
                </c:pt>
                <c:pt idx="2">
                  <c:v>1.05414106800948</c:v>
                </c:pt>
                <c:pt idx="3">
                  <c:v>1.00376784280544</c:v>
                </c:pt>
                <c:pt idx="4">
                  <c:v>0.965580440673389</c:v>
                </c:pt>
                <c:pt idx="5">
                  <c:v>1.0368691348627199</c:v>
                </c:pt>
                <c:pt idx="6">
                  <c:v>0.98011971152962396</c:v>
                </c:pt>
                <c:pt idx="7">
                  <c:v>0.80472452573481301</c:v>
                </c:pt>
                <c:pt idx="8">
                  <c:v>1.07122215244959</c:v>
                </c:pt>
                <c:pt idx="9">
                  <c:v>0.96842975873578097</c:v>
                </c:pt>
                <c:pt idx="10">
                  <c:v>0.99721998555050795</c:v>
                </c:pt>
                <c:pt idx="11">
                  <c:v>1.0088578932758001</c:v>
                </c:pt>
                <c:pt idx="13" formatCode="0.000">
                  <c:v>0.45078352403799399</c:v>
                </c:pt>
                <c:pt idx="14" formatCode="0.000">
                  <c:v>0.94043662960440699</c:v>
                </c:pt>
                <c:pt idx="15" formatCode="0.000">
                  <c:v>0.95863149267075098</c:v>
                </c:pt>
                <c:pt idx="16" formatCode="0.000">
                  <c:v>0.98251699448728103</c:v>
                </c:pt>
                <c:pt idx="17" formatCode="0.000">
                  <c:v>1.0568614326035</c:v>
                </c:pt>
                <c:pt idx="18" formatCode="0.000">
                  <c:v>1.03826719630338</c:v>
                </c:pt>
                <c:pt idx="19" formatCode="0.000">
                  <c:v>0.93867849021001804</c:v>
                </c:pt>
                <c:pt idx="20" formatCode="0.000">
                  <c:v>1.08896416336113</c:v>
                </c:pt>
                <c:pt idx="21" formatCode="0.000">
                  <c:v>1.18553177339745</c:v>
                </c:pt>
                <c:pt idx="22" formatCode="0.000">
                  <c:v>1.0643830961710401</c:v>
                </c:pt>
                <c:pt idx="23" formatCode="0.000">
                  <c:v>1.0913993357873799</c:v>
                </c:pt>
                <c:pt idx="24" formatCode="0.000">
                  <c:v>1.00259808767117</c:v>
                </c:pt>
                <c:pt idx="25" formatCode="0.000">
                  <c:v>1.0043452914566</c:v>
                </c:pt>
                <c:pt idx="26" formatCode="0.000">
                  <c:v>0.40870513477919201</c:v>
                </c:pt>
              </c:numCache>
            </c:numRef>
          </c:xVal>
          <c:yVal>
            <c:numRef>
              <c:f>all!$O$70:$O$96</c:f>
              <c:numCache>
                <c:formatCode>0.0000</c:formatCode>
                <c:ptCount val="27"/>
                <c:pt idx="0">
                  <c:v>1.0078290838208943</c:v>
                </c:pt>
                <c:pt idx="1">
                  <c:v>1.008246697022094</c:v>
                </c:pt>
                <c:pt idx="2">
                  <c:v>1.0490052443540898</c:v>
                </c:pt>
                <c:pt idx="3">
                  <c:v>1.0119508062412015</c:v>
                </c:pt>
                <c:pt idx="5">
                  <c:v>1.0239451393319936</c:v>
                </c:pt>
                <c:pt idx="6">
                  <c:v>1.0275460447393339</c:v>
                </c:pt>
                <c:pt idx="7">
                  <c:v>1.0275826446035865</c:v>
                </c:pt>
                <c:pt idx="9">
                  <c:v>1.0572093304532362</c:v>
                </c:pt>
                <c:pt idx="10">
                  <c:v>1.111235100018195</c:v>
                </c:pt>
                <c:pt idx="11">
                  <c:v>1.0519758315193652</c:v>
                </c:pt>
                <c:pt idx="15">
                  <c:v>1.0078290838208943</c:v>
                </c:pt>
                <c:pt idx="16">
                  <c:v>1.008246697022094</c:v>
                </c:pt>
                <c:pt idx="17">
                  <c:v>1.0490052443540898</c:v>
                </c:pt>
                <c:pt idx="18">
                  <c:v>1.0119508062412015</c:v>
                </c:pt>
                <c:pt idx="20">
                  <c:v>1.0239451393319936</c:v>
                </c:pt>
                <c:pt idx="21">
                  <c:v>1.0275460447393339</c:v>
                </c:pt>
                <c:pt idx="22">
                  <c:v>1.0275826446035865</c:v>
                </c:pt>
                <c:pt idx="24">
                  <c:v>1.0572093304532362</c:v>
                </c:pt>
                <c:pt idx="25">
                  <c:v>1.111235100018195</c:v>
                </c:pt>
                <c:pt idx="26">
                  <c:v>1.0519758315193652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D198-4F4B-880C-A8BC2A617677}"/>
            </c:ext>
          </c:extLst>
        </c:ser>
        <c:ser>
          <c:idx val="1"/>
          <c:order val="1"/>
          <c:tx>
            <c:strRef>
              <c:f>all!$D$4</c:f>
              <c:strCache>
                <c:ptCount val="1"/>
                <c:pt idx="0">
                  <c:v>Lawler (2006)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-0.11404050772819162"/>
                  <c:y val="-0.25321615275621912"/>
                </c:manualLayout>
              </c:layout>
              <c:numFmt formatCode="General" sourceLinked="0"/>
              <c:spPr>
                <a:solidFill>
                  <a:schemeClr val="accent2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all!$S$70:$S$96</c:f>
              <c:numCache>
                <c:formatCode>0.0000</c:formatCode>
                <c:ptCount val="27"/>
                <c:pt idx="0">
                  <c:v>-0.31071591767089402</c:v>
                </c:pt>
                <c:pt idx="1">
                  <c:v>-0.72341186519112299</c:v>
                </c:pt>
                <c:pt idx="2">
                  <c:v>0.54135397831396403</c:v>
                </c:pt>
                <c:pt idx="3">
                  <c:v>-0.28173278371114102</c:v>
                </c:pt>
                <c:pt idx="4">
                  <c:v>-0.28388728833714599</c:v>
                </c:pt>
                <c:pt idx="5">
                  <c:v>-0.167176048352111</c:v>
                </c:pt>
                <c:pt idx="6">
                  <c:v>-0.234414236192791</c:v>
                </c:pt>
                <c:pt idx="7">
                  <c:v>-0.91543606234553399</c:v>
                </c:pt>
                <c:pt idx="8">
                  <c:v>-0.11116405161722299</c:v>
                </c:pt>
                <c:pt idx="9">
                  <c:v>-0.44122459346906301</c:v>
                </c:pt>
                <c:pt idx="10">
                  <c:v>-0.221642867808126</c:v>
                </c:pt>
                <c:pt idx="11">
                  <c:v>0.120506313986007</c:v>
                </c:pt>
                <c:pt idx="12">
                  <c:v>0.99778765474319298</c:v>
                </c:pt>
                <c:pt idx="13" formatCode="0.000">
                  <c:v>-0.811886428716041</c:v>
                </c:pt>
                <c:pt idx="14" formatCode="0.000">
                  <c:v>-0.54271122756527101</c:v>
                </c:pt>
                <c:pt idx="15" formatCode="0.000">
                  <c:v>-0.67772868565601696</c:v>
                </c:pt>
                <c:pt idx="16" formatCode="0.000">
                  <c:v>-0.76078071695181804</c:v>
                </c:pt>
                <c:pt idx="17" formatCode="0.000">
                  <c:v>0.64678217889059297</c:v>
                </c:pt>
                <c:pt idx="18" formatCode="0.000">
                  <c:v>-0.15477977693324399</c:v>
                </c:pt>
                <c:pt idx="19" formatCode="0.000">
                  <c:v>-0.86583274285189604</c:v>
                </c:pt>
                <c:pt idx="20" formatCode="0.000">
                  <c:v>0.61214631104569395</c:v>
                </c:pt>
                <c:pt idx="21" formatCode="0.000">
                  <c:v>0.59208584316733603</c:v>
                </c:pt>
                <c:pt idx="22" formatCode="0.000">
                  <c:v>0.74012064453311799</c:v>
                </c:pt>
                <c:pt idx="23" formatCode="0.000">
                  <c:v>0.62408685090742599</c:v>
                </c:pt>
                <c:pt idx="24" formatCode="0.000">
                  <c:v>0.25147892096544</c:v>
                </c:pt>
                <c:pt idx="25" formatCode="0.000">
                  <c:v>-2.3625782421043601E-2</c:v>
                </c:pt>
                <c:pt idx="26" formatCode="0.000">
                  <c:v>-0.95802365966780301</c:v>
                </c:pt>
              </c:numCache>
            </c:numRef>
          </c:xVal>
          <c:yVal>
            <c:numRef>
              <c:f>all!$O$70:$O$96</c:f>
              <c:numCache>
                <c:formatCode>0.0000</c:formatCode>
                <c:ptCount val="27"/>
                <c:pt idx="0">
                  <c:v>1.0078290838208943</c:v>
                </c:pt>
                <c:pt idx="1">
                  <c:v>1.008246697022094</c:v>
                </c:pt>
                <c:pt idx="2">
                  <c:v>1.0490052443540898</c:v>
                </c:pt>
                <c:pt idx="3">
                  <c:v>1.0119508062412015</c:v>
                </c:pt>
                <c:pt idx="5">
                  <c:v>1.0239451393319936</c:v>
                </c:pt>
                <c:pt idx="6">
                  <c:v>1.0275460447393339</c:v>
                </c:pt>
                <c:pt idx="7">
                  <c:v>1.0275826446035865</c:v>
                </c:pt>
                <c:pt idx="9">
                  <c:v>1.0572093304532362</c:v>
                </c:pt>
                <c:pt idx="10">
                  <c:v>1.111235100018195</c:v>
                </c:pt>
                <c:pt idx="11">
                  <c:v>1.0519758315193652</c:v>
                </c:pt>
                <c:pt idx="15">
                  <c:v>1.0078290838208943</c:v>
                </c:pt>
                <c:pt idx="16">
                  <c:v>1.008246697022094</c:v>
                </c:pt>
                <c:pt idx="17">
                  <c:v>1.0490052443540898</c:v>
                </c:pt>
                <c:pt idx="18">
                  <c:v>1.0119508062412015</c:v>
                </c:pt>
                <c:pt idx="20">
                  <c:v>1.0239451393319936</c:v>
                </c:pt>
                <c:pt idx="21">
                  <c:v>1.0275460447393339</c:v>
                </c:pt>
                <c:pt idx="22">
                  <c:v>1.0275826446035865</c:v>
                </c:pt>
                <c:pt idx="24">
                  <c:v>1.0572093304532362</c:v>
                </c:pt>
                <c:pt idx="25">
                  <c:v>1.111235100018195</c:v>
                </c:pt>
                <c:pt idx="26">
                  <c:v>1.0519758315193652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D198-4F4B-880C-A8BC2A617677}"/>
            </c:ext>
          </c:extLst>
        </c:ser>
        <c:ser>
          <c:idx val="2"/>
          <c:order val="2"/>
          <c:tx>
            <c:strRef>
              <c:f>all!$E$4</c:f>
              <c:strCache>
                <c:ptCount val="1"/>
                <c:pt idx="0">
                  <c:v>Aich (2014) 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3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-0.33284576967256985"/>
                  <c:y val="-8.8359394200929805E-3"/>
                </c:manualLayout>
              </c:layout>
              <c:numFmt formatCode="General" sourceLinked="0"/>
              <c:spPr>
                <a:solidFill>
                  <a:schemeClr val="accent6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all!$T$70:$T$97</c:f>
              <c:numCache>
                <c:formatCode>0.0000</c:formatCode>
                <c:ptCount val="28"/>
                <c:pt idx="0">
                  <c:v>-3.7834846370905402E-3</c:v>
                </c:pt>
                <c:pt idx="1">
                  <c:v>6.4581353214806597E-2</c:v>
                </c:pt>
                <c:pt idx="2">
                  <c:v>6.1895687016862502E-2</c:v>
                </c:pt>
                <c:pt idx="3">
                  <c:v>2.95836818188689E-2</c:v>
                </c:pt>
                <c:pt idx="4">
                  <c:v>-5.4892758010415703E-2</c:v>
                </c:pt>
                <c:pt idx="5">
                  <c:v>8.8641812543785899E-3</c:v>
                </c:pt>
                <c:pt idx="6">
                  <c:v>1.32778322661357E-2</c:v>
                </c:pt>
                <c:pt idx="7">
                  <c:v>-6.0975544853349099E-2</c:v>
                </c:pt>
                <c:pt idx="8">
                  <c:v>4.2081062239471598E-2</c:v>
                </c:pt>
                <c:pt idx="9">
                  <c:v>-1.77749404385871E-2</c:v>
                </c:pt>
                <c:pt idx="10">
                  <c:v>3.08855730575289E-3</c:v>
                </c:pt>
                <c:pt idx="11">
                  <c:v>-5.3081166180475401E-3</c:v>
                </c:pt>
                <c:pt idx="12">
                  <c:v>0.99566811930969701</c:v>
                </c:pt>
                <c:pt idx="13" formatCode="0.000">
                  <c:v>-9.3763935417501706E-2</c:v>
                </c:pt>
                <c:pt idx="14" formatCode="0.000">
                  <c:v>-5.2796335197095298E-2</c:v>
                </c:pt>
                <c:pt idx="15" formatCode="0.000">
                  <c:v>-5.9125313303963402E-2</c:v>
                </c:pt>
                <c:pt idx="16" formatCode="0.000">
                  <c:v>-4.1714957549384597E-2</c:v>
                </c:pt>
                <c:pt idx="17" formatCode="0.000">
                  <c:v>7.3340759088016003E-2</c:v>
                </c:pt>
                <c:pt idx="18" formatCode="0.000">
                  <c:v>7.1354925056258001E-3</c:v>
                </c:pt>
                <c:pt idx="19" formatCode="0.000">
                  <c:v>-0.28463650723553102</c:v>
                </c:pt>
                <c:pt idx="20" formatCode="0.000">
                  <c:v>-7.3287190867590401E-3</c:v>
                </c:pt>
                <c:pt idx="21" formatCode="0.000">
                  <c:v>0.10941628444022999</c:v>
                </c:pt>
                <c:pt idx="22" formatCode="0.000">
                  <c:v>-8.4675321487204705E-2</c:v>
                </c:pt>
                <c:pt idx="23" formatCode="0.000">
                  <c:v>-3.2911415817637998E-2</c:v>
                </c:pt>
                <c:pt idx="24" formatCode="0.000">
                  <c:v>-4.46763074582908E-2</c:v>
                </c:pt>
                <c:pt idx="25" formatCode="0.000">
                  <c:v>-1.53118918462132E-3</c:v>
                </c:pt>
                <c:pt idx="26" formatCode="0.000">
                  <c:v>-0.17920927988478999</c:v>
                </c:pt>
              </c:numCache>
            </c:numRef>
          </c:xVal>
          <c:yVal>
            <c:numRef>
              <c:f>all!$O$70:$O$96</c:f>
              <c:numCache>
                <c:formatCode>0.0000</c:formatCode>
                <c:ptCount val="27"/>
                <c:pt idx="0">
                  <c:v>1.0078290838208943</c:v>
                </c:pt>
                <c:pt idx="1">
                  <c:v>1.008246697022094</c:v>
                </c:pt>
                <c:pt idx="2">
                  <c:v>1.0490052443540898</c:v>
                </c:pt>
                <c:pt idx="3">
                  <c:v>1.0119508062412015</c:v>
                </c:pt>
                <c:pt idx="5">
                  <c:v>1.0239451393319936</c:v>
                </c:pt>
                <c:pt idx="6">
                  <c:v>1.0275460447393339</c:v>
                </c:pt>
                <c:pt idx="7">
                  <c:v>1.0275826446035865</c:v>
                </c:pt>
                <c:pt idx="9">
                  <c:v>1.0572093304532362</c:v>
                </c:pt>
                <c:pt idx="10">
                  <c:v>1.111235100018195</c:v>
                </c:pt>
                <c:pt idx="11">
                  <c:v>1.0519758315193652</c:v>
                </c:pt>
                <c:pt idx="15">
                  <c:v>1.0078290838208943</c:v>
                </c:pt>
                <c:pt idx="16">
                  <c:v>1.008246697022094</c:v>
                </c:pt>
                <c:pt idx="17">
                  <c:v>1.0490052443540898</c:v>
                </c:pt>
                <c:pt idx="18">
                  <c:v>1.0119508062412015</c:v>
                </c:pt>
                <c:pt idx="20">
                  <c:v>1.0239451393319936</c:v>
                </c:pt>
                <c:pt idx="21">
                  <c:v>1.0275460447393339</c:v>
                </c:pt>
                <c:pt idx="22">
                  <c:v>1.0275826446035865</c:v>
                </c:pt>
                <c:pt idx="24">
                  <c:v>1.0572093304532362</c:v>
                </c:pt>
                <c:pt idx="25">
                  <c:v>1.111235100018195</c:v>
                </c:pt>
                <c:pt idx="26">
                  <c:v>1.0519758315193652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D198-4F4B-880C-A8BC2A61767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29882927"/>
        <c:axId val="129899727"/>
      </c:scatterChart>
      <c:valAx>
        <c:axId val="129882927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Hysteresis Index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0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9899727"/>
        <c:crosses val="autoZero"/>
        <c:crossBetween val="midCat"/>
      </c:valAx>
      <c:valAx>
        <c:axId val="12989972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Critical</a:t>
                </a:r>
                <a:r>
                  <a:rPr lang="en-US" baseline="0"/>
                  <a:t> Shear Stress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" sourceLinked="0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9882927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legendEntry>
        <c:idx val="3"/>
        <c:delete val="1"/>
      </c:legendEntry>
      <c:legendEntry>
        <c:idx val="4"/>
        <c:delete val="1"/>
      </c:legendEntry>
      <c:legendEntry>
        <c:idx val="5"/>
        <c:delete val="1"/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SSC</a:t>
            </a:r>
            <a:r>
              <a:rPr lang="en-US" baseline="0"/>
              <a:t> HI to time between events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all!$C$4</c:f>
              <c:strCache>
                <c:ptCount val="1"/>
                <c:pt idx="0">
                  <c:v>Langlois (2005)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5.8959894400189136E-3"/>
                  <c:y val="0.22144861560354748"/>
                </c:manualLayout>
              </c:layout>
              <c:numFmt formatCode="General" sourceLinked="0"/>
              <c:spPr>
                <a:solidFill>
                  <a:schemeClr val="tx2">
                    <a:lumMod val="10000"/>
                    <a:lumOff val="9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all!$C$10:$C$33</c:f>
              <c:numCache>
                <c:formatCode>0.0000</c:formatCode>
                <c:ptCount val="24"/>
                <c:pt idx="0">
                  <c:v>1.31746197777344</c:v>
                </c:pt>
                <c:pt idx="1">
                  <c:v>0.89735303995633098</c:v>
                </c:pt>
                <c:pt idx="2">
                  <c:v>1.39880081037808</c:v>
                </c:pt>
                <c:pt idx="3">
                  <c:v>1.2210038373368299</c:v>
                </c:pt>
                <c:pt idx="4">
                  <c:v>1.5249018262283101</c:v>
                </c:pt>
                <c:pt idx="7">
                  <c:v>1.36678278361715</c:v>
                </c:pt>
                <c:pt idx="10">
                  <c:v>1.8695993339197901</c:v>
                </c:pt>
                <c:pt idx="11">
                  <c:v>1.21795864622288</c:v>
                </c:pt>
                <c:pt idx="12">
                  <c:v>1.0299659938988901</c:v>
                </c:pt>
                <c:pt idx="15">
                  <c:v>1.1534447144942801</c:v>
                </c:pt>
                <c:pt idx="16">
                  <c:v>1.6625275928143599</c:v>
                </c:pt>
                <c:pt idx="17">
                  <c:v>0.83858009935182098</c:v>
                </c:pt>
                <c:pt idx="18">
                  <c:v>2.31938512736013</c:v>
                </c:pt>
                <c:pt idx="19">
                  <c:v>1.66955637894203</c:v>
                </c:pt>
                <c:pt idx="21">
                  <c:v>0.90805045415642205</c:v>
                </c:pt>
                <c:pt idx="22">
                  <c:v>1.0862889042163599</c:v>
                </c:pt>
                <c:pt idx="23">
                  <c:v>0.39254775269290398</c:v>
                </c:pt>
              </c:numCache>
            </c:numRef>
          </c:xVal>
          <c:yVal>
            <c:numRef>
              <c:f>all!$G$10:$G$33</c:f>
              <c:numCache>
                <c:formatCode>General</c:formatCode>
                <c:ptCount val="24"/>
                <c:pt idx="0">
                  <c:v>21</c:v>
                </c:pt>
                <c:pt idx="1">
                  <c:v>21.5</c:v>
                </c:pt>
                <c:pt idx="2">
                  <c:v>75</c:v>
                </c:pt>
                <c:pt idx="3">
                  <c:v>47.5</c:v>
                </c:pt>
                <c:pt idx="4">
                  <c:v>23.5</c:v>
                </c:pt>
                <c:pt idx="5">
                  <c:v>27.75</c:v>
                </c:pt>
                <c:pt idx="6">
                  <c:v>20</c:v>
                </c:pt>
                <c:pt idx="7">
                  <c:v>23.75</c:v>
                </c:pt>
                <c:pt idx="8">
                  <c:v>23.5</c:v>
                </c:pt>
                <c:pt idx="9">
                  <c:v>24</c:v>
                </c:pt>
                <c:pt idx="11">
                  <c:v>22</c:v>
                </c:pt>
                <c:pt idx="12">
                  <c:v>21.75</c:v>
                </c:pt>
                <c:pt idx="13">
                  <c:v>48.5</c:v>
                </c:pt>
                <c:pt idx="14">
                  <c:v>28.75</c:v>
                </c:pt>
                <c:pt idx="15">
                  <c:v>21</c:v>
                </c:pt>
                <c:pt idx="16">
                  <c:v>21.5</c:v>
                </c:pt>
                <c:pt idx="17">
                  <c:v>75</c:v>
                </c:pt>
                <c:pt idx="18">
                  <c:v>47.5</c:v>
                </c:pt>
                <c:pt idx="19">
                  <c:v>23.5</c:v>
                </c:pt>
                <c:pt idx="20">
                  <c:v>27.75</c:v>
                </c:pt>
                <c:pt idx="21">
                  <c:v>20</c:v>
                </c:pt>
                <c:pt idx="22">
                  <c:v>23.75</c:v>
                </c:pt>
                <c:pt idx="23">
                  <c:v>23.5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427D-4260-A370-AB69415BB60D}"/>
            </c:ext>
          </c:extLst>
        </c:ser>
        <c:ser>
          <c:idx val="1"/>
          <c:order val="1"/>
          <c:tx>
            <c:strRef>
              <c:f>all!$D$4</c:f>
              <c:strCache>
                <c:ptCount val="1"/>
                <c:pt idx="0">
                  <c:v>Lawler (2006)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-4.7489574381930605E-2"/>
                  <c:y val="0.22589652441382868"/>
                </c:manualLayout>
              </c:layout>
              <c:numFmt formatCode="General" sourceLinked="0"/>
              <c:spPr>
                <a:solidFill>
                  <a:schemeClr val="accent2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all!$D$10:$D$33</c:f>
              <c:numCache>
                <c:formatCode>0.0000</c:formatCode>
                <c:ptCount val="24"/>
                <c:pt idx="0">
                  <c:v>0.66698565105034602</c:v>
                </c:pt>
                <c:pt idx="1">
                  <c:v>0.19762137224995299</c:v>
                </c:pt>
                <c:pt idx="2">
                  <c:v>0.54807771119966198</c:v>
                </c:pt>
                <c:pt idx="3">
                  <c:v>0.10106112243990099</c:v>
                </c:pt>
                <c:pt idx="4">
                  <c:v>0.50902572287082404</c:v>
                </c:pt>
                <c:pt idx="7">
                  <c:v>0.463447965306029</c:v>
                </c:pt>
                <c:pt idx="10">
                  <c:v>0.44896728093636801</c:v>
                </c:pt>
                <c:pt idx="11">
                  <c:v>1.5264059910121399</c:v>
                </c:pt>
                <c:pt idx="12">
                  <c:v>0.71671353985517805</c:v>
                </c:pt>
                <c:pt idx="15">
                  <c:v>0.678678630991426</c:v>
                </c:pt>
                <c:pt idx="16">
                  <c:v>0.81343884511072295</c:v>
                </c:pt>
                <c:pt idx="17">
                  <c:v>-1.07855599689062</c:v>
                </c:pt>
                <c:pt idx="18">
                  <c:v>1.34776836410395</c:v>
                </c:pt>
                <c:pt idx="19">
                  <c:v>0.55456789410428697</c:v>
                </c:pt>
                <c:pt idx="20">
                  <c:v>0.70468449804027899</c:v>
                </c:pt>
                <c:pt idx="21">
                  <c:v>-0.373253605455523</c:v>
                </c:pt>
                <c:pt idx="22">
                  <c:v>0.63056904760694898</c:v>
                </c:pt>
                <c:pt idx="23">
                  <c:v>-0.623899602892661</c:v>
                </c:pt>
              </c:numCache>
            </c:numRef>
          </c:xVal>
          <c:yVal>
            <c:numRef>
              <c:f>all!$G$10:$G$33</c:f>
              <c:numCache>
                <c:formatCode>General</c:formatCode>
                <c:ptCount val="24"/>
                <c:pt idx="0">
                  <c:v>21</c:v>
                </c:pt>
                <c:pt idx="1">
                  <c:v>21.5</c:v>
                </c:pt>
                <c:pt idx="2">
                  <c:v>75</c:v>
                </c:pt>
                <c:pt idx="3">
                  <c:v>47.5</c:v>
                </c:pt>
                <c:pt idx="4">
                  <c:v>23.5</c:v>
                </c:pt>
                <c:pt idx="5">
                  <c:v>27.75</c:v>
                </c:pt>
                <c:pt idx="6">
                  <c:v>20</c:v>
                </c:pt>
                <c:pt idx="7">
                  <c:v>23.75</c:v>
                </c:pt>
                <c:pt idx="8">
                  <c:v>23.5</c:v>
                </c:pt>
                <c:pt idx="9">
                  <c:v>24</c:v>
                </c:pt>
                <c:pt idx="11">
                  <c:v>22</c:v>
                </c:pt>
                <c:pt idx="12">
                  <c:v>21.75</c:v>
                </c:pt>
                <c:pt idx="13">
                  <c:v>48.5</c:v>
                </c:pt>
                <c:pt idx="14">
                  <c:v>28.75</c:v>
                </c:pt>
                <c:pt idx="15">
                  <c:v>21</c:v>
                </c:pt>
                <c:pt idx="16">
                  <c:v>21.5</c:v>
                </c:pt>
                <c:pt idx="17">
                  <c:v>75</c:v>
                </c:pt>
                <c:pt idx="18">
                  <c:v>47.5</c:v>
                </c:pt>
                <c:pt idx="19">
                  <c:v>23.5</c:v>
                </c:pt>
                <c:pt idx="20">
                  <c:v>27.75</c:v>
                </c:pt>
                <c:pt idx="21">
                  <c:v>20</c:v>
                </c:pt>
                <c:pt idx="22">
                  <c:v>23.75</c:v>
                </c:pt>
                <c:pt idx="23">
                  <c:v>23.5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427D-4260-A370-AB69415BB60D}"/>
            </c:ext>
          </c:extLst>
        </c:ser>
        <c:ser>
          <c:idx val="2"/>
          <c:order val="2"/>
          <c:tx>
            <c:strRef>
              <c:f>all!$E$4</c:f>
              <c:strCache>
                <c:ptCount val="1"/>
                <c:pt idx="0">
                  <c:v>Aich (2014) 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3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-9.3012290532318576E-2"/>
                  <c:y val="0.19612362551341794"/>
                </c:manualLayout>
              </c:layout>
              <c:numFmt formatCode="General" sourceLinked="0"/>
              <c:spPr>
                <a:solidFill>
                  <a:schemeClr val="accent6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all!$E$10:$E$33</c:f>
              <c:numCache>
                <c:formatCode>0.0000</c:formatCode>
                <c:ptCount val="24"/>
                <c:pt idx="0">
                  <c:v>8.8732929175135894E-2</c:v>
                </c:pt>
                <c:pt idx="1">
                  <c:v>-1.9463558010346702E-2</c:v>
                </c:pt>
                <c:pt idx="2">
                  <c:v>0.10415722716452799</c:v>
                </c:pt>
                <c:pt idx="3">
                  <c:v>4.66251429291673E-2</c:v>
                </c:pt>
                <c:pt idx="4">
                  <c:v>9.0894558490112708E-3</c:v>
                </c:pt>
                <c:pt idx="7">
                  <c:v>2.0373962034653699E-2</c:v>
                </c:pt>
                <c:pt idx="10">
                  <c:v>2.4947102971666898E-2</c:v>
                </c:pt>
                <c:pt idx="11">
                  <c:v>9.6293174744729593E-3</c:v>
                </c:pt>
                <c:pt idx="12">
                  <c:v>0.14608753400636901</c:v>
                </c:pt>
                <c:pt idx="15">
                  <c:v>1.27691539373017E-2</c:v>
                </c:pt>
                <c:pt idx="16">
                  <c:v>6.7576112725014403E-2</c:v>
                </c:pt>
                <c:pt idx="17">
                  <c:v>-0.35416666689988402</c:v>
                </c:pt>
                <c:pt idx="18">
                  <c:v>4.5646344187588998E-2</c:v>
                </c:pt>
                <c:pt idx="19">
                  <c:v>1.47909285306715E-2</c:v>
                </c:pt>
                <c:pt idx="20">
                  <c:v>3.5842816756479302E-2</c:v>
                </c:pt>
                <c:pt idx="21">
                  <c:v>-4.0383997186219003E-2</c:v>
                </c:pt>
                <c:pt idx="22">
                  <c:v>3.6679485231980898E-2</c:v>
                </c:pt>
                <c:pt idx="23">
                  <c:v>-0.76160033358371604</c:v>
                </c:pt>
              </c:numCache>
            </c:numRef>
          </c:xVal>
          <c:yVal>
            <c:numRef>
              <c:f>all!$G$10:$G$33</c:f>
              <c:numCache>
                <c:formatCode>General</c:formatCode>
                <c:ptCount val="24"/>
                <c:pt idx="0">
                  <c:v>21</c:v>
                </c:pt>
                <c:pt idx="1">
                  <c:v>21.5</c:v>
                </c:pt>
                <c:pt idx="2">
                  <c:v>75</c:v>
                </c:pt>
                <c:pt idx="3">
                  <c:v>47.5</c:v>
                </c:pt>
                <c:pt idx="4">
                  <c:v>23.5</c:v>
                </c:pt>
                <c:pt idx="5">
                  <c:v>27.75</c:v>
                </c:pt>
                <c:pt idx="6">
                  <c:v>20</c:v>
                </c:pt>
                <c:pt idx="7">
                  <c:v>23.75</c:v>
                </c:pt>
                <c:pt idx="8">
                  <c:v>23.5</c:v>
                </c:pt>
                <c:pt idx="9">
                  <c:v>24</c:v>
                </c:pt>
                <c:pt idx="11">
                  <c:v>22</c:v>
                </c:pt>
                <c:pt idx="12">
                  <c:v>21.75</c:v>
                </c:pt>
                <c:pt idx="13">
                  <c:v>48.5</c:v>
                </c:pt>
                <c:pt idx="14">
                  <c:v>28.75</c:v>
                </c:pt>
                <c:pt idx="15">
                  <c:v>21</c:v>
                </c:pt>
                <c:pt idx="16">
                  <c:v>21.5</c:v>
                </c:pt>
                <c:pt idx="17">
                  <c:v>75</c:v>
                </c:pt>
                <c:pt idx="18">
                  <c:v>47.5</c:v>
                </c:pt>
                <c:pt idx="19">
                  <c:v>23.5</c:v>
                </c:pt>
                <c:pt idx="20">
                  <c:v>27.75</c:v>
                </c:pt>
                <c:pt idx="21">
                  <c:v>20</c:v>
                </c:pt>
                <c:pt idx="22">
                  <c:v>23.75</c:v>
                </c:pt>
                <c:pt idx="23">
                  <c:v>23.5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427D-4260-A370-AB69415BB60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29882927"/>
        <c:axId val="129899727"/>
      </c:scatterChart>
      <c:valAx>
        <c:axId val="129882927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Hysteresis Index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9899727"/>
        <c:crosses val="autoZero"/>
        <c:crossBetween val="midCat"/>
      </c:valAx>
      <c:valAx>
        <c:axId val="12989972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Time (hrs)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9882927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legendEntry>
        <c:idx val="3"/>
        <c:delete val="1"/>
      </c:legendEntry>
      <c:legendEntry>
        <c:idx val="4"/>
        <c:delete val="1"/>
      </c:legendEntry>
      <c:legendEntry>
        <c:idx val="5"/>
        <c:delete val="1"/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DOC</a:t>
            </a:r>
            <a:r>
              <a:rPr lang="en-US" baseline="0"/>
              <a:t> HI to time between events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all!$C$4</c:f>
              <c:strCache>
                <c:ptCount val="1"/>
                <c:pt idx="0">
                  <c:v>Langlois (2005)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5.8959894400189136E-3"/>
                  <c:y val="0.22144861560354748"/>
                </c:manualLayout>
              </c:layout>
              <c:numFmt formatCode="General" sourceLinked="0"/>
              <c:spPr>
                <a:solidFill>
                  <a:schemeClr val="tx2">
                    <a:lumMod val="10000"/>
                    <a:lumOff val="9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all!$C$42:$C$65</c:f>
              <c:numCache>
                <c:formatCode>0.000</c:formatCode>
                <c:ptCount val="24"/>
                <c:pt idx="0">
                  <c:v>1.01982556926034</c:v>
                </c:pt>
                <c:pt idx="1">
                  <c:v>1.0105385292601801</c:v>
                </c:pt>
                <c:pt idx="2">
                  <c:v>1.04413498578157</c:v>
                </c:pt>
                <c:pt idx="3">
                  <c:v>1.04959681992682</c:v>
                </c:pt>
                <c:pt idx="4">
                  <c:v>0.97400899474341096</c:v>
                </c:pt>
                <c:pt idx="7">
                  <c:v>1.03922347944993</c:v>
                </c:pt>
                <c:pt idx="10">
                  <c:v>1.0683907677478099</c:v>
                </c:pt>
                <c:pt idx="11">
                  <c:v>1.13117180110701</c:v>
                </c:pt>
                <c:pt idx="12">
                  <c:v>0.99421602518435603</c:v>
                </c:pt>
                <c:pt idx="14">
                  <c:v>1.0587750080951299</c:v>
                </c:pt>
                <c:pt idx="15">
                  <c:v>1.04764110720538</c:v>
                </c:pt>
                <c:pt idx="16">
                  <c:v>1.1477045338510801</c:v>
                </c:pt>
                <c:pt idx="17">
                  <c:v>1.1126612766097499</c:v>
                </c:pt>
                <c:pt idx="18">
                  <c:v>1.2530304455719099</c:v>
                </c:pt>
                <c:pt idx="19">
                  <c:v>1.0813804129035001</c:v>
                </c:pt>
                <c:pt idx="20">
                  <c:v>1.2134925086481201</c:v>
                </c:pt>
                <c:pt idx="21">
                  <c:v>1.08380817355586</c:v>
                </c:pt>
                <c:pt idx="22">
                  <c:v>1.0367372638660399</c:v>
                </c:pt>
                <c:pt idx="23">
                  <c:v>1.1282134088167699</c:v>
                </c:pt>
              </c:numCache>
            </c:numRef>
          </c:xVal>
          <c:yVal>
            <c:numRef>
              <c:f>all!$G$42:$G$65</c:f>
              <c:numCache>
                <c:formatCode>General</c:formatCode>
                <c:ptCount val="24"/>
                <c:pt idx="0">
                  <c:v>21</c:v>
                </c:pt>
                <c:pt idx="1">
                  <c:v>21.5</c:v>
                </c:pt>
                <c:pt idx="2">
                  <c:v>75</c:v>
                </c:pt>
                <c:pt idx="3">
                  <c:v>47.5</c:v>
                </c:pt>
                <c:pt idx="4">
                  <c:v>23.5</c:v>
                </c:pt>
                <c:pt idx="5">
                  <c:v>27.75</c:v>
                </c:pt>
                <c:pt idx="6">
                  <c:v>20</c:v>
                </c:pt>
                <c:pt idx="7">
                  <c:v>23.75</c:v>
                </c:pt>
                <c:pt idx="8">
                  <c:v>23.5</c:v>
                </c:pt>
                <c:pt idx="9">
                  <c:v>24</c:v>
                </c:pt>
                <c:pt idx="11">
                  <c:v>22</c:v>
                </c:pt>
                <c:pt idx="12">
                  <c:v>21.75</c:v>
                </c:pt>
                <c:pt idx="13">
                  <c:v>48.5</c:v>
                </c:pt>
                <c:pt idx="14">
                  <c:v>28.75</c:v>
                </c:pt>
                <c:pt idx="15">
                  <c:v>21</c:v>
                </c:pt>
                <c:pt idx="16">
                  <c:v>21.5</c:v>
                </c:pt>
                <c:pt idx="17">
                  <c:v>75</c:v>
                </c:pt>
                <c:pt idx="18">
                  <c:v>47.5</c:v>
                </c:pt>
                <c:pt idx="19">
                  <c:v>23.5</c:v>
                </c:pt>
                <c:pt idx="20">
                  <c:v>27.75</c:v>
                </c:pt>
                <c:pt idx="21">
                  <c:v>20</c:v>
                </c:pt>
                <c:pt idx="22">
                  <c:v>23.75</c:v>
                </c:pt>
                <c:pt idx="23">
                  <c:v>23.5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3240-4641-8E5A-527CA0DD072C}"/>
            </c:ext>
          </c:extLst>
        </c:ser>
        <c:ser>
          <c:idx val="1"/>
          <c:order val="1"/>
          <c:tx>
            <c:strRef>
              <c:f>all!$D$4</c:f>
              <c:strCache>
                <c:ptCount val="1"/>
                <c:pt idx="0">
                  <c:v>Lawler (2006)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-4.7489574381930605E-2"/>
                  <c:y val="0.22589652441382868"/>
                </c:manualLayout>
              </c:layout>
              <c:numFmt formatCode="General" sourceLinked="0"/>
              <c:spPr>
                <a:solidFill>
                  <a:schemeClr val="accent2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all!$D$42:$D$65</c:f>
              <c:numCache>
                <c:formatCode>0.000</c:formatCode>
                <c:ptCount val="24"/>
                <c:pt idx="0">
                  <c:v>0.38831940167197898</c:v>
                </c:pt>
                <c:pt idx="1">
                  <c:v>0.597784224122066</c:v>
                </c:pt>
                <c:pt idx="2">
                  <c:v>0.92934562720262803</c:v>
                </c:pt>
                <c:pt idx="3">
                  <c:v>-0.33094957948560899</c:v>
                </c:pt>
                <c:pt idx="4">
                  <c:v>-0.27375631737886102</c:v>
                </c:pt>
                <c:pt idx="7">
                  <c:v>0.59399199353963394</c:v>
                </c:pt>
                <c:pt idx="10">
                  <c:v>0.74870138294766397</c:v>
                </c:pt>
                <c:pt idx="11">
                  <c:v>1.1019405303793299</c:v>
                </c:pt>
                <c:pt idx="12">
                  <c:v>0.17884914222762199</c:v>
                </c:pt>
                <c:pt idx="14">
                  <c:v>0.662333397055619</c:v>
                </c:pt>
                <c:pt idx="15">
                  <c:v>1.10062768451704</c:v>
                </c:pt>
                <c:pt idx="16">
                  <c:v>0.97101599927504101</c:v>
                </c:pt>
                <c:pt idx="17">
                  <c:v>0.95380985457733503</c:v>
                </c:pt>
                <c:pt idx="18">
                  <c:v>1.1029723476739599</c:v>
                </c:pt>
                <c:pt idx="19">
                  <c:v>0.52079829390269505</c:v>
                </c:pt>
                <c:pt idx="20">
                  <c:v>0.94175163201491896</c:v>
                </c:pt>
                <c:pt idx="21">
                  <c:v>0.28231733716004298</c:v>
                </c:pt>
                <c:pt idx="22">
                  <c:v>0.55097576187408004</c:v>
                </c:pt>
                <c:pt idx="23">
                  <c:v>0.99053604379690696</c:v>
                </c:pt>
              </c:numCache>
            </c:numRef>
          </c:xVal>
          <c:yVal>
            <c:numRef>
              <c:f>all!$G$42:$G$65</c:f>
              <c:numCache>
                <c:formatCode>General</c:formatCode>
                <c:ptCount val="24"/>
                <c:pt idx="0">
                  <c:v>21</c:v>
                </c:pt>
                <c:pt idx="1">
                  <c:v>21.5</c:v>
                </c:pt>
                <c:pt idx="2">
                  <c:v>75</c:v>
                </c:pt>
                <c:pt idx="3">
                  <c:v>47.5</c:v>
                </c:pt>
                <c:pt idx="4">
                  <c:v>23.5</c:v>
                </c:pt>
                <c:pt idx="5">
                  <c:v>27.75</c:v>
                </c:pt>
                <c:pt idx="6">
                  <c:v>20</c:v>
                </c:pt>
                <c:pt idx="7">
                  <c:v>23.75</c:v>
                </c:pt>
                <c:pt idx="8">
                  <c:v>23.5</c:v>
                </c:pt>
                <c:pt idx="9">
                  <c:v>24</c:v>
                </c:pt>
                <c:pt idx="11">
                  <c:v>22</c:v>
                </c:pt>
                <c:pt idx="12">
                  <c:v>21.75</c:v>
                </c:pt>
                <c:pt idx="13">
                  <c:v>48.5</c:v>
                </c:pt>
                <c:pt idx="14">
                  <c:v>28.75</c:v>
                </c:pt>
                <c:pt idx="15">
                  <c:v>21</c:v>
                </c:pt>
                <c:pt idx="16">
                  <c:v>21.5</c:v>
                </c:pt>
                <c:pt idx="17">
                  <c:v>75</c:v>
                </c:pt>
                <c:pt idx="18">
                  <c:v>47.5</c:v>
                </c:pt>
                <c:pt idx="19">
                  <c:v>23.5</c:v>
                </c:pt>
                <c:pt idx="20">
                  <c:v>27.75</c:v>
                </c:pt>
                <c:pt idx="21">
                  <c:v>20</c:v>
                </c:pt>
                <c:pt idx="22">
                  <c:v>23.75</c:v>
                </c:pt>
                <c:pt idx="23">
                  <c:v>23.5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3240-4641-8E5A-527CA0DD072C}"/>
            </c:ext>
          </c:extLst>
        </c:ser>
        <c:ser>
          <c:idx val="2"/>
          <c:order val="2"/>
          <c:tx>
            <c:strRef>
              <c:f>all!$E$4</c:f>
              <c:strCache>
                <c:ptCount val="1"/>
                <c:pt idx="0">
                  <c:v>Aich (2014) 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3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-5.3252946629997952E-2"/>
                  <c:y val="1.6192228261109907E-2"/>
                </c:manualLayout>
              </c:layout>
              <c:numFmt formatCode="General" sourceLinked="0"/>
              <c:spPr>
                <a:solidFill>
                  <a:schemeClr val="accent6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all!$E$42:$E$65</c:f>
              <c:numCache>
                <c:formatCode>0.000</c:formatCode>
                <c:ptCount val="24"/>
                <c:pt idx="0">
                  <c:v>1.20306787922476E-2</c:v>
                </c:pt>
                <c:pt idx="1">
                  <c:v>2.7386597361713599E-2</c:v>
                </c:pt>
                <c:pt idx="2">
                  <c:v>2.8615745110634201E-2</c:v>
                </c:pt>
                <c:pt idx="3">
                  <c:v>4.4113621235337297E-2</c:v>
                </c:pt>
                <c:pt idx="4">
                  <c:v>-8.0536265843332393E-3</c:v>
                </c:pt>
                <c:pt idx="7">
                  <c:v>2.7450804091866201E-2</c:v>
                </c:pt>
                <c:pt idx="10">
                  <c:v>6.5697545304297195E-2</c:v>
                </c:pt>
                <c:pt idx="11">
                  <c:v>0.132436068542756</c:v>
                </c:pt>
                <c:pt idx="12">
                  <c:v>-4.2076076707890497E-3</c:v>
                </c:pt>
                <c:pt idx="14">
                  <c:v>0.12430930853391101</c:v>
                </c:pt>
                <c:pt idx="15">
                  <c:v>9.2876994447724404E-2</c:v>
                </c:pt>
                <c:pt idx="16">
                  <c:v>8.3834633446242604E-2</c:v>
                </c:pt>
                <c:pt idx="17">
                  <c:v>4.4857179056258203E-2</c:v>
                </c:pt>
                <c:pt idx="18">
                  <c:v>7.6664996000854094E-2</c:v>
                </c:pt>
                <c:pt idx="19">
                  <c:v>2.1219861817338499E-2</c:v>
                </c:pt>
                <c:pt idx="20">
                  <c:v>8.5275451626537893E-2</c:v>
                </c:pt>
                <c:pt idx="21">
                  <c:v>3.1629539106965802E-2</c:v>
                </c:pt>
                <c:pt idx="22">
                  <c:v>4.3964016574286002E-2</c:v>
                </c:pt>
                <c:pt idx="23">
                  <c:v>5.3048699734524599E-2</c:v>
                </c:pt>
              </c:numCache>
            </c:numRef>
          </c:xVal>
          <c:yVal>
            <c:numRef>
              <c:f>all!$G$42:$G$65</c:f>
              <c:numCache>
                <c:formatCode>General</c:formatCode>
                <c:ptCount val="24"/>
                <c:pt idx="0">
                  <c:v>21</c:v>
                </c:pt>
                <c:pt idx="1">
                  <c:v>21.5</c:v>
                </c:pt>
                <c:pt idx="2">
                  <c:v>75</c:v>
                </c:pt>
                <c:pt idx="3">
                  <c:v>47.5</c:v>
                </c:pt>
                <c:pt idx="4">
                  <c:v>23.5</c:v>
                </c:pt>
                <c:pt idx="5">
                  <c:v>27.75</c:v>
                </c:pt>
                <c:pt idx="6">
                  <c:v>20</c:v>
                </c:pt>
                <c:pt idx="7">
                  <c:v>23.75</c:v>
                </c:pt>
                <c:pt idx="8">
                  <c:v>23.5</c:v>
                </c:pt>
                <c:pt idx="9">
                  <c:v>24</c:v>
                </c:pt>
                <c:pt idx="11">
                  <c:v>22</c:v>
                </c:pt>
                <c:pt idx="12">
                  <c:v>21.75</c:v>
                </c:pt>
                <c:pt idx="13">
                  <c:v>48.5</c:v>
                </c:pt>
                <c:pt idx="14">
                  <c:v>28.75</c:v>
                </c:pt>
                <c:pt idx="15">
                  <c:v>21</c:v>
                </c:pt>
                <c:pt idx="16">
                  <c:v>21.5</c:v>
                </c:pt>
                <c:pt idx="17">
                  <c:v>75</c:v>
                </c:pt>
                <c:pt idx="18">
                  <c:v>47.5</c:v>
                </c:pt>
                <c:pt idx="19">
                  <c:v>23.5</c:v>
                </c:pt>
                <c:pt idx="20">
                  <c:v>27.75</c:v>
                </c:pt>
                <c:pt idx="21">
                  <c:v>20</c:v>
                </c:pt>
                <c:pt idx="22">
                  <c:v>23.75</c:v>
                </c:pt>
                <c:pt idx="23">
                  <c:v>23.5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3240-4641-8E5A-527CA0DD072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29882927"/>
        <c:axId val="129899727"/>
      </c:scatterChart>
      <c:valAx>
        <c:axId val="129882927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Hysteresis Index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9899727"/>
        <c:crosses val="autoZero"/>
        <c:crossBetween val="midCat"/>
      </c:valAx>
      <c:valAx>
        <c:axId val="12989972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Time (hrs)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9882927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legendEntry>
        <c:idx val="3"/>
        <c:delete val="1"/>
      </c:legendEntry>
      <c:legendEntry>
        <c:idx val="4"/>
        <c:delete val="1"/>
      </c:legendEntry>
      <c:legendEntry>
        <c:idx val="5"/>
        <c:delete val="1"/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Turbidity</a:t>
            </a:r>
            <a:r>
              <a:rPr lang="en-US" baseline="0"/>
              <a:t> HI to time between events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all!$D$67</c:f>
              <c:strCache>
                <c:ptCount val="1"/>
                <c:pt idx="0">
                  <c:v>Langlois (2005)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5.8959894400189136E-3"/>
                  <c:y val="0.22144861560354748"/>
                </c:manualLayout>
              </c:layout>
              <c:numFmt formatCode="General" sourceLinked="0"/>
              <c:spPr>
                <a:solidFill>
                  <a:schemeClr val="tx2">
                    <a:lumMod val="10000"/>
                    <a:lumOff val="9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all!$D$70:$D$96</c:f>
              <c:numCache>
                <c:formatCode>0.0000</c:formatCode>
                <c:ptCount val="27"/>
                <c:pt idx="0">
                  <c:v>1.2108318271354701</c:v>
                </c:pt>
                <c:pt idx="1">
                  <c:v>1.14568818263897</c:v>
                </c:pt>
                <c:pt idx="2">
                  <c:v>1.10273002217056</c:v>
                </c:pt>
                <c:pt idx="3">
                  <c:v>1.2576523908335999</c:v>
                </c:pt>
                <c:pt idx="4">
                  <c:v>1.24807759229999</c:v>
                </c:pt>
                <c:pt idx="5">
                  <c:v>1.42877693896201</c:v>
                </c:pt>
                <c:pt idx="6">
                  <c:v>1.33941755807892</c:v>
                </c:pt>
                <c:pt idx="7">
                  <c:v>1.3769164984553499</c:v>
                </c:pt>
                <c:pt idx="8">
                  <c:v>1.66488624253968</c:v>
                </c:pt>
                <c:pt idx="9">
                  <c:v>1.1538999764416</c:v>
                </c:pt>
                <c:pt idx="10">
                  <c:v>1.5749763159783401</c:v>
                </c:pt>
                <c:pt idx="11">
                  <c:v>1.3735151389442699</c:v>
                </c:pt>
                <c:pt idx="13">
                  <c:v>1.05849048577709</c:v>
                </c:pt>
                <c:pt idx="14">
                  <c:v>1.4368219825375701</c:v>
                </c:pt>
                <c:pt idx="15">
                  <c:v>1.1632876834321</c:v>
                </c:pt>
                <c:pt idx="16">
                  <c:v>1.1661766362910899</c:v>
                </c:pt>
                <c:pt idx="17">
                  <c:v>1.1611078257792899</c:v>
                </c:pt>
                <c:pt idx="18">
                  <c:v>1.2283054504143001</c:v>
                </c:pt>
                <c:pt idx="19">
                  <c:v>1.2985932043400299</c:v>
                </c:pt>
                <c:pt idx="20">
                  <c:v>1.25880991704892</c:v>
                </c:pt>
                <c:pt idx="21">
                  <c:v>1.2914529576795399</c:v>
                </c:pt>
                <c:pt idx="22">
                  <c:v>1.2886907903199001</c:v>
                </c:pt>
                <c:pt idx="23">
                  <c:v>1.39612401914989</c:v>
                </c:pt>
                <c:pt idx="24">
                  <c:v>1.15490049713987</c:v>
                </c:pt>
                <c:pt idx="25">
                  <c:v>1.6223687074200499</c:v>
                </c:pt>
                <c:pt idx="26">
                  <c:v>1.4572146309152101</c:v>
                </c:pt>
              </c:numCache>
            </c:numRef>
          </c:xVal>
          <c:yVal>
            <c:numRef>
              <c:f>all!$K$70:$K$96</c:f>
              <c:numCache>
                <c:formatCode>General</c:formatCode>
                <c:ptCount val="27"/>
                <c:pt idx="0">
                  <c:v>21.75</c:v>
                </c:pt>
                <c:pt idx="1">
                  <c:v>48.5</c:v>
                </c:pt>
                <c:pt idx="2">
                  <c:v>28.75</c:v>
                </c:pt>
                <c:pt idx="3">
                  <c:v>21</c:v>
                </c:pt>
                <c:pt idx="4">
                  <c:v>21.5</c:v>
                </c:pt>
                <c:pt idx="5">
                  <c:v>75</c:v>
                </c:pt>
                <c:pt idx="6">
                  <c:v>47.5</c:v>
                </c:pt>
                <c:pt idx="7">
                  <c:v>23.5</c:v>
                </c:pt>
                <c:pt idx="8">
                  <c:v>27.75</c:v>
                </c:pt>
                <c:pt idx="9">
                  <c:v>20</c:v>
                </c:pt>
                <c:pt idx="10">
                  <c:v>23.75</c:v>
                </c:pt>
                <c:pt idx="11">
                  <c:v>23.5</c:v>
                </c:pt>
                <c:pt idx="12">
                  <c:v>24</c:v>
                </c:pt>
                <c:pt idx="14">
                  <c:v>22</c:v>
                </c:pt>
                <c:pt idx="15">
                  <c:v>21.75</c:v>
                </c:pt>
                <c:pt idx="16">
                  <c:v>48.5</c:v>
                </c:pt>
                <c:pt idx="17">
                  <c:v>28.75</c:v>
                </c:pt>
                <c:pt idx="18">
                  <c:v>21</c:v>
                </c:pt>
                <c:pt idx="19">
                  <c:v>21.5</c:v>
                </c:pt>
                <c:pt idx="20">
                  <c:v>75</c:v>
                </c:pt>
                <c:pt idx="21">
                  <c:v>47.5</c:v>
                </c:pt>
                <c:pt idx="22">
                  <c:v>23.5</c:v>
                </c:pt>
                <c:pt idx="23">
                  <c:v>27.75</c:v>
                </c:pt>
                <c:pt idx="24">
                  <c:v>20</c:v>
                </c:pt>
                <c:pt idx="25">
                  <c:v>23.75</c:v>
                </c:pt>
                <c:pt idx="26">
                  <c:v>23.5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4818-4935-8123-AEAEA6EC72EC}"/>
            </c:ext>
          </c:extLst>
        </c:ser>
        <c:ser>
          <c:idx val="1"/>
          <c:order val="1"/>
          <c:tx>
            <c:strRef>
              <c:f>all!$E$67</c:f>
              <c:strCache>
                <c:ptCount val="1"/>
                <c:pt idx="0">
                  <c:v>Lawler (2006)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-4.6120579059411901E-2"/>
                  <c:y val="0.15879432548065067"/>
                </c:manualLayout>
              </c:layout>
              <c:numFmt formatCode="General" sourceLinked="0"/>
              <c:spPr>
                <a:solidFill>
                  <a:schemeClr val="accent2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all!$E$70:$E$96</c:f>
              <c:numCache>
                <c:formatCode>0.0000</c:formatCode>
                <c:ptCount val="27"/>
                <c:pt idx="0">
                  <c:v>0.92629163740877796</c:v>
                </c:pt>
                <c:pt idx="1">
                  <c:v>0.723568252950335</c:v>
                </c:pt>
                <c:pt idx="2">
                  <c:v>0.92947006080395</c:v>
                </c:pt>
                <c:pt idx="3">
                  <c:v>0.77855192606860901</c:v>
                </c:pt>
                <c:pt idx="4">
                  <c:v>0.55577143716833499</c:v>
                </c:pt>
                <c:pt idx="5">
                  <c:v>0.33551375674123601</c:v>
                </c:pt>
                <c:pt idx="6">
                  <c:v>0.63731372986403501</c:v>
                </c:pt>
                <c:pt idx="7">
                  <c:v>-0.44248745305980902</c:v>
                </c:pt>
                <c:pt idx="8">
                  <c:v>0.73952445342362605</c:v>
                </c:pt>
                <c:pt idx="9">
                  <c:v>9.3645385178040705E-2</c:v>
                </c:pt>
                <c:pt idx="10">
                  <c:v>0.78100360785877099</c:v>
                </c:pt>
                <c:pt idx="11">
                  <c:v>0.76865077228085099</c:v>
                </c:pt>
                <c:pt idx="13">
                  <c:v>-0.73582121336391904</c:v>
                </c:pt>
                <c:pt idx="14">
                  <c:v>0.96854380596042999</c:v>
                </c:pt>
                <c:pt idx="15">
                  <c:v>0.91285830032378401</c:v>
                </c:pt>
                <c:pt idx="16">
                  <c:v>0.69952356032694896</c:v>
                </c:pt>
                <c:pt idx="17">
                  <c:v>0.97668665464899096</c:v>
                </c:pt>
                <c:pt idx="18">
                  <c:v>0.33582626900186402</c:v>
                </c:pt>
                <c:pt idx="19">
                  <c:v>0.52794332050181203</c:v>
                </c:pt>
                <c:pt idx="20">
                  <c:v>0.94081849763111403</c:v>
                </c:pt>
                <c:pt idx="21">
                  <c:v>0.445945938664987</c:v>
                </c:pt>
                <c:pt idx="22">
                  <c:v>-0.136935986249347</c:v>
                </c:pt>
                <c:pt idx="23">
                  <c:v>0.97165157928161605</c:v>
                </c:pt>
                <c:pt idx="24">
                  <c:v>0.47813963463856402</c:v>
                </c:pt>
                <c:pt idx="25">
                  <c:v>0.74242380847501299</c:v>
                </c:pt>
                <c:pt idx="26">
                  <c:v>0.80433038241724497</c:v>
                </c:pt>
              </c:numCache>
            </c:numRef>
          </c:xVal>
          <c:yVal>
            <c:numRef>
              <c:f>all!$K$70:$K$96</c:f>
              <c:numCache>
                <c:formatCode>General</c:formatCode>
                <c:ptCount val="27"/>
                <c:pt idx="0">
                  <c:v>21.75</c:v>
                </c:pt>
                <c:pt idx="1">
                  <c:v>48.5</c:v>
                </c:pt>
                <c:pt idx="2">
                  <c:v>28.75</c:v>
                </c:pt>
                <c:pt idx="3">
                  <c:v>21</c:v>
                </c:pt>
                <c:pt idx="4">
                  <c:v>21.5</c:v>
                </c:pt>
                <c:pt idx="5">
                  <c:v>75</c:v>
                </c:pt>
                <c:pt idx="6">
                  <c:v>47.5</c:v>
                </c:pt>
                <c:pt idx="7">
                  <c:v>23.5</c:v>
                </c:pt>
                <c:pt idx="8">
                  <c:v>27.75</c:v>
                </c:pt>
                <c:pt idx="9">
                  <c:v>20</c:v>
                </c:pt>
                <c:pt idx="10">
                  <c:v>23.75</c:v>
                </c:pt>
                <c:pt idx="11">
                  <c:v>23.5</c:v>
                </c:pt>
                <c:pt idx="12">
                  <c:v>24</c:v>
                </c:pt>
                <c:pt idx="14">
                  <c:v>22</c:v>
                </c:pt>
                <c:pt idx="15">
                  <c:v>21.75</c:v>
                </c:pt>
                <c:pt idx="16">
                  <c:v>48.5</c:v>
                </c:pt>
                <c:pt idx="17">
                  <c:v>28.75</c:v>
                </c:pt>
                <c:pt idx="18">
                  <c:v>21</c:v>
                </c:pt>
                <c:pt idx="19">
                  <c:v>21.5</c:v>
                </c:pt>
                <c:pt idx="20">
                  <c:v>75</c:v>
                </c:pt>
                <c:pt idx="21">
                  <c:v>47.5</c:v>
                </c:pt>
                <c:pt idx="22">
                  <c:v>23.5</c:v>
                </c:pt>
                <c:pt idx="23">
                  <c:v>27.75</c:v>
                </c:pt>
                <c:pt idx="24">
                  <c:v>20</c:v>
                </c:pt>
                <c:pt idx="25">
                  <c:v>23.75</c:v>
                </c:pt>
                <c:pt idx="26">
                  <c:v>23.5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4818-4935-8123-AEAEA6EC72EC}"/>
            </c:ext>
          </c:extLst>
        </c:ser>
        <c:ser>
          <c:idx val="2"/>
          <c:order val="2"/>
          <c:tx>
            <c:strRef>
              <c:f>all!$E$4</c:f>
              <c:strCache>
                <c:ptCount val="1"/>
                <c:pt idx="0">
                  <c:v>Aich (2014) 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3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-0.28519822466979017"/>
                  <c:y val="0.19744336064476747"/>
                </c:manualLayout>
              </c:layout>
              <c:numFmt formatCode="General" sourceLinked="0"/>
              <c:spPr>
                <a:solidFill>
                  <a:schemeClr val="accent6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all!$F$70:$F$96</c:f>
              <c:numCache>
                <c:formatCode>0.0000</c:formatCode>
                <c:ptCount val="27"/>
                <c:pt idx="0">
                  <c:v>0.11077055296162799</c:v>
                </c:pt>
                <c:pt idx="1">
                  <c:v>1.0650915621547401E-2</c:v>
                </c:pt>
                <c:pt idx="2">
                  <c:v>-2.2683422982125001E-2</c:v>
                </c:pt>
                <c:pt idx="3">
                  <c:v>0.15621819275209001</c:v>
                </c:pt>
                <c:pt idx="4">
                  <c:v>0.15071577677020101</c:v>
                </c:pt>
                <c:pt idx="5">
                  <c:v>5.5397551503622099E-2</c:v>
                </c:pt>
                <c:pt idx="6">
                  <c:v>6.9883057908481996E-2</c:v>
                </c:pt>
                <c:pt idx="7">
                  <c:v>7.8645648239850305E-2</c:v>
                </c:pt>
                <c:pt idx="8">
                  <c:v>0.17832892113485599</c:v>
                </c:pt>
                <c:pt idx="9">
                  <c:v>2.1496979213356301E-3</c:v>
                </c:pt>
                <c:pt idx="10">
                  <c:v>0.101236914763633</c:v>
                </c:pt>
                <c:pt idx="11">
                  <c:v>0.107400232693555</c:v>
                </c:pt>
                <c:pt idx="13">
                  <c:v>8.4573685986466099E-2</c:v>
                </c:pt>
                <c:pt idx="14">
                  <c:v>0.198594884621278</c:v>
                </c:pt>
                <c:pt idx="15">
                  <c:v>6.8212961854365706E-2</c:v>
                </c:pt>
                <c:pt idx="16">
                  <c:v>4.9611646415268197E-2</c:v>
                </c:pt>
                <c:pt idx="17">
                  <c:v>0.107447815904682</c:v>
                </c:pt>
                <c:pt idx="18">
                  <c:v>0.39411883766970102</c:v>
                </c:pt>
                <c:pt idx="19">
                  <c:v>9.0698601563059603E-2</c:v>
                </c:pt>
                <c:pt idx="20">
                  <c:v>9.9852529707758195E-2</c:v>
                </c:pt>
                <c:pt idx="21">
                  <c:v>5.5815481283492403E-2</c:v>
                </c:pt>
                <c:pt idx="22">
                  <c:v>9.5391388976058394E-2</c:v>
                </c:pt>
                <c:pt idx="23">
                  <c:v>9.9540545016305104E-2</c:v>
                </c:pt>
                <c:pt idx="24">
                  <c:v>0.115227328160236</c:v>
                </c:pt>
                <c:pt idx="25">
                  <c:v>0.157732693122626</c:v>
                </c:pt>
                <c:pt idx="26">
                  <c:v>0.121156039239802</c:v>
                </c:pt>
              </c:numCache>
            </c:numRef>
          </c:xVal>
          <c:yVal>
            <c:numRef>
              <c:f>all!$K$70:$K$96</c:f>
              <c:numCache>
                <c:formatCode>General</c:formatCode>
                <c:ptCount val="27"/>
                <c:pt idx="0">
                  <c:v>21.75</c:v>
                </c:pt>
                <c:pt idx="1">
                  <c:v>48.5</c:v>
                </c:pt>
                <c:pt idx="2">
                  <c:v>28.75</c:v>
                </c:pt>
                <c:pt idx="3">
                  <c:v>21</c:v>
                </c:pt>
                <c:pt idx="4">
                  <c:v>21.5</c:v>
                </c:pt>
                <c:pt idx="5">
                  <c:v>75</c:v>
                </c:pt>
                <c:pt idx="6">
                  <c:v>47.5</c:v>
                </c:pt>
                <c:pt idx="7">
                  <c:v>23.5</c:v>
                </c:pt>
                <c:pt idx="8">
                  <c:v>27.75</c:v>
                </c:pt>
                <c:pt idx="9">
                  <c:v>20</c:v>
                </c:pt>
                <c:pt idx="10">
                  <c:v>23.75</c:v>
                </c:pt>
                <c:pt idx="11">
                  <c:v>23.5</c:v>
                </c:pt>
                <c:pt idx="12">
                  <c:v>24</c:v>
                </c:pt>
                <c:pt idx="14">
                  <c:v>22</c:v>
                </c:pt>
                <c:pt idx="15">
                  <c:v>21.75</c:v>
                </c:pt>
                <c:pt idx="16">
                  <c:v>48.5</c:v>
                </c:pt>
                <c:pt idx="17">
                  <c:v>28.75</c:v>
                </c:pt>
                <c:pt idx="18">
                  <c:v>21</c:v>
                </c:pt>
                <c:pt idx="19">
                  <c:v>21.5</c:v>
                </c:pt>
                <c:pt idx="20">
                  <c:v>75</c:v>
                </c:pt>
                <c:pt idx="21">
                  <c:v>47.5</c:v>
                </c:pt>
                <c:pt idx="22">
                  <c:v>23.5</c:v>
                </c:pt>
                <c:pt idx="23">
                  <c:v>27.75</c:v>
                </c:pt>
                <c:pt idx="24">
                  <c:v>20</c:v>
                </c:pt>
                <c:pt idx="25">
                  <c:v>23.75</c:v>
                </c:pt>
                <c:pt idx="26">
                  <c:v>23.5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4818-4935-8123-AEAEA6EC72E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29882927"/>
        <c:axId val="129899727"/>
      </c:scatterChart>
      <c:valAx>
        <c:axId val="129882927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Hysteresis Index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9899727"/>
        <c:crosses val="autoZero"/>
        <c:crossBetween val="midCat"/>
      </c:valAx>
      <c:valAx>
        <c:axId val="12989972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Time (hrs)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9882927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legendEntry>
        <c:idx val="3"/>
        <c:delete val="1"/>
      </c:legendEntry>
      <c:legendEntry>
        <c:idx val="4"/>
        <c:delete val="1"/>
      </c:legendEntry>
      <c:legendEntry>
        <c:idx val="5"/>
        <c:delete val="1"/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fDOM</a:t>
            </a:r>
            <a:r>
              <a:rPr lang="en-US" baseline="0"/>
              <a:t> HI to time between events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0.16066650974548111"/>
          <c:y val="0.18004530917761208"/>
          <c:w val="0.75074186828700784"/>
          <c:h val="0.49375460344531691"/>
        </c:manualLayout>
      </c:layout>
      <c:scatterChart>
        <c:scatterStyle val="lineMarker"/>
        <c:varyColors val="0"/>
        <c:ser>
          <c:idx val="0"/>
          <c:order val="0"/>
          <c:tx>
            <c:strRef>
              <c:f>all!$C$4</c:f>
              <c:strCache>
                <c:ptCount val="1"/>
                <c:pt idx="0">
                  <c:v>Langlois (2005)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5.9686427824308545E-2"/>
                  <c:y val="0.23287174337896996"/>
                </c:manualLayout>
              </c:layout>
              <c:numFmt formatCode="General" sourceLinked="0"/>
              <c:spPr>
                <a:solidFill>
                  <a:schemeClr val="tx2">
                    <a:lumMod val="10000"/>
                    <a:lumOff val="9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all!$R$70:$R$96</c:f>
              <c:numCache>
                <c:formatCode>0.00000</c:formatCode>
                <c:ptCount val="27"/>
                <c:pt idx="0">
                  <c:v>0.98302221968248604</c:v>
                </c:pt>
                <c:pt idx="1">
                  <c:v>0.99703728594241603</c:v>
                </c:pt>
                <c:pt idx="2">
                  <c:v>1.05414106800948</c:v>
                </c:pt>
                <c:pt idx="3">
                  <c:v>1.00376784280544</c:v>
                </c:pt>
                <c:pt idx="4">
                  <c:v>0.965580440673389</c:v>
                </c:pt>
                <c:pt idx="5">
                  <c:v>1.0368691348627199</c:v>
                </c:pt>
                <c:pt idx="6">
                  <c:v>0.98011971152962396</c:v>
                </c:pt>
                <c:pt idx="7">
                  <c:v>0.80472452573481301</c:v>
                </c:pt>
                <c:pt idx="8">
                  <c:v>1.07122215244959</c:v>
                </c:pt>
                <c:pt idx="9">
                  <c:v>0.96842975873578097</c:v>
                </c:pt>
                <c:pt idx="10">
                  <c:v>0.99721998555050795</c:v>
                </c:pt>
                <c:pt idx="11">
                  <c:v>1.0088578932758001</c:v>
                </c:pt>
                <c:pt idx="13" formatCode="0.000">
                  <c:v>0.45078352403799399</c:v>
                </c:pt>
                <c:pt idx="14" formatCode="0.000">
                  <c:v>0.94043662960440699</c:v>
                </c:pt>
                <c:pt idx="15" formatCode="0.000">
                  <c:v>0.95863149267075098</c:v>
                </c:pt>
                <c:pt idx="16" formatCode="0.000">
                  <c:v>0.98251699448728103</c:v>
                </c:pt>
                <c:pt idx="17" formatCode="0.000">
                  <c:v>1.0568614326035</c:v>
                </c:pt>
                <c:pt idx="18" formatCode="0.000">
                  <c:v>1.03826719630338</c:v>
                </c:pt>
                <c:pt idx="19" formatCode="0.000">
                  <c:v>0.93867849021001804</c:v>
                </c:pt>
                <c:pt idx="20" formatCode="0.000">
                  <c:v>1.08896416336113</c:v>
                </c:pt>
                <c:pt idx="21" formatCode="0.000">
                  <c:v>1.18553177339745</c:v>
                </c:pt>
                <c:pt idx="22" formatCode="0.000">
                  <c:v>1.0643830961710401</c:v>
                </c:pt>
                <c:pt idx="23" formatCode="0.000">
                  <c:v>1.0913993357873799</c:v>
                </c:pt>
                <c:pt idx="24" formatCode="0.000">
                  <c:v>1.00259808767117</c:v>
                </c:pt>
                <c:pt idx="25" formatCode="0.000">
                  <c:v>1.0043452914566</c:v>
                </c:pt>
                <c:pt idx="26" formatCode="0.000">
                  <c:v>0.40870513477919201</c:v>
                </c:pt>
              </c:numCache>
            </c:numRef>
          </c:xVal>
          <c:yVal>
            <c:numRef>
              <c:f>all!$K$70:$K$96</c:f>
              <c:numCache>
                <c:formatCode>General</c:formatCode>
                <c:ptCount val="27"/>
                <c:pt idx="0">
                  <c:v>21.75</c:v>
                </c:pt>
                <c:pt idx="1">
                  <c:v>48.5</c:v>
                </c:pt>
                <c:pt idx="2">
                  <c:v>28.75</c:v>
                </c:pt>
                <c:pt idx="3">
                  <c:v>21</c:v>
                </c:pt>
                <c:pt idx="4">
                  <c:v>21.5</c:v>
                </c:pt>
                <c:pt idx="5">
                  <c:v>75</c:v>
                </c:pt>
                <c:pt idx="6">
                  <c:v>47.5</c:v>
                </c:pt>
                <c:pt idx="7">
                  <c:v>23.5</c:v>
                </c:pt>
                <c:pt idx="8">
                  <c:v>27.75</c:v>
                </c:pt>
                <c:pt idx="9">
                  <c:v>20</c:v>
                </c:pt>
                <c:pt idx="10">
                  <c:v>23.75</c:v>
                </c:pt>
                <c:pt idx="11">
                  <c:v>23.5</c:v>
                </c:pt>
                <c:pt idx="12">
                  <c:v>24</c:v>
                </c:pt>
                <c:pt idx="14">
                  <c:v>22</c:v>
                </c:pt>
                <c:pt idx="15">
                  <c:v>21.75</c:v>
                </c:pt>
                <c:pt idx="16">
                  <c:v>48.5</c:v>
                </c:pt>
                <c:pt idx="17">
                  <c:v>28.75</c:v>
                </c:pt>
                <c:pt idx="18">
                  <c:v>21</c:v>
                </c:pt>
                <c:pt idx="19">
                  <c:v>21.5</c:v>
                </c:pt>
                <c:pt idx="20">
                  <c:v>75</c:v>
                </c:pt>
                <c:pt idx="21">
                  <c:v>47.5</c:v>
                </c:pt>
                <c:pt idx="22">
                  <c:v>23.5</c:v>
                </c:pt>
                <c:pt idx="23">
                  <c:v>27.75</c:v>
                </c:pt>
                <c:pt idx="24">
                  <c:v>20</c:v>
                </c:pt>
                <c:pt idx="25">
                  <c:v>23.75</c:v>
                </c:pt>
                <c:pt idx="26">
                  <c:v>23.5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ACE0-4DA7-905A-9B0A02F76718}"/>
            </c:ext>
          </c:extLst>
        </c:ser>
        <c:ser>
          <c:idx val="1"/>
          <c:order val="1"/>
          <c:tx>
            <c:strRef>
              <c:f>all!$D$4</c:f>
              <c:strCache>
                <c:ptCount val="1"/>
                <c:pt idx="0">
                  <c:v>Lawler (2006)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-9.130137025449811E-2"/>
                  <c:y val="0.17951210264168482"/>
                </c:manualLayout>
              </c:layout>
              <c:numFmt formatCode="General" sourceLinked="0"/>
              <c:spPr>
                <a:solidFill>
                  <a:schemeClr val="accent2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all!$S$70:$S$96</c:f>
              <c:numCache>
                <c:formatCode>0.0000</c:formatCode>
                <c:ptCount val="27"/>
                <c:pt idx="0">
                  <c:v>-0.31071591767089402</c:v>
                </c:pt>
                <c:pt idx="1">
                  <c:v>-0.72341186519112299</c:v>
                </c:pt>
                <c:pt idx="2">
                  <c:v>0.54135397831396403</c:v>
                </c:pt>
                <c:pt idx="3">
                  <c:v>-0.28173278371114102</c:v>
                </c:pt>
                <c:pt idx="4">
                  <c:v>-0.28388728833714599</c:v>
                </c:pt>
                <c:pt idx="5">
                  <c:v>-0.167176048352111</c:v>
                </c:pt>
                <c:pt idx="6">
                  <c:v>-0.234414236192791</c:v>
                </c:pt>
                <c:pt idx="7">
                  <c:v>-0.91543606234553399</c:v>
                </c:pt>
                <c:pt idx="8">
                  <c:v>-0.11116405161722299</c:v>
                </c:pt>
                <c:pt idx="9">
                  <c:v>-0.44122459346906301</c:v>
                </c:pt>
                <c:pt idx="10">
                  <c:v>-0.221642867808126</c:v>
                </c:pt>
                <c:pt idx="11">
                  <c:v>0.120506313986007</c:v>
                </c:pt>
                <c:pt idx="12">
                  <c:v>0.99778765474319298</c:v>
                </c:pt>
                <c:pt idx="13" formatCode="0.000">
                  <c:v>-0.811886428716041</c:v>
                </c:pt>
                <c:pt idx="14" formatCode="0.000">
                  <c:v>-0.54271122756527101</c:v>
                </c:pt>
                <c:pt idx="15" formatCode="0.000">
                  <c:v>-0.67772868565601696</c:v>
                </c:pt>
                <c:pt idx="16" formatCode="0.000">
                  <c:v>-0.76078071695181804</c:v>
                </c:pt>
                <c:pt idx="17" formatCode="0.000">
                  <c:v>0.64678217889059297</c:v>
                </c:pt>
                <c:pt idx="18" formatCode="0.000">
                  <c:v>-0.15477977693324399</c:v>
                </c:pt>
                <c:pt idx="19" formatCode="0.000">
                  <c:v>-0.86583274285189604</c:v>
                </c:pt>
                <c:pt idx="20" formatCode="0.000">
                  <c:v>0.61214631104569395</c:v>
                </c:pt>
                <c:pt idx="21" formatCode="0.000">
                  <c:v>0.59208584316733603</c:v>
                </c:pt>
                <c:pt idx="22" formatCode="0.000">
                  <c:v>0.74012064453311799</c:v>
                </c:pt>
                <c:pt idx="23" formatCode="0.000">
                  <c:v>0.62408685090742599</c:v>
                </c:pt>
                <c:pt idx="24" formatCode="0.000">
                  <c:v>0.25147892096544</c:v>
                </c:pt>
                <c:pt idx="25" formatCode="0.000">
                  <c:v>-2.3625782421043601E-2</c:v>
                </c:pt>
                <c:pt idx="26" formatCode="0.000">
                  <c:v>-0.95802365966780301</c:v>
                </c:pt>
              </c:numCache>
            </c:numRef>
          </c:xVal>
          <c:yVal>
            <c:numRef>
              <c:f>all!$K$70:$K$96</c:f>
              <c:numCache>
                <c:formatCode>General</c:formatCode>
                <c:ptCount val="27"/>
                <c:pt idx="0">
                  <c:v>21.75</c:v>
                </c:pt>
                <c:pt idx="1">
                  <c:v>48.5</c:v>
                </c:pt>
                <c:pt idx="2">
                  <c:v>28.75</c:v>
                </c:pt>
                <c:pt idx="3">
                  <c:v>21</c:v>
                </c:pt>
                <c:pt idx="4">
                  <c:v>21.5</c:v>
                </c:pt>
                <c:pt idx="5">
                  <c:v>75</c:v>
                </c:pt>
                <c:pt idx="6">
                  <c:v>47.5</c:v>
                </c:pt>
                <c:pt idx="7">
                  <c:v>23.5</c:v>
                </c:pt>
                <c:pt idx="8">
                  <c:v>27.75</c:v>
                </c:pt>
                <c:pt idx="9">
                  <c:v>20</c:v>
                </c:pt>
                <c:pt idx="10">
                  <c:v>23.75</c:v>
                </c:pt>
                <c:pt idx="11">
                  <c:v>23.5</c:v>
                </c:pt>
                <c:pt idx="12">
                  <c:v>24</c:v>
                </c:pt>
                <c:pt idx="14">
                  <c:v>22</c:v>
                </c:pt>
                <c:pt idx="15">
                  <c:v>21.75</c:v>
                </c:pt>
                <c:pt idx="16">
                  <c:v>48.5</c:v>
                </c:pt>
                <c:pt idx="17">
                  <c:v>28.75</c:v>
                </c:pt>
                <c:pt idx="18">
                  <c:v>21</c:v>
                </c:pt>
                <c:pt idx="19">
                  <c:v>21.5</c:v>
                </c:pt>
                <c:pt idx="20">
                  <c:v>75</c:v>
                </c:pt>
                <c:pt idx="21">
                  <c:v>47.5</c:v>
                </c:pt>
                <c:pt idx="22">
                  <c:v>23.5</c:v>
                </c:pt>
                <c:pt idx="23">
                  <c:v>27.75</c:v>
                </c:pt>
                <c:pt idx="24">
                  <c:v>20</c:v>
                </c:pt>
                <c:pt idx="25">
                  <c:v>23.75</c:v>
                </c:pt>
                <c:pt idx="26">
                  <c:v>23.5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ACE0-4DA7-905A-9B0A02F76718}"/>
            </c:ext>
          </c:extLst>
        </c:ser>
        <c:ser>
          <c:idx val="2"/>
          <c:order val="2"/>
          <c:tx>
            <c:strRef>
              <c:f>all!$E$4</c:f>
              <c:strCache>
                <c:ptCount val="1"/>
                <c:pt idx="0">
                  <c:v>Aich (2014) 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3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-0.2736952289204706"/>
                  <c:y val="-3.9816576951641038E-3"/>
                </c:manualLayout>
              </c:layout>
              <c:numFmt formatCode="General" sourceLinked="0"/>
              <c:spPr>
                <a:solidFill>
                  <a:schemeClr val="accent6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all!$T$70:$T$96</c:f>
              <c:numCache>
                <c:formatCode>0.0000</c:formatCode>
                <c:ptCount val="27"/>
                <c:pt idx="0">
                  <c:v>-3.7834846370905402E-3</c:v>
                </c:pt>
                <c:pt idx="1">
                  <c:v>6.4581353214806597E-2</c:v>
                </c:pt>
                <c:pt idx="2">
                  <c:v>6.1895687016862502E-2</c:v>
                </c:pt>
                <c:pt idx="3">
                  <c:v>2.95836818188689E-2</c:v>
                </c:pt>
                <c:pt idx="4">
                  <c:v>-5.4892758010415703E-2</c:v>
                </c:pt>
                <c:pt idx="5">
                  <c:v>8.8641812543785899E-3</c:v>
                </c:pt>
                <c:pt idx="6">
                  <c:v>1.32778322661357E-2</c:v>
                </c:pt>
                <c:pt idx="7">
                  <c:v>-6.0975544853349099E-2</c:v>
                </c:pt>
                <c:pt idx="8">
                  <c:v>4.2081062239471598E-2</c:v>
                </c:pt>
                <c:pt idx="9">
                  <c:v>-1.77749404385871E-2</c:v>
                </c:pt>
                <c:pt idx="10">
                  <c:v>3.08855730575289E-3</c:v>
                </c:pt>
                <c:pt idx="11">
                  <c:v>-5.3081166180475401E-3</c:v>
                </c:pt>
                <c:pt idx="12">
                  <c:v>0.99566811930969701</c:v>
                </c:pt>
                <c:pt idx="13" formatCode="0.000">
                  <c:v>-9.3763935417501706E-2</c:v>
                </c:pt>
                <c:pt idx="14" formatCode="0.000">
                  <c:v>-5.2796335197095298E-2</c:v>
                </c:pt>
                <c:pt idx="15" formatCode="0.000">
                  <c:v>-5.9125313303963402E-2</c:v>
                </c:pt>
                <c:pt idx="16" formatCode="0.000">
                  <c:v>-4.1714957549384597E-2</c:v>
                </c:pt>
                <c:pt idx="17" formatCode="0.000">
                  <c:v>7.3340759088016003E-2</c:v>
                </c:pt>
                <c:pt idx="18" formatCode="0.000">
                  <c:v>7.1354925056258001E-3</c:v>
                </c:pt>
                <c:pt idx="19" formatCode="0.000">
                  <c:v>-0.28463650723553102</c:v>
                </c:pt>
                <c:pt idx="20" formatCode="0.000">
                  <c:v>-7.3287190867590401E-3</c:v>
                </c:pt>
                <c:pt idx="21" formatCode="0.000">
                  <c:v>0.10941628444022999</c:v>
                </c:pt>
                <c:pt idx="22" formatCode="0.000">
                  <c:v>-8.4675321487204705E-2</c:v>
                </c:pt>
                <c:pt idx="23" formatCode="0.000">
                  <c:v>-3.2911415817637998E-2</c:v>
                </c:pt>
                <c:pt idx="24" formatCode="0.000">
                  <c:v>-4.46763074582908E-2</c:v>
                </c:pt>
                <c:pt idx="25" formatCode="0.000">
                  <c:v>-1.53118918462132E-3</c:v>
                </c:pt>
                <c:pt idx="26" formatCode="0.000">
                  <c:v>-0.17920927988478999</c:v>
                </c:pt>
              </c:numCache>
            </c:numRef>
          </c:xVal>
          <c:yVal>
            <c:numRef>
              <c:f>all!$K$70:$K$96</c:f>
              <c:numCache>
                <c:formatCode>General</c:formatCode>
                <c:ptCount val="27"/>
                <c:pt idx="0">
                  <c:v>21.75</c:v>
                </c:pt>
                <c:pt idx="1">
                  <c:v>48.5</c:v>
                </c:pt>
                <c:pt idx="2">
                  <c:v>28.75</c:v>
                </c:pt>
                <c:pt idx="3">
                  <c:v>21</c:v>
                </c:pt>
                <c:pt idx="4">
                  <c:v>21.5</c:v>
                </c:pt>
                <c:pt idx="5">
                  <c:v>75</c:v>
                </c:pt>
                <c:pt idx="6">
                  <c:v>47.5</c:v>
                </c:pt>
                <c:pt idx="7">
                  <c:v>23.5</c:v>
                </c:pt>
                <c:pt idx="8">
                  <c:v>27.75</c:v>
                </c:pt>
                <c:pt idx="9">
                  <c:v>20</c:v>
                </c:pt>
                <c:pt idx="10">
                  <c:v>23.75</c:v>
                </c:pt>
                <c:pt idx="11">
                  <c:v>23.5</c:v>
                </c:pt>
                <c:pt idx="12">
                  <c:v>24</c:v>
                </c:pt>
                <c:pt idx="14">
                  <c:v>22</c:v>
                </c:pt>
                <c:pt idx="15">
                  <c:v>21.75</c:v>
                </c:pt>
                <c:pt idx="16">
                  <c:v>48.5</c:v>
                </c:pt>
                <c:pt idx="17">
                  <c:v>28.75</c:v>
                </c:pt>
                <c:pt idx="18">
                  <c:v>21</c:v>
                </c:pt>
                <c:pt idx="19">
                  <c:v>21.5</c:v>
                </c:pt>
                <c:pt idx="20">
                  <c:v>75</c:v>
                </c:pt>
                <c:pt idx="21">
                  <c:v>47.5</c:v>
                </c:pt>
                <c:pt idx="22">
                  <c:v>23.5</c:v>
                </c:pt>
                <c:pt idx="23">
                  <c:v>27.75</c:v>
                </c:pt>
                <c:pt idx="24">
                  <c:v>20</c:v>
                </c:pt>
                <c:pt idx="25">
                  <c:v>23.75</c:v>
                </c:pt>
                <c:pt idx="26">
                  <c:v>23.5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ACE0-4DA7-905A-9B0A02F7671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29882927"/>
        <c:axId val="129899727"/>
      </c:scatterChart>
      <c:valAx>
        <c:axId val="129882927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Hysteresis Index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0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9899727"/>
        <c:crosses val="autoZero"/>
        <c:crossBetween val="midCat"/>
      </c:valAx>
      <c:valAx>
        <c:axId val="12989972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Time (hrs)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9882927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legendEntry>
        <c:idx val="3"/>
        <c:delete val="1"/>
      </c:legendEntry>
      <c:legendEntry>
        <c:idx val="4"/>
        <c:delete val="1"/>
      </c:legendEntry>
      <c:legendEntry>
        <c:idx val="5"/>
        <c:delete val="1"/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SSC</a:t>
            </a:r>
            <a:r>
              <a:rPr lang="en-US" baseline="0"/>
              <a:t> HI to time between </a:t>
            </a:r>
            <a:r>
              <a:rPr lang="el-GR" baseline="0">
                <a:latin typeface="Aptos" panose="020B0004020202020204" pitchFamily="34" charset="0"/>
              </a:rPr>
              <a:t>τ</a:t>
            </a:r>
            <a:r>
              <a:rPr lang="en-US" baseline="0">
                <a:latin typeface="Aptos" panose="020B0004020202020204" pitchFamily="34" charset="0"/>
              </a:rPr>
              <a:t>c </a:t>
            </a:r>
            <a:r>
              <a:rPr lang="en-US" baseline="0"/>
              <a:t>events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all!$C$4</c:f>
              <c:strCache>
                <c:ptCount val="1"/>
                <c:pt idx="0">
                  <c:v>Langlois (2005)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0.12066730641243519"/>
                  <c:y val="3.6903342544705869E-2"/>
                </c:manualLayout>
              </c:layout>
              <c:numFmt formatCode="General" sourceLinked="0"/>
              <c:spPr>
                <a:solidFill>
                  <a:schemeClr val="tx2">
                    <a:lumMod val="10000"/>
                    <a:lumOff val="9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all!$C$10:$C$33</c:f>
              <c:numCache>
                <c:formatCode>0.0000</c:formatCode>
                <c:ptCount val="24"/>
                <c:pt idx="0">
                  <c:v>1.31746197777344</c:v>
                </c:pt>
                <c:pt idx="1">
                  <c:v>0.89735303995633098</c:v>
                </c:pt>
                <c:pt idx="2">
                  <c:v>1.39880081037808</c:v>
                </c:pt>
                <c:pt idx="3">
                  <c:v>1.2210038373368299</c:v>
                </c:pt>
                <c:pt idx="4">
                  <c:v>1.5249018262283101</c:v>
                </c:pt>
                <c:pt idx="7">
                  <c:v>1.36678278361715</c:v>
                </c:pt>
                <c:pt idx="10">
                  <c:v>1.8695993339197901</c:v>
                </c:pt>
                <c:pt idx="11">
                  <c:v>1.21795864622288</c:v>
                </c:pt>
                <c:pt idx="12">
                  <c:v>1.0299659938988901</c:v>
                </c:pt>
                <c:pt idx="15">
                  <c:v>1.1534447144942801</c:v>
                </c:pt>
                <c:pt idx="16">
                  <c:v>1.6625275928143599</c:v>
                </c:pt>
                <c:pt idx="17">
                  <c:v>0.83858009935182098</c:v>
                </c:pt>
                <c:pt idx="18">
                  <c:v>2.31938512736013</c:v>
                </c:pt>
                <c:pt idx="19">
                  <c:v>1.66955637894203</c:v>
                </c:pt>
                <c:pt idx="21">
                  <c:v>0.90805045415642205</c:v>
                </c:pt>
                <c:pt idx="22">
                  <c:v>1.0862889042163599</c:v>
                </c:pt>
                <c:pt idx="23">
                  <c:v>0.39254775269290398</c:v>
                </c:pt>
              </c:numCache>
            </c:numRef>
          </c:xVal>
          <c:yVal>
            <c:numRef>
              <c:f>all!$H$10:$H$33</c:f>
              <c:numCache>
                <c:formatCode>General</c:formatCode>
                <c:ptCount val="24"/>
                <c:pt idx="0">
                  <c:v>21</c:v>
                </c:pt>
                <c:pt idx="2">
                  <c:v>96.5</c:v>
                </c:pt>
                <c:pt idx="3">
                  <c:v>47.5</c:v>
                </c:pt>
                <c:pt idx="4">
                  <c:v>23.5</c:v>
                </c:pt>
                <c:pt idx="6">
                  <c:v>47.75</c:v>
                </c:pt>
                <c:pt idx="7">
                  <c:v>23.75</c:v>
                </c:pt>
                <c:pt idx="8">
                  <c:v>23.5</c:v>
                </c:pt>
                <c:pt idx="13">
                  <c:v>48.5</c:v>
                </c:pt>
                <c:pt idx="14">
                  <c:v>28.75</c:v>
                </c:pt>
                <c:pt idx="15">
                  <c:v>21</c:v>
                </c:pt>
                <c:pt idx="17">
                  <c:v>96.5</c:v>
                </c:pt>
                <c:pt idx="18">
                  <c:v>47.5</c:v>
                </c:pt>
                <c:pt idx="19">
                  <c:v>23.5</c:v>
                </c:pt>
                <c:pt idx="21">
                  <c:v>47.75</c:v>
                </c:pt>
                <c:pt idx="22">
                  <c:v>23.75</c:v>
                </c:pt>
                <c:pt idx="23">
                  <c:v>23.5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2F76-41F8-A348-AA33BBD5CC6D}"/>
            </c:ext>
          </c:extLst>
        </c:ser>
        <c:ser>
          <c:idx val="1"/>
          <c:order val="1"/>
          <c:tx>
            <c:strRef>
              <c:f>all!$D$4</c:f>
              <c:strCache>
                <c:ptCount val="1"/>
                <c:pt idx="0">
                  <c:v>Lawler (2006)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-7.0863456973681446E-2"/>
                  <c:y val="-0.19634044533901637"/>
                </c:manualLayout>
              </c:layout>
              <c:numFmt formatCode="General" sourceLinked="0"/>
              <c:spPr>
                <a:solidFill>
                  <a:schemeClr val="accent2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all!$D$10:$D$33</c:f>
              <c:numCache>
                <c:formatCode>0.0000</c:formatCode>
                <c:ptCount val="24"/>
                <c:pt idx="0">
                  <c:v>0.66698565105034602</c:v>
                </c:pt>
                <c:pt idx="1">
                  <c:v>0.19762137224995299</c:v>
                </c:pt>
                <c:pt idx="2">
                  <c:v>0.54807771119966198</c:v>
                </c:pt>
                <c:pt idx="3">
                  <c:v>0.10106112243990099</c:v>
                </c:pt>
                <c:pt idx="4">
                  <c:v>0.50902572287082404</c:v>
                </c:pt>
                <c:pt idx="7">
                  <c:v>0.463447965306029</c:v>
                </c:pt>
                <c:pt idx="10">
                  <c:v>0.44896728093636801</c:v>
                </c:pt>
                <c:pt idx="11">
                  <c:v>1.5264059910121399</c:v>
                </c:pt>
                <c:pt idx="12">
                  <c:v>0.71671353985517805</c:v>
                </c:pt>
                <c:pt idx="15">
                  <c:v>0.678678630991426</c:v>
                </c:pt>
                <c:pt idx="16">
                  <c:v>0.81343884511072295</c:v>
                </c:pt>
                <c:pt idx="17">
                  <c:v>-1.07855599689062</c:v>
                </c:pt>
                <c:pt idx="18">
                  <c:v>1.34776836410395</c:v>
                </c:pt>
                <c:pt idx="19">
                  <c:v>0.55456789410428697</c:v>
                </c:pt>
                <c:pt idx="20">
                  <c:v>0.70468449804027899</c:v>
                </c:pt>
                <c:pt idx="21">
                  <c:v>-0.373253605455523</c:v>
                </c:pt>
                <c:pt idx="22">
                  <c:v>0.63056904760694898</c:v>
                </c:pt>
                <c:pt idx="23">
                  <c:v>-0.623899602892661</c:v>
                </c:pt>
              </c:numCache>
            </c:numRef>
          </c:xVal>
          <c:yVal>
            <c:numRef>
              <c:f>all!$H$10:$H$33</c:f>
              <c:numCache>
                <c:formatCode>General</c:formatCode>
                <c:ptCount val="24"/>
                <c:pt idx="0">
                  <c:v>21</c:v>
                </c:pt>
                <c:pt idx="2">
                  <c:v>96.5</c:v>
                </c:pt>
                <c:pt idx="3">
                  <c:v>47.5</c:v>
                </c:pt>
                <c:pt idx="4">
                  <c:v>23.5</c:v>
                </c:pt>
                <c:pt idx="6">
                  <c:v>47.75</c:v>
                </c:pt>
                <c:pt idx="7">
                  <c:v>23.75</c:v>
                </c:pt>
                <c:pt idx="8">
                  <c:v>23.5</c:v>
                </c:pt>
                <c:pt idx="13">
                  <c:v>48.5</c:v>
                </c:pt>
                <c:pt idx="14">
                  <c:v>28.75</c:v>
                </c:pt>
                <c:pt idx="15">
                  <c:v>21</c:v>
                </c:pt>
                <c:pt idx="17">
                  <c:v>96.5</c:v>
                </c:pt>
                <c:pt idx="18">
                  <c:v>47.5</c:v>
                </c:pt>
                <c:pt idx="19">
                  <c:v>23.5</c:v>
                </c:pt>
                <c:pt idx="21">
                  <c:v>47.75</c:v>
                </c:pt>
                <c:pt idx="22">
                  <c:v>23.75</c:v>
                </c:pt>
                <c:pt idx="23">
                  <c:v>23.5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2F76-41F8-A348-AA33BBD5CC6D}"/>
            </c:ext>
          </c:extLst>
        </c:ser>
        <c:ser>
          <c:idx val="2"/>
          <c:order val="2"/>
          <c:tx>
            <c:strRef>
              <c:f>all!$E$4</c:f>
              <c:strCache>
                <c:ptCount val="1"/>
                <c:pt idx="0">
                  <c:v>Aich (2014) 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3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-0.12269336725727872"/>
                  <c:y val="-2.7387880862718246E-3"/>
                </c:manualLayout>
              </c:layout>
              <c:numFmt formatCode="General" sourceLinked="0"/>
              <c:spPr>
                <a:solidFill>
                  <a:schemeClr val="accent6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all!$E$10:$E$33</c:f>
              <c:numCache>
                <c:formatCode>0.0000</c:formatCode>
                <c:ptCount val="24"/>
                <c:pt idx="0">
                  <c:v>8.8732929175135894E-2</c:v>
                </c:pt>
                <c:pt idx="1">
                  <c:v>-1.9463558010346702E-2</c:v>
                </c:pt>
                <c:pt idx="2">
                  <c:v>0.10415722716452799</c:v>
                </c:pt>
                <c:pt idx="3">
                  <c:v>4.66251429291673E-2</c:v>
                </c:pt>
                <c:pt idx="4">
                  <c:v>9.0894558490112708E-3</c:v>
                </c:pt>
                <c:pt idx="7">
                  <c:v>2.0373962034653699E-2</c:v>
                </c:pt>
                <c:pt idx="10">
                  <c:v>2.4947102971666898E-2</c:v>
                </c:pt>
                <c:pt idx="11">
                  <c:v>9.6293174744729593E-3</c:v>
                </c:pt>
                <c:pt idx="12">
                  <c:v>0.14608753400636901</c:v>
                </c:pt>
                <c:pt idx="15">
                  <c:v>1.27691539373017E-2</c:v>
                </c:pt>
                <c:pt idx="16">
                  <c:v>6.7576112725014403E-2</c:v>
                </c:pt>
                <c:pt idx="17">
                  <c:v>-0.35416666689988402</c:v>
                </c:pt>
                <c:pt idx="18">
                  <c:v>4.5646344187588998E-2</c:v>
                </c:pt>
                <c:pt idx="19">
                  <c:v>1.47909285306715E-2</c:v>
                </c:pt>
                <c:pt idx="20">
                  <c:v>3.5842816756479302E-2</c:v>
                </c:pt>
                <c:pt idx="21">
                  <c:v>-4.0383997186219003E-2</c:v>
                </c:pt>
                <c:pt idx="22">
                  <c:v>3.6679485231980898E-2</c:v>
                </c:pt>
                <c:pt idx="23">
                  <c:v>-0.76160033358371604</c:v>
                </c:pt>
              </c:numCache>
            </c:numRef>
          </c:xVal>
          <c:yVal>
            <c:numRef>
              <c:f>all!$H$10:$H$33</c:f>
              <c:numCache>
                <c:formatCode>General</c:formatCode>
                <c:ptCount val="24"/>
                <c:pt idx="0">
                  <c:v>21</c:v>
                </c:pt>
                <c:pt idx="2">
                  <c:v>96.5</c:v>
                </c:pt>
                <c:pt idx="3">
                  <c:v>47.5</c:v>
                </c:pt>
                <c:pt idx="4">
                  <c:v>23.5</c:v>
                </c:pt>
                <c:pt idx="6">
                  <c:v>47.75</c:v>
                </c:pt>
                <c:pt idx="7">
                  <c:v>23.75</c:v>
                </c:pt>
                <c:pt idx="8">
                  <c:v>23.5</c:v>
                </c:pt>
                <c:pt idx="13">
                  <c:v>48.5</c:v>
                </c:pt>
                <c:pt idx="14">
                  <c:v>28.75</c:v>
                </c:pt>
                <c:pt idx="15">
                  <c:v>21</c:v>
                </c:pt>
                <c:pt idx="17">
                  <c:v>96.5</c:v>
                </c:pt>
                <c:pt idx="18">
                  <c:v>47.5</c:v>
                </c:pt>
                <c:pt idx="19">
                  <c:v>23.5</c:v>
                </c:pt>
                <c:pt idx="21">
                  <c:v>47.75</c:v>
                </c:pt>
                <c:pt idx="22">
                  <c:v>23.75</c:v>
                </c:pt>
                <c:pt idx="23">
                  <c:v>23.5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2F76-41F8-A348-AA33BBD5CC6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29882927"/>
        <c:axId val="129899727"/>
      </c:scatterChart>
      <c:valAx>
        <c:axId val="129882927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Hysteresis Index</a:t>
                </a:r>
              </a:p>
            </c:rich>
          </c:tx>
          <c:layout>
            <c:manualLayout>
              <c:xMode val="edge"/>
              <c:yMode val="edge"/>
              <c:x val="0.40045326995307451"/>
              <c:y val="0.76253325188986709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9899727"/>
        <c:crosses val="autoZero"/>
        <c:crossBetween val="midCat"/>
      </c:valAx>
      <c:valAx>
        <c:axId val="12989972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Time</a:t>
                </a:r>
                <a:r>
                  <a:rPr lang="en-US" baseline="0"/>
                  <a:t> (hrs)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9882927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legendEntry>
        <c:idx val="3"/>
        <c:delete val="1"/>
      </c:legendEntry>
      <c:legendEntry>
        <c:idx val="4"/>
        <c:delete val="1"/>
      </c:legendEntry>
      <c:legendEntry>
        <c:idx val="5"/>
        <c:delete val="1"/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400"/>
              <a:t>DOC</a:t>
            </a:r>
            <a:r>
              <a:rPr lang="en-US" sz="1400" baseline="0"/>
              <a:t> </a:t>
            </a:r>
            <a:r>
              <a:rPr lang="en-US" sz="14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</a:rPr>
              <a:t>HI to time between </a:t>
            </a:r>
            <a:r>
              <a:rPr lang="el-GR" sz="14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  <a:latin typeface="Aptos" panose="020B0004020202020204" pitchFamily="34" charset="0"/>
              </a:rPr>
              <a:t>τ</a:t>
            </a:r>
            <a:r>
              <a:rPr lang="en-US" sz="14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  <a:latin typeface="Aptos" panose="020B0004020202020204" pitchFamily="34" charset="0"/>
              </a:rPr>
              <a:t>c </a:t>
            </a:r>
            <a:r>
              <a:rPr lang="en-US" sz="14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</a:rPr>
              <a:t>events</a:t>
            </a:r>
            <a:endParaRPr lang="en-US" sz="1400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all!$C$4</c:f>
              <c:strCache>
                <c:ptCount val="1"/>
                <c:pt idx="0">
                  <c:v>Langlois (2005)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0.11803843885620964"/>
                  <c:y val="-8.0903670607502129E-2"/>
                </c:manualLayout>
              </c:layout>
              <c:numFmt formatCode="General" sourceLinked="0"/>
              <c:spPr>
                <a:solidFill>
                  <a:schemeClr val="tx2">
                    <a:lumMod val="10000"/>
                    <a:lumOff val="9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all!$C$42:$C$65</c:f>
              <c:numCache>
                <c:formatCode>0.000</c:formatCode>
                <c:ptCount val="24"/>
                <c:pt idx="0">
                  <c:v>1.01982556926034</c:v>
                </c:pt>
                <c:pt idx="1">
                  <c:v>1.0105385292601801</c:v>
                </c:pt>
                <c:pt idx="2">
                  <c:v>1.04413498578157</c:v>
                </c:pt>
                <c:pt idx="3">
                  <c:v>1.04959681992682</c:v>
                </c:pt>
                <c:pt idx="4">
                  <c:v>0.97400899474341096</c:v>
                </c:pt>
                <c:pt idx="7">
                  <c:v>1.03922347944993</c:v>
                </c:pt>
                <c:pt idx="10">
                  <c:v>1.0683907677478099</c:v>
                </c:pt>
                <c:pt idx="11">
                  <c:v>1.13117180110701</c:v>
                </c:pt>
                <c:pt idx="12">
                  <c:v>0.99421602518435603</c:v>
                </c:pt>
                <c:pt idx="14">
                  <c:v>1.0587750080951299</c:v>
                </c:pt>
                <c:pt idx="15">
                  <c:v>1.04764110720538</c:v>
                </c:pt>
                <c:pt idx="16">
                  <c:v>1.1477045338510801</c:v>
                </c:pt>
                <c:pt idx="17">
                  <c:v>1.1126612766097499</c:v>
                </c:pt>
                <c:pt idx="18">
                  <c:v>1.2530304455719099</c:v>
                </c:pt>
                <c:pt idx="19">
                  <c:v>1.0813804129035001</c:v>
                </c:pt>
                <c:pt idx="20">
                  <c:v>1.2134925086481201</c:v>
                </c:pt>
                <c:pt idx="21">
                  <c:v>1.08380817355586</c:v>
                </c:pt>
                <c:pt idx="22">
                  <c:v>1.0367372638660399</c:v>
                </c:pt>
                <c:pt idx="23">
                  <c:v>1.1282134088167699</c:v>
                </c:pt>
              </c:numCache>
            </c:numRef>
          </c:xVal>
          <c:yVal>
            <c:numRef>
              <c:f>all!$H$42:$H$65</c:f>
              <c:numCache>
                <c:formatCode>General</c:formatCode>
                <c:ptCount val="24"/>
                <c:pt idx="0">
                  <c:v>21</c:v>
                </c:pt>
                <c:pt idx="2">
                  <c:v>96.5</c:v>
                </c:pt>
                <c:pt idx="3">
                  <c:v>47.5</c:v>
                </c:pt>
                <c:pt idx="4">
                  <c:v>23.5</c:v>
                </c:pt>
                <c:pt idx="6">
                  <c:v>47.75</c:v>
                </c:pt>
                <c:pt idx="7">
                  <c:v>23.75</c:v>
                </c:pt>
                <c:pt idx="8">
                  <c:v>23.5</c:v>
                </c:pt>
                <c:pt idx="13">
                  <c:v>48.5</c:v>
                </c:pt>
                <c:pt idx="14">
                  <c:v>28.75</c:v>
                </c:pt>
                <c:pt idx="15">
                  <c:v>21</c:v>
                </c:pt>
                <c:pt idx="17">
                  <c:v>96.5</c:v>
                </c:pt>
                <c:pt idx="18">
                  <c:v>47.5</c:v>
                </c:pt>
                <c:pt idx="19">
                  <c:v>23.5</c:v>
                </c:pt>
                <c:pt idx="21">
                  <c:v>47.75</c:v>
                </c:pt>
                <c:pt idx="22">
                  <c:v>23.75</c:v>
                </c:pt>
                <c:pt idx="23">
                  <c:v>23.5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B7C5-4725-B1D1-212CBD952853}"/>
            </c:ext>
          </c:extLst>
        </c:ser>
        <c:ser>
          <c:idx val="1"/>
          <c:order val="1"/>
          <c:tx>
            <c:strRef>
              <c:f>all!$D$4</c:f>
              <c:strCache>
                <c:ptCount val="1"/>
                <c:pt idx="0">
                  <c:v>Lawler (2006)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-0.11721521407560591"/>
                  <c:y val="-0.19661796650355848"/>
                </c:manualLayout>
              </c:layout>
              <c:numFmt formatCode="General" sourceLinked="0"/>
              <c:spPr>
                <a:solidFill>
                  <a:schemeClr val="accent2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all!$D$42:$D$65</c:f>
              <c:numCache>
                <c:formatCode>0.000</c:formatCode>
                <c:ptCount val="24"/>
                <c:pt idx="0">
                  <c:v>0.38831940167197898</c:v>
                </c:pt>
                <c:pt idx="1">
                  <c:v>0.597784224122066</c:v>
                </c:pt>
                <c:pt idx="2">
                  <c:v>0.92934562720262803</c:v>
                </c:pt>
                <c:pt idx="3">
                  <c:v>-0.33094957948560899</c:v>
                </c:pt>
                <c:pt idx="4">
                  <c:v>-0.27375631737886102</c:v>
                </c:pt>
                <c:pt idx="7">
                  <c:v>0.59399199353963394</c:v>
                </c:pt>
                <c:pt idx="10">
                  <c:v>0.74870138294766397</c:v>
                </c:pt>
                <c:pt idx="11">
                  <c:v>1.1019405303793299</c:v>
                </c:pt>
                <c:pt idx="12">
                  <c:v>0.17884914222762199</c:v>
                </c:pt>
                <c:pt idx="14">
                  <c:v>0.662333397055619</c:v>
                </c:pt>
                <c:pt idx="15">
                  <c:v>1.10062768451704</c:v>
                </c:pt>
                <c:pt idx="16">
                  <c:v>0.97101599927504101</c:v>
                </c:pt>
                <c:pt idx="17">
                  <c:v>0.95380985457733503</c:v>
                </c:pt>
                <c:pt idx="18">
                  <c:v>1.1029723476739599</c:v>
                </c:pt>
                <c:pt idx="19">
                  <c:v>0.52079829390269505</c:v>
                </c:pt>
                <c:pt idx="20">
                  <c:v>0.94175163201491896</c:v>
                </c:pt>
                <c:pt idx="21">
                  <c:v>0.28231733716004298</c:v>
                </c:pt>
                <c:pt idx="22">
                  <c:v>0.55097576187408004</c:v>
                </c:pt>
                <c:pt idx="23">
                  <c:v>0.99053604379690696</c:v>
                </c:pt>
              </c:numCache>
            </c:numRef>
          </c:xVal>
          <c:yVal>
            <c:numRef>
              <c:f>all!$H$42:$H$65</c:f>
              <c:numCache>
                <c:formatCode>General</c:formatCode>
                <c:ptCount val="24"/>
                <c:pt idx="0">
                  <c:v>21</c:v>
                </c:pt>
                <c:pt idx="2">
                  <c:v>96.5</c:v>
                </c:pt>
                <c:pt idx="3">
                  <c:v>47.5</c:v>
                </c:pt>
                <c:pt idx="4">
                  <c:v>23.5</c:v>
                </c:pt>
                <c:pt idx="6">
                  <c:v>47.75</c:v>
                </c:pt>
                <c:pt idx="7">
                  <c:v>23.75</c:v>
                </c:pt>
                <c:pt idx="8">
                  <c:v>23.5</c:v>
                </c:pt>
                <c:pt idx="13">
                  <c:v>48.5</c:v>
                </c:pt>
                <c:pt idx="14">
                  <c:v>28.75</c:v>
                </c:pt>
                <c:pt idx="15">
                  <c:v>21</c:v>
                </c:pt>
                <c:pt idx="17">
                  <c:v>96.5</c:v>
                </c:pt>
                <c:pt idx="18">
                  <c:v>47.5</c:v>
                </c:pt>
                <c:pt idx="19">
                  <c:v>23.5</c:v>
                </c:pt>
                <c:pt idx="21">
                  <c:v>47.75</c:v>
                </c:pt>
                <c:pt idx="22">
                  <c:v>23.75</c:v>
                </c:pt>
                <c:pt idx="23">
                  <c:v>23.5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B7C5-4725-B1D1-212CBD952853}"/>
            </c:ext>
          </c:extLst>
        </c:ser>
        <c:ser>
          <c:idx val="2"/>
          <c:order val="2"/>
          <c:tx>
            <c:strRef>
              <c:f>all!$E$4</c:f>
              <c:strCache>
                <c:ptCount val="1"/>
                <c:pt idx="0">
                  <c:v>Aich (2014) 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3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-5.3252946629997952E-2"/>
                  <c:y val="1.6192228261109907E-2"/>
                </c:manualLayout>
              </c:layout>
              <c:numFmt formatCode="General" sourceLinked="0"/>
              <c:spPr>
                <a:solidFill>
                  <a:schemeClr val="accent6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all!$E$42:$E$65</c:f>
              <c:numCache>
                <c:formatCode>0.000</c:formatCode>
                <c:ptCount val="24"/>
                <c:pt idx="0">
                  <c:v>1.20306787922476E-2</c:v>
                </c:pt>
                <c:pt idx="1">
                  <c:v>2.7386597361713599E-2</c:v>
                </c:pt>
                <c:pt idx="2">
                  <c:v>2.8615745110634201E-2</c:v>
                </c:pt>
                <c:pt idx="3">
                  <c:v>4.4113621235337297E-2</c:v>
                </c:pt>
                <c:pt idx="4">
                  <c:v>-8.0536265843332393E-3</c:v>
                </c:pt>
                <c:pt idx="7">
                  <c:v>2.7450804091866201E-2</c:v>
                </c:pt>
                <c:pt idx="10">
                  <c:v>6.5697545304297195E-2</c:v>
                </c:pt>
                <c:pt idx="11">
                  <c:v>0.132436068542756</c:v>
                </c:pt>
                <c:pt idx="12">
                  <c:v>-4.2076076707890497E-3</c:v>
                </c:pt>
                <c:pt idx="14">
                  <c:v>0.12430930853391101</c:v>
                </c:pt>
                <c:pt idx="15">
                  <c:v>9.2876994447724404E-2</c:v>
                </c:pt>
                <c:pt idx="16">
                  <c:v>8.3834633446242604E-2</c:v>
                </c:pt>
                <c:pt idx="17">
                  <c:v>4.4857179056258203E-2</c:v>
                </c:pt>
                <c:pt idx="18">
                  <c:v>7.6664996000854094E-2</c:v>
                </c:pt>
                <c:pt idx="19">
                  <c:v>2.1219861817338499E-2</c:v>
                </c:pt>
                <c:pt idx="20">
                  <c:v>8.5275451626537893E-2</c:v>
                </c:pt>
                <c:pt idx="21">
                  <c:v>3.1629539106965802E-2</c:v>
                </c:pt>
                <c:pt idx="22">
                  <c:v>4.3964016574286002E-2</c:v>
                </c:pt>
                <c:pt idx="23">
                  <c:v>5.3048699734524599E-2</c:v>
                </c:pt>
              </c:numCache>
            </c:numRef>
          </c:xVal>
          <c:yVal>
            <c:numRef>
              <c:f>all!$H$42:$H$65</c:f>
              <c:numCache>
                <c:formatCode>General</c:formatCode>
                <c:ptCount val="24"/>
                <c:pt idx="0">
                  <c:v>21</c:v>
                </c:pt>
                <c:pt idx="2">
                  <c:v>96.5</c:v>
                </c:pt>
                <c:pt idx="3">
                  <c:v>47.5</c:v>
                </c:pt>
                <c:pt idx="4">
                  <c:v>23.5</c:v>
                </c:pt>
                <c:pt idx="6">
                  <c:v>47.75</c:v>
                </c:pt>
                <c:pt idx="7">
                  <c:v>23.75</c:v>
                </c:pt>
                <c:pt idx="8">
                  <c:v>23.5</c:v>
                </c:pt>
                <c:pt idx="13">
                  <c:v>48.5</c:v>
                </c:pt>
                <c:pt idx="14">
                  <c:v>28.75</c:v>
                </c:pt>
                <c:pt idx="15">
                  <c:v>21</c:v>
                </c:pt>
                <c:pt idx="17">
                  <c:v>96.5</c:v>
                </c:pt>
                <c:pt idx="18">
                  <c:v>47.5</c:v>
                </c:pt>
                <c:pt idx="19">
                  <c:v>23.5</c:v>
                </c:pt>
                <c:pt idx="21">
                  <c:v>47.75</c:v>
                </c:pt>
                <c:pt idx="22">
                  <c:v>23.75</c:v>
                </c:pt>
                <c:pt idx="23">
                  <c:v>23.5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B7C5-4725-B1D1-212CBD95285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29882927"/>
        <c:axId val="129899727"/>
      </c:scatterChart>
      <c:valAx>
        <c:axId val="129882927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Hysteresis Index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9899727"/>
        <c:crosses val="autoZero"/>
        <c:crossBetween val="midCat"/>
      </c:valAx>
      <c:valAx>
        <c:axId val="12989972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Time (hrs)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9882927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legendEntry>
        <c:idx val="3"/>
        <c:delete val="1"/>
      </c:legendEntry>
      <c:legendEntry>
        <c:idx val="4"/>
        <c:delete val="1"/>
      </c:legendEntry>
      <c:legendEntry>
        <c:idx val="5"/>
        <c:delete val="1"/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400"/>
              <a:t>Turbidity</a:t>
            </a:r>
            <a:r>
              <a:rPr lang="en-US" sz="1400" baseline="0"/>
              <a:t> </a:t>
            </a:r>
            <a:r>
              <a:rPr lang="en-US" sz="14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</a:rPr>
              <a:t>HI to time between </a:t>
            </a:r>
            <a:r>
              <a:rPr lang="el-GR" sz="14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  <a:latin typeface="Aptos" panose="020B0004020202020204" pitchFamily="34" charset="0"/>
              </a:rPr>
              <a:t>τ</a:t>
            </a:r>
            <a:r>
              <a:rPr lang="en-US" sz="14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  <a:latin typeface="Aptos" panose="020B0004020202020204" pitchFamily="34" charset="0"/>
              </a:rPr>
              <a:t>c </a:t>
            </a:r>
            <a:r>
              <a:rPr lang="en-US" sz="14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</a:rPr>
              <a:t>events</a:t>
            </a:r>
            <a:endParaRPr lang="en-US" sz="1400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all!$D$67</c:f>
              <c:strCache>
                <c:ptCount val="1"/>
                <c:pt idx="0">
                  <c:v>Langlois (2005)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6.9535463621845692E-2"/>
                  <c:y val="-0.14645240515887281"/>
                </c:manualLayout>
              </c:layout>
              <c:numFmt formatCode="General" sourceLinked="0"/>
              <c:spPr>
                <a:solidFill>
                  <a:schemeClr val="tx2">
                    <a:lumMod val="10000"/>
                    <a:lumOff val="9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all!$D$71:$D$96</c:f>
              <c:numCache>
                <c:formatCode>0.0000</c:formatCode>
                <c:ptCount val="26"/>
                <c:pt idx="0">
                  <c:v>1.14568818263897</c:v>
                </c:pt>
                <c:pt idx="1">
                  <c:v>1.10273002217056</c:v>
                </c:pt>
                <c:pt idx="2">
                  <c:v>1.2576523908335999</c:v>
                </c:pt>
                <c:pt idx="3">
                  <c:v>1.24807759229999</c:v>
                </c:pt>
                <c:pt idx="4">
                  <c:v>1.42877693896201</c:v>
                </c:pt>
                <c:pt idx="5">
                  <c:v>1.33941755807892</c:v>
                </c:pt>
                <c:pt idx="6">
                  <c:v>1.3769164984553499</c:v>
                </c:pt>
                <c:pt idx="7">
                  <c:v>1.66488624253968</c:v>
                </c:pt>
                <c:pt idx="8">
                  <c:v>1.1538999764416</c:v>
                </c:pt>
                <c:pt idx="9">
                  <c:v>1.5749763159783401</c:v>
                </c:pt>
                <c:pt idx="10">
                  <c:v>1.3735151389442699</c:v>
                </c:pt>
                <c:pt idx="12">
                  <c:v>1.05849048577709</c:v>
                </c:pt>
                <c:pt idx="13">
                  <c:v>1.4368219825375701</c:v>
                </c:pt>
                <c:pt idx="14">
                  <c:v>1.1632876834321</c:v>
                </c:pt>
                <c:pt idx="15">
                  <c:v>1.1661766362910899</c:v>
                </c:pt>
                <c:pt idx="16">
                  <c:v>1.1611078257792899</c:v>
                </c:pt>
                <c:pt idx="17">
                  <c:v>1.2283054504143001</c:v>
                </c:pt>
                <c:pt idx="18">
                  <c:v>1.2985932043400299</c:v>
                </c:pt>
                <c:pt idx="19">
                  <c:v>1.25880991704892</c:v>
                </c:pt>
                <c:pt idx="20">
                  <c:v>1.2914529576795399</c:v>
                </c:pt>
                <c:pt idx="21">
                  <c:v>1.2886907903199001</c:v>
                </c:pt>
                <c:pt idx="22">
                  <c:v>1.39612401914989</c:v>
                </c:pt>
                <c:pt idx="23">
                  <c:v>1.15490049713987</c:v>
                </c:pt>
                <c:pt idx="24">
                  <c:v>1.6223687074200499</c:v>
                </c:pt>
                <c:pt idx="25">
                  <c:v>1.4572146309152101</c:v>
                </c:pt>
              </c:numCache>
            </c:numRef>
          </c:xVal>
          <c:yVal>
            <c:numRef>
              <c:f>all!$L$71:$L$96</c:f>
              <c:numCache>
                <c:formatCode>General</c:formatCode>
                <c:ptCount val="26"/>
                <c:pt idx="0">
                  <c:v>48.5</c:v>
                </c:pt>
                <c:pt idx="1">
                  <c:v>28.75</c:v>
                </c:pt>
                <c:pt idx="2">
                  <c:v>21</c:v>
                </c:pt>
                <c:pt idx="4">
                  <c:v>96.5</c:v>
                </c:pt>
                <c:pt idx="5">
                  <c:v>47.5</c:v>
                </c:pt>
                <c:pt idx="6">
                  <c:v>23.5</c:v>
                </c:pt>
                <c:pt idx="8">
                  <c:v>47.75</c:v>
                </c:pt>
                <c:pt idx="9">
                  <c:v>23.75</c:v>
                </c:pt>
                <c:pt idx="10">
                  <c:v>23.5</c:v>
                </c:pt>
                <c:pt idx="15">
                  <c:v>48.5</c:v>
                </c:pt>
                <c:pt idx="16">
                  <c:v>28.75</c:v>
                </c:pt>
                <c:pt idx="17">
                  <c:v>21</c:v>
                </c:pt>
                <c:pt idx="19">
                  <c:v>96.5</c:v>
                </c:pt>
                <c:pt idx="20">
                  <c:v>47.5</c:v>
                </c:pt>
                <c:pt idx="21">
                  <c:v>23.5</c:v>
                </c:pt>
                <c:pt idx="23">
                  <c:v>47.75</c:v>
                </c:pt>
                <c:pt idx="24">
                  <c:v>23.75</c:v>
                </c:pt>
                <c:pt idx="25">
                  <c:v>23.5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ACB1-446D-A6CA-BD8FB9CE5204}"/>
            </c:ext>
          </c:extLst>
        </c:ser>
        <c:ser>
          <c:idx val="1"/>
          <c:order val="1"/>
          <c:tx>
            <c:strRef>
              <c:f>all!$E$67</c:f>
              <c:strCache>
                <c:ptCount val="1"/>
                <c:pt idx="0">
                  <c:v>Lawler (2006)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-1.2760417600625528E-2"/>
                  <c:y val="-0.11126487909240812"/>
                </c:manualLayout>
              </c:layout>
              <c:numFmt formatCode="General" sourceLinked="0"/>
              <c:spPr>
                <a:solidFill>
                  <a:schemeClr val="accent2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all!$E$71:$E$96</c:f>
              <c:numCache>
                <c:formatCode>0.0000</c:formatCode>
                <c:ptCount val="26"/>
                <c:pt idx="0">
                  <c:v>0.723568252950335</c:v>
                </c:pt>
                <c:pt idx="1">
                  <c:v>0.92947006080395</c:v>
                </c:pt>
                <c:pt idx="2">
                  <c:v>0.77855192606860901</c:v>
                </c:pt>
                <c:pt idx="3">
                  <c:v>0.55577143716833499</c:v>
                </c:pt>
                <c:pt idx="4">
                  <c:v>0.33551375674123601</c:v>
                </c:pt>
                <c:pt idx="5">
                  <c:v>0.63731372986403501</c:v>
                </c:pt>
                <c:pt idx="6">
                  <c:v>-0.44248745305980902</c:v>
                </c:pt>
                <c:pt idx="7">
                  <c:v>0.73952445342362605</c:v>
                </c:pt>
                <c:pt idx="8">
                  <c:v>9.3645385178040705E-2</c:v>
                </c:pt>
                <c:pt idx="9">
                  <c:v>0.78100360785877099</c:v>
                </c:pt>
                <c:pt idx="10">
                  <c:v>0.76865077228085099</c:v>
                </c:pt>
                <c:pt idx="12">
                  <c:v>-0.73582121336391904</c:v>
                </c:pt>
                <c:pt idx="13">
                  <c:v>0.96854380596042999</c:v>
                </c:pt>
                <c:pt idx="14">
                  <c:v>0.91285830032378401</c:v>
                </c:pt>
                <c:pt idx="15">
                  <c:v>0.69952356032694896</c:v>
                </c:pt>
                <c:pt idx="16">
                  <c:v>0.97668665464899096</c:v>
                </c:pt>
                <c:pt idx="17">
                  <c:v>0.33582626900186402</c:v>
                </c:pt>
                <c:pt idx="18">
                  <c:v>0.52794332050181203</c:v>
                </c:pt>
                <c:pt idx="19">
                  <c:v>0.94081849763111403</c:v>
                </c:pt>
                <c:pt idx="20">
                  <c:v>0.445945938664987</c:v>
                </c:pt>
                <c:pt idx="21">
                  <c:v>-0.136935986249347</c:v>
                </c:pt>
                <c:pt idx="22">
                  <c:v>0.97165157928161605</c:v>
                </c:pt>
                <c:pt idx="23">
                  <c:v>0.47813963463856402</c:v>
                </c:pt>
                <c:pt idx="24">
                  <c:v>0.74242380847501299</c:v>
                </c:pt>
                <c:pt idx="25">
                  <c:v>0.80433038241724497</c:v>
                </c:pt>
              </c:numCache>
            </c:numRef>
          </c:xVal>
          <c:yVal>
            <c:numRef>
              <c:f>all!$L$71:$L$96</c:f>
              <c:numCache>
                <c:formatCode>General</c:formatCode>
                <c:ptCount val="26"/>
                <c:pt idx="0">
                  <c:v>48.5</c:v>
                </c:pt>
                <c:pt idx="1">
                  <c:v>28.75</c:v>
                </c:pt>
                <c:pt idx="2">
                  <c:v>21</c:v>
                </c:pt>
                <c:pt idx="4">
                  <c:v>96.5</c:v>
                </c:pt>
                <c:pt idx="5">
                  <c:v>47.5</c:v>
                </c:pt>
                <c:pt idx="6">
                  <c:v>23.5</c:v>
                </c:pt>
                <c:pt idx="8">
                  <c:v>47.75</c:v>
                </c:pt>
                <c:pt idx="9">
                  <c:v>23.75</c:v>
                </c:pt>
                <c:pt idx="10">
                  <c:v>23.5</c:v>
                </c:pt>
                <c:pt idx="15">
                  <c:v>48.5</c:v>
                </c:pt>
                <c:pt idx="16">
                  <c:v>28.75</c:v>
                </c:pt>
                <c:pt idx="17">
                  <c:v>21</c:v>
                </c:pt>
                <c:pt idx="19">
                  <c:v>96.5</c:v>
                </c:pt>
                <c:pt idx="20">
                  <c:v>47.5</c:v>
                </c:pt>
                <c:pt idx="21">
                  <c:v>23.5</c:v>
                </c:pt>
                <c:pt idx="23">
                  <c:v>47.75</c:v>
                </c:pt>
                <c:pt idx="24">
                  <c:v>23.75</c:v>
                </c:pt>
                <c:pt idx="25">
                  <c:v>23.5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ACB1-446D-A6CA-BD8FB9CE5204}"/>
            </c:ext>
          </c:extLst>
        </c:ser>
        <c:ser>
          <c:idx val="2"/>
          <c:order val="2"/>
          <c:tx>
            <c:strRef>
              <c:f>all!$E$4</c:f>
              <c:strCache>
                <c:ptCount val="1"/>
                <c:pt idx="0">
                  <c:v>Aich (2014) 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3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-0.17392844718536626"/>
                  <c:y val="-0.21352402281092164"/>
                </c:manualLayout>
              </c:layout>
              <c:numFmt formatCode="General" sourceLinked="0"/>
              <c:spPr>
                <a:solidFill>
                  <a:schemeClr val="accent6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all!$F$71:$F$96</c:f>
              <c:numCache>
                <c:formatCode>0.0000</c:formatCode>
                <c:ptCount val="26"/>
                <c:pt idx="0">
                  <c:v>1.0650915621547401E-2</c:v>
                </c:pt>
                <c:pt idx="1">
                  <c:v>-2.2683422982125001E-2</c:v>
                </c:pt>
                <c:pt idx="2">
                  <c:v>0.15621819275209001</c:v>
                </c:pt>
                <c:pt idx="3">
                  <c:v>0.15071577677020101</c:v>
                </c:pt>
                <c:pt idx="4">
                  <c:v>5.5397551503622099E-2</c:v>
                </c:pt>
                <c:pt idx="5">
                  <c:v>6.9883057908481996E-2</c:v>
                </c:pt>
                <c:pt idx="6">
                  <c:v>7.8645648239850305E-2</c:v>
                </c:pt>
                <c:pt idx="7">
                  <c:v>0.17832892113485599</c:v>
                </c:pt>
                <c:pt idx="8">
                  <c:v>2.1496979213356301E-3</c:v>
                </c:pt>
                <c:pt idx="9">
                  <c:v>0.101236914763633</c:v>
                </c:pt>
                <c:pt idx="10">
                  <c:v>0.107400232693555</c:v>
                </c:pt>
                <c:pt idx="12">
                  <c:v>8.4573685986466099E-2</c:v>
                </c:pt>
                <c:pt idx="13">
                  <c:v>0.198594884621278</c:v>
                </c:pt>
                <c:pt idx="14">
                  <c:v>6.8212961854365706E-2</c:v>
                </c:pt>
                <c:pt idx="15">
                  <c:v>4.9611646415268197E-2</c:v>
                </c:pt>
                <c:pt idx="16">
                  <c:v>0.107447815904682</c:v>
                </c:pt>
                <c:pt idx="17">
                  <c:v>0.39411883766970102</c:v>
                </c:pt>
                <c:pt idx="18">
                  <c:v>9.0698601563059603E-2</c:v>
                </c:pt>
                <c:pt idx="19">
                  <c:v>9.9852529707758195E-2</c:v>
                </c:pt>
                <c:pt idx="20">
                  <c:v>5.5815481283492403E-2</c:v>
                </c:pt>
                <c:pt idx="21">
                  <c:v>9.5391388976058394E-2</c:v>
                </c:pt>
                <c:pt idx="22">
                  <c:v>9.9540545016305104E-2</c:v>
                </c:pt>
                <c:pt idx="23">
                  <c:v>0.115227328160236</c:v>
                </c:pt>
                <c:pt idx="24">
                  <c:v>0.157732693122626</c:v>
                </c:pt>
                <c:pt idx="25">
                  <c:v>0.121156039239802</c:v>
                </c:pt>
              </c:numCache>
            </c:numRef>
          </c:xVal>
          <c:yVal>
            <c:numRef>
              <c:f>all!$L$71:$L$96</c:f>
              <c:numCache>
                <c:formatCode>General</c:formatCode>
                <c:ptCount val="26"/>
                <c:pt idx="0">
                  <c:v>48.5</c:v>
                </c:pt>
                <c:pt idx="1">
                  <c:v>28.75</c:v>
                </c:pt>
                <c:pt idx="2">
                  <c:v>21</c:v>
                </c:pt>
                <c:pt idx="4">
                  <c:v>96.5</c:v>
                </c:pt>
                <c:pt idx="5">
                  <c:v>47.5</c:v>
                </c:pt>
                <c:pt idx="6">
                  <c:v>23.5</c:v>
                </c:pt>
                <c:pt idx="8">
                  <c:v>47.75</c:v>
                </c:pt>
                <c:pt idx="9">
                  <c:v>23.75</c:v>
                </c:pt>
                <c:pt idx="10">
                  <c:v>23.5</c:v>
                </c:pt>
                <c:pt idx="15">
                  <c:v>48.5</c:v>
                </c:pt>
                <c:pt idx="16">
                  <c:v>28.75</c:v>
                </c:pt>
                <c:pt idx="17">
                  <c:v>21</c:v>
                </c:pt>
                <c:pt idx="19">
                  <c:v>96.5</c:v>
                </c:pt>
                <c:pt idx="20">
                  <c:v>47.5</c:v>
                </c:pt>
                <c:pt idx="21">
                  <c:v>23.5</c:v>
                </c:pt>
                <c:pt idx="23">
                  <c:v>47.75</c:v>
                </c:pt>
                <c:pt idx="24">
                  <c:v>23.75</c:v>
                </c:pt>
                <c:pt idx="25">
                  <c:v>23.5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ACB1-446D-A6CA-BD8FB9CE520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29882927"/>
        <c:axId val="129899727"/>
      </c:scatterChart>
      <c:valAx>
        <c:axId val="129882927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Hysteresis Index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9899727"/>
        <c:crosses val="autoZero"/>
        <c:crossBetween val="midCat"/>
      </c:valAx>
      <c:valAx>
        <c:axId val="12989972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Time (hrs)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9882927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legendEntry>
        <c:idx val="3"/>
        <c:delete val="1"/>
      </c:legendEntry>
      <c:legendEntry>
        <c:idx val="4"/>
        <c:delete val="1"/>
      </c:legendEntry>
      <c:legendEntry>
        <c:idx val="5"/>
        <c:delete val="1"/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fDOM</a:t>
            </a:r>
            <a:r>
              <a:rPr lang="en-US" baseline="0"/>
              <a:t> </a:t>
            </a:r>
            <a:r>
              <a:rPr lang="en-US" sz="14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</a:rPr>
              <a:t>HI to time between </a:t>
            </a:r>
            <a:r>
              <a:rPr lang="el-GR" sz="14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  <a:latin typeface="Aptos" panose="020B0004020202020204" pitchFamily="34" charset="0"/>
              </a:rPr>
              <a:t>τ</a:t>
            </a:r>
            <a:r>
              <a:rPr lang="en-US" sz="14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  <a:latin typeface="Aptos" panose="020B0004020202020204" pitchFamily="34" charset="0"/>
              </a:rPr>
              <a:t>c </a:t>
            </a:r>
            <a:r>
              <a:rPr lang="en-US" sz="14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</a:rPr>
              <a:t>events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0.16066650974548111"/>
          <c:y val="0.18004530917761208"/>
          <c:w val="0.75074186828700784"/>
          <c:h val="0.49375460344531691"/>
        </c:manualLayout>
      </c:layout>
      <c:scatterChart>
        <c:scatterStyle val="lineMarker"/>
        <c:varyColors val="0"/>
        <c:ser>
          <c:idx val="0"/>
          <c:order val="0"/>
          <c:tx>
            <c:strRef>
              <c:f>all!$C$4</c:f>
              <c:strCache>
                <c:ptCount val="1"/>
                <c:pt idx="0">
                  <c:v>Langlois (2005)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0.10160734229332526"/>
                  <c:y val="-8.7128199239856569E-2"/>
                </c:manualLayout>
              </c:layout>
              <c:numFmt formatCode="General" sourceLinked="0"/>
              <c:spPr>
                <a:solidFill>
                  <a:schemeClr val="tx2">
                    <a:lumMod val="10000"/>
                    <a:lumOff val="9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all!$R$71:$R$96</c:f>
              <c:numCache>
                <c:formatCode>0.00000</c:formatCode>
                <c:ptCount val="26"/>
                <c:pt idx="0">
                  <c:v>0.99703728594241603</c:v>
                </c:pt>
                <c:pt idx="1">
                  <c:v>1.05414106800948</c:v>
                </c:pt>
                <c:pt idx="2">
                  <c:v>1.00376784280544</c:v>
                </c:pt>
                <c:pt idx="3">
                  <c:v>0.965580440673389</c:v>
                </c:pt>
                <c:pt idx="4">
                  <c:v>1.0368691348627199</c:v>
                </c:pt>
                <c:pt idx="5">
                  <c:v>0.98011971152962396</c:v>
                </c:pt>
                <c:pt idx="6">
                  <c:v>0.80472452573481301</c:v>
                </c:pt>
                <c:pt idx="7">
                  <c:v>1.07122215244959</c:v>
                </c:pt>
                <c:pt idx="8">
                  <c:v>0.96842975873578097</c:v>
                </c:pt>
                <c:pt idx="9">
                  <c:v>0.99721998555050795</c:v>
                </c:pt>
                <c:pt idx="10">
                  <c:v>1.0088578932758001</c:v>
                </c:pt>
                <c:pt idx="12" formatCode="0.000">
                  <c:v>0.45078352403799399</c:v>
                </c:pt>
                <c:pt idx="13" formatCode="0.000">
                  <c:v>0.94043662960440699</c:v>
                </c:pt>
                <c:pt idx="14" formatCode="0.000">
                  <c:v>0.95863149267075098</c:v>
                </c:pt>
                <c:pt idx="15" formatCode="0.000">
                  <c:v>0.98251699448728103</c:v>
                </c:pt>
                <c:pt idx="16" formatCode="0.000">
                  <c:v>1.0568614326035</c:v>
                </c:pt>
                <c:pt idx="17" formatCode="0.000">
                  <c:v>1.03826719630338</c:v>
                </c:pt>
                <c:pt idx="18" formatCode="0.000">
                  <c:v>0.93867849021001804</c:v>
                </c:pt>
                <c:pt idx="19" formatCode="0.000">
                  <c:v>1.08896416336113</c:v>
                </c:pt>
                <c:pt idx="20" formatCode="0.000">
                  <c:v>1.18553177339745</c:v>
                </c:pt>
                <c:pt idx="21" formatCode="0.000">
                  <c:v>1.0643830961710401</c:v>
                </c:pt>
                <c:pt idx="22" formatCode="0.000">
                  <c:v>1.0913993357873799</c:v>
                </c:pt>
                <c:pt idx="23" formatCode="0.000">
                  <c:v>1.00259808767117</c:v>
                </c:pt>
                <c:pt idx="24" formatCode="0.000">
                  <c:v>1.0043452914566</c:v>
                </c:pt>
                <c:pt idx="25" formatCode="0.000">
                  <c:v>0.40870513477919201</c:v>
                </c:pt>
              </c:numCache>
            </c:numRef>
          </c:xVal>
          <c:yVal>
            <c:numRef>
              <c:f>all!$L$71:$L$96</c:f>
              <c:numCache>
                <c:formatCode>General</c:formatCode>
                <c:ptCount val="26"/>
                <c:pt idx="0">
                  <c:v>48.5</c:v>
                </c:pt>
                <c:pt idx="1">
                  <c:v>28.75</c:v>
                </c:pt>
                <c:pt idx="2">
                  <c:v>21</c:v>
                </c:pt>
                <c:pt idx="4">
                  <c:v>96.5</c:v>
                </c:pt>
                <c:pt idx="5">
                  <c:v>47.5</c:v>
                </c:pt>
                <c:pt idx="6">
                  <c:v>23.5</c:v>
                </c:pt>
                <c:pt idx="8">
                  <c:v>47.75</c:v>
                </c:pt>
                <c:pt idx="9">
                  <c:v>23.75</c:v>
                </c:pt>
                <c:pt idx="10">
                  <c:v>23.5</c:v>
                </c:pt>
                <c:pt idx="15">
                  <c:v>48.5</c:v>
                </c:pt>
                <c:pt idx="16">
                  <c:v>28.75</c:v>
                </c:pt>
                <c:pt idx="17">
                  <c:v>21</c:v>
                </c:pt>
                <c:pt idx="19">
                  <c:v>96.5</c:v>
                </c:pt>
                <c:pt idx="20">
                  <c:v>47.5</c:v>
                </c:pt>
                <c:pt idx="21">
                  <c:v>23.5</c:v>
                </c:pt>
                <c:pt idx="23">
                  <c:v>47.75</c:v>
                </c:pt>
                <c:pt idx="24">
                  <c:v>23.75</c:v>
                </c:pt>
                <c:pt idx="25">
                  <c:v>23.5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375C-4957-95BB-8B730879632C}"/>
            </c:ext>
          </c:extLst>
        </c:ser>
        <c:ser>
          <c:idx val="1"/>
          <c:order val="1"/>
          <c:tx>
            <c:strRef>
              <c:f>all!$D$4</c:f>
              <c:strCache>
                <c:ptCount val="1"/>
                <c:pt idx="0">
                  <c:v>Lawler (2006)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-7.7104623892242666E-2"/>
                  <c:y val="-0.26900461851984325"/>
                </c:manualLayout>
              </c:layout>
              <c:numFmt formatCode="General" sourceLinked="0"/>
              <c:spPr>
                <a:solidFill>
                  <a:schemeClr val="accent2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all!$S$71:$S$96</c:f>
              <c:numCache>
                <c:formatCode>0.0000</c:formatCode>
                <c:ptCount val="26"/>
                <c:pt idx="0">
                  <c:v>-0.72341186519112299</c:v>
                </c:pt>
                <c:pt idx="1">
                  <c:v>0.54135397831396403</c:v>
                </c:pt>
                <c:pt idx="2">
                  <c:v>-0.28173278371114102</c:v>
                </c:pt>
                <c:pt idx="3">
                  <c:v>-0.28388728833714599</c:v>
                </c:pt>
                <c:pt idx="4">
                  <c:v>-0.167176048352111</c:v>
                </c:pt>
                <c:pt idx="5">
                  <c:v>-0.234414236192791</c:v>
                </c:pt>
                <c:pt idx="6">
                  <c:v>-0.91543606234553399</c:v>
                </c:pt>
                <c:pt idx="7">
                  <c:v>-0.11116405161722299</c:v>
                </c:pt>
                <c:pt idx="8">
                  <c:v>-0.44122459346906301</c:v>
                </c:pt>
                <c:pt idx="9">
                  <c:v>-0.221642867808126</c:v>
                </c:pt>
                <c:pt idx="10">
                  <c:v>0.120506313986007</c:v>
                </c:pt>
                <c:pt idx="11">
                  <c:v>0.99778765474319298</c:v>
                </c:pt>
                <c:pt idx="12" formatCode="0.000">
                  <c:v>-0.811886428716041</c:v>
                </c:pt>
                <c:pt idx="13" formatCode="0.000">
                  <c:v>-0.54271122756527101</c:v>
                </c:pt>
                <c:pt idx="14" formatCode="0.000">
                  <c:v>-0.67772868565601696</c:v>
                </c:pt>
                <c:pt idx="15" formatCode="0.000">
                  <c:v>-0.76078071695181804</c:v>
                </c:pt>
                <c:pt idx="16" formatCode="0.000">
                  <c:v>0.64678217889059297</c:v>
                </c:pt>
                <c:pt idx="17" formatCode="0.000">
                  <c:v>-0.15477977693324399</c:v>
                </c:pt>
                <c:pt idx="18" formatCode="0.000">
                  <c:v>-0.86583274285189604</c:v>
                </c:pt>
                <c:pt idx="19" formatCode="0.000">
                  <c:v>0.61214631104569395</c:v>
                </c:pt>
                <c:pt idx="20" formatCode="0.000">
                  <c:v>0.59208584316733603</c:v>
                </c:pt>
                <c:pt idx="21" formatCode="0.000">
                  <c:v>0.74012064453311799</c:v>
                </c:pt>
                <c:pt idx="22" formatCode="0.000">
                  <c:v>0.62408685090742599</c:v>
                </c:pt>
                <c:pt idx="23" formatCode="0.000">
                  <c:v>0.25147892096544</c:v>
                </c:pt>
                <c:pt idx="24" formatCode="0.000">
                  <c:v>-2.3625782421043601E-2</c:v>
                </c:pt>
                <c:pt idx="25" formatCode="0.000">
                  <c:v>-0.95802365966780301</c:v>
                </c:pt>
              </c:numCache>
            </c:numRef>
          </c:xVal>
          <c:yVal>
            <c:numRef>
              <c:f>all!$L$71:$L$96</c:f>
              <c:numCache>
                <c:formatCode>General</c:formatCode>
                <c:ptCount val="26"/>
                <c:pt idx="0">
                  <c:v>48.5</c:v>
                </c:pt>
                <c:pt idx="1">
                  <c:v>28.75</c:v>
                </c:pt>
                <c:pt idx="2">
                  <c:v>21</c:v>
                </c:pt>
                <c:pt idx="4">
                  <c:v>96.5</c:v>
                </c:pt>
                <c:pt idx="5">
                  <c:v>47.5</c:v>
                </c:pt>
                <c:pt idx="6">
                  <c:v>23.5</c:v>
                </c:pt>
                <c:pt idx="8">
                  <c:v>47.75</c:v>
                </c:pt>
                <c:pt idx="9">
                  <c:v>23.75</c:v>
                </c:pt>
                <c:pt idx="10">
                  <c:v>23.5</c:v>
                </c:pt>
                <c:pt idx="15">
                  <c:v>48.5</c:v>
                </c:pt>
                <c:pt idx="16">
                  <c:v>28.75</c:v>
                </c:pt>
                <c:pt idx="17">
                  <c:v>21</c:v>
                </c:pt>
                <c:pt idx="19">
                  <c:v>96.5</c:v>
                </c:pt>
                <c:pt idx="20">
                  <c:v>47.5</c:v>
                </c:pt>
                <c:pt idx="21">
                  <c:v>23.5</c:v>
                </c:pt>
                <c:pt idx="23">
                  <c:v>47.75</c:v>
                </c:pt>
                <c:pt idx="24">
                  <c:v>23.75</c:v>
                </c:pt>
                <c:pt idx="25">
                  <c:v>23.5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375C-4957-95BB-8B730879632C}"/>
            </c:ext>
          </c:extLst>
        </c:ser>
        <c:ser>
          <c:idx val="2"/>
          <c:order val="2"/>
          <c:tx>
            <c:strRef>
              <c:f>all!$E$4</c:f>
              <c:strCache>
                <c:ptCount val="1"/>
                <c:pt idx="0">
                  <c:v>Aich (2014) 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3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-0.2736952289204706"/>
                  <c:y val="-3.9816576951641038E-3"/>
                </c:manualLayout>
              </c:layout>
              <c:numFmt formatCode="General" sourceLinked="0"/>
              <c:spPr>
                <a:solidFill>
                  <a:schemeClr val="accent6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all!$T$71:$T$96</c:f>
              <c:numCache>
                <c:formatCode>0.0000</c:formatCode>
                <c:ptCount val="26"/>
                <c:pt idx="0">
                  <c:v>6.4581353214806597E-2</c:v>
                </c:pt>
                <c:pt idx="1">
                  <c:v>6.1895687016862502E-2</c:v>
                </c:pt>
                <c:pt idx="2">
                  <c:v>2.95836818188689E-2</c:v>
                </c:pt>
                <c:pt idx="3">
                  <c:v>-5.4892758010415703E-2</c:v>
                </c:pt>
                <c:pt idx="4">
                  <c:v>8.8641812543785899E-3</c:v>
                </c:pt>
                <c:pt idx="5">
                  <c:v>1.32778322661357E-2</c:v>
                </c:pt>
                <c:pt idx="6">
                  <c:v>-6.0975544853349099E-2</c:v>
                </c:pt>
                <c:pt idx="7">
                  <c:v>4.2081062239471598E-2</c:v>
                </c:pt>
                <c:pt idx="8">
                  <c:v>-1.77749404385871E-2</c:v>
                </c:pt>
                <c:pt idx="9">
                  <c:v>3.08855730575289E-3</c:v>
                </c:pt>
                <c:pt idx="10">
                  <c:v>-5.3081166180475401E-3</c:v>
                </c:pt>
                <c:pt idx="11">
                  <c:v>0.99566811930969701</c:v>
                </c:pt>
                <c:pt idx="12" formatCode="0.000">
                  <c:v>-9.3763935417501706E-2</c:v>
                </c:pt>
                <c:pt idx="13" formatCode="0.000">
                  <c:v>-5.2796335197095298E-2</c:v>
                </c:pt>
                <c:pt idx="14" formatCode="0.000">
                  <c:v>-5.9125313303963402E-2</c:v>
                </c:pt>
                <c:pt idx="15" formatCode="0.000">
                  <c:v>-4.1714957549384597E-2</c:v>
                </c:pt>
                <c:pt idx="16" formatCode="0.000">
                  <c:v>7.3340759088016003E-2</c:v>
                </c:pt>
                <c:pt idx="17" formatCode="0.000">
                  <c:v>7.1354925056258001E-3</c:v>
                </c:pt>
                <c:pt idx="18" formatCode="0.000">
                  <c:v>-0.28463650723553102</c:v>
                </c:pt>
                <c:pt idx="19" formatCode="0.000">
                  <c:v>-7.3287190867590401E-3</c:v>
                </c:pt>
                <c:pt idx="20" formatCode="0.000">
                  <c:v>0.10941628444022999</c:v>
                </c:pt>
                <c:pt idx="21" formatCode="0.000">
                  <c:v>-8.4675321487204705E-2</c:v>
                </c:pt>
                <c:pt idx="22" formatCode="0.000">
                  <c:v>-3.2911415817637998E-2</c:v>
                </c:pt>
                <c:pt idx="23" formatCode="0.000">
                  <c:v>-4.46763074582908E-2</c:v>
                </c:pt>
                <c:pt idx="24" formatCode="0.000">
                  <c:v>-1.53118918462132E-3</c:v>
                </c:pt>
                <c:pt idx="25" formatCode="0.000">
                  <c:v>-0.17920927988478999</c:v>
                </c:pt>
              </c:numCache>
            </c:numRef>
          </c:xVal>
          <c:yVal>
            <c:numRef>
              <c:f>all!$L$71:$L$96</c:f>
              <c:numCache>
                <c:formatCode>General</c:formatCode>
                <c:ptCount val="26"/>
                <c:pt idx="0">
                  <c:v>48.5</c:v>
                </c:pt>
                <c:pt idx="1">
                  <c:v>28.75</c:v>
                </c:pt>
                <c:pt idx="2">
                  <c:v>21</c:v>
                </c:pt>
                <c:pt idx="4">
                  <c:v>96.5</c:v>
                </c:pt>
                <c:pt idx="5">
                  <c:v>47.5</c:v>
                </c:pt>
                <c:pt idx="6">
                  <c:v>23.5</c:v>
                </c:pt>
                <c:pt idx="8">
                  <c:v>47.75</c:v>
                </c:pt>
                <c:pt idx="9">
                  <c:v>23.75</c:v>
                </c:pt>
                <c:pt idx="10">
                  <c:v>23.5</c:v>
                </c:pt>
                <c:pt idx="15">
                  <c:v>48.5</c:v>
                </c:pt>
                <c:pt idx="16">
                  <c:v>28.75</c:v>
                </c:pt>
                <c:pt idx="17">
                  <c:v>21</c:v>
                </c:pt>
                <c:pt idx="19">
                  <c:v>96.5</c:v>
                </c:pt>
                <c:pt idx="20">
                  <c:v>47.5</c:v>
                </c:pt>
                <c:pt idx="21">
                  <c:v>23.5</c:v>
                </c:pt>
                <c:pt idx="23">
                  <c:v>47.75</c:v>
                </c:pt>
                <c:pt idx="24">
                  <c:v>23.75</c:v>
                </c:pt>
                <c:pt idx="25">
                  <c:v>23.5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375C-4957-95BB-8B730879632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29882927"/>
        <c:axId val="129899727"/>
      </c:scatterChart>
      <c:valAx>
        <c:axId val="129882927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Hysteresis Index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0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9899727"/>
        <c:crosses val="autoZero"/>
        <c:crossBetween val="midCat"/>
      </c:valAx>
      <c:valAx>
        <c:axId val="12989972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Time (hrs)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9882927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legendEntry>
        <c:idx val="3"/>
        <c:delete val="1"/>
      </c:legendEntry>
      <c:legendEntry>
        <c:idx val="4"/>
        <c:delete val="1"/>
      </c:legendEntry>
      <c:legendEntry>
        <c:idx val="5"/>
        <c:delete val="1"/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SSC</a:t>
            </a:r>
            <a:r>
              <a:rPr lang="en-US" baseline="0"/>
              <a:t> HI to timeb </a:t>
            </a:r>
            <a:r>
              <a:rPr lang="el-GR" baseline="0"/>
              <a:t>τ &gt; τ</a:t>
            </a:r>
            <a:r>
              <a:rPr lang="en-US" baseline="0"/>
              <a:t>c 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all!$C$4</c:f>
              <c:strCache>
                <c:ptCount val="1"/>
                <c:pt idx="0">
                  <c:v>Langlois (2005)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0.12066730641243519"/>
                  <c:y val="3.6903342544705869E-2"/>
                </c:manualLayout>
              </c:layout>
              <c:numFmt formatCode="General" sourceLinked="0"/>
              <c:spPr>
                <a:solidFill>
                  <a:schemeClr val="tx2">
                    <a:lumMod val="10000"/>
                    <a:lumOff val="9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all!$C$10:$C$33</c:f>
              <c:numCache>
                <c:formatCode>0.0000</c:formatCode>
                <c:ptCount val="24"/>
                <c:pt idx="0">
                  <c:v>1.31746197777344</c:v>
                </c:pt>
                <c:pt idx="1">
                  <c:v>0.89735303995633098</c:v>
                </c:pt>
                <c:pt idx="2">
                  <c:v>1.39880081037808</c:v>
                </c:pt>
                <c:pt idx="3">
                  <c:v>1.2210038373368299</c:v>
                </c:pt>
                <c:pt idx="4">
                  <c:v>1.5249018262283101</c:v>
                </c:pt>
                <c:pt idx="7">
                  <c:v>1.36678278361715</c:v>
                </c:pt>
                <c:pt idx="10">
                  <c:v>1.8695993339197901</c:v>
                </c:pt>
                <c:pt idx="11">
                  <c:v>1.21795864622288</c:v>
                </c:pt>
                <c:pt idx="12">
                  <c:v>1.0299659938988901</c:v>
                </c:pt>
                <c:pt idx="15">
                  <c:v>1.1534447144942801</c:v>
                </c:pt>
                <c:pt idx="16">
                  <c:v>1.6625275928143599</c:v>
                </c:pt>
                <c:pt idx="17">
                  <c:v>0.83858009935182098</c:v>
                </c:pt>
                <c:pt idx="18">
                  <c:v>2.31938512736013</c:v>
                </c:pt>
                <c:pt idx="19">
                  <c:v>1.66955637894203</c:v>
                </c:pt>
                <c:pt idx="21">
                  <c:v>0.90805045415642205</c:v>
                </c:pt>
                <c:pt idx="22">
                  <c:v>1.0862889042163599</c:v>
                </c:pt>
                <c:pt idx="23">
                  <c:v>0.39254775269290398</c:v>
                </c:pt>
              </c:numCache>
            </c:numRef>
          </c:xVal>
          <c:yVal>
            <c:numRef>
              <c:f>all!$J$10:$J$33</c:f>
              <c:numCache>
                <c:formatCode>0.000</c:formatCode>
                <c:ptCount val="24"/>
                <c:pt idx="0">
                  <c:v>8.1761484496582497</c:v>
                </c:pt>
                <c:pt idx="2">
                  <c:v>19.594840851392899</c:v>
                </c:pt>
                <c:pt idx="3">
                  <c:v>17.2552427011953</c:v>
                </c:pt>
                <c:pt idx="4">
                  <c:v>17.024424898784201</c:v>
                </c:pt>
                <c:pt idx="6">
                  <c:v>15.1069524712688</c:v>
                </c:pt>
                <c:pt idx="7">
                  <c:v>21.9579587943592</c:v>
                </c:pt>
                <c:pt idx="8">
                  <c:v>16.640165980770899</c:v>
                </c:pt>
                <c:pt idx="12">
                  <c:v>2.4954469283408098</c:v>
                </c:pt>
                <c:pt idx="13">
                  <c:v>4.9705418000804897</c:v>
                </c:pt>
                <c:pt idx="14">
                  <c:v>18.738059749368901</c:v>
                </c:pt>
                <c:pt idx="15">
                  <c:v>8.1761484496582497</c:v>
                </c:pt>
                <c:pt idx="17">
                  <c:v>19.594840851392899</c:v>
                </c:pt>
                <c:pt idx="18">
                  <c:v>17.2552427011953</c:v>
                </c:pt>
                <c:pt idx="19">
                  <c:v>17.024424898784201</c:v>
                </c:pt>
                <c:pt idx="21">
                  <c:v>15.1069524712688</c:v>
                </c:pt>
                <c:pt idx="22">
                  <c:v>21.9579587943592</c:v>
                </c:pt>
                <c:pt idx="23">
                  <c:v>16.640165980770899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2AE9-4619-B986-215662FC0A6D}"/>
            </c:ext>
          </c:extLst>
        </c:ser>
        <c:ser>
          <c:idx val="1"/>
          <c:order val="1"/>
          <c:tx>
            <c:strRef>
              <c:f>all!$D$4</c:f>
              <c:strCache>
                <c:ptCount val="1"/>
                <c:pt idx="0">
                  <c:v>Lawler (2006)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-7.0863456973681446E-2"/>
                  <c:y val="-0.19634044533901637"/>
                </c:manualLayout>
              </c:layout>
              <c:numFmt formatCode="General" sourceLinked="0"/>
              <c:spPr>
                <a:solidFill>
                  <a:schemeClr val="accent2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all!$D$10:$D$33</c:f>
              <c:numCache>
                <c:formatCode>0.0000</c:formatCode>
                <c:ptCount val="24"/>
                <c:pt idx="0">
                  <c:v>0.66698565105034602</c:v>
                </c:pt>
                <c:pt idx="1">
                  <c:v>0.19762137224995299</c:v>
                </c:pt>
                <c:pt idx="2">
                  <c:v>0.54807771119966198</c:v>
                </c:pt>
                <c:pt idx="3">
                  <c:v>0.10106112243990099</c:v>
                </c:pt>
                <c:pt idx="4">
                  <c:v>0.50902572287082404</c:v>
                </c:pt>
                <c:pt idx="7">
                  <c:v>0.463447965306029</c:v>
                </c:pt>
                <c:pt idx="10">
                  <c:v>0.44896728093636801</c:v>
                </c:pt>
                <c:pt idx="11">
                  <c:v>1.5264059910121399</c:v>
                </c:pt>
                <c:pt idx="12">
                  <c:v>0.71671353985517805</c:v>
                </c:pt>
                <c:pt idx="15">
                  <c:v>0.678678630991426</c:v>
                </c:pt>
                <c:pt idx="16">
                  <c:v>0.81343884511072295</c:v>
                </c:pt>
                <c:pt idx="17">
                  <c:v>-1.07855599689062</c:v>
                </c:pt>
                <c:pt idx="18">
                  <c:v>1.34776836410395</c:v>
                </c:pt>
                <c:pt idx="19">
                  <c:v>0.55456789410428697</c:v>
                </c:pt>
                <c:pt idx="20">
                  <c:v>0.70468449804027899</c:v>
                </c:pt>
                <c:pt idx="21">
                  <c:v>-0.373253605455523</c:v>
                </c:pt>
                <c:pt idx="22">
                  <c:v>0.63056904760694898</c:v>
                </c:pt>
                <c:pt idx="23">
                  <c:v>-0.623899602892661</c:v>
                </c:pt>
              </c:numCache>
            </c:numRef>
          </c:xVal>
          <c:yVal>
            <c:numRef>
              <c:f>all!$J$10:$J$33</c:f>
              <c:numCache>
                <c:formatCode>0.000</c:formatCode>
                <c:ptCount val="24"/>
                <c:pt idx="0">
                  <c:v>8.1761484496582497</c:v>
                </c:pt>
                <c:pt idx="2">
                  <c:v>19.594840851392899</c:v>
                </c:pt>
                <c:pt idx="3">
                  <c:v>17.2552427011953</c:v>
                </c:pt>
                <c:pt idx="4">
                  <c:v>17.024424898784201</c:v>
                </c:pt>
                <c:pt idx="6">
                  <c:v>15.1069524712688</c:v>
                </c:pt>
                <c:pt idx="7">
                  <c:v>21.9579587943592</c:v>
                </c:pt>
                <c:pt idx="8">
                  <c:v>16.640165980770899</c:v>
                </c:pt>
                <c:pt idx="12">
                  <c:v>2.4954469283408098</c:v>
                </c:pt>
                <c:pt idx="13">
                  <c:v>4.9705418000804897</c:v>
                </c:pt>
                <c:pt idx="14">
                  <c:v>18.738059749368901</c:v>
                </c:pt>
                <c:pt idx="15">
                  <c:v>8.1761484496582497</c:v>
                </c:pt>
                <c:pt idx="17">
                  <c:v>19.594840851392899</c:v>
                </c:pt>
                <c:pt idx="18">
                  <c:v>17.2552427011953</c:v>
                </c:pt>
                <c:pt idx="19">
                  <c:v>17.024424898784201</c:v>
                </c:pt>
                <c:pt idx="21">
                  <c:v>15.1069524712688</c:v>
                </c:pt>
                <c:pt idx="22">
                  <c:v>21.9579587943592</c:v>
                </c:pt>
                <c:pt idx="23">
                  <c:v>16.640165980770899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2AE9-4619-B986-215662FC0A6D}"/>
            </c:ext>
          </c:extLst>
        </c:ser>
        <c:ser>
          <c:idx val="2"/>
          <c:order val="2"/>
          <c:tx>
            <c:strRef>
              <c:f>all!$E$4</c:f>
              <c:strCache>
                <c:ptCount val="1"/>
                <c:pt idx="0">
                  <c:v>Aich (2014) 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3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-0.12269336725727872"/>
                  <c:y val="-2.7387880862718246E-3"/>
                </c:manualLayout>
              </c:layout>
              <c:numFmt formatCode="General" sourceLinked="0"/>
              <c:spPr>
                <a:solidFill>
                  <a:schemeClr val="accent6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all!$E$10:$E$33</c:f>
              <c:numCache>
                <c:formatCode>0.0000</c:formatCode>
                <c:ptCount val="24"/>
                <c:pt idx="0">
                  <c:v>8.8732929175135894E-2</c:v>
                </c:pt>
                <c:pt idx="1">
                  <c:v>-1.9463558010346702E-2</c:v>
                </c:pt>
                <c:pt idx="2">
                  <c:v>0.10415722716452799</c:v>
                </c:pt>
                <c:pt idx="3">
                  <c:v>4.66251429291673E-2</c:v>
                </c:pt>
                <c:pt idx="4">
                  <c:v>9.0894558490112708E-3</c:v>
                </c:pt>
                <c:pt idx="7">
                  <c:v>2.0373962034653699E-2</c:v>
                </c:pt>
                <c:pt idx="10">
                  <c:v>2.4947102971666898E-2</c:v>
                </c:pt>
                <c:pt idx="11">
                  <c:v>9.6293174744729593E-3</c:v>
                </c:pt>
                <c:pt idx="12">
                  <c:v>0.14608753400636901</c:v>
                </c:pt>
                <c:pt idx="15">
                  <c:v>1.27691539373017E-2</c:v>
                </c:pt>
                <c:pt idx="16">
                  <c:v>6.7576112725014403E-2</c:v>
                </c:pt>
                <c:pt idx="17">
                  <c:v>-0.35416666689988402</c:v>
                </c:pt>
                <c:pt idx="18">
                  <c:v>4.5646344187588998E-2</c:v>
                </c:pt>
                <c:pt idx="19">
                  <c:v>1.47909285306715E-2</c:v>
                </c:pt>
                <c:pt idx="20">
                  <c:v>3.5842816756479302E-2</c:v>
                </c:pt>
                <c:pt idx="21">
                  <c:v>-4.0383997186219003E-2</c:v>
                </c:pt>
                <c:pt idx="22">
                  <c:v>3.6679485231980898E-2</c:v>
                </c:pt>
                <c:pt idx="23">
                  <c:v>-0.76160033358371604</c:v>
                </c:pt>
              </c:numCache>
            </c:numRef>
          </c:xVal>
          <c:yVal>
            <c:numRef>
              <c:f>all!$J$10:$J$33</c:f>
              <c:numCache>
                <c:formatCode>0.000</c:formatCode>
                <c:ptCount val="24"/>
                <c:pt idx="0">
                  <c:v>8.1761484496582497</c:v>
                </c:pt>
                <c:pt idx="2">
                  <c:v>19.594840851392899</c:v>
                </c:pt>
                <c:pt idx="3">
                  <c:v>17.2552427011953</c:v>
                </c:pt>
                <c:pt idx="4">
                  <c:v>17.024424898784201</c:v>
                </c:pt>
                <c:pt idx="6">
                  <c:v>15.1069524712688</c:v>
                </c:pt>
                <c:pt idx="7">
                  <c:v>21.9579587943592</c:v>
                </c:pt>
                <c:pt idx="8">
                  <c:v>16.640165980770899</c:v>
                </c:pt>
                <c:pt idx="12">
                  <c:v>2.4954469283408098</c:v>
                </c:pt>
                <c:pt idx="13">
                  <c:v>4.9705418000804897</c:v>
                </c:pt>
                <c:pt idx="14">
                  <c:v>18.738059749368901</c:v>
                </c:pt>
                <c:pt idx="15">
                  <c:v>8.1761484496582497</c:v>
                </c:pt>
                <c:pt idx="17">
                  <c:v>19.594840851392899</c:v>
                </c:pt>
                <c:pt idx="18">
                  <c:v>17.2552427011953</c:v>
                </c:pt>
                <c:pt idx="19">
                  <c:v>17.024424898784201</c:v>
                </c:pt>
                <c:pt idx="21">
                  <c:v>15.1069524712688</c:v>
                </c:pt>
                <c:pt idx="22">
                  <c:v>21.9579587943592</c:v>
                </c:pt>
                <c:pt idx="23">
                  <c:v>16.640165980770899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2AE9-4619-B986-215662FC0A6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29882927"/>
        <c:axId val="129899727"/>
      </c:scatterChart>
      <c:valAx>
        <c:axId val="129882927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Hysteresis Index</a:t>
                </a:r>
              </a:p>
            </c:rich>
          </c:tx>
          <c:layout>
            <c:manualLayout>
              <c:xMode val="edge"/>
              <c:yMode val="edge"/>
              <c:x val="0.40045326995307451"/>
              <c:y val="0.76253325188986709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9899727"/>
        <c:crosses val="autoZero"/>
        <c:crossBetween val="midCat"/>
      </c:valAx>
      <c:valAx>
        <c:axId val="12989972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Time</a:t>
                </a:r>
                <a:r>
                  <a:rPr lang="en-US" baseline="0"/>
                  <a:t> (hrs)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0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9882927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legendEntry>
        <c:idx val="3"/>
        <c:delete val="1"/>
      </c:legendEntry>
      <c:legendEntry>
        <c:idx val="4"/>
        <c:delete val="1"/>
      </c:legendEntry>
      <c:legendEntry>
        <c:idx val="5"/>
        <c:delete val="1"/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400"/>
              <a:t>DOC</a:t>
            </a:r>
            <a:r>
              <a:rPr lang="en-US" sz="1400" baseline="0"/>
              <a:t> </a:t>
            </a:r>
            <a:r>
              <a:rPr lang="en-US" sz="14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</a:rPr>
              <a:t>HI to time </a:t>
            </a:r>
            <a:r>
              <a:rPr lang="el-GR" sz="14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</a:rPr>
              <a:t>τ &gt; τ</a:t>
            </a:r>
            <a:r>
              <a:rPr lang="en-US" sz="14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</a:rPr>
              <a:t>c</a:t>
            </a:r>
            <a:endParaRPr lang="en-US" sz="1400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all!$C$4</c:f>
              <c:strCache>
                <c:ptCount val="1"/>
                <c:pt idx="0">
                  <c:v>Langlois (2005)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0.11803843885620964"/>
                  <c:y val="-8.0903670607502129E-2"/>
                </c:manualLayout>
              </c:layout>
              <c:numFmt formatCode="General" sourceLinked="0"/>
              <c:spPr>
                <a:solidFill>
                  <a:schemeClr val="tx2">
                    <a:lumMod val="10000"/>
                    <a:lumOff val="9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all!$C$42:$C$65</c:f>
              <c:numCache>
                <c:formatCode>0.000</c:formatCode>
                <c:ptCount val="24"/>
                <c:pt idx="0">
                  <c:v>1.01982556926034</c:v>
                </c:pt>
                <c:pt idx="1">
                  <c:v>1.0105385292601801</c:v>
                </c:pt>
                <c:pt idx="2">
                  <c:v>1.04413498578157</c:v>
                </c:pt>
                <c:pt idx="3">
                  <c:v>1.04959681992682</c:v>
                </c:pt>
                <c:pt idx="4">
                  <c:v>0.97400899474341096</c:v>
                </c:pt>
                <c:pt idx="7">
                  <c:v>1.03922347944993</c:v>
                </c:pt>
                <c:pt idx="10">
                  <c:v>1.0683907677478099</c:v>
                </c:pt>
                <c:pt idx="11">
                  <c:v>1.13117180110701</c:v>
                </c:pt>
                <c:pt idx="12">
                  <c:v>0.99421602518435603</c:v>
                </c:pt>
                <c:pt idx="14">
                  <c:v>1.0587750080951299</c:v>
                </c:pt>
                <c:pt idx="15">
                  <c:v>1.04764110720538</c:v>
                </c:pt>
                <c:pt idx="16">
                  <c:v>1.1477045338510801</c:v>
                </c:pt>
                <c:pt idx="17">
                  <c:v>1.1126612766097499</c:v>
                </c:pt>
                <c:pt idx="18">
                  <c:v>1.2530304455719099</c:v>
                </c:pt>
                <c:pt idx="19">
                  <c:v>1.0813804129035001</c:v>
                </c:pt>
                <c:pt idx="20">
                  <c:v>1.2134925086481201</c:v>
                </c:pt>
                <c:pt idx="21">
                  <c:v>1.08380817355586</c:v>
                </c:pt>
                <c:pt idx="22">
                  <c:v>1.0367372638660399</c:v>
                </c:pt>
                <c:pt idx="23">
                  <c:v>1.1282134088167699</c:v>
                </c:pt>
              </c:numCache>
            </c:numRef>
          </c:xVal>
          <c:yVal>
            <c:numRef>
              <c:f>all!$J$42:$J$65</c:f>
              <c:numCache>
                <c:formatCode>0.000</c:formatCode>
                <c:ptCount val="24"/>
                <c:pt idx="0">
                  <c:v>8.1761484496582497</c:v>
                </c:pt>
                <c:pt idx="2">
                  <c:v>19.594840851392899</c:v>
                </c:pt>
                <c:pt idx="3">
                  <c:v>17.2552427011953</c:v>
                </c:pt>
                <c:pt idx="4">
                  <c:v>17.024424898784201</c:v>
                </c:pt>
                <c:pt idx="6">
                  <c:v>15.1069524712688</c:v>
                </c:pt>
                <c:pt idx="7">
                  <c:v>21.9579587943592</c:v>
                </c:pt>
                <c:pt idx="8">
                  <c:v>16.640165980770899</c:v>
                </c:pt>
                <c:pt idx="12">
                  <c:v>2.4954469283408098</c:v>
                </c:pt>
                <c:pt idx="13">
                  <c:v>4.9705418000804897</c:v>
                </c:pt>
                <c:pt idx="14">
                  <c:v>18.738059749368901</c:v>
                </c:pt>
                <c:pt idx="15">
                  <c:v>8.1761484496582497</c:v>
                </c:pt>
                <c:pt idx="17">
                  <c:v>19.594840851392899</c:v>
                </c:pt>
                <c:pt idx="18">
                  <c:v>17.2552427011953</c:v>
                </c:pt>
                <c:pt idx="19">
                  <c:v>17.024424898784201</c:v>
                </c:pt>
                <c:pt idx="21">
                  <c:v>15.1069524712688</c:v>
                </c:pt>
                <c:pt idx="22">
                  <c:v>21.9579587943592</c:v>
                </c:pt>
                <c:pt idx="23">
                  <c:v>16.640165980770899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3282-4B15-A667-FA2F81357FC0}"/>
            </c:ext>
          </c:extLst>
        </c:ser>
        <c:ser>
          <c:idx val="1"/>
          <c:order val="1"/>
          <c:tx>
            <c:strRef>
              <c:f>all!$D$4</c:f>
              <c:strCache>
                <c:ptCount val="1"/>
                <c:pt idx="0">
                  <c:v>Lawler (2006)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-0.11721521407560591"/>
                  <c:y val="-0.19661796650355848"/>
                </c:manualLayout>
              </c:layout>
              <c:numFmt formatCode="General" sourceLinked="0"/>
              <c:spPr>
                <a:solidFill>
                  <a:schemeClr val="accent2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all!$D$42:$D$65</c:f>
              <c:numCache>
                <c:formatCode>0.000</c:formatCode>
                <c:ptCount val="24"/>
                <c:pt idx="0">
                  <c:v>0.38831940167197898</c:v>
                </c:pt>
                <c:pt idx="1">
                  <c:v>0.597784224122066</c:v>
                </c:pt>
                <c:pt idx="2">
                  <c:v>0.92934562720262803</c:v>
                </c:pt>
                <c:pt idx="3">
                  <c:v>-0.33094957948560899</c:v>
                </c:pt>
                <c:pt idx="4">
                  <c:v>-0.27375631737886102</c:v>
                </c:pt>
                <c:pt idx="7">
                  <c:v>0.59399199353963394</c:v>
                </c:pt>
                <c:pt idx="10">
                  <c:v>0.74870138294766397</c:v>
                </c:pt>
                <c:pt idx="11">
                  <c:v>1.1019405303793299</c:v>
                </c:pt>
                <c:pt idx="12">
                  <c:v>0.17884914222762199</c:v>
                </c:pt>
                <c:pt idx="14">
                  <c:v>0.662333397055619</c:v>
                </c:pt>
                <c:pt idx="15">
                  <c:v>1.10062768451704</c:v>
                </c:pt>
                <c:pt idx="16">
                  <c:v>0.97101599927504101</c:v>
                </c:pt>
                <c:pt idx="17">
                  <c:v>0.95380985457733503</c:v>
                </c:pt>
                <c:pt idx="18">
                  <c:v>1.1029723476739599</c:v>
                </c:pt>
                <c:pt idx="19">
                  <c:v>0.52079829390269505</c:v>
                </c:pt>
                <c:pt idx="20">
                  <c:v>0.94175163201491896</c:v>
                </c:pt>
                <c:pt idx="21">
                  <c:v>0.28231733716004298</c:v>
                </c:pt>
                <c:pt idx="22">
                  <c:v>0.55097576187408004</c:v>
                </c:pt>
                <c:pt idx="23">
                  <c:v>0.99053604379690696</c:v>
                </c:pt>
              </c:numCache>
            </c:numRef>
          </c:xVal>
          <c:yVal>
            <c:numRef>
              <c:f>all!$J$42:$J$65</c:f>
              <c:numCache>
                <c:formatCode>0.000</c:formatCode>
                <c:ptCount val="24"/>
                <c:pt idx="0">
                  <c:v>8.1761484496582497</c:v>
                </c:pt>
                <c:pt idx="2">
                  <c:v>19.594840851392899</c:v>
                </c:pt>
                <c:pt idx="3">
                  <c:v>17.2552427011953</c:v>
                </c:pt>
                <c:pt idx="4">
                  <c:v>17.024424898784201</c:v>
                </c:pt>
                <c:pt idx="6">
                  <c:v>15.1069524712688</c:v>
                </c:pt>
                <c:pt idx="7">
                  <c:v>21.9579587943592</c:v>
                </c:pt>
                <c:pt idx="8">
                  <c:v>16.640165980770899</c:v>
                </c:pt>
                <c:pt idx="12">
                  <c:v>2.4954469283408098</c:v>
                </c:pt>
                <c:pt idx="13">
                  <c:v>4.9705418000804897</c:v>
                </c:pt>
                <c:pt idx="14">
                  <c:v>18.738059749368901</c:v>
                </c:pt>
                <c:pt idx="15">
                  <c:v>8.1761484496582497</c:v>
                </c:pt>
                <c:pt idx="17">
                  <c:v>19.594840851392899</c:v>
                </c:pt>
                <c:pt idx="18">
                  <c:v>17.2552427011953</c:v>
                </c:pt>
                <c:pt idx="19">
                  <c:v>17.024424898784201</c:v>
                </c:pt>
                <c:pt idx="21">
                  <c:v>15.1069524712688</c:v>
                </c:pt>
                <c:pt idx="22">
                  <c:v>21.9579587943592</c:v>
                </c:pt>
                <c:pt idx="23">
                  <c:v>16.640165980770899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3282-4B15-A667-FA2F81357FC0}"/>
            </c:ext>
          </c:extLst>
        </c:ser>
        <c:ser>
          <c:idx val="2"/>
          <c:order val="2"/>
          <c:tx>
            <c:strRef>
              <c:f>all!$E$4</c:f>
              <c:strCache>
                <c:ptCount val="1"/>
                <c:pt idx="0">
                  <c:v>Aich (2014) 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3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-5.3252946629997952E-2"/>
                  <c:y val="1.6192228261109907E-2"/>
                </c:manualLayout>
              </c:layout>
              <c:numFmt formatCode="General" sourceLinked="0"/>
              <c:spPr>
                <a:solidFill>
                  <a:schemeClr val="accent6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all!$E$42:$E$65</c:f>
              <c:numCache>
                <c:formatCode>0.000</c:formatCode>
                <c:ptCount val="24"/>
                <c:pt idx="0">
                  <c:v>1.20306787922476E-2</c:v>
                </c:pt>
                <c:pt idx="1">
                  <c:v>2.7386597361713599E-2</c:v>
                </c:pt>
                <c:pt idx="2">
                  <c:v>2.8615745110634201E-2</c:v>
                </c:pt>
                <c:pt idx="3">
                  <c:v>4.4113621235337297E-2</c:v>
                </c:pt>
                <c:pt idx="4">
                  <c:v>-8.0536265843332393E-3</c:v>
                </c:pt>
                <c:pt idx="7">
                  <c:v>2.7450804091866201E-2</c:v>
                </c:pt>
                <c:pt idx="10">
                  <c:v>6.5697545304297195E-2</c:v>
                </c:pt>
                <c:pt idx="11">
                  <c:v>0.132436068542756</c:v>
                </c:pt>
                <c:pt idx="12">
                  <c:v>-4.2076076707890497E-3</c:v>
                </c:pt>
                <c:pt idx="14">
                  <c:v>0.12430930853391101</c:v>
                </c:pt>
                <c:pt idx="15">
                  <c:v>9.2876994447724404E-2</c:v>
                </c:pt>
                <c:pt idx="16">
                  <c:v>8.3834633446242604E-2</c:v>
                </c:pt>
                <c:pt idx="17">
                  <c:v>4.4857179056258203E-2</c:v>
                </c:pt>
                <c:pt idx="18">
                  <c:v>7.6664996000854094E-2</c:v>
                </c:pt>
                <c:pt idx="19">
                  <c:v>2.1219861817338499E-2</c:v>
                </c:pt>
                <c:pt idx="20">
                  <c:v>8.5275451626537893E-2</c:v>
                </c:pt>
                <c:pt idx="21">
                  <c:v>3.1629539106965802E-2</c:v>
                </c:pt>
                <c:pt idx="22">
                  <c:v>4.3964016574286002E-2</c:v>
                </c:pt>
                <c:pt idx="23">
                  <c:v>5.3048699734524599E-2</c:v>
                </c:pt>
              </c:numCache>
            </c:numRef>
          </c:xVal>
          <c:yVal>
            <c:numRef>
              <c:f>all!$J$42:$J$65</c:f>
              <c:numCache>
                <c:formatCode>0.000</c:formatCode>
                <c:ptCount val="24"/>
                <c:pt idx="0">
                  <c:v>8.1761484496582497</c:v>
                </c:pt>
                <c:pt idx="2">
                  <c:v>19.594840851392899</c:v>
                </c:pt>
                <c:pt idx="3">
                  <c:v>17.2552427011953</c:v>
                </c:pt>
                <c:pt idx="4">
                  <c:v>17.024424898784201</c:v>
                </c:pt>
                <c:pt idx="6">
                  <c:v>15.1069524712688</c:v>
                </c:pt>
                <c:pt idx="7">
                  <c:v>21.9579587943592</c:v>
                </c:pt>
                <c:pt idx="8">
                  <c:v>16.640165980770899</c:v>
                </c:pt>
                <c:pt idx="12">
                  <c:v>2.4954469283408098</c:v>
                </c:pt>
                <c:pt idx="13">
                  <c:v>4.9705418000804897</c:v>
                </c:pt>
                <c:pt idx="14">
                  <c:v>18.738059749368901</c:v>
                </c:pt>
                <c:pt idx="15">
                  <c:v>8.1761484496582497</c:v>
                </c:pt>
                <c:pt idx="17">
                  <c:v>19.594840851392899</c:v>
                </c:pt>
                <c:pt idx="18">
                  <c:v>17.2552427011953</c:v>
                </c:pt>
                <c:pt idx="19">
                  <c:v>17.024424898784201</c:v>
                </c:pt>
                <c:pt idx="21">
                  <c:v>15.1069524712688</c:v>
                </c:pt>
                <c:pt idx="22">
                  <c:v>21.9579587943592</c:v>
                </c:pt>
                <c:pt idx="23">
                  <c:v>16.640165980770899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3282-4B15-A667-FA2F81357FC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29882927"/>
        <c:axId val="129899727"/>
      </c:scatterChart>
      <c:valAx>
        <c:axId val="129882927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Hysteresis Index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9899727"/>
        <c:crosses val="autoZero"/>
        <c:crossBetween val="midCat"/>
      </c:valAx>
      <c:valAx>
        <c:axId val="12989972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Time (hrs)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0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9882927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legendEntry>
        <c:idx val="3"/>
        <c:delete val="1"/>
      </c:legendEntry>
      <c:legendEntry>
        <c:idx val="4"/>
        <c:delete val="1"/>
      </c:legendEntry>
      <c:legendEntry>
        <c:idx val="5"/>
        <c:delete val="1"/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400"/>
              <a:t>Turbidity</a:t>
            </a:r>
            <a:r>
              <a:rPr lang="en-US" sz="1400" baseline="0"/>
              <a:t> </a:t>
            </a:r>
            <a:r>
              <a:rPr lang="en-US" sz="14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</a:rPr>
              <a:t>HI to time </a:t>
            </a:r>
            <a:r>
              <a:rPr lang="el-GR" sz="14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</a:rPr>
              <a:t>τ &gt; τ</a:t>
            </a:r>
            <a:r>
              <a:rPr lang="en-US" sz="14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</a:rPr>
              <a:t>c</a:t>
            </a:r>
            <a:endParaRPr lang="en-US" sz="1400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all!$D$67</c:f>
              <c:strCache>
                <c:ptCount val="1"/>
                <c:pt idx="0">
                  <c:v>Langlois (2005)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6.9535463621845692E-2"/>
                  <c:y val="-0.14645240515887281"/>
                </c:manualLayout>
              </c:layout>
              <c:numFmt formatCode="General" sourceLinked="0"/>
              <c:spPr>
                <a:solidFill>
                  <a:schemeClr val="tx2">
                    <a:lumMod val="10000"/>
                    <a:lumOff val="9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all!$D$70:$D$96</c:f>
              <c:numCache>
                <c:formatCode>0.0000</c:formatCode>
                <c:ptCount val="27"/>
                <c:pt idx="0">
                  <c:v>1.2108318271354701</c:v>
                </c:pt>
                <c:pt idx="1">
                  <c:v>1.14568818263897</c:v>
                </c:pt>
                <c:pt idx="2">
                  <c:v>1.10273002217056</c:v>
                </c:pt>
                <c:pt idx="3">
                  <c:v>1.2576523908335999</c:v>
                </c:pt>
                <c:pt idx="4">
                  <c:v>1.24807759229999</c:v>
                </c:pt>
                <c:pt idx="5">
                  <c:v>1.42877693896201</c:v>
                </c:pt>
                <c:pt idx="6">
                  <c:v>1.33941755807892</c:v>
                </c:pt>
                <c:pt idx="7">
                  <c:v>1.3769164984553499</c:v>
                </c:pt>
                <c:pt idx="8">
                  <c:v>1.66488624253968</c:v>
                </c:pt>
                <c:pt idx="9">
                  <c:v>1.1538999764416</c:v>
                </c:pt>
                <c:pt idx="10">
                  <c:v>1.5749763159783401</c:v>
                </c:pt>
                <c:pt idx="11">
                  <c:v>1.3735151389442699</c:v>
                </c:pt>
                <c:pt idx="13">
                  <c:v>1.05849048577709</c:v>
                </c:pt>
                <c:pt idx="14">
                  <c:v>1.4368219825375701</c:v>
                </c:pt>
                <c:pt idx="15">
                  <c:v>1.1632876834321</c:v>
                </c:pt>
                <c:pt idx="16">
                  <c:v>1.1661766362910899</c:v>
                </c:pt>
                <c:pt idx="17">
                  <c:v>1.1611078257792899</c:v>
                </c:pt>
                <c:pt idx="18">
                  <c:v>1.2283054504143001</c:v>
                </c:pt>
                <c:pt idx="19">
                  <c:v>1.2985932043400299</c:v>
                </c:pt>
                <c:pt idx="20">
                  <c:v>1.25880991704892</c:v>
                </c:pt>
                <c:pt idx="21">
                  <c:v>1.2914529576795399</c:v>
                </c:pt>
                <c:pt idx="22">
                  <c:v>1.2886907903199001</c:v>
                </c:pt>
                <c:pt idx="23">
                  <c:v>1.39612401914989</c:v>
                </c:pt>
                <c:pt idx="24">
                  <c:v>1.15490049713987</c:v>
                </c:pt>
                <c:pt idx="25">
                  <c:v>1.6223687074200499</c:v>
                </c:pt>
                <c:pt idx="26">
                  <c:v>1.4572146309152101</c:v>
                </c:pt>
              </c:numCache>
            </c:numRef>
          </c:xVal>
          <c:yVal>
            <c:numRef>
              <c:f>all!$J$70:$J$96</c:f>
              <c:numCache>
                <c:formatCode>0.000</c:formatCode>
                <c:ptCount val="27"/>
                <c:pt idx="0">
                  <c:v>2.4954469283408098</c:v>
                </c:pt>
                <c:pt idx="1">
                  <c:v>4.9705418000804897</c:v>
                </c:pt>
                <c:pt idx="2">
                  <c:v>18.738059749368901</c:v>
                </c:pt>
                <c:pt idx="3">
                  <c:v>8.1761484496582497</c:v>
                </c:pt>
                <c:pt idx="5">
                  <c:v>19.594840851392899</c:v>
                </c:pt>
                <c:pt idx="6">
                  <c:v>17.2552427011953</c:v>
                </c:pt>
                <c:pt idx="7">
                  <c:v>17.024424898784201</c:v>
                </c:pt>
                <c:pt idx="9">
                  <c:v>15.1069524712688</c:v>
                </c:pt>
                <c:pt idx="10">
                  <c:v>21.9579587943592</c:v>
                </c:pt>
                <c:pt idx="11">
                  <c:v>16.640165980770899</c:v>
                </c:pt>
                <c:pt idx="15">
                  <c:v>2.4954469283408098</c:v>
                </c:pt>
                <c:pt idx="16">
                  <c:v>4.9705418000804897</c:v>
                </c:pt>
                <c:pt idx="17">
                  <c:v>18.738059749368901</c:v>
                </c:pt>
                <c:pt idx="18">
                  <c:v>8.1761484496582497</c:v>
                </c:pt>
                <c:pt idx="20">
                  <c:v>19.594840851392899</c:v>
                </c:pt>
                <c:pt idx="21">
                  <c:v>17.2552427011953</c:v>
                </c:pt>
                <c:pt idx="22">
                  <c:v>17.024424898784201</c:v>
                </c:pt>
                <c:pt idx="24">
                  <c:v>15.1069524712688</c:v>
                </c:pt>
                <c:pt idx="25">
                  <c:v>21.9579587943592</c:v>
                </c:pt>
                <c:pt idx="26">
                  <c:v>16.640165980770899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BF75-4005-A1D5-BA165F9D2AF4}"/>
            </c:ext>
          </c:extLst>
        </c:ser>
        <c:ser>
          <c:idx val="1"/>
          <c:order val="1"/>
          <c:tx>
            <c:strRef>
              <c:f>all!$E$67</c:f>
              <c:strCache>
                <c:ptCount val="1"/>
                <c:pt idx="0">
                  <c:v>Lawler (2006)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-1.2760417600625528E-2"/>
                  <c:y val="-0.11126487909240812"/>
                </c:manualLayout>
              </c:layout>
              <c:numFmt formatCode="General" sourceLinked="0"/>
              <c:spPr>
                <a:solidFill>
                  <a:schemeClr val="accent2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all!$E$70:$E$96</c:f>
              <c:numCache>
                <c:formatCode>0.0000</c:formatCode>
                <c:ptCount val="27"/>
                <c:pt idx="0">
                  <c:v>0.92629163740877796</c:v>
                </c:pt>
                <c:pt idx="1">
                  <c:v>0.723568252950335</c:v>
                </c:pt>
                <c:pt idx="2">
                  <c:v>0.92947006080395</c:v>
                </c:pt>
                <c:pt idx="3">
                  <c:v>0.77855192606860901</c:v>
                </c:pt>
                <c:pt idx="4">
                  <c:v>0.55577143716833499</c:v>
                </c:pt>
                <c:pt idx="5">
                  <c:v>0.33551375674123601</c:v>
                </c:pt>
                <c:pt idx="6">
                  <c:v>0.63731372986403501</c:v>
                </c:pt>
                <c:pt idx="7">
                  <c:v>-0.44248745305980902</c:v>
                </c:pt>
                <c:pt idx="8">
                  <c:v>0.73952445342362605</c:v>
                </c:pt>
                <c:pt idx="9">
                  <c:v>9.3645385178040705E-2</c:v>
                </c:pt>
                <c:pt idx="10">
                  <c:v>0.78100360785877099</c:v>
                </c:pt>
                <c:pt idx="11">
                  <c:v>0.76865077228085099</c:v>
                </c:pt>
                <c:pt idx="13">
                  <c:v>-0.73582121336391904</c:v>
                </c:pt>
                <c:pt idx="14">
                  <c:v>0.96854380596042999</c:v>
                </c:pt>
                <c:pt idx="15">
                  <c:v>0.91285830032378401</c:v>
                </c:pt>
                <c:pt idx="16">
                  <c:v>0.69952356032694896</c:v>
                </c:pt>
                <c:pt idx="17">
                  <c:v>0.97668665464899096</c:v>
                </c:pt>
                <c:pt idx="18">
                  <c:v>0.33582626900186402</c:v>
                </c:pt>
                <c:pt idx="19">
                  <c:v>0.52794332050181203</c:v>
                </c:pt>
                <c:pt idx="20">
                  <c:v>0.94081849763111403</c:v>
                </c:pt>
                <c:pt idx="21">
                  <c:v>0.445945938664987</c:v>
                </c:pt>
                <c:pt idx="22">
                  <c:v>-0.136935986249347</c:v>
                </c:pt>
                <c:pt idx="23">
                  <c:v>0.97165157928161605</c:v>
                </c:pt>
                <c:pt idx="24">
                  <c:v>0.47813963463856402</c:v>
                </c:pt>
                <c:pt idx="25">
                  <c:v>0.74242380847501299</c:v>
                </c:pt>
                <c:pt idx="26">
                  <c:v>0.80433038241724497</c:v>
                </c:pt>
              </c:numCache>
            </c:numRef>
          </c:xVal>
          <c:yVal>
            <c:numRef>
              <c:f>all!$J$70:$J$96</c:f>
              <c:numCache>
                <c:formatCode>0.000</c:formatCode>
                <c:ptCount val="27"/>
                <c:pt idx="0">
                  <c:v>2.4954469283408098</c:v>
                </c:pt>
                <c:pt idx="1">
                  <c:v>4.9705418000804897</c:v>
                </c:pt>
                <c:pt idx="2">
                  <c:v>18.738059749368901</c:v>
                </c:pt>
                <c:pt idx="3">
                  <c:v>8.1761484496582497</c:v>
                </c:pt>
                <c:pt idx="5">
                  <c:v>19.594840851392899</c:v>
                </c:pt>
                <c:pt idx="6">
                  <c:v>17.2552427011953</c:v>
                </c:pt>
                <c:pt idx="7">
                  <c:v>17.024424898784201</c:v>
                </c:pt>
                <c:pt idx="9">
                  <c:v>15.1069524712688</c:v>
                </c:pt>
                <c:pt idx="10">
                  <c:v>21.9579587943592</c:v>
                </c:pt>
                <c:pt idx="11">
                  <c:v>16.640165980770899</c:v>
                </c:pt>
                <c:pt idx="15">
                  <c:v>2.4954469283408098</c:v>
                </c:pt>
                <c:pt idx="16">
                  <c:v>4.9705418000804897</c:v>
                </c:pt>
                <c:pt idx="17">
                  <c:v>18.738059749368901</c:v>
                </c:pt>
                <c:pt idx="18">
                  <c:v>8.1761484496582497</c:v>
                </c:pt>
                <c:pt idx="20">
                  <c:v>19.594840851392899</c:v>
                </c:pt>
                <c:pt idx="21">
                  <c:v>17.2552427011953</c:v>
                </c:pt>
                <c:pt idx="22">
                  <c:v>17.024424898784201</c:v>
                </c:pt>
                <c:pt idx="24">
                  <c:v>15.1069524712688</c:v>
                </c:pt>
                <c:pt idx="25">
                  <c:v>21.9579587943592</c:v>
                </c:pt>
                <c:pt idx="26">
                  <c:v>16.640165980770899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BF75-4005-A1D5-BA165F9D2AF4}"/>
            </c:ext>
          </c:extLst>
        </c:ser>
        <c:ser>
          <c:idx val="2"/>
          <c:order val="2"/>
          <c:tx>
            <c:strRef>
              <c:f>all!$E$4</c:f>
              <c:strCache>
                <c:ptCount val="1"/>
                <c:pt idx="0">
                  <c:v>Aich (2014) 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3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-0.17392844718536626"/>
                  <c:y val="-0.21352402281092164"/>
                </c:manualLayout>
              </c:layout>
              <c:numFmt formatCode="General" sourceLinked="0"/>
              <c:spPr>
                <a:solidFill>
                  <a:schemeClr val="accent6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all!$F$70:$F$96</c:f>
              <c:numCache>
                <c:formatCode>0.0000</c:formatCode>
                <c:ptCount val="27"/>
                <c:pt idx="0">
                  <c:v>0.11077055296162799</c:v>
                </c:pt>
                <c:pt idx="1">
                  <c:v>1.0650915621547401E-2</c:v>
                </c:pt>
                <c:pt idx="2">
                  <c:v>-2.2683422982125001E-2</c:v>
                </c:pt>
                <c:pt idx="3">
                  <c:v>0.15621819275209001</c:v>
                </c:pt>
                <c:pt idx="4">
                  <c:v>0.15071577677020101</c:v>
                </c:pt>
                <c:pt idx="5">
                  <c:v>5.5397551503622099E-2</c:v>
                </c:pt>
                <c:pt idx="6">
                  <c:v>6.9883057908481996E-2</c:v>
                </c:pt>
                <c:pt idx="7">
                  <c:v>7.8645648239850305E-2</c:v>
                </c:pt>
                <c:pt idx="8">
                  <c:v>0.17832892113485599</c:v>
                </c:pt>
                <c:pt idx="9">
                  <c:v>2.1496979213356301E-3</c:v>
                </c:pt>
                <c:pt idx="10">
                  <c:v>0.101236914763633</c:v>
                </c:pt>
                <c:pt idx="11">
                  <c:v>0.107400232693555</c:v>
                </c:pt>
                <c:pt idx="13">
                  <c:v>8.4573685986466099E-2</c:v>
                </c:pt>
                <c:pt idx="14">
                  <c:v>0.198594884621278</c:v>
                </c:pt>
                <c:pt idx="15">
                  <c:v>6.8212961854365706E-2</c:v>
                </c:pt>
                <c:pt idx="16">
                  <c:v>4.9611646415268197E-2</c:v>
                </c:pt>
                <c:pt idx="17">
                  <c:v>0.107447815904682</c:v>
                </c:pt>
                <c:pt idx="18">
                  <c:v>0.39411883766970102</c:v>
                </c:pt>
                <c:pt idx="19">
                  <c:v>9.0698601563059603E-2</c:v>
                </c:pt>
                <c:pt idx="20">
                  <c:v>9.9852529707758195E-2</c:v>
                </c:pt>
                <c:pt idx="21">
                  <c:v>5.5815481283492403E-2</c:v>
                </c:pt>
                <c:pt idx="22">
                  <c:v>9.5391388976058394E-2</c:v>
                </c:pt>
                <c:pt idx="23">
                  <c:v>9.9540545016305104E-2</c:v>
                </c:pt>
                <c:pt idx="24">
                  <c:v>0.115227328160236</c:v>
                </c:pt>
                <c:pt idx="25">
                  <c:v>0.157732693122626</c:v>
                </c:pt>
                <c:pt idx="26">
                  <c:v>0.121156039239802</c:v>
                </c:pt>
              </c:numCache>
            </c:numRef>
          </c:xVal>
          <c:yVal>
            <c:numRef>
              <c:f>all!$J$70:$J$96</c:f>
              <c:numCache>
                <c:formatCode>0.000</c:formatCode>
                <c:ptCount val="27"/>
                <c:pt idx="0">
                  <c:v>2.4954469283408098</c:v>
                </c:pt>
                <c:pt idx="1">
                  <c:v>4.9705418000804897</c:v>
                </c:pt>
                <c:pt idx="2">
                  <c:v>18.738059749368901</c:v>
                </c:pt>
                <c:pt idx="3">
                  <c:v>8.1761484496582497</c:v>
                </c:pt>
                <c:pt idx="5">
                  <c:v>19.594840851392899</c:v>
                </c:pt>
                <c:pt idx="6">
                  <c:v>17.2552427011953</c:v>
                </c:pt>
                <c:pt idx="7">
                  <c:v>17.024424898784201</c:v>
                </c:pt>
                <c:pt idx="9">
                  <c:v>15.1069524712688</c:v>
                </c:pt>
                <c:pt idx="10">
                  <c:v>21.9579587943592</c:v>
                </c:pt>
                <c:pt idx="11">
                  <c:v>16.640165980770899</c:v>
                </c:pt>
                <c:pt idx="15">
                  <c:v>2.4954469283408098</c:v>
                </c:pt>
                <c:pt idx="16">
                  <c:v>4.9705418000804897</c:v>
                </c:pt>
                <c:pt idx="17">
                  <c:v>18.738059749368901</c:v>
                </c:pt>
                <c:pt idx="18">
                  <c:v>8.1761484496582497</c:v>
                </c:pt>
                <c:pt idx="20">
                  <c:v>19.594840851392899</c:v>
                </c:pt>
                <c:pt idx="21">
                  <c:v>17.2552427011953</c:v>
                </c:pt>
                <c:pt idx="22">
                  <c:v>17.024424898784201</c:v>
                </c:pt>
                <c:pt idx="24">
                  <c:v>15.1069524712688</c:v>
                </c:pt>
                <c:pt idx="25">
                  <c:v>21.9579587943592</c:v>
                </c:pt>
                <c:pt idx="26">
                  <c:v>16.640165980770899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BF75-4005-A1D5-BA165F9D2AF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29882927"/>
        <c:axId val="129899727"/>
      </c:scatterChart>
      <c:valAx>
        <c:axId val="129882927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Hysteresis Index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9899727"/>
        <c:crosses val="autoZero"/>
        <c:crossBetween val="midCat"/>
      </c:valAx>
      <c:valAx>
        <c:axId val="12989972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Time (hrs)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0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9882927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legendEntry>
        <c:idx val="3"/>
        <c:delete val="1"/>
      </c:legendEntry>
      <c:legendEntry>
        <c:idx val="4"/>
        <c:delete val="1"/>
      </c:legendEntry>
      <c:legendEntry>
        <c:idx val="5"/>
        <c:delete val="1"/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fDOM</a:t>
            </a:r>
            <a:r>
              <a:rPr lang="en-US" baseline="0"/>
              <a:t> </a:t>
            </a:r>
            <a:r>
              <a:rPr lang="en-US" sz="14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</a:rPr>
              <a:t>HI to time </a:t>
            </a:r>
            <a:r>
              <a:rPr lang="el-GR" sz="14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</a:rPr>
              <a:t>τ &gt; τ</a:t>
            </a:r>
            <a:r>
              <a:rPr lang="en-US" sz="14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</a:rPr>
              <a:t>c</a:t>
            </a:r>
            <a:endParaRPr lang="en-US"/>
          </a:p>
        </c:rich>
      </c:tx>
      <c:layout>
        <c:manualLayout>
          <c:xMode val="edge"/>
          <c:yMode val="edge"/>
          <c:x val="0.29972444905815665"/>
          <c:y val="4.7283925285606494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0.16066650974548111"/>
          <c:y val="0.18004530917761208"/>
          <c:w val="0.75074186828700784"/>
          <c:h val="0.49375460344531691"/>
        </c:manualLayout>
      </c:layout>
      <c:scatterChart>
        <c:scatterStyle val="lineMarker"/>
        <c:varyColors val="0"/>
        <c:ser>
          <c:idx val="0"/>
          <c:order val="0"/>
          <c:tx>
            <c:strRef>
              <c:f>all!$C$4</c:f>
              <c:strCache>
                <c:ptCount val="1"/>
                <c:pt idx="0">
                  <c:v>Langlois (2005)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0.10160734229332526"/>
                  <c:y val="-8.7128199239856569E-2"/>
                </c:manualLayout>
              </c:layout>
              <c:numFmt formatCode="General" sourceLinked="0"/>
              <c:spPr>
                <a:solidFill>
                  <a:schemeClr val="tx2">
                    <a:lumMod val="10000"/>
                    <a:lumOff val="9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all!$R$70:$R$96</c:f>
              <c:numCache>
                <c:formatCode>0.00000</c:formatCode>
                <c:ptCount val="27"/>
                <c:pt idx="0">
                  <c:v>0.98302221968248604</c:v>
                </c:pt>
                <c:pt idx="1">
                  <c:v>0.99703728594241603</c:v>
                </c:pt>
                <c:pt idx="2">
                  <c:v>1.05414106800948</c:v>
                </c:pt>
                <c:pt idx="3">
                  <c:v>1.00376784280544</c:v>
                </c:pt>
                <c:pt idx="4">
                  <c:v>0.965580440673389</c:v>
                </c:pt>
                <c:pt idx="5">
                  <c:v>1.0368691348627199</c:v>
                </c:pt>
                <c:pt idx="6">
                  <c:v>0.98011971152962396</c:v>
                </c:pt>
                <c:pt idx="7">
                  <c:v>0.80472452573481301</c:v>
                </c:pt>
                <c:pt idx="8">
                  <c:v>1.07122215244959</c:v>
                </c:pt>
                <c:pt idx="9">
                  <c:v>0.96842975873578097</c:v>
                </c:pt>
                <c:pt idx="10">
                  <c:v>0.99721998555050795</c:v>
                </c:pt>
                <c:pt idx="11">
                  <c:v>1.0088578932758001</c:v>
                </c:pt>
                <c:pt idx="13" formatCode="0.000">
                  <c:v>0.45078352403799399</c:v>
                </c:pt>
                <c:pt idx="14" formatCode="0.000">
                  <c:v>0.94043662960440699</c:v>
                </c:pt>
                <c:pt idx="15" formatCode="0.000">
                  <c:v>0.95863149267075098</c:v>
                </c:pt>
                <c:pt idx="16" formatCode="0.000">
                  <c:v>0.98251699448728103</c:v>
                </c:pt>
                <c:pt idx="17" formatCode="0.000">
                  <c:v>1.0568614326035</c:v>
                </c:pt>
                <c:pt idx="18" formatCode="0.000">
                  <c:v>1.03826719630338</c:v>
                </c:pt>
                <c:pt idx="19" formatCode="0.000">
                  <c:v>0.93867849021001804</c:v>
                </c:pt>
                <c:pt idx="20" formatCode="0.000">
                  <c:v>1.08896416336113</c:v>
                </c:pt>
                <c:pt idx="21" formatCode="0.000">
                  <c:v>1.18553177339745</c:v>
                </c:pt>
                <c:pt idx="22" formatCode="0.000">
                  <c:v>1.0643830961710401</c:v>
                </c:pt>
                <c:pt idx="23" formatCode="0.000">
                  <c:v>1.0913993357873799</c:v>
                </c:pt>
                <c:pt idx="24" formatCode="0.000">
                  <c:v>1.00259808767117</c:v>
                </c:pt>
                <c:pt idx="25" formatCode="0.000">
                  <c:v>1.0043452914566</c:v>
                </c:pt>
                <c:pt idx="26" formatCode="0.000">
                  <c:v>0.40870513477919201</c:v>
                </c:pt>
              </c:numCache>
            </c:numRef>
          </c:xVal>
          <c:yVal>
            <c:numRef>
              <c:f>all!$J$70:$J$96</c:f>
              <c:numCache>
                <c:formatCode>0.000</c:formatCode>
                <c:ptCount val="27"/>
                <c:pt idx="0">
                  <c:v>2.4954469283408098</c:v>
                </c:pt>
                <c:pt idx="1">
                  <c:v>4.9705418000804897</c:v>
                </c:pt>
                <c:pt idx="2">
                  <c:v>18.738059749368901</c:v>
                </c:pt>
                <c:pt idx="3">
                  <c:v>8.1761484496582497</c:v>
                </c:pt>
                <c:pt idx="5">
                  <c:v>19.594840851392899</c:v>
                </c:pt>
                <c:pt idx="6">
                  <c:v>17.2552427011953</c:v>
                </c:pt>
                <c:pt idx="7">
                  <c:v>17.024424898784201</c:v>
                </c:pt>
                <c:pt idx="9">
                  <c:v>15.1069524712688</c:v>
                </c:pt>
                <c:pt idx="10">
                  <c:v>21.9579587943592</c:v>
                </c:pt>
                <c:pt idx="11">
                  <c:v>16.640165980770899</c:v>
                </c:pt>
                <c:pt idx="15">
                  <c:v>2.4954469283408098</c:v>
                </c:pt>
                <c:pt idx="16">
                  <c:v>4.9705418000804897</c:v>
                </c:pt>
                <c:pt idx="17">
                  <c:v>18.738059749368901</c:v>
                </c:pt>
                <c:pt idx="18">
                  <c:v>8.1761484496582497</c:v>
                </c:pt>
                <c:pt idx="20">
                  <c:v>19.594840851392899</c:v>
                </c:pt>
                <c:pt idx="21">
                  <c:v>17.2552427011953</c:v>
                </c:pt>
                <c:pt idx="22">
                  <c:v>17.024424898784201</c:v>
                </c:pt>
                <c:pt idx="24">
                  <c:v>15.1069524712688</c:v>
                </c:pt>
                <c:pt idx="25">
                  <c:v>21.9579587943592</c:v>
                </c:pt>
                <c:pt idx="26">
                  <c:v>16.640165980770899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43B9-48A1-99C7-C14067B6AEE3}"/>
            </c:ext>
          </c:extLst>
        </c:ser>
        <c:ser>
          <c:idx val="1"/>
          <c:order val="1"/>
          <c:tx>
            <c:strRef>
              <c:f>all!$D$4</c:f>
              <c:strCache>
                <c:ptCount val="1"/>
                <c:pt idx="0">
                  <c:v>Lawler (2006)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-3.4433753185121527E-2"/>
                  <c:y val="0.20535992044055545"/>
                </c:manualLayout>
              </c:layout>
              <c:numFmt formatCode="General" sourceLinked="0"/>
              <c:spPr>
                <a:solidFill>
                  <a:schemeClr val="accent2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all!$S$70:$S$96</c:f>
              <c:numCache>
                <c:formatCode>0.0000</c:formatCode>
                <c:ptCount val="27"/>
                <c:pt idx="0">
                  <c:v>-0.31071591767089402</c:v>
                </c:pt>
                <c:pt idx="1">
                  <c:v>-0.72341186519112299</c:v>
                </c:pt>
                <c:pt idx="2">
                  <c:v>0.54135397831396403</c:v>
                </c:pt>
                <c:pt idx="3">
                  <c:v>-0.28173278371114102</c:v>
                </c:pt>
                <c:pt idx="4">
                  <c:v>-0.28388728833714599</c:v>
                </c:pt>
                <c:pt idx="5">
                  <c:v>-0.167176048352111</c:v>
                </c:pt>
                <c:pt idx="6">
                  <c:v>-0.234414236192791</c:v>
                </c:pt>
                <c:pt idx="7">
                  <c:v>-0.91543606234553399</c:v>
                </c:pt>
                <c:pt idx="8">
                  <c:v>-0.11116405161722299</c:v>
                </c:pt>
                <c:pt idx="9">
                  <c:v>-0.44122459346906301</c:v>
                </c:pt>
                <c:pt idx="10">
                  <c:v>-0.221642867808126</c:v>
                </c:pt>
                <c:pt idx="11">
                  <c:v>0.120506313986007</c:v>
                </c:pt>
                <c:pt idx="12">
                  <c:v>0.99778765474319298</c:v>
                </c:pt>
                <c:pt idx="13" formatCode="0.000">
                  <c:v>-0.811886428716041</c:v>
                </c:pt>
                <c:pt idx="14" formatCode="0.000">
                  <c:v>-0.54271122756527101</c:v>
                </c:pt>
                <c:pt idx="15" formatCode="0.000">
                  <c:v>-0.67772868565601696</c:v>
                </c:pt>
                <c:pt idx="16" formatCode="0.000">
                  <c:v>-0.76078071695181804</c:v>
                </c:pt>
                <c:pt idx="17" formatCode="0.000">
                  <c:v>0.64678217889059297</c:v>
                </c:pt>
                <c:pt idx="18" formatCode="0.000">
                  <c:v>-0.15477977693324399</c:v>
                </c:pt>
                <c:pt idx="19" formatCode="0.000">
                  <c:v>-0.86583274285189604</c:v>
                </c:pt>
                <c:pt idx="20" formatCode="0.000">
                  <c:v>0.61214631104569395</c:v>
                </c:pt>
                <c:pt idx="21" formatCode="0.000">
                  <c:v>0.59208584316733603</c:v>
                </c:pt>
                <c:pt idx="22" formatCode="0.000">
                  <c:v>0.74012064453311799</c:v>
                </c:pt>
                <c:pt idx="23" formatCode="0.000">
                  <c:v>0.62408685090742599</c:v>
                </c:pt>
                <c:pt idx="24" formatCode="0.000">
                  <c:v>0.25147892096544</c:v>
                </c:pt>
                <c:pt idx="25" formatCode="0.000">
                  <c:v>-2.3625782421043601E-2</c:v>
                </c:pt>
                <c:pt idx="26" formatCode="0.000">
                  <c:v>-0.95802365966780301</c:v>
                </c:pt>
              </c:numCache>
            </c:numRef>
          </c:xVal>
          <c:yVal>
            <c:numRef>
              <c:f>all!$J$70:$J$96</c:f>
              <c:numCache>
                <c:formatCode>0.000</c:formatCode>
                <c:ptCount val="27"/>
                <c:pt idx="0">
                  <c:v>2.4954469283408098</c:v>
                </c:pt>
                <c:pt idx="1">
                  <c:v>4.9705418000804897</c:v>
                </c:pt>
                <c:pt idx="2">
                  <c:v>18.738059749368901</c:v>
                </c:pt>
                <c:pt idx="3">
                  <c:v>8.1761484496582497</c:v>
                </c:pt>
                <c:pt idx="5">
                  <c:v>19.594840851392899</c:v>
                </c:pt>
                <c:pt idx="6">
                  <c:v>17.2552427011953</c:v>
                </c:pt>
                <c:pt idx="7">
                  <c:v>17.024424898784201</c:v>
                </c:pt>
                <c:pt idx="9">
                  <c:v>15.1069524712688</c:v>
                </c:pt>
                <c:pt idx="10">
                  <c:v>21.9579587943592</c:v>
                </c:pt>
                <c:pt idx="11">
                  <c:v>16.640165980770899</c:v>
                </c:pt>
                <c:pt idx="15">
                  <c:v>2.4954469283408098</c:v>
                </c:pt>
                <c:pt idx="16">
                  <c:v>4.9705418000804897</c:v>
                </c:pt>
                <c:pt idx="17">
                  <c:v>18.738059749368901</c:v>
                </c:pt>
                <c:pt idx="18">
                  <c:v>8.1761484496582497</c:v>
                </c:pt>
                <c:pt idx="20">
                  <c:v>19.594840851392899</c:v>
                </c:pt>
                <c:pt idx="21">
                  <c:v>17.2552427011953</c:v>
                </c:pt>
                <c:pt idx="22">
                  <c:v>17.024424898784201</c:v>
                </c:pt>
                <c:pt idx="24">
                  <c:v>15.1069524712688</c:v>
                </c:pt>
                <c:pt idx="25">
                  <c:v>21.9579587943592</c:v>
                </c:pt>
                <c:pt idx="26">
                  <c:v>16.640165980770899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43B9-48A1-99C7-C14067B6AEE3}"/>
            </c:ext>
          </c:extLst>
        </c:ser>
        <c:ser>
          <c:idx val="2"/>
          <c:order val="2"/>
          <c:tx>
            <c:strRef>
              <c:f>all!$E$4</c:f>
              <c:strCache>
                <c:ptCount val="1"/>
                <c:pt idx="0">
                  <c:v>Aich (2014) 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3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-0.2736952289204706"/>
                  <c:y val="-3.9816576951641038E-3"/>
                </c:manualLayout>
              </c:layout>
              <c:numFmt formatCode="General" sourceLinked="0"/>
              <c:spPr>
                <a:solidFill>
                  <a:schemeClr val="accent6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all!$T$70:$T$96</c:f>
              <c:numCache>
                <c:formatCode>0.0000</c:formatCode>
                <c:ptCount val="27"/>
                <c:pt idx="0">
                  <c:v>-3.7834846370905402E-3</c:v>
                </c:pt>
                <c:pt idx="1">
                  <c:v>6.4581353214806597E-2</c:v>
                </c:pt>
                <c:pt idx="2">
                  <c:v>6.1895687016862502E-2</c:v>
                </c:pt>
                <c:pt idx="3">
                  <c:v>2.95836818188689E-2</c:v>
                </c:pt>
                <c:pt idx="4">
                  <c:v>-5.4892758010415703E-2</c:v>
                </c:pt>
                <c:pt idx="5">
                  <c:v>8.8641812543785899E-3</c:v>
                </c:pt>
                <c:pt idx="6">
                  <c:v>1.32778322661357E-2</c:v>
                </c:pt>
                <c:pt idx="7">
                  <c:v>-6.0975544853349099E-2</c:v>
                </c:pt>
                <c:pt idx="8">
                  <c:v>4.2081062239471598E-2</c:v>
                </c:pt>
                <c:pt idx="9">
                  <c:v>-1.77749404385871E-2</c:v>
                </c:pt>
                <c:pt idx="10">
                  <c:v>3.08855730575289E-3</c:v>
                </c:pt>
                <c:pt idx="11">
                  <c:v>-5.3081166180475401E-3</c:v>
                </c:pt>
                <c:pt idx="12">
                  <c:v>0.99566811930969701</c:v>
                </c:pt>
                <c:pt idx="13" formatCode="0.000">
                  <c:v>-9.3763935417501706E-2</c:v>
                </c:pt>
                <c:pt idx="14" formatCode="0.000">
                  <c:v>-5.2796335197095298E-2</c:v>
                </c:pt>
                <c:pt idx="15" formatCode="0.000">
                  <c:v>-5.9125313303963402E-2</c:v>
                </c:pt>
                <c:pt idx="16" formatCode="0.000">
                  <c:v>-4.1714957549384597E-2</c:v>
                </c:pt>
                <c:pt idx="17" formatCode="0.000">
                  <c:v>7.3340759088016003E-2</c:v>
                </c:pt>
                <c:pt idx="18" formatCode="0.000">
                  <c:v>7.1354925056258001E-3</c:v>
                </c:pt>
                <c:pt idx="19" formatCode="0.000">
                  <c:v>-0.28463650723553102</c:v>
                </c:pt>
                <c:pt idx="20" formatCode="0.000">
                  <c:v>-7.3287190867590401E-3</c:v>
                </c:pt>
                <c:pt idx="21" formatCode="0.000">
                  <c:v>0.10941628444022999</c:v>
                </c:pt>
                <c:pt idx="22" formatCode="0.000">
                  <c:v>-8.4675321487204705E-2</c:v>
                </c:pt>
                <c:pt idx="23" formatCode="0.000">
                  <c:v>-3.2911415817637998E-2</c:v>
                </c:pt>
                <c:pt idx="24" formatCode="0.000">
                  <c:v>-4.46763074582908E-2</c:v>
                </c:pt>
                <c:pt idx="25" formatCode="0.000">
                  <c:v>-1.53118918462132E-3</c:v>
                </c:pt>
                <c:pt idx="26" formatCode="0.000">
                  <c:v>-0.17920927988478999</c:v>
                </c:pt>
              </c:numCache>
            </c:numRef>
          </c:xVal>
          <c:yVal>
            <c:numRef>
              <c:f>all!$J$70:$J$96</c:f>
              <c:numCache>
                <c:formatCode>0.000</c:formatCode>
                <c:ptCount val="27"/>
                <c:pt idx="0">
                  <c:v>2.4954469283408098</c:v>
                </c:pt>
                <c:pt idx="1">
                  <c:v>4.9705418000804897</c:v>
                </c:pt>
                <c:pt idx="2">
                  <c:v>18.738059749368901</c:v>
                </c:pt>
                <c:pt idx="3">
                  <c:v>8.1761484496582497</c:v>
                </c:pt>
                <c:pt idx="5">
                  <c:v>19.594840851392899</c:v>
                </c:pt>
                <c:pt idx="6">
                  <c:v>17.2552427011953</c:v>
                </c:pt>
                <c:pt idx="7">
                  <c:v>17.024424898784201</c:v>
                </c:pt>
                <c:pt idx="9">
                  <c:v>15.1069524712688</c:v>
                </c:pt>
                <c:pt idx="10">
                  <c:v>21.9579587943592</c:v>
                </c:pt>
                <c:pt idx="11">
                  <c:v>16.640165980770899</c:v>
                </c:pt>
                <c:pt idx="15">
                  <c:v>2.4954469283408098</c:v>
                </c:pt>
                <c:pt idx="16">
                  <c:v>4.9705418000804897</c:v>
                </c:pt>
                <c:pt idx="17">
                  <c:v>18.738059749368901</c:v>
                </c:pt>
                <c:pt idx="18">
                  <c:v>8.1761484496582497</c:v>
                </c:pt>
                <c:pt idx="20">
                  <c:v>19.594840851392899</c:v>
                </c:pt>
                <c:pt idx="21">
                  <c:v>17.2552427011953</c:v>
                </c:pt>
                <c:pt idx="22">
                  <c:v>17.024424898784201</c:v>
                </c:pt>
                <c:pt idx="24">
                  <c:v>15.1069524712688</c:v>
                </c:pt>
                <c:pt idx="25">
                  <c:v>21.9579587943592</c:v>
                </c:pt>
                <c:pt idx="26">
                  <c:v>16.640165980770899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43B9-48A1-99C7-C14067B6AEE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29882927"/>
        <c:axId val="129899727"/>
      </c:scatterChart>
      <c:valAx>
        <c:axId val="129882927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Hysteresis Index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0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9899727"/>
        <c:crosses val="autoZero"/>
        <c:crossBetween val="midCat"/>
      </c:valAx>
      <c:valAx>
        <c:axId val="12989972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Time (hrs)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0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9882927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legendEntry>
        <c:idx val="3"/>
        <c:delete val="1"/>
      </c:legendEntry>
      <c:legendEntry>
        <c:idx val="4"/>
        <c:delete val="1"/>
      </c:legendEntry>
      <c:legendEntry>
        <c:idx val="5"/>
        <c:delete val="1"/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SSC</a:t>
            </a:r>
            <a:r>
              <a:rPr lang="en-US" baseline="0"/>
              <a:t> HI to excess integral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all!$C$4</c:f>
              <c:strCache>
                <c:ptCount val="1"/>
                <c:pt idx="0">
                  <c:v>Langlois (2005)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9.2252534018310489E-2"/>
                  <c:y val="-0.15369584655816482"/>
                </c:manualLayout>
              </c:layout>
              <c:numFmt formatCode="General" sourceLinked="0"/>
              <c:spPr>
                <a:solidFill>
                  <a:schemeClr val="tx2">
                    <a:lumMod val="10000"/>
                    <a:lumOff val="9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all!$C$10:$C$33</c:f>
              <c:numCache>
                <c:formatCode>0.0000</c:formatCode>
                <c:ptCount val="24"/>
                <c:pt idx="0">
                  <c:v>1.31746197777344</c:v>
                </c:pt>
                <c:pt idx="1">
                  <c:v>0.89735303995633098</c:v>
                </c:pt>
                <c:pt idx="2">
                  <c:v>1.39880081037808</c:v>
                </c:pt>
                <c:pt idx="3">
                  <c:v>1.2210038373368299</c:v>
                </c:pt>
                <c:pt idx="4">
                  <c:v>1.5249018262283101</c:v>
                </c:pt>
                <c:pt idx="7">
                  <c:v>1.36678278361715</c:v>
                </c:pt>
                <c:pt idx="10">
                  <c:v>1.8695993339197901</c:v>
                </c:pt>
                <c:pt idx="11">
                  <c:v>1.21795864622288</c:v>
                </c:pt>
                <c:pt idx="12">
                  <c:v>1.0299659938988901</c:v>
                </c:pt>
                <c:pt idx="15">
                  <c:v>1.1534447144942801</c:v>
                </c:pt>
                <c:pt idx="16">
                  <c:v>1.6625275928143599</c:v>
                </c:pt>
                <c:pt idx="17">
                  <c:v>0.83858009935182098</c:v>
                </c:pt>
                <c:pt idx="18">
                  <c:v>2.31938512736013</c:v>
                </c:pt>
                <c:pt idx="19">
                  <c:v>1.66955637894203</c:v>
                </c:pt>
                <c:pt idx="21">
                  <c:v>0.90805045415642205</c:v>
                </c:pt>
                <c:pt idx="22">
                  <c:v>1.0862889042163599</c:v>
                </c:pt>
                <c:pt idx="23">
                  <c:v>0.39254775269290398</c:v>
                </c:pt>
              </c:numCache>
            </c:numRef>
          </c:xVal>
          <c:yVal>
            <c:numRef>
              <c:f>all!$L$42:$L$65</c:f>
              <c:numCache>
                <c:formatCode>0.000</c:formatCode>
                <c:ptCount val="24"/>
                <c:pt idx="0">
                  <c:v>5.4523947827090398</c:v>
                </c:pt>
                <c:pt idx="2">
                  <c:v>33.895949402833203</c:v>
                </c:pt>
                <c:pt idx="3">
                  <c:v>32.177431699139497</c:v>
                </c:pt>
                <c:pt idx="4">
                  <c:v>31.253302872972</c:v>
                </c:pt>
                <c:pt idx="6">
                  <c:v>42.7547044117564</c:v>
                </c:pt>
                <c:pt idx="7">
                  <c:v>175.86248095131899</c:v>
                </c:pt>
                <c:pt idx="8">
                  <c:v>52.638565780695899</c:v>
                </c:pt>
                <c:pt idx="12">
                  <c:v>1.9432258375425799</c:v>
                </c:pt>
                <c:pt idx="13">
                  <c:v>2.3768784113539301</c:v>
                </c:pt>
                <c:pt idx="14">
                  <c:v>70.349925179505803</c:v>
                </c:pt>
                <c:pt idx="15">
                  <c:v>5.4523947827090398</c:v>
                </c:pt>
                <c:pt idx="17">
                  <c:v>33.895949402833203</c:v>
                </c:pt>
                <c:pt idx="18">
                  <c:v>32.177431699139497</c:v>
                </c:pt>
                <c:pt idx="19">
                  <c:v>31.253302872972</c:v>
                </c:pt>
                <c:pt idx="21">
                  <c:v>42.7547044117564</c:v>
                </c:pt>
                <c:pt idx="22">
                  <c:v>175.86248095131899</c:v>
                </c:pt>
                <c:pt idx="23">
                  <c:v>52.638565780695899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EA70-468B-87F8-479774EB665F}"/>
            </c:ext>
          </c:extLst>
        </c:ser>
        <c:ser>
          <c:idx val="1"/>
          <c:order val="1"/>
          <c:tx>
            <c:strRef>
              <c:f>all!$D$4</c:f>
              <c:strCache>
                <c:ptCount val="1"/>
                <c:pt idx="0">
                  <c:v>Lawler (2006)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-7.0863456973681446E-2"/>
                  <c:y val="-0.19634044533901637"/>
                </c:manualLayout>
              </c:layout>
              <c:numFmt formatCode="General" sourceLinked="0"/>
              <c:spPr>
                <a:solidFill>
                  <a:schemeClr val="accent2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all!$D$10:$D$33</c:f>
              <c:numCache>
                <c:formatCode>0.0000</c:formatCode>
                <c:ptCount val="24"/>
                <c:pt idx="0">
                  <c:v>0.66698565105034602</c:v>
                </c:pt>
                <c:pt idx="1">
                  <c:v>0.19762137224995299</c:v>
                </c:pt>
                <c:pt idx="2">
                  <c:v>0.54807771119966198</c:v>
                </c:pt>
                <c:pt idx="3">
                  <c:v>0.10106112243990099</c:v>
                </c:pt>
                <c:pt idx="4">
                  <c:v>0.50902572287082404</c:v>
                </c:pt>
                <c:pt idx="7">
                  <c:v>0.463447965306029</c:v>
                </c:pt>
                <c:pt idx="10">
                  <c:v>0.44896728093636801</c:v>
                </c:pt>
                <c:pt idx="11">
                  <c:v>1.5264059910121399</c:v>
                </c:pt>
                <c:pt idx="12">
                  <c:v>0.71671353985517805</c:v>
                </c:pt>
                <c:pt idx="15">
                  <c:v>0.678678630991426</c:v>
                </c:pt>
                <c:pt idx="16">
                  <c:v>0.81343884511072295</c:v>
                </c:pt>
                <c:pt idx="17">
                  <c:v>-1.07855599689062</c:v>
                </c:pt>
                <c:pt idx="18">
                  <c:v>1.34776836410395</c:v>
                </c:pt>
                <c:pt idx="19">
                  <c:v>0.55456789410428697</c:v>
                </c:pt>
                <c:pt idx="20">
                  <c:v>0.70468449804027899</c:v>
                </c:pt>
                <c:pt idx="21">
                  <c:v>-0.373253605455523</c:v>
                </c:pt>
                <c:pt idx="22">
                  <c:v>0.63056904760694898</c:v>
                </c:pt>
                <c:pt idx="23">
                  <c:v>-0.623899602892661</c:v>
                </c:pt>
              </c:numCache>
            </c:numRef>
          </c:xVal>
          <c:yVal>
            <c:numRef>
              <c:f>all!$L$42:$L$65</c:f>
              <c:numCache>
                <c:formatCode>0.000</c:formatCode>
                <c:ptCount val="24"/>
                <c:pt idx="0">
                  <c:v>5.4523947827090398</c:v>
                </c:pt>
                <c:pt idx="2">
                  <c:v>33.895949402833203</c:v>
                </c:pt>
                <c:pt idx="3">
                  <c:v>32.177431699139497</c:v>
                </c:pt>
                <c:pt idx="4">
                  <c:v>31.253302872972</c:v>
                </c:pt>
                <c:pt idx="6">
                  <c:v>42.7547044117564</c:v>
                </c:pt>
                <c:pt idx="7">
                  <c:v>175.86248095131899</c:v>
                </c:pt>
                <c:pt idx="8">
                  <c:v>52.638565780695899</c:v>
                </c:pt>
                <c:pt idx="12">
                  <c:v>1.9432258375425799</c:v>
                </c:pt>
                <c:pt idx="13">
                  <c:v>2.3768784113539301</c:v>
                </c:pt>
                <c:pt idx="14">
                  <c:v>70.349925179505803</c:v>
                </c:pt>
                <c:pt idx="15">
                  <c:v>5.4523947827090398</c:v>
                </c:pt>
                <c:pt idx="17">
                  <c:v>33.895949402833203</c:v>
                </c:pt>
                <c:pt idx="18">
                  <c:v>32.177431699139497</c:v>
                </c:pt>
                <c:pt idx="19">
                  <c:v>31.253302872972</c:v>
                </c:pt>
                <c:pt idx="21">
                  <c:v>42.7547044117564</c:v>
                </c:pt>
                <c:pt idx="22">
                  <c:v>175.86248095131899</c:v>
                </c:pt>
                <c:pt idx="23">
                  <c:v>52.638565780695899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EA70-468B-87F8-479774EB665F}"/>
            </c:ext>
          </c:extLst>
        </c:ser>
        <c:ser>
          <c:idx val="2"/>
          <c:order val="2"/>
          <c:tx>
            <c:strRef>
              <c:f>all!$E$4</c:f>
              <c:strCache>
                <c:ptCount val="1"/>
                <c:pt idx="0">
                  <c:v>Aich (2014) 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3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-0.12516549552005096"/>
                  <c:y val="-0.15497773652940713"/>
                </c:manualLayout>
              </c:layout>
              <c:numFmt formatCode="General" sourceLinked="0"/>
              <c:spPr>
                <a:solidFill>
                  <a:schemeClr val="accent6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all!$E$10:$E$33</c:f>
              <c:numCache>
                <c:formatCode>0.0000</c:formatCode>
                <c:ptCount val="24"/>
                <c:pt idx="0">
                  <c:v>8.8732929175135894E-2</c:v>
                </c:pt>
                <c:pt idx="1">
                  <c:v>-1.9463558010346702E-2</c:v>
                </c:pt>
                <c:pt idx="2">
                  <c:v>0.10415722716452799</c:v>
                </c:pt>
                <c:pt idx="3">
                  <c:v>4.66251429291673E-2</c:v>
                </c:pt>
                <c:pt idx="4">
                  <c:v>9.0894558490112708E-3</c:v>
                </c:pt>
                <c:pt idx="7">
                  <c:v>2.0373962034653699E-2</c:v>
                </c:pt>
                <c:pt idx="10">
                  <c:v>2.4947102971666898E-2</c:v>
                </c:pt>
                <c:pt idx="11">
                  <c:v>9.6293174744729593E-3</c:v>
                </c:pt>
                <c:pt idx="12">
                  <c:v>0.14608753400636901</c:v>
                </c:pt>
                <c:pt idx="15">
                  <c:v>1.27691539373017E-2</c:v>
                </c:pt>
                <c:pt idx="16">
                  <c:v>6.7576112725014403E-2</c:v>
                </c:pt>
                <c:pt idx="17">
                  <c:v>-0.35416666689988402</c:v>
                </c:pt>
                <c:pt idx="18">
                  <c:v>4.5646344187588998E-2</c:v>
                </c:pt>
                <c:pt idx="19">
                  <c:v>1.47909285306715E-2</c:v>
                </c:pt>
                <c:pt idx="20">
                  <c:v>3.5842816756479302E-2</c:v>
                </c:pt>
                <c:pt idx="21">
                  <c:v>-4.0383997186219003E-2</c:v>
                </c:pt>
                <c:pt idx="22">
                  <c:v>3.6679485231980898E-2</c:v>
                </c:pt>
                <c:pt idx="23">
                  <c:v>-0.76160033358371604</c:v>
                </c:pt>
              </c:numCache>
            </c:numRef>
          </c:xVal>
          <c:yVal>
            <c:numRef>
              <c:f>all!$L$42:$L$65</c:f>
              <c:numCache>
                <c:formatCode>0.000</c:formatCode>
                <c:ptCount val="24"/>
                <c:pt idx="0">
                  <c:v>5.4523947827090398</c:v>
                </c:pt>
                <c:pt idx="2">
                  <c:v>33.895949402833203</c:v>
                </c:pt>
                <c:pt idx="3">
                  <c:v>32.177431699139497</c:v>
                </c:pt>
                <c:pt idx="4">
                  <c:v>31.253302872972</c:v>
                </c:pt>
                <c:pt idx="6">
                  <c:v>42.7547044117564</c:v>
                </c:pt>
                <c:pt idx="7">
                  <c:v>175.86248095131899</c:v>
                </c:pt>
                <c:pt idx="8">
                  <c:v>52.638565780695899</c:v>
                </c:pt>
                <c:pt idx="12">
                  <c:v>1.9432258375425799</c:v>
                </c:pt>
                <c:pt idx="13">
                  <c:v>2.3768784113539301</c:v>
                </c:pt>
                <c:pt idx="14">
                  <c:v>70.349925179505803</c:v>
                </c:pt>
                <c:pt idx="15">
                  <c:v>5.4523947827090398</c:v>
                </c:pt>
                <c:pt idx="17">
                  <c:v>33.895949402833203</c:v>
                </c:pt>
                <c:pt idx="18">
                  <c:v>32.177431699139497</c:v>
                </c:pt>
                <c:pt idx="19">
                  <c:v>31.253302872972</c:v>
                </c:pt>
                <c:pt idx="21">
                  <c:v>42.7547044117564</c:v>
                </c:pt>
                <c:pt idx="22">
                  <c:v>175.86248095131899</c:v>
                </c:pt>
                <c:pt idx="23">
                  <c:v>52.638565780695899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EA70-468B-87F8-479774EB665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29882927"/>
        <c:axId val="129899727"/>
      </c:scatterChart>
      <c:valAx>
        <c:axId val="129882927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Hysteresis Index</a:t>
                </a:r>
              </a:p>
            </c:rich>
          </c:tx>
          <c:layout>
            <c:manualLayout>
              <c:xMode val="edge"/>
              <c:yMode val="edge"/>
              <c:x val="0.40045326995307451"/>
              <c:y val="0.76253325188986709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9899727"/>
        <c:crosses val="autoZero"/>
        <c:crossBetween val="midCat"/>
      </c:valAx>
      <c:valAx>
        <c:axId val="12989972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Time</a:t>
                </a:r>
                <a:r>
                  <a:rPr lang="en-US" baseline="0"/>
                  <a:t> (hrs)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0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9882927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legendEntry>
        <c:idx val="3"/>
        <c:delete val="1"/>
      </c:legendEntry>
      <c:legendEntry>
        <c:idx val="4"/>
        <c:delete val="1"/>
      </c:legendEntry>
      <c:legendEntry>
        <c:idx val="5"/>
        <c:delete val="1"/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400"/>
              <a:t>DOC</a:t>
            </a:r>
            <a:r>
              <a:rPr lang="en-US" sz="1400" baseline="0"/>
              <a:t> </a:t>
            </a:r>
            <a:r>
              <a:rPr lang="en-US" sz="14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</a:rPr>
              <a:t>HI to excess integral</a:t>
            </a:r>
            <a:endParaRPr lang="en-US" sz="1400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all!$C$4</c:f>
              <c:strCache>
                <c:ptCount val="1"/>
                <c:pt idx="0">
                  <c:v>Langlois (2005)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0.11803843885620964"/>
                  <c:y val="-8.0903670607502129E-2"/>
                </c:manualLayout>
              </c:layout>
              <c:numFmt formatCode="General" sourceLinked="0"/>
              <c:spPr>
                <a:solidFill>
                  <a:schemeClr val="tx2">
                    <a:lumMod val="10000"/>
                    <a:lumOff val="9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all!$C$42:$C$65</c:f>
              <c:numCache>
                <c:formatCode>0.000</c:formatCode>
                <c:ptCount val="24"/>
                <c:pt idx="0">
                  <c:v>1.01982556926034</c:v>
                </c:pt>
                <c:pt idx="1">
                  <c:v>1.0105385292601801</c:v>
                </c:pt>
                <c:pt idx="2">
                  <c:v>1.04413498578157</c:v>
                </c:pt>
                <c:pt idx="3">
                  <c:v>1.04959681992682</c:v>
                </c:pt>
                <c:pt idx="4">
                  <c:v>0.97400899474341096</c:v>
                </c:pt>
                <c:pt idx="7">
                  <c:v>1.03922347944993</c:v>
                </c:pt>
                <c:pt idx="10">
                  <c:v>1.0683907677478099</c:v>
                </c:pt>
                <c:pt idx="11">
                  <c:v>1.13117180110701</c:v>
                </c:pt>
                <c:pt idx="12">
                  <c:v>0.99421602518435603</c:v>
                </c:pt>
                <c:pt idx="14">
                  <c:v>1.0587750080951299</c:v>
                </c:pt>
                <c:pt idx="15">
                  <c:v>1.04764110720538</c:v>
                </c:pt>
                <c:pt idx="16">
                  <c:v>1.1477045338510801</c:v>
                </c:pt>
                <c:pt idx="17">
                  <c:v>1.1126612766097499</c:v>
                </c:pt>
                <c:pt idx="18">
                  <c:v>1.2530304455719099</c:v>
                </c:pt>
                <c:pt idx="19">
                  <c:v>1.0813804129035001</c:v>
                </c:pt>
                <c:pt idx="20">
                  <c:v>1.2134925086481201</c:v>
                </c:pt>
                <c:pt idx="21">
                  <c:v>1.08380817355586</c:v>
                </c:pt>
                <c:pt idx="22">
                  <c:v>1.0367372638660399</c:v>
                </c:pt>
                <c:pt idx="23">
                  <c:v>1.1282134088167699</c:v>
                </c:pt>
              </c:numCache>
            </c:numRef>
          </c:xVal>
          <c:yVal>
            <c:numRef>
              <c:f>all!$L$42:$L$65</c:f>
              <c:numCache>
                <c:formatCode>0.000</c:formatCode>
                <c:ptCount val="24"/>
                <c:pt idx="0">
                  <c:v>5.4523947827090398</c:v>
                </c:pt>
                <c:pt idx="2">
                  <c:v>33.895949402833203</c:v>
                </c:pt>
                <c:pt idx="3">
                  <c:v>32.177431699139497</c:v>
                </c:pt>
                <c:pt idx="4">
                  <c:v>31.253302872972</c:v>
                </c:pt>
                <c:pt idx="6">
                  <c:v>42.7547044117564</c:v>
                </c:pt>
                <c:pt idx="7">
                  <c:v>175.86248095131899</c:v>
                </c:pt>
                <c:pt idx="8">
                  <c:v>52.638565780695899</c:v>
                </c:pt>
                <c:pt idx="12">
                  <c:v>1.9432258375425799</c:v>
                </c:pt>
                <c:pt idx="13">
                  <c:v>2.3768784113539301</c:v>
                </c:pt>
                <c:pt idx="14">
                  <c:v>70.349925179505803</c:v>
                </c:pt>
                <c:pt idx="15">
                  <c:v>5.4523947827090398</c:v>
                </c:pt>
                <c:pt idx="17">
                  <c:v>33.895949402833203</c:v>
                </c:pt>
                <c:pt idx="18">
                  <c:v>32.177431699139497</c:v>
                </c:pt>
                <c:pt idx="19">
                  <c:v>31.253302872972</c:v>
                </c:pt>
                <c:pt idx="21">
                  <c:v>42.7547044117564</c:v>
                </c:pt>
                <c:pt idx="22">
                  <c:v>175.86248095131899</c:v>
                </c:pt>
                <c:pt idx="23">
                  <c:v>52.638565780695899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C9F3-44CB-8459-0E0D72201A19}"/>
            </c:ext>
          </c:extLst>
        </c:ser>
        <c:ser>
          <c:idx val="1"/>
          <c:order val="1"/>
          <c:tx>
            <c:strRef>
              <c:f>all!$D$4</c:f>
              <c:strCache>
                <c:ptCount val="1"/>
                <c:pt idx="0">
                  <c:v>Lawler (2006)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-0.15338638790409023"/>
                  <c:y val="-6.9406035865745883E-2"/>
                </c:manualLayout>
              </c:layout>
              <c:numFmt formatCode="General" sourceLinked="0"/>
              <c:spPr>
                <a:solidFill>
                  <a:schemeClr val="accent2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all!$D$42:$D$65</c:f>
              <c:numCache>
                <c:formatCode>0.000</c:formatCode>
                <c:ptCount val="24"/>
                <c:pt idx="0">
                  <c:v>0.38831940167197898</c:v>
                </c:pt>
                <c:pt idx="1">
                  <c:v>0.597784224122066</c:v>
                </c:pt>
                <c:pt idx="2">
                  <c:v>0.92934562720262803</c:v>
                </c:pt>
                <c:pt idx="3">
                  <c:v>-0.33094957948560899</c:v>
                </c:pt>
                <c:pt idx="4">
                  <c:v>-0.27375631737886102</c:v>
                </c:pt>
                <c:pt idx="7">
                  <c:v>0.59399199353963394</c:v>
                </c:pt>
                <c:pt idx="10">
                  <c:v>0.74870138294766397</c:v>
                </c:pt>
                <c:pt idx="11">
                  <c:v>1.1019405303793299</c:v>
                </c:pt>
                <c:pt idx="12">
                  <c:v>0.17884914222762199</c:v>
                </c:pt>
                <c:pt idx="14">
                  <c:v>0.662333397055619</c:v>
                </c:pt>
                <c:pt idx="15">
                  <c:v>1.10062768451704</c:v>
                </c:pt>
                <c:pt idx="16">
                  <c:v>0.97101599927504101</c:v>
                </c:pt>
                <c:pt idx="17">
                  <c:v>0.95380985457733503</c:v>
                </c:pt>
                <c:pt idx="18">
                  <c:v>1.1029723476739599</c:v>
                </c:pt>
                <c:pt idx="19">
                  <c:v>0.52079829390269505</c:v>
                </c:pt>
                <c:pt idx="20">
                  <c:v>0.94175163201491896</c:v>
                </c:pt>
                <c:pt idx="21">
                  <c:v>0.28231733716004298</c:v>
                </c:pt>
                <c:pt idx="22">
                  <c:v>0.55097576187408004</c:v>
                </c:pt>
                <c:pt idx="23">
                  <c:v>0.99053604379690696</c:v>
                </c:pt>
              </c:numCache>
            </c:numRef>
          </c:xVal>
          <c:yVal>
            <c:numRef>
              <c:f>all!$L$42:$L$65</c:f>
              <c:numCache>
                <c:formatCode>0.000</c:formatCode>
                <c:ptCount val="24"/>
                <c:pt idx="0">
                  <c:v>5.4523947827090398</c:v>
                </c:pt>
                <c:pt idx="2">
                  <c:v>33.895949402833203</c:v>
                </c:pt>
                <c:pt idx="3">
                  <c:v>32.177431699139497</c:v>
                </c:pt>
                <c:pt idx="4">
                  <c:v>31.253302872972</c:v>
                </c:pt>
                <c:pt idx="6">
                  <c:v>42.7547044117564</c:v>
                </c:pt>
                <c:pt idx="7">
                  <c:v>175.86248095131899</c:v>
                </c:pt>
                <c:pt idx="8">
                  <c:v>52.638565780695899</c:v>
                </c:pt>
                <c:pt idx="12">
                  <c:v>1.9432258375425799</c:v>
                </c:pt>
                <c:pt idx="13">
                  <c:v>2.3768784113539301</c:v>
                </c:pt>
                <c:pt idx="14">
                  <c:v>70.349925179505803</c:v>
                </c:pt>
                <c:pt idx="15">
                  <c:v>5.4523947827090398</c:v>
                </c:pt>
                <c:pt idx="17">
                  <c:v>33.895949402833203</c:v>
                </c:pt>
                <c:pt idx="18">
                  <c:v>32.177431699139497</c:v>
                </c:pt>
                <c:pt idx="19">
                  <c:v>31.253302872972</c:v>
                </c:pt>
                <c:pt idx="21">
                  <c:v>42.7547044117564</c:v>
                </c:pt>
                <c:pt idx="22">
                  <c:v>175.86248095131899</c:v>
                </c:pt>
                <c:pt idx="23">
                  <c:v>52.638565780695899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C9F3-44CB-8459-0E0D72201A19}"/>
            </c:ext>
          </c:extLst>
        </c:ser>
        <c:ser>
          <c:idx val="2"/>
          <c:order val="2"/>
          <c:tx>
            <c:strRef>
              <c:f>all!$E$4</c:f>
              <c:strCache>
                <c:ptCount val="1"/>
                <c:pt idx="0">
                  <c:v>Aich (2014) 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3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-5.3252946629997952E-2"/>
                  <c:y val="1.6192228261109907E-2"/>
                </c:manualLayout>
              </c:layout>
              <c:numFmt formatCode="General" sourceLinked="0"/>
              <c:spPr>
                <a:solidFill>
                  <a:schemeClr val="accent6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all!$E$42:$E$65</c:f>
              <c:numCache>
                <c:formatCode>0.000</c:formatCode>
                <c:ptCount val="24"/>
                <c:pt idx="0">
                  <c:v>1.20306787922476E-2</c:v>
                </c:pt>
                <c:pt idx="1">
                  <c:v>2.7386597361713599E-2</c:v>
                </c:pt>
                <c:pt idx="2">
                  <c:v>2.8615745110634201E-2</c:v>
                </c:pt>
                <c:pt idx="3">
                  <c:v>4.4113621235337297E-2</c:v>
                </c:pt>
                <c:pt idx="4">
                  <c:v>-8.0536265843332393E-3</c:v>
                </c:pt>
                <c:pt idx="7">
                  <c:v>2.7450804091866201E-2</c:v>
                </c:pt>
                <c:pt idx="10">
                  <c:v>6.5697545304297195E-2</c:v>
                </c:pt>
                <c:pt idx="11">
                  <c:v>0.132436068542756</c:v>
                </c:pt>
                <c:pt idx="12">
                  <c:v>-4.2076076707890497E-3</c:v>
                </c:pt>
                <c:pt idx="14">
                  <c:v>0.12430930853391101</c:v>
                </c:pt>
                <c:pt idx="15">
                  <c:v>9.2876994447724404E-2</c:v>
                </c:pt>
                <c:pt idx="16">
                  <c:v>8.3834633446242604E-2</c:v>
                </c:pt>
                <c:pt idx="17">
                  <c:v>4.4857179056258203E-2</c:v>
                </c:pt>
                <c:pt idx="18">
                  <c:v>7.6664996000854094E-2</c:v>
                </c:pt>
                <c:pt idx="19">
                  <c:v>2.1219861817338499E-2</c:v>
                </c:pt>
                <c:pt idx="20">
                  <c:v>8.5275451626537893E-2</c:v>
                </c:pt>
                <c:pt idx="21">
                  <c:v>3.1629539106965802E-2</c:v>
                </c:pt>
                <c:pt idx="22">
                  <c:v>4.3964016574286002E-2</c:v>
                </c:pt>
                <c:pt idx="23">
                  <c:v>5.3048699734524599E-2</c:v>
                </c:pt>
              </c:numCache>
            </c:numRef>
          </c:xVal>
          <c:yVal>
            <c:numRef>
              <c:f>all!$L$42:$L$65</c:f>
              <c:numCache>
                <c:formatCode>0.000</c:formatCode>
                <c:ptCount val="24"/>
                <c:pt idx="0">
                  <c:v>5.4523947827090398</c:v>
                </c:pt>
                <c:pt idx="2">
                  <c:v>33.895949402833203</c:v>
                </c:pt>
                <c:pt idx="3">
                  <c:v>32.177431699139497</c:v>
                </c:pt>
                <c:pt idx="4">
                  <c:v>31.253302872972</c:v>
                </c:pt>
                <c:pt idx="6">
                  <c:v>42.7547044117564</c:v>
                </c:pt>
                <c:pt idx="7">
                  <c:v>175.86248095131899</c:v>
                </c:pt>
                <c:pt idx="8">
                  <c:v>52.638565780695899</c:v>
                </c:pt>
                <c:pt idx="12">
                  <c:v>1.9432258375425799</c:v>
                </c:pt>
                <c:pt idx="13">
                  <c:v>2.3768784113539301</c:v>
                </c:pt>
                <c:pt idx="14">
                  <c:v>70.349925179505803</c:v>
                </c:pt>
                <c:pt idx="15">
                  <c:v>5.4523947827090398</c:v>
                </c:pt>
                <c:pt idx="17">
                  <c:v>33.895949402833203</c:v>
                </c:pt>
                <c:pt idx="18">
                  <c:v>32.177431699139497</c:v>
                </c:pt>
                <c:pt idx="19">
                  <c:v>31.253302872972</c:v>
                </c:pt>
                <c:pt idx="21">
                  <c:v>42.7547044117564</c:v>
                </c:pt>
                <c:pt idx="22">
                  <c:v>175.86248095131899</c:v>
                </c:pt>
                <c:pt idx="23">
                  <c:v>52.638565780695899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C9F3-44CB-8459-0E0D72201A1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29882927"/>
        <c:axId val="129899727"/>
      </c:scatterChart>
      <c:valAx>
        <c:axId val="129882927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Hysteresis Index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9899727"/>
        <c:crosses val="autoZero"/>
        <c:crossBetween val="midCat"/>
      </c:valAx>
      <c:valAx>
        <c:axId val="12989972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Time (hrs)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0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9882927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legendEntry>
        <c:idx val="3"/>
        <c:delete val="1"/>
      </c:legendEntry>
      <c:legendEntry>
        <c:idx val="4"/>
        <c:delete val="1"/>
      </c:legendEntry>
      <c:legendEntry>
        <c:idx val="5"/>
        <c:delete val="1"/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400"/>
              <a:t>Turbidity</a:t>
            </a:r>
            <a:r>
              <a:rPr lang="en-US" sz="1400" baseline="0"/>
              <a:t> </a:t>
            </a:r>
            <a:r>
              <a:rPr lang="en-US" sz="14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</a:rPr>
              <a:t>HI to excess integral</a:t>
            </a:r>
            <a:endParaRPr lang="en-US" sz="1400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all!$D$67</c:f>
              <c:strCache>
                <c:ptCount val="1"/>
                <c:pt idx="0">
                  <c:v>Langlois (2005)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6.9535463621845692E-2"/>
                  <c:y val="-0.14645240515887281"/>
                </c:manualLayout>
              </c:layout>
              <c:numFmt formatCode="General" sourceLinked="0"/>
              <c:spPr>
                <a:solidFill>
                  <a:schemeClr val="tx2">
                    <a:lumMod val="10000"/>
                    <a:lumOff val="9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all!$D$70:$D$96</c:f>
              <c:numCache>
                <c:formatCode>0.0000</c:formatCode>
                <c:ptCount val="27"/>
                <c:pt idx="0">
                  <c:v>1.2108318271354701</c:v>
                </c:pt>
                <c:pt idx="1">
                  <c:v>1.14568818263897</c:v>
                </c:pt>
                <c:pt idx="2">
                  <c:v>1.10273002217056</c:v>
                </c:pt>
                <c:pt idx="3">
                  <c:v>1.2576523908335999</c:v>
                </c:pt>
                <c:pt idx="4">
                  <c:v>1.24807759229999</c:v>
                </c:pt>
                <c:pt idx="5">
                  <c:v>1.42877693896201</c:v>
                </c:pt>
                <c:pt idx="6">
                  <c:v>1.33941755807892</c:v>
                </c:pt>
                <c:pt idx="7">
                  <c:v>1.3769164984553499</c:v>
                </c:pt>
                <c:pt idx="8">
                  <c:v>1.66488624253968</c:v>
                </c:pt>
                <c:pt idx="9">
                  <c:v>1.1538999764416</c:v>
                </c:pt>
                <c:pt idx="10">
                  <c:v>1.5749763159783401</c:v>
                </c:pt>
                <c:pt idx="11">
                  <c:v>1.3735151389442699</c:v>
                </c:pt>
                <c:pt idx="13">
                  <c:v>1.05849048577709</c:v>
                </c:pt>
                <c:pt idx="14">
                  <c:v>1.4368219825375701</c:v>
                </c:pt>
                <c:pt idx="15">
                  <c:v>1.1632876834321</c:v>
                </c:pt>
                <c:pt idx="16">
                  <c:v>1.1661766362910899</c:v>
                </c:pt>
                <c:pt idx="17">
                  <c:v>1.1611078257792899</c:v>
                </c:pt>
                <c:pt idx="18">
                  <c:v>1.2283054504143001</c:v>
                </c:pt>
                <c:pt idx="19">
                  <c:v>1.2985932043400299</c:v>
                </c:pt>
                <c:pt idx="20">
                  <c:v>1.25880991704892</c:v>
                </c:pt>
                <c:pt idx="21">
                  <c:v>1.2914529576795399</c:v>
                </c:pt>
                <c:pt idx="22">
                  <c:v>1.2886907903199001</c:v>
                </c:pt>
                <c:pt idx="23">
                  <c:v>1.39612401914989</c:v>
                </c:pt>
                <c:pt idx="24">
                  <c:v>1.15490049713987</c:v>
                </c:pt>
                <c:pt idx="25">
                  <c:v>1.6223687074200499</c:v>
                </c:pt>
                <c:pt idx="26">
                  <c:v>1.4572146309152101</c:v>
                </c:pt>
              </c:numCache>
            </c:numRef>
          </c:xVal>
          <c:yVal>
            <c:numRef>
              <c:f>all!$L$39:$L$65</c:f>
              <c:numCache>
                <c:formatCode>0.000</c:formatCode>
                <c:ptCount val="27"/>
                <c:pt idx="0">
                  <c:v>1.9432258375425799</c:v>
                </c:pt>
                <c:pt idx="1">
                  <c:v>2.3768784113539301</c:v>
                </c:pt>
                <c:pt idx="2">
                  <c:v>70.349925179505803</c:v>
                </c:pt>
                <c:pt idx="3">
                  <c:v>5.4523947827090398</c:v>
                </c:pt>
                <c:pt idx="5">
                  <c:v>33.895949402833203</c:v>
                </c:pt>
                <c:pt idx="6">
                  <c:v>32.177431699139497</c:v>
                </c:pt>
                <c:pt idx="7">
                  <c:v>31.253302872972</c:v>
                </c:pt>
                <c:pt idx="9">
                  <c:v>42.7547044117564</c:v>
                </c:pt>
                <c:pt idx="10">
                  <c:v>175.86248095131899</c:v>
                </c:pt>
                <c:pt idx="11">
                  <c:v>52.638565780695899</c:v>
                </c:pt>
                <c:pt idx="15">
                  <c:v>1.9432258375425799</c:v>
                </c:pt>
                <c:pt idx="16">
                  <c:v>2.3768784113539301</c:v>
                </c:pt>
                <c:pt idx="17">
                  <c:v>70.349925179505803</c:v>
                </c:pt>
                <c:pt idx="18">
                  <c:v>5.4523947827090398</c:v>
                </c:pt>
                <c:pt idx="20">
                  <c:v>33.895949402833203</c:v>
                </c:pt>
                <c:pt idx="21">
                  <c:v>32.177431699139497</c:v>
                </c:pt>
                <c:pt idx="22">
                  <c:v>31.253302872972</c:v>
                </c:pt>
                <c:pt idx="24">
                  <c:v>42.7547044117564</c:v>
                </c:pt>
                <c:pt idx="25">
                  <c:v>175.86248095131899</c:v>
                </c:pt>
                <c:pt idx="26">
                  <c:v>52.638565780695899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9AE4-4750-8AE8-06B3C0B551E6}"/>
            </c:ext>
          </c:extLst>
        </c:ser>
        <c:ser>
          <c:idx val="1"/>
          <c:order val="1"/>
          <c:tx>
            <c:strRef>
              <c:f>all!$E$67</c:f>
              <c:strCache>
                <c:ptCount val="1"/>
                <c:pt idx="0">
                  <c:v>Lawler (2006)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-1.2760417600625528E-2"/>
                  <c:y val="-0.11126487909240812"/>
                </c:manualLayout>
              </c:layout>
              <c:numFmt formatCode="General" sourceLinked="0"/>
              <c:spPr>
                <a:solidFill>
                  <a:schemeClr val="accent2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all!$E$70:$E$96</c:f>
              <c:numCache>
                <c:formatCode>0.0000</c:formatCode>
                <c:ptCount val="27"/>
                <c:pt idx="0">
                  <c:v>0.92629163740877796</c:v>
                </c:pt>
                <c:pt idx="1">
                  <c:v>0.723568252950335</c:v>
                </c:pt>
                <c:pt idx="2">
                  <c:v>0.92947006080395</c:v>
                </c:pt>
                <c:pt idx="3">
                  <c:v>0.77855192606860901</c:v>
                </c:pt>
                <c:pt idx="4">
                  <c:v>0.55577143716833499</c:v>
                </c:pt>
                <c:pt idx="5">
                  <c:v>0.33551375674123601</c:v>
                </c:pt>
                <c:pt idx="6">
                  <c:v>0.63731372986403501</c:v>
                </c:pt>
                <c:pt idx="7">
                  <c:v>-0.44248745305980902</c:v>
                </c:pt>
                <c:pt idx="8">
                  <c:v>0.73952445342362605</c:v>
                </c:pt>
                <c:pt idx="9">
                  <c:v>9.3645385178040705E-2</c:v>
                </c:pt>
                <c:pt idx="10">
                  <c:v>0.78100360785877099</c:v>
                </c:pt>
                <c:pt idx="11">
                  <c:v>0.76865077228085099</c:v>
                </c:pt>
                <c:pt idx="13">
                  <c:v>-0.73582121336391904</c:v>
                </c:pt>
                <c:pt idx="14">
                  <c:v>0.96854380596042999</c:v>
                </c:pt>
                <c:pt idx="15">
                  <c:v>0.91285830032378401</c:v>
                </c:pt>
                <c:pt idx="16">
                  <c:v>0.69952356032694896</c:v>
                </c:pt>
                <c:pt idx="17">
                  <c:v>0.97668665464899096</c:v>
                </c:pt>
                <c:pt idx="18">
                  <c:v>0.33582626900186402</c:v>
                </c:pt>
                <c:pt idx="19">
                  <c:v>0.52794332050181203</c:v>
                </c:pt>
                <c:pt idx="20">
                  <c:v>0.94081849763111403</c:v>
                </c:pt>
                <c:pt idx="21">
                  <c:v>0.445945938664987</c:v>
                </c:pt>
                <c:pt idx="22">
                  <c:v>-0.136935986249347</c:v>
                </c:pt>
                <c:pt idx="23">
                  <c:v>0.97165157928161605</c:v>
                </c:pt>
                <c:pt idx="24">
                  <c:v>0.47813963463856402</c:v>
                </c:pt>
                <c:pt idx="25">
                  <c:v>0.74242380847501299</c:v>
                </c:pt>
                <c:pt idx="26">
                  <c:v>0.80433038241724497</c:v>
                </c:pt>
              </c:numCache>
            </c:numRef>
          </c:xVal>
          <c:yVal>
            <c:numRef>
              <c:f>all!$L$39:$L$65</c:f>
              <c:numCache>
                <c:formatCode>0.000</c:formatCode>
                <c:ptCount val="27"/>
                <c:pt idx="0">
                  <c:v>1.9432258375425799</c:v>
                </c:pt>
                <c:pt idx="1">
                  <c:v>2.3768784113539301</c:v>
                </c:pt>
                <c:pt idx="2">
                  <c:v>70.349925179505803</c:v>
                </c:pt>
                <c:pt idx="3">
                  <c:v>5.4523947827090398</c:v>
                </c:pt>
                <c:pt idx="5">
                  <c:v>33.895949402833203</c:v>
                </c:pt>
                <c:pt idx="6">
                  <c:v>32.177431699139497</c:v>
                </c:pt>
                <c:pt idx="7">
                  <c:v>31.253302872972</c:v>
                </c:pt>
                <c:pt idx="9">
                  <c:v>42.7547044117564</c:v>
                </c:pt>
                <c:pt idx="10">
                  <c:v>175.86248095131899</c:v>
                </c:pt>
                <c:pt idx="11">
                  <c:v>52.638565780695899</c:v>
                </c:pt>
                <c:pt idx="15">
                  <c:v>1.9432258375425799</c:v>
                </c:pt>
                <c:pt idx="16">
                  <c:v>2.3768784113539301</c:v>
                </c:pt>
                <c:pt idx="17">
                  <c:v>70.349925179505803</c:v>
                </c:pt>
                <c:pt idx="18">
                  <c:v>5.4523947827090398</c:v>
                </c:pt>
                <c:pt idx="20">
                  <c:v>33.895949402833203</c:v>
                </c:pt>
                <c:pt idx="21">
                  <c:v>32.177431699139497</c:v>
                </c:pt>
                <c:pt idx="22">
                  <c:v>31.253302872972</c:v>
                </c:pt>
                <c:pt idx="24">
                  <c:v>42.7547044117564</c:v>
                </c:pt>
                <c:pt idx="25">
                  <c:v>175.86248095131899</c:v>
                </c:pt>
                <c:pt idx="26">
                  <c:v>52.638565780695899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9AE4-4750-8AE8-06B3C0B551E6}"/>
            </c:ext>
          </c:extLst>
        </c:ser>
        <c:ser>
          <c:idx val="2"/>
          <c:order val="2"/>
          <c:tx>
            <c:strRef>
              <c:f>all!$E$4</c:f>
              <c:strCache>
                <c:ptCount val="1"/>
                <c:pt idx="0">
                  <c:v>Aich (2014) 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3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-0.17392844718536626"/>
                  <c:y val="-0.21352402281092164"/>
                </c:manualLayout>
              </c:layout>
              <c:numFmt formatCode="General" sourceLinked="0"/>
              <c:spPr>
                <a:solidFill>
                  <a:schemeClr val="accent6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all!$F$70:$F$96</c:f>
              <c:numCache>
                <c:formatCode>0.0000</c:formatCode>
                <c:ptCount val="27"/>
                <c:pt idx="0">
                  <c:v>0.11077055296162799</c:v>
                </c:pt>
                <c:pt idx="1">
                  <c:v>1.0650915621547401E-2</c:v>
                </c:pt>
                <c:pt idx="2">
                  <c:v>-2.2683422982125001E-2</c:v>
                </c:pt>
                <c:pt idx="3">
                  <c:v>0.15621819275209001</c:v>
                </c:pt>
                <c:pt idx="4">
                  <c:v>0.15071577677020101</c:v>
                </c:pt>
                <c:pt idx="5">
                  <c:v>5.5397551503622099E-2</c:v>
                </c:pt>
                <c:pt idx="6">
                  <c:v>6.9883057908481996E-2</c:v>
                </c:pt>
                <c:pt idx="7">
                  <c:v>7.8645648239850305E-2</c:v>
                </c:pt>
                <c:pt idx="8">
                  <c:v>0.17832892113485599</c:v>
                </c:pt>
                <c:pt idx="9">
                  <c:v>2.1496979213356301E-3</c:v>
                </c:pt>
                <c:pt idx="10">
                  <c:v>0.101236914763633</c:v>
                </c:pt>
                <c:pt idx="11">
                  <c:v>0.107400232693555</c:v>
                </c:pt>
                <c:pt idx="13">
                  <c:v>8.4573685986466099E-2</c:v>
                </c:pt>
                <c:pt idx="14">
                  <c:v>0.198594884621278</c:v>
                </c:pt>
                <c:pt idx="15">
                  <c:v>6.8212961854365706E-2</c:v>
                </c:pt>
                <c:pt idx="16">
                  <c:v>4.9611646415268197E-2</c:v>
                </c:pt>
                <c:pt idx="17">
                  <c:v>0.107447815904682</c:v>
                </c:pt>
                <c:pt idx="18">
                  <c:v>0.39411883766970102</c:v>
                </c:pt>
                <c:pt idx="19">
                  <c:v>9.0698601563059603E-2</c:v>
                </c:pt>
                <c:pt idx="20">
                  <c:v>9.9852529707758195E-2</c:v>
                </c:pt>
                <c:pt idx="21">
                  <c:v>5.5815481283492403E-2</c:v>
                </c:pt>
                <c:pt idx="22">
                  <c:v>9.5391388976058394E-2</c:v>
                </c:pt>
                <c:pt idx="23">
                  <c:v>9.9540545016305104E-2</c:v>
                </c:pt>
                <c:pt idx="24">
                  <c:v>0.115227328160236</c:v>
                </c:pt>
                <c:pt idx="25">
                  <c:v>0.157732693122626</c:v>
                </c:pt>
                <c:pt idx="26">
                  <c:v>0.121156039239802</c:v>
                </c:pt>
              </c:numCache>
            </c:numRef>
          </c:xVal>
          <c:yVal>
            <c:numRef>
              <c:f>all!$L$39:$L$65</c:f>
              <c:numCache>
                <c:formatCode>0.000</c:formatCode>
                <c:ptCount val="27"/>
                <c:pt idx="0">
                  <c:v>1.9432258375425799</c:v>
                </c:pt>
                <c:pt idx="1">
                  <c:v>2.3768784113539301</c:v>
                </c:pt>
                <c:pt idx="2">
                  <c:v>70.349925179505803</c:v>
                </c:pt>
                <c:pt idx="3">
                  <c:v>5.4523947827090398</c:v>
                </c:pt>
                <c:pt idx="5">
                  <c:v>33.895949402833203</c:v>
                </c:pt>
                <c:pt idx="6">
                  <c:v>32.177431699139497</c:v>
                </c:pt>
                <c:pt idx="7">
                  <c:v>31.253302872972</c:v>
                </c:pt>
                <c:pt idx="9">
                  <c:v>42.7547044117564</c:v>
                </c:pt>
                <c:pt idx="10">
                  <c:v>175.86248095131899</c:v>
                </c:pt>
                <c:pt idx="11">
                  <c:v>52.638565780695899</c:v>
                </c:pt>
                <c:pt idx="15">
                  <c:v>1.9432258375425799</c:v>
                </c:pt>
                <c:pt idx="16">
                  <c:v>2.3768784113539301</c:v>
                </c:pt>
                <c:pt idx="17">
                  <c:v>70.349925179505803</c:v>
                </c:pt>
                <c:pt idx="18">
                  <c:v>5.4523947827090398</c:v>
                </c:pt>
                <c:pt idx="20">
                  <c:v>33.895949402833203</c:v>
                </c:pt>
                <c:pt idx="21">
                  <c:v>32.177431699139497</c:v>
                </c:pt>
                <c:pt idx="22">
                  <c:v>31.253302872972</c:v>
                </c:pt>
                <c:pt idx="24">
                  <c:v>42.7547044117564</c:v>
                </c:pt>
                <c:pt idx="25">
                  <c:v>175.86248095131899</c:v>
                </c:pt>
                <c:pt idx="26">
                  <c:v>52.638565780695899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9AE4-4750-8AE8-06B3C0B551E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29882927"/>
        <c:axId val="129899727"/>
      </c:scatterChart>
      <c:valAx>
        <c:axId val="129882927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Hysteresis Index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9899727"/>
        <c:crosses val="autoZero"/>
        <c:crossBetween val="midCat"/>
      </c:valAx>
      <c:valAx>
        <c:axId val="12989972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Time (hrs)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0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9882927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legendEntry>
        <c:idx val="3"/>
        <c:delete val="1"/>
      </c:legendEntry>
      <c:legendEntry>
        <c:idx val="4"/>
        <c:delete val="1"/>
      </c:legendEntry>
      <c:legendEntry>
        <c:idx val="5"/>
        <c:delete val="1"/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fDOM</a:t>
            </a:r>
            <a:r>
              <a:rPr lang="en-US" baseline="0"/>
              <a:t> </a:t>
            </a:r>
            <a:r>
              <a:rPr lang="en-US" sz="14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</a:rPr>
              <a:t>HI to excess integral</a:t>
            </a:r>
            <a:endParaRPr lang="en-US"/>
          </a:p>
        </c:rich>
      </c:tx>
      <c:layout>
        <c:manualLayout>
          <c:xMode val="edge"/>
          <c:yMode val="edge"/>
          <c:x val="0.29972444905815665"/>
          <c:y val="4.7283925285606494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0.16066650974548111"/>
          <c:y val="0.18004530917761208"/>
          <c:w val="0.75074186828700784"/>
          <c:h val="0.49375460344531691"/>
        </c:manualLayout>
      </c:layout>
      <c:scatterChart>
        <c:scatterStyle val="lineMarker"/>
        <c:varyColors val="0"/>
        <c:ser>
          <c:idx val="0"/>
          <c:order val="0"/>
          <c:tx>
            <c:strRef>
              <c:f>all!$C$4</c:f>
              <c:strCache>
                <c:ptCount val="1"/>
                <c:pt idx="0">
                  <c:v>Langlois (2005)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0.13463290142047085"/>
                  <c:y val="-0.23360284470622902"/>
                </c:manualLayout>
              </c:layout>
              <c:numFmt formatCode="General" sourceLinked="0"/>
              <c:spPr>
                <a:solidFill>
                  <a:schemeClr val="tx2">
                    <a:lumMod val="10000"/>
                    <a:lumOff val="9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all!$R$70:$R$96</c:f>
              <c:numCache>
                <c:formatCode>0.00000</c:formatCode>
                <c:ptCount val="27"/>
                <c:pt idx="0">
                  <c:v>0.98302221968248604</c:v>
                </c:pt>
                <c:pt idx="1">
                  <c:v>0.99703728594241603</c:v>
                </c:pt>
                <c:pt idx="2">
                  <c:v>1.05414106800948</c:v>
                </c:pt>
                <c:pt idx="3">
                  <c:v>1.00376784280544</c:v>
                </c:pt>
                <c:pt idx="4">
                  <c:v>0.965580440673389</c:v>
                </c:pt>
                <c:pt idx="5">
                  <c:v>1.0368691348627199</c:v>
                </c:pt>
                <c:pt idx="6">
                  <c:v>0.98011971152962396</c:v>
                </c:pt>
                <c:pt idx="7">
                  <c:v>0.80472452573481301</c:v>
                </c:pt>
                <c:pt idx="8">
                  <c:v>1.07122215244959</c:v>
                </c:pt>
                <c:pt idx="9">
                  <c:v>0.96842975873578097</c:v>
                </c:pt>
                <c:pt idx="10">
                  <c:v>0.99721998555050795</c:v>
                </c:pt>
                <c:pt idx="11">
                  <c:v>1.0088578932758001</c:v>
                </c:pt>
                <c:pt idx="13" formatCode="0.000">
                  <c:v>0.45078352403799399</c:v>
                </c:pt>
                <c:pt idx="14" formatCode="0.000">
                  <c:v>0.94043662960440699</c:v>
                </c:pt>
                <c:pt idx="15" formatCode="0.000">
                  <c:v>0.95863149267075098</c:v>
                </c:pt>
                <c:pt idx="16" formatCode="0.000">
                  <c:v>0.98251699448728103</c:v>
                </c:pt>
                <c:pt idx="17" formatCode="0.000">
                  <c:v>1.0568614326035</c:v>
                </c:pt>
                <c:pt idx="18" formatCode="0.000">
                  <c:v>1.03826719630338</c:v>
                </c:pt>
                <c:pt idx="19" formatCode="0.000">
                  <c:v>0.93867849021001804</c:v>
                </c:pt>
                <c:pt idx="20" formatCode="0.000">
                  <c:v>1.08896416336113</c:v>
                </c:pt>
                <c:pt idx="21" formatCode="0.000">
                  <c:v>1.18553177339745</c:v>
                </c:pt>
                <c:pt idx="22" formatCode="0.000">
                  <c:v>1.0643830961710401</c:v>
                </c:pt>
                <c:pt idx="23" formatCode="0.000">
                  <c:v>1.0913993357873799</c:v>
                </c:pt>
                <c:pt idx="24" formatCode="0.000">
                  <c:v>1.00259808767117</c:v>
                </c:pt>
                <c:pt idx="25" formatCode="0.000">
                  <c:v>1.0043452914566</c:v>
                </c:pt>
                <c:pt idx="26" formatCode="0.000">
                  <c:v>0.40870513477919201</c:v>
                </c:pt>
              </c:numCache>
            </c:numRef>
          </c:xVal>
          <c:yVal>
            <c:numRef>
              <c:f>all!$L$39:$L$65</c:f>
              <c:numCache>
                <c:formatCode>0.000</c:formatCode>
                <c:ptCount val="27"/>
                <c:pt idx="0">
                  <c:v>1.9432258375425799</c:v>
                </c:pt>
                <c:pt idx="1">
                  <c:v>2.3768784113539301</c:v>
                </c:pt>
                <c:pt idx="2">
                  <c:v>70.349925179505803</c:v>
                </c:pt>
                <c:pt idx="3">
                  <c:v>5.4523947827090398</c:v>
                </c:pt>
                <c:pt idx="5">
                  <c:v>33.895949402833203</c:v>
                </c:pt>
                <c:pt idx="6">
                  <c:v>32.177431699139497</c:v>
                </c:pt>
                <c:pt idx="7">
                  <c:v>31.253302872972</c:v>
                </c:pt>
                <c:pt idx="9">
                  <c:v>42.7547044117564</c:v>
                </c:pt>
                <c:pt idx="10">
                  <c:v>175.86248095131899</c:v>
                </c:pt>
                <c:pt idx="11">
                  <c:v>52.638565780695899</c:v>
                </c:pt>
                <c:pt idx="15">
                  <c:v>1.9432258375425799</c:v>
                </c:pt>
                <c:pt idx="16">
                  <c:v>2.3768784113539301</c:v>
                </c:pt>
                <c:pt idx="17">
                  <c:v>70.349925179505803</c:v>
                </c:pt>
                <c:pt idx="18">
                  <c:v>5.4523947827090398</c:v>
                </c:pt>
                <c:pt idx="20">
                  <c:v>33.895949402833203</c:v>
                </c:pt>
                <c:pt idx="21">
                  <c:v>32.177431699139497</c:v>
                </c:pt>
                <c:pt idx="22">
                  <c:v>31.253302872972</c:v>
                </c:pt>
                <c:pt idx="24">
                  <c:v>42.7547044117564</c:v>
                </c:pt>
                <c:pt idx="25">
                  <c:v>175.86248095131899</c:v>
                </c:pt>
                <c:pt idx="26">
                  <c:v>52.638565780695899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33AC-4020-9BB5-824FE53FA5F7}"/>
            </c:ext>
          </c:extLst>
        </c:ser>
        <c:ser>
          <c:idx val="1"/>
          <c:order val="1"/>
          <c:tx>
            <c:strRef>
              <c:f>all!$D$4</c:f>
              <c:strCache>
                <c:ptCount val="1"/>
                <c:pt idx="0">
                  <c:v>Lawler (2006)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-1.0535056334676393E-2"/>
                  <c:y val="-0.2168007207513577"/>
                </c:manualLayout>
              </c:layout>
              <c:numFmt formatCode="General" sourceLinked="0"/>
              <c:spPr>
                <a:solidFill>
                  <a:schemeClr val="accent2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all!$S$70:$S$96</c:f>
              <c:numCache>
                <c:formatCode>0.0000</c:formatCode>
                <c:ptCount val="27"/>
                <c:pt idx="0">
                  <c:v>-0.31071591767089402</c:v>
                </c:pt>
                <c:pt idx="1">
                  <c:v>-0.72341186519112299</c:v>
                </c:pt>
                <c:pt idx="2">
                  <c:v>0.54135397831396403</c:v>
                </c:pt>
                <c:pt idx="3">
                  <c:v>-0.28173278371114102</c:v>
                </c:pt>
                <c:pt idx="4">
                  <c:v>-0.28388728833714599</c:v>
                </c:pt>
                <c:pt idx="5">
                  <c:v>-0.167176048352111</c:v>
                </c:pt>
                <c:pt idx="6">
                  <c:v>-0.234414236192791</c:v>
                </c:pt>
                <c:pt idx="7">
                  <c:v>-0.91543606234553399</c:v>
                </c:pt>
                <c:pt idx="8">
                  <c:v>-0.11116405161722299</c:v>
                </c:pt>
                <c:pt idx="9">
                  <c:v>-0.44122459346906301</c:v>
                </c:pt>
                <c:pt idx="10">
                  <c:v>-0.221642867808126</c:v>
                </c:pt>
                <c:pt idx="11">
                  <c:v>0.120506313986007</c:v>
                </c:pt>
                <c:pt idx="12">
                  <c:v>0.99778765474319298</c:v>
                </c:pt>
                <c:pt idx="13" formatCode="0.000">
                  <c:v>-0.811886428716041</c:v>
                </c:pt>
                <c:pt idx="14" formatCode="0.000">
                  <c:v>-0.54271122756527101</c:v>
                </c:pt>
                <c:pt idx="15" formatCode="0.000">
                  <c:v>-0.67772868565601696</c:v>
                </c:pt>
                <c:pt idx="16" formatCode="0.000">
                  <c:v>-0.76078071695181804</c:v>
                </c:pt>
                <c:pt idx="17" formatCode="0.000">
                  <c:v>0.64678217889059297</c:v>
                </c:pt>
                <c:pt idx="18" formatCode="0.000">
                  <c:v>-0.15477977693324399</c:v>
                </c:pt>
                <c:pt idx="19" formatCode="0.000">
                  <c:v>-0.86583274285189604</c:v>
                </c:pt>
                <c:pt idx="20" formatCode="0.000">
                  <c:v>0.61214631104569395</c:v>
                </c:pt>
                <c:pt idx="21" formatCode="0.000">
                  <c:v>0.59208584316733603</c:v>
                </c:pt>
                <c:pt idx="22" formatCode="0.000">
                  <c:v>0.74012064453311799</c:v>
                </c:pt>
                <c:pt idx="23" formatCode="0.000">
                  <c:v>0.62408685090742599</c:v>
                </c:pt>
                <c:pt idx="24" formatCode="0.000">
                  <c:v>0.25147892096544</c:v>
                </c:pt>
                <c:pt idx="25" formatCode="0.000">
                  <c:v>-2.3625782421043601E-2</c:v>
                </c:pt>
                <c:pt idx="26" formatCode="0.000">
                  <c:v>-0.95802365966780301</c:v>
                </c:pt>
              </c:numCache>
            </c:numRef>
          </c:xVal>
          <c:yVal>
            <c:numRef>
              <c:f>all!$L$39:$L$65</c:f>
              <c:numCache>
                <c:formatCode>0.000</c:formatCode>
                <c:ptCount val="27"/>
                <c:pt idx="0">
                  <c:v>1.9432258375425799</c:v>
                </c:pt>
                <c:pt idx="1">
                  <c:v>2.3768784113539301</c:v>
                </c:pt>
                <c:pt idx="2">
                  <c:v>70.349925179505803</c:v>
                </c:pt>
                <c:pt idx="3">
                  <c:v>5.4523947827090398</c:v>
                </c:pt>
                <c:pt idx="5">
                  <c:v>33.895949402833203</c:v>
                </c:pt>
                <c:pt idx="6">
                  <c:v>32.177431699139497</c:v>
                </c:pt>
                <c:pt idx="7">
                  <c:v>31.253302872972</c:v>
                </c:pt>
                <c:pt idx="9">
                  <c:v>42.7547044117564</c:v>
                </c:pt>
                <c:pt idx="10">
                  <c:v>175.86248095131899</c:v>
                </c:pt>
                <c:pt idx="11">
                  <c:v>52.638565780695899</c:v>
                </c:pt>
                <c:pt idx="15">
                  <c:v>1.9432258375425799</c:v>
                </c:pt>
                <c:pt idx="16">
                  <c:v>2.3768784113539301</c:v>
                </c:pt>
                <c:pt idx="17">
                  <c:v>70.349925179505803</c:v>
                </c:pt>
                <c:pt idx="18">
                  <c:v>5.4523947827090398</c:v>
                </c:pt>
                <c:pt idx="20">
                  <c:v>33.895949402833203</c:v>
                </c:pt>
                <c:pt idx="21">
                  <c:v>32.177431699139497</c:v>
                </c:pt>
                <c:pt idx="22">
                  <c:v>31.253302872972</c:v>
                </c:pt>
                <c:pt idx="24">
                  <c:v>42.7547044117564</c:v>
                </c:pt>
                <c:pt idx="25">
                  <c:v>175.86248095131899</c:v>
                </c:pt>
                <c:pt idx="26">
                  <c:v>52.638565780695899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33AC-4020-9BB5-824FE53FA5F7}"/>
            </c:ext>
          </c:extLst>
        </c:ser>
        <c:ser>
          <c:idx val="2"/>
          <c:order val="2"/>
          <c:tx>
            <c:strRef>
              <c:f>all!$E$4</c:f>
              <c:strCache>
                <c:ptCount val="1"/>
                <c:pt idx="0">
                  <c:v>Aich (2014) 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3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-0.31614246969908338"/>
                  <c:y val="-8.1850924484126675E-2"/>
                </c:manualLayout>
              </c:layout>
              <c:numFmt formatCode="General" sourceLinked="0"/>
              <c:spPr>
                <a:solidFill>
                  <a:schemeClr val="accent6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all!$T$70:$T$96</c:f>
              <c:numCache>
                <c:formatCode>0.0000</c:formatCode>
                <c:ptCount val="27"/>
                <c:pt idx="0">
                  <c:v>-3.7834846370905402E-3</c:v>
                </c:pt>
                <c:pt idx="1">
                  <c:v>6.4581353214806597E-2</c:v>
                </c:pt>
                <c:pt idx="2">
                  <c:v>6.1895687016862502E-2</c:v>
                </c:pt>
                <c:pt idx="3">
                  <c:v>2.95836818188689E-2</c:v>
                </c:pt>
                <c:pt idx="4">
                  <c:v>-5.4892758010415703E-2</c:v>
                </c:pt>
                <c:pt idx="5">
                  <c:v>8.8641812543785899E-3</c:v>
                </c:pt>
                <c:pt idx="6">
                  <c:v>1.32778322661357E-2</c:v>
                </c:pt>
                <c:pt idx="7">
                  <c:v>-6.0975544853349099E-2</c:v>
                </c:pt>
                <c:pt idx="8">
                  <c:v>4.2081062239471598E-2</c:v>
                </c:pt>
                <c:pt idx="9">
                  <c:v>-1.77749404385871E-2</c:v>
                </c:pt>
                <c:pt idx="10">
                  <c:v>3.08855730575289E-3</c:v>
                </c:pt>
                <c:pt idx="11">
                  <c:v>-5.3081166180475401E-3</c:v>
                </c:pt>
                <c:pt idx="12">
                  <c:v>0.99566811930969701</c:v>
                </c:pt>
                <c:pt idx="13" formatCode="0.000">
                  <c:v>-9.3763935417501706E-2</c:v>
                </c:pt>
                <c:pt idx="14" formatCode="0.000">
                  <c:v>-5.2796335197095298E-2</c:v>
                </c:pt>
                <c:pt idx="15" formatCode="0.000">
                  <c:v>-5.9125313303963402E-2</c:v>
                </c:pt>
                <c:pt idx="16" formatCode="0.000">
                  <c:v>-4.1714957549384597E-2</c:v>
                </c:pt>
                <c:pt idx="17" formatCode="0.000">
                  <c:v>7.3340759088016003E-2</c:v>
                </c:pt>
                <c:pt idx="18" formatCode="0.000">
                  <c:v>7.1354925056258001E-3</c:v>
                </c:pt>
                <c:pt idx="19" formatCode="0.000">
                  <c:v>-0.28463650723553102</c:v>
                </c:pt>
                <c:pt idx="20" formatCode="0.000">
                  <c:v>-7.3287190867590401E-3</c:v>
                </c:pt>
                <c:pt idx="21" formatCode="0.000">
                  <c:v>0.10941628444022999</c:v>
                </c:pt>
                <c:pt idx="22" formatCode="0.000">
                  <c:v>-8.4675321487204705E-2</c:v>
                </c:pt>
                <c:pt idx="23" formatCode="0.000">
                  <c:v>-3.2911415817637998E-2</c:v>
                </c:pt>
                <c:pt idx="24" formatCode="0.000">
                  <c:v>-4.46763074582908E-2</c:v>
                </c:pt>
                <c:pt idx="25" formatCode="0.000">
                  <c:v>-1.53118918462132E-3</c:v>
                </c:pt>
                <c:pt idx="26" formatCode="0.000">
                  <c:v>-0.17920927988478999</c:v>
                </c:pt>
              </c:numCache>
            </c:numRef>
          </c:xVal>
          <c:yVal>
            <c:numRef>
              <c:f>all!$L$39:$L$65</c:f>
              <c:numCache>
                <c:formatCode>0.000</c:formatCode>
                <c:ptCount val="27"/>
                <c:pt idx="0">
                  <c:v>1.9432258375425799</c:v>
                </c:pt>
                <c:pt idx="1">
                  <c:v>2.3768784113539301</c:v>
                </c:pt>
                <c:pt idx="2">
                  <c:v>70.349925179505803</c:v>
                </c:pt>
                <c:pt idx="3">
                  <c:v>5.4523947827090398</c:v>
                </c:pt>
                <c:pt idx="5">
                  <c:v>33.895949402833203</c:v>
                </c:pt>
                <c:pt idx="6">
                  <c:v>32.177431699139497</c:v>
                </c:pt>
                <c:pt idx="7">
                  <c:v>31.253302872972</c:v>
                </c:pt>
                <c:pt idx="9">
                  <c:v>42.7547044117564</c:v>
                </c:pt>
                <c:pt idx="10">
                  <c:v>175.86248095131899</c:v>
                </c:pt>
                <c:pt idx="11">
                  <c:v>52.638565780695899</c:v>
                </c:pt>
                <c:pt idx="15">
                  <c:v>1.9432258375425799</c:v>
                </c:pt>
                <c:pt idx="16">
                  <c:v>2.3768784113539301</c:v>
                </c:pt>
                <c:pt idx="17">
                  <c:v>70.349925179505803</c:v>
                </c:pt>
                <c:pt idx="18">
                  <c:v>5.4523947827090398</c:v>
                </c:pt>
                <c:pt idx="20">
                  <c:v>33.895949402833203</c:v>
                </c:pt>
                <c:pt idx="21">
                  <c:v>32.177431699139497</c:v>
                </c:pt>
                <c:pt idx="22">
                  <c:v>31.253302872972</c:v>
                </c:pt>
                <c:pt idx="24">
                  <c:v>42.7547044117564</c:v>
                </c:pt>
                <c:pt idx="25">
                  <c:v>175.86248095131899</c:v>
                </c:pt>
                <c:pt idx="26">
                  <c:v>52.638565780695899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33AC-4020-9BB5-824FE53FA5F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29882927"/>
        <c:axId val="129899727"/>
      </c:scatterChart>
      <c:valAx>
        <c:axId val="129882927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Hysteresis Index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0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9899727"/>
        <c:crosses val="autoZero"/>
        <c:crossBetween val="midCat"/>
      </c:valAx>
      <c:valAx>
        <c:axId val="12989972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Time (hrs)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0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9882927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legendEntry>
        <c:idx val="3"/>
        <c:delete val="1"/>
      </c:legendEntry>
      <c:legendEntry>
        <c:idx val="4"/>
        <c:delete val="1"/>
      </c:legendEntry>
      <c:legendEntry>
        <c:idx val="5"/>
        <c:delete val="1"/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SSC</a:t>
            </a:r>
            <a:r>
              <a:rPr lang="en-US" baseline="0"/>
              <a:t> HI to excess balance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all!$C$4</c:f>
              <c:strCache>
                <c:ptCount val="1"/>
                <c:pt idx="0">
                  <c:v>Langlois (2005)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9.2252534018310489E-2"/>
                  <c:y val="-0.15369584655816482"/>
                </c:manualLayout>
              </c:layout>
              <c:numFmt formatCode="General" sourceLinked="0"/>
              <c:spPr>
                <a:solidFill>
                  <a:schemeClr val="tx2">
                    <a:lumMod val="10000"/>
                    <a:lumOff val="9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all!$C$10:$C$33</c:f>
              <c:numCache>
                <c:formatCode>0.0000</c:formatCode>
                <c:ptCount val="24"/>
                <c:pt idx="0">
                  <c:v>1.31746197777344</c:v>
                </c:pt>
                <c:pt idx="1">
                  <c:v>0.89735303995633098</c:v>
                </c:pt>
                <c:pt idx="2">
                  <c:v>1.39880081037808</c:v>
                </c:pt>
                <c:pt idx="3">
                  <c:v>1.2210038373368299</c:v>
                </c:pt>
                <c:pt idx="4">
                  <c:v>1.5249018262283101</c:v>
                </c:pt>
                <c:pt idx="7">
                  <c:v>1.36678278361715</c:v>
                </c:pt>
                <c:pt idx="10">
                  <c:v>1.8695993339197901</c:v>
                </c:pt>
                <c:pt idx="11">
                  <c:v>1.21795864622288</c:v>
                </c:pt>
                <c:pt idx="12">
                  <c:v>1.0299659938988901</c:v>
                </c:pt>
                <c:pt idx="15">
                  <c:v>1.1534447144942801</c:v>
                </c:pt>
                <c:pt idx="16">
                  <c:v>1.6625275928143599</c:v>
                </c:pt>
                <c:pt idx="17">
                  <c:v>0.83858009935182098</c:v>
                </c:pt>
                <c:pt idx="18">
                  <c:v>2.31938512736013</c:v>
                </c:pt>
                <c:pt idx="19">
                  <c:v>1.66955637894203</c:v>
                </c:pt>
                <c:pt idx="21">
                  <c:v>0.90805045415642205</c:v>
                </c:pt>
                <c:pt idx="22">
                  <c:v>1.0862889042163599</c:v>
                </c:pt>
                <c:pt idx="23">
                  <c:v>0.39254775269290398</c:v>
                </c:pt>
              </c:numCache>
            </c:numRef>
          </c:xVal>
          <c:yVal>
            <c:numRef>
              <c:f>all!$M$42:$M$65</c:f>
              <c:numCache>
                <c:formatCode>0.000</c:formatCode>
                <c:ptCount val="24"/>
                <c:pt idx="0">
                  <c:v>0.19059894727801999</c:v>
                </c:pt>
                <c:pt idx="2">
                  <c:v>0.499861288181496</c:v>
                </c:pt>
                <c:pt idx="3">
                  <c:v>0.40695810522245701</c:v>
                </c:pt>
                <c:pt idx="4">
                  <c:v>5.4056282725128302E-2</c:v>
                </c:pt>
                <c:pt idx="6">
                  <c:v>0.26690920736687102</c:v>
                </c:pt>
                <c:pt idx="7">
                  <c:v>0.45125668170602201</c:v>
                </c:pt>
                <c:pt idx="8">
                  <c:v>0.51242235468873398</c:v>
                </c:pt>
                <c:pt idx="12">
                  <c:v>-0.14571780115724001</c:v>
                </c:pt>
                <c:pt idx="13">
                  <c:v>0.15611461722769501</c:v>
                </c:pt>
                <c:pt idx="14">
                  <c:v>0.29322882322716898</c:v>
                </c:pt>
                <c:pt idx="15">
                  <c:v>0.19059894727801999</c:v>
                </c:pt>
                <c:pt idx="17">
                  <c:v>0.499861288181496</c:v>
                </c:pt>
                <c:pt idx="18">
                  <c:v>0.40695810522245701</c:v>
                </c:pt>
                <c:pt idx="19">
                  <c:v>5.4056282725128302E-2</c:v>
                </c:pt>
                <c:pt idx="21">
                  <c:v>0.26690920736687102</c:v>
                </c:pt>
                <c:pt idx="22">
                  <c:v>0.45125668170602201</c:v>
                </c:pt>
                <c:pt idx="23">
                  <c:v>0.51242235468873398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84B2-473A-AC15-F5F5FD279A78}"/>
            </c:ext>
          </c:extLst>
        </c:ser>
        <c:ser>
          <c:idx val="1"/>
          <c:order val="1"/>
          <c:tx>
            <c:strRef>
              <c:f>all!$D$4</c:f>
              <c:strCache>
                <c:ptCount val="1"/>
                <c:pt idx="0">
                  <c:v>Lawler (2006)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-7.0863456973681446E-2"/>
                  <c:y val="-0.19634044533901637"/>
                </c:manualLayout>
              </c:layout>
              <c:numFmt formatCode="General" sourceLinked="0"/>
              <c:spPr>
                <a:solidFill>
                  <a:schemeClr val="accent2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all!$D$10:$D$33</c:f>
              <c:numCache>
                <c:formatCode>0.0000</c:formatCode>
                <c:ptCount val="24"/>
                <c:pt idx="0">
                  <c:v>0.66698565105034602</c:v>
                </c:pt>
                <c:pt idx="1">
                  <c:v>0.19762137224995299</c:v>
                </c:pt>
                <c:pt idx="2">
                  <c:v>0.54807771119966198</c:v>
                </c:pt>
                <c:pt idx="3">
                  <c:v>0.10106112243990099</c:v>
                </c:pt>
                <c:pt idx="4">
                  <c:v>0.50902572287082404</c:v>
                </c:pt>
                <c:pt idx="7">
                  <c:v>0.463447965306029</c:v>
                </c:pt>
                <c:pt idx="10">
                  <c:v>0.44896728093636801</c:v>
                </c:pt>
                <c:pt idx="11">
                  <c:v>1.5264059910121399</c:v>
                </c:pt>
                <c:pt idx="12">
                  <c:v>0.71671353985517805</c:v>
                </c:pt>
                <c:pt idx="15">
                  <c:v>0.678678630991426</c:v>
                </c:pt>
                <c:pt idx="16">
                  <c:v>0.81343884511072295</c:v>
                </c:pt>
                <c:pt idx="17">
                  <c:v>-1.07855599689062</c:v>
                </c:pt>
                <c:pt idx="18">
                  <c:v>1.34776836410395</c:v>
                </c:pt>
                <c:pt idx="19">
                  <c:v>0.55456789410428697</c:v>
                </c:pt>
                <c:pt idx="20">
                  <c:v>0.70468449804027899</c:v>
                </c:pt>
                <c:pt idx="21">
                  <c:v>-0.373253605455523</c:v>
                </c:pt>
                <c:pt idx="22">
                  <c:v>0.63056904760694898</c:v>
                </c:pt>
                <c:pt idx="23">
                  <c:v>-0.623899602892661</c:v>
                </c:pt>
              </c:numCache>
            </c:numRef>
          </c:xVal>
          <c:yVal>
            <c:numRef>
              <c:f>all!$M$42:$M$65</c:f>
              <c:numCache>
                <c:formatCode>0.000</c:formatCode>
                <c:ptCount val="24"/>
                <c:pt idx="0">
                  <c:v>0.19059894727801999</c:v>
                </c:pt>
                <c:pt idx="2">
                  <c:v>0.499861288181496</c:v>
                </c:pt>
                <c:pt idx="3">
                  <c:v>0.40695810522245701</c:v>
                </c:pt>
                <c:pt idx="4">
                  <c:v>5.4056282725128302E-2</c:v>
                </c:pt>
                <c:pt idx="6">
                  <c:v>0.26690920736687102</c:v>
                </c:pt>
                <c:pt idx="7">
                  <c:v>0.45125668170602201</c:v>
                </c:pt>
                <c:pt idx="8">
                  <c:v>0.51242235468873398</c:v>
                </c:pt>
                <c:pt idx="12">
                  <c:v>-0.14571780115724001</c:v>
                </c:pt>
                <c:pt idx="13">
                  <c:v>0.15611461722769501</c:v>
                </c:pt>
                <c:pt idx="14">
                  <c:v>0.29322882322716898</c:v>
                </c:pt>
                <c:pt idx="15">
                  <c:v>0.19059894727801999</c:v>
                </c:pt>
                <c:pt idx="17">
                  <c:v>0.499861288181496</c:v>
                </c:pt>
                <c:pt idx="18">
                  <c:v>0.40695810522245701</c:v>
                </c:pt>
                <c:pt idx="19">
                  <c:v>5.4056282725128302E-2</c:v>
                </c:pt>
                <c:pt idx="21">
                  <c:v>0.26690920736687102</c:v>
                </c:pt>
                <c:pt idx="22">
                  <c:v>0.45125668170602201</c:v>
                </c:pt>
                <c:pt idx="23">
                  <c:v>0.51242235468873398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84B2-473A-AC15-F5F5FD279A78}"/>
            </c:ext>
          </c:extLst>
        </c:ser>
        <c:ser>
          <c:idx val="2"/>
          <c:order val="2"/>
          <c:tx>
            <c:strRef>
              <c:f>all!$E$4</c:f>
              <c:strCache>
                <c:ptCount val="1"/>
                <c:pt idx="0">
                  <c:v>Aich (2014) 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3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-0.12516549552005096"/>
                  <c:y val="-0.15497773652940713"/>
                </c:manualLayout>
              </c:layout>
              <c:numFmt formatCode="General" sourceLinked="0"/>
              <c:spPr>
                <a:solidFill>
                  <a:schemeClr val="accent6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all!$E$10:$E$33</c:f>
              <c:numCache>
                <c:formatCode>0.0000</c:formatCode>
                <c:ptCount val="24"/>
                <c:pt idx="0">
                  <c:v>8.8732929175135894E-2</c:v>
                </c:pt>
                <c:pt idx="1">
                  <c:v>-1.9463558010346702E-2</c:v>
                </c:pt>
                <c:pt idx="2">
                  <c:v>0.10415722716452799</c:v>
                </c:pt>
                <c:pt idx="3">
                  <c:v>4.66251429291673E-2</c:v>
                </c:pt>
                <c:pt idx="4">
                  <c:v>9.0894558490112708E-3</c:v>
                </c:pt>
                <c:pt idx="7">
                  <c:v>2.0373962034653699E-2</c:v>
                </c:pt>
                <c:pt idx="10">
                  <c:v>2.4947102971666898E-2</c:v>
                </c:pt>
                <c:pt idx="11">
                  <c:v>9.6293174744729593E-3</c:v>
                </c:pt>
                <c:pt idx="12">
                  <c:v>0.14608753400636901</c:v>
                </c:pt>
                <c:pt idx="15">
                  <c:v>1.27691539373017E-2</c:v>
                </c:pt>
                <c:pt idx="16">
                  <c:v>6.7576112725014403E-2</c:v>
                </c:pt>
                <c:pt idx="17">
                  <c:v>-0.35416666689988402</c:v>
                </c:pt>
                <c:pt idx="18">
                  <c:v>4.5646344187588998E-2</c:v>
                </c:pt>
                <c:pt idx="19">
                  <c:v>1.47909285306715E-2</c:v>
                </c:pt>
                <c:pt idx="20">
                  <c:v>3.5842816756479302E-2</c:v>
                </c:pt>
                <c:pt idx="21">
                  <c:v>-4.0383997186219003E-2</c:v>
                </c:pt>
                <c:pt idx="22">
                  <c:v>3.6679485231980898E-2</c:v>
                </c:pt>
                <c:pt idx="23">
                  <c:v>-0.76160033358371604</c:v>
                </c:pt>
              </c:numCache>
            </c:numRef>
          </c:xVal>
          <c:yVal>
            <c:numRef>
              <c:f>all!$M$42:$M$65</c:f>
              <c:numCache>
                <c:formatCode>0.000</c:formatCode>
                <c:ptCount val="24"/>
                <c:pt idx="0">
                  <c:v>0.19059894727801999</c:v>
                </c:pt>
                <c:pt idx="2">
                  <c:v>0.499861288181496</c:v>
                </c:pt>
                <c:pt idx="3">
                  <c:v>0.40695810522245701</c:v>
                </c:pt>
                <c:pt idx="4">
                  <c:v>5.4056282725128302E-2</c:v>
                </c:pt>
                <c:pt idx="6">
                  <c:v>0.26690920736687102</c:v>
                </c:pt>
                <c:pt idx="7">
                  <c:v>0.45125668170602201</c:v>
                </c:pt>
                <c:pt idx="8">
                  <c:v>0.51242235468873398</c:v>
                </c:pt>
                <c:pt idx="12">
                  <c:v>-0.14571780115724001</c:v>
                </c:pt>
                <c:pt idx="13">
                  <c:v>0.15611461722769501</c:v>
                </c:pt>
                <c:pt idx="14">
                  <c:v>0.29322882322716898</c:v>
                </c:pt>
                <c:pt idx="15">
                  <c:v>0.19059894727801999</c:v>
                </c:pt>
                <c:pt idx="17">
                  <c:v>0.499861288181496</c:v>
                </c:pt>
                <c:pt idx="18">
                  <c:v>0.40695810522245701</c:v>
                </c:pt>
                <c:pt idx="19">
                  <c:v>5.4056282725128302E-2</c:v>
                </c:pt>
                <c:pt idx="21">
                  <c:v>0.26690920736687102</c:v>
                </c:pt>
                <c:pt idx="22">
                  <c:v>0.45125668170602201</c:v>
                </c:pt>
                <c:pt idx="23">
                  <c:v>0.51242235468873398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84B2-473A-AC15-F5F5FD279A7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29882927"/>
        <c:axId val="129899727"/>
      </c:scatterChart>
      <c:valAx>
        <c:axId val="129882927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Hysteresis Index</a:t>
                </a:r>
              </a:p>
            </c:rich>
          </c:tx>
          <c:layout>
            <c:manualLayout>
              <c:xMode val="edge"/>
              <c:yMode val="edge"/>
              <c:x val="0.40045326995307451"/>
              <c:y val="0.76253325188986709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9899727"/>
        <c:crosses val="autoZero"/>
        <c:crossBetween val="midCat"/>
      </c:valAx>
      <c:valAx>
        <c:axId val="12989972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Time</a:t>
                </a:r>
                <a:r>
                  <a:rPr lang="en-US" baseline="0"/>
                  <a:t> (hrs)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0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9882927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legendEntry>
        <c:idx val="3"/>
        <c:delete val="1"/>
      </c:legendEntry>
      <c:legendEntry>
        <c:idx val="4"/>
        <c:delete val="1"/>
      </c:legendEntry>
      <c:legendEntry>
        <c:idx val="5"/>
        <c:delete val="1"/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400"/>
              <a:t>DOC</a:t>
            </a:r>
            <a:r>
              <a:rPr lang="en-US" sz="1400" baseline="0"/>
              <a:t> </a:t>
            </a:r>
            <a:r>
              <a:rPr lang="en-US" sz="14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</a:rPr>
              <a:t>HI to excess balance</a:t>
            </a:r>
            <a:endParaRPr lang="en-US" sz="1400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all!$C$4</c:f>
              <c:strCache>
                <c:ptCount val="1"/>
                <c:pt idx="0">
                  <c:v>Langlois (2005)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0.11803843885620964"/>
                  <c:y val="-8.0903670607502129E-2"/>
                </c:manualLayout>
              </c:layout>
              <c:numFmt formatCode="General" sourceLinked="0"/>
              <c:spPr>
                <a:solidFill>
                  <a:schemeClr val="tx2">
                    <a:lumMod val="10000"/>
                    <a:lumOff val="9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all!$C$42:$C$65</c:f>
              <c:numCache>
                <c:formatCode>0.000</c:formatCode>
                <c:ptCount val="24"/>
                <c:pt idx="0">
                  <c:v>1.01982556926034</c:v>
                </c:pt>
                <c:pt idx="1">
                  <c:v>1.0105385292601801</c:v>
                </c:pt>
                <c:pt idx="2">
                  <c:v>1.04413498578157</c:v>
                </c:pt>
                <c:pt idx="3">
                  <c:v>1.04959681992682</c:v>
                </c:pt>
                <c:pt idx="4">
                  <c:v>0.97400899474341096</c:v>
                </c:pt>
                <c:pt idx="7">
                  <c:v>1.03922347944993</c:v>
                </c:pt>
                <c:pt idx="10">
                  <c:v>1.0683907677478099</c:v>
                </c:pt>
                <c:pt idx="11">
                  <c:v>1.13117180110701</c:v>
                </c:pt>
                <c:pt idx="12">
                  <c:v>0.99421602518435603</c:v>
                </c:pt>
                <c:pt idx="14">
                  <c:v>1.0587750080951299</c:v>
                </c:pt>
                <c:pt idx="15">
                  <c:v>1.04764110720538</c:v>
                </c:pt>
                <c:pt idx="16">
                  <c:v>1.1477045338510801</c:v>
                </c:pt>
                <c:pt idx="17">
                  <c:v>1.1126612766097499</c:v>
                </c:pt>
                <c:pt idx="18">
                  <c:v>1.2530304455719099</c:v>
                </c:pt>
                <c:pt idx="19">
                  <c:v>1.0813804129035001</c:v>
                </c:pt>
                <c:pt idx="20">
                  <c:v>1.2134925086481201</c:v>
                </c:pt>
                <c:pt idx="21">
                  <c:v>1.08380817355586</c:v>
                </c:pt>
                <c:pt idx="22">
                  <c:v>1.0367372638660399</c:v>
                </c:pt>
                <c:pt idx="23">
                  <c:v>1.1282134088167699</c:v>
                </c:pt>
              </c:numCache>
            </c:numRef>
          </c:xVal>
          <c:yVal>
            <c:numRef>
              <c:f>all!$M$42:$M$65</c:f>
              <c:numCache>
                <c:formatCode>0.000</c:formatCode>
                <c:ptCount val="24"/>
                <c:pt idx="0">
                  <c:v>0.19059894727801999</c:v>
                </c:pt>
                <c:pt idx="2">
                  <c:v>0.499861288181496</c:v>
                </c:pt>
                <c:pt idx="3">
                  <c:v>0.40695810522245701</c:v>
                </c:pt>
                <c:pt idx="4">
                  <c:v>5.4056282725128302E-2</c:v>
                </c:pt>
                <c:pt idx="6">
                  <c:v>0.26690920736687102</c:v>
                </c:pt>
                <c:pt idx="7">
                  <c:v>0.45125668170602201</c:v>
                </c:pt>
                <c:pt idx="8">
                  <c:v>0.51242235468873398</c:v>
                </c:pt>
                <c:pt idx="12">
                  <c:v>-0.14571780115724001</c:v>
                </c:pt>
                <c:pt idx="13">
                  <c:v>0.15611461722769501</c:v>
                </c:pt>
                <c:pt idx="14">
                  <c:v>0.29322882322716898</c:v>
                </c:pt>
                <c:pt idx="15">
                  <c:v>0.19059894727801999</c:v>
                </c:pt>
                <c:pt idx="17">
                  <c:v>0.499861288181496</c:v>
                </c:pt>
                <c:pt idx="18">
                  <c:v>0.40695810522245701</c:v>
                </c:pt>
                <c:pt idx="19">
                  <c:v>5.4056282725128302E-2</c:v>
                </c:pt>
                <c:pt idx="21">
                  <c:v>0.26690920736687102</c:v>
                </c:pt>
                <c:pt idx="22">
                  <c:v>0.45125668170602201</c:v>
                </c:pt>
                <c:pt idx="23">
                  <c:v>0.51242235468873398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21D4-45C9-B771-EB883113BF1E}"/>
            </c:ext>
          </c:extLst>
        </c:ser>
        <c:ser>
          <c:idx val="1"/>
          <c:order val="1"/>
          <c:tx>
            <c:strRef>
              <c:f>all!$D$4</c:f>
              <c:strCache>
                <c:ptCount val="1"/>
                <c:pt idx="0">
                  <c:v>Lawler (2006)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-0.15338638790409023"/>
                  <c:y val="-6.9406035865745883E-2"/>
                </c:manualLayout>
              </c:layout>
              <c:numFmt formatCode="General" sourceLinked="0"/>
              <c:spPr>
                <a:solidFill>
                  <a:schemeClr val="accent2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all!$D$42:$D$65</c:f>
              <c:numCache>
                <c:formatCode>0.000</c:formatCode>
                <c:ptCount val="24"/>
                <c:pt idx="0">
                  <c:v>0.38831940167197898</c:v>
                </c:pt>
                <c:pt idx="1">
                  <c:v>0.597784224122066</c:v>
                </c:pt>
                <c:pt idx="2">
                  <c:v>0.92934562720262803</c:v>
                </c:pt>
                <c:pt idx="3">
                  <c:v>-0.33094957948560899</c:v>
                </c:pt>
                <c:pt idx="4">
                  <c:v>-0.27375631737886102</c:v>
                </c:pt>
                <c:pt idx="7">
                  <c:v>0.59399199353963394</c:v>
                </c:pt>
                <c:pt idx="10">
                  <c:v>0.74870138294766397</c:v>
                </c:pt>
                <c:pt idx="11">
                  <c:v>1.1019405303793299</c:v>
                </c:pt>
                <c:pt idx="12">
                  <c:v>0.17884914222762199</c:v>
                </c:pt>
                <c:pt idx="14">
                  <c:v>0.662333397055619</c:v>
                </c:pt>
                <c:pt idx="15">
                  <c:v>1.10062768451704</c:v>
                </c:pt>
                <c:pt idx="16">
                  <c:v>0.97101599927504101</c:v>
                </c:pt>
                <c:pt idx="17">
                  <c:v>0.95380985457733503</c:v>
                </c:pt>
                <c:pt idx="18">
                  <c:v>1.1029723476739599</c:v>
                </c:pt>
                <c:pt idx="19">
                  <c:v>0.52079829390269505</c:v>
                </c:pt>
                <c:pt idx="20">
                  <c:v>0.94175163201491896</c:v>
                </c:pt>
                <c:pt idx="21">
                  <c:v>0.28231733716004298</c:v>
                </c:pt>
                <c:pt idx="22">
                  <c:v>0.55097576187408004</c:v>
                </c:pt>
                <c:pt idx="23">
                  <c:v>0.99053604379690696</c:v>
                </c:pt>
              </c:numCache>
            </c:numRef>
          </c:xVal>
          <c:yVal>
            <c:numRef>
              <c:f>all!$M$42:$M$65</c:f>
              <c:numCache>
                <c:formatCode>0.000</c:formatCode>
                <c:ptCount val="24"/>
                <c:pt idx="0">
                  <c:v>0.19059894727801999</c:v>
                </c:pt>
                <c:pt idx="2">
                  <c:v>0.499861288181496</c:v>
                </c:pt>
                <c:pt idx="3">
                  <c:v>0.40695810522245701</c:v>
                </c:pt>
                <c:pt idx="4">
                  <c:v>5.4056282725128302E-2</c:v>
                </c:pt>
                <c:pt idx="6">
                  <c:v>0.26690920736687102</c:v>
                </c:pt>
                <c:pt idx="7">
                  <c:v>0.45125668170602201</c:v>
                </c:pt>
                <c:pt idx="8">
                  <c:v>0.51242235468873398</c:v>
                </c:pt>
                <c:pt idx="12">
                  <c:v>-0.14571780115724001</c:v>
                </c:pt>
                <c:pt idx="13">
                  <c:v>0.15611461722769501</c:v>
                </c:pt>
                <c:pt idx="14">
                  <c:v>0.29322882322716898</c:v>
                </c:pt>
                <c:pt idx="15">
                  <c:v>0.19059894727801999</c:v>
                </c:pt>
                <c:pt idx="17">
                  <c:v>0.499861288181496</c:v>
                </c:pt>
                <c:pt idx="18">
                  <c:v>0.40695810522245701</c:v>
                </c:pt>
                <c:pt idx="19">
                  <c:v>5.4056282725128302E-2</c:v>
                </c:pt>
                <c:pt idx="21">
                  <c:v>0.26690920736687102</c:v>
                </c:pt>
                <c:pt idx="22">
                  <c:v>0.45125668170602201</c:v>
                </c:pt>
                <c:pt idx="23">
                  <c:v>0.51242235468873398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21D4-45C9-B771-EB883113BF1E}"/>
            </c:ext>
          </c:extLst>
        </c:ser>
        <c:ser>
          <c:idx val="2"/>
          <c:order val="2"/>
          <c:tx>
            <c:strRef>
              <c:f>all!$E$4</c:f>
              <c:strCache>
                <c:ptCount val="1"/>
                <c:pt idx="0">
                  <c:v>Aich (2014) 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3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-5.3252946629997952E-2"/>
                  <c:y val="1.6192228261109907E-2"/>
                </c:manualLayout>
              </c:layout>
              <c:numFmt formatCode="General" sourceLinked="0"/>
              <c:spPr>
                <a:solidFill>
                  <a:schemeClr val="accent6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all!$E$42:$E$65</c:f>
              <c:numCache>
                <c:formatCode>0.000</c:formatCode>
                <c:ptCount val="24"/>
                <c:pt idx="0">
                  <c:v>1.20306787922476E-2</c:v>
                </c:pt>
                <c:pt idx="1">
                  <c:v>2.7386597361713599E-2</c:v>
                </c:pt>
                <c:pt idx="2">
                  <c:v>2.8615745110634201E-2</c:v>
                </c:pt>
                <c:pt idx="3">
                  <c:v>4.4113621235337297E-2</c:v>
                </c:pt>
                <c:pt idx="4">
                  <c:v>-8.0536265843332393E-3</c:v>
                </c:pt>
                <c:pt idx="7">
                  <c:v>2.7450804091866201E-2</c:v>
                </c:pt>
                <c:pt idx="10">
                  <c:v>6.5697545304297195E-2</c:v>
                </c:pt>
                <c:pt idx="11">
                  <c:v>0.132436068542756</c:v>
                </c:pt>
                <c:pt idx="12">
                  <c:v>-4.2076076707890497E-3</c:v>
                </c:pt>
                <c:pt idx="14">
                  <c:v>0.12430930853391101</c:v>
                </c:pt>
                <c:pt idx="15">
                  <c:v>9.2876994447724404E-2</c:v>
                </c:pt>
                <c:pt idx="16">
                  <c:v>8.3834633446242604E-2</c:v>
                </c:pt>
                <c:pt idx="17">
                  <c:v>4.4857179056258203E-2</c:v>
                </c:pt>
                <c:pt idx="18">
                  <c:v>7.6664996000854094E-2</c:v>
                </c:pt>
                <c:pt idx="19">
                  <c:v>2.1219861817338499E-2</c:v>
                </c:pt>
                <c:pt idx="20">
                  <c:v>8.5275451626537893E-2</c:v>
                </c:pt>
                <c:pt idx="21">
                  <c:v>3.1629539106965802E-2</c:v>
                </c:pt>
                <c:pt idx="22">
                  <c:v>4.3964016574286002E-2</c:v>
                </c:pt>
                <c:pt idx="23">
                  <c:v>5.3048699734524599E-2</c:v>
                </c:pt>
              </c:numCache>
            </c:numRef>
          </c:xVal>
          <c:yVal>
            <c:numRef>
              <c:f>all!$M$42:$M$65</c:f>
              <c:numCache>
                <c:formatCode>0.000</c:formatCode>
                <c:ptCount val="24"/>
                <c:pt idx="0">
                  <c:v>0.19059894727801999</c:v>
                </c:pt>
                <c:pt idx="2">
                  <c:v>0.499861288181496</c:v>
                </c:pt>
                <c:pt idx="3">
                  <c:v>0.40695810522245701</c:v>
                </c:pt>
                <c:pt idx="4">
                  <c:v>5.4056282725128302E-2</c:v>
                </c:pt>
                <c:pt idx="6">
                  <c:v>0.26690920736687102</c:v>
                </c:pt>
                <c:pt idx="7">
                  <c:v>0.45125668170602201</c:v>
                </c:pt>
                <c:pt idx="8">
                  <c:v>0.51242235468873398</c:v>
                </c:pt>
                <c:pt idx="12">
                  <c:v>-0.14571780115724001</c:v>
                </c:pt>
                <c:pt idx="13">
                  <c:v>0.15611461722769501</c:v>
                </c:pt>
                <c:pt idx="14">
                  <c:v>0.29322882322716898</c:v>
                </c:pt>
                <c:pt idx="15">
                  <c:v>0.19059894727801999</c:v>
                </c:pt>
                <c:pt idx="17">
                  <c:v>0.499861288181496</c:v>
                </c:pt>
                <c:pt idx="18">
                  <c:v>0.40695810522245701</c:v>
                </c:pt>
                <c:pt idx="19">
                  <c:v>5.4056282725128302E-2</c:v>
                </c:pt>
                <c:pt idx="21">
                  <c:v>0.26690920736687102</c:v>
                </c:pt>
                <c:pt idx="22">
                  <c:v>0.45125668170602201</c:v>
                </c:pt>
                <c:pt idx="23">
                  <c:v>0.51242235468873398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21D4-45C9-B771-EB883113BF1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29882927"/>
        <c:axId val="129899727"/>
      </c:scatterChart>
      <c:valAx>
        <c:axId val="129882927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Hysteresis Index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9899727"/>
        <c:crosses val="autoZero"/>
        <c:crossBetween val="midCat"/>
      </c:valAx>
      <c:valAx>
        <c:axId val="12989972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Time (hrs)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0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9882927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legendEntry>
        <c:idx val="3"/>
        <c:delete val="1"/>
      </c:legendEntry>
      <c:legendEntry>
        <c:idx val="4"/>
        <c:delete val="1"/>
      </c:legendEntry>
      <c:legendEntry>
        <c:idx val="5"/>
        <c:delete val="1"/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400"/>
              <a:t>Turbidity</a:t>
            </a:r>
            <a:r>
              <a:rPr lang="en-US" sz="1400" baseline="0"/>
              <a:t> </a:t>
            </a:r>
            <a:r>
              <a:rPr lang="en-US" sz="14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</a:rPr>
              <a:t>HI to excess balance</a:t>
            </a:r>
            <a:endParaRPr lang="en-US" sz="1400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all!$D$67</c:f>
              <c:strCache>
                <c:ptCount val="1"/>
                <c:pt idx="0">
                  <c:v>Langlois (2005)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6.9535463621845692E-2"/>
                  <c:y val="-0.14645240515887281"/>
                </c:manualLayout>
              </c:layout>
              <c:numFmt formatCode="General" sourceLinked="0"/>
              <c:spPr>
                <a:solidFill>
                  <a:schemeClr val="tx2">
                    <a:lumMod val="10000"/>
                    <a:lumOff val="9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all!$D$70:$D$96</c:f>
              <c:numCache>
                <c:formatCode>0.0000</c:formatCode>
                <c:ptCount val="27"/>
                <c:pt idx="0">
                  <c:v>1.2108318271354701</c:v>
                </c:pt>
                <c:pt idx="1">
                  <c:v>1.14568818263897</c:v>
                </c:pt>
                <c:pt idx="2">
                  <c:v>1.10273002217056</c:v>
                </c:pt>
                <c:pt idx="3">
                  <c:v>1.2576523908335999</c:v>
                </c:pt>
                <c:pt idx="4">
                  <c:v>1.24807759229999</c:v>
                </c:pt>
                <c:pt idx="5">
                  <c:v>1.42877693896201</c:v>
                </c:pt>
                <c:pt idx="6">
                  <c:v>1.33941755807892</c:v>
                </c:pt>
                <c:pt idx="7">
                  <c:v>1.3769164984553499</c:v>
                </c:pt>
                <c:pt idx="8">
                  <c:v>1.66488624253968</c:v>
                </c:pt>
                <c:pt idx="9">
                  <c:v>1.1538999764416</c:v>
                </c:pt>
                <c:pt idx="10">
                  <c:v>1.5749763159783401</c:v>
                </c:pt>
                <c:pt idx="11">
                  <c:v>1.3735151389442699</c:v>
                </c:pt>
                <c:pt idx="13">
                  <c:v>1.05849048577709</c:v>
                </c:pt>
                <c:pt idx="14">
                  <c:v>1.4368219825375701</c:v>
                </c:pt>
                <c:pt idx="15">
                  <c:v>1.1632876834321</c:v>
                </c:pt>
                <c:pt idx="16">
                  <c:v>1.1661766362910899</c:v>
                </c:pt>
                <c:pt idx="17">
                  <c:v>1.1611078257792899</c:v>
                </c:pt>
                <c:pt idx="18">
                  <c:v>1.2283054504143001</c:v>
                </c:pt>
                <c:pt idx="19">
                  <c:v>1.2985932043400299</c:v>
                </c:pt>
                <c:pt idx="20">
                  <c:v>1.25880991704892</c:v>
                </c:pt>
                <c:pt idx="21">
                  <c:v>1.2914529576795399</c:v>
                </c:pt>
                <c:pt idx="22">
                  <c:v>1.2886907903199001</c:v>
                </c:pt>
                <c:pt idx="23">
                  <c:v>1.39612401914989</c:v>
                </c:pt>
                <c:pt idx="24">
                  <c:v>1.15490049713987</c:v>
                </c:pt>
                <c:pt idx="25">
                  <c:v>1.6223687074200499</c:v>
                </c:pt>
                <c:pt idx="26">
                  <c:v>1.4572146309152101</c:v>
                </c:pt>
              </c:numCache>
            </c:numRef>
          </c:xVal>
          <c:yVal>
            <c:numRef>
              <c:f>all!$M$39:$M$65</c:f>
              <c:numCache>
                <c:formatCode>0.000</c:formatCode>
                <c:ptCount val="27"/>
                <c:pt idx="0">
                  <c:v>-0.14571780115724001</c:v>
                </c:pt>
                <c:pt idx="1">
                  <c:v>0.15611461722769501</c:v>
                </c:pt>
                <c:pt idx="2">
                  <c:v>0.29322882322716898</c:v>
                </c:pt>
                <c:pt idx="3">
                  <c:v>0.19059894727801999</c:v>
                </c:pt>
                <c:pt idx="5">
                  <c:v>0.499861288181496</c:v>
                </c:pt>
                <c:pt idx="6">
                  <c:v>0.40695810522245701</c:v>
                </c:pt>
                <c:pt idx="7">
                  <c:v>5.4056282725128302E-2</c:v>
                </c:pt>
                <c:pt idx="9">
                  <c:v>0.26690920736687102</c:v>
                </c:pt>
                <c:pt idx="10">
                  <c:v>0.45125668170602201</c:v>
                </c:pt>
                <c:pt idx="11">
                  <c:v>0.51242235468873398</c:v>
                </c:pt>
                <c:pt idx="15">
                  <c:v>-0.14571780115724001</c:v>
                </c:pt>
                <c:pt idx="16">
                  <c:v>0.15611461722769501</c:v>
                </c:pt>
                <c:pt idx="17">
                  <c:v>0.29322882322716898</c:v>
                </c:pt>
                <c:pt idx="18">
                  <c:v>0.19059894727801999</c:v>
                </c:pt>
                <c:pt idx="20">
                  <c:v>0.499861288181496</c:v>
                </c:pt>
                <c:pt idx="21">
                  <c:v>0.40695810522245701</c:v>
                </c:pt>
                <c:pt idx="22">
                  <c:v>5.4056282725128302E-2</c:v>
                </c:pt>
                <c:pt idx="24">
                  <c:v>0.26690920736687102</c:v>
                </c:pt>
                <c:pt idx="25">
                  <c:v>0.45125668170602201</c:v>
                </c:pt>
                <c:pt idx="26">
                  <c:v>0.51242235468873398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7BC7-49DF-B424-58C840773FE3}"/>
            </c:ext>
          </c:extLst>
        </c:ser>
        <c:ser>
          <c:idx val="1"/>
          <c:order val="1"/>
          <c:tx>
            <c:strRef>
              <c:f>all!$E$67</c:f>
              <c:strCache>
                <c:ptCount val="1"/>
                <c:pt idx="0">
                  <c:v>Lawler (2006)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-1.2760417600625528E-2"/>
                  <c:y val="-0.11126487909240812"/>
                </c:manualLayout>
              </c:layout>
              <c:numFmt formatCode="General" sourceLinked="0"/>
              <c:spPr>
                <a:solidFill>
                  <a:schemeClr val="accent2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all!$E$70:$E$96</c:f>
              <c:numCache>
                <c:formatCode>0.0000</c:formatCode>
                <c:ptCount val="27"/>
                <c:pt idx="0">
                  <c:v>0.92629163740877796</c:v>
                </c:pt>
                <c:pt idx="1">
                  <c:v>0.723568252950335</c:v>
                </c:pt>
                <c:pt idx="2">
                  <c:v>0.92947006080395</c:v>
                </c:pt>
                <c:pt idx="3">
                  <c:v>0.77855192606860901</c:v>
                </c:pt>
                <c:pt idx="4">
                  <c:v>0.55577143716833499</c:v>
                </c:pt>
                <c:pt idx="5">
                  <c:v>0.33551375674123601</c:v>
                </c:pt>
                <c:pt idx="6">
                  <c:v>0.63731372986403501</c:v>
                </c:pt>
                <c:pt idx="7">
                  <c:v>-0.44248745305980902</c:v>
                </c:pt>
                <c:pt idx="8">
                  <c:v>0.73952445342362605</c:v>
                </c:pt>
                <c:pt idx="9">
                  <c:v>9.3645385178040705E-2</c:v>
                </c:pt>
                <c:pt idx="10">
                  <c:v>0.78100360785877099</c:v>
                </c:pt>
                <c:pt idx="11">
                  <c:v>0.76865077228085099</c:v>
                </c:pt>
                <c:pt idx="13">
                  <c:v>-0.73582121336391904</c:v>
                </c:pt>
                <c:pt idx="14">
                  <c:v>0.96854380596042999</c:v>
                </c:pt>
                <c:pt idx="15">
                  <c:v>0.91285830032378401</c:v>
                </c:pt>
                <c:pt idx="16">
                  <c:v>0.69952356032694896</c:v>
                </c:pt>
                <c:pt idx="17">
                  <c:v>0.97668665464899096</c:v>
                </c:pt>
                <c:pt idx="18">
                  <c:v>0.33582626900186402</c:v>
                </c:pt>
                <c:pt idx="19">
                  <c:v>0.52794332050181203</c:v>
                </c:pt>
                <c:pt idx="20">
                  <c:v>0.94081849763111403</c:v>
                </c:pt>
                <c:pt idx="21">
                  <c:v>0.445945938664987</c:v>
                </c:pt>
                <c:pt idx="22">
                  <c:v>-0.136935986249347</c:v>
                </c:pt>
                <c:pt idx="23">
                  <c:v>0.97165157928161605</c:v>
                </c:pt>
                <c:pt idx="24">
                  <c:v>0.47813963463856402</c:v>
                </c:pt>
                <c:pt idx="25">
                  <c:v>0.74242380847501299</c:v>
                </c:pt>
                <c:pt idx="26">
                  <c:v>0.80433038241724497</c:v>
                </c:pt>
              </c:numCache>
            </c:numRef>
          </c:xVal>
          <c:yVal>
            <c:numRef>
              <c:f>all!$M$39:$M$65</c:f>
              <c:numCache>
                <c:formatCode>0.000</c:formatCode>
                <c:ptCount val="27"/>
                <c:pt idx="0">
                  <c:v>-0.14571780115724001</c:v>
                </c:pt>
                <c:pt idx="1">
                  <c:v>0.15611461722769501</c:v>
                </c:pt>
                <c:pt idx="2">
                  <c:v>0.29322882322716898</c:v>
                </c:pt>
                <c:pt idx="3">
                  <c:v>0.19059894727801999</c:v>
                </c:pt>
                <c:pt idx="5">
                  <c:v>0.499861288181496</c:v>
                </c:pt>
                <c:pt idx="6">
                  <c:v>0.40695810522245701</c:v>
                </c:pt>
                <c:pt idx="7">
                  <c:v>5.4056282725128302E-2</c:v>
                </c:pt>
                <c:pt idx="9">
                  <c:v>0.26690920736687102</c:v>
                </c:pt>
                <c:pt idx="10">
                  <c:v>0.45125668170602201</c:v>
                </c:pt>
                <c:pt idx="11">
                  <c:v>0.51242235468873398</c:v>
                </c:pt>
                <c:pt idx="15">
                  <c:v>-0.14571780115724001</c:v>
                </c:pt>
                <c:pt idx="16">
                  <c:v>0.15611461722769501</c:v>
                </c:pt>
                <c:pt idx="17">
                  <c:v>0.29322882322716898</c:v>
                </c:pt>
                <c:pt idx="18">
                  <c:v>0.19059894727801999</c:v>
                </c:pt>
                <c:pt idx="20">
                  <c:v>0.499861288181496</c:v>
                </c:pt>
                <c:pt idx="21">
                  <c:v>0.40695810522245701</c:v>
                </c:pt>
                <c:pt idx="22">
                  <c:v>5.4056282725128302E-2</c:v>
                </c:pt>
                <c:pt idx="24">
                  <c:v>0.26690920736687102</c:v>
                </c:pt>
                <c:pt idx="25">
                  <c:v>0.45125668170602201</c:v>
                </c:pt>
                <c:pt idx="26">
                  <c:v>0.51242235468873398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7BC7-49DF-B424-58C840773FE3}"/>
            </c:ext>
          </c:extLst>
        </c:ser>
        <c:ser>
          <c:idx val="2"/>
          <c:order val="2"/>
          <c:tx>
            <c:strRef>
              <c:f>all!$E$4</c:f>
              <c:strCache>
                <c:ptCount val="1"/>
                <c:pt idx="0">
                  <c:v>Aich (2014) 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3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-0.17392844718536626"/>
                  <c:y val="-0.21352402281092164"/>
                </c:manualLayout>
              </c:layout>
              <c:numFmt formatCode="General" sourceLinked="0"/>
              <c:spPr>
                <a:solidFill>
                  <a:schemeClr val="accent6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all!$F$70:$F$96</c:f>
              <c:numCache>
                <c:formatCode>0.0000</c:formatCode>
                <c:ptCount val="27"/>
                <c:pt idx="0">
                  <c:v>0.11077055296162799</c:v>
                </c:pt>
                <c:pt idx="1">
                  <c:v>1.0650915621547401E-2</c:v>
                </c:pt>
                <c:pt idx="2">
                  <c:v>-2.2683422982125001E-2</c:v>
                </c:pt>
                <c:pt idx="3">
                  <c:v>0.15621819275209001</c:v>
                </c:pt>
                <c:pt idx="4">
                  <c:v>0.15071577677020101</c:v>
                </c:pt>
                <c:pt idx="5">
                  <c:v>5.5397551503622099E-2</c:v>
                </c:pt>
                <c:pt idx="6">
                  <c:v>6.9883057908481996E-2</c:v>
                </c:pt>
                <c:pt idx="7">
                  <c:v>7.8645648239850305E-2</c:v>
                </c:pt>
                <c:pt idx="8">
                  <c:v>0.17832892113485599</c:v>
                </c:pt>
                <c:pt idx="9">
                  <c:v>2.1496979213356301E-3</c:v>
                </c:pt>
                <c:pt idx="10">
                  <c:v>0.101236914763633</c:v>
                </c:pt>
                <c:pt idx="11">
                  <c:v>0.107400232693555</c:v>
                </c:pt>
                <c:pt idx="13">
                  <c:v>8.4573685986466099E-2</c:v>
                </c:pt>
                <c:pt idx="14">
                  <c:v>0.198594884621278</c:v>
                </c:pt>
                <c:pt idx="15">
                  <c:v>6.8212961854365706E-2</c:v>
                </c:pt>
                <c:pt idx="16">
                  <c:v>4.9611646415268197E-2</c:v>
                </c:pt>
                <c:pt idx="17">
                  <c:v>0.107447815904682</c:v>
                </c:pt>
                <c:pt idx="18">
                  <c:v>0.39411883766970102</c:v>
                </c:pt>
                <c:pt idx="19">
                  <c:v>9.0698601563059603E-2</c:v>
                </c:pt>
                <c:pt idx="20">
                  <c:v>9.9852529707758195E-2</c:v>
                </c:pt>
                <c:pt idx="21">
                  <c:v>5.5815481283492403E-2</c:v>
                </c:pt>
                <c:pt idx="22">
                  <c:v>9.5391388976058394E-2</c:v>
                </c:pt>
                <c:pt idx="23">
                  <c:v>9.9540545016305104E-2</c:v>
                </c:pt>
                <c:pt idx="24">
                  <c:v>0.115227328160236</c:v>
                </c:pt>
                <c:pt idx="25">
                  <c:v>0.157732693122626</c:v>
                </c:pt>
                <c:pt idx="26">
                  <c:v>0.121156039239802</c:v>
                </c:pt>
              </c:numCache>
            </c:numRef>
          </c:xVal>
          <c:yVal>
            <c:numRef>
              <c:f>all!$M$39:$M$65</c:f>
              <c:numCache>
                <c:formatCode>0.000</c:formatCode>
                <c:ptCount val="27"/>
                <c:pt idx="0">
                  <c:v>-0.14571780115724001</c:v>
                </c:pt>
                <c:pt idx="1">
                  <c:v>0.15611461722769501</c:v>
                </c:pt>
                <c:pt idx="2">
                  <c:v>0.29322882322716898</c:v>
                </c:pt>
                <c:pt idx="3">
                  <c:v>0.19059894727801999</c:v>
                </c:pt>
                <c:pt idx="5">
                  <c:v>0.499861288181496</c:v>
                </c:pt>
                <c:pt idx="6">
                  <c:v>0.40695810522245701</c:v>
                </c:pt>
                <c:pt idx="7">
                  <c:v>5.4056282725128302E-2</c:v>
                </c:pt>
                <c:pt idx="9">
                  <c:v>0.26690920736687102</c:v>
                </c:pt>
                <c:pt idx="10">
                  <c:v>0.45125668170602201</c:v>
                </c:pt>
                <c:pt idx="11">
                  <c:v>0.51242235468873398</c:v>
                </c:pt>
                <c:pt idx="15">
                  <c:v>-0.14571780115724001</c:v>
                </c:pt>
                <c:pt idx="16">
                  <c:v>0.15611461722769501</c:v>
                </c:pt>
                <c:pt idx="17">
                  <c:v>0.29322882322716898</c:v>
                </c:pt>
                <c:pt idx="18">
                  <c:v>0.19059894727801999</c:v>
                </c:pt>
                <c:pt idx="20">
                  <c:v>0.499861288181496</c:v>
                </c:pt>
                <c:pt idx="21">
                  <c:v>0.40695810522245701</c:v>
                </c:pt>
                <c:pt idx="22">
                  <c:v>5.4056282725128302E-2</c:v>
                </c:pt>
                <c:pt idx="24">
                  <c:v>0.26690920736687102</c:v>
                </c:pt>
                <c:pt idx="25">
                  <c:v>0.45125668170602201</c:v>
                </c:pt>
                <c:pt idx="26">
                  <c:v>0.51242235468873398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7BC7-49DF-B424-58C840773FE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29882927"/>
        <c:axId val="129899727"/>
      </c:scatterChart>
      <c:valAx>
        <c:axId val="129882927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Hysteresis Index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9899727"/>
        <c:crosses val="autoZero"/>
        <c:crossBetween val="midCat"/>
      </c:valAx>
      <c:valAx>
        <c:axId val="12989972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Time (hrs)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0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9882927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legendEntry>
        <c:idx val="3"/>
        <c:delete val="1"/>
      </c:legendEntry>
      <c:legendEntry>
        <c:idx val="4"/>
        <c:delete val="1"/>
      </c:legendEntry>
      <c:legendEntry>
        <c:idx val="5"/>
        <c:delete val="1"/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fDOM</a:t>
            </a:r>
            <a:r>
              <a:rPr lang="en-US" baseline="0"/>
              <a:t> </a:t>
            </a:r>
            <a:r>
              <a:rPr lang="en-US" sz="14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</a:rPr>
              <a:t>HI to excess balance</a:t>
            </a:r>
            <a:endParaRPr lang="en-US"/>
          </a:p>
        </c:rich>
      </c:tx>
      <c:layout>
        <c:manualLayout>
          <c:xMode val="edge"/>
          <c:yMode val="edge"/>
          <c:x val="0.29972444905815665"/>
          <c:y val="4.7283925285606494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0.16066650974548111"/>
          <c:y val="0.18004530917761208"/>
          <c:w val="0.75074186828700784"/>
          <c:h val="0.49375460344531691"/>
        </c:manualLayout>
      </c:layout>
      <c:scatterChart>
        <c:scatterStyle val="lineMarker"/>
        <c:varyColors val="0"/>
        <c:ser>
          <c:idx val="0"/>
          <c:order val="0"/>
          <c:tx>
            <c:strRef>
              <c:f>all!$C$4</c:f>
              <c:strCache>
                <c:ptCount val="1"/>
                <c:pt idx="0">
                  <c:v>Langlois (2005)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0.13463290142047085"/>
                  <c:y val="-0.23360284470622902"/>
                </c:manualLayout>
              </c:layout>
              <c:numFmt formatCode="General" sourceLinked="0"/>
              <c:spPr>
                <a:solidFill>
                  <a:schemeClr val="tx2">
                    <a:lumMod val="10000"/>
                    <a:lumOff val="9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all!$R$70:$R$96</c:f>
              <c:numCache>
                <c:formatCode>0.00000</c:formatCode>
                <c:ptCount val="27"/>
                <c:pt idx="0">
                  <c:v>0.98302221968248604</c:v>
                </c:pt>
                <c:pt idx="1">
                  <c:v>0.99703728594241603</c:v>
                </c:pt>
                <c:pt idx="2">
                  <c:v>1.05414106800948</c:v>
                </c:pt>
                <c:pt idx="3">
                  <c:v>1.00376784280544</c:v>
                </c:pt>
                <c:pt idx="4">
                  <c:v>0.965580440673389</c:v>
                </c:pt>
                <c:pt idx="5">
                  <c:v>1.0368691348627199</c:v>
                </c:pt>
                <c:pt idx="6">
                  <c:v>0.98011971152962396</c:v>
                </c:pt>
                <c:pt idx="7">
                  <c:v>0.80472452573481301</c:v>
                </c:pt>
                <c:pt idx="8">
                  <c:v>1.07122215244959</c:v>
                </c:pt>
                <c:pt idx="9">
                  <c:v>0.96842975873578097</c:v>
                </c:pt>
                <c:pt idx="10">
                  <c:v>0.99721998555050795</c:v>
                </c:pt>
                <c:pt idx="11">
                  <c:v>1.0088578932758001</c:v>
                </c:pt>
                <c:pt idx="13" formatCode="0.000">
                  <c:v>0.45078352403799399</c:v>
                </c:pt>
                <c:pt idx="14" formatCode="0.000">
                  <c:v>0.94043662960440699</c:v>
                </c:pt>
                <c:pt idx="15" formatCode="0.000">
                  <c:v>0.95863149267075098</c:v>
                </c:pt>
                <c:pt idx="16" formatCode="0.000">
                  <c:v>0.98251699448728103</c:v>
                </c:pt>
                <c:pt idx="17" formatCode="0.000">
                  <c:v>1.0568614326035</c:v>
                </c:pt>
                <c:pt idx="18" formatCode="0.000">
                  <c:v>1.03826719630338</c:v>
                </c:pt>
                <c:pt idx="19" formatCode="0.000">
                  <c:v>0.93867849021001804</c:v>
                </c:pt>
                <c:pt idx="20" formatCode="0.000">
                  <c:v>1.08896416336113</c:v>
                </c:pt>
                <c:pt idx="21" formatCode="0.000">
                  <c:v>1.18553177339745</c:v>
                </c:pt>
                <c:pt idx="22" formatCode="0.000">
                  <c:v>1.0643830961710401</c:v>
                </c:pt>
                <c:pt idx="23" formatCode="0.000">
                  <c:v>1.0913993357873799</c:v>
                </c:pt>
                <c:pt idx="24" formatCode="0.000">
                  <c:v>1.00259808767117</c:v>
                </c:pt>
                <c:pt idx="25" formatCode="0.000">
                  <c:v>1.0043452914566</c:v>
                </c:pt>
                <c:pt idx="26" formatCode="0.000">
                  <c:v>0.40870513477919201</c:v>
                </c:pt>
              </c:numCache>
            </c:numRef>
          </c:xVal>
          <c:yVal>
            <c:numRef>
              <c:f>all!$M$39:$M$65</c:f>
              <c:numCache>
                <c:formatCode>0.000</c:formatCode>
                <c:ptCount val="27"/>
                <c:pt idx="0">
                  <c:v>-0.14571780115724001</c:v>
                </c:pt>
                <c:pt idx="1">
                  <c:v>0.15611461722769501</c:v>
                </c:pt>
                <c:pt idx="2">
                  <c:v>0.29322882322716898</c:v>
                </c:pt>
                <c:pt idx="3">
                  <c:v>0.19059894727801999</c:v>
                </c:pt>
                <c:pt idx="5">
                  <c:v>0.499861288181496</c:v>
                </c:pt>
                <c:pt idx="6">
                  <c:v>0.40695810522245701</c:v>
                </c:pt>
                <c:pt idx="7">
                  <c:v>5.4056282725128302E-2</c:v>
                </c:pt>
                <c:pt idx="9">
                  <c:v>0.26690920736687102</c:v>
                </c:pt>
                <c:pt idx="10">
                  <c:v>0.45125668170602201</c:v>
                </c:pt>
                <c:pt idx="11">
                  <c:v>0.51242235468873398</c:v>
                </c:pt>
                <c:pt idx="15">
                  <c:v>-0.14571780115724001</c:v>
                </c:pt>
                <c:pt idx="16">
                  <c:v>0.15611461722769501</c:v>
                </c:pt>
                <c:pt idx="17">
                  <c:v>0.29322882322716898</c:v>
                </c:pt>
                <c:pt idx="18">
                  <c:v>0.19059894727801999</c:v>
                </c:pt>
                <c:pt idx="20">
                  <c:v>0.499861288181496</c:v>
                </c:pt>
                <c:pt idx="21">
                  <c:v>0.40695810522245701</c:v>
                </c:pt>
                <c:pt idx="22">
                  <c:v>5.4056282725128302E-2</c:v>
                </c:pt>
                <c:pt idx="24">
                  <c:v>0.26690920736687102</c:v>
                </c:pt>
                <c:pt idx="25">
                  <c:v>0.45125668170602201</c:v>
                </c:pt>
                <c:pt idx="26">
                  <c:v>0.51242235468873398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D480-4E1A-B8CC-755E2C364B5F}"/>
            </c:ext>
          </c:extLst>
        </c:ser>
        <c:ser>
          <c:idx val="1"/>
          <c:order val="1"/>
          <c:tx>
            <c:strRef>
              <c:f>all!$D$4</c:f>
              <c:strCache>
                <c:ptCount val="1"/>
                <c:pt idx="0">
                  <c:v>Lawler (2006)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-1.0535056334676393E-2"/>
                  <c:y val="-0.2168007207513577"/>
                </c:manualLayout>
              </c:layout>
              <c:numFmt formatCode="General" sourceLinked="0"/>
              <c:spPr>
                <a:solidFill>
                  <a:schemeClr val="accent2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all!$S$70:$S$96</c:f>
              <c:numCache>
                <c:formatCode>0.0000</c:formatCode>
                <c:ptCount val="27"/>
                <c:pt idx="0">
                  <c:v>-0.31071591767089402</c:v>
                </c:pt>
                <c:pt idx="1">
                  <c:v>-0.72341186519112299</c:v>
                </c:pt>
                <c:pt idx="2">
                  <c:v>0.54135397831396403</c:v>
                </c:pt>
                <c:pt idx="3">
                  <c:v>-0.28173278371114102</c:v>
                </c:pt>
                <c:pt idx="4">
                  <c:v>-0.28388728833714599</c:v>
                </c:pt>
                <c:pt idx="5">
                  <c:v>-0.167176048352111</c:v>
                </c:pt>
                <c:pt idx="6">
                  <c:v>-0.234414236192791</c:v>
                </c:pt>
                <c:pt idx="7">
                  <c:v>-0.91543606234553399</c:v>
                </c:pt>
                <c:pt idx="8">
                  <c:v>-0.11116405161722299</c:v>
                </c:pt>
                <c:pt idx="9">
                  <c:v>-0.44122459346906301</c:v>
                </c:pt>
                <c:pt idx="10">
                  <c:v>-0.221642867808126</c:v>
                </c:pt>
                <c:pt idx="11">
                  <c:v>0.120506313986007</c:v>
                </c:pt>
                <c:pt idx="12">
                  <c:v>0.99778765474319298</c:v>
                </c:pt>
                <c:pt idx="13" formatCode="0.000">
                  <c:v>-0.811886428716041</c:v>
                </c:pt>
                <c:pt idx="14" formatCode="0.000">
                  <c:v>-0.54271122756527101</c:v>
                </c:pt>
                <c:pt idx="15" formatCode="0.000">
                  <c:v>-0.67772868565601696</c:v>
                </c:pt>
                <c:pt idx="16" formatCode="0.000">
                  <c:v>-0.76078071695181804</c:v>
                </c:pt>
                <c:pt idx="17" formatCode="0.000">
                  <c:v>0.64678217889059297</c:v>
                </c:pt>
                <c:pt idx="18" formatCode="0.000">
                  <c:v>-0.15477977693324399</c:v>
                </c:pt>
                <c:pt idx="19" formatCode="0.000">
                  <c:v>-0.86583274285189604</c:v>
                </c:pt>
                <c:pt idx="20" formatCode="0.000">
                  <c:v>0.61214631104569395</c:v>
                </c:pt>
                <c:pt idx="21" formatCode="0.000">
                  <c:v>0.59208584316733603</c:v>
                </c:pt>
                <c:pt idx="22" formatCode="0.000">
                  <c:v>0.74012064453311799</c:v>
                </c:pt>
                <c:pt idx="23" formatCode="0.000">
                  <c:v>0.62408685090742599</c:v>
                </c:pt>
                <c:pt idx="24" formatCode="0.000">
                  <c:v>0.25147892096544</c:v>
                </c:pt>
                <c:pt idx="25" formatCode="0.000">
                  <c:v>-2.3625782421043601E-2</c:v>
                </c:pt>
                <c:pt idx="26" formatCode="0.000">
                  <c:v>-0.95802365966780301</c:v>
                </c:pt>
              </c:numCache>
            </c:numRef>
          </c:xVal>
          <c:yVal>
            <c:numRef>
              <c:f>all!$M$39:$M$65</c:f>
              <c:numCache>
                <c:formatCode>0.000</c:formatCode>
                <c:ptCount val="27"/>
                <c:pt idx="0">
                  <c:v>-0.14571780115724001</c:v>
                </c:pt>
                <c:pt idx="1">
                  <c:v>0.15611461722769501</c:v>
                </c:pt>
                <c:pt idx="2">
                  <c:v>0.29322882322716898</c:v>
                </c:pt>
                <c:pt idx="3">
                  <c:v>0.19059894727801999</c:v>
                </c:pt>
                <c:pt idx="5">
                  <c:v>0.499861288181496</c:v>
                </c:pt>
                <c:pt idx="6">
                  <c:v>0.40695810522245701</c:v>
                </c:pt>
                <c:pt idx="7">
                  <c:v>5.4056282725128302E-2</c:v>
                </c:pt>
                <c:pt idx="9">
                  <c:v>0.26690920736687102</c:v>
                </c:pt>
                <c:pt idx="10">
                  <c:v>0.45125668170602201</c:v>
                </c:pt>
                <c:pt idx="11">
                  <c:v>0.51242235468873398</c:v>
                </c:pt>
                <c:pt idx="15">
                  <c:v>-0.14571780115724001</c:v>
                </c:pt>
                <c:pt idx="16">
                  <c:v>0.15611461722769501</c:v>
                </c:pt>
                <c:pt idx="17">
                  <c:v>0.29322882322716898</c:v>
                </c:pt>
                <c:pt idx="18">
                  <c:v>0.19059894727801999</c:v>
                </c:pt>
                <c:pt idx="20">
                  <c:v>0.499861288181496</c:v>
                </c:pt>
                <c:pt idx="21">
                  <c:v>0.40695810522245701</c:v>
                </c:pt>
                <c:pt idx="22">
                  <c:v>5.4056282725128302E-2</c:v>
                </c:pt>
                <c:pt idx="24">
                  <c:v>0.26690920736687102</c:v>
                </c:pt>
                <c:pt idx="25">
                  <c:v>0.45125668170602201</c:v>
                </c:pt>
                <c:pt idx="26">
                  <c:v>0.51242235468873398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D480-4E1A-B8CC-755E2C364B5F}"/>
            </c:ext>
          </c:extLst>
        </c:ser>
        <c:ser>
          <c:idx val="2"/>
          <c:order val="2"/>
          <c:tx>
            <c:strRef>
              <c:f>all!$E$4</c:f>
              <c:strCache>
                <c:ptCount val="1"/>
                <c:pt idx="0">
                  <c:v>Aich (2014) 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3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-0.31614246969908338"/>
                  <c:y val="-8.1850924484126675E-2"/>
                </c:manualLayout>
              </c:layout>
              <c:numFmt formatCode="General" sourceLinked="0"/>
              <c:spPr>
                <a:solidFill>
                  <a:schemeClr val="accent6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all!$T$70:$T$96</c:f>
              <c:numCache>
                <c:formatCode>0.0000</c:formatCode>
                <c:ptCount val="27"/>
                <c:pt idx="0">
                  <c:v>-3.7834846370905402E-3</c:v>
                </c:pt>
                <c:pt idx="1">
                  <c:v>6.4581353214806597E-2</c:v>
                </c:pt>
                <c:pt idx="2">
                  <c:v>6.1895687016862502E-2</c:v>
                </c:pt>
                <c:pt idx="3">
                  <c:v>2.95836818188689E-2</c:v>
                </c:pt>
                <c:pt idx="4">
                  <c:v>-5.4892758010415703E-2</c:v>
                </c:pt>
                <c:pt idx="5">
                  <c:v>8.8641812543785899E-3</c:v>
                </c:pt>
                <c:pt idx="6">
                  <c:v>1.32778322661357E-2</c:v>
                </c:pt>
                <c:pt idx="7">
                  <c:v>-6.0975544853349099E-2</c:v>
                </c:pt>
                <c:pt idx="8">
                  <c:v>4.2081062239471598E-2</c:v>
                </c:pt>
                <c:pt idx="9">
                  <c:v>-1.77749404385871E-2</c:v>
                </c:pt>
                <c:pt idx="10">
                  <c:v>3.08855730575289E-3</c:v>
                </c:pt>
                <c:pt idx="11">
                  <c:v>-5.3081166180475401E-3</c:v>
                </c:pt>
                <c:pt idx="12">
                  <c:v>0.99566811930969701</c:v>
                </c:pt>
                <c:pt idx="13" formatCode="0.000">
                  <c:v>-9.3763935417501706E-2</c:v>
                </c:pt>
                <c:pt idx="14" formatCode="0.000">
                  <c:v>-5.2796335197095298E-2</c:v>
                </c:pt>
                <c:pt idx="15" formatCode="0.000">
                  <c:v>-5.9125313303963402E-2</c:v>
                </c:pt>
                <c:pt idx="16" formatCode="0.000">
                  <c:v>-4.1714957549384597E-2</c:v>
                </c:pt>
                <c:pt idx="17" formatCode="0.000">
                  <c:v>7.3340759088016003E-2</c:v>
                </c:pt>
                <c:pt idx="18" formatCode="0.000">
                  <c:v>7.1354925056258001E-3</c:v>
                </c:pt>
                <c:pt idx="19" formatCode="0.000">
                  <c:v>-0.28463650723553102</c:v>
                </c:pt>
                <c:pt idx="20" formatCode="0.000">
                  <c:v>-7.3287190867590401E-3</c:v>
                </c:pt>
                <c:pt idx="21" formatCode="0.000">
                  <c:v>0.10941628444022999</c:v>
                </c:pt>
                <c:pt idx="22" formatCode="0.000">
                  <c:v>-8.4675321487204705E-2</c:v>
                </c:pt>
                <c:pt idx="23" formatCode="0.000">
                  <c:v>-3.2911415817637998E-2</c:v>
                </c:pt>
                <c:pt idx="24" formatCode="0.000">
                  <c:v>-4.46763074582908E-2</c:v>
                </c:pt>
                <c:pt idx="25" formatCode="0.000">
                  <c:v>-1.53118918462132E-3</c:v>
                </c:pt>
                <c:pt idx="26" formatCode="0.000">
                  <c:v>-0.17920927988478999</c:v>
                </c:pt>
              </c:numCache>
            </c:numRef>
          </c:xVal>
          <c:yVal>
            <c:numRef>
              <c:f>all!$M$39:$M$65</c:f>
              <c:numCache>
                <c:formatCode>0.000</c:formatCode>
                <c:ptCount val="27"/>
                <c:pt idx="0">
                  <c:v>-0.14571780115724001</c:v>
                </c:pt>
                <c:pt idx="1">
                  <c:v>0.15611461722769501</c:v>
                </c:pt>
                <c:pt idx="2">
                  <c:v>0.29322882322716898</c:v>
                </c:pt>
                <c:pt idx="3">
                  <c:v>0.19059894727801999</c:v>
                </c:pt>
                <c:pt idx="5">
                  <c:v>0.499861288181496</c:v>
                </c:pt>
                <c:pt idx="6">
                  <c:v>0.40695810522245701</c:v>
                </c:pt>
                <c:pt idx="7">
                  <c:v>5.4056282725128302E-2</c:v>
                </c:pt>
                <c:pt idx="9">
                  <c:v>0.26690920736687102</c:v>
                </c:pt>
                <c:pt idx="10">
                  <c:v>0.45125668170602201</c:v>
                </c:pt>
                <c:pt idx="11">
                  <c:v>0.51242235468873398</c:v>
                </c:pt>
                <c:pt idx="15">
                  <c:v>-0.14571780115724001</c:v>
                </c:pt>
                <c:pt idx="16">
                  <c:v>0.15611461722769501</c:v>
                </c:pt>
                <c:pt idx="17">
                  <c:v>0.29322882322716898</c:v>
                </c:pt>
                <c:pt idx="18">
                  <c:v>0.19059894727801999</c:v>
                </c:pt>
                <c:pt idx="20">
                  <c:v>0.499861288181496</c:v>
                </c:pt>
                <c:pt idx="21">
                  <c:v>0.40695810522245701</c:v>
                </c:pt>
                <c:pt idx="22">
                  <c:v>5.4056282725128302E-2</c:v>
                </c:pt>
                <c:pt idx="24">
                  <c:v>0.26690920736687102</c:v>
                </c:pt>
                <c:pt idx="25">
                  <c:v>0.45125668170602201</c:v>
                </c:pt>
                <c:pt idx="26">
                  <c:v>0.51242235468873398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D480-4E1A-B8CC-755E2C364B5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29882927"/>
        <c:axId val="129899727"/>
      </c:scatterChart>
      <c:valAx>
        <c:axId val="129882927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Hysteresis Index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0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9899727"/>
        <c:crosses val="autoZero"/>
        <c:crossBetween val="midCat"/>
      </c:valAx>
      <c:valAx>
        <c:axId val="12989972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Time (hrs)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0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9882927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legendEntry>
        <c:idx val="3"/>
        <c:delete val="1"/>
      </c:legendEntry>
      <c:legendEntry>
        <c:idx val="4"/>
        <c:delete val="1"/>
      </c:legendEntry>
      <c:legendEntry>
        <c:idx val="5"/>
        <c:delete val="1"/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SSC</a:t>
            </a:r>
            <a:r>
              <a:rPr lang="en-US" baseline="0"/>
              <a:t> HI to tc50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downstream!$C$4</c:f>
              <c:strCache>
                <c:ptCount val="1"/>
                <c:pt idx="0">
                  <c:v>Langlois (2005)</c:v>
                </c:pt>
              </c:strCache>
            </c:strRef>
          </c:tx>
          <c:spPr>
            <a:ln w="381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3.2634862540543166E-2"/>
                  <c:y val="-0.19317617701518877"/>
                </c:manualLayout>
              </c:layout>
              <c:numFmt formatCode="General" sourceLinked="0"/>
              <c:spPr>
                <a:solidFill>
                  <a:schemeClr val="tx2">
                    <a:lumMod val="10000"/>
                    <a:lumOff val="9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downstream!$C$10:$C$20</c:f>
              <c:numCache>
                <c:formatCode>0.0000</c:formatCode>
                <c:ptCount val="11"/>
                <c:pt idx="0">
                  <c:v>1.31746197777344</c:v>
                </c:pt>
                <c:pt idx="1">
                  <c:v>0.89735303995633098</c:v>
                </c:pt>
                <c:pt idx="2">
                  <c:v>1.39880081037808</c:v>
                </c:pt>
                <c:pt idx="3">
                  <c:v>1.2210038373368299</c:v>
                </c:pt>
                <c:pt idx="4">
                  <c:v>1.5249018262283101</c:v>
                </c:pt>
                <c:pt idx="7">
                  <c:v>1.36678278361715</c:v>
                </c:pt>
              </c:numCache>
            </c:numRef>
          </c:xVal>
          <c:yVal>
            <c:numRef>
              <c:f>downstream!$I$10:$I$20</c:f>
              <c:numCache>
                <c:formatCode>General</c:formatCode>
                <c:ptCount val="11"/>
                <c:pt idx="0">
                  <c:v>113.72040256</c:v>
                </c:pt>
                <c:pt idx="2">
                  <c:v>112.66319882000001</c:v>
                </c:pt>
                <c:pt idx="3">
                  <c:v>114.89097618</c:v>
                </c:pt>
                <c:pt idx="4">
                  <c:v>116.55531655999999</c:v>
                </c:pt>
                <c:pt idx="6">
                  <c:v>118.40602251999999</c:v>
                </c:pt>
                <c:pt idx="7">
                  <c:v>115.75512236</c:v>
                </c:pt>
                <c:pt idx="8">
                  <c:v>121.12197168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5296-42D0-A8AB-6AFC26730A4F}"/>
            </c:ext>
          </c:extLst>
        </c:ser>
        <c:ser>
          <c:idx val="1"/>
          <c:order val="1"/>
          <c:tx>
            <c:strRef>
              <c:f>downstream!$D$4</c:f>
              <c:strCache>
                <c:ptCount val="1"/>
                <c:pt idx="0">
                  <c:v>Lawler (2006)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7.543318484049627E-2"/>
                  <c:y val="-0.22126125236979216"/>
                </c:manualLayout>
              </c:layout>
              <c:numFmt formatCode="General" sourceLinked="0"/>
              <c:spPr>
                <a:solidFill>
                  <a:schemeClr val="accent2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downstream!$D$10:$D$20</c:f>
              <c:numCache>
                <c:formatCode>0.0000</c:formatCode>
                <c:ptCount val="11"/>
                <c:pt idx="0">
                  <c:v>0.66698565105034602</c:v>
                </c:pt>
                <c:pt idx="1">
                  <c:v>0.19762137224995299</c:v>
                </c:pt>
                <c:pt idx="2">
                  <c:v>0.54807771119966198</c:v>
                </c:pt>
                <c:pt idx="3">
                  <c:v>0.10106112243990099</c:v>
                </c:pt>
                <c:pt idx="4">
                  <c:v>0.50902572287082404</c:v>
                </c:pt>
                <c:pt idx="7">
                  <c:v>0.463447965306029</c:v>
                </c:pt>
              </c:numCache>
            </c:numRef>
          </c:xVal>
          <c:yVal>
            <c:numRef>
              <c:f>downstream!$I$10:$I$20</c:f>
              <c:numCache>
                <c:formatCode>General</c:formatCode>
                <c:ptCount val="11"/>
                <c:pt idx="0">
                  <c:v>113.72040256</c:v>
                </c:pt>
                <c:pt idx="2">
                  <c:v>112.66319882000001</c:v>
                </c:pt>
                <c:pt idx="3">
                  <c:v>114.89097618</c:v>
                </c:pt>
                <c:pt idx="4">
                  <c:v>116.55531655999999</c:v>
                </c:pt>
                <c:pt idx="6">
                  <c:v>118.40602251999999</c:v>
                </c:pt>
                <c:pt idx="7">
                  <c:v>115.75512236</c:v>
                </c:pt>
                <c:pt idx="8">
                  <c:v>121.12197168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5296-42D0-A8AB-6AFC26730A4F}"/>
            </c:ext>
          </c:extLst>
        </c:ser>
        <c:ser>
          <c:idx val="2"/>
          <c:order val="2"/>
          <c:tx>
            <c:strRef>
              <c:f>downstream!$E$4</c:f>
              <c:strCache>
                <c:ptCount val="1"/>
                <c:pt idx="0">
                  <c:v>Aich (2014) 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3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5.5061112842532803E-2"/>
                  <c:y val="-0.32079289158099572"/>
                </c:manualLayout>
              </c:layout>
              <c:numFmt formatCode="General" sourceLinked="0"/>
              <c:spPr>
                <a:solidFill>
                  <a:schemeClr val="accent6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downstream!$E$10:$E$20</c:f>
              <c:numCache>
                <c:formatCode>0.0000</c:formatCode>
                <c:ptCount val="11"/>
                <c:pt idx="0">
                  <c:v>8.8732929175135894E-2</c:v>
                </c:pt>
                <c:pt idx="1">
                  <c:v>-1.9463558010346702E-2</c:v>
                </c:pt>
                <c:pt idx="2">
                  <c:v>0.10415722716452799</c:v>
                </c:pt>
                <c:pt idx="3">
                  <c:v>4.66251429291673E-2</c:v>
                </c:pt>
                <c:pt idx="4">
                  <c:v>9.0894558490112708E-3</c:v>
                </c:pt>
                <c:pt idx="7">
                  <c:v>2.0373962034653699E-2</c:v>
                </c:pt>
              </c:numCache>
            </c:numRef>
          </c:xVal>
          <c:yVal>
            <c:numRef>
              <c:f>downstream!$I$10:$I$20</c:f>
              <c:numCache>
                <c:formatCode>General</c:formatCode>
                <c:ptCount val="11"/>
                <c:pt idx="0">
                  <c:v>113.72040256</c:v>
                </c:pt>
                <c:pt idx="2">
                  <c:v>112.66319882000001</c:v>
                </c:pt>
                <c:pt idx="3">
                  <c:v>114.89097618</c:v>
                </c:pt>
                <c:pt idx="4">
                  <c:v>116.55531655999999</c:v>
                </c:pt>
                <c:pt idx="6">
                  <c:v>118.40602251999999</c:v>
                </c:pt>
                <c:pt idx="7">
                  <c:v>115.75512236</c:v>
                </c:pt>
                <c:pt idx="8">
                  <c:v>121.12197168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5296-42D0-A8AB-6AFC26730A4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29882927"/>
        <c:axId val="129899727"/>
      </c:scatterChart>
      <c:valAx>
        <c:axId val="129882927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Hysteresis Index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9899727"/>
        <c:crosses val="autoZero"/>
        <c:crossBetween val="midCat"/>
      </c:valAx>
      <c:valAx>
        <c:axId val="12989972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Critical</a:t>
                </a:r>
                <a:r>
                  <a:rPr lang="en-US" baseline="0"/>
                  <a:t> Shear Stress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9882927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legendEntry>
        <c:idx val="3"/>
        <c:delete val="1"/>
      </c:legendEntry>
      <c:legendEntry>
        <c:idx val="4"/>
        <c:delete val="1"/>
      </c:legendEntry>
      <c:legendEntry>
        <c:idx val="5"/>
        <c:delete val="1"/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DOC</a:t>
            </a:r>
            <a:r>
              <a:rPr lang="en-US" baseline="0"/>
              <a:t> HI to tc50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0.17365954875027539"/>
          <c:y val="0.16220354928196187"/>
          <c:w val="0.76606370807209556"/>
          <c:h val="0.54392146896857607"/>
        </c:manualLayout>
      </c:layout>
      <c:scatterChart>
        <c:scatterStyle val="lineMarker"/>
        <c:varyColors val="0"/>
        <c:ser>
          <c:idx val="0"/>
          <c:order val="0"/>
          <c:tx>
            <c:strRef>
              <c:f>downstream!$C$4</c:f>
              <c:strCache>
                <c:ptCount val="1"/>
                <c:pt idx="0">
                  <c:v>Langlois (2005)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4.6894223051689984E-2"/>
                  <c:y val="-0.2331585413894651"/>
                </c:manualLayout>
              </c:layout>
              <c:numFmt formatCode="General" sourceLinked="0"/>
              <c:spPr>
                <a:solidFill>
                  <a:schemeClr val="tx2">
                    <a:lumMod val="10000"/>
                    <a:lumOff val="9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downstream!$C$28:$C$65</c:f>
              <c:numCache>
                <c:formatCode>0.000</c:formatCode>
                <c:ptCount val="38"/>
                <c:pt idx="0">
                  <c:v>1.01982556926034</c:v>
                </c:pt>
                <c:pt idx="1">
                  <c:v>1.0105385292601801</c:v>
                </c:pt>
                <c:pt idx="2">
                  <c:v>1.04413498578157</c:v>
                </c:pt>
                <c:pt idx="3">
                  <c:v>1.04959681992682</c:v>
                </c:pt>
                <c:pt idx="4">
                  <c:v>0.97400899474341096</c:v>
                </c:pt>
                <c:pt idx="7">
                  <c:v>1.03922347944993</c:v>
                </c:pt>
              </c:numCache>
            </c:numRef>
          </c:xVal>
          <c:yVal>
            <c:numRef>
              <c:f>downstream!$I$28:$I$65</c:f>
              <c:numCache>
                <c:formatCode>General</c:formatCode>
                <c:ptCount val="38"/>
                <c:pt idx="0">
                  <c:v>113.72040256</c:v>
                </c:pt>
                <c:pt idx="2">
                  <c:v>112.66319882000001</c:v>
                </c:pt>
                <c:pt idx="3">
                  <c:v>114.89097618</c:v>
                </c:pt>
                <c:pt idx="4">
                  <c:v>116.55531655999999</c:v>
                </c:pt>
                <c:pt idx="6">
                  <c:v>118.40602251999999</c:v>
                </c:pt>
                <c:pt idx="7">
                  <c:v>115.75512236</c:v>
                </c:pt>
                <c:pt idx="8">
                  <c:v>121.12197168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4CB4-471C-BB93-90FE1821BEC9}"/>
            </c:ext>
          </c:extLst>
        </c:ser>
        <c:ser>
          <c:idx val="1"/>
          <c:order val="1"/>
          <c:tx>
            <c:strRef>
              <c:f>downstream!$D$4</c:f>
              <c:strCache>
                <c:ptCount val="1"/>
                <c:pt idx="0">
                  <c:v>Lawler (2006)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-7.182643594614814E-2"/>
                  <c:y val="-0.18829665319570363"/>
                </c:manualLayout>
              </c:layout>
              <c:numFmt formatCode="General" sourceLinked="0"/>
              <c:spPr>
                <a:solidFill>
                  <a:schemeClr val="accent2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downstream!$D$28:$D$65</c:f>
              <c:numCache>
                <c:formatCode>0.000</c:formatCode>
                <c:ptCount val="38"/>
                <c:pt idx="0">
                  <c:v>0.38831940167197898</c:v>
                </c:pt>
                <c:pt idx="1">
                  <c:v>0.597784224122066</c:v>
                </c:pt>
                <c:pt idx="2">
                  <c:v>0.92934562720262803</c:v>
                </c:pt>
                <c:pt idx="3">
                  <c:v>-0.33094957948560899</c:v>
                </c:pt>
                <c:pt idx="4">
                  <c:v>-0.27375631737886102</c:v>
                </c:pt>
                <c:pt idx="7">
                  <c:v>0.59399199353963394</c:v>
                </c:pt>
              </c:numCache>
            </c:numRef>
          </c:xVal>
          <c:yVal>
            <c:numRef>
              <c:f>downstream!$I$28:$I$65</c:f>
              <c:numCache>
                <c:formatCode>General</c:formatCode>
                <c:ptCount val="38"/>
                <c:pt idx="0">
                  <c:v>113.72040256</c:v>
                </c:pt>
                <c:pt idx="2">
                  <c:v>112.66319882000001</c:v>
                </c:pt>
                <c:pt idx="3">
                  <c:v>114.89097618</c:v>
                </c:pt>
                <c:pt idx="4">
                  <c:v>116.55531655999999</c:v>
                </c:pt>
                <c:pt idx="6">
                  <c:v>118.40602251999999</c:v>
                </c:pt>
                <c:pt idx="7">
                  <c:v>115.75512236</c:v>
                </c:pt>
                <c:pt idx="8">
                  <c:v>121.12197168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4CB4-471C-BB93-90FE1821BEC9}"/>
            </c:ext>
          </c:extLst>
        </c:ser>
        <c:ser>
          <c:idx val="2"/>
          <c:order val="2"/>
          <c:tx>
            <c:strRef>
              <c:f>downstream!$E$4</c:f>
              <c:strCache>
                <c:ptCount val="1"/>
                <c:pt idx="0">
                  <c:v>Aich (2014) 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3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-1.2881431406248013E-2"/>
                  <c:y val="-0.29676166588154917"/>
                </c:manualLayout>
              </c:layout>
              <c:numFmt formatCode="General" sourceLinked="0"/>
              <c:spPr>
                <a:solidFill>
                  <a:schemeClr val="accent6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downstream!$E$28:$E$65</c:f>
              <c:numCache>
                <c:formatCode>0.000</c:formatCode>
                <c:ptCount val="38"/>
                <c:pt idx="0">
                  <c:v>1.20306787922476E-2</c:v>
                </c:pt>
                <c:pt idx="1">
                  <c:v>2.7386597361713599E-2</c:v>
                </c:pt>
                <c:pt idx="2">
                  <c:v>2.8615745110634201E-2</c:v>
                </c:pt>
                <c:pt idx="3">
                  <c:v>4.4113621235337297E-2</c:v>
                </c:pt>
                <c:pt idx="4">
                  <c:v>-8.0536265843332393E-3</c:v>
                </c:pt>
                <c:pt idx="7">
                  <c:v>2.7450804091866201E-2</c:v>
                </c:pt>
              </c:numCache>
            </c:numRef>
          </c:xVal>
          <c:yVal>
            <c:numRef>
              <c:f>downstream!$I$28:$I$65</c:f>
              <c:numCache>
                <c:formatCode>General</c:formatCode>
                <c:ptCount val="38"/>
                <c:pt idx="0">
                  <c:v>113.72040256</c:v>
                </c:pt>
                <c:pt idx="2">
                  <c:v>112.66319882000001</c:v>
                </c:pt>
                <c:pt idx="3">
                  <c:v>114.89097618</c:v>
                </c:pt>
                <c:pt idx="4">
                  <c:v>116.55531655999999</c:v>
                </c:pt>
                <c:pt idx="6">
                  <c:v>118.40602251999999</c:v>
                </c:pt>
                <c:pt idx="7">
                  <c:v>115.75512236</c:v>
                </c:pt>
                <c:pt idx="8">
                  <c:v>121.12197168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4CB4-471C-BB93-90FE1821BEC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29882927"/>
        <c:axId val="129899727"/>
      </c:scatterChart>
      <c:valAx>
        <c:axId val="129882927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Hysteresis Index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9899727"/>
        <c:crosses val="autoZero"/>
        <c:crossBetween val="midCat"/>
      </c:valAx>
      <c:valAx>
        <c:axId val="12989972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Critical</a:t>
                </a:r>
                <a:r>
                  <a:rPr lang="en-US" baseline="0"/>
                  <a:t> Shear Stress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9882927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legendEntry>
        <c:idx val="3"/>
        <c:delete val="1"/>
      </c:legendEntry>
      <c:legendEntry>
        <c:idx val="4"/>
        <c:delete val="1"/>
      </c:legendEntry>
      <c:legendEntry>
        <c:idx val="5"/>
        <c:delete val="1"/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SSC</a:t>
            </a:r>
            <a:r>
              <a:rPr lang="en-US" baseline="0"/>
              <a:t> HI to Dmax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downstream!$C$4</c:f>
              <c:strCache>
                <c:ptCount val="1"/>
                <c:pt idx="0">
                  <c:v>Langlois (2005)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1.5867128298522853E-2"/>
                  <c:y val="0.15634127049626317"/>
                </c:manualLayout>
              </c:layout>
              <c:numFmt formatCode="General" sourceLinked="0"/>
              <c:spPr>
                <a:solidFill>
                  <a:schemeClr val="tx2">
                    <a:lumMod val="10000"/>
                    <a:lumOff val="9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downstream!$C$10:$C$20</c:f>
              <c:numCache>
                <c:formatCode>0.0000</c:formatCode>
                <c:ptCount val="11"/>
                <c:pt idx="0">
                  <c:v>1.31746197777344</c:v>
                </c:pt>
                <c:pt idx="1">
                  <c:v>0.89735303995633098</c:v>
                </c:pt>
                <c:pt idx="2">
                  <c:v>1.39880081037808</c:v>
                </c:pt>
                <c:pt idx="3">
                  <c:v>1.2210038373368299</c:v>
                </c:pt>
                <c:pt idx="4">
                  <c:v>1.5249018262283101</c:v>
                </c:pt>
                <c:pt idx="7">
                  <c:v>1.36678278361715</c:v>
                </c:pt>
              </c:numCache>
            </c:numRef>
          </c:xVal>
          <c:yVal>
            <c:numRef>
              <c:f>downstream!$J$10:$J$20</c:f>
              <c:numCache>
                <c:formatCode>General</c:formatCode>
                <c:ptCount val="11"/>
                <c:pt idx="0">
                  <c:v>47.354999999999997</c:v>
                </c:pt>
                <c:pt idx="2">
                  <c:v>101.105</c:v>
                </c:pt>
                <c:pt idx="3">
                  <c:v>44.466000000000001</c:v>
                </c:pt>
                <c:pt idx="4">
                  <c:v>47.503</c:v>
                </c:pt>
                <c:pt idx="6">
                  <c:v>54.055999999999997</c:v>
                </c:pt>
                <c:pt idx="7">
                  <c:v>53.783999999999999</c:v>
                </c:pt>
                <c:pt idx="8">
                  <c:v>53.783999999999999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51B5-4B10-8C27-DFE3B1DB272E}"/>
            </c:ext>
          </c:extLst>
        </c:ser>
        <c:ser>
          <c:idx val="1"/>
          <c:order val="1"/>
          <c:tx>
            <c:strRef>
              <c:f>downstream!$D$4</c:f>
              <c:strCache>
                <c:ptCount val="1"/>
                <c:pt idx="0">
                  <c:v>Lawler (2006)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-8.5820609639809114E-2"/>
                  <c:y val="0.11100427763978285"/>
                </c:manualLayout>
              </c:layout>
              <c:numFmt formatCode="General" sourceLinked="0"/>
              <c:spPr>
                <a:solidFill>
                  <a:schemeClr val="accent2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downstream!$D$10:$D$20</c:f>
              <c:numCache>
                <c:formatCode>0.0000</c:formatCode>
                <c:ptCount val="11"/>
                <c:pt idx="0">
                  <c:v>0.66698565105034602</c:v>
                </c:pt>
                <c:pt idx="1">
                  <c:v>0.19762137224995299</c:v>
                </c:pt>
                <c:pt idx="2">
                  <c:v>0.54807771119966198</c:v>
                </c:pt>
                <c:pt idx="3">
                  <c:v>0.10106112243990099</c:v>
                </c:pt>
                <c:pt idx="4">
                  <c:v>0.50902572287082404</c:v>
                </c:pt>
                <c:pt idx="7">
                  <c:v>0.463447965306029</c:v>
                </c:pt>
              </c:numCache>
            </c:numRef>
          </c:xVal>
          <c:yVal>
            <c:numRef>
              <c:f>downstream!$J$10:$J$20</c:f>
              <c:numCache>
                <c:formatCode>General</c:formatCode>
                <c:ptCount val="11"/>
                <c:pt idx="0">
                  <c:v>47.354999999999997</c:v>
                </c:pt>
                <c:pt idx="2">
                  <c:v>101.105</c:v>
                </c:pt>
                <c:pt idx="3">
                  <c:v>44.466000000000001</c:v>
                </c:pt>
                <c:pt idx="4">
                  <c:v>47.503</c:v>
                </c:pt>
                <c:pt idx="6">
                  <c:v>54.055999999999997</c:v>
                </c:pt>
                <c:pt idx="7">
                  <c:v>53.783999999999999</c:v>
                </c:pt>
                <c:pt idx="8">
                  <c:v>53.783999999999999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51B5-4B10-8C27-DFE3B1DB272E}"/>
            </c:ext>
          </c:extLst>
        </c:ser>
        <c:ser>
          <c:idx val="2"/>
          <c:order val="2"/>
          <c:tx>
            <c:strRef>
              <c:f>downstream!$E$4</c:f>
              <c:strCache>
                <c:ptCount val="1"/>
                <c:pt idx="0">
                  <c:v>Aich (2014) 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3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-7.4926049517057017E-2"/>
                  <c:y val="0.16649235728845693"/>
                </c:manualLayout>
              </c:layout>
              <c:numFmt formatCode="General" sourceLinked="0"/>
              <c:spPr>
                <a:solidFill>
                  <a:schemeClr val="accent6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downstream!$E$10:$E$20</c:f>
              <c:numCache>
                <c:formatCode>0.0000</c:formatCode>
                <c:ptCount val="11"/>
                <c:pt idx="0">
                  <c:v>8.8732929175135894E-2</c:v>
                </c:pt>
                <c:pt idx="1">
                  <c:v>-1.9463558010346702E-2</c:v>
                </c:pt>
                <c:pt idx="2">
                  <c:v>0.10415722716452799</c:v>
                </c:pt>
                <c:pt idx="3">
                  <c:v>4.66251429291673E-2</c:v>
                </c:pt>
                <c:pt idx="4">
                  <c:v>9.0894558490112708E-3</c:v>
                </c:pt>
                <c:pt idx="7">
                  <c:v>2.0373962034653699E-2</c:v>
                </c:pt>
              </c:numCache>
            </c:numRef>
          </c:xVal>
          <c:yVal>
            <c:numRef>
              <c:f>downstream!$J$10:$J$20</c:f>
              <c:numCache>
                <c:formatCode>General</c:formatCode>
                <c:ptCount val="11"/>
                <c:pt idx="0">
                  <c:v>47.354999999999997</c:v>
                </c:pt>
                <c:pt idx="2">
                  <c:v>101.105</c:v>
                </c:pt>
                <c:pt idx="3">
                  <c:v>44.466000000000001</c:v>
                </c:pt>
                <c:pt idx="4">
                  <c:v>47.503</c:v>
                </c:pt>
                <c:pt idx="6">
                  <c:v>54.055999999999997</c:v>
                </c:pt>
                <c:pt idx="7">
                  <c:v>53.783999999999999</c:v>
                </c:pt>
                <c:pt idx="8">
                  <c:v>53.783999999999999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51B5-4B10-8C27-DFE3B1DB272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29882927"/>
        <c:axId val="129899727"/>
      </c:scatterChart>
      <c:valAx>
        <c:axId val="129882927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Hysteresis Index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9899727"/>
        <c:crosses val="autoZero"/>
        <c:crossBetween val="midCat"/>
      </c:valAx>
      <c:valAx>
        <c:axId val="12989972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Dmax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9882927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DOC</a:t>
            </a:r>
            <a:r>
              <a:rPr lang="en-US" baseline="0"/>
              <a:t> HI to Dmax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downstream!$C$4</c:f>
              <c:strCache>
                <c:ptCount val="1"/>
                <c:pt idx="0">
                  <c:v>Langlois (2005)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1.5867128298522853E-2"/>
                  <c:y val="0.15634127049626317"/>
                </c:manualLayout>
              </c:layout>
              <c:numFmt formatCode="General" sourceLinked="0"/>
              <c:spPr>
                <a:solidFill>
                  <a:schemeClr val="tx2">
                    <a:lumMod val="10000"/>
                    <a:lumOff val="9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downstream!$C$28:$C$65</c:f>
              <c:numCache>
                <c:formatCode>0.000</c:formatCode>
                <c:ptCount val="38"/>
                <c:pt idx="0">
                  <c:v>1.01982556926034</c:v>
                </c:pt>
                <c:pt idx="1">
                  <c:v>1.0105385292601801</c:v>
                </c:pt>
                <c:pt idx="2">
                  <c:v>1.04413498578157</c:v>
                </c:pt>
                <c:pt idx="3">
                  <c:v>1.04959681992682</c:v>
                </c:pt>
                <c:pt idx="4">
                  <c:v>0.97400899474341096</c:v>
                </c:pt>
                <c:pt idx="7">
                  <c:v>1.03922347944993</c:v>
                </c:pt>
              </c:numCache>
            </c:numRef>
          </c:xVal>
          <c:yVal>
            <c:numRef>
              <c:f>downstream!$J$28:$J$65</c:f>
              <c:numCache>
                <c:formatCode>General</c:formatCode>
                <c:ptCount val="38"/>
                <c:pt idx="0">
                  <c:v>47.354999999999997</c:v>
                </c:pt>
                <c:pt idx="2">
                  <c:v>101.105</c:v>
                </c:pt>
                <c:pt idx="3">
                  <c:v>44.466000000000001</c:v>
                </c:pt>
                <c:pt idx="4">
                  <c:v>47.503</c:v>
                </c:pt>
                <c:pt idx="6">
                  <c:v>54.055999999999997</c:v>
                </c:pt>
                <c:pt idx="7">
                  <c:v>53.783999999999999</c:v>
                </c:pt>
                <c:pt idx="8">
                  <c:v>53.783999999999999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BF18-4127-AF90-989C146A793A}"/>
            </c:ext>
          </c:extLst>
        </c:ser>
        <c:ser>
          <c:idx val="1"/>
          <c:order val="1"/>
          <c:tx>
            <c:strRef>
              <c:f>downstream!$D$4</c:f>
              <c:strCache>
                <c:ptCount val="1"/>
                <c:pt idx="0">
                  <c:v>Lawler (2006)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-8.5820609639809114E-2"/>
                  <c:y val="0.11100427763978285"/>
                </c:manualLayout>
              </c:layout>
              <c:numFmt formatCode="General" sourceLinked="0"/>
              <c:spPr>
                <a:solidFill>
                  <a:schemeClr val="accent2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downstream!$D$28:$D$65</c:f>
              <c:numCache>
                <c:formatCode>0.000</c:formatCode>
                <c:ptCount val="38"/>
                <c:pt idx="0">
                  <c:v>0.38831940167197898</c:v>
                </c:pt>
                <c:pt idx="1">
                  <c:v>0.597784224122066</c:v>
                </c:pt>
                <c:pt idx="2">
                  <c:v>0.92934562720262803</c:v>
                </c:pt>
                <c:pt idx="3">
                  <c:v>-0.33094957948560899</c:v>
                </c:pt>
                <c:pt idx="4">
                  <c:v>-0.27375631737886102</c:v>
                </c:pt>
                <c:pt idx="7">
                  <c:v>0.59399199353963394</c:v>
                </c:pt>
              </c:numCache>
            </c:numRef>
          </c:xVal>
          <c:yVal>
            <c:numRef>
              <c:f>downstream!$J$28:$J$65</c:f>
              <c:numCache>
                <c:formatCode>General</c:formatCode>
                <c:ptCount val="38"/>
                <c:pt idx="0">
                  <c:v>47.354999999999997</c:v>
                </c:pt>
                <c:pt idx="2">
                  <c:v>101.105</c:v>
                </c:pt>
                <c:pt idx="3">
                  <c:v>44.466000000000001</c:v>
                </c:pt>
                <c:pt idx="4">
                  <c:v>47.503</c:v>
                </c:pt>
                <c:pt idx="6">
                  <c:v>54.055999999999997</c:v>
                </c:pt>
                <c:pt idx="7">
                  <c:v>53.783999999999999</c:v>
                </c:pt>
                <c:pt idx="8">
                  <c:v>53.783999999999999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BF18-4127-AF90-989C146A793A}"/>
            </c:ext>
          </c:extLst>
        </c:ser>
        <c:ser>
          <c:idx val="2"/>
          <c:order val="2"/>
          <c:tx>
            <c:strRef>
              <c:f>downstream!$E$4</c:f>
              <c:strCache>
                <c:ptCount val="1"/>
                <c:pt idx="0">
                  <c:v>Aich (2014) 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3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-7.4926049517057017E-2"/>
                  <c:y val="0.16649235728845693"/>
                </c:manualLayout>
              </c:layout>
              <c:numFmt formatCode="General" sourceLinked="0"/>
              <c:spPr>
                <a:solidFill>
                  <a:schemeClr val="accent6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downstream!$E$28:$E$65</c:f>
              <c:numCache>
                <c:formatCode>0.000</c:formatCode>
                <c:ptCount val="38"/>
                <c:pt idx="0">
                  <c:v>1.20306787922476E-2</c:v>
                </c:pt>
                <c:pt idx="1">
                  <c:v>2.7386597361713599E-2</c:v>
                </c:pt>
                <c:pt idx="2">
                  <c:v>2.8615745110634201E-2</c:v>
                </c:pt>
                <c:pt idx="3">
                  <c:v>4.4113621235337297E-2</c:v>
                </c:pt>
                <c:pt idx="4">
                  <c:v>-8.0536265843332393E-3</c:v>
                </c:pt>
                <c:pt idx="7">
                  <c:v>2.7450804091866201E-2</c:v>
                </c:pt>
              </c:numCache>
            </c:numRef>
          </c:xVal>
          <c:yVal>
            <c:numRef>
              <c:f>downstream!$J$28:$J$65</c:f>
              <c:numCache>
                <c:formatCode>General</c:formatCode>
                <c:ptCount val="38"/>
                <c:pt idx="0">
                  <c:v>47.354999999999997</c:v>
                </c:pt>
                <c:pt idx="2">
                  <c:v>101.105</c:v>
                </c:pt>
                <c:pt idx="3">
                  <c:v>44.466000000000001</c:v>
                </c:pt>
                <c:pt idx="4">
                  <c:v>47.503</c:v>
                </c:pt>
                <c:pt idx="6">
                  <c:v>54.055999999999997</c:v>
                </c:pt>
                <c:pt idx="7">
                  <c:v>53.783999999999999</c:v>
                </c:pt>
                <c:pt idx="8">
                  <c:v>53.783999999999999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BF18-4127-AF90-989C146A793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29882927"/>
        <c:axId val="129899727"/>
      </c:scatterChart>
      <c:valAx>
        <c:axId val="129882927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Hysteresis Index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9899727"/>
        <c:crosses val="autoZero"/>
        <c:crossBetween val="midCat"/>
      </c:valAx>
      <c:valAx>
        <c:axId val="12989972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Dmax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9882927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Time between events </a:t>
            </a:r>
            <a:r>
              <a:rPr lang="en-US" baseline="0"/>
              <a:t>to tc50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downstream!$G$4</c:f>
              <c:strCache>
                <c:ptCount val="1"/>
                <c:pt idx="0">
                  <c:v>Time between events (no τc exceedance) (hrs)</c:v>
                </c:pt>
              </c:strCache>
            </c:strRef>
          </c:tx>
          <c:spPr>
            <a:ln w="381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0.2490974235850939"/>
                  <c:y val="-0.28431494229436594"/>
                </c:manualLayout>
              </c:layout>
              <c:numFmt formatCode="General" sourceLinked="0"/>
              <c:spPr>
                <a:solidFill>
                  <a:schemeClr val="tx2">
                    <a:lumMod val="10000"/>
                    <a:lumOff val="9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downstream!$G$10:$G$20</c:f>
              <c:numCache>
                <c:formatCode>General</c:formatCode>
                <c:ptCount val="11"/>
                <c:pt idx="0">
                  <c:v>21</c:v>
                </c:pt>
                <c:pt idx="1">
                  <c:v>21.5</c:v>
                </c:pt>
                <c:pt idx="2">
                  <c:v>75</c:v>
                </c:pt>
                <c:pt idx="3">
                  <c:v>47.5</c:v>
                </c:pt>
                <c:pt idx="4">
                  <c:v>23.5</c:v>
                </c:pt>
                <c:pt idx="5">
                  <c:v>27.75</c:v>
                </c:pt>
                <c:pt idx="6">
                  <c:v>20</c:v>
                </c:pt>
                <c:pt idx="7">
                  <c:v>23.75</c:v>
                </c:pt>
                <c:pt idx="8">
                  <c:v>23.5</c:v>
                </c:pt>
                <c:pt idx="9">
                  <c:v>24</c:v>
                </c:pt>
              </c:numCache>
            </c:numRef>
          </c:xVal>
          <c:yVal>
            <c:numRef>
              <c:f>downstream!$I$10:$I$20</c:f>
              <c:numCache>
                <c:formatCode>General</c:formatCode>
                <c:ptCount val="11"/>
                <c:pt idx="0">
                  <c:v>113.72040256</c:v>
                </c:pt>
                <c:pt idx="2">
                  <c:v>112.66319882000001</c:v>
                </c:pt>
                <c:pt idx="3">
                  <c:v>114.89097618</c:v>
                </c:pt>
                <c:pt idx="4">
                  <c:v>116.55531655999999</c:v>
                </c:pt>
                <c:pt idx="6">
                  <c:v>118.40602251999999</c:v>
                </c:pt>
                <c:pt idx="7">
                  <c:v>115.75512236</c:v>
                </c:pt>
                <c:pt idx="8">
                  <c:v>121.12197168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C9E6-4F48-BADB-BC9DE8FE8795}"/>
            </c:ext>
          </c:extLst>
        </c:ser>
        <c:ser>
          <c:idx val="1"/>
          <c:order val="1"/>
          <c:tx>
            <c:strRef>
              <c:f>downstream!$H$4</c:f>
              <c:strCache>
                <c:ptCount val="1"/>
                <c:pt idx="0">
                  <c:v>Time between events τc exceedance (hrs)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0.10955098096524016"/>
                  <c:y val="-0.11385072618179778"/>
                </c:manualLayout>
              </c:layout>
              <c:numFmt formatCode="General" sourceLinked="0"/>
              <c:spPr>
                <a:solidFill>
                  <a:schemeClr val="accent2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downstream!$H$10:$H$20</c:f>
              <c:numCache>
                <c:formatCode>General</c:formatCode>
                <c:ptCount val="11"/>
                <c:pt idx="0">
                  <c:v>21</c:v>
                </c:pt>
                <c:pt idx="2">
                  <c:v>96.5</c:v>
                </c:pt>
                <c:pt idx="3">
                  <c:v>47.5</c:v>
                </c:pt>
                <c:pt idx="4">
                  <c:v>23.5</c:v>
                </c:pt>
                <c:pt idx="6">
                  <c:v>47.75</c:v>
                </c:pt>
                <c:pt idx="7">
                  <c:v>23.75</c:v>
                </c:pt>
                <c:pt idx="8">
                  <c:v>23.5</c:v>
                </c:pt>
              </c:numCache>
            </c:numRef>
          </c:xVal>
          <c:yVal>
            <c:numRef>
              <c:f>downstream!$I$10:$I$20</c:f>
              <c:numCache>
                <c:formatCode>General</c:formatCode>
                <c:ptCount val="11"/>
                <c:pt idx="0">
                  <c:v>113.72040256</c:v>
                </c:pt>
                <c:pt idx="2">
                  <c:v>112.66319882000001</c:v>
                </c:pt>
                <c:pt idx="3">
                  <c:v>114.89097618</c:v>
                </c:pt>
                <c:pt idx="4">
                  <c:v>116.55531655999999</c:v>
                </c:pt>
                <c:pt idx="6">
                  <c:v>118.40602251999999</c:v>
                </c:pt>
                <c:pt idx="7">
                  <c:v>115.75512236</c:v>
                </c:pt>
                <c:pt idx="8">
                  <c:v>121.12197168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C9E6-4F48-BADB-BC9DE8FE879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29882927"/>
        <c:axId val="129899727"/>
      </c:scatterChart>
      <c:valAx>
        <c:axId val="129882927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Hours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9899727"/>
        <c:crosses val="autoZero"/>
        <c:crossBetween val="midCat"/>
      </c:valAx>
      <c:valAx>
        <c:axId val="12989972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Critical</a:t>
                </a:r>
                <a:r>
                  <a:rPr lang="en-US" baseline="0"/>
                  <a:t> Shear Stress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9882927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legendEntry>
        <c:idx val="2"/>
        <c:delete val="1"/>
      </c:legendEntry>
      <c:legendEntry>
        <c:idx val="3"/>
        <c:delete val="1"/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Peak</a:t>
            </a:r>
            <a:r>
              <a:rPr lang="en-US" baseline="0"/>
              <a:t> </a:t>
            </a:r>
            <a:r>
              <a:rPr lang="en-US"/>
              <a:t>concentration</a:t>
            </a:r>
            <a:r>
              <a:rPr lang="en-US" baseline="0"/>
              <a:t> to tc50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1"/>
          <c:order val="0"/>
          <c:tx>
            <c:strRef>
              <c:f>downstream!$B$3</c:f>
              <c:strCache>
                <c:ptCount val="1"/>
                <c:pt idx="0">
                  <c:v>SSC (mg/L)</c:v>
                </c:pt>
              </c:strCache>
            </c:strRef>
          </c:tx>
          <c:spPr>
            <a:ln w="381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0.10955098096524016"/>
                  <c:y val="-0.11385072618179778"/>
                </c:manualLayout>
              </c:layout>
              <c:numFmt formatCode="General" sourceLinked="0"/>
              <c:spPr>
                <a:solidFill>
                  <a:schemeClr val="accent2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downstream!$F$10:$F$20</c:f>
              <c:numCache>
                <c:formatCode>0.00</c:formatCode>
                <c:ptCount val="11"/>
                <c:pt idx="0">
                  <c:v>10.34482759</c:v>
                </c:pt>
                <c:pt idx="1">
                  <c:v>26.086956520000001</c:v>
                </c:pt>
                <c:pt idx="2">
                  <c:v>8.125</c:v>
                </c:pt>
                <c:pt idx="3">
                  <c:v>12.67</c:v>
                </c:pt>
                <c:pt idx="4">
                  <c:v>42</c:v>
                </c:pt>
                <c:pt idx="7">
                  <c:v>20.666666670000001</c:v>
                </c:pt>
              </c:numCache>
            </c:numRef>
          </c:xVal>
          <c:yVal>
            <c:numRef>
              <c:f>downstream!$I$10:$I$20</c:f>
              <c:numCache>
                <c:formatCode>General</c:formatCode>
                <c:ptCount val="11"/>
                <c:pt idx="0">
                  <c:v>113.72040256</c:v>
                </c:pt>
                <c:pt idx="2">
                  <c:v>112.66319882000001</c:v>
                </c:pt>
                <c:pt idx="3">
                  <c:v>114.89097618</c:v>
                </c:pt>
                <c:pt idx="4">
                  <c:v>116.55531655999999</c:v>
                </c:pt>
                <c:pt idx="6">
                  <c:v>118.40602251999999</c:v>
                </c:pt>
                <c:pt idx="7">
                  <c:v>115.75512236</c:v>
                </c:pt>
                <c:pt idx="8">
                  <c:v>121.12197168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293D-49F4-9C49-308D9692F213}"/>
            </c:ext>
          </c:extLst>
        </c:ser>
        <c:ser>
          <c:idx val="0"/>
          <c:order val="1"/>
          <c:tx>
            <c:strRef>
              <c:f>downstream!$B$21</c:f>
              <c:strCache>
                <c:ptCount val="1"/>
                <c:pt idx="0">
                  <c:v>DOC (mg/L)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0.32976517346989181"/>
                  <c:y val="-0.15974665596725832"/>
                </c:manualLayout>
              </c:layout>
              <c:numFmt formatCode="General" sourceLinked="0"/>
              <c:spPr>
                <a:solidFill>
                  <a:schemeClr val="tx2">
                    <a:lumMod val="10000"/>
                    <a:lumOff val="9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downstream!$F$28:$F$65</c:f>
              <c:numCache>
                <c:formatCode>0.00</c:formatCode>
                <c:ptCount val="38"/>
                <c:pt idx="0">
                  <c:v>3.3380000000000001</c:v>
                </c:pt>
                <c:pt idx="1">
                  <c:v>3.37</c:v>
                </c:pt>
                <c:pt idx="2">
                  <c:v>3.2989999999999999</c:v>
                </c:pt>
                <c:pt idx="3">
                  <c:v>3.1309999999999998</c:v>
                </c:pt>
                <c:pt idx="4">
                  <c:v>3.7759999999999998</c:v>
                </c:pt>
                <c:pt idx="7">
                  <c:v>3.5110000000000001</c:v>
                </c:pt>
              </c:numCache>
            </c:numRef>
          </c:xVal>
          <c:yVal>
            <c:numRef>
              <c:f>downstream!$I$28:$I$65</c:f>
              <c:numCache>
                <c:formatCode>General</c:formatCode>
                <c:ptCount val="38"/>
                <c:pt idx="0">
                  <c:v>113.72040256</c:v>
                </c:pt>
                <c:pt idx="2">
                  <c:v>112.66319882000001</c:v>
                </c:pt>
                <c:pt idx="3">
                  <c:v>114.89097618</c:v>
                </c:pt>
                <c:pt idx="4">
                  <c:v>116.55531655999999</c:v>
                </c:pt>
                <c:pt idx="6">
                  <c:v>118.40602251999999</c:v>
                </c:pt>
                <c:pt idx="7">
                  <c:v>115.75512236</c:v>
                </c:pt>
                <c:pt idx="8">
                  <c:v>121.12197168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293D-49F4-9C49-308D9692F21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29882927"/>
        <c:axId val="129899727"/>
      </c:scatterChart>
      <c:valAx>
        <c:axId val="129882927"/>
        <c:scaling>
          <c:logBase val="10"/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Peak concentration (mg/L)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9899727"/>
        <c:crosses val="autoZero"/>
        <c:crossBetween val="midCat"/>
      </c:valAx>
      <c:valAx>
        <c:axId val="12989972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Critical</a:t>
                </a:r>
                <a:r>
                  <a:rPr lang="en-US" baseline="0"/>
                  <a:t> Shear Stress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9882927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legendEntry>
        <c:idx val="2"/>
        <c:delete val="1"/>
      </c:legendEntry>
      <c:legendEntry>
        <c:idx val="3"/>
        <c:delete val="1"/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Turbidity</a:t>
            </a:r>
            <a:r>
              <a:rPr lang="en-US" baseline="0"/>
              <a:t> HI to tc50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downstream!$D$67</c:f>
              <c:strCache>
                <c:ptCount val="1"/>
                <c:pt idx="0">
                  <c:v>Langlois (2005)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2.7737770323194973E-2"/>
                  <c:y val="-0.11368172599284594"/>
                </c:manualLayout>
              </c:layout>
              <c:numFmt formatCode="General" sourceLinked="0"/>
              <c:spPr>
                <a:solidFill>
                  <a:schemeClr val="tx2">
                    <a:lumMod val="10000"/>
                    <a:lumOff val="9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downstream!$D$71:$D$96</c:f>
              <c:numCache>
                <c:formatCode>0.0000</c:formatCode>
                <c:ptCount val="26"/>
                <c:pt idx="0">
                  <c:v>1.14568818263897</c:v>
                </c:pt>
                <c:pt idx="1">
                  <c:v>1.10273002217056</c:v>
                </c:pt>
                <c:pt idx="2">
                  <c:v>1.2576523908335999</c:v>
                </c:pt>
                <c:pt idx="3">
                  <c:v>1.24807759229999</c:v>
                </c:pt>
                <c:pt idx="4">
                  <c:v>1.42877693896201</c:v>
                </c:pt>
                <c:pt idx="5">
                  <c:v>1.33941755807892</c:v>
                </c:pt>
                <c:pt idx="6">
                  <c:v>1.3769164984553499</c:v>
                </c:pt>
                <c:pt idx="7">
                  <c:v>1.66488624253968</c:v>
                </c:pt>
                <c:pt idx="8">
                  <c:v>1.1538999764416</c:v>
                </c:pt>
                <c:pt idx="9">
                  <c:v>1.5749763159783401</c:v>
                </c:pt>
                <c:pt idx="10">
                  <c:v>1.3735151389442699</c:v>
                </c:pt>
              </c:numCache>
            </c:numRef>
          </c:xVal>
          <c:yVal>
            <c:numRef>
              <c:f>downstream!$L$70:$L$96</c:f>
              <c:numCache>
                <c:formatCode>General</c:formatCode>
                <c:ptCount val="27"/>
                <c:pt idx="0">
                  <c:v>118.22733427999999</c:v>
                </c:pt>
                <c:pt idx="1">
                  <c:v>108.51115272</c:v>
                </c:pt>
                <c:pt idx="2">
                  <c:v>106.97060942</c:v>
                </c:pt>
                <c:pt idx="3">
                  <c:v>113.72040256</c:v>
                </c:pt>
                <c:pt idx="5">
                  <c:v>112.66319882000001</c:v>
                </c:pt>
                <c:pt idx="6">
                  <c:v>114.89097618</c:v>
                </c:pt>
                <c:pt idx="7">
                  <c:v>116.55531655999999</c:v>
                </c:pt>
                <c:pt idx="9">
                  <c:v>118.40602251999999</c:v>
                </c:pt>
                <c:pt idx="10">
                  <c:v>115.75512236</c:v>
                </c:pt>
                <c:pt idx="11">
                  <c:v>121.12197168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5302-446D-A302-C28CA037F4B1}"/>
            </c:ext>
          </c:extLst>
        </c:ser>
        <c:ser>
          <c:idx val="1"/>
          <c:order val="1"/>
          <c:tx>
            <c:strRef>
              <c:f>downstream!$D$4</c:f>
              <c:strCache>
                <c:ptCount val="1"/>
                <c:pt idx="0">
                  <c:v>Lawler (2006)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4.323325954405189E-2"/>
                  <c:y val="-0.14952034230107711"/>
                </c:manualLayout>
              </c:layout>
              <c:numFmt formatCode="General" sourceLinked="0"/>
              <c:spPr>
                <a:solidFill>
                  <a:schemeClr val="accent2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downstream!$D$10:$D$20</c:f>
              <c:numCache>
                <c:formatCode>0.0000</c:formatCode>
                <c:ptCount val="11"/>
                <c:pt idx="0">
                  <c:v>0.66698565105034602</c:v>
                </c:pt>
                <c:pt idx="1">
                  <c:v>0.19762137224995299</c:v>
                </c:pt>
                <c:pt idx="2">
                  <c:v>0.54807771119966198</c:v>
                </c:pt>
                <c:pt idx="3">
                  <c:v>0.10106112243990099</c:v>
                </c:pt>
                <c:pt idx="4">
                  <c:v>0.50902572287082404</c:v>
                </c:pt>
                <c:pt idx="7">
                  <c:v>0.463447965306029</c:v>
                </c:pt>
              </c:numCache>
            </c:numRef>
          </c:xVal>
          <c:yVal>
            <c:numRef>
              <c:f>downstream!$I$10:$I$20</c:f>
              <c:numCache>
                <c:formatCode>General</c:formatCode>
                <c:ptCount val="11"/>
                <c:pt idx="0">
                  <c:v>113.72040256</c:v>
                </c:pt>
                <c:pt idx="2">
                  <c:v>112.66319882000001</c:v>
                </c:pt>
                <c:pt idx="3">
                  <c:v>114.89097618</c:v>
                </c:pt>
                <c:pt idx="4">
                  <c:v>116.55531655999999</c:v>
                </c:pt>
                <c:pt idx="6">
                  <c:v>118.40602251999999</c:v>
                </c:pt>
                <c:pt idx="7">
                  <c:v>115.75512236</c:v>
                </c:pt>
                <c:pt idx="8">
                  <c:v>121.12197168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5302-446D-A302-C28CA037F4B1}"/>
            </c:ext>
          </c:extLst>
        </c:ser>
        <c:ser>
          <c:idx val="2"/>
          <c:order val="2"/>
          <c:tx>
            <c:strRef>
              <c:f>downstream!$E$4</c:f>
              <c:strCache>
                <c:ptCount val="1"/>
                <c:pt idx="0">
                  <c:v>Aich (2014) </c:v>
                </c:pt>
              </c:strCache>
            </c:strRef>
          </c:tx>
          <c:spPr>
            <a:ln w="381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3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5.9939281071671935E-3"/>
                  <c:y val="-0.21349937030915145"/>
                </c:manualLayout>
              </c:layout>
              <c:numFmt formatCode="General" sourceLinked="0"/>
              <c:spPr>
                <a:solidFill>
                  <a:schemeClr val="accent6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downstream!$E$10:$E$20</c:f>
              <c:numCache>
                <c:formatCode>0.0000</c:formatCode>
                <c:ptCount val="11"/>
                <c:pt idx="0">
                  <c:v>8.8732929175135894E-2</c:v>
                </c:pt>
                <c:pt idx="1">
                  <c:v>-1.9463558010346702E-2</c:v>
                </c:pt>
                <c:pt idx="2">
                  <c:v>0.10415722716452799</c:v>
                </c:pt>
                <c:pt idx="3">
                  <c:v>4.66251429291673E-2</c:v>
                </c:pt>
                <c:pt idx="4">
                  <c:v>9.0894558490112708E-3</c:v>
                </c:pt>
                <c:pt idx="7">
                  <c:v>2.0373962034653699E-2</c:v>
                </c:pt>
              </c:numCache>
            </c:numRef>
          </c:xVal>
          <c:yVal>
            <c:numRef>
              <c:f>downstream!$I$10:$I$20</c:f>
              <c:numCache>
                <c:formatCode>General</c:formatCode>
                <c:ptCount val="11"/>
                <c:pt idx="0">
                  <c:v>113.72040256</c:v>
                </c:pt>
                <c:pt idx="2">
                  <c:v>112.66319882000001</c:v>
                </c:pt>
                <c:pt idx="3">
                  <c:v>114.89097618</c:v>
                </c:pt>
                <c:pt idx="4">
                  <c:v>116.55531655999999</c:v>
                </c:pt>
                <c:pt idx="6">
                  <c:v>118.40602251999999</c:v>
                </c:pt>
                <c:pt idx="7">
                  <c:v>115.75512236</c:v>
                </c:pt>
                <c:pt idx="8">
                  <c:v>121.12197168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5302-446D-A302-C28CA037F4B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29882927"/>
        <c:axId val="129899727"/>
      </c:scatterChart>
      <c:valAx>
        <c:axId val="129882927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Hysteresis Index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9899727"/>
        <c:crosses val="autoZero"/>
        <c:crossBetween val="midCat"/>
      </c:valAx>
      <c:valAx>
        <c:axId val="12989972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Critical</a:t>
                </a:r>
                <a:r>
                  <a:rPr lang="en-US" baseline="0"/>
                  <a:t> Shear Stress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9882927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legendEntry>
        <c:idx val="3"/>
        <c:delete val="1"/>
      </c:legendEntry>
      <c:legendEntry>
        <c:idx val="4"/>
        <c:delete val="1"/>
      </c:legendEntry>
      <c:legendEntry>
        <c:idx val="5"/>
        <c:delete val="1"/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fDOM</a:t>
            </a:r>
            <a:r>
              <a:rPr lang="en-US" baseline="0"/>
              <a:t> HI to tc50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0.16066650974548111"/>
          <c:y val="0.18004530917761208"/>
          <c:w val="0.75074186828700784"/>
          <c:h val="0.49375460344531691"/>
        </c:manualLayout>
      </c:layout>
      <c:scatterChart>
        <c:scatterStyle val="lineMarker"/>
        <c:varyColors val="0"/>
        <c:ser>
          <c:idx val="0"/>
          <c:order val="0"/>
          <c:tx>
            <c:strRef>
              <c:f>downstream!$C$4</c:f>
              <c:strCache>
                <c:ptCount val="1"/>
                <c:pt idx="0">
                  <c:v>Langlois (2005)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5.9686427824308545E-2"/>
                  <c:y val="0.23287174337896996"/>
                </c:manualLayout>
              </c:layout>
              <c:numFmt formatCode="General" sourceLinked="0"/>
              <c:spPr>
                <a:solidFill>
                  <a:schemeClr val="tx2">
                    <a:lumMod val="10000"/>
                    <a:lumOff val="9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downstream!$Q$71:$Q$96</c:f>
              <c:numCache>
                <c:formatCode>0.00000</c:formatCode>
                <c:ptCount val="26"/>
                <c:pt idx="0">
                  <c:v>0.99703728594241603</c:v>
                </c:pt>
                <c:pt idx="1">
                  <c:v>1.05414106800948</c:v>
                </c:pt>
                <c:pt idx="2">
                  <c:v>1.00376784280544</c:v>
                </c:pt>
                <c:pt idx="3">
                  <c:v>0.965580440673389</c:v>
                </c:pt>
                <c:pt idx="4">
                  <c:v>1.0368691348627199</c:v>
                </c:pt>
                <c:pt idx="5">
                  <c:v>0.98011971152962396</c:v>
                </c:pt>
                <c:pt idx="6">
                  <c:v>0.80472452573481301</c:v>
                </c:pt>
                <c:pt idx="7">
                  <c:v>1.07122215244959</c:v>
                </c:pt>
                <c:pt idx="8">
                  <c:v>0.96842975873578097</c:v>
                </c:pt>
                <c:pt idx="9">
                  <c:v>0.99721998555050795</c:v>
                </c:pt>
                <c:pt idx="10">
                  <c:v>1.0088578932758001</c:v>
                </c:pt>
              </c:numCache>
            </c:numRef>
          </c:xVal>
          <c:yVal>
            <c:numRef>
              <c:f>downstream!$L$72:$L$96</c:f>
              <c:numCache>
                <c:formatCode>General</c:formatCode>
                <c:ptCount val="25"/>
                <c:pt idx="0">
                  <c:v>106.97060942</c:v>
                </c:pt>
                <c:pt idx="1">
                  <c:v>113.72040256</c:v>
                </c:pt>
                <c:pt idx="3">
                  <c:v>112.66319882000001</c:v>
                </c:pt>
                <c:pt idx="4">
                  <c:v>114.89097618</c:v>
                </c:pt>
                <c:pt idx="5">
                  <c:v>116.55531655999999</c:v>
                </c:pt>
                <c:pt idx="7">
                  <c:v>118.40602251999999</c:v>
                </c:pt>
                <c:pt idx="8">
                  <c:v>115.75512236</c:v>
                </c:pt>
                <c:pt idx="9">
                  <c:v>121.12197168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ACD3-45AC-BA23-CCEA9B98A9F0}"/>
            </c:ext>
          </c:extLst>
        </c:ser>
        <c:ser>
          <c:idx val="1"/>
          <c:order val="1"/>
          <c:tx>
            <c:strRef>
              <c:f>downstream!$D$4</c:f>
              <c:strCache>
                <c:ptCount val="1"/>
                <c:pt idx="0">
                  <c:v>Lawler (2006)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-9.130137025449811E-2"/>
                  <c:y val="0.17951210264168482"/>
                </c:manualLayout>
              </c:layout>
              <c:numFmt formatCode="General" sourceLinked="0"/>
              <c:spPr>
                <a:solidFill>
                  <a:schemeClr val="accent2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downstream!$R$70:$R$96</c:f>
              <c:numCache>
                <c:formatCode>0.0000</c:formatCode>
                <c:ptCount val="27"/>
                <c:pt idx="0">
                  <c:v>-0.31071591767089402</c:v>
                </c:pt>
                <c:pt idx="1">
                  <c:v>-0.72341186519112299</c:v>
                </c:pt>
                <c:pt idx="2">
                  <c:v>0.54135397831396403</c:v>
                </c:pt>
                <c:pt idx="3">
                  <c:v>-0.28173278371114102</c:v>
                </c:pt>
                <c:pt idx="4">
                  <c:v>-0.28388728833714599</c:v>
                </c:pt>
                <c:pt idx="5">
                  <c:v>-0.167176048352111</c:v>
                </c:pt>
                <c:pt idx="6">
                  <c:v>-0.234414236192791</c:v>
                </c:pt>
                <c:pt idx="7">
                  <c:v>-0.91543606234553399</c:v>
                </c:pt>
                <c:pt idx="8">
                  <c:v>-0.11116405161722299</c:v>
                </c:pt>
                <c:pt idx="9">
                  <c:v>-0.44122459346906301</c:v>
                </c:pt>
                <c:pt idx="10">
                  <c:v>-0.221642867808126</c:v>
                </c:pt>
                <c:pt idx="11">
                  <c:v>0.120506313986007</c:v>
                </c:pt>
                <c:pt idx="12">
                  <c:v>0.99778765474319298</c:v>
                </c:pt>
              </c:numCache>
            </c:numRef>
          </c:xVal>
          <c:yVal>
            <c:numRef>
              <c:f>downstream!$L$70:$L$96</c:f>
              <c:numCache>
                <c:formatCode>General</c:formatCode>
                <c:ptCount val="27"/>
                <c:pt idx="0">
                  <c:v>118.22733427999999</c:v>
                </c:pt>
                <c:pt idx="1">
                  <c:v>108.51115272</c:v>
                </c:pt>
                <c:pt idx="2">
                  <c:v>106.97060942</c:v>
                </c:pt>
                <c:pt idx="3">
                  <c:v>113.72040256</c:v>
                </c:pt>
                <c:pt idx="5">
                  <c:v>112.66319882000001</c:v>
                </c:pt>
                <c:pt idx="6">
                  <c:v>114.89097618</c:v>
                </c:pt>
                <c:pt idx="7">
                  <c:v>116.55531655999999</c:v>
                </c:pt>
                <c:pt idx="9">
                  <c:v>118.40602251999999</c:v>
                </c:pt>
                <c:pt idx="10">
                  <c:v>115.75512236</c:v>
                </c:pt>
                <c:pt idx="11">
                  <c:v>121.12197168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ACD3-45AC-BA23-CCEA9B98A9F0}"/>
            </c:ext>
          </c:extLst>
        </c:ser>
        <c:ser>
          <c:idx val="2"/>
          <c:order val="2"/>
          <c:tx>
            <c:strRef>
              <c:f>downstream!$E$4</c:f>
              <c:strCache>
                <c:ptCount val="1"/>
                <c:pt idx="0">
                  <c:v>Aich (2014) 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3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-0.2736952289204706"/>
                  <c:y val="-3.9816576951641038E-3"/>
                </c:manualLayout>
              </c:layout>
              <c:numFmt formatCode="General" sourceLinked="0"/>
              <c:spPr>
                <a:solidFill>
                  <a:schemeClr val="accent6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downstream!$S$70:$S$97</c:f>
              <c:numCache>
                <c:formatCode>0.0000</c:formatCode>
                <c:ptCount val="28"/>
                <c:pt idx="0">
                  <c:v>-3.7834846370905402E-3</c:v>
                </c:pt>
                <c:pt idx="1">
                  <c:v>6.4581353214806597E-2</c:v>
                </c:pt>
                <c:pt idx="2">
                  <c:v>6.1895687016862502E-2</c:v>
                </c:pt>
                <c:pt idx="3">
                  <c:v>2.95836818188689E-2</c:v>
                </c:pt>
                <c:pt idx="4">
                  <c:v>-5.4892758010415703E-2</c:v>
                </c:pt>
                <c:pt idx="5">
                  <c:v>8.8641812543785899E-3</c:v>
                </c:pt>
                <c:pt idx="6">
                  <c:v>1.32778322661357E-2</c:v>
                </c:pt>
                <c:pt idx="7">
                  <c:v>-6.0975544853349099E-2</c:v>
                </c:pt>
                <c:pt idx="8">
                  <c:v>4.2081062239471598E-2</c:v>
                </c:pt>
                <c:pt idx="9">
                  <c:v>-1.77749404385871E-2</c:v>
                </c:pt>
                <c:pt idx="10">
                  <c:v>3.08855730575289E-3</c:v>
                </c:pt>
                <c:pt idx="11">
                  <c:v>-5.3081166180475401E-3</c:v>
                </c:pt>
                <c:pt idx="12">
                  <c:v>0.99566811930969701</c:v>
                </c:pt>
              </c:numCache>
            </c:numRef>
          </c:xVal>
          <c:yVal>
            <c:numRef>
              <c:f>downstream!$L$70:$L$96</c:f>
              <c:numCache>
                <c:formatCode>General</c:formatCode>
                <c:ptCount val="27"/>
                <c:pt idx="0">
                  <c:v>118.22733427999999</c:v>
                </c:pt>
                <c:pt idx="1">
                  <c:v>108.51115272</c:v>
                </c:pt>
                <c:pt idx="2">
                  <c:v>106.97060942</c:v>
                </c:pt>
                <c:pt idx="3">
                  <c:v>113.72040256</c:v>
                </c:pt>
                <c:pt idx="5">
                  <c:v>112.66319882000001</c:v>
                </c:pt>
                <c:pt idx="6">
                  <c:v>114.89097618</c:v>
                </c:pt>
                <c:pt idx="7">
                  <c:v>116.55531655999999</c:v>
                </c:pt>
                <c:pt idx="9">
                  <c:v>118.40602251999999</c:v>
                </c:pt>
                <c:pt idx="10">
                  <c:v>115.75512236</c:v>
                </c:pt>
                <c:pt idx="11">
                  <c:v>121.12197168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ACD3-45AC-BA23-CCEA9B98A9F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29882927"/>
        <c:axId val="129899727"/>
      </c:scatterChart>
      <c:valAx>
        <c:axId val="129882927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Hysteresis Index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0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9899727"/>
        <c:crosses val="autoZero"/>
        <c:crossBetween val="midCat"/>
      </c:valAx>
      <c:valAx>
        <c:axId val="129899727"/>
        <c:scaling>
          <c:orientation val="minMax"/>
          <c:min val="1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Critical</a:t>
                </a:r>
                <a:r>
                  <a:rPr lang="en-US" baseline="0"/>
                  <a:t> Shear Stress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9882927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legendEntry>
        <c:idx val="3"/>
        <c:delete val="1"/>
      </c:legendEntry>
      <c:legendEntry>
        <c:idx val="4"/>
        <c:delete val="1"/>
      </c:legendEntry>
      <c:legendEntry>
        <c:idx val="5"/>
        <c:delete val="1"/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SSC</a:t>
            </a:r>
            <a:r>
              <a:rPr lang="en-US" baseline="0"/>
              <a:t> HI to tc50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upstream!$C$4</c:f>
              <c:strCache>
                <c:ptCount val="1"/>
                <c:pt idx="0">
                  <c:v>Langlois (2005)</c:v>
                </c:pt>
              </c:strCache>
            </c:strRef>
          </c:tx>
          <c:spPr>
            <a:ln w="381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5.8959894400189136E-3"/>
                  <c:y val="0.22144861560354748"/>
                </c:manualLayout>
              </c:layout>
              <c:numFmt formatCode="General" sourceLinked="0"/>
              <c:spPr>
                <a:solidFill>
                  <a:schemeClr val="tx2">
                    <a:lumMod val="10000"/>
                    <a:lumOff val="9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upstream!$C$10:$C$33</c:f>
              <c:numCache>
                <c:formatCode>0.0000</c:formatCode>
                <c:ptCount val="24"/>
                <c:pt idx="10">
                  <c:v>1.8695993339197901</c:v>
                </c:pt>
                <c:pt idx="11">
                  <c:v>1.21795864622288</c:v>
                </c:pt>
                <c:pt idx="12">
                  <c:v>1.0299659938988901</c:v>
                </c:pt>
                <c:pt idx="15">
                  <c:v>1.1534447144942801</c:v>
                </c:pt>
                <c:pt idx="16">
                  <c:v>1.6625275928143599</c:v>
                </c:pt>
                <c:pt idx="17">
                  <c:v>0.83858009935182098</c:v>
                </c:pt>
                <c:pt idx="18">
                  <c:v>2.31938512736013</c:v>
                </c:pt>
                <c:pt idx="19">
                  <c:v>1.66955637894203</c:v>
                </c:pt>
                <c:pt idx="21">
                  <c:v>0.90805045415642205</c:v>
                </c:pt>
                <c:pt idx="22">
                  <c:v>1.0862889042163599</c:v>
                </c:pt>
                <c:pt idx="23">
                  <c:v>0.39254775269290398</c:v>
                </c:pt>
              </c:numCache>
            </c:numRef>
          </c:xVal>
          <c:yVal>
            <c:numRef>
              <c:f>upstream!$I$10:$I$33</c:f>
              <c:numCache>
                <c:formatCode>General</c:formatCode>
                <c:ptCount val="24"/>
                <c:pt idx="12">
                  <c:v>118.22733427999999</c:v>
                </c:pt>
                <c:pt idx="13">
                  <c:v>108.51115272</c:v>
                </c:pt>
                <c:pt idx="14">
                  <c:v>106.97060942</c:v>
                </c:pt>
                <c:pt idx="15">
                  <c:v>113.72040256</c:v>
                </c:pt>
                <c:pt idx="17">
                  <c:v>112.66319882000001</c:v>
                </c:pt>
                <c:pt idx="18">
                  <c:v>114.89097618</c:v>
                </c:pt>
                <c:pt idx="19">
                  <c:v>116.55531655999999</c:v>
                </c:pt>
                <c:pt idx="21">
                  <c:v>118.40602251999999</c:v>
                </c:pt>
                <c:pt idx="22">
                  <c:v>115.75512236</c:v>
                </c:pt>
                <c:pt idx="23">
                  <c:v>121.12197168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1A50-4938-A264-59A68DA73C5D}"/>
            </c:ext>
          </c:extLst>
        </c:ser>
        <c:ser>
          <c:idx val="1"/>
          <c:order val="1"/>
          <c:tx>
            <c:strRef>
              <c:f>upstream!$D$4</c:f>
              <c:strCache>
                <c:ptCount val="1"/>
                <c:pt idx="0">
                  <c:v>Lawler (2006)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-4.7489574381930605E-2"/>
                  <c:y val="0.22589652441382868"/>
                </c:manualLayout>
              </c:layout>
              <c:numFmt formatCode="General" sourceLinked="0"/>
              <c:spPr>
                <a:solidFill>
                  <a:schemeClr val="accent2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upstream!$D$10:$D$33</c:f>
              <c:numCache>
                <c:formatCode>0.0000</c:formatCode>
                <c:ptCount val="24"/>
                <c:pt idx="10">
                  <c:v>0.44896728093636801</c:v>
                </c:pt>
                <c:pt idx="11">
                  <c:v>1.5264059910121399</c:v>
                </c:pt>
                <c:pt idx="12">
                  <c:v>0.71671353985517805</c:v>
                </c:pt>
                <c:pt idx="15">
                  <c:v>0.678678630991426</c:v>
                </c:pt>
                <c:pt idx="16">
                  <c:v>0.81343884511072295</c:v>
                </c:pt>
                <c:pt idx="17">
                  <c:v>-1.07855599689062</c:v>
                </c:pt>
                <c:pt idx="18">
                  <c:v>1.34776836410395</c:v>
                </c:pt>
                <c:pt idx="19">
                  <c:v>0.55456789410428697</c:v>
                </c:pt>
                <c:pt idx="20">
                  <c:v>0.70468449804027899</c:v>
                </c:pt>
                <c:pt idx="21">
                  <c:v>-0.373253605455523</c:v>
                </c:pt>
                <c:pt idx="22">
                  <c:v>0.63056904760694898</c:v>
                </c:pt>
                <c:pt idx="23">
                  <c:v>-0.623899602892661</c:v>
                </c:pt>
              </c:numCache>
            </c:numRef>
          </c:xVal>
          <c:yVal>
            <c:numRef>
              <c:f>upstream!$I$10:$I$33</c:f>
              <c:numCache>
                <c:formatCode>General</c:formatCode>
                <c:ptCount val="24"/>
                <c:pt idx="12">
                  <c:v>118.22733427999999</c:v>
                </c:pt>
                <c:pt idx="13">
                  <c:v>108.51115272</c:v>
                </c:pt>
                <c:pt idx="14">
                  <c:v>106.97060942</c:v>
                </c:pt>
                <c:pt idx="15">
                  <c:v>113.72040256</c:v>
                </c:pt>
                <c:pt idx="17">
                  <c:v>112.66319882000001</c:v>
                </c:pt>
                <c:pt idx="18">
                  <c:v>114.89097618</c:v>
                </c:pt>
                <c:pt idx="19">
                  <c:v>116.55531655999999</c:v>
                </c:pt>
                <c:pt idx="21">
                  <c:v>118.40602251999999</c:v>
                </c:pt>
                <c:pt idx="22">
                  <c:v>115.75512236</c:v>
                </c:pt>
                <c:pt idx="23">
                  <c:v>121.12197168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1A50-4938-A264-59A68DA73C5D}"/>
            </c:ext>
          </c:extLst>
        </c:ser>
        <c:ser>
          <c:idx val="2"/>
          <c:order val="2"/>
          <c:tx>
            <c:strRef>
              <c:f>upstream!$E$4</c:f>
              <c:strCache>
                <c:ptCount val="1"/>
                <c:pt idx="0">
                  <c:v>Aich (2014) 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3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-9.3012290532318576E-2"/>
                  <c:y val="0.19612362551341794"/>
                </c:manualLayout>
              </c:layout>
              <c:numFmt formatCode="General" sourceLinked="0"/>
              <c:spPr>
                <a:solidFill>
                  <a:schemeClr val="accent6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upstream!$E$10:$E$33</c:f>
              <c:numCache>
                <c:formatCode>0.0000</c:formatCode>
                <c:ptCount val="24"/>
                <c:pt idx="10">
                  <c:v>2.4947102971666898E-2</c:v>
                </c:pt>
                <c:pt idx="11">
                  <c:v>9.6293174744729593E-3</c:v>
                </c:pt>
                <c:pt idx="12">
                  <c:v>0.14608753400636901</c:v>
                </c:pt>
                <c:pt idx="15">
                  <c:v>1.27691539373017E-2</c:v>
                </c:pt>
                <c:pt idx="16">
                  <c:v>6.7576112725014403E-2</c:v>
                </c:pt>
                <c:pt idx="17">
                  <c:v>-0.35416666689988402</c:v>
                </c:pt>
                <c:pt idx="18">
                  <c:v>4.5646344187588998E-2</c:v>
                </c:pt>
                <c:pt idx="19">
                  <c:v>1.47909285306715E-2</c:v>
                </c:pt>
                <c:pt idx="20">
                  <c:v>3.5842816756479302E-2</c:v>
                </c:pt>
                <c:pt idx="21">
                  <c:v>-4.0383997186219003E-2</c:v>
                </c:pt>
                <c:pt idx="22">
                  <c:v>3.6679485231980898E-2</c:v>
                </c:pt>
                <c:pt idx="23">
                  <c:v>-0.76160033358371604</c:v>
                </c:pt>
              </c:numCache>
            </c:numRef>
          </c:xVal>
          <c:yVal>
            <c:numRef>
              <c:f>upstream!$I$10:$I$33</c:f>
              <c:numCache>
                <c:formatCode>General</c:formatCode>
                <c:ptCount val="24"/>
                <c:pt idx="12">
                  <c:v>118.22733427999999</c:v>
                </c:pt>
                <c:pt idx="13">
                  <c:v>108.51115272</c:v>
                </c:pt>
                <c:pt idx="14">
                  <c:v>106.97060942</c:v>
                </c:pt>
                <c:pt idx="15">
                  <c:v>113.72040256</c:v>
                </c:pt>
                <c:pt idx="17">
                  <c:v>112.66319882000001</c:v>
                </c:pt>
                <c:pt idx="18">
                  <c:v>114.89097618</c:v>
                </c:pt>
                <c:pt idx="19">
                  <c:v>116.55531655999999</c:v>
                </c:pt>
                <c:pt idx="21">
                  <c:v>118.40602251999999</c:v>
                </c:pt>
                <c:pt idx="22">
                  <c:v>115.75512236</c:v>
                </c:pt>
                <c:pt idx="23">
                  <c:v>121.12197168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1A50-4938-A264-59A68DA73C5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29882927"/>
        <c:axId val="129899727"/>
      </c:scatterChart>
      <c:valAx>
        <c:axId val="129882927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Hysteresis Index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9899727"/>
        <c:crosses val="autoZero"/>
        <c:crossBetween val="midCat"/>
      </c:valAx>
      <c:valAx>
        <c:axId val="12989972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Critical</a:t>
                </a:r>
                <a:r>
                  <a:rPr lang="en-US" baseline="0"/>
                  <a:t> Shear Stress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9882927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legendEntry>
        <c:idx val="3"/>
        <c:delete val="1"/>
      </c:legendEntry>
      <c:legendEntry>
        <c:idx val="4"/>
        <c:delete val="1"/>
      </c:legendEntry>
      <c:legendEntry>
        <c:idx val="5"/>
        <c:delete val="1"/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DOC</a:t>
            </a:r>
            <a:r>
              <a:rPr lang="en-US" baseline="0"/>
              <a:t> HI to tc50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upstream!$C$4</c:f>
              <c:strCache>
                <c:ptCount val="1"/>
                <c:pt idx="0">
                  <c:v>Langlois (2005)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5.8959894400189136E-3"/>
                  <c:y val="0.22144861560354748"/>
                </c:manualLayout>
              </c:layout>
              <c:numFmt formatCode="General" sourceLinked="0"/>
              <c:spPr>
                <a:solidFill>
                  <a:schemeClr val="tx2">
                    <a:lumMod val="10000"/>
                    <a:lumOff val="9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upstream!$C$42:$C$65</c:f>
              <c:numCache>
                <c:formatCode>0.000</c:formatCode>
                <c:ptCount val="24"/>
                <c:pt idx="10">
                  <c:v>1.0683907677478099</c:v>
                </c:pt>
                <c:pt idx="11">
                  <c:v>1.13117180110701</c:v>
                </c:pt>
                <c:pt idx="12">
                  <c:v>0.99421602518435603</c:v>
                </c:pt>
                <c:pt idx="14">
                  <c:v>1.0587750080951299</c:v>
                </c:pt>
                <c:pt idx="15">
                  <c:v>1.04764110720538</c:v>
                </c:pt>
                <c:pt idx="16">
                  <c:v>1.1477045338510801</c:v>
                </c:pt>
                <c:pt idx="17">
                  <c:v>1.1126612766097499</c:v>
                </c:pt>
                <c:pt idx="18">
                  <c:v>1.2530304455719099</c:v>
                </c:pt>
                <c:pt idx="19">
                  <c:v>1.0813804129035001</c:v>
                </c:pt>
                <c:pt idx="20">
                  <c:v>1.2134925086481201</c:v>
                </c:pt>
                <c:pt idx="21">
                  <c:v>1.08380817355586</c:v>
                </c:pt>
                <c:pt idx="22">
                  <c:v>1.0367372638660399</c:v>
                </c:pt>
                <c:pt idx="23">
                  <c:v>1.1282134088167699</c:v>
                </c:pt>
              </c:numCache>
            </c:numRef>
          </c:xVal>
          <c:yVal>
            <c:numRef>
              <c:f>upstream!$I$42:$I$65</c:f>
              <c:numCache>
                <c:formatCode>General</c:formatCode>
                <c:ptCount val="24"/>
                <c:pt idx="12">
                  <c:v>118.22733427999999</c:v>
                </c:pt>
                <c:pt idx="13">
                  <c:v>108.51115272</c:v>
                </c:pt>
                <c:pt idx="14">
                  <c:v>106.97060942</c:v>
                </c:pt>
                <c:pt idx="15">
                  <c:v>113.72040256</c:v>
                </c:pt>
                <c:pt idx="17">
                  <c:v>112.66319882000001</c:v>
                </c:pt>
                <c:pt idx="18">
                  <c:v>114.89097618</c:v>
                </c:pt>
                <c:pt idx="19">
                  <c:v>116.55531655999999</c:v>
                </c:pt>
                <c:pt idx="21">
                  <c:v>118.40602251999999</c:v>
                </c:pt>
                <c:pt idx="22">
                  <c:v>115.75512236</c:v>
                </c:pt>
                <c:pt idx="23">
                  <c:v>121.12197168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8D1A-4E7E-BD65-E0B6ADEEE29E}"/>
            </c:ext>
          </c:extLst>
        </c:ser>
        <c:ser>
          <c:idx val="1"/>
          <c:order val="1"/>
          <c:tx>
            <c:strRef>
              <c:f>upstream!$D$4</c:f>
              <c:strCache>
                <c:ptCount val="1"/>
                <c:pt idx="0">
                  <c:v>Lawler (2006)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-4.7489574381930605E-2"/>
                  <c:y val="0.22589652441382868"/>
                </c:manualLayout>
              </c:layout>
              <c:numFmt formatCode="General" sourceLinked="0"/>
              <c:spPr>
                <a:solidFill>
                  <a:schemeClr val="accent2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upstream!$D$42:$D$65</c:f>
              <c:numCache>
                <c:formatCode>0.000</c:formatCode>
                <c:ptCount val="24"/>
                <c:pt idx="10">
                  <c:v>0.74870138294766397</c:v>
                </c:pt>
                <c:pt idx="11">
                  <c:v>1.1019405303793299</c:v>
                </c:pt>
                <c:pt idx="12">
                  <c:v>0.17884914222762199</c:v>
                </c:pt>
                <c:pt idx="14">
                  <c:v>0.662333397055619</c:v>
                </c:pt>
                <c:pt idx="15">
                  <c:v>1.10062768451704</c:v>
                </c:pt>
                <c:pt idx="16">
                  <c:v>0.97101599927504101</c:v>
                </c:pt>
                <c:pt idx="17">
                  <c:v>0.95380985457733503</c:v>
                </c:pt>
                <c:pt idx="18">
                  <c:v>1.1029723476739599</c:v>
                </c:pt>
                <c:pt idx="19">
                  <c:v>0.52079829390269505</c:v>
                </c:pt>
                <c:pt idx="20">
                  <c:v>0.94175163201491896</c:v>
                </c:pt>
                <c:pt idx="21">
                  <c:v>0.28231733716004298</c:v>
                </c:pt>
                <c:pt idx="22">
                  <c:v>0.55097576187408004</c:v>
                </c:pt>
                <c:pt idx="23">
                  <c:v>0.99053604379690696</c:v>
                </c:pt>
              </c:numCache>
            </c:numRef>
          </c:xVal>
          <c:yVal>
            <c:numRef>
              <c:f>upstream!$I$42:$I$65</c:f>
              <c:numCache>
                <c:formatCode>General</c:formatCode>
                <c:ptCount val="24"/>
                <c:pt idx="12">
                  <c:v>118.22733427999999</c:v>
                </c:pt>
                <c:pt idx="13">
                  <c:v>108.51115272</c:v>
                </c:pt>
                <c:pt idx="14">
                  <c:v>106.97060942</c:v>
                </c:pt>
                <c:pt idx="15">
                  <c:v>113.72040256</c:v>
                </c:pt>
                <c:pt idx="17">
                  <c:v>112.66319882000001</c:v>
                </c:pt>
                <c:pt idx="18">
                  <c:v>114.89097618</c:v>
                </c:pt>
                <c:pt idx="19">
                  <c:v>116.55531655999999</c:v>
                </c:pt>
                <c:pt idx="21">
                  <c:v>118.40602251999999</c:v>
                </c:pt>
                <c:pt idx="22">
                  <c:v>115.75512236</c:v>
                </c:pt>
                <c:pt idx="23">
                  <c:v>121.12197168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8D1A-4E7E-BD65-E0B6ADEEE29E}"/>
            </c:ext>
          </c:extLst>
        </c:ser>
        <c:ser>
          <c:idx val="2"/>
          <c:order val="2"/>
          <c:tx>
            <c:strRef>
              <c:f>upstream!$E$4</c:f>
              <c:strCache>
                <c:ptCount val="1"/>
                <c:pt idx="0">
                  <c:v>Aich (2014) 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3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-5.3252946629997952E-2"/>
                  <c:y val="1.6192228261109907E-2"/>
                </c:manualLayout>
              </c:layout>
              <c:numFmt formatCode="General" sourceLinked="0"/>
              <c:spPr>
                <a:solidFill>
                  <a:schemeClr val="accent6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upstream!$E$42:$E$65</c:f>
              <c:numCache>
                <c:formatCode>0.000</c:formatCode>
                <c:ptCount val="24"/>
                <c:pt idx="10">
                  <c:v>6.5697545304297195E-2</c:v>
                </c:pt>
                <c:pt idx="11">
                  <c:v>0.132436068542756</c:v>
                </c:pt>
                <c:pt idx="12">
                  <c:v>-4.2076076707890497E-3</c:v>
                </c:pt>
                <c:pt idx="14">
                  <c:v>0.12430930853391101</c:v>
                </c:pt>
                <c:pt idx="15">
                  <c:v>9.2876994447724404E-2</c:v>
                </c:pt>
                <c:pt idx="16">
                  <c:v>8.3834633446242604E-2</c:v>
                </c:pt>
                <c:pt idx="17">
                  <c:v>4.4857179056258203E-2</c:v>
                </c:pt>
                <c:pt idx="18">
                  <c:v>7.6664996000854094E-2</c:v>
                </c:pt>
                <c:pt idx="19">
                  <c:v>2.1219861817338499E-2</c:v>
                </c:pt>
                <c:pt idx="20">
                  <c:v>8.5275451626537893E-2</c:v>
                </c:pt>
                <c:pt idx="21">
                  <c:v>3.1629539106965802E-2</c:v>
                </c:pt>
                <c:pt idx="22">
                  <c:v>4.3964016574286002E-2</c:v>
                </c:pt>
                <c:pt idx="23">
                  <c:v>5.3048699734524599E-2</c:v>
                </c:pt>
              </c:numCache>
            </c:numRef>
          </c:xVal>
          <c:yVal>
            <c:numRef>
              <c:f>upstream!$I$42:$I$65</c:f>
              <c:numCache>
                <c:formatCode>General</c:formatCode>
                <c:ptCount val="24"/>
                <c:pt idx="12">
                  <c:v>118.22733427999999</c:v>
                </c:pt>
                <c:pt idx="13">
                  <c:v>108.51115272</c:v>
                </c:pt>
                <c:pt idx="14">
                  <c:v>106.97060942</c:v>
                </c:pt>
                <c:pt idx="15">
                  <c:v>113.72040256</c:v>
                </c:pt>
                <c:pt idx="17">
                  <c:v>112.66319882000001</c:v>
                </c:pt>
                <c:pt idx="18">
                  <c:v>114.89097618</c:v>
                </c:pt>
                <c:pt idx="19">
                  <c:v>116.55531655999999</c:v>
                </c:pt>
                <c:pt idx="21">
                  <c:v>118.40602251999999</c:v>
                </c:pt>
                <c:pt idx="22">
                  <c:v>115.75512236</c:v>
                </c:pt>
                <c:pt idx="23">
                  <c:v>121.12197168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8D1A-4E7E-BD65-E0B6ADEEE29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29882927"/>
        <c:axId val="129899727"/>
      </c:scatterChart>
      <c:valAx>
        <c:axId val="129882927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Hysteresis Index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9899727"/>
        <c:crosses val="autoZero"/>
        <c:crossBetween val="midCat"/>
      </c:valAx>
      <c:valAx>
        <c:axId val="12989972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Critical</a:t>
                </a:r>
                <a:r>
                  <a:rPr lang="en-US" baseline="0"/>
                  <a:t> Shear Stress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9882927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legendEntry>
        <c:idx val="3"/>
        <c:delete val="1"/>
      </c:legendEntry>
      <c:legendEntry>
        <c:idx val="4"/>
        <c:delete val="1"/>
      </c:legendEntry>
      <c:legendEntry>
        <c:idx val="5"/>
        <c:delete val="1"/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SSC</a:t>
            </a:r>
            <a:r>
              <a:rPr lang="en-US" baseline="0"/>
              <a:t> HI to Dmax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upstream!$C$4</c:f>
              <c:strCache>
                <c:ptCount val="1"/>
                <c:pt idx="0">
                  <c:v>Langlois (2005)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1.5867128298522853E-2"/>
                  <c:y val="0.15634127049626317"/>
                </c:manualLayout>
              </c:layout>
              <c:numFmt formatCode="General" sourceLinked="0"/>
              <c:spPr>
                <a:solidFill>
                  <a:schemeClr val="tx2">
                    <a:lumMod val="10000"/>
                    <a:lumOff val="9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upstream!$C$10:$C$33</c:f>
              <c:numCache>
                <c:formatCode>0.0000</c:formatCode>
                <c:ptCount val="24"/>
                <c:pt idx="10">
                  <c:v>1.8695993339197901</c:v>
                </c:pt>
                <c:pt idx="11">
                  <c:v>1.21795864622288</c:v>
                </c:pt>
                <c:pt idx="12">
                  <c:v>1.0299659938988901</c:v>
                </c:pt>
                <c:pt idx="15">
                  <c:v>1.1534447144942801</c:v>
                </c:pt>
                <c:pt idx="16">
                  <c:v>1.6625275928143599</c:v>
                </c:pt>
                <c:pt idx="17">
                  <c:v>0.83858009935182098</c:v>
                </c:pt>
                <c:pt idx="18">
                  <c:v>2.31938512736013</c:v>
                </c:pt>
                <c:pt idx="19">
                  <c:v>1.66955637894203</c:v>
                </c:pt>
                <c:pt idx="21">
                  <c:v>0.90805045415642205</c:v>
                </c:pt>
                <c:pt idx="22">
                  <c:v>1.0862889042163599</c:v>
                </c:pt>
                <c:pt idx="23">
                  <c:v>0.39254775269290398</c:v>
                </c:pt>
              </c:numCache>
            </c:numRef>
          </c:xVal>
          <c:yVal>
            <c:numRef>
              <c:f>upstream!$J$10:$J$33</c:f>
              <c:numCache>
                <c:formatCode>General</c:formatCode>
                <c:ptCount val="24"/>
                <c:pt idx="12">
                  <c:v>60.710430000000002</c:v>
                </c:pt>
                <c:pt idx="13">
                  <c:v>45.71622</c:v>
                </c:pt>
                <c:pt idx="14">
                  <c:v>46.063560000000003</c:v>
                </c:pt>
                <c:pt idx="15">
                  <c:v>47.354999999999997</c:v>
                </c:pt>
                <c:pt idx="17">
                  <c:v>101.105</c:v>
                </c:pt>
                <c:pt idx="18">
                  <c:v>44.466000000000001</c:v>
                </c:pt>
                <c:pt idx="19">
                  <c:v>47.503</c:v>
                </c:pt>
                <c:pt idx="21">
                  <c:v>54.055999999999997</c:v>
                </c:pt>
                <c:pt idx="22">
                  <c:v>53.783999999999999</c:v>
                </c:pt>
                <c:pt idx="23">
                  <c:v>53.783999999999999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5558-4812-A61D-AA8A98E987FC}"/>
            </c:ext>
          </c:extLst>
        </c:ser>
        <c:ser>
          <c:idx val="1"/>
          <c:order val="1"/>
          <c:tx>
            <c:strRef>
              <c:f>upstream!$D$4</c:f>
              <c:strCache>
                <c:ptCount val="1"/>
                <c:pt idx="0">
                  <c:v>Lawler (2006)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-8.5820609639809114E-2"/>
                  <c:y val="0.11100427763978285"/>
                </c:manualLayout>
              </c:layout>
              <c:numFmt formatCode="General" sourceLinked="0"/>
              <c:spPr>
                <a:solidFill>
                  <a:schemeClr val="accent2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upstream!$D$10:$D$33</c:f>
              <c:numCache>
                <c:formatCode>0.0000</c:formatCode>
                <c:ptCount val="24"/>
                <c:pt idx="10">
                  <c:v>0.44896728093636801</c:v>
                </c:pt>
                <c:pt idx="11">
                  <c:v>1.5264059910121399</c:v>
                </c:pt>
                <c:pt idx="12">
                  <c:v>0.71671353985517805</c:v>
                </c:pt>
                <c:pt idx="15">
                  <c:v>0.678678630991426</c:v>
                </c:pt>
                <c:pt idx="16">
                  <c:v>0.81343884511072295</c:v>
                </c:pt>
                <c:pt idx="17">
                  <c:v>-1.07855599689062</c:v>
                </c:pt>
                <c:pt idx="18">
                  <c:v>1.34776836410395</c:v>
                </c:pt>
                <c:pt idx="19">
                  <c:v>0.55456789410428697</c:v>
                </c:pt>
                <c:pt idx="20">
                  <c:v>0.70468449804027899</c:v>
                </c:pt>
                <c:pt idx="21">
                  <c:v>-0.373253605455523</c:v>
                </c:pt>
                <c:pt idx="22">
                  <c:v>0.63056904760694898</c:v>
                </c:pt>
                <c:pt idx="23">
                  <c:v>-0.623899602892661</c:v>
                </c:pt>
              </c:numCache>
            </c:numRef>
          </c:xVal>
          <c:yVal>
            <c:numRef>
              <c:f>upstream!$J$10:$J$33</c:f>
              <c:numCache>
                <c:formatCode>General</c:formatCode>
                <c:ptCount val="24"/>
                <c:pt idx="12">
                  <c:v>60.710430000000002</c:v>
                </c:pt>
                <c:pt idx="13">
                  <c:v>45.71622</c:v>
                </c:pt>
                <c:pt idx="14">
                  <c:v>46.063560000000003</c:v>
                </c:pt>
                <c:pt idx="15">
                  <c:v>47.354999999999997</c:v>
                </c:pt>
                <c:pt idx="17">
                  <c:v>101.105</c:v>
                </c:pt>
                <c:pt idx="18">
                  <c:v>44.466000000000001</c:v>
                </c:pt>
                <c:pt idx="19">
                  <c:v>47.503</c:v>
                </c:pt>
                <c:pt idx="21">
                  <c:v>54.055999999999997</c:v>
                </c:pt>
                <c:pt idx="22">
                  <c:v>53.783999999999999</c:v>
                </c:pt>
                <c:pt idx="23">
                  <c:v>53.783999999999999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5558-4812-A61D-AA8A98E987FC}"/>
            </c:ext>
          </c:extLst>
        </c:ser>
        <c:ser>
          <c:idx val="2"/>
          <c:order val="2"/>
          <c:tx>
            <c:strRef>
              <c:f>upstream!$E$4</c:f>
              <c:strCache>
                <c:ptCount val="1"/>
                <c:pt idx="0">
                  <c:v>Aich (2014) 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3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-7.4926049517057017E-2"/>
                  <c:y val="0.16649235728845693"/>
                </c:manualLayout>
              </c:layout>
              <c:numFmt formatCode="General" sourceLinked="0"/>
              <c:spPr>
                <a:solidFill>
                  <a:schemeClr val="accent6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upstream!$E$10:$E$33</c:f>
              <c:numCache>
                <c:formatCode>0.0000</c:formatCode>
                <c:ptCount val="24"/>
                <c:pt idx="10">
                  <c:v>2.4947102971666898E-2</c:v>
                </c:pt>
                <c:pt idx="11">
                  <c:v>9.6293174744729593E-3</c:v>
                </c:pt>
                <c:pt idx="12">
                  <c:v>0.14608753400636901</c:v>
                </c:pt>
                <c:pt idx="15">
                  <c:v>1.27691539373017E-2</c:v>
                </c:pt>
                <c:pt idx="16">
                  <c:v>6.7576112725014403E-2</c:v>
                </c:pt>
                <c:pt idx="17">
                  <c:v>-0.35416666689988402</c:v>
                </c:pt>
                <c:pt idx="18">
                  <c:v>4.5646344187588998E-2</c:v>
                </c:pt>
                <c:pt idx="19">
                  <c:v>1.47909285306715E-2</c:v>
                </c:pt>
                <c:pt idx="20">
                  <c:v>3.5842816756479302E-2</c:v>
                </c:pt>
                <c:pt idx="21">
                  <c:v>-4.0383997186219003E-2</c:v>
                </c:pt>
                <c:pt idx="22">
                  <c:v>3.6679485231980898E-2</c:v>
                </c:pt>
                <c:pt idx="23">
                  <c:v>-0.76160033358371604</c:v>
                </c:pt>
              </c:numCache>
            </c:numRef>
          </c:xVal>
          <c:yVal>
            <c:numRef>
              <c:f>upstream!$J$10:$J$33</c:f>
              <c:numCache>
                <c:formatCode>General</c:formatCode>
                <c:ptCount val="24"/>
                <c:pt idx="12">
                  <c:v>60.710430000000002</c:v>
                </c:pt>
                <c:pt idx="13">
                  <c:v>45.71622</c:v>
                </c:pt>
                <c:pt idx="14">
                  <c:v>46.063560000000003</c:v>
                </c:pt>
                <c:pt idx="15">
                  <c:v>47.354999999999997</c:v>
                </c:pt>
                <c:pt idx="17">
                  <c:v>101.105</c:v>
                </c:pt>
                <c:pt idx="18">
                  <c:v>44.466000000000001</c:v>
                </c:pt>
                <c:pt idx="19">
                  <c:v>47.503</c:v>
                </c:pt>
                <c:pt idx="21">
                  <c:v>54.055999999999997</c:v>
                </c:pt>
                <c:pt idx="22">
                  <c:v>53.783999999999999</c:v>
                </c:pt>
                <c:pt idx="23">
                  <c:v>53.783999999999999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5558-4812-A61D-AA8A98E987F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29882927"/>
        <c:axId val="129899727"/>
      </c:scatterChart>
      <c:valAx>
        <c:axId val="129882927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Hysteresis Index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9899727"/>
        <c:crosses val="autoZero"/>
        <c:crossBetween val="midCat"/>
      </c:valAx>
      <c:valAx>
        <c:axId val="12989972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Dmax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9882927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DOC</a:t>
            </a:r>
            <a:r>
              <a:rPr lang="en-US" baseline="0"/>
              <a:t> HI to Dmax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upstream!$C$4</c:f>
              <c:strCache>
                <c:ptCount val="1"/>
                <c:pt idx="0">
                  <c:v>Langlois (2005)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1.5867128298522853E-2"/>
                  <c:y val="0.15634127049626317"/>
                </c:manualLayout>
              </c:layout>
              <c:numFmt formatCode="General" sourceLinked="0"/>
              <c:spPr>
                <a:solidFill>
                  <a:schemeClr val="tx2">
                    <a:lumMod val="10000"/>
                    <a:lumOff val="9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upstream!$C$42:$C$65</c:f>
              <c:numCache>
                <c:formatCode>0.000</c:formatCode>
                <c:ptCount val="24"/>
                <c:pt idx="10">
                  <c:v>1.0683907677478099</c:v>
                </c:pt>
                <c:pt idx="11">
                  <c:v>1.13117180110701</c:v>
                </c:pt>
                <c:pt idx="12">
                  <c:v>0.99421602518435603</c:v>
                </c:pt>
                <c:pt idx="14">
                  <c:v>1.0587750080951299</c:v>
                </c:pt>
                <c:pt idx="15">
                  <c:v>1.04764110720538</c:v>
                </c:pt>
                <c:pt idx="16">
                  <c:v>1.1477045338510801</c:v>
                </c:pt>
                <c:pt idx="17">
                  <c:v>1.1126612766097499</c:v>
                </c:pt>
                <c:pt idx="18">
                  <c:v>1.2530304455719099</c:v>
                </c:pt>
                <c:pt idx="19">
                  <c:v>1.0813804129035001</c:v>
                </c:pt>
                <c:pt idx="20">
                  <c:v>1.2134925086481201</c:v>
                </c:pt>
                <c:pt idx="21">
                  <c:v>1.08380817355586</c:v>
                </c:pt>
                <c:pt idx="22">
                  <c:v>1.0367372638660399</c:v>
                </c:pt>
                <c:pt idx="23">
                  <c:v>1.1282134088167699</c:v>
                </c:pt>
              </c:numCache>
            </c:numRef>
          </c:xVal>
          <c:yVal>
            <c:numRef>
              <c:f>upstream!$J$42:$J$65</c:f>
              <c:numCache>
                <c:formatCode>General</c:formatCode>
                <c:ptCount val="24"/>
                <c:pt idx="12">
                  <c:v>60.710430000000002</c:v>
                </c:pt>
                <c:pt idx="13">
                  <c:v>45.71622</c:v>
                </c:pt>
                <c:pt idx="14">
                  <c:v>46.063560000000003</c:v>
                </c:pt>
                <c:pt idx="15">
                  <c:v>47.354999999999997</c:v>
                </c:pt>
                <c:pt idx="17">
                  <c:v>101.105</c:v>
                </c:pt>
                <c:pt idx="18">
                  <c:v>44.466000000000001</c:v>
                </c:pt>
                <c:pt idx="19">
                  <c:v>47.503</c:v>
                </c:pt>
                <c:pt idx="21">
                  <c:v>54.055999999999997</c:v>
                </c:pt>
                <c:pt idx="22">
                  <c:v>53.783999999999999</c:v>
                </c:pt>
                <c:pt idx="23">
                  <c:v>53.783999999999999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E18A-4ECF-B5C7-387EF6839C81}"/>
            </c:ext>
          </c:extLst>
        </c:ser>
        <c:ser>
          <c:idx val="1"/>
          <c:order val="1"/>
          <c:tx>
            <c:strRef>
              <c:f>upstream!$D$4</c:f>
              <c:strCache>
                <c:ptCount val="1"/>
                <c:pt idx="0">
                  <c:v>Lawler (2006)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-8.5820609639809114E-2"/>
                  <c:y val="0.11100427763978285"/>
                </c:manualLayout>
              </c:layout>
              <c:numFmt formatCode="General" sourceLinked="0"/>
              <c:spPr>
                <a:solidFill>
                  <a:schemeClr val="accent2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upstream!$D$42:$D$65</c:f>
              <c:numCache>
                <c:formatCode>0.000</c:formatCode>
                <c:ptCount val="24"/>
                <c:pt idx="10">
                  <c:v>0.74870138294766397</c:v>
                </c:pt>
                <c:pt idx="11">
                  <c:v>1.1019405303793299</c:v>
                </c:pt>
                <c:pt idx="12">
                  <c:v>0.17884914222762199</c:v>
                </c:pt>
                <c:pt idx="14">
                  <c:v>0.662333397055619</c:v>
                </c:pt>
                <c:pt idx="15">
                  <c:v>1.10062768451704</c:v>
                </c:pt>
                <c:pt idx="16">
                  <c:v>0.97101599927504101</c:v>
                </c:pt>
                <c:pt idx="17">
                  <c:v>0.95380985457733503</c:v>
                </c:pt>
                <c:pt idx="18">
                  <c:v>1.1029723476739599</c:v>
                </c:pt>
                <c:pt idx="19">
                  <c:v>0.52079829390269505</c:v>
                </c:pt>
                <c:pt idx="20">
                  <c:v>0.94175163201491896</c:v>
                </c:pt>
                <c:pt idx="21">
                  <c:v>0.28231733716004298</c:v>
                </c:pt>
                <c:pt idx="22">
                  <c:v>0.55097576187408004</c:v>
                </c:pt>
                <c:pt idx="23">
                  <c:v>0.99053604379690696</c:v>
                </c:pt>
              </c:numCache>
            </c:numRef>
          </c:xVal>
          <c:yVal>
            <c:numRef>
              <c:f>upstream!$J$42:$J$65</c:f>
              <c:numCache>
                <c:formatCode>General</c:formatCode>
                <c:ptCount val="24"/>
                <c:pt idx="12">
                  <c:v>60.710430000000002</c:v>
                </c:pt>
                <c:pt idx="13">
                  <c:v>45.71622</c:v>
                </c:pt>
                <c:pt idx="14">
                  <c:v>46.063560000000003</c:v>
                </c:pt>
                <c:pt idx="15">
                  <c:v>47.354999999999997</c:v>
                </c:pt>
                <c:pt idx="17">
                  <c:v>101.105</c:v>
                </c:pt>
                <c:pt idx="18">
                  <c:v>44.466000000000001</c:v>
                </c:pt>
                <c:pt idx="19">
                  <c:v>47.503</c:v>
                </c:pt>
                <c:pt idx="21">
                  <c:v>54.055999999999997</c:v>
                </c:pt>
                <c:pt idx="22">
                  <c:v>53.783999999999999</c:v>
                </c:pt>
                <c:pt idx="23">
                  <c:v>53.783999999999999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E18A-4ECF-B5C7-387EF6839C81}"/>
            </c:ext>
          </c:extLst>
        </c:ser>
        <c:ser>
          <c:idx val="2"/>
          <c:order val="2"/>
          <c:tx>
            <c:strRef>
              <c:f>upstream!$E$4</c:f>
              <c:strCache>
                <c:ptCount val="1"/>
                <c:pt idx="0">
                  <c:v>Aich (2014) 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3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-7.4926049517057017E-2"/>
                  <c:y val="0.16649235728845693"/>
                </c:manualLayout>
              </c:layout>
              <c:numFmt formatCode="General" sourceLinked="0"/>
              <c:spPr>
                <a:solidFill>
                  <a:schemeClr val="accent6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upstream!$E$42:$E$65</c:f>
              <c:numCache>
                <c:formatCode>0.000</c:formatCode>
                <c:ptCount val="24"/>
                <c:pt idx="10">
                  <c:v>6.5697545304297195E-2</c:v>
                </c:pt>
                <c:pt idx="11">
                  <c:v>0.132436068542756</c:v>
                </c:pt>
                <c:pt idx="12">
                  <c:v>-4.2076076707890497E-3</c:v>
                </c:pt>
                <c:pt idx="14">
                  <c:v>0.12430930853391101</c:v>
                </c:pt>
                <c:pt idx="15">
                  <c:v>9.2876994447724404E-2</c:v>
                </c:pt>
                <c:pt idx="16">
                  <c:v>8.3834633446242604E-2</c:v>
                </c:pt>
                <c:pt idx="17">
                  <c:v>4.4857179056258203E-2</c:v>
                </c:pt>
                <c:pt idx="18">
                  <c:v>7.6664996000854094E-2</c:v>
                </c:pt>
                <c:pt idx="19">
                  <c:v>2.1219861817338499E-2</c:v>
                </c:pt>
                <c:pt idx="20">
                  <c:v>8.5275451626537893E-2</c:v>
                </c:pt>
                <c:pt idx="21">
                  <c:v>3.1629539106965802E-2</c:v>
                </c:pt>
                <c:pt idx="22">
                  <c:v>4.3964016574286002E-2</c:v>
                </c:pt>
                <c:pt idx="23">
                  <c:v>5.3048699734524599E-2</c:v>
                </c:pt>
              </c:numCache>
            </c:numRef>
          </c:xVal>
          <c:yVal>
            <c:numRef>
              <c:f>upstream!$J$42:$J$65</c:f>
              <c:numCache>
                <c:formatCode>General</c:formatCode>
                <c:ptCount val="24"/>
                <c:pt idx="12">
                  <c:v>60.710430000000002</c:v>
                </c:pt>
                <c:pt idx="13">
                  <c:v>45.71622</c:v>
                </c:pt>
                <c:pt idx="14">
                  <c:v>46.063560000000003</c:v>
                </c:pt>
                <c:pt idx="15">
                  <c:v>47.354999999999997</c:v>
                </c:pt>
                <c:pt idx="17">
                  <c:v>101.105</c:v>
                </c:pt>
                <c:pt idx="18">
                  <c:v>44.466000000000001</c:v>
                </c:pt>
                <c:pt idx="19">
                  <c:v>47.503</c:v>
                </c:pt>
                <c:pt idx="21">
                  <c:v>54.055999999999997</c:v>
                </c:pt>
                <c:pt idx="22">
                  <c:v>53.783999999999999</c:v>
                </c:pt>
                <c:pt idx="23">
                  <c:v>53.783999999999999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E18A-4ECF-B5C7-387EF6839C8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29882927"/>
        <c:axId val="129899727"/>
      </c:scatterChart>
      <c:valAx>
        <c:axId val="129882927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Hysteresis Index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9899727"/>
        <c:crosses val="autoZero"/>
        <c:crossBetween val="midCat"/>
      </c:valAx>
      <c:valAx>
        <c:axId val="12989972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Dmax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9882927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Time between events </a:t>
            </a:r>
            <a:r>
              <a:rPr lang="en-US" baseline="0"/>
              <a:t>to tc50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upstream!$G$4</c:f>
              <c:strCache>
                <c:ptCount val="1"/>
                <c:pt idx="0">
                  <c:v>Time between events (no τc exceedance) (hrs)</c:v>
                </c:pt>
              </c:strCache>
            </c:strRef>
          </c:tx>
          <c:spPr>
            <a:ln w="381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0.22774664092473365"/>
                  <c:y val="7.0111217032094053E-2"/>
                </c:manualLayout>
              </c:layout>
              <c:numFmt formatCode="General" sourceLinked="0"/>
              <c:spPr>
                <a:solidFill>
                  <a:schemeClr val="tx2">
                    <a:lumMod val="10000"/>
                    <a:lumOff val="9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upstream!$G$10:$G$33</c:f>
              <c:numCache>
                <c:formatCode>General</c:formatCode>
                <c:ptCount val="24"/>
                <c:pt idx="11">
                  <c:v>22</c:v>
                </c:pt>
                <c:pt idx="12">
                  <c:v>21.75</c:v>
                </c:pt>
                <c:pt idx="13">
                  <c:v>48.5</c:v>
                </c:pt>
                <c:pt idx="14">
                  <c:v>28.75</c:v>
                </c:pt>
                <c:pt idx="15">
                  <c:v>21</c:v>
                </c:pt>
                <c:pt idx="16">
                  <c:v>21.5</c:v>
                </c:pt>
                <c:pt idx="17">
                  <c:v>75</c:v>
                </c:pt>
                <c:pt idx="18">
                  <c:v>47.5</c:v>
                </c:pt>
                <c:pt idx="19">
                  <c:v>23.5</c:v>
                </c:pt>
                <c:pt idx="20">
                  <c:v>27.75</c:v>
                </c:pt>
                <c:pt idx="21">
                  <c:v>20</c:v>
                </c:pt>
                <c:pt idx="22">
                  <c:v>23.75</c:v>
                </c:pt>
                <c:pt idx="23">
                  <c:v>23.5</c:v>
                </c:pt>
              </c:numCache>
            </c:numRef>
          </c:xVal>
          <c:yVal>
            <c:numRef>
              <c:f>upstream!$I$10:$I$33</c:f>
              <c:numCache>
                <c:formatCode>General</c:formatCode>
                <c:ptCount val="24"/>
                <c:pt idx="12">
                  <c:v>118.22733427999999</c:v>
                </c:pt>
                <c:pt idx="13">
                  <c:v>108.51115272</c:v>
                </c:pt>
                <c:pt idx="14">
                  <c:v>106.97060942</c:v>
                </c:pt>
                <c:pt idx="15">
                  <c:v>113.72040256</c:v>
                </c:pt>
                <c:pt idx="17">
                  <c:v>112.66319882000001</c:v>
                </c:pt>
                <c:pt idx="18">
                  <c:v>114.89097618</c:v>
                </c:pt>
                <c:pt idx="19">
                  <c:v>116.55531655999999</c:v>
                </c:pt>
                <c:pt idx="21">
                  <c:v>118.40602251999999</c:v>
                </c:pt>
                <c:pt idx="22">
                  <c:v>115.75512236</c:v>
                </c:pt>
                <c:pt idx="23">
                  <c:v>121.12197168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9F4A-4B4B-BD8E-903726F5B214}"/>
            </c:ext>
          </c:extLst>
        </c:ser>
        <c:ser>
          <c:idx val="1"/>
          <c:order val="1"/>
          <c:tx>
            <c:strRef>
              <c:f>upstream!$H$4</c:f>
              <c:strCache>
                <c:ptCount val="1"/>
                <c:pt idx="0">
                  <c:v>Time between events τc exceedance (hrs)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0.10955098096524016"/>
                  <c:y val="-0.11385072618179778"/>
                </c:manualLayout>
              </c:layout>
              <c:numFmt formatCode="General" sourceLinked="0"/>
              <c:spPr>
                <a:solidFill>
                  <a:schemeClr val="accent2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upstream!$H$10:$H$33</c:f>
              <c:numCache>
                <c:formatCode>General</c:formatCode>
                <c:ptCount val="24"/>
                <c:pt idx="13">
                  <c:v>48.5</c:v>
                </c:pt>
                <c:pt idx="14">
                  <c:v>28.75</c:v>
                </c:pt>
                <c:pt idx="15">
                  <c:v>21</c:v>
                </c:pt>
                <c:pt idx="17">
                  <c:v>96.5</c:v>
                </c:pt>
                <c:pt idx="18">
                  <c:v>47.5</c:v>
                </c:pt>
                <c:pt idx="19">
                  <c:v>23.5</c:v>
                </c:pt>
                <c:pt idx="21">
                  <c:v>47.75</c:v>
                </c:pt>
                <c:pt idx="22">
                  <c:v>23.75</c:v>
                </c:pt>
                <c:pt idx="23">
                  <c:v>23.5</c:v>
                </c:pt>
              </c:numCache>
            </c:numRef>
          </c:xVal>
          <c:yVal>
            <c:numRef>
              <c:f>upstream!$I$10:$I$33</c:f>
              <c:numCache>
                <c:formatCode>General</c:formatCode>
                <c:ptCount val="24"/>
                <c:pt idx="12">
                  <c:v>118.22733427999999</c:v>
                </c:pt>
                <c:pt idx="13">
                  <c:v>108.51115272</c:v>
                </c:pt>
                <c:pt idx="14">
                  <c:v>106.97060942</c:v>
                </c:pt>
                <c:pt idx="15">
                  <c:v>113.72040256</c:v>
                </c:pt>
                <c:pt idx="17">
                  <c:v>112.66319882000001</c:v>
                </c:pt>
                <c:pt idx="18">
                  <c:v>114.89097618</c:v>
                </c:pt>
                <c:pt idx="19">
                  <c:v>116.55531655999999</c:v>
                </c:pt>
                <c:pt idx="21">
                  <c:v>118.40602251999999</c:v>
                </c:pt>
                <c:pt idx="22">
                  <c:v>115.75512236</c:v>
                </c:pt>
                <c:pt idx="23">
                  <c:v>121.12197168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9F4A-4B4B-BD8E-903726F5B21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29882927"/>
        <c:axId val="129899727"/>
      </c:scatterChart>
      <c:valAx>
        <c:axId val="129882927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Hours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9899727"/>
        <c:crosses val="autoZero"/>
        <c:crossBetween val="midCat"/>
      </c:valAx>
      <c:valAx>
        <c:axId val="12989972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Critical</a:t>
                </a:r>
                <a:r>
                  <a:rPr lang="en-US" baseline="0"/>
                  <a:t> Shear Stress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9882927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legendEntry>
        <c:idx val="2"/>
        <c:delete val="1"/>
      </c:legendEntry>
      <c:legendEntry>
        <c:idx val="3"/>
        <c:delete val="1"/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Peak</a:t>
            </a:r>
            <a:r>
              <a:rPr lang="en-US" baseline="0"/>
              <a:t> </a:t>
            </a:r>
            <a:r>
              <a:rPr lang="en-US"/>
              <a:t>concentration</a:t>
            </a:r>
            <a:r>
              <a:rPr lang="en-US" baseline="0"/>
              <a:t> to tc50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1"/>
          <c:order val="0"/>
          <c:tx>
            <c:strRef>
              <c:f>upstream!$B$3</c:f>
              <c:strCache>
                <c:ptCount val="1"/>
                <c:pt idx="0">
                  <c:v>SSC (mg/L)</c:v>
                </c:pt>
              </c:strCache>
            </c:strRef>
          </c:tx>
          <c:spPr>
            <a:ln w="381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0.10955098096524016"/>
                  <c:y val="-0.11385072618179778"/>
                </c:manualLayout>
              </c:layout>
              <c:numFmt formatCode="General" sourceLinked="0"/>
              <c:spPr>
                <a:solidFill>
                  <a:schemeClr val="accent2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upstream!$F$10:$F$33</c:f>
              <c:numCache>
                <c:formatCode>0.00</c:formatCode>
                <c:ptCount val="24"/>
                <c:pt idx="10">
                  <c:v>16</c:v>
                </c:pt>
                <c:pt idx="11">
                  <c:v>21.5</c:v>
                </c:pt>
                <c:pt idx="12">
                  <c:v>12.222222220000001</c:v>
                </c:pt>
                <c:pt idx="15">
                  <c:v>11.25</c:v>
                </c:pt>
                <c:pt idx="16">
                  <c:v>15</c:v>
                </c:pt>
                <c:pt idx="17">
                  <c:v>11.612903230000001</c:v>
                </c:pt>
                <c:pt idx="18">
                  <c:v>14.545454550000001</c:v>
                </c:pt>
                <c:pt idx="19">
                  <c:v>45</c:v>
                </c:pt>
                <c:pt idx="20">
                  <c:v>20</c:v>
                </c:pt>
                <c:pt idx="21">
                  <c:v>4.375</c:v>
                </c:pt>
                <c:pt idx="22">
                  <c:v>24.375</c:v>
                </c:pt>
                <c:pt idx="23">
                  <c:v>5.7142857139999998</c:v>
                </c:pt>
              </c:numCache>
            </c:numRef>
          </c:xVal>
          <c:yVal>
            <c:numRef>
              <c:f>upstream!$I$10:$I$33</c:f>
              <c:numCache>
                <c:formatCode>General</c:formatCode>
                <c:ptCount val="24"/>
                <c:pt idx="12">
                  <c:v>118.22733427999999</c:v>
                </c:pt>
                <c:pt idx="13">
                  <c:v>108.51115272</c:v>
                </c:pt>
                <c:pt idx="14">
                  <c:v>106.97060942</c:v>
                </c:pt>
                <c:pt idx="15">
                  <c:v>113.72040256</c:v>
                </c:pt>
                <c:pt idx="17">
                  <c:v>112.66319882000001</c:v>
                </c:pt>
                <c:pt idx="18">
                  <c:v>114.89097618</c:v>
                </c:pt>
                <c:pt idx="19">
                  <c:v>116.55531655999999</c:v>
                </c:pt>
                <c:pt idx="21">
                  <c:v>118.40602251999999</c:v>
                </c:pt>
                <c:pt idx="22">
                  <c:v>115.75512236</c:v>
                </c:pt>
                <c:pt idx="23">
                  <c:v>121.12197168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400F-44EA-859B-46B7FE5C836E}"/>
            </c:ext>
          </c:extLst>
        </c:ser>
        <c:ser>
          <c:idx val="0"/>
          <c:order val="1"/>
          <c:tx>
            <c:strRef>
              <c:f>upstream!$B$35</c:f>
              <c:strCache>
                <c:ptCount val="1"/>
                <c:pt idx="0">
                  <c:v>DOC (mg/L)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0.32976517346989181"/>
                  <c:y val="-0.15974665596725832"/>
                </c:manualLayout>
              </c:layout>
              <c:numFmt formatCode="General" sourceLinked="0"/>
              <c:spPr>
                <a:solidFill>
                  <a:schemeClr val="tx2">
                    <a:lumMod val="10000"/>
                    <a:lumOff val="9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upstream!$F$42:$F$65</c:f>
              <c:numCache>
                <c:formatCode>0.00</c:formatCode>
                <c:ptCount val="24"/>
                <c:pt idx="10" formatCode="General">
                  <c:v>3.8290000000000002</c:v>
                </c:pt>
                <c:pt idx="11" formatCode="General">
                  <c:v>4.6630000000000003</c:v>
                </c:pt>
                <c:pt idx="12" formatCode="General">
                  <c:v>3.9940000000000002</c:v>
                </c:pt>
                <c:pt idx="14" formatCode="General">
                  <c:v>3.8860000000000001</c:v>
                </c:pt>
                <c:pt idx="15" formatCode="General">
                  <c:v>3.7970000000000002</c:v>
                </c:pt>
                <c:pt idx="16" formatCode="General">
                  <c:v>4.5410000000000004</c:v>
                </c:pt>
                <c:pt idx="17" formatCode="General">
                  <c:v>3.456</c:v>
                </c:pt>
                <c:pt idx="18" formatCode="General">
                  <c:v>4.681</c:v>
                </c:pt>
                <c:pt idx="19" formatCode="General">
                  <c:v>4.9790000000000001</c:v>
                </c:pt>
                <c:pt idx="20" formatCode="General">
                  <c:v>4.6879999999999997</c:v>
                </c:pt>
                <c:pt idx="21" formatCode="General">
                  <c:v>3.4780000000000002</c:v>
                </c:pt>
                <c:pt idx="22" formatCode="General">
                  <c:v>4.0039999999999996</c:v>
                </c:pt>
                <c:pt idx="23" formatCode="General">
                  <c:v>3.5750000000000002</c:v>
                </c:pt>
              </c:numCache>
            </c:numRef>
          </c:xVal>
          <c:yVal>
            <c:numRef>
              <c:f>upstream!$I$42:$I$65</c:f>
              <c:numCache>
                <c:formatCode>General</c:formatCode>
                <c:ptCount val="24"/>
                <c:pt idx="12">
                  <c:v>118.22733427999999</c:v>
                </c:pt>
                <c:pt idx="13">
                  <c:v>108.51115272</c:v>
                </c:pt>
                <c:pt idx="14">
                  <c:v>106.97060942</c:v>
                </c:pt>
                <c:pt idx="15">
                  <c:v>113.72040256</c:v>
                </c:pt>
                <c:pt idx="17">
                  <c:v>112.66319882000001</c:v>
                </c:pt>
                <c:pt idx="18">
                  <c:v>114.89097618</c:v>
                </c:pt>
                <c:pt idx="19">
                  <c:v>116.55531655999999</c:v>
                </c:pt>
                <c:pt idx="21">
                  <c:v>118.40602251999999</c:v>
                </c:pt>
                <c:pt idx="22">
                  <c:v>115.75512236</c:v>
                </c:pt>
                <c:pt idx="23">
                  <c:v>121.12197168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400F-44EA-859B-46B7FE5C836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29882927"/>
        <c:axId val="129899727"/>
      </c:scatterChart>
      <c:valAx>
        <c:axId val="129882927"/>
        <c:scaling>
          <c:logBase val="10"/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Peak concentration (mg/L)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9899727"/>
        <c:crosses val="autoZero"/>
        <c:crossBetween val="midCat"/>
      </c:valAx>
      <c:valAx>
        <c:axId val="12989972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Critical</a:t>
                </a:r>
                <a:r>
                  <a:rPr lang="en-US" baseline="0"/>
                  <a:t> Shear Stress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9882927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legendEntry>
        <c:idx val="2"/>
        <c:delete val="1"/>
      </c:legendEntry>
      <c:legendEntry>
        <c:idx val="3"/>
        <c:delete val="1"/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Turbidity</a:t>
            </a:r>
            <a:r>
              <a:rPr lang="en-US" baseline="0"/>
              <a:t> HI to tc50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upstream!$D$67</c:f>
              <c:strCache>
                <c:ptCount val="1"/>
                <c:pt idx="0">
                  <c:v>Langlois (2005)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5.8959894400189136E-3"/>
                  <c:y val="0.22144861560354748"/>
                </c:manualLayout>
              </c:layout>
              <c:numFmt formatCode="General" sourceLinked="0"/>
              <c:spPr>
                <a:solidFill>
                  <a:schemeClr val="tx2">
                    <a:lumMod val="10000"/>
                    <a:lumOff val="9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upstream!$D$71:$D$96</c:f>
              <c:numCache>
                <c:formatCode>0.0000</c:formatCode>
                <c:ptCount val="26"/>
                <c:pt idx="12">
                  <c:v>1.05849048577709</c:v>
                </c:pt>
                <c:pt idx="13">
                  <c:v>1.4368219825375701</c:v>
                </c:pt>
                <c:pt idx="14">
                  <c:v>1.1632876834321</c:v>
                </c:pt>
                <c:pt idx="15">
                  <c:v>1.1661766362910899</c:v>
                </c:pt>
                <c:pt idx="16">
                  <c:v>1.1611078257792899</c:v>
                </c:pt>
                <c:pt idx="17">
                  <c:v>1.2283054504143001</c:v>
                </c:pt>
                <c:pt idx="18">
                  <c:v>1.2985932043400299</c:v>
                </c:pt>
                <c:pt idx="19">
                  <c:v>1.25880991704892</c:v>
                </c:pt>
                <c:pt idx="20">
                  <c:v>1.2914529576795399</c:v>
                </c:pt>
                <c:pt idx="21">
                  <c:v>1.2886907903199001</c:v>
                </c:pt>
                <c:pt idx="22">
                  <c:v>1.39612401914989</c:v>
                </c:pt>
                <c:pt idx="23">
                  <c:v>1.15490049713987</c:v>
                </c:pt>
                <c:pt idx="24">
                  <c:v>1.6223687074200499</c:v>
                </c:pt>
                <c:pt idx="25">
                  <c:v>1.4572146309152101</c:v>
                </c:pt>
              </c:numCache>
            </c:numRef>
          </c:xVal>
          <c:yVal>
            <c:numRef>
              <c:f>upstream!$L$70:$L$96</c:f>
              <c:numCache>
                <c:formatCode>General</c:formatCode>
                <c:ptCount val="27"/>
                <c:pt idx="15">
                  <c:v>118.22733427999999</c:v>
                </c:pt>
                <c:pt idx="16">
                  <c:v>108.51115272</c:v>
                </c:pt>
                <c:pt idx="17">
                  <c:v>106.97060942</c:v>
                </c:pt>
                <c:pt idx="18">
                  <c:v>113.72040256</c:v>
                </c:pt>
                <c:pt idx="20">
                  <c:v>112.66319882000001</c:v>
                </c:pt>
                <c:pt idx="21">
                  <c:v>114.89097618</c:v>
                </c:pt>
                <c:pt idx="22">
                  <c:v>116.55531655999999</c:v>
                </c:pt>
                <c:pt idx="24">
                  <c:v>118.40602251999999</c:v>
                </c:pt>
                <c:pt idx="25">
                  <c:v>115.75512236</c:v>
                </c:pt>
                <c:pt idx="26">
                  <c:v>121.12197168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D7A0-456B-A762-1392B362D1E9}"/>
            </c:ext>
          </c:extLst>
        </c:ser>
        <c:ser>
          <c:idx val="1"/>
          <c:order val="1"/>
          <c:tx>
            <c:strRef>
              <c:f>upstream!$D$4</c:f>
              <c:strCache>
                <c:ptCount val="1"/>
                <c:pt idx="0">
                  <c:v>Lawler (2006)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-4.7489574381930605E-2"/>
                  <c:y val="0.22589652441382868"/>
                </c:manualLayout>
              </c:layout>
              <c:numFmt formatCode="General" sourceLinked="0"/>
              <c:spPr>
                <a:solidFill>
                  <a:schemeClr val="accent2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upstream!$D$10:$D$33</c:f>
              <c:numCache>
                <c:formatCode>0.0000</c:formatCode>
                <c:ptCount val="24"/>
                <c:pt idx="10">
                  <c:v>0.44896728093636801</c:v>
                </c:pt>
                <c:pt idx="11">
                  <c:v>1.5264059910121399</c:v>
                </c:pt>
                <c:pt idx="12">
                  <c:v>0.71671353985517805</c:v>
                </c:pt>
                <c:pt idx="15">
                  <c:v>0.678678630991426</c:v>
                </c:pt>
                <c:pt idx="16">
                  <c:v>0.81343884511072295</c:v>
                </c:pt>
                <c:pt idx="17">
                  <c:v>-1.07855599689062</c:v>
                </c:pt>
                <c:pt idx="18">
                  <c:v>1.34776836410395</c:v>
                </c:pt>
                <c:pt idx="19">
                  <c:v>0.55456789410428697</c:v>
                </c:pt>
                <c:pt idx="20">
                  <c:v>0.70468449804027899</c:v>
                </c:pt>
                <c:pt idx="21">
                  <c:v>-0.373253605455523</c:v>
                </c:pt>
                <c:pt idx="22">
                  <c:v>0.63056904760694898</c:v>
                </c:pt>
                <c:pt idx="23">
                  <c:v>-0.623899602892661</c:v>
                </c:pt>
              </c:numCache>
            </c:numRef>
          </c:xVal>
          <c:yVal>
            <c:numRef>
              <c:f>upstream!$I$10:$I$33</c:f>
              <c:numCache>
                <c:formatCode>General</c:formatCode>
                <c:ptCount val="24"/>
                <c:pt idx="12">
                  <c:v>118.22733427999999</c:v>
                </c:pt>
                <c:pt idx="13">
                  <c:v>108.51115272</c:v>
                </c:pt>
                <c:pt idx="14">
                  <c:v>106.97060942</c:v>
                </c:pt>
                <c:pt idx="15">
                  <c:v>113.72040256</c:v>
                </c:pt>
                <c:pt idx="17">
                  <c:v>112.66319882000001</c:v>
                </c:pt>
                <c:pt idx="18">
                  <c:v>114.89097618</c:v>
                </c:pt>
                <c:pt idx="19">
                  <c:v>116.55531655999999</c:v>
                </c:pt>
                <c:pt idx="21">
                  <c:v>118.40602251999999</c:v>
                </c:pt>
                <c:pt idx="22">
                  <c:v>115.75512236</c:v>
                </c:pt>
                <c:pt idx="23">
                  <c:v>121.12197168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D7A0-456B-A762-1392B362D1E9}"/>
            </c:ext>
          </c:extLst>
        </c:ser>
        <c:ser>
          <c:idx val="2"/>
          <c:order val="2"/>
          <c:tx>
            <c:strRef>
              <c:f>upstream!$E$4</c:f>
              <c:strCache>
                <c:ptCount val="1"/>
                <c:pt idx="0">
                  <c:v>Aich (2014) </c:v>
                </c:pt>
              </c:strCache>
            </c:strRef>
          </c:tx>
          <c:spPr>
            <a:ln w="381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3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-9.3012290532318576E-2"/>
                  <c:y val="0.19612362551341794"/>
                </c:manualLayout>
              </c:layout>
              <c:numFmt formatCode="General" sourceLinked="0"/>
              <c:spPr>
                <a:solidFill>
                  <a:schemeClr val="accent6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upstream!$E$10:$E$33</c:f>
              <c:numCache>
                <c:formatCode>0.0000</c:formatCode>
                <c:ptCount val="24"/>
                <c:pt idx="10">
                  <c:v>2.4947102971666898E-2</c:v>
                </c:pt>
                <c:pt idx="11">
                  <c:v>9.6293174744729593E-3</c:v>
                </c:pt>
                <c:pt idx="12">
                  <c:v>0.14608753400636901</c:v>
                </c:pt>
                <c:pt idx="15">
                  <c:v>1.27691539373017E-2</c:v>
                </c:pt>
                <c:pt idx="16">
                  <c:v>6.7576112725014403E-2</c:v>
                </c:pt>
                <c:pt idx="17">
                  <c:v>-0.35416666689988402</c:v>
                </c:pt>
                <c:pt idx="18">
                  <c:v>4.5646344187588998E-2</c:v>
                </c:pt>
                <c:pt idx="19">
                  <c:v>1.47909285306715E-2</c:v>
                </c:pt>
                <c:pt idx="20">
                  <c:v>3.5842816756479302E-2</c:v>
                </c:pt>
                <c:pt idx="21">
                  <c:v>-4.0383997186219003E-2</c:v>
                </c:pt>
                <c:pt idx="22">
                  <c:v>3.6679485231980898E-2</c:v>
                </c:pt>
                <c:pt idx="23">
                  <c:v>-0.76160033358371604</c:v>
                </c:pt>
              </c:numCache>
            </c:numRef>
          </c:xVal>
          <c:yVal>
            <c:numRef>
              <c:f>upstream!$I$10:$I$33</c:f>
              <c:numCache>
                <c:formatCode>General</c:formatCode>
                <c:ptCount val="24"/>
                <c:pt idx="12">
                  <c:v>118.22733427999999</c:v>
                </c:pt>
                <c:pt idx="13">
                  <c:v>108.51115272</c:v>
                </c:pt>
                <c:pt idx="14">
                  <c:v>106.97060942</c:v>
                </c:pt>
                <c:pt idx="15">
                  <c:v>113.72040256</c:v>
                </c:pt>
                <c:pt idx="17">
                  <c:v>112.66319882000001</c:v>
                </c:pt>
                <c:pt idx="18">
                  <c:v>114.89097618</c:v>
                </c:pt>
                <c:pt idx="19">
                  <c:v>116.55531655999999</c:v>
                </c:pt>
                <c:pt idx="21">
                  <c:v>118.40602251999999</c:v>
                </c:pt>
                <c:pt idx="22">
                  <c:v>115.75512236</c:v>
                </c:pt>
                <c:pt idx="23">
                  <c:v>121.12197168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D7A0-456B-A762-1392B362D1E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29882927"/>
        <c:axId val="129899727"/>
      </c:scatterChart>
      <c:valAx>
        <c:axId val="129882927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Hysteresis Index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9899727"/>
        <c:crosses val="autoZero"/>
        <c:crossBetween val="midCat"/>
      </c:valAx>
      <c:valAx>
        <c:axId val="12989972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Critical</a:t>
                </a:r>
                <a:r>
                  <a:rPr lang="en-US" baseline="0"/>
                  <a:t> Shear Stress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9882927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legendEntry>
        <c:idx val="3"/>
        <c:delete val="1"/>
      </c:legendEntry>
      <c:legendEntry>
        <c:idx val="4"/>
        <c:delete val="1"/>
      </c:legendEntry>
      <c:legendEntry>
        <c:idx val="5"/>
        <c:delete val="1"/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fDOM</a:t>
            </a:r>
            <a:r>
              <a:rPr lang="en-US" baseline="0"/>
              <a:t> HI to tc50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0.16066650974548111"/>
          <c:y val="0.18004530917761208"/>
          <c:w val="0.75074186828700784"/>
          <c:h val="0.49375460344531691"/>
        </c:manualLayout>
      </c:layout>
      <c:scatterChart>
        <c:scatterStyle val="lineMarker"/>
        <c:varyColors val="0"/>
        <c:ser>
          <c:idx val="0"/>
          <c:order val="0"/>
          <c:tx>
            <c:strRef>
              <c:f>upstream!$C$4</c:f>
              <c:strCache>
                <c:ptCount val="1"/>
                <c:pt idx="0">
                  <c:v>Langlois (2005)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5.9686427824308545E-2"/>
                  <c:y val="0.23287174337896996"/>
                </c:manualLayout>
              </c:layout>
              <c:numFmt formatCode="General" sourceLinked="0"/>
              <c:spPr>
                <a:solidFill>
                  <a:schemeClr val="tx2">
                    <a:lumMod val="10000"/>
                    <a:lumOff val="9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upstream!$Q$71:$Q$96</c:f>
              <c:numCache>
                <c:formatCode>0.00000</c:formatCode>
                <c:ptCount val="26"/>
                <c:pt idx="12" formatCode="0.000">
                  <c:v>0.45078352403799399</c:v>
                </c:pt>
                <c:pt idx="13" formatCode="0.000">
                  <c:v>0.94043662960440699</c:v>
                </c:pt>
                <c:pt idx="14" formatCode="0.000">
                  <c:v>0.95863149267075098</c:v>
                </c:pt>
                <c:pt idx="15" formatCode="0.000">
                  <c:v>0.98251699448728103</c:v>
                </c:pt>
                <c:pt idx="16" formatCode="0.000">
                  <c:v>1.0568614326035</c:v>
                </c:pt>
                <c:pt idx="17" formatCode="0.000">
                  <c:v>1.03826719630338</c:v>
                </c:pt>
                <c:pt idx="18" formatCode="0.000">
                  <c:v>0.93867849021001804</c:v>
                </c:pt>
                <c:pt idx="19" formatCode="0.000">
                  <c:v>1.08896416336113</c:v>
                </c:pt>
                <c:pt idx="20" formatCode="0.000">
                  <c:v>1.18553177339745</c:v>
                </c:pt>
                <c:pt idx="21" formatCode="0.000">
                  <c:v>1.0643830961710401</c:v>
                </c:pt>
                <c:pt idx="22" formatCode="0.000">
                  <c:v>1.0913993357873799</c:v>
                </c:pt>
                <c:pt idx="23" formatCode="0.000">
                  <c:v>1.00259808767117</c:v>
                </c:pt>
                <c:pt idx="24" formatCode="0.000">
                  <c:v>1.0043452914566</c:v>
                </c:pt>
                <c:pt idx="25" formatCode="0.000">
                  <c:v>0.40870513477919201</c:v>
                </c:pt>
              </c:numCache>
            </c:numRef>
          </c:xVal>
          <c:yVal>
            <c:numRef>
              <c:f>upstream!$L$72:$L$96</c:f>
              <c:numCache>
                <c:formatCode>General</c:formatCode>
                <c:ptCount val="25"/>
                <c:pt idx="13">
                  <c:v>118.22733427999999</c:v>
                </c:pt>
                <c:pt idx="14">
                  <c:v>108.51115272</c:v>
                </c:pt>
                <c:pt idx="15">
                  <c:v>106.97060942</c:v>
                </c:pt>
                <c:pt idx="16">
                  <c:v>113.72040256</c:v>
                </c:pt>
                <c:pt idx="18">
                  <c:v>112.66319882000001</c:v>
                </c:pt>
                <c:pt idx="19">
                  <c:v>114.89097618</c:v>
                </c:pt>
                <c:pt idx="20">
                  <c:v>116.55531655999999</c:v>
                </c:pt>
                <c:pt idx="22">
                  <c:v>118.40602251999999</c:v>
                </c:pt>
                <c:pt idx="23">
                  <c:v>115.75512236</c:v>
                </c:pt>
                <c:pt idx="24">
                  <c:v>121.12197168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066D-4A15-9309-B955914F0568}"/>
            </c:ext>
          </c:extLst>
        </c:ser>
        <c:ser>
          <c:idx val="1"/>
          <c:order val="1"/>
          <c:tx>
            <c:strRef>
              <c:f>upstream!$D$4</c:f>
              <c:strCache>
                <c:ptCount val="1"/>
                <c:pt idx="0">
                  <c:v>Lawler (2006)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-9.130137025449811E-2"/>
                  <c:y val="0.17951210264168482"/>
                </c:manualLayout>
              </c:layout>
              <c:numFmt formatCode="General" sourceLinked="0"/>
              <c:spPr>
                <a:solidFill>
                  <a:schemeClr val="accent2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upstream!$R$70:$R$96</c:f>
              <c:numCache>
                <c:formatCode>0.0000</c:formatCode>
                <c:ptCount val="27"/>
                <c:pt idx="13" formatCode="0.000">
                  <c:v>-0.811886428716041</c:v>
                </c:pt>
                <c:pt idx="14" formatCode="0.000">
                  <c:v>-0.54271122756527101</c:v>
                </c:pt>
                <c:pt idx="15" formatCode="0.000">
                  <c:v>-0.67772868565601696</c:v>
                </c:pt>
                <c:pt idx="16" formatCode="0.000">
                  <c:v>-0.76078071695181804</c:v>
                </c:pt>
                <c:pt idx="17" formatCode="0.000">
                  <c:v>0.64678217889059297</c:v>
                </c:pt>
                <c:pt idx="18" formatCode="0.000">
                  <c:v>-0.15477977693324399</c:v>
                </c:pt>
                <c:pt idx="19" formatCode="0.000">
                  <c:v>-0.86583274285189604</c:v>
                </c:pt>
                <c:pt idx="20" formatCode="0.000">
                  <c:v>0.61214631104569395</c:v>
                </c:pt>
                <c:pt idx="21" formatCode="0.000">
                  <c:v>0.59208584316733603</c:v>
                </c:pt>
                <c:pt idx="22" formatCode="0.000">
                  <c:v>0.74012064453311799</c:v>
                </c:pt>
                <c:pt idx="23" formatCode="0.000">
                  <c:v>0.62408685090742599</c:v>
                </c:pt>
                <c:pt idx="24" formatCode="0.000">
                  <c:v>0.25147892096544</c:v>
                </c:pt>
                <c:pt idx="25" formatCode="0.000">
                  <c:v>-2.3625782421043601E-2</c:v>
                </c:pt>
                <c:pt idx="26" formatCode="0.000">
                  <c:v>-0.95802365966780301</c:v>
                </c:pt>
              </c:numCache>
            </c:numRef>
          </c:xVal>
          <c:yVal>
            <c:numRef>
              <c:f>upstream!$L$70:$L$96</c:f>
              <c:numCache>
                <c:formatCode>General</c:formatCode>
                <c:ptCount val="27"/>
                <c:pt idx="15">
                  <c:v>118.22733427999999</c:v>
                </c:pt>
                <c:pt idx="16">
                  <c:v>108.51115272</c:v>
                </c:pt>
                <c:pt idx="17">
                  <c:v>106.97060942</c:v>
                </c:pt>
                <c:pt idx="18">
                  <c:v>113.72040256</c:v>
                </c:pt>
                <c:pt idx="20">
                  <c:v>112.66319882000001</c:v>
                </c:pt>
                <c:pt idx="21">
                  <c:v>114.89097618</c:v>
                </c:pt>
                <c:pt idx="22">
                  <c:v>116.55531655999999</c:v>
                </c:pt>
                <c:pt idx="24">
                  <c:v>118.40602251999999</c:v>
                </c:pt>
                <c:pt idx="25">
                  <c:v>115.75512236</c:v>
                </c:pt>
                <c:pt idx="26">
                  <c:v>121.12197168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066D-4A15-9309-B955914F0568}"/>
            </c:ext>
          </c:extLst>
        </c:ser>
        <c:ser>
          <c:idx val="2"/>
          <c:order val="2"/>
          <c:tx>
            <c:strRef>
              <c:f>upstream!$E$4</c:f>
              <c:strCache>
                <c:ptCount val="1"/>
                <c:pt idx="0">
                  <c:v>Aich (2014) 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3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-0.2736952289204706"/>
                  <c:y val="-3.9816576951641038E-3"/>
                </c:manualLayout>
              </c:layout>
              <c:numFmt formatCode="General" sourceLinked="0"/>
              <c:spPr>
                <a:solidFill>
                  <a:schemeClr val="accent6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upstream!$S$70:$S$97</c:f>
              <c:numCache>
                <c:formatCode>0.0000</c:formatCode>
                <c:ptCount val="28"/>
                <c:pt idx="13" formatCode="0.000">
                  <c:v>-9.3763935417501706E-2</c:v>
                </c:pt>
                <c:pt idx="14" formatCode="0.000">
                  <c:v>-5.2796335197095298E-2</c:v>
                </c:pt>
                <c:pt idx="15" formatCode="0.000">
                  <c:v>-5.9125313303963402E-2</c:v>
                </c:pt>
                <c:pt idx="16" formatCode="0.000">
                  <c:v>-4.1714957549384597E-2</c:v>
                </c:pt>
                <c:pt idx="17" formatCode="0.000">
                  <c:v>7.3340759088016003E-2</c:v>
                </c:pt>
                <c:pt idx="18" formatCode="0.000">
                  <c:v>7.1354925056258001E-3</c:v>
                </c:pt>
                <c:pt idx="19" formatCode="0.000">
                  <c:v>-0.28463650723553102</c:v>
                </c:pt>
                <c:pt idx="20" formatCode="0.000">
                  <c:v>-7.3287190867590401E-3</c:v>
                </c:pt>
                <c:pt idx="21" formatCode="0.000">
                  <c:v>0.10941628444022999</c:v>
                </c:pt>
                <c:pt idx="22" formatCode="0.000">
                  <c:v>-8.4675321487204705E-2</c:v>
                </c:pt>
                <c:pt idx="23" formatCode="0.000">
                  <c:v>-3.2911415817637998E-2</c:v>
                </c:pt>
                <c:pt idx="24" formatCode="0.000">
                  <c:v>-4.46763074582908E-2</c:v>
                </c:pt>
                <c:pt idx="25" formatCode="0.000">
                  <c:v>-1.53118918462132E-3</c:v>
                </c:pt>
                <c:pt idx="26" formatCode="0.000">
                  <c:v>-0.17920927988478999</c:v>
                </c:pt>
              </c:numCache>
            </c:numRef>
          </c:xVal>
          <c:yVal>
            <c:numRef>
              <c:f>upstream!$L$70:$L$96</c:f>
              <c:numCache>
                <c:formatCode>General</c:formatCode>
                <c:ptCount val="27"/>
                <c:pt idx="15">
                  <c:v>118.22733427999999</c:v>
                </c:pt>
                <c:pt idx="16">
                  <c:v>108.51115272</c:v>
                </c:pt>
                <c:pt idx="17">
                  <c:v>106.97060942</c:v>
                </c:pt>
                <c:pt idx="18">
                  <c:v>113.72040256</c:v>
                </c:pt>
                <c:pt idx="20">
                  <c:v>112.66319882000001</c:v>
                </c:pt>
                <c:pt idx="21">
                  <c:v>114.89097618</c:v>
                </c:pt>
                <c:pt idx="22">
                  <c:v>116.55531655999999</c:v>
                </c:pt>
                <c:pt idx="24">
                  <c:v>118.40602251999999</c:v>
                </c:pt>
                <c:pt idx="25">
                  <c:v>115.75512236</c:v>
                </c:pt>
                <c:pt idx="26">
                  <c:v>121.12197168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066D-4A15-9309-B955914F056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29882927"/>
        <c:axId val="129899727"/>
      </c:scatterChart>
      <c:valAx>
        <c:axId val="129882927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Hysteresis Index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0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9899727"/>
        <c:crosses val="autoZero"/>
        <c:crossBetween val="midCat"/>
      </c:valAx>
      <c:valAx>
        <c:axId val="129899727"/>
        <c:scaling>
          <c:orientation val="minMax"/>
          <c:min val="1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Critical</a:t>
                </a:r>
                <a:r>
                  <a:rPr lang="en-US" baseline="0"/>
                  <a:t> Shear Stress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9882927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legendEntry>
        <c:idx val="3"/>
        <c:delete val="1"/>
      </c:legendEntry>
      <c:legendEntry>
        <c:idx val="4"/>
        <c:delete val="1"/>
      </c:legendEntry>
      <c:legendEntry>
        <c:idx val="5"/>
        <c:delete val="1"/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9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0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4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5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6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7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8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9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0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4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5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6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7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8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9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0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4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5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6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7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8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9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0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4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5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6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7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8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8" Type="http://schemas.openxmlformats.org/officeDocument/2006/relationships/chart" Target="../charts/chart8.xml"/><Relationship Id="rId13" Type="http://schemas.openxmlformats.org/officeDocument/2006/relationships/chart" Target="../charts/chart13.xml"/><Relationship Id="rId18" Type="http://schemas.openxmlformats.org/officeDocument/2006/relationships/chart" Target="../charts/chart18.xml"/><Relationship Id="rId26" Type="http://schemas.openxmlformats.org/officeDocument/2006/relationships/chart" Target="../charts/chart26.xml"/><Relationship Id="rId3" Type="http://schemas.openxmlformats.org/officeDocument/2006/relationships/chart" Target="../charts/chart3.xml"/><Relationship Id="rId21" Type="http://schemas.openxmlformats.org/officeDocument/2006/relationships/chart" Target="../charts/chart21.xml"/><Relationship Id="rId7" Type="http://schemas.openxmlformats.org/officeDocument/2006/relationships/chart" Target="../charts/chart7.xml"/><Relationship Id="rId12" Type="http://schemas.openxmlformats.org/officeDocument/2006/relationships/chart" Target="../charts/chart12.xml"/><Relationship Id="rId17" Type="http://schemas.openxmlformats.org/officeDocument/2006/relationships/chart" Target="../charts/chart17.xml"/><Relationship Id="rId25" Type="http://schemas.openxmlformats.org/officeDocument/2006/relationships/chart" Target="../charts/chart25.xml"/><Relationship Id="rId2" Type="http://schemas.openxmlformats.org/officeDocument/2006/relationships/chart" Target="../charts/chart2.xml"/><Relationship Id="rId16" Type="http://schemas.openxmlformats.org/officeDocument/2006/relationships/chart" Target="../charts/chart16.xml"/><Relationship Id="rId20" Type="http://schemas.openxmlformats.org/officeDocument/2006/relationships/chart" Target="../charts/chart20.xml"/><Relationship Id="rId29" Type="http://schemas.openxmlformats.org/officeDocument/2006/relationships/chart" Target="../charts/chart29.xml"/><Relationship Id="rId1" Type="http://schemas.openxmlformats.org/officeDocument/2006/relationships/chart" Target="../charts/chart1.xml"/><Relationship Id="rId6" Type="http://schemas.openxmlformats.org/officeDocument/2006/relationships/chart" Target="../charts/chart6.xml"/><Relationship Id="rId11" Type="http://schemas.openxmlformats.org/officeDocument/2006/relationships/chart" Target="../charts/chart11.xml"/><Relationship Id="rId24" Type="http://schemas.openxmlformats.org/officeDocument/2006/relationships/chart" Target="../charts/chart24.xml"/><Relationship Id="rId32" Type="http://schemas.openxmlformats.org/officeDocument/2006/relationships/chart" Target="../charts/chart32.xml"/><Relationship Id="rId5" Type="http://schemas.openxmlformats.org/officeDocument/2006/relationships/chart" Target="../charts/chart5.xml"/><Relationship Id="rId15" Type="http://schemas.openxmlformats.org/officeDocument/2006/relationships/chart" Target="../charts/chart15.xml"/><Relationship Id="rId23" Type="http://schemas.openxmlformats.org/officeDocument/2006/relationships/chart" Target="../charts/chart23.xml"/><Relationship Id="rId28" Type="http://schemas.openxmlformats.org/officeDocument/2006/relationships/chart" Target="../charts/chart28.xml"/><Relationship Id="rId10" Type="http://schemas.openxmlformats.org/officeDocument/2006/relationships/chart" Target="../charts/chart10.xml"/><Relationship Id="rId19" Type="http://schemas.openxmlformats.org/officeDocument/2006/relationships/chart" Target="../charts/chart19.xml"/><Relationship Id="rId31" Type="http://schemas.openxmlformats.org/officeDocument/2006/relationships/chart" Target="../charts/chart31.xml"/><Relationship Id="rId4" Type="http://schemas.openxmlformats.org/officeDocument/2006/relationships/chart" Target="../charts/chart4.xml"/><Relationship Id="rId9" Type="http://schemas.openxmlformats.org/officeDocument/2006/relationships/chart" Target="../charts/chart9.xml"/><Relationship Id="rId14" Type="http://schemas.openxmlformats.org/officeDocument/2006/relationships/chart" Target="../charts/chart14.xml"/><Relationship Id="rId22" Type="http://schemas.openxmlformats.org/officeDocument/2006/relationships/chart" Target="../charts/chart22.xml"/><Relationship Id="rId27" Type="http://schemas.openxmlformats.org/officeDocument/2006/relationships/chart" Target="../charts/chart27.xml"/><Relationship Id="rId30" Type="http://schemas.openxmlformats.org/officeDocument/2006/relationships/chart" Target="../charts/chart30.xml"/></Relationships>
</file>

<file path=xl/drawings/_rels/drawing2.xml.rels><?xml version="1.0" encoding="UTF-8" standalone="yes"?>
<Relationships xmlns="http://schemas.openxmlformats.org/package/2006/relationships"><Relationship Id="rId8" Type="http://schemas.openxmlformats.org/officeDocument/2006/relationships/chart" Target="../charts/chart40.xml"/><Relationship Id="rId3" Type="http://schemas.openxmlformats.org/officeDocument/2006/relationships/chart" Target="../charts/chart35.xml"/><Relationship Id="rId7" Type="http://schemas.openxmlformats.org/officeDocument/2006/relationships/chart" Target="../charts/chart39.xml"/><Relationship Id="rId2" Type="http://schemas.openxmlformats.org/officeDocument/2006/relationships/chart" Target="../charts/chart34.xml"/><Relationship Id="rId1" Type="http://schemas.openxmlformats.org/officeDocument/2006/relationships/chart" Target="../charts/chart33.xml"/><Relationship Id="rId6" Type="http://schemas.openxmlformats.org/officeDocument/2006/relationships/chart" Target="../charts/chart38.xml"/><Relationship Id="rId5" Type="http://schemas.openxmlformats.org/officeDocument/2006/relationships/chart" Target="../charts/chart37.xml"/><Relationship Id="rId4" Type="http://schemas.openxmlformats.org/officeDocument/2006/relationships/chart" Target="../charts/chart36.xml"/></Relationships>
</file>

<file path=xl/drawings/_rels/drawing3.xml.rels><?xml version="1.0" encoding="UTF-8" standalone="yes"?>
<Relationships xmlns="http://schemas.openxmlformats.org/package/2006/relationships"><Relationship Id="rId8" Type="http://schemas.openxmlformats.org/officeDocument/2006/relationships/chart" Target="../charts/chart48.xml"/><Relationship Id="rId3" Type="http://schemas.openxmlformats.org/officeDocument/2006/relationships/chart" Target="../charts/chart43.xml"/><Relationship Id="rId7" Type="http://schemas.openxmlformats.org/officeDocument/2006/relationships/chart" Target="../charts/chart47.xml"/><Relationship Id="rId2" Type="http://schemas.openxmlformats.org/officeDocument/2006/relationships/chart" Target="../charts/chart42.xml"/><Relationship Id="rId1" Type="http://schemas.openxmlformats.org/officeDocument/2006/relationships/chart" Target="../charts/chart41.xml"/><Relationship Id="rId6" Type="http://schemas.openxmlformats.org/officeDocument/2006/relationships/chart" Target="../charts/chart46.xml"/><Relationship Id="rId5" Type="http://schemas.openxmlformats.org/officeDocument/2006/relationships/chart" Target="../charts/chart45.xml"/><Relationship Id="rId4" Type="http://schemas.openxmlformats.org/officeDocument/2006/relationships/chart" Target="../charts/chart4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37</xdr:col>
      <xdr:colOff>284934</xdr:colOff>
      <xdr:row>3</xdr:row>
      <xdr:rowOff>8737</xdr:rowOff>
    </xdr:from>
    <xdr:to>
      <xdr:col>43</xdr:col>
      <xdr:colOff>529954</xdr:colOff>
      <xdr:row>16</xdr:row>
      <xdr:rowOff>71365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79D2A44E-5B2C-34C9-2B5A-1392E06902E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37</xdr:col>
      <xdr:colOff>283035</xdr:colOff>
      <xdr:row>16</xdr:row>
      <xdr:rowOff>150698</xdr:rowOff>
    </xdr:from>
    <xdr:to>
      <xdr:col>43</xdr:col>
      <xdr:colOff>539485</xdr:colOff>
      <xdr:row>31</xdr:row>
      <xdr:rowOff>45860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7C2AEC37-1AA9-4DEC-AD14-B832B0E8B64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50</xdr:col>
      <xdr:colOff>431406</xdr:colOff>
      <xdr:row>32</xdr:row>
      <xdr:rowOff>45832</xdr:rowOff>
    </xdr:from>
    <xdr:to>
      <xdr:col>57</xdr:col>
      <xdr:colOff>254405</xdr:colOff>
      <xdr:row>44</xdr:row>
      <xdr:rowOff>46239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64A7CE95-1333-40EC-8316-5A614467D99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50</xdr:col>
      <xdr:colOff>392833</xdr:colOff>
      <xdr:row>44</xdr:row>
      <xdr:rowOff>122058</xdr:rowOff>
    </xdr:from>
    <xdr:to>
      <xdr:col>57</xdr:col>
      <xdr:colOff>232977</xdr:colOff>
      <xdr:row>57</xdr:row>
      <xdr:rowOff>148804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4D89F678-0478-494B-A185-56317EB6CC5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50</xdr:col>
      <xdr:colOff>396213</xdr:colOff>
      <xdr:row>3</xdr:row>
      <xdr:rowOff>81582</xdr:rowOff>
    </xdr:from>
    <xdr:to>
      <xdr:col>57</xdr:col>
      <xdr:colOff>313075</xdr:colOff>
      <xdr:row>16</xdr:row>
      <xdr:rowOff>117093</xdr:rowOff>
    </xdr:to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E426D99D-8940-468D-9824-3360558A070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50</xdr:col>
      <xdr:colOff>450828</xdr:colOff>
      <xdr:row>17</xdr:row>
      <xdr:rowOff>74514</xdr:rowOff>
    </xdr:from>
    <xdr:to>
      <xdr:col>57</xdr:col>
      <xdr:colOff>298259</xdr:colOff>
      <xdr:row>31</xdr:row>
      <xdr:rowOff>119685</xdr:rowOff>
    </xdr:to>
    <xdr:graphicFrame macro="">
      <xdr:nvGraphicFramePr>
        <xdr:cNvPr id="8" name="Chart 7">
          <a:extLst>
            <a:ext uri="{FF2B5EF4-FFF2-40B4-BE49-F238E27FC236}">
              <a16:creationId xmlns:a16="http://schemas.microsoft.com/office/drawing/2014/main" id="{2A343180-F290-4882-BA6D-BA32A5C4E5B4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37</xdr:col>
      <xdr:colOff>243733</xdr:colOff>
      <xdr:row>32</xdr:row>
      <xdr:rowOff>40678</xdr:rowOff>
    </xdr:from>
    <xdr:to>
      <xdr:col>43</xdr:col>
      <xdr:colOff>490658</xdr:colOff>
      <xdr:row>44</xdr:row>
      <xdr:rowOff>46122</xdr:rowOff>
    </xdr:to>
    <xdr:graphicFrame macro="">
      <xdr:nvGraphicFramePr>
        <xdr:cNvPr id="9" name="Chart 8">
          <a:extLst>
            <a:ext uri="{FF2B5EF4-FFF2-40B4-BE49-F238E27FC236}">
              <a16:creationId xmlns:a16="http://schemas.microsoft.com/office/drawing/2014/main" id="{0EEC9911-9B41-49DE-9045-56D7EFED902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>
    <xdr:from>
      <xdr:col>37</xdr:col>
      <xdr:colOff>233429</xdr:colOff>
      <xdr:row>44</xdr:row>
      <xdr:rowOff>122946</xdr:rowOff>
    </xdr:from>
    <xdr:to>
      <xdr:col>43</xdr:col>
      <xdr:colOff>472734</xdr:colOff>
      <xdr:row>58</xdr:row>
      <xdr:rowOff>75188</xdr:rowOff>
    </xdr:to>
    <xdr:graphicFrame macro="">
      <xdr:nvGraphicFramePr>
        <xdr:cNvPr id="10" name="Chart 9">
          <a:extLst>
            <a:ext uri="{FF2B5EF4-FFF2-40B4-BE49-F238E27FC236}">
              <a16:creationId xmlns:a16="http://schemas.microsoft.com/office/drawing/2014/main" id="{3BD8CC9F-6959-4299-947C-31E963AC256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  <xdr:twoCellAnchor>
    <xdr:from>
      <xdr:col>44</xdr:col>
      <xdr:colOff>62774</xdr:colOff>
      <xdr:row>3</xdr:row>
      <xdr:rowOff>46216</xdr:rowOff>
    </xdr:from>
    <xdr:to>
      <xdr:col>50</xdr:col>
      <xdr:colOff>359204</xdr:colOff>
      <xdr:row>16</xdr:row>
      <xdr:rowOff>79403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D0DA810B-F66A-4E28-88EB-A1539969544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9"/>
        </a:graphicData>
      </a:graphic>
    </xdr:graphicFrame>
    <xdr:clientData/>
  </xdr:twoCellAnchor>
  <xdr:twoCellAnchor>
    <xdr:from>
      <xdr:col>44</xdr:col>
      <xdr:colOff>72305</xdr:colOff>
      <xdr:row>17</xdr:row>
      <xdr:rowOff>8414</xdr:rowOff>
    </xdr:from>
    <xdr:to>
      <xdr:col>50</xdr:col>
      <xdr:colOff>357305</xdr:colOff>
      <xdr:row>31</xdr:row>
      <xdr:rowOff>65328</xdr:rowOff>
    </xdr:to>
    <xdr:graphicFrame macro="">
      <xdr:nvGraphicFramePr>
        <xdr:cNvPr id="11" name="Chart 10">
          <a:extLst>
            <a:ext uri="{FF2B5EF4-FFF2-40B4-BE49-F238E27FC236}">
              <a16:creationId xmlns:a16="http://schemas.microsoft.com/office/drawing/2014/main" id="{4A83927D-FC93-4D94-90D2-2452EF87D2B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0"/>
        </a:graphicData>
      </a:graphic>
    </xdr:graphicFrame>
    <xdr:clientData/>
  </xdr:twoCellAnchor>
  <xdr:twoCellAnchor>
    <xdr:from>
      <xdr:col>44</xdr:col>
      <xdr:colOff>33003</xdr:colOff>
      <xdr:row>32</xdr:row>
      <xdr:rowOff>62051</xdr:rowOff>
    </xdr:from>
    <xdr:to>
      <xdr:col>50</xdr:col>
      <xdr:colOff>318003</xdr:colOff>
      <xdr:row>44</xdr:row>
      <xdr:rowOff>65590</xdr:rowOff>
    </xdr:to>
    <xdr:graphicFrame macro="">
      <xdr:nvGraphicFramePr>
        <xdr:cNvPr id="12" name="Chart 11">
          <a:extLst>
            <a:ext uri="{FF2B5EF4-FFF2-40B4-BE49-F238E27FC236}">
              <a16:creationId xmlns:a16="http://schemas.microsoft.com/office/drawing/2014/main" id="{D42F534F-34C4-4F61-872D-BC02E9567E0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1"/>
        </a:graphicData>
      </a:graphic>
    </xdr:graphicFrame>
    <xdr:clientData/>
  </xdr:twoCellAnchor>
  <xdr:twoCellAnchor>
    <xdr:from>
      <xdr:col>44</xdr:col>
      <xdr:colOff>54749</xdr:colOff>
      <xdr:row>44</xdr:row>
      <xdr:rowOff>129640</xdr:rowOff>
    </xdr:from>
    <xdr:to>
      <xdr:col>50</xdr:col>
      <xdr:colOff>335939</xdr:colOff>
      <xdr:row>58</xdr:row>
      <xdr:rowOff>83787</xdr:rowOff>
    </xdr:to>
    <xdr:graphicFrame macro="">
      <xdr:nvGraphicFramePr>
        <xdr:cNvPr id="13" name="Chart 12">
          <a:extLst>
            <a:ext uri="{FF2B5EF4-FFF2-40B4-BE49-F238E27FC236}">
              <a16:creationId xmlns:a16="http://schemas.microsoft.com/office/drawing/2014/main" id="{01FB190D-592E-4A1B-912C-6891DC44253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2"/>
        </a:graphicData>
      </a:graphic>
    </xdr:graphicFrame>
    <xdr:clientData/>
  </xdr:twoCellAnchor>
  <xdr:twoCellAnchor>
    <xdr:from>
      <xdr:col>30</xdr:col>
      <xdr:colOff>504202</xdr:colOff>
      <xdr:row>3</xdr:row>
      <xdr:rowOff>24246</xdr:rowOff>
    </xdr:from>
    <xdr:to>
      <xdr:col>37</xdr:col>
      <xdr:colOff>196772</xdr:colOff>
      <xdr:row>16</xdr:row>
      <xdr:rowOff>78388</xdr:rowOff>
    </xdr:to>
    <xdr:graphicFrame macro="">
      <xdr:nvGraphicFramePr>
        <xdr:cNvPr id="14" name="Chart 13">
          <a:extLst>
            <a:ext uri="{FF2B5EF4-FFF2-40B4-BE49-F238E27FC236}">
              <a16:creationId xmlns:a16="http://schemas.microsoft.com/office/drawing/2014/main" id="{779E7142-AA82-4698-9A70-488FB02480D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3"/>
        </a:graphicData>
      </a:graphic>
    </xdr:graphicFrame>
    <xdr:clientData/>
  </xdr:twoCellAnchor>
  <xdr:twoCellAnchor>
    <xdr:from>
      <xdr:col>30</xdr:col>
      <xdr:colOff>513733</xdr:colOff>
      <xdr:row>16</xdr:row>
      <xdr:rowOff>159626</xdr:rowOff>
    </xdr:from>
    <xdr:to>
      <xdr:col>37</xdr:col>
      <xdr:colOff>206303</xdr:colOff>
      <xdr:row>31</xdr:row>
      <xdr:rowOff>43358</xdr:rowOff>
    </xdr:to>
    <xdr:graphicFrame macro="">
      <xdr:nvGraphicFramePr>
        <xdr:cNvPr id="15" name="Chart 14">
          <a:extLst>
            <a:ext uri="{FF2B5EF4-FFF2-40B4-BE49-F238E27FC236}">
              <a16:creationId xmlns:a16="http://schemas.microsoft.com/office/drawing/2014/main" id="{6C514029-A25C-462D-B62F-3EA716A4CC4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4"/>
        </a:graphicData>
      </a:graphic>
    </xdr:graphicFrame>
    <xdr:clientData/>
  </xdr:twoCellAnchor>
  <xdr:twoCellAnchor>
    <xdr:from>
      <xdr:col>30</xdr:col>
      <xdr:colOff>472526</xdr:colOff>
      <xdr:row>32</xdr:row>
      <xdr:rowOff>40081</xdr:rowOff>
    </xdr:from>
    <xdr:to>
      <xdr:col>37</xdr:col>
      <xdr:colOff>139465</xdr:colOff>
      <xdr:row>44</xdr:row>
      <xdr:rowOff>45525</xdr:rowOff>
    </xdr:to>
    <xdr:graphicFrame macro="">
      <xdr:nvGraphicFramePr>
        <xdr:cNvPr id="16" name="Chart 15">
          <a:extLst>
            <a:ext uri="{FF2B5EF4-FFF2-40B4-BE49-F238E27FC236}">
              <a16:creationId xmlns:a16="http://schemas.microsoft.com/office/drawing/2014/main" id="{FE22A532-EF75-4110-A57A-CF2C3A5915D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5"/>
        </a:graphicData>
      </a:graphic>
    </xdr:graphicFrame>
    <xdr:clientData/>
  </xdr:twoCellAnchor>
  <xdr:twoCellAnchor>
    <xdr:from>
      <xdr:col>30</xdr:col>
      <xdr:colOff>471747</xdr:colOff>
      <xdr:row>44</xdr:row>
      <xdr:rowOff>122349</xdr:rowOff>
    </xdr:from>
    <xdr:to>
      <xdr:col>37</xdr:col>
      <xdr:colOff>131066</xdr:colOff>
      <xdr:row>58</xdr:row>
      <xdr:rowOff>84116</xdr:rowOff>
    </xdr:to>
    <xdr:graphicFrame macro="">
      <xdr:nvGraphicFramePr>
        <xdr:cNvPr id="17" name="Chart 16">
          <a:extLst>
            <a:ext uri="{FF2B5EF4-FFF2-40B4-BE49-F238E27FC236}">
              <a16:creationId xmlns:a16="http://schemas.microsoft.com/office/drawing/2014/main" id="{0D89E23B-24EC-4B42-B81F-9DE150914EF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6"/>
        </a:graphicData>
      </a:graphic>
    </xdr:graphicFrame>
    <xdr:clientData/>
  </xdr:twoCellAnchor>
  <xdr:twoCellAnchor>
    <xdr:from>
      <xdr:col>24</xdr:col>
      <xdr:colOff>587676</xdr:colOff>
      <xdr:row>3</xdr:row>
      <xdr:rowOff>7621</xdr:rowOff>
    </xdr:from>
    <xdr:to>
      <xdr:col>30</xdr:col>
      <xdr:colOff>435417</xdr:colOff>
      <xdr:row>16</xdr:row>
      <xdr:rowOff>58819</xdr:rowOff>
    </xdr:to>
    <xdr:graphicFrame macro="">
      <xdr:nvGraphicFramePr>
        <xdr:cNvPr id="18" name="Chart 17">
          <a:extLst>
            <a:ext uri="{FF2B5EF4-FFF2-40B4-BE49-F238E27FC236}">
              <a16:creationId xmlns:a16="http://schemas.microsoft.com/office/drawing/2014/main" id="{646DFC5C-B3D6-4348-8ADC-009BAAD3BC6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7"/>
        </a:graphicData>
      </a:graphic>
    </xdr:graphicFrame>
    <xdr:clientData/>
  </xdr:twoCellAnchor>
  <xdr:twoCellAnchor>
    <xdr:from>
      <xdr:col>24</xdr:col>
      <xdr:colOff>597207</xdr:colOff>
      <xdr:row>16</xdr:row>
      <xdr:rowOff>138152</xdr:rowOff>
    </xdr:from>
    <xdr:to>
      <xdr:col>30</xdr:col>
      <xdr:colOff>433518</xdr:colOff>
      <xdr:row>31</xdr:row>
      <xdr:rowOff>33314</xdr:rowOff>
    </xdr:to>
    <xdr:graphicFrame macro="">
      <xdr:nvGraphicFramePr>
        <xdr:cNvPr id="19" name="Chart 18">
          <a:extLst>
            <a:ext uri="{FF2B5EF4-FFF2-40B4-BE49-F238E27FC236}">
              <a16:creationId xmlns:a16="http://schemas.microsoft.com/office/drawing/2014/main" id="{E6444252-AA72-4CBE-A06C-892322A4A45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8"/>
        </a:graphicData>
      </a:graphic>
    </xdr:graphicFrame>
    <xdr:clientData/>
  </xdr:twoCellAnchor>
  <xdr:twoCellAnchor>
    <xdr:from>
      <xdr:col>24</xdr:col>
      <xdr:colOff>557905</xdr:colOff>
      <xdr:row>32</xdr:row>
      <xdr:rowOff>26227</xdr:rowOff>
    </xdr:from>
    <xdr:to>
      <xdr:col>30</xdr:col>
      <xdr:colOff>396121</xdr:colOff>
      <xdr:row>44</xdr:row>
      <xdr:rowOff>45006</xdr:rowOff>
    </xdr:to>
    <xdr:graphicFrame macro="">
      <xdr:nvGraphicFramePr>
        <xdr:cNvPr id="20" name="Chart 19">
          <a:extLst>
            <a:ext uri="{FF2B5EF4-FFF2-40B4-BE49-F238E27FC236}">
              <a16:creationId xmlns:a16="http://schemas.microsoft.com/office/drawing/2014/main" id="{7FF25DFD-93F7-4619-9D14-EC71E47452A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9"/>
        </a:graphicData>
      </a:graphic>
    </xdr:graphicFrame>
    <xdr:clientData/>
  </xdr:twoCellAnchor>
  <xdr:twoCellAnchor>
    <xdr:from>
      <xdr:col>24</xdr:col>
      <xdr:colOff>543791</xdr:colOff>
      <xdr:row>44</xdr:row>
      <xdr:rowOff>121830</xdr:rowOff>
    </xdr:from>
    <xdr:to>
      <xdr:col>30</xdr:col>
      <xdr:colOff>387722</xdr:colOff>
      <xdr:row>58</xdr:row>
      <xdr:rowOff>62642</xdr:rowOff>
    </xdr:to>
    <xdr:graphicFrame macro="">
      <xdr:nvGraphicFramePr>
        <xdr:cNvPr id="21" name="Chart 20">
          <a:extLst>
            <a:ext uri="{FF2B5EF4-FFF2-40B4-BE49-F238E27FC236}">
              <a16:creationId xmlns:a16="http://schemas.microsoft.com/office/drawing/2014/main" id="{BC9B09F2-3A74-477A-BCF9-44774A096B1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0"/>
        </a:graphicData>
      </a:graphic>
    </xdr:graphicFrame>
    <xdr:clientData/>
  </xdr:twoCellAnchor>
  <xdr:twoCellAnchor>
    <xdr:from>
      <xdr:col>20</xdr:col>
      <xdr:colOff>633049</xdr:colOff>
      <xdr:row>2</xdr:row>
      <xdr:rowOff>159327</xdr:rowOff>
    </xdr:from>
    <xdr:to>
      <xdr:col>24</xdr:col>
      <xdr:colOff>445808</xdr:colOff>
      <xdr:row>16</xdr:row>
      <xdr:rowOff>44964</xdr:rowOff>
    </xdr:to>
    <xdr:graphicFrame macro="">
      <xdr:nvGraphicFramePr>
        <xdr:cNvPr id="22" name="Chart 21">
          <a:extLst>
            <a:ext uri="{FF2B5EF4-FFF2-40B4-BE49-F238E27FC236}">
              <a16:creationId xmlns:a16="http://schemas.microsoft.com/office/drawing/2014/main" id="{755DEB4F-2F2E-4760-AE0B-552DFB3F22B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1"/>
        </a:graphicData>
      </a:graphic>
    </xdr:graphicFrame>
    <xdr:clientData/>
  </xdr:twoCellAnchor>
  <xdr:twoCellAnchor>
    <xdr:from>
      <xdr:col>20</xdr:col>
      <xdr:colOff>638770</xdr:colOff>
      <xdr:row>16</xdr:row>
      <xdr:rowOff>130185</xdr:rowOff>
    </xdr:from>
    <xdr:to>
      <xdr:col>24</xdr:col>
      <xdr:colOff>443909</xdr:colOff>
      <xdr:row>31</xdr:row>
      <xdr:rowOff>4219</xdr:rowOff>
    </xdr:to>
    <xdr:graphicFrame macro="">
      <xdr:nvGraphicFramePr>
        <xdr:cNvPr id="23" name="Chart 22">
          <a:extLst>
            <a:ext uri="{FF2B5EF4-FFF2-40B4-BE49-F238E27FC236}">
              <a16:creationId xmlns:a16="http://schemas.microsoft.com/office/drawing/2014/main" id="{E0C2564A-FD4C-4C42-BCD5-65F99E6A018B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2"/>
        </a:graphicData>
      </a:graphic>
    </xdr:graphicFrame>
    <xdr:clientData/>
  </xdr:twoCellAnchor>
  <xdr:twoCellAnchor>
    <xdr:from>
      <xdr:col>20</xdr:col>
      <xdr:colOff>607088</xdr:colOff>
      <xdr:row>32</xdr:row>
      <xdr:rowOff>4752</xdr:rowOff>
    </xdr:from>
    <xdr:to>
      <xdr:col>24</xdr:col>
      <xdr:colOff>406512</xdr:colOff>
      <xdr:row>44</xdr:row>
      <xdr:rowOff>12101</xdr:rowOff>
    </xdr:to>
    <xdr:graphicFrame macro="">
      <xdr:nvGraphicFramePr>
        <xdr:cNvPr id="24" name="Chart 23">
          <a:extLst>
            <a:ext uri="{FF2B5EF4-FFF2-40B4-BE49-F238E27FC236}">
              <a16:creationId xmlns:a16="http://schemas.microsoft.com/office/drawing/2014/main" id="{0EEC6335-88AE-4A73-9FA3-96929303ED9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3"/>
        </a:graphicData>
      </a:graphic>
    </xdr:graphicFrame>
    <xdr:clientData/>
  </xdr:twoCellAnchor>
  <xdr:twoCellAnchor>
    <xdr:from>
      <xdr:col>20</xdr:col>
      <xdr:colOff>585354</xdr:colOff>
      <xdr:row>44</xdr:row>
      <xdr:rowOff>100355</xdr:rowOff>
    </xdr:from>
    <xdr:to>
      <xdr:col>24</xdr:col>
      <xdr:colOff>392398</xdr:colOff>
      <xdr:row>58</xdr:row>
      <xdr:rowOff>41167</xdr:rowOff>
    </xdr:to>
    <xdr:graphicFrame macro="">
      <xdr:nvGraphicFramePr>
        <xdr:cNvPr id="25" name="Chart 24">
          <a:extLst>
            <a:ext uri="{FF2B5EF4-FFF2-40B4-BE49-F238E27FC236}">
              <a16:creationId xmlns:a16="http://schemas.microsoft.com/office/drawing/2014/main" id="{BB86AE97-8E53-466E-99BB-AAB73F2B524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4"/>
        </a:graphicData>
      </a:graphic>
    </xdr:graphicFrame>
    <xdr:clientData/>
  </xdr:twoCellAnchor>
  <xdr:twoCellAnchor>
    <xdr:from>
      <xdr:col>16</xdr:col>
      <xdr:colOff>700170</xdr:colOff>
      <xdr:row>3</xdr:row>
      <xdr:rowOff>14177</xdr:rowOff>
    </xdr:from>
    <xdr:to>
      <xdr:col>20</xdr:col>
      <xdr:colOff>525298</xdr:colOff>
      <xdr:row>16</xdr:row>
      <xdr:rowOff>72995</xdr:rowOff>
    </xdr:to>
    <xdr:graphicFrame macro="">
      <xdr:nvGraphicFramePr>
        <xdr:cNvPr id="26" name="Chart 25">
          <a:extLst>
            <a:ext uri="{FF2B5EF4-FFF2-40B4-BE49-F238E27FC236}">
              <a16:creationId xmlns:a16="http://schemas.microsoft.com/office/drawing/2014/main" id="{33C579E9-C054-45A0-B312-7D3D1BF7076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5"/>
        </a:graphicData>
      </a:graphic>
    </xdr:graphicFrame>
    <xdr:clientData/>
  </xdr:twoCellAnchor>
  <xdr:twoCellAnchor>
    <xdr:from>
      <xdr:col>16</xdr:col>
      <xdr:colOff>709701</xdr:colOff>
      <xdr:row>16</xdr:row>
      <xdr:rowOff>152600</xdr:rowOff>
    </xdr:from>
    <xdr:to>
      <xdr:col>20</xdr:col>
      <xdr:colOff>531019</xdr:colOff>
      <xdr:row>31</xdr:row>
      <xdr:rowOff>41775</xdr:rowOff>
    </xdr:to>
    <xdr:graphicFrame macro="">
      <xdr:nvGraphicFramePr>
        <xdr:cNvPr id="27" name="Chart 26">
          <a:extLst>
            <a:ext uri="{FF2B5EF4-FFF2-40B4-BE49-F238E27FC236}">
              <a16:creationId xmlns:a16="http://schemas.microsoft.com/office/drawing/2014/main" id="{A730EF3E-A366-4724-BBC4-7A058D04490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6"/>
        </a:graphicData>
      </a:graphic>
    </xdr:graphicFrame>
    <xdr:clientData/>
  </xdr:twoCellAnchor>
  <xdr:twoCellAnchor>
    <xdr:from>
      <xdr:col>16</xdr:col>
      <xdr:colOff>670399</xdr:colOff>
      <xdr:row>32</xdr:row>
      <xdr:rowOff>42308</xdr:rowOff>
    </xdr:from>
    <xdr:to>
      <xdr:col>20</xdr:col>
      <xdr:colOff>493622</xdr:colOff>
      <xdr:row>44</xdr:row>
      <xdr:rowOff>42037</xdr:rowOff>
    </xdr:to>
    <xdr:graphicFrame macro="">
      <xdr:nvGraphicFramePr>
        <xdr:cNvPr id="28" name="Chart 27">
          <a:extLst>
            <a:ext uri="{FF2B5EF4-FFF2-40B4-BE49-F238E27FC236}">
              <a16:creationId xmlns:a16="http://schemas.microsoft.com/office/drawing/2014/main" id="{783C448B-70A9-48B5-8A7E-66DB1BAE2FA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7"/>
        </a:graphicData>
      </a:graphic>
    </xdr:graphicFrame>
    <xdr:clientData/>
  </xdr:twoCellAnchor>
  <xdr:twoCellAnchor>
    <xdr:from>
      <xdr:col>16</xdr:col>
      <xdr:colOff>658190</xdr:colOff>
      <xdr:row>44</xdr:row>
      <xdr:rowOff>128485</xdr:rowOff>
    </xdr:from>
    <xdr:to>
      <xdr:col>20</xdr:col>
      <xdr:colOff>471888</xdr:colOff>
      <xdr:row>58</xdr:row>
      <xdr:rowOff>78723</xdr:rowOff>
    </xdr:to>
    <xdr:graphicFrame macro="">
      <xdr:nvGraphicFramePr>
        <xdr:cNvPr id="29" name="Chart 28">
          <a:extLst>
            <a:ext uri="{FF2B5EF4-FFF2-40B4-BE49-F238E27FC236}">
              <a16:creationId xmlns:a16="http://schemas.microsoft.com/office/drawing/2014/main" id="{6E43F6C1-886C-4074-897D-6409BD2D41A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8"/>
        </a:graphicData>
      </a:graphic>
    </xdr:graphicFrame>
    <xdr:clientData/>
  </xdr:twoCellAnchor>
  <xdr:twoCellAnchor>
    <xdr:from>
      <xdr:col>13</xdr:col>
      <xdr:colOff>363681</xdr:colOff>
      <xdr:row>3</xdr:row>
      <xdr:rowOff>1</xdr:rowOff>
    </xdr:from>
    <xdr:to>
      <xdr:col>16</xdr:col>
      <xdr:colOff>627202</xdr:colOff>
      <xdr:row>16</xdr:row>
      <xdr:rowOff>55009</xdr:rowOff>
    </xdr:to>
    <xdr:graphicFrame macro="">
      <xdr:nvGraphicFramePr>
        <xdr:cNvPr id="33" name="Chart 32">
          <a:extLst>
            <a:ext uri="{FF2B5EF4-FFF2-40B4-BE49-F238E27FC236}">
              <a16:creationId xmlns:a16="http://schemas.microsoft.com/office/drawing/2014/main" id="{9CC5A9B1-3272-4086-8A30-5CB98773C44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9"/>
        </a:graphicData>
      </a:graphic>
    </xdr:graphicFrame>
    <xdr:clientData/>
  </xdr:twoCellAnchor>
  <xdr:twoCellAnchor>
    <xdr:from>
      <xdr:col>13</xdr:col>
      <xdr:colOff>365592</xdr:colOff>
      <xdr:row>16</xdr:row>
      <xdr:rowOff>134614</xdr:rowOff>
    </xdr:from>
    <xdr:to>
      <xdr:col>16</xdr:col>
      <xdr:colOff>629113</xdr:colOff>
      <xdr:row>31</xdr:row>
      <xdr:rowOff>21884</xdr:rowOff>
    </xdr:to>
    <xdr:graphicFrame macro="">
      <xdr:nvGraphicFramePr>
        <xdr:cNvPr id="34" name="Chart 33">
          <a:extLst>
            <a:ext uri="{FF2B5EF4-FFF2-40B4-BE49-F238E27FC236}">
              <a16:creationId xmlns:a16="http://schemas.microsoft.com/office/drawing/2014/main" id="{46AB036B-2E97-4176-94AE-B325138850C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0"/>
        </a:graphicData>
      </a:graphic>
    </xdr:graphicFrame>
    <xdr:clientData/>
  </xdr:twoCellAnchor>
  <xdr:twoCellAnchor>
    <xdr:from>
      <xdr:col>13</xdr:col>
      <xdr:colOff>326422</xdr:colOff>
      <xdr:row>32</xdr:row>
      <xdr:rowOff>26227</xdr:rowOff>
    </xdr:from>
    <xdr:to>
      <xdr:col>16</xdr:col>
      <xdr:colOff>591717</xdr:colOff>
      <xdr:row>44</xdr:row>
      <xdr:rowOff>18336</xdr:rowOff>
    </xdr:to>
    <xdr:graphicFrame macro="">
      <xdr:nvGraphicFramePr>
        <xdr:cNvPr id="35" name="Chart 34">
          <a:extLst>
            <a:ext uri="{FF2B5EF4-FFF2-40B4-BE49-F238E27FC236}">
              <a16:creationId xmlns:a16="http://schemas.microsoft.com/office/drawing/2014/main" id="{7FE63E34-B6B8-48A3-98A6-89B91C8D022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1"/>
        </a:graphicData>
      </a:graphic>
    </xdr:graphicFrame>
    <xdr:clientData/>
  </xdr:twoCellAnchor>
  <xdr:twoCellAnchor>
    <xdr:from>
      <xdr:col>13</xdr:col>
      <xdr:colOff>324461</xdr:colOff>
      <xdr:row>44</xdr:row>
      <xdr:rowOff>114309</xdr:rowOff>
    </xdr:from>
    <xdr:to>
      <xdr:col>16</xdr:col>
      <xdr:colOff>573793</xdr:colOff>
      <xdr:row>58</xdr:row>
      <xdr:rowOff>60737</xdr:rowOff>
    </xdr:to>
    <xdr:graphicFrame macro="">
      <xdr:nvGraphicFramePr>
        <xdr:cNvPr id="36" name="Chart 35">
          <a:extLst>
            <a:ext uri="{FF2B5EF4-FFF2-40B4-BE49-F238E27FC236}">
              <a16:creationId xmlns:a16="http://schemas.microsoft.com/office/drawing/2014/main" id="{3986759B-D701-44DE-AA5D-2B31E511ABD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2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209427</xdr:colOff>
      <xdr:row>2</xdr:row>
      <xdr:rowOff>136198</xdr:rowOff>
    </xdr:from>
    <xdr:to>
      <xdr:col>15</xdr:col>
      <xdr:colOff>757861</xdr:colOff>
      <xdr:row>15</xdr:row>
      <xdr:rowOff>184626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79907D3A-1DBF-43A4-A1A5-624C35690CD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12</xdr:col>
      <xdr:colOff>215148</xdr:colOff>
      <xdr:row>16</xdr:row>
      <xdr:rowOff>108787</xdr:rowOff>
    </xdr:from>
    <xdr:to>
      <xdr:col>15</xdr:col>
      <xdr:colOff>763582</xdr:colOff>
      <xdr:row>30</xdr:row>
      <xdr:rowOff>155311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C4A2E1AA-1852-4E33-9F2C-6DBB2CFF650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16</xdr:col>
      <xdr:colOff>89249</xdr:colOff>
      <xdr:row>31</xdr:row>
      <xdr:rowOff>100360</xdr:rowOff>
    </xdr:from>
    <xdr:to>
      <xdr:col>19</xdr:col>
      <xdr:colOff>885430</xdr:colOff>
      <xdr:row>43</xdr:row>
      <xdr:rowOff>168294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0CC8E804-9626-498A-80EB-05624D503E0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16</xdr:col>
      <xdr:colOff>86005</xdr:colOff>
      <xdr:row>43</xdr:row>
      <xdr:rowOff>169831</xdr:rowOff>
    </xdr:from>
    <xdr:to>
      <xdr:col>19</xdr:col>
      <xdr:colOff>884091</xdr:colOff>
      <xdr:row>57</xdr:row>
      <xdr:rowOff>24261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65CB18A8-8C18-4652-AEF3-BFA94C1141F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15</xdr:col>
      <xdr:colOff>828674</xdr:colOff>
      <xdr:row>2</xdr:row>
      <xdr:rowOff>157583</xdr:rowOff>
    </xdr:from>
    <xdr:to>
      <xdr:col>19</xdr:col>
      <xdr:colOff>881062</xdr:colOff>
      <xdr:row>16</xdr:row>
      <xdr:rowOff>7271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83AE6564-E255-4082-BC50-85523EB8C6A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16</xdr:col>
      <xdr:colOff>80962</xdr:colOff>
      <xdr:row>16</xdr:row>
      <xdr:rowOff>105142</xdr:rowOff>
    </xdr:from>
    <xdr:to>
      <xdr:col>19</xdr:col>
      <xdr:colOff>897765</xdr:colOff>
      <xdr:row>30</xdr:row>
      <xdr:rowOff>154123</xdr:rowOff>
    </xdr:to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861A6F87-78C4-4FF7-BE3E-FBC8C54FCFC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12</xdr:col>
      <xdr:colOff>175846</xdr:colOff>
      <xdr:row>31</xdr:row>
      <xdr:rowOff>152034</xdr:rowOff>
    </xdr:from>
    <xdr:to>
      <xdr:col>15</xdr:col>
      <xdr:colOff>718565</xdr:colOff>
      <xdr:row>43</xdr:row>
      <xdr:rowOff>163193</xdr:rowOff>
    </xdr:to>
    <xdr:graphicFrame macro="">
      <xdr:nvGraphicFramePr>
        <xdr:cNvPr id="8" name="Chart 7">
          <a:extLst>
            <a:ext uri="{FF2B5EF4-FFF2-40B4-BE49-F238E27FC236}">
              <a16:creationId xmlns:a16="http://schemas.microsoft.com/office/drawing/2014/main" id="{F59A702A-F7FD-4D4A-9002-B0649C74804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>
    <xdr:from>
      <xdr:col>12</xdr:col>
      <xdr:colOff>179662</xdr:colOff>
      <xdr:row>43</xdr:row>
      <xdr:rowOff>167485</xdr:rowOff>
    </xdr:from>
    <xdr:to>
      <xdr:col>15</xdr:col>
      <xdr:colOff>724286</xdr:colOff>
      <xdr:row>57</xdr:row>
      <xdr:rowOff>116732</xdr:rowOff>
    </xdr:to>
    <xdr:graphicFrame macro="">
      <xdr:nvGraphicFramePr>
        <xdr:cNvPr id="9" name="Chart 8">
          <a:extLst>
            <a:ext uri="{FF2B5EF4-FFF2-40B4-BE49-F238E27FC236}">
              <a16:creationId xmlns:a16="http://schemas.microsoft.com/office/drawing/2014/main" id="{B26762D6-064B-4B43-A4B6-F25174BD6534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209427</xdr:colOff>
      <xdr:row>2</xdr:row>
      <xdr:rowOff>136198</xdr:rowOff>
    </xdr:from>
    <xdr:to>
      <xdr:col>15</xdr:col>
      <xdr:colOff>757861</xdr:colOff>
      <xdr:row>15</xdr:row>
      <xdr:rowOff>184626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599FC42E-22B9-43D6-852B-8B9812EB396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12</xdr:col>
      <xdr:colOff>215148</xdr:colOff>
      <xdr:row>16</xdr:row>
      <xdr:rowOff>108787</xdr:rowOff>
    </xdr:from>
    <xdr:to>
      <xdr:col>15</xdr:col>
      <xdr:colOff>763582</xdr:colOff>
      <xdr:row>30</xdr:row>
      <xdr:rowOff>155311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AFBE86CA-0305-4AC7-AB46-C45BA4E5DB4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16</xdr:col>
      <xdr:colOff>89249</xdr:colOff>
      <xdr:row>31</xdr:row>
      <xdr:rowOff>100360</xdr:rowOff>
    </xdr:from>
    <xdr:to>
      <xdr:col>19</xdr:col>
      <xdr:colOff>885430</xdr:colOff>
      <xdr:row>43</xdr:row>
      <xdr:rowOff>168294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B9B3E41B-3FD7-4084-91EC-2EC2CF1120F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16</xdr:col>
      <xdr:colOff>86005</xdr:colOff>
      <xdr:row>43</xdr:row>
      <xdr:rowOff>169831</xdr:rowOff>
    </xdr:from>
    <xdr:to>
      <xdr:col>19</xdr:col>
      <xdr:colOff>884091</xdr:colOff>
      <xdr:row>57</xdr:row>
      <xdr:rowOff>24261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A824735A-4AA7-42BB-AC95-DF497D48721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15</xdr:col>
      <xdr:colOff>828674</xdr:colOff>
      <xdr:row>2</xdr:row>
      <xdr:rowOff>157583</xdr:rowOff>
    </xdr:from>
    <xdr:to>
      <xdr:col>19</xdr:col>
      <xdr:colOff>881062</xdr:colOff>
      <xdr:row>16</xdr:row>
      <xdr:rowOff>7271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0F72AAFF-0DBF-4912-9227-B24E1E6BED6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16</xdr:col>
      <xdr:colOff>80962</xdr:colOff>
      <xdr:row>16</xdr:row>
      <xdr:rowOff>105142</xdr:rowOff>
    </xdr:from>
    <xdr:to>
      <xdr:col>19</xdr:col>
      <xdr:colOff>897765</xdr:colOff>
      <xdr:row>30</xdr:row>
      <xdr:rowOff>154123</xdr:rowOff>
    </xdr:to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DE6EC3FB-7D81-4167-A887-0F8A2B40C44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12</xdr:col>
      <xdr:colOff>175846</xdr:colOff>
      <xdr:row>31</xdr:row>
      <xdr:rowOff>152034</xdr:rowOff>
    </xdr:from>
    <xdr:to>
      <xdr:col>15</xdr:col>
      <xdr:colOff>718565</xdr:colOff>
      <xdr:row>43</xdr:row>
      <xdr:rowOff>163193</xdr:rowOff>
    </xdr:to>
    <xdr:graphicFrame macro="">
      <xdr:nvGraphicFramePr>
        <xdr:cNvPr id="8" name="Chart 7">
          <a:extLst>
            <a:ext uri="{FF2B5EF4-FFF2-40B4-BE49-F238E27FC236}">
              <a16:creationId xmlns:a16="http://schemas.microsoft.com/office/drawing/2014/main" id="{2EE50DBF-E569-46F1-BD07-524CD613F67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>
    <xdr:from>
      <xdr:col>12</xdr:col>
      <xdr:colOff>179662</xdr:colOff>
      <xdr:row>43</xdr:row>
      <xdr:rowOff>167485</xdr:rowOff>
    </xdr:from>
    <xdr:to>
      <xdr:col>15</xdr:col>
      <xdr:colOff>724286</xdr:colOff>
      <xdr:row>57</xdr:row>
      <xdr:rowOff>116732</xdr:rowOff>
    </xdr:to>
    <xdr:graphicFrame macro="">
      <xdr:nvGraphicFramePr>
        <xdr:cNvPr id="9" name="Chart 8">
          <a:extLst>
            <a:ext uri="{FF2B5EF4-FFF2-40B4-BE49-F238E27FC236}">
              <a16:creationId xmlns:a16="http://schemas.microsoft.com/office/drawing/2014/main" id="{C16E2684-BFEB-4BBA-BA3D-2056D9E0530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4B27869-60E0-43BF-B7FC-18286E7E1076}">
  <dimension ref="A1:Z98"/>
  <sheetViews>
    <sheetView tabSelected="1" zoomScale="55" zoomScaleNormal="55" workbookViewId="0">
      <selection activeCell="L28" sqref="L28"/>
    </sheetView>
  </sheetViews>
  <sheetFormatPr defaultRowHeight="14.4" x14ac:dyDescent="0.3"/>
  <cols>
    <col min="1" max="1" width="3" style="1" customWidth="1"/>
    <col min="2" max="2" width="13" customWidth="1"/>
    <col min="3" max="3" width="19.109375" customWidth="1"/>
    <col min="4" max="4" width="18.44140625" customWidth="1"/>
    <col min="5" max="5" width="18.6640625" customWidth="1"/>
    <col min="6" max="6" width="21.109375" customWidth="1"/>
    <col min="7" max="7" width="24.88671875" customWidth="1"/>
    <col min="8" max="8" width="23.6640625" customWidth="1"/>
    <col min="9" max="10" width="20.6640625" customWidth="1"/>
    <col min="11" max="11" width="21.88671875" customWidth="1"/>
    <col min="12" max="12" width="20.33203125" customWidth="1"/>
    <col min="13" max="13" width="20.5546875" customWidth="1"/>
    <col min="14" max="14" width="21.6640625" customWidth="1"/>
    <col min="15" max="15" width="18.6640625" customWidth="1"/>
    <col min="17" max="17" width="12.44140625" customWidth="1"/>
    <col min="18" max="18" width="16.5546875" customWidth="1"/>
    <col min="19" max="19" width="15.88671875" customWidth="1"/>
    <col min="20" max="20" width="14.6640625" customWidth="1"/>
    <col min="21" max="21" width="14" customWidth="1"/>
    <col min="22" max="22" width="13.109375" customWidth="1"/>
    <col min="23" max="23" width="15.88671875" customWidth="1"/>
    <col min="24" max="24" width="16.6640625" customWidth="1"/>
    <col min="25" max="25" width="15.44140625" customWidth="1"/>
  </cols>
  <sheetData>
    <row r="1" spans="2:16" x14ac:dyDescent="0.3">
      <c r="H1" s="4" t="s">
        <v>8</v>
      </c>
    </row>
    <row r="2" spans="2:16" x14ac:dyDescent="0.3">
      <c r="H2" s="5" t="s">
        <v>9</v>
      </c>
    </row>
    <row r="3" spans="2:16" x14ac:dyDescent="0.3">
      <c r="B3" s="1" t="s">
        <v>1</v>
      </c>
      <c r="C3" s="1"/>
      <c r="D3" s="1"/>
      <c r="E3" s="1"/>
      <c r="F3" s="1"/>
      <c r="G3" s="1"/>
      <c r="H3" s="3"/>
      <c r="I3" s="1"/>
      <c r="J3" s="1"/>
      <c r="K3" s="1"/>
      <c r="L3" s="1"/>
      <c r="M3" s="1"/>
      <c r="N3" s="1"/>
      <c r="O3" s="1"/>
      <c r="P3" s="1"/>
    </row>
    <row r="4" spans="2:16" ht="27.6" x14ac:dyDescent="0.3">
      <c r="B4" s="12" t="s">
        <v>10</v>
      </c>
      <c r="C4" s="12" t="s">
        <v>5</v>
      </c>
      <c r="D4" s="12" t="s">
        <v>6</v>
      </c>
      <c r="E4" s="12" t="s">
        <v>0</v>
      </c>
      <c r="F4" s="16" t="s">
        <v>11</v>
      </c>
      <c r="G4" s="16" t="s">
        <v>29</v>
      </c>
      <c r="H4" s="16" t="s">
        <v>30</v>
      </c>
      <c r="I4" s="13" t="s">
        <v>38</v>
      </c>
      <c r="J4" s="12" t="s">
        <v>39</v>
      </c>
      <c r="K4" s="12" t="s">
        <v>34</v>
      </c>
      <c r="L4" s="12" t="s">
        <v>36</v>
      </c>
      <c r="M4" s="17" t="s">
        <v>37</v>
      </c>
      <c r="N4" s="1"/>
      <c r="O4" s="1"/>
      <c r="P4" s="1"/>
    </row>
    <row r="5" spans="2:16" x14ac:dyDescent="0.3">
      <c r="B5" s="1" t="s">
        <v>12</v>
      </c>
      <c r="C5" s="6">
        <v>1.86943505833322</v>
      </c>
      <c r="D5" s="6">
        <v>1.9314296164550899</v>
      </c>
      <c r="E5" s="6">
        <v>9.4513218106104094E-2</v>
      </c>
      <c r="F5" s="10">
        <v>23.15789474</v>
      </c>
      <c r="G5" s="1">
        <v>6055.55</v>
      </c>
      <c r="H5" s="10"/>
      <c r="I5" s="1"/>
      <c r="J5" s="1"/>
      <c r="L5" s="10">
        <v>112.55085055666601</v>
      </c>
      <c r="M5" s="2"/>
      <c r="N5" s="1"/>
      <c r="O5" s="1"/>
      <c r="P5" s="1"/>
    </row>
    <row r="6" spans="2:16" x14ac:dyDescent="0.3">
      <c r="B6" s="1" t="s">
        <v>13</v>
      </c>
      <c r="C6" s="6">
        <v>1.3545954270153699</v>
      </c>
      <c r="D6" s="6">
        <v>1.0089470650494099</v>
      </c>
      <c r="E6" s="6">
        <v>4.2663094228711902E-2</v>
      </c>
      <c r="F6" s="10">
        <v>23</v>
      </c>
      <c r="G6" s="1">
        <v>22</v>
      </c>
      <c r="H6" s="1"/>
      <c r="I6" s="1"/>
      <c r="J6" s="1"/>
      <c r="L6" s="10">
        <v>117.49299123</v>
      </c>
      <c r="M6" s="2"/>
      <c r="N6" s="1"/>
      <c r="O6" s="1"/>
      <c r="P6" s="1"/>
    </row>
    <row r="7" spans="2:16" x14ac:dyDescent="0.3">
      <c r="B7" s="1" t="s">
        <v>14</v>
      </c>
      <c r="C7" s="6"/>
      <c r="D7" s="6"/>
      <c r="E7" s="6"/>
      <c r="F7" s="10"/>
      <c r="G7" s="1">
        <v>21.75</v>
      </c>
      <c r="H7" s="1">
        <v>6099.3</v>
      </c>
      <c r="I7" s="15">
        <v>118.22733427999999</v>
      </c>
      <c r="J7" s="15">
        <v>2.4954469283408098</v>
      </c>
      <c r="K7" s="1">
        <v>60.710430000000002</v>
      </c>
      <c r="L7" s="10">
        <v>119.152945989999</v>
      </c>
      <c r="M7" s="2">
        <f t="shared" ref="M7:M33" si="0">L7/I7</f>
        <v>1.0078290838208943</v>
      </c>
      <c r="N7" s="6"/>
      <c r="O7" s="1"/>
      <c r="P7" s="1"/>
    </row>
    <row r="8" spans="2:16" x14ac:dyDescent="0.3">
      <c r="B8" s="1" t="s">
        <v>15</v>
      </c>
      <c r="C8" s="6"/>
      <c r="D8" s="6"/>
      <c r="E8" s="6"/>
      <c r="F8" s="10"/>
      <c r="G8" s="1">
        <v>48.5</v>
      </c>
      <c r="H8" s="1">
        <v>48.5</v>
      </c>
      <c r="I8" s="15">
        <v>108.51115272</v>
      </c>
      <c r="J8" s="15">
        <v>4.9705418000804897</v>
      </c>
      <c r="K8" s="1">
        <v>45.71622</v>
      </c>
      <c r="L8" s="10">
        <v>109.40601132</v>
      </c>
      <c r="M8" s="2">
        <f t="shared" si="0"/>
        <v>1.008246697022094</v>
      </c>
      <c r="N8" s="6"/>
      <c r="O8" s="1"/>
      <c r="P8" s="1"/>
    </row>
    <row r="9" spans="2:16" x14ac:dyDescent="0.3">
      <c r="B9" s="1" t="s">
        <v>16</v>
      </c>
      <c r="C9" s="6"/>
      <c r="D9" s="6"/>
      <c r="E9" s="6"/>
      <c r="F9" s="10"/>
      <c r="G9" s="1">
        <v>28.75</v>
      </c>
      <c r="H9" s="1">
        <v>28.75</v>
      </c>
      <c r="I9" s="15">
        <v>106.97060942</v>
      </c>
      <c r="J9" s="15">
        <v>18.738059749368901</v>
      </c>
      <c r="K9" s="1">
        <v>46.063560000000003</v>
      </c>
      <c r="L9" s="10">
        <v>112.21273027333299</v>
      </c>
      <c r="M9" s="2">
        <f t="shared" si="0"/>
        <v>1.0490052443540898</v>
      </c>
      <c r="N9" s="6"/>
      <c r="O9" s="1"/>
      <c r="P9" s="1"/>
    </row>
    <row r="10" spans="2:16" x14ac:dyDescent="0.3">
      <c r="B10" s="1" t="s">
        <v>17</v>
      </c>
      <c r="C10" s="6">
        <v>1.31746197777344</v>
      </c>
      <c r="D10" s="6">
        <v>0.66698565105034602</v>
      </c>
      <c r="E10" s="6">
        <v>8.8732929175135894E-2</v>
      </c>
      <c r="F10" s="10">
        <v>10.34482759</v>
      </c>
      <c r="G10" s="1">
        <v>21</v>
      </c>
      <c r="H10" s="1">
        <v>21</v>
      </c>
      <c r="I10" s="15">
        <v>113.72040256</v>
      </c>
      <c r="J10" s="15">
        <v>8.1761484496582497</v>
      </c>
      <c r="K10" s="1">
        <v>47.354999999999997</v>
      </c>
      <c r="L10" s="10">
        <v>115.079453056666</v>
      </c>
      <c r="M10" s="2">
        <f t="shared" si="0"/>
        <v>1.0119508062412015</v>
      </c>
      <c r="N10" s="6"/>
      <c r="O10" s="1"/>
      <c r="P10" s="1"/>
    </row>
    <row r="11" spans="2:16" x14ac:dyDescent="0.3">
      <c r="B11" s="1" t="s">
        <v>18</v>
      </c>
      <c r="C11" s="6">
        <v>0.89735303995633098</v>
      </c>
      <c r="D11" s="6">
        <v>0.19762137224995299</v>
      </c>
      <c r="E11" s="6">
        <v>-1.9463558010346702E-2</v>
      </c>
      <c r="F11" s="10">
        <v>26.086956520000001</v>
      </c>
      <c r="G11" s="1">
        <v>21.5</v>
      </c>
      <c r="H11" s="1"/>
      <c r="I11" s="15"/>
      <c r="J11" s="15"/>
      <c r="K11" s="1"/>
      <c r="L11" s="10">
        <v>119.222878299999</v>
      </c>
      <c r="M11" s="2"/>
      <c r="N11" s="6"/>
      <c r="O11" s="1"/>
      <c r="P11" s="1"/>
    </row>
    <row r="12" spans="2:16" x14ac:dyDescent="0.3">
      <c r="B12" s="1" t="s">
        <v>19</v>
      </c>
      <c r="C12" s="6">
        <v>1.39880081037808</v>
      </c>
      <c r="D12" s="6">
        <v>0.54807771119966198</v>
      </c>
      <c r="E12" s="6">
        <v>0.10415722716452799</v>
      </c>
      <c r="F12" s="10">
        <v>8.125</v>
      </c>
      <c r="G12" s="1">
        <v>75</v>
      </c>
      <c r="H12" s="1">
        <v>96.5</v>
      </c>
      <c r="I12" s="15">
        <v>112.66319882000001</v>
      </c>
      <c r="J12" s="15">
        <v>19.594840851392899</v>
      </c>
      <c r="K12" s="1">
        <v>101.105</v>
      </c>
      <c r="L12" s="10">
        <v>115.360934813333</v>
      </c>
      <c r="M12" s="2">
        <f t="shared" si="0"/>
        <v>1.0239451393319936</v>
      </c>
      <c r="N12" s="6"/>
      <c r="O12" s="1"/>
      <c r="P12" s="1"/>
    </row>
    <row r="13" spans="2:16" x14ac:dyDescent="0.3">
      <c r="B13" s="1" t="s">
        <v>20</v>
      </c>
      <c r="C13" s="6">
        <v>1.2210038373368299</v>
      </c>
      <c r="D13" s="6">
        <v>0.10106112243990099</v>
      </c>
      <c r="E13" s="6">
        <v>4.66251429291673E-2</v>
      </c>
      <c r="F13" s="10">
        <v>12.67</v>
      </c>
      <c r="G13" s="1">
        <v>47.5</v>
      </c>
      <c r="H13" s="1">
        <v>47.5</v>
      </c>
      <c r="I13" s="15">
        <v>114.89097618</v>
      </c>
      <c r="J13" s="15">
        <v>17.2552427011953</v>
      </c>
      <c r="K13" s="1">
        <v>44.466000000000001</v>
      </c>
      <c r="L13" s="10">
        <v>118.05576815000001</v>
      </c>
      <c r="M13" s="2">
        <f t="shared" si="0"/>
        <v>1.0275460447393339</v>
      </c>
      <c r="N13" s="6"/>
      <c r="O13" s="1"/>
      <c r="P13" s="1"/>
    </row>
    <row r="14" spans="2:16" x14ac:dyDescent="0.3">
      <c r="B14" s="1" t="s">
        <v>21</v>
      </c>
      <c r="C14" s="6">
        <v>1.5249018262283101</v>
      </c>
      <c r="D14" s="6">
        <v>0.50902572287082404</v>
      </c>
      <c r="E14" s="6">
        <v>9.0894558490112708E-3</v>
      </c>
      <c r="F14" s="10">
        <v>42</v>
      </c>
      <c r="G14" s="1">
        <v>23.5</v>
      </c>
      <c r="H14" s="1">
        <v>23.5</v>
      </c>
      <c r="I14" s="15">
        <v>116.55531655999999</v>
      </c>
      <c r="J14" s="15">
        <v>17.024424898784201</v>
      </c>
      <c r="K14" s="1">
        <v>47.503</v>
      </c>
      <c r="L14" s="10">
        <v>119.77022043333299</v>
      </c>
      <c r="M14" s="2">
        <f t="shared" si="0"/>
        <v>1.0275826446035865</v>
      </c>
      <c r="N14" s="6"/>
      <c r="O14" s="1"/>
      <c r="P14" s="1"/>
    </row>
    <row r="15" spans="2:16" x14ac:dyDescent="0.3">
      <c r="B15" s="1" t="s">
        <v>22</v>
      </c>
      <c r="C15" s="6"/>
      <c r="D15" s="6"/>
      <c r="E15" s="6"/>
      <c r="F15" s="10"/>
      <c r="G15" s="1">
        <v>27.75</v>
      </c>
      <c r="H15" s="1"/>
      <c r="I15" s="15"/>
      <c r="J15" s="15"/>
      <c r="K15" s="1"/>
      <c r="L15" s="10">
        <v>120.030707316666</v>
      </c>
      <c r="M15" s="2"/>
      <c r="N15" s="6"/>
      <c r="O15" s="1"/>
      <c r="P15" s="1"/>
    </row>
    <row r="16" spans="2:16" x14ac:dyDescent="0.3">
      <c r="B16" s="1" t="s">
        <v>23</v>
      </c>
      <c r="C16" s="6"/>
      <c r="D16" s="6"/>
      <c r="E16" s="6"/>
      <c r="F16" s="10"/>
      <c r="G16" s="1">
        <v>20</v>
      </c>
      <c r="H16" s="1">
        <v>47.75</v>
      </c>
      <c r="I16" s="15">
        <v>118.40602251999999</v>
      </c>
      <c r="J16" s="15">
        <v>15.1069524712688</v>
      </c>
      <c r="K16" s="1">
        <v>54.055999999999997</v>
      </c>
      <c r="L16" s="10">
        <v>125.17995179</v>
      </c>
      <c r="M16" s="2">
        <f t="shared" si="0"/>
        <v>1.0572093304532362</v>
      </c>
      <c r="N16" s="1"/>
      <c r="O16" s="1"/>
      <c r="P16" s="1"/>
    </row>
    <row r="17" spans="2:16" x14ac:dyDescent="0.3">
      <c r="B17" s="1" t="s">
        <v>24</v>
      </c>
      <c r="C17" s="6">
        <v>1.36678278361715</v>
      </c>
      <c r="D17" s="6">
        <v>0.463447965306029</v>
      </c>
      <c r="E17" s="6">
        <v>2.0373962034653699E-2</v>
      </c>
      <c r="F17" s="10">
        <v>20.666666670000001</v>
      </c>
      <c r="G17" s="1">
        <v>23.75</v>
      </c>
      <c r="H17" s="1">
        <v>23.75</v>
      </c>
      <c r="I17" s="15">
        <v>115.75512236</v>
      </c>
      <c r="J17" s="15">
        <v>21.9579587943592</v>
      </c>
      <c r="K17" s="1">
        <v>53.783999999999999</v>
      </c>
      <c r="L17" s="10">
        <v>128.631154973333</v>
      </c>
      <c r="M17" s="2">
        <f t="shared" si="0"/>
        <v>1.111235100018195</v>
      </c>
      <c r="N17" s="1"/>
      <c r="O17" s="1"/>
      <c r="P17" s="1"/>
    </row>
    <row r="18" spans="2:16" x14ac:dyDescent="0.3">
      <c r="B18" s="1" t="s">
        <v>25</v>
      </c>
      <c r="C18" s="6"/>
      <c r="D18" s="6"/>
      <c r="E18" s="6"/>
      <c r="F18" s="10"/>
      <c r="G18" s="1">
        <v>23.5</v>
      </c>
      <c r="H18" s="1">
        <v>23.5</v>
      </c>
      <c r="I18" s="15">
        <v>121.12197168</v>
      </c>
      <c r="J18" s="15">
        <v>16.640165980770899</v>
      </c>
      <c r="K18" s="1">
        <v>53.783999999999999</v>
      </c>
      <c r="L18" s="10">
        <v>127.417386873333</v>
      </c>
      <c r="M18" s="2">
        <f t="shared" si="0"/>
        <v>1.0519758315193652</v>
      </c>
      <c r="N18" s="1"/>
      <c r="O18" s="1"/>
      <c r="P18" s="1"/>
    </row>
    <row r="19" spans="2:16" x14ac:dyDescent="0.3">
      <c r="B19" s="1" t="s">
        <v>26</v>
      </c>
      <c r="C19" s="6"/>
      <c r="D19" s="6"/>
      <c r="E19" s="6"/>
      <c r="F19" s="10"/>
      <c r="G19" s="1">
        <v>24</v>
      </c>
      <c r="I19" s="15"/>
      <c r="J19" s="15"/>
      <c r="L19" s="10">
        <v>122.761972003333</v>
      </c>
      <c r="M19" s="2"/>
      <c r="N19" s="1"/>
      <c r="O19" s="1"/>
      <c r="P19" s="1"/>
    </row>
    <row r="20" spans="2:16" x14ac:dyDescent="0.3">
      <c r="B20" s="1" t="s">
        <v>12</v>
      </c>
      <c r="C20" s="6">
        <v>1.8695993339197901</v>
      </c>
      <c r="D20" s="6">
        <v>0.44896728093636801</v>
      </c>
      <c r="E20" s="6">
        <v>2.4947102971666898E-2</v>
      </c>
      <c r="F20" s="10">
        <v>16</v>
      </c>
      <c r="G20" s="1"/>
      <c r="H20" s="10"/>
      <c r="I20" s="15"/>
      <c r="J20" s="15"/>
      <c r="L20" s="10">
        <v>112.55085055666601</v>
      </c>
      <c r="M20" s="2"/>
      <c r="N20" s="1"/>
      <c r="O20" s="1"/>
      <c r="P20" s="1"/>
    </row>
    <row r="21" spans="2:16" x14ac:dyDescent="0.3">
      <c r="B21" s="1" t="s">
        <v>13</v>
      </c>
      <c r="C21" s="6">
        <v>1.21795864622288</v>
      </c>
      <c r="D21" s="6">
        <v>1.5264059910121399</v>
      </c>
      <c r="E21" s="6">
        <v>9.6293174744729593E-3</v>
      </c>
      <c r="F21" s="10">
        <v>21.5</v>
      </c>
      <c r="G21" s="1">
        <v>22</v>
      </c>
      <c r="H21" s="1"/>
      <c r="I21" s="15"/>
      <c r="J21" s="15"/>
      <c r="L21" s="10">
        <v>117.49299123</v>
      </c>
      <c r="M21" s="2"/>
      <c r="N21" s="6"/>
      <c r="O21" s="1"/>
      <c r="P21" s="1"/>
    </row>
    <row r="22" spans="2:16" x14ac:dyDescent="0.3">
      <c r="B22" s="1" t="s">
        <v>14</v>
      </c>
      <c r="C22" s="6">
        <v>1.0299659938988901</v>
      </c>
      <c r="D22" s="6">
        <v>0.71671353985517805</v>
      </c>
      <c r="E22" s="6">
        <v>0.14608753400636901</v>
      </c>
      <c r="F22" s="10">
        <v>12.222222220000001</v>
      </c>
      <c r="G22" s="1">
        <v>21.75</v>
      </c>
      <c r="H22" s="1"/>
      <c r="I22" s="15">
        <v>118.22733427999999</v>
      </c>
      <c r="J22" s="15">
        <v>2.4954469283408098</v>
      </c>
      <c r="K22" s="1">
        <v>60.710430000000002</v>
      </c>
      <c r="L22" s="10">
        <v>119.152945989999</v>
      </c>
      <c r="M22" s="2">
        <f t="shared" si="0"/>
        <v>1.0078290838208943</v>
      </c>
      <c r="N22" s="6"/>
      <c r="O22" s="1"/>
      <c r="P22" s="1"/>
    </row>
    <row r="23" spans="2:16" x14ac:dyDescent="0.3">
      <c r="B23" s="1" t="s">
        <v>15</v>
      </c>
      <c r="C23" s="6"/>
      <c r="D23" s="6"/>
      <c r="E23" s="6"/>
      <c r="F23" s="10"/>
      <c r="G23" s="1">
        <v>48.5</v>
      </c>
      <c r="H23" s="1">
        <v>48.5</v>
      </c>
      <c r="I23" s="15">
        <v>108.51115272</v>
      </c>
      <c r="J23" s="15">
        <v>4.9705418000804897</v>
      </c>
      <c r="K23" s="1">
        <v>45.71622</v>
      </c>
      <c r="L23" s="10">
        <v>109.40601132</v>
      </c>
      <c r="M23" s="2">
        <f t="shared" si="0"/>
        <v>1.008246697022094</v>
      </c>
      <c r="N23" s="6"/>
      <c r="O23" s="1"/>
      <c r="P23" s="1"/>
    </row>
    <row r="24" spans="2:16" x14ac:dyDescent="0.3">
      <c r="B24" s="1" t="s">
        <v>16</v>
      </c>
      <c r="C24" s="6"/>
      <c r="D24" s="6"/>
      <c r="E24" s="6"/>
      <c r="F24" s="10"/>
      <c r="G24" s="1">
        <v>28.75</v>
      </c>
      <c r="H24" s="1">
        <v>28.75</v>
      </c>
      <c r="I24" s="15">
        <v>106.97060942</v>
      </c>
      <c r="J24" s="15">
        <v>18.738059749368901</v>
      </c>
      <c r="K24" s="1">
        <v>46.063560000000003</v>
      </c>
      <c r="L24" s="10">
        <v>112.21273027333299</v>
      </c>
      <c r="M24" s="2">
        <f t="shared" si="0"/>
        <v>1.0490052443540898</v>
      </c>
      <c r="N24" s="6"/>
      <c r="O24" s="1"/>
      <c r="P24" s="1"/>
    </row>
    <row r="25" spans="2:16" x14ac:dyDescent="0.3">
      <c r="B25" s="1" t="s">
        <v>17</v>
      </c>
      <c r="C25" s="6">
        <v>1.1534447144942801</v>
      </c>
      <c r="D25" s="6">
        <v>0.678678630991426</v>
      </c>
      <c r="E25" s="6">
        <v>1.27691539373017E-2</v>
      </c>
      <c r="F25" s="10">
        <v>11.25</v>
      </c>
      <c r="G25" s="1">
        <v>21</v>
      </c>
      <c r="H25" s="1">
        <v>21</v>
      </c>
      <c r="I25" s="15">
        <v>113.72040256</v>
      </c>
      <c r="J25" s="15">
        <v>8.1761484496582497</v>
      </c>
      <c r="K25" s="1">
        <v>47.354999999999997</v>
      </c>
      <c r="L25" s="10">
        <v>115.079453056666</v>
      </c>
      <c r="M25" s="2">
        <f t="shared" si="0"/>
        <v>1.0119508062412015</v>
      </c>
      <c r="N25" s="6"/>
      <c r="O25" s="1"/>
      <c r="P25" s="1"/>
    </row>
    <row r="26" spans="2:16" x14ac:dyDescent="0.3">
      <c r="B26" s="1" t="s">
        <v>18</v>
      </c>
      <c r="C26" s="6">
        <v>1.6625275928143599</v>
      </c>
      <c r="D26" s="6">
        <v>0.81343884511072295</v>
      </c>
      <c r="E26" s="6">
        <v>6.7576112725014403E-2</v>
      </c>
      <c r="F26" s="10">
        <v>15</v>
      </c>
      <c r="G26" s="1">
        <v>21.5</v>
      </c>
      <c r="H26" s="1"/>
      <c r="I26" s="15"/>
      <c r="J26" s="15"/>
      <c r="K26" s="1"/>
      <c r="L26" s="10">
        <v>119.222878299999</v>
      </c>
      <c r="M26" s="2"/>
      <c r="N26" s="6"/>
      <c r="O26" s="1"/>
      <c r="P26" s="1"/>
    </row>
    <row r="27" spans="2:16" x14ac:dyDescent="0.3">
      <c r="B27" s="1" t="s">
        <v>19</v>
      </c>
      <c r="C27" s="6">
        <v>0.83858009935182098</v>
      </c>
      <c r="D27" s="6">
        <v>-1.07855599689062</v>
      </c>
      <c r="E27" s="6">
        <v>-0.35416666689988402</v>
      </c>
      <c r="F27" s="10">
        <v>11.612903230000001</v>
      </c>
      <c r="G27" s="1">
        <v>75</v>
      </c>
      <c r="H27" s="1">
        <v>96.5</v>
      </c>
      <c r="I27" s="15">
        <v>112.66319882000001</v>
      </c>
      <c r="J27" s="15">
        <v>19.594840851392899</v>
      </c>
      <c r="K27" s="1">
        <v>101.105</v>
      </c>
      <c r="L27" s="10">
        <v>115.360934813333</v>
      </c>
      <c r="M27" s="2">
        <f t="shared" si="0"/>
        <v>1.0239451393319936</v>
      </c>
      <c r="N27" s="6"/>
      <c r="O27" s="1"/>
      <c r="P27" s="1"/>
    </row>
    <row r="28" spans="2:16" x14ac:dyDescent="0.3">
      <c r="B28" s="1" t="s">
        <v>20</v>
      </c>
      <c r="C28" s="6">
        <v>2.31938512736013</v>
      </c>
      <c r="D28" s="6">
        <v>1.34776836410395</v>
      </c>
      <c r="E28" s="6">
        <v>4.5646344187588998E-2</v>
      </c>
      <c r="F28" s="10">
        <v>14.545454550000001</v>
      </c>
      <c r="G28" s="1">
        <v>47.5</v>
      </c>
      <c r="H28" s="1">
        <v>47.5</v>
      </c>
      <c r="I28" s="15">
        <v>114.89097618</v>
      </c>
      <c r="J28" s="15">
        <v>17.2552427011953</v>
      </c>
      <c r="K28" s="1">
        <v>44.466000000000001</v>
      </c>
      <c r="L28" s="10">
        <v>118.05576815000001</v>
      </c>
      <c r="M28" s="2">
        <f t="shared" si="0"/>
        <v>1.0275460447393339</v>
      </c>
      <c r="N28" s="6"/>
      <c r="O28" s="1"/>
      <c r="P28" s="1"/>
    </row>
    <row r="29" spans="2:16" x14ac:dyDescent="0.3">
      <c r="B29" s="1" t="s">
        <v>21</v>
      </c>
      <c r="C29" s="6">
        <v>1.66955637894203</v>
      </c>
      <c r="D29" s="6">
        <v>0.55456789410428697</v>
      </c>
      <c r="E29" s="6">
        <v>1.47909285306715E-2</v>
      </c>
      <c r="F29" s="10">
        <v>45</v>
      </c>
      <c r="G29" s="1">
        <v>23.5</v>
      </c>
      <c r="H29" s="1">
        <v>23.5</v>
      </c>
      <c r="I29" s="15">
        <v>116.55531655999999</v>
      </c>
      <c r="J29" s="15">
        <v>17.024424898784201</v>
      </c>
      <c r="K29" s="1">
        <v>47.503</v>
      </c>
      <c r="L29" s="10">
        <v>119.77022043333299</v>
      </c>
      <c r="M29" s="2">
        <f t="shared" si="0"/>
        <v>1.0275826446035865</v>
      </c>
      <c r="N29" s="6"/>
      <c r="O29" s="1"/>
      <c r="P29" s="1"/>
    </row>
    <row r="30" spans="2:16" x14ac:dyDescent="0.3">
      <c r="B30" s="1" t="s">
        <v>22</v>
      </c>
      <c r="C30" s="6"/>
      <c r="D30" s="6">
        <v>0.70468449804027899</v>
      </c>
      <c r="E30" s="6">
        <v>3.5842816756479302E-2</v>
      </c>
      <c r="F30" s="10">
        <v>20</v>
      </c>
      <c r="G30" s="1">
        <v>27.75</v>
      </c>
      <c r="H30" s="1"/>
      <c r="I30" s="15"/>
      <c r="J30" s="15"/>
      <c r="K30" s="1"/>
      <c r="L30" s="10">
        <v>120.030707316666</v>
      </c>
      <c r="M30" s="2"/>
      <c r="N30" s="1"/>
      <c r="O30" s="1"/>
      <c r="P30" s="1"/>
    </row>
    <row r="31" spans="2:16" x14ac:dyDescent="0.3">
      <c r="B31" s="1" t="s">
        <v>23</v>
      </c>
      <c r="C31" s="6">
        <v>0.90805045415642205</v>
      </c>
      <c r="D31" s="6">
        <v>-0.373253605455523</v>
      </c>
      <c r="E31" s="6">
        <v>-4.0383997186219003E-2</v>
      </c>
      <c r="F31" s="10">
        <v>4.375</v>
      </c>
      <c r="G31" s="1">
        <v>20</v>
      </c>
      <c r="H31" s="1">
        <v>47.75</v>
      </c>
      <c r="I31" s="15">
        <v>118.40602251999999</v>
      </c>
      <c r="J31" s="15">
        <v>15.1069524712688</v>
      </c>
      <c r="K31" s="1">
        <v>54.055999999999997</v>
      </c>
      <c r="L31" s="10">
        <v>125.17995179</v>
      </c>
      <c r="M31" s="2">
        <f t="shared" si="0"/>
        <v>1.0572093304532362</v>
      </c>
      <c r="N31" s="1"/>
      <c r="O31" s="1"/>
      <c r="P31" s="1"/>
    </row>
    <row r="32" spans="2:16" x14ac:dyDescent="0.3">
      <c r="B32" s="1" t="s">
        <v>24</v>
      </c>
      <c r="C32" s="6">
        <v>1.0862889042163599</v>
      </c>
      <c r="D32" s="6">
        <v>0.63056904760694898</v>
      </c>
      <c r="E32" s="6">
        <v>3.6679485231980898E-2</v>
      </c>
      <c r="F32" s="10">
        <v>24.375</v>
      </c>
      <c r="G32" s="1">
        <v>23.75</v>
      </c>
      <c r="H32" s="1">
        <v>23.75</v>
      </c>
      <c r="I32" s="15">
        <v>115.75512236</v>
      </c>
      <c r="J32" s="15">
        <v>21.9579587943592</v>
      </c>
      <c r="K32" s="1">
        <v>53.783999999999999</v>
      </c>
      <c r="L32" s="10">
        <v>128.631154973333</v>
      </c>
      <c r="M32" s="2">
        <f t="shared" si="0"/>
        <v>1.111235100018195</v>
      </c>
      <c r="N32" s="1"/>
      <c r="O32" s="1"/>
      <c r="P32" s="1"/>
    </row>
    <row r="33" spans="2:16" x14ac:dyDescent="0.3">
      <c r="B33" s="1" t="s">
        <v>25</v>
      </c>
      <c r="C33" s="6">
        <v>0.39254775269290398</v>
      </c>
      <c r="D33" s="6">
        <v>-0.623899602892661</v>
      </c>
      <c r="E33" s="6">
        <v>-0.76160033358371604</v>
      </c>
      <c r="F33" s="10">
        <v>5.7142857139999998</v>
      </c>
      <c r="G33" s="1">
        <v>23.5</v>
      </c>
      <c r="H33" s="1">
        <v>23.5</v>
      </c>
      <c r="I33" s="15">
        <v>121.12197168</v>
      </c>
      <c r="J33" s="15">
        <v>16.640165980770899</v>
      </c>
      <c r="K33" s="1">
        <v>53.783999999999999</v>
      </c>
      <c r="L33" s="10">
        <v>127.417386873333</v>
      </c>
      <c r="M33" s="2">
        <f t="shared" si="0"/>
        <v>1.0519758315193652</v>
      </c>
      <c r="N33" s="1"/>
      <c r="O33" s="1"/>
      <c r="P33" s="1"/>
    </row>
    <row r="34" spans="2:16" x14ac:dyDescent="0.3">
      <c r="B34" s="1"/>
      <c r="C34" s="2"/>
      <c r="D34" s="2"/>
      <c r="E34" s="2"/>
      <c r="F34" s="1"/>
      <c r="G34" s="1"/>
      <c r="H34" s="1"/>
      <c r="M34" s="2"/>
      <c r="N34" s="1"/>
      <c r="O34" s="1"/>
      <c r="P34" s="1"/>
    </row>
    <row r="35" spans="2:16" x14ac:dyDescent="0.3">
      <c r="B35" s="11" t="s">
        <v>2</v>
      </c>
      <c r="C35" s="1"/>
      <c r="D35" s="1"/>
      <c r="E35" s="1"/>
      <c r="F35" s="1"/>
      <c r="G35" s="6"/>
      <c r="H35" s="1"/>
      <c r="I35" s="1"/>
      <c r="J35" s="1"/>
      <c r="K35" s="2"/>
      <c r="L35" s="2"/>
      <c r="M35" s="2"/>
      <c r="N35" s="6"/>
      <c r="O35" s="1"/>
      <c r="P35" s="1"/>
    </row>
    <row r="36" spans="2:16" ht="28.8" x14ac:dyDescent="0.3">
      <c r="B36" s="8" t="s">
        <v>10</v>
      </c>
      <c r="C36" s="8" t="s">
        <v>5</v>
      </c>
      <c r="D36" s="8" t="s">
        <v>6</v>
      </c>
      <c r="E36" s="8" t="s">
        <v>0</v>
      </c>
      <c r="F36" s="9" t="s">
        <v>11</v>
      </c>
      <c r="G36" s="14" t="s">
        <v>29</v>
      </c>
      <c r="H36" s="14" t="s">
        <v>30</v>
      </c>
      <c r="I36" s="13" t="s">
        <v>38</v>
      </c>
      <c r="J36" s="12" t="s">
        <v>39</v>
      </c>
      <c r="K36" s="12" t="s">
        <v>34</v>
      </c>
      <c r="L36" s="19" t="s">
        <v>40</v>
      </c>
      <c r="M36" s="19" t="s">
        <v>41</v>
      </c>
      <c r="N36" s="6"/>
      <c r="O36" s="1"/>
      <c r="P36" s="1"/>
    </row>
    <row r="37" spans="2:16" x14ac:dyDescent="0.3">
      <c r="B37" s="1" t="s">
        <v>12</v>
      </c>
      <c r="C37" s="15">
        <v>0.96641125607193401</v>
      </c>
      <c r="D37" s="15">
        <v>0.28028790761501998</v>
      </c>
      <c r="E37" s="15">
        <v>3.4332675043980999E-2</v>
      </c>
      <c r="F37" s="10">
        <v>3.806</v>
      </c>
      <c r="G37" s="1">
        <v>6055.55</v>
      </c>
      <c r="H37" s="10"/>
      <c r="J37" s="1"/>
      <c r="N37" s="6"/>
      <c r="O37" s="1"/>
      <c r="P37" s="1"/>
    </row>
    <row r="38" spans="2:16" x14ac:dyDescent="0.3">
      <c r="B38" s="1" t="s">
        <v>13</v>
      </c>
      <c r="C38" s="15">
        <v>0.998307366622182</v>
      </c>
      <c r="D38" s="15">
        <v>1.3951542417579801</v>
      </c>
      <c r="E38" s="15">
        <v>2.8668980226143202E-2</v>
      </c>
      <c r="F38" s="10">
        <v>3.6539999999999999</v>
      </c>
      <c r="G38" s="1">
        <v>22</v>
      </c>
      <c r="H38" s="1"/>
      <c r="J38" s="1"/>
      <c r="N38" s="6"/>
      <c r="O38" s="1"/>
      <c r="P38" s="1"/>
    </row>
    <row r="39" spans="2:16" x14ac:dyDescent="0.3">
      <c r="B39" s="1" t="s">
        <v>14</v>
      </c>
      <c r="C39" s="15"/>
      <c r="D39" s="15"/>
      <c r="E39" s="15"/>
      <c r="F39" s="10"/>
      <c r="G39" s="1">
        <v>21.75</v>
      </c>
      <c r="H39" s="1">
        <v>6099.3</v>
      </c>
      <c r="I39" s="15">
        <v>118.22733427999999</v>
      </c>
      <c r="J39" s="15">
        <v>2.4954469283408098</v>
      </c>
      <c r="K39" s="1">
        <v>60.710430000000002</v>
      </c>
      <c r="L39" s="15">
        <v>1.9432258375425799</v>
      </c>
      <c r="M39" s="15">
        <v>-0.14571780115724001</v>
      </c>
      <c r="N39" s="6"/>
      <c r="O39" s="1"/>
      <c r="P39" s="1"/>
    </row>
    <row r="40" spans="2:16" x14ac:dyDescent="0.3">
      <c r="B40" s="1" t="s">
        <v>15</v>
      </c>
      <c r="C40" s="15"/>
      <c r="D40" s="15"/>
      <c r="E40" s="15"/>
      <c r="F40" s="10"/>
      <c r="G40" s="1">
        <v>48.5</v>
      </c>
      <c r="H40" s="1">
        <v>48.5</v>
      </c>
      <c r="I40" s="15">
        <v>108.51115272</v>
      </c>
      <c r="J40" s="15">
        <v>4.9705418000804897</v>
      </c>
      <c r="K40" s="1">
        <v>45.71622</v>
      </c>
      <c r="L40" s="15">
        <v>2.3768784113539301</v>
      </c>
      <c r="M40" s="15">
        <v>0.15611461722769501</v>
      </c>
      <c r="N40" s="6"/>
      <c r="O40" s="1"/>
      <c r="P40" s="1"/>
    </row>
    <row r="41" spans="2:16" x14ac:dyDescent="0.3">
      <c r="B41" s="1" t="s">
        <v>16</v>
      </c>
      <c r="C41" s="15"/>
      <c r="D41" s="15"/>
      <c r="E41" s="15"/>
      <c r="F41" s="10"/>
      <c r="G41" s="1">
        <v>28.75</v>
      </c>
      <c r="H41" s="1">
        <v>28.75</v>
      </c>
      <c r="I41" s="15">
        <v>106.97060942</v>
      </c>
      <c r="J41" s="15">
        <v>18.738059749368901</v>
      </c>
      <c r="K41" s="1">
        <v>46.063560000000003</v>
      </c>
      <c r="L41" s="15">
        <v>70.349925179505803</v>
      </c>
      <c r="M41" s="15">
        <v>0.29322882322716898</v>
      </c>
      <c r="N41" s="6"/>
      <c r="O41" s="1"/>
      <c r="P41" s="1"/>
    </row>
    <row r="42" spans="2:16" x14ac:dyDescent="0.3">
      <c r="B42" s="1" t="s">
        <v>17</v>
      </c>
      <c r="C42" s="15">
        <v>1.01982556926034</v>
      </c>
      <c r="D42" s="15">
        <v>0.38831940167197898</v>
      </c>
      <c r="E42" s="15">
        <v>1.20306787922476E-2</v>
      </c>
      <c r="F42" s="10">
        <v>3.3380000000000001</v>
      </c>
      <c r="G42" s="1">
        <v>21</v>
      </c>
      <c r="H42" s="1">
        <v>21</v>
      </c>
      <c r="I42" s="15">
        <v>113.72040256</v>
      </c>
      <c r="J42" s="15">
        <v>8.1761484496582497</v>
      </c>
      <c r="K42" s="1">
        <v>47.354999999999997</v>
      </c>
      <c r="L42" s="15">
        <v>5.4523947827090398</v>
      </c>
      <c r="M42" s="15">
        <v>0.19059894727801999</v>
      </c>
      <c r="N42" s="6"/>
      <c r="O42" s="1"/>
      <c r="P42" s="1"/>
    </row>
    <row r="43" spans="2:16" x14ac:dyDescent="0.3">
      <c r="B43" s="1" t="s">
        <v>18</v>
      </c>
      <c r="C43" s="15">
        <v>1.0105385292601801</v>
      </c>
      <c r="D43" s="15">
        <v>0.597784224122066</v>
      </c>
      <c r="E43" s="15">
        <v>2.7386597361713599E-2</v>
      </c>
      <c r="F43" s="10">
        <v>3.37</v>
      </c>
      <c r="G43" s="1">
        <v>21.5</v>
      </c>
      <c r="H43" s="1"/>
      <c r="I43" s="15"/>
      <c r="J43" s="15"/>
      <c r="K43" s="1"/>
      <c r="L43" s="15"/>
      <c r="M43" s="15"/>
      <c r="N43" s="6"/>
      <c r="O43" s="1"/>
      <c r="P43" s="1"/>
    </row>
    <row r="44" spans="2:16" x14ac:dyDescent="0.3">
      <c r="B44" s="1" t="s">
        <v>19</v>
      </c>
      <c r="C44" s="15">
        <v>1.04413498578157</v>
      </c>
      <c r="D44" s="15">
        <v>0.92934562720262803</v>
      </c>
      <c r="E44" s="15">
        <v>2.8615745110634201E-2</v>
      </c>
      <c r="F44" s="10">
        <v>3.2989999999999999</v>
      </c>
      <c r="G44" s="1">
        <v>75</v>
      </c>
      <c r="H44" s="1">
        <v>96.5</v>
      </c>
      <c r="I44" s="15">
        <v>112.66319882000001</v>
      </c>
      <c r="J44" s="15">
        <v>19.594840851392899</v>
      </c>
      <c r="K44" s="1">
        <v>101.105</v>
      </c>
      <c r="L44" s="15">
        <v>33.895949402833203</v>
      </c>
      <c r="M44" s="15">
        <v>0.499861288181496</v>
      </c>
      <c r="N44" s="1"/>
      <c r="O44" s="1"/>
      <c r="P44" s="1"/>
    </row>
    <row r="45" spans="2:16" x14ac:dyDescent="0.3">
      <c r="B45" s="1" t="s">
        <v>20</v>
      </c>
      <c r="C45" s="15">
        <v>1.04959681992682</v>
      </c>
      <c r="D45" s="15">
        <v>-0.33094957948560899</v>
      </c>
      <c r="E45" s="15">
        <v>4.4113621235337297E-2</v>
      </c>
      <c r="F45" s="10">
        <v>3.1309999999999998</v>
      </c>
      <c r="G45" s="1">
        <v>47.5</v>
      </c>
      <c r="H45" s="1">
        <v>47.5</v>
      </c>
      <c r="I45" s="15">
        <v>114.89097618</v>
      </c>
      <c r="J45" s="15">
        <v>17.2552427011953</v>
      </c>
      <c r="K45" s="1">
        <v>44.466000000000001</v>
      </c>
      <c r="L45" s="15">
        <v>32.177431699139497</v>
      </c>
      <c r="M45" s="15">
        <v>0.40695810522245701</v>
      </c>
      <c r="N45" s="1"/>
      <c r="O45" s="1"/>
      <c r="P45" s="1"/>
    </row>
    <row r="46" spans="2:16" x14ac:dyDescent="0.3">
      <c r="B46" s="1" t="s">
        <v>21</v>
      </c>
      <c r="C46" s="15">
        <v>0.97400899474341096</v>
      </c>
      <c r="D46" s="15">
        <v>-0.27375631737886102</v>
      </c>
      <c r="E46" s="15">
        <v>-8.0536265843332393E-3</v>
      </c>
      <c r="F46" s="10">
        <v>3.7759999999999998</v>
      </c>
      <c r="G46" s="1">
        <v>23.5</v>
      </c>
      <c r="H46" s="1">
        <v>23.5</v>
      </c>
      <c r="I46" s="15">
        <v>116.55531655999999</v>
      </c>
      <c r="J46" s="15">
        <v>17.024424898784201</v>
      </c>
      <c r="K46" s="1">
        <v>47.503</v>
      </c>
      <c r="L46" s="15">
        <v>31.253302872972</v>
      </c>
      <c r="M46" s="15">
        <v>5.4056282725128302E-2</v>
      </c>
      <c r="N46" s="2"/>
      <c r="O46" s="2"/>
      <c r="P46" s="1"/>
    </row>
    <row r="47" spans="2:16" x14ac:dyDescent="0.3">
      <c r="B47" s="1" t="s">
        <v>22</v>
      </c>
      <c r="C47" s="15"/>
      <c r="D47" s="15"/>
      <c r="E47" s="15"/>
      <c r="F47" s="10"/>
      <c r="G47" s="1">
        <v>27.75</v>
      </c>
      <c r="H47" s="1"/>
      <c r="I47" s="15"/>
      <c r="J47" s="15"/>
      <c r="K47" s="1"/>
      <c r="L47" s="15"/>
      <c r="M47" s="15"/>
      <c r="N47" s="2"/>
      <c r="O47" s="2"/>
      <c r="P47" s="1"/>
    </row>
    <row r="48" spans="2:16" x14ac:dyDescent="0.3">
      <c r="B48" s="1" t="s">
        <v>23</v>
      </c>
      <c r="C48" s="15"/>
      <c r="D48" s="15"/>
      <c r="E48" s="15"/>
      <c r="F48" s="10"/>
      <c r="G48" s="1">
        <v>20</v>
      </c>
      <c r="H48" s="1">
        <v>47.75</v>
      </c>
      <c r="I48" s="15">
        <v>118.40602251999999</v>
      </c>
      <c r="J48" s="15">
        <v>15.1069524712688</v>
      </c>
      <c r="K48" s="1">
        <v>54.055999999999997</v>
      </c>
      <c r="L48" s="15">
        <v>42.7547044117564</v>
      </c>
      <c r="M48" s="15">
        <v>0.26690920736687102</v>
      </c>
      <c r="N48" s="2"/>
      <c r="O48" s="2"/>
      <c r="P48" s="1"/>
    </row>
    <row r="49" spans="2:16" x14ac:dyDescent="0.3">
      <c r="B49" s="1" t="s">
        <v>24</v>
      </c>
      <c r="C49" s="15">
        <v>1.03922347944993</v>
      </c>
      <c r="D49" s="15">
        <v>0.59399199353963394</v>
      </c>
      <c r="E49" s="15">
        <v>2.7450804091866201E-2</v>
      </c>
      <c r="F49" s="10">
        <v>3.5110000000000001</v>
      </c>
      <c r="G49" s="1">
        <v>23.75</v>
      </c>
      <c r="H49" s="1">
        <v>23.75</v>
      </c>
      <c r="I49" s="15">
        <v>115.75512236</v>
      </c>
      <c r="J49" s="15">
        <v>21.9579587943592</v>
      </c>
      <c r="K49" s="1">
        <v>53.783999999999999</v>
      </c>
      <c r="L49" s="15">
        <v>175.86248095131899</v>
      </c>
      <c r="M49" s="15">
        <v>0.45125668170602201</v>
      </c>
      <c r="N49" s="2"/>
      <c r="O49" s="2"/>
      <c r="P49" s="1"/>
    </row>
    <row r="50" spans="2:16" x14ac:dyDescent="0.3">
      <c r="B50" s="1" t="s">
        <v>25</v>
      </c>
      <c r="C50" s="15"/>
      <c r="D50" s="15"/>
      <c r="E50" s="15"/>
      <c r="F50" s="10"/>
      <c r="G50" s="1">
        <v>23.5</v>
      </c>
      <c r="H50" s="1">
        <v>23.5</v>
      </c>
      <c r="I50" s="15">
        <v>121.12197168</v>
      </c>
      <c r="J50" s="15">
        <v>16.640165980770899</v>
      </c>
      <c r="K50" s="1">
        <v>53.783999999999999</v>
      </c>
      <c r="L50" s="15">
        <v>52.638565780695899</v>
      </c>
      <c r="M50" s="15">
        <v>0.51242235468873398</v>
      </c>
      <c r="N50" s="2"/>
      <c r="O50" s="2"/>
      <c r="P50" s="1"/>
    </row>
    <row r="51" spans="2:16" x14ac:dyDescent="0.3">
      <c r="B51" s="1" t="s">
        <v>26</v>
      </c>
      <c r="C51" s="15"/>
      <c r="D51" s="15"/>
      <c r="E51" s="15"/>
      <c r="F51" s="10"/>
      <c r="G51" s="1">
        <v>24</v>
      </c>
      <c r="I51" s="15"/>
      <c r="J51" s="15"/>
      <c r="L51" s="15"/>
      <c r="M51" s="15"/>
      <c r="N51" s="2"/>
      <c r="O51" s="2"/>
      <c r="P51" s="1"/>
    </row>
    <row r="52" spans="2:16" x14ac:dyDescent="0.3">
      <c r="B52" s="1" t="s">
        <v>12</v>
      </c>
      <c r="C52" s="15">
        <v>1.0683907677478099</v>
      </c>
      <c r="D52" s="15">
        <v>0.74870138294766397</v>
      </c>
      <c r="E52" s="15">
        <v>6.5697545304297195E-2</v>
      </c>
      <c r="F52" s="1">
        <v>3.8290000000000002</v>
      </c>
      <c r="G52" s="1"/>
      <c r="H52" s="10"/>
      <c r="I52" s="15"/>
      <c r="J52" s="15"/>
      <c r="L52" s="15"/>
      <c r="M52" s="15"/>
      <c r="N52" s="2"/>
      <c r="O52" s="2"/>
      <c r="P52" s="1"/>
    </row>
    <row r="53" spans="2:16" x14ac:dyDescent="0.3">
      <c r="B53" s="1" t="s">
        <v>13</v>
      </c>
      <c r="C53" s="15">
        <v>1.13117180110701</v>
      </c>
      <c r="D53" s="15">
        <v>1.1019405303793299</v>
      </c>
      <c r="E53" s="15">
        <v>0.132436068542756</v>
      </c>
      <c r="F53" s="1">
        <v>4.6630000000000003</v>
      </c>
      <c r="G53" s="1">
        <v>22</v>
      </c>
      <c r="H53" s="1"/>
      <c r="I53" s="15"/>
      <c r="J53" s="15"/>
      <c r="L53" s="15"/>
      <c r="M53" s="15"/>
      <c r="N53" s="2"/>
      <c r="O53" s="2"/>
      <c r="P53" s="1"/>
    </row>
    <row r="54" spans="2:16" x14ac:dyDescent="0.3">
      <c r="B54" s="1" t="s">
        <v>14</v>
      </c>
      <c r="C54" s="15">
        <v>0.99421602518435603</v>
      </c>
      <c r="D54" s="15">
        <v>0.17884914222762199</v>
      </c>
      <c r="E54" s="15">
        <v>-4.2076076707890497E-3</v>
      </c>
      <c r="F54" s="1">
        <v>3.9940000000000002</v>
      </c>
      <c r="G54" s="1">
        <v>21.75</v>
      </c>
      <c r="H54" s="1"/>
      <c r="I54" s="15">
        <v>118.22733427999999</v>
      </c>
      <c r="J54" s="15">
        <v>2.4954469283408098</v>
      </c>
      <c r="K54" s="1">
        <v>60.710430000000002</v>
      </c>
      <c r="L54" s="15">
        <v>1.9432258375425799</v>
      </c>
      <c r="M54" s="15">
        <v>-0.14571780115724001</v>
      </c>
      <c r="N54" s="2"/>
      <c r="O54" s="2"/>
      <c r="P54" s="1"/>
    </row>
    <row r="55" spans="2:16" x14ac:dyDescent="0.3">
      <c r="B55" s="1" t="s">
        <v>15</v>
      </c>
      <c r="C55" s="15"/>
      <c r="D55" s="15"/>
      <c r="E55" s="15"/>
      <c r="F55" s="1"/>
      <c r="G55" s="1">
        <v>48.5</v>
      </c>
      <c r="H55" s="1">
        <v>48.5</v>
      </c>
      <c r="I55" s="15">
        <v>108.51115272</v>
      </c>
      <c r="J55" s="15">
        <v>4.9705418000804897</v>
      </c>
      <c r="K55" s="1">
        <v>45.71622</v>
      </c>
      <c r="L55" s="15">
        <v>2.3768784113539301</v>
      </c>
      <c r="M55" s="15">
        <v>0.15611461722769501</v>
      </c>
      <c r="N55" s="1"/>
      <c r="O55" s="1"/>
      <c r="P55" s="1"/>
    </row>
    <row r="56" spans="2:16" x14ac:dyDescent="0.3">
      <c r="B56" s="1" t="s">
        <v>16</v>
      </c>
      <c r="C56" s="15">
        <v>1.0587750080951299</v>
      </c>
      <c r="D56" s="15">
        <v>0.662333397055619</v>
      </c>
      <c r="E56" s="15">
        <v>0.12430930853391101</v>
      </c>
      <c r="F56" s="1">
        <v>3.8860000000000001</v>
      </c>
      <c r="G56" s="1">
        <v>28.75</v>
      </c>
      <c r="H56" s="1">
        <v>28.75</v>
      </c>
      <c r="I56" s="15">
        <v>106.97060942</v>
      </c>
      <c r="J56" s="15">
        <v>18.738059749368901</v>
      </c>
      <c r="K56" s="1">
        <v>46.063560000000003</v>
      </c>
      <c r="L56" s="15">
        <v>70.349925179505803</v>
      </c>
      <c r="M56" s="15">
        <v>0.29322882322716898</v>
      </c>
    </row>
    <row r="57" spans="2:16" x14ac:dyDescent="0.3">
      <c r="B57" s="1" t="s">
        <v>17</v>
      </c>
      <c r="C57" s="15">
        <v>1.04764110720538</v>
      </c>
      <c r="D57" s="15">
        <v>1.10062768451704</v>
      </c>
      <c r="E57" s="15">
        <v>9.2876994447724404E-2</v>
      </c>
      <c r="F57" s="1">
        <v>3.7970000000000002</v>
      </c>
      <c r="G57" s="1">
        <v>21</v>
      </c>
      <c r="H57" s="1">
        <v>21</v>
      </c>
      <c r="I57" s="15">
        <v>113.72040256</v>
      </c>
      <c r="J57" s="15">
        <v>8.1761484496582497</v>
      </c>
      <c r="K57" s="1">
        <v>47.354999999999997</v>
      </c>
      <c r="L57" s="15">
        <v>5.4523947827090398</v>
      </c>
      <c r="M57" s="15">
        <v>0.19059894727801999</v>
      </c>
    </row>
    <row r="58" spans="2:16" x14ac:dyDescent="0.3">
      <c r="B58" s="1" t="s">
        <v>18</v>
      </c>
      <c r="C58" s="15">
        <v>1.1477045338510801</v>
      </c>
      <c r="D58" s="15">
        <v>0.97101599927504101</v>
      </c>
      <c r="E58" s="15">
        <v>8.3834633446242604E-2</v>
      </c>
      <c r="F58" s="1">
        <v>4.5410000000000004</v>
      </c>
      <c r="G58" s="1">
        <v>21.5</v>
      </c>
      <c r="H58" s="1"/>
      <c r="I58" s="15"/>
      <c r="J58" s="15"/>
      <c r="K58" s="1"/>
      <c r="L58" s="15"/>
      <c r="M58" s="15"/>
    </row>
    <row r="59" spans="2:16" x14ac:dyDescent="0.3">
      <c r="B59" s="1" t="s">
        <v>19</v>
      </c>
      <c r="C59" s="15">
        <v>1.1126612766097499</v>
      </c>
      <c r="D59" s="15">
        <v>0.95380985457733503</v>
      </c>
      <c r="E59" s="15">
        <v>4.4857179056258203E-2</v>
      </c>
      <c r="F59" s="1">
        <v>3.456</v>
      </c>
      <c r="G59" s="1">
        <v>75</v>
      </c>
      <c r="H59" s="1">
        <v>96.5</v>
      </c>
      <c r="I59" s="15">
        <v>112.66319882000001</v>
      </c>
      <c r="J59" s="15">
        <v>19.594840851392899</v>
      </c>
      <c r="K59" s="1">
        <v>101.105</v>
      </c>
      <c r="L59" s="15">
        <v>33.895949402833203</v>
      </c>
      <c r="M59" s="15">
        <v>0.499861288181496</v>
      </c>
    </row>
    <row r="60" spans="2:16" x14ac:dyDescent="0.3">
      <c r="B60" s="1" t="s">
        <v>20</v>
      </c>
      <c r="C60" s="15">
        <v>1.2530304455719099</v>
      </c>
      <c r="D60" s="15">
        <v>1.1029723476739599</v>
      </c>
      <c r="E60" s="15">
        <v>7.6664996000854094E-2</v>
      </c>
      <c r="F60" s="1">
        <v>4.681</v>
      </c>
      <c r="G60" s="1">
        <v>47.5</v>
      </c>
      <c r="H60" s="1">
        <v>47.5</v>
      </c>
      <c r="I60" s="15">
        <v>114.89097618</v>
      </c>
      <c r="J60" s="15">
        <v>17.2552427011953</v>
      </c>
      <c r="K60" s="1">
        <v>44.466000000000001</v>
      </c>
      <c r="L60" s="15">
        <v>32.177431699139497</v>
      </c>
      <c r="M60" s="15">
        <v>0.40695810522245701</v>
      </c>
    </row>
    <row r="61" spans="2:16" x14ac:dyDescent="0.3">
      <c r="B61" s="1" t="s">
        <v>21</v>
      </c>
      <c r="C61" s="15">
        <v>1.0813804129035001</v>
      </c>
      <c r="D61" s="15">
        <v>0.52079829390269505</v>
      </c>
      <c r="E61" s="15">
        <v>2.1219861817338499E-2</v>
      </c>
      <c r="F61" s="1">
        <v>4.9790000000000001</v>
      </c>
      <c r="G61" s="1">
        <v>23.5</v>
      </c>
      <c r="H61" s="1">
        <v>23.5</v>
      </c>
      <c r="I61" s="15">
        <v>116.55531655999999</v>
      </c>
      <c r="J61" s="15">
        <v>17.024424898784201</v>
      </c>
      <c r="K61" s="1">
        <v>47.503</v>
      </c>
      <c r="L61" s="15">
        <v>31.253302872972</v>
      </c>
      <c r="M61" s="15">
        <v>5.4056282725128302E-2</v>
      </c>
    </row>
    <row r="62" spans="2:16" x14ac:dyDescent="0.3">
      <c r="B62" s="1" t="s">
        <v>22</v>
      </c>
      <c r="C62" s="15">
        <v>1.2134925086481201</v>
      </c>
      <c r="D62" s="15">
        <v>0.94175163201491896</v>
      </c>
      <c r="E62" s="15">
        <v>8.5275451626537893E-2</v>
      </c>
      <c r="F62" s="1">
        <v>4.6879999999999997</v>
      </c>
      <c r="G62" s="1">
        <v>27.75</v>
      </c>
      <c r="H62" s="1"/>
      <c r="I62" s="15"/>
      <c r="J62" s="15"/>
      <c r="K62" s="1"/>
      <c r="L62" s="15"/>
      <c r="M62" s="15"/>
    </row>
    <row r="63" spans="2:16" x14ac:dyDescent="0.3">
      <c r="B63" s="1" t="s">
        <v>23</v>
      </c>
      <c r="C63" s="15">
        <v>1.08380817355586</v>
      </c>
      <c r="D63" s="15">
        <v>0.28231733716004298</v>
      </c>
      <c r="E63" s="15">
        <v>3.1629539106965802E-2</v>
      </c>
      <c r="F63" s="1">
        <v>3.4780000000000002</v>
      </c>
      <c r="G63" s="1">
        <v>20</v>
      </c>
      <c r="H63" s="1">
        <v>47.75</v>
      </c>
      <c r="I63" s="15">
        <v>118.40602251999999</v>
      </c>
      <c r="J63" s="15">
        <v>15.1069524712688</v>
      </c>
      <c r="K63" s="1">
        <v>54.055999999999997</v>
      </c>
      <c r="L63" s="15">
        <v>42.7547044117564</v>
      </c>
      <c r="M63" s="15">
        <v>0.26690920736687102</v>
      </c>
    </row>
    <row r="64" spans="2:16" x14ac:dyDescent="0.3">
      <c r="B64" s="1" t="s">
        <v>24</v>
      </c>
      <c r="C64" s="15">
        <v>1.0367372638660399</v>
      </c>
      <c r="D64" s="15">
        <v>0.55097576187408004</v>
      </c>
      <c r="E64" s="15">
        <v>4.3964016574286002E-2</v>
      </c>
      <c r="F64" s="1">
        <v>4.0039999999999996</v>
      </c>
      <c r="G64" s="1">
        <v>23.75</v>
      </c>
      <c r="H64" s="1">
        <v>23.75</v>
      </c>
      <c r="I64" s="15">
        <v>115.75512236</v>
      </c>
      <c r="J64" s="15">
        <v>21.9579587943592</v>
      </c>
      <c r="K64" s="1">
        <v>53.783999999999999</v>
      </c>
      <c r="L64" s="15">
        <v>175.86248095131899</v>
      </c>
      <c r="M64" s="15">
        <v>0.45125668170602201</v>
      </c>
    </row>
    <row r="65" spans="2:26" x14ac:dyDescent="0.3">
      <c r="B65" s="1" t="s">
        <v>25</v>
      </c>
      <c r="C65" s="15">
        <v>1.1282134088167699</v>
      </c>
      <c r="D65" s="15">
        <v>0.99053604379690696</v>
      </c>
      <c r="E65" s="15">
        <v>5.3048699734524599E-2</v>
      </c>
      <c r="F65" s="1">
        <v>3.5750000000000002</v>
      </c>
      <c r="G65" s="1">
        <v>23.5</v>
      </c>
      <c r="H65" s="1">
        <v>23.5</v>
      </c>
      <c r="I65" s="15">
        <v>121.12197168</v>
      </c>
      <c r="J65" s="15">
        <v>16.640165980770899</v>
      </c>
      <c r="K65" s="1">
        <v>53.783999999999999</v>
      </c>
      <c r="L65" s="15">
        <v>52.638565780695899</v>
      </c>
      <c r="M65" s="15">
        <v>0.51242235468873398</v>
      </c>
    </row>
    <row r="67" spans="2:26" ht="43.2" x14ac:dyDescent="0.3">
      <c r="B67" s="1"/>
      <c r="C67" s="12" t="s">
        <v>27</v>
      </c>
      <c r="D67" s="12" t="s">
        <v>5</v>
      </c>
      <c r="E67" s="12" t="s">
        <v>6</v>
      </c>
      <c r="F67" s="12" t="s">
        <v>0</v>
      </c>
      <c r="G67" s="12" t="s">
        <v>7</v>
      </c>
      <c r="H67" s="12" t="s">
        <v>3</v>
      </c>
      <c r="I67" s="13" t="s">
        <v>28</v>
      </c>
      <c r="J67" s="12" t="s">
        <v>39</v>
      </c>
      <c r="K67" s="14" t="s">
        <v>29</v>
      </c>
      <c r="L67" s="14" t="s">
        <v>30</v>
      </c>
      <c r="M67" s="12" t="s">
        <v>33</v>
      </c>
      <c r="N67" s="12" t="s">
        <v>34</v>
      </c>
      <c r="O67" s="17" t="s">
        <v>37</v>
      </c>
      <c r="Q67" s="12" t="s">
        <v>4</v>
      </c>
      <c r="R67" s="12" t="s">
        <v>5</v>
      </c>
      <c r="S67" s="12" t="s">
        <v>6</v>
      </c>
      <c r="T67" s="12" t="s">
        <v>0</v>
      </c>
      <c r="U67" s="12" t="s">
        <v>7</v>
      </c>
      <c r="V67" s="12" t="s">
        <v>3</v>
      </c>
      <c r="W67" s="13" t="s">
        <v>35</v>
      </c>
      <c r="X67" s="16" t="s">
        <v>29</v>
      </c>
      <c r="Y67" s="16" t="s">
        <v>30</v>
      </c>
      <c r="Z67" s="13" t="s">
        <v>39</v>
      </c>
    </row>
    <row r="68" spans="2:26" x14ac:dyDescent="0.3">
      <c r="B68" s="1" t="s">
        <v>31</v>
      </c>
      <c r="C68" s="1" t="s">
        <v>12</v>
      </c>
      <c r="D68" s="1"/>
      <c r="E68" s="6">
        <v>0.178366367675658</v>
      </c>
      <c r="F68" s="6">
        <v>5.1856335362832198E-2</v>
      </c>
      <c r="G68" s="6">
        <v>0.245194595440726</v>
      </c>
      <c r="H68" s="6">
        <v>0.32289162790592602</v>
      </c>
      <c r="I68" s="15">
        <v>14.086130000000001</v>
      </c>
      <c r="J68" s="1"/>
      <c r="K68" s="1"/>
      <c r="L68" s="10"/>
      <c r="O68" s="18"/>
      <c r="Q68" s="1" t="s">
        <v>12</v>
      </c>
      <c r="R68" s="1"/>
      <c r="S68" s="6">
        <v>0.22825064648054</v>
      </c>
      <c r="T68" s="6">
        <v>1.3430417175947699E-2</v>
      </c>
      <c r="U68" s="6">
        <v>0.34964310339422999</v>
      </c>
      <c r="V68" s="6">
        <v>0.38367204340486</v>
      </c>
      <c r="W68" s="6">
        <v>0.68921237999999996</v>
      </c>
      <c r="X68" s="1"/>
      <c r="Y68" s="10"/>
      <c r="Z68" s="1"/>
    </row>
    <row r="69" spans="2:26" x14ac:dyDescent="0.3">
      <c r="B69" s="1" t="s">
        <v>31</v>
      </c>
      <c r="C69" s="1" t="s">
        <v>13</v>
      </c>
      <c r="D69" s="6">
        <v>1.39679058575205</v>
      </c>
      <c r="E69" s="6">
        <v>0.88641107886014003</v>
      </c>
      <c r="F69" s="6">
        <v>0.103368750113241</v>
      </c>
      <c r="G69" s="6">
        <v>0.16161880352222899</v>
      </c>
      <c r="H69" s="6">
        <v>0.25317898030309399</v>
      </c>
      <c r="I69" s="15">
        <v>23.435036</v>
      </c>
      <c r="J69" s="1"/>
      <c r="K69" s="1">
        <v>22</v>
      </c>
      <c r="L69" s="1"/>
      <c r="O69" s="6"/>
      <c r="Q69" s="1" t="s">
        <v>13</v>
      </c>
      <c r="R69" s="2">
        <v>0.96435758092830903</v>
      </c>
      <c r="S69" s="6">
        <v>-0.28959025014214101</v>
      </c>
      <c r="T69" s="6">
        <v>-1.61778645652975E-2</v>
      </c>
      <c r="U69" s="6">
        <v>-0.53634613240336904</v>
      </c>
      <c r="V69" s="6">
        <v>-0.61476468522274297</v>
      </c>
      <c r="W69" s="6">
        <v>0.75338316000000005</v>
      </c>
      <c r="X69" s="1">
        <v>22</v>
      </c>
      <c r="Y69" s="1"/>
      <c r="Z69" s="1"/>
    </row>
    <row r="70" spans="2:26" x14ac:dyDescent="0.3">
      <c r="B70" s="1" t="s">
        <v>31</v>
      </c>
      <c r="C70" s="1" t="s">
        <v>14</v>
      </c>
      <c r="D70" s="6">
        <v>1.2108318271354701</v>
      </c>
      <c r="E70" s="6">
        <v>0.92629163740877796</v>
      </c>
      <c r="F70" s="6">
        <v>0.11077055296162799</v>
      </c>
      <c r="G70" s="6">
        <v>0.24079928816250401</v>
      </c>
      <c r="H70" s="6">
        <v>0.39872475769786198</v>
      </c>
      <c r="I70" s="15">
        <v>16.113236000000001</v>
      </c>
      <c r="J70" s="15">
        <v>2.4954469283408098</v>
      </c>
      <c r="K70" s="1">
        <v>21.75</v>
      </c>
      <c r="L70" s="1"/>
      <c r="M70" s="1">
        <v>118.22733427999999</v>
      </c>
      <c r="N70" s="1">
        <v>60.710430000000002</v>
      </c>
      <c r="O70" s="6">
        <f t="shared" ref="O70:O96" si="1">M7</f>
        <v>1.0078290838208943</v>
      </c>
      <c r="Q70" s="1" t="s">
        <v>14</v>
      </c>
      <c r="R70" s="2">
        <v>0.98302221968248604</v>
      </c>
      <c r="S70" s="6">
        <v>-0.31071591767089402</v>
      </c>
      <c r="T70" s="6">
        <v>-3.7834846370905402E-3</v>
      </c>
      <c r="U70" s="6">
        <v>-0.196474990445519</v>
      </c>
      <c r="V70" s="6">
        <v>-0.21613261406053699</v>
      </c>
      <c r="W70" s="6">
        <v>0.70003090000000001</v>
      </c>
      <c r="X70" s="1">
        <v>21.75</v>
      </c>
      <c r="Y70" s="1"/>
      <c r="Z70" s="15">
        <v>2.4954469283408098</v>
      </c>
    </row>
    <row r="71" spans="2:26" x14ac:dyDescent="0.3">
      <c r="B71" s="1" t="s">
        <v>31</v>
      </c>
      <c r="C71" s="1" t="s">
        <v>15</v>
      </c>
      <c r="D71" s="6">
        <v>1.14568818263897</v>
      </c>
      <c r="E71" s="6">
        <v>0.723568252950335</v>
      </c>
      <c r="F71" s="6">
        <v>1.0650915621547401E-2</v>
      </c>
      <c r="G71" s="6">
        <v>-4.325976748147E-2</v>
      </c>
      <c r="H71" s="6">
        <v>-2.1394164632562102E-3</v>
      </c>
      <c r="I71" s="15">
        <v>12.133376200000001</v>
      </c>
      <c r="J71" s="15">
        <v>4.9705418000804897</v>
      </c>
      <c r="K71" s="1">
        <v>48.5</v>
      </c>
      <c r="L71" s="1">
        <v>48.5</v>
      </c>
      <c r="M71" s="1">
        <v>108.51115272</v>
      </c>
      <c r="N71" s="1">
        <v>45.71622</v>
      </c>
      <c r="O71" s="6">
        <f t="shared" si="1"/>
        <v>1.008246697022094</v>
      </c>
      <c r="Q71" s="1" t="s">
        <v>15</v>
      </c>
      <c r="R71" s="2">
        <v>0.99703728594241603</v>
      </c>
      <c r="S71" s="6">
        <v>-0.72341186519112299</v>
      </c>
      <c r="T71" s="6">
        <v>6.4581353214806597E-2</v>
      </c>
      <c r="U71" s="6">
        <v>-0.23577970708992499</v>
      </c>
      <c r="V71" s="6">
        <v>-0.60322234971197997</v>
      </c>
      <c r="W71" s="6">
        <v>0.67864073999999996</v>
      </c>
      <c r="X71" s="1">
        <v>48.5</v>
      </c>
      <c r="Y71" s="1">
        <v>48.5</v>
      </c>
      <c r="Z71" s="15">
        <v>4.9705418000804897</v>
      </c>
    </row>
    <row r="72" spans="2:26" x14ac:dyDescent="0.3">
      <c r="B72" s="1" t="s">
        <v>31</v>
      </c>
      <c r="C72" s="1" t="s">
        <v>16</v>
      </c>
      <c r="D72" s="6">
        <v>1.10273002217056</v>
      </c>
      <c r="E72" s="6">
        <v>0.92947006080395</v>
      </c>
      <c r="F72" s="6">
        <v>-2.2683422982125001E-2</v>
      </c>
      <c r="G72" s="6">
        <v>0.321471482716705</v>
      </c>
      <c r="H72" s="6">
        <v>0.58728211271901798</v>
      </c>
      <c r="I72" s="15">
        <v>13.1930706</v>
      </c>
      <c r="J72" s="15">
        <v>18.738059749368901</v>
      </c>
      <c r="K72" s="1">
        <v>28.75</v>
      </c>
      <c r="L72" s="1">
        <v>28.75</v>
      </c>
      <c r="M72" s="1">
        <v>106.97060942</v>
      </c>
      <c r="N72" s="1">
        <v>46.063560000000003</v>
      </c>
      <c r="O72" s="6">
        <f t="shared" si="1"/>
        <v>1.0490052443540898</v>
      </c>
      <c r="Q72" s="1" t="s">
        <v>16</v>
      </c>
      <c r="R72" s="2">
        <v>1.05414106800948</v>
      </c>
      <c r="S72" s="6">
        <v>0.54135397831396403</v>
      </c>
      <c r="T72" s="6">
        <v>6.1895687016862502E-2</v>
      </c>
      <c r="U72" s="6">
        <v>0.29281906900594301</v>
      </c>
      <c r="V72" s="6">
        <v>0.45795473111708401</v>
      </c>
      <c r="W72" s="6">
        <v>0.62161316</v>
      </c>
      <c r="X72" s="1">
        <v>28.75</v>
      </c>
      <c r="Y72" s="1">
        <v>28.75</v>
      </c>
      <c r="Z72" s="15">
        <v>18.738059749368901</v>
      </c>
    </row>
    <row r="73" spans="2:26" x14ac:dyDescent="0.3">
      <c r="B73" s="1" t="s">
        <v>31</v>
      </c>
      <c r="C73" s="1" t="s">
        <v>17</v>
      </c>
      <c r="D73" s="6">
        <v>1.2576523908335999</v>
      </c>
      <c r="E73" s="6">
        <v>0.77855192606860901</v>
      </c>
      <c r="F73" s="6">
        <v>0.15621819275209001</v>
      </c>
      <c r="G73" s="6">
        <v>0.37178756536818502</v>
      </c>
      <c r="H73" s="6">
        <v>0.39529566790648002</v>
      </c>
      <c r="I73" s="15">
        <v>9.7677034200000001</v>
      </c>
      <c r="J73" s="15">
        <v>8.1761484496582497</v>
      </c>
      <c r="K73" s="1">
        <v>21</v>
      </c>
      <c r="L73" s="1">
        <v>21</v>
      </c>
      <c r="M73" s="1">
        <v>113.72040256</v>
      </c>
      <c r="N73" s="1">
        <v>47.354999999999997</v>
      </c>
      <c r="O73" s="6">
        <f t="shared" si="1"/>
        <v>1.0119508062412015</v>
      </c>
      <c r="Q73" s="1" t="s">
        <v>17</v>
      </c>
      <c r="R73" s="2">
        <v>1.00376784280544</v>
      </c>
      <c r="S73" s="6">
        <v>-0.28173278371114102</v>
      </c>
      <c r="T73" s="6">
        <v>2.95836818188689E-2</v>
      </c>
      <c r="U73" s="6">
        <v>-0.24798451961503901</v>
      </c>
      <c r="V73" s="6">
        <v>-0.30540995193675702</v>
      </c>
      <c r="W73" s="6">
        <v>0.65177686000000001</v>
      </c>
      <c r="X73" s="1">
        <v>21</v>
      </c>
      <c r="Y73" s="1">
        <v>21</v>
      </c>
      <c r="Z73" s="15">
        <v>8.1761484496582497</v>
      </c>
    </row>
    <row r="74" spans="2:26" x14ac:dyDescent="0.3">
      <c r="B74" s="1" t="s">
        <v>31</v>
      </c>
      <c r="C74" s="1" t="s">
        <v>18</v>
      </c>
      <c r="D74" s="6">
        <v>1.24807759229999</v>
      </c>
      <c r="E74" s="6">
        <v>0.55577143716833499</v>
      </c>
      <c r="F74" s="6">
        <v>0.15071577677020101</v>
      </c>
      <c r="G74" s="6">
        <v>-2.2915992990330501E-3</v>
      </c>
      <c r="H74" s="6">
        <v>-1.29409007610388E-2</v>
      </c>
      <c r="I74" s="15">
        <v>15.528736</v>
      </c>
      <c r="J74" s="15"/>
      <c r="K74" s="1">
        <v>21.5</v>
      </c>
      <c r="L74" s="1"/>
      <c r="M74" s="1"/>
      <c r="N74" s="1"/>
      <c r="O74" s="6"/>
      <c r="Q74" s="1" t="s">
        <v>18</v>
      </c>
      <c r="R74" s="2">
        <v>0.965580440673389</v>
      </c>
      <c r="S74" s="6">
        <v>-0.28388728833714599</v>
      </c>
      <c r="T74" s="6">
        <v>-5.4892758010415703E-2</v>
      </c>
      <c r="U74" s="6">
        <v>-0.382367394435078</v>
      </c>
      <c r="V74" s="6">
        <v>-0.492949102990132</v>
      </c>
      <c r="W74" s="6">
        <v>0.73085986000000003</v>
      </c>
      <c r="X74" s="1">
        <v>21.5</v>
      </c>
      <c r="Y74" s="1"/>
      <c r="Z74" s="15"/>
    </row>
    <row r="75" spans="2:26" x14ac:dyDescent="0.3">
      <c r="B75" s="1" t="s">
        <v>31</v>
      </c>
      <c r="C75" s="1" t="s">
        <v>19</v>
      </c>
      <c r="D75" s="6">
        <v>1.42877693896201</v>
      </c>
      <c r="E75" s="6">
        <v>0.33551375674123601</v>
      </c>
      <c r="F75" s="6">
        <v>5.5397551503622099E-2</v>
      </c>
      <c r="G75" s="6">
        <v>0.19084932454591899</v>
      </c>
      <c r="H75" s="6">
        <v>0.27742482843094801</v>
      </c>
      <c r="I75" s="15">
        <v>14.369724039999999</v>
      </c>
      <c r="J75" s="15">
        <v>19.594840851392899</v>
      </c>
      <c r="K75" s="1">
        <v>75</v>
      </c>
      <c r="L75" s="1">
        <v>96.5</v>
      </c>
      <c r="M75" s="1">
        <v>112.66319882000001</v>
      </c>
      <c r="N75" s="1">
        <v>101.105</v>
      </c>
      <c r="O75" s="6">
        <f t="shared" si="1"/>
        <v>1.0239451393319936</v>
      </c>
      <c r="Q75" s="1" t="s">
        <v>19</v>
      </c>
      <c r="R75" s="2">
        <v>1.0368691348627199</v>
      </c>
      <c r="S75" s="6">
        <v>-0.167176048352111</v>
      </c>
      <c r="T75" s="6">
        <v>8.8641812543785899E-3</v>
      </c>
      <c r="U75" s="6">
        <v>-0.35015813294515502</v>
      </c>
      <c r="V75" s="6">
        <v>-0.46503716149950902</v>
      </c>
      <c r="W75" s="6">
        <v>0.69966109999999904</v>
      </c>
      <c r="X75" s="1">
        <v>75</v>
      </c>
      <c r="Y75" s="1">
        <v>96.5</v>
      </c>
      <c r="Z75" s="15">
        <v>19.594840851392899</v>
      </c>
    </row>
    <row r="76" spans="2:26" x14ac:dyDescent="0.3">
      <c r="B76" s="1" t="s">
        <v>31</v>
      </c>
      <c r="C76" s="1" t="s">
        <v>20</v>
      </c>
      <c r="D76" s="6">
        <v>1.33941755807892</v>
      </c>
      <c r="E76" s="6">
        <v>0.63731372986403501</v>
      </c>
      <c r="F76" s="6">
        <v>6.9883057908481996E-2</v>
      </c>
      <c r="G76" s="6">
        <v>-1.2096500870022699E-2</v>
      </c>
      <c r="H76" s="6">
        <v>-0.121081543489465</v>
      </c>
      <c r="I76" s="15">
        <v>19.197853511999998</v>
      </c>
      <c r="J76" s="15">
        <v>17.2552427011953</v>
      </c>
      <c r="K76" s="1">
        <v>47.5</v>
      </c>
      <c r="L76" s="1">
        <v>47.5</v>
      </c>
      <c r="M76" s="1">
        <v>114.89097618</v>
      </c>
      <c r="N76" s="1">
        <v>44.466000000000001</v>
      </c>
      <c r="O76" s="6">
        <f t="shared" si="1"/>
        <v>1.0275460447393339</v>
      </c>
      <c r="Q76" s="1" t="s">
        <v>20</v>
      </c>
      <c r="R76" s="2">
        <v>0.98011971152962396</v>
      </c>
      <c r="S76" s="6">
        <v>-0.234414236192791</v>
      </c>
      <c r="T76" s="6">
        <v>1.32778322661357E-2</v>
      </c>
      <c r="U76" s="6">
        <v>-0.50424136937081498</v>
      </c>
      <c r="V76" s="6">
        <v>-0.59921100307099695</v>
      </c>
      <c r="W76" s="6">
        <v>0.83630937999999999</v>
      </c>
      <c r="X76" s="1">
        <v>47.5</v>
      </c>
      <c r="Y76" s="1">
        <v>47.5</v>
      </c>
      <c r="Z76" s="15">
        <v>17.2552427011953</v>
      </c>
    </row>
    <row r="77" spans="2:26" x14ac:dyDescent="0.3">
      <c r="B77" s="1" t="s">
        <v>31</v>
      </c>
      <c r="C77" s="1" t="s">
        <v>21</v>
      </c>
      <c r="D77" s="6">
        <v>1.3769164984553499</v>
      </c>
      <c r="E77" s="6">
        <v>-0.44248745305980902</v>
      </c>
      <c r="F77" s="6">
        <v>7.8645648239850305E-2</v>
      </c>
      <c r="G77" s="6">
        <v>-1.00953850119604E-2</v>
      </c>
      <c r="H77" s="6">
        <v>-0.30001520861446102</v>
      </c>
      <c r="I77" s="15">
        <v>45.413344000000002</v>
      </c>
      <c r="J77" s="15">
        <v>17.024424898784201</v>
      </c>
      <c r="K77" s="1">
        <v>23.5</v>
      </c>
      <c r="L77" s="1">
        <v>23.5</v>
      </c>
      <c r="M77" s="1">
        <v>116.55531655999999</v>
      </c>
      <c r="N77" s="1">
        <v>47.503</v>
      </c>
      <c r="O77" s="6">
        <f t="shared" si="1"/>
        <v>1.0275826446035865</v>
      </c>
      <c r="Q77" s="1" t="s">
        <v>21</v>
      </c>
      <c r="R77" s="2">
        <v>0.80472452573481301</v>
      </c>
      <c r="S77" s="6">
        <v>-0.91543606234553399</v>
      </c>
      <c r="T77" s="6">
        <v>-6.0975544853349099E-2</v>
      </c>
      <c r="U77" s="6">
        <v>-0.49173834482130302</v>
      </c>
      <c r="V77" s="6">
        <v>-0.81638215147709303</v>
      </c>
      <c r="W77" s="6">
        <v>1.0153706</v>
      </c>
      <c r="X77" s="1">
        <v>23.5</v>
      </c>
      <c r="Y77" s="1">
        <v>23.5</v>
      </c>
      <c r="Z77" s="15">
        <v>17.024424898784201</v>
      </c>
    </row>
    <row r="78" spans="2:26" x14ac:dyDescent="0.3">
      <c r="B78" s="1" t="s">
        <v>31</v>
      </c>
      <c r="C78" s="1" t="s">
        <v>22</v>
      </c>
      <c r="D78" s="6">
        <v>1.66488624253968</v>
      </c>
      <c r="E78" s="6">
        <v>0.73952445342362605</v>
      </c>
      <c r="F78" s="6">
        <v>0.17832892113485599</v>
      </c>
      <c r="G78" s="6">
        <v>0.27423838854409399</v>
      </c>
      <c r="H78" s="6">
        <v>0.48361043234368201</v>
      </c>
      <c r="I78" s="15">
        <v>26.537703021999999</v>
      </c>
      <c r="J78" s="15"/>
      <c r="K78" s="1">
        <v>27.75</v>
      </c>
      <c r="L78" s="1"/>
      <c r="M78" s="1"/>
      <c r="N78" s="1"/>
      <c r="O78" s="6"/>
      <c r="Q78" s="1" t="s">
        <v>22</v>
      </c>
      <c r="R78" s="2">
        <v>1.07122215244959</v>
      </c>
      <c r="S78" s="6">
        <v>-0.11116405161722299</v>
      </c>
      <c r="T78" s="6">
        <v>4.2081062239471598E-2</v>
      </c>
      <c r="U78" s="6">
        <v>-0.189204803446921</v>
      </c>
      <c r="V78" s="6">
        <v>-0.35789938707520003</v>
      </c>
      <c r="W78" s="6">
        <v>0.97403329999999999</v>
      </c>
      <c r="X78" s="1">
        <v>27.75</v>
      </c>
      <c r="Y78" s="1"/>
      <c r="Z78" s="15"/>
    </row>
    <row r="79" spans="2:26" x14ac:dyDescent="0.3">
      <c r="B79" s="1" t="s">
        <v>31</v>
      </c>
      <c r="C79" s="1" t="s">
        <v>23</v>
      </c>
      <c r="D79" s="6">
        <v>1.1538999764416</v>
      </c>
      <c r="E79" s="6">
        <v>9.3645385178040705E-2</v>
      </c>
      <c r="F79" s="6">
        <v>2.1496979213356301E-3</v>
      </c>
      <c r="G79" s="6">
        <v>9.4162329729257102E-2</v>
      </c>
      <c r="H79" s="6">
        <v>0.14570872911704</v>
      </c>
      <c r="I79" s="15">
        <v>13.041978800000001</v>
      </c>
      <c r="J79" s="15">
        <v>15.1069524712688</v>
      </c>
      <c r="K79" s="1">
        <v>20</v>
      </c>
      <c r="L79" s="1">
        <v>47.75</v>
      </c>
      <c r="M79" s="1">
        <v>118.40602251999999</v>
      </c>
      <c r="N79" s="1">
        <v>54.055999999999997</v>
      </c>
      <c r="O79" s="6">
        <f t="shared" si="1"/>
        <v>1.0572093304532362</v>
      </c>
      <c r="Q79" s="1" t="s">
        <v>23</v>
      </c>
      <c r="R79" s="2">
        <v>0.96842975873578097</v>
      </c>
      <c r="S79" s="6">
        <v>-0.44122459346906301</v>
      </c>
      <c r="T79" s="6">
        <v>-1.77749404385871E-2</v>
      </c>
      <c r="U79" s="6">
        <v>-0.32892352624960403</v>
      </c>
      <c r="V79" s="6">
        <v>-0.35193689103828402</v>
      </c>
      <c r="W79" s="6">
        <v>0.83745153999999999</v>
      </c>
      <c r="X79" s="1">
        <v>20</v>
      </c>
      <c r="Y79" s="1">
        <v>47.75</v>
      </c>
      <c r="Z79" s="15">
        <v>15.1069524712688</v>
      </c>
    </row>
    <row r="80" spans="2:26" x14ac:dyDescent="0.3">
      <c r="B80" s="1" t="s">
        <v>31</v>
      </c>
      <c r="C80" s="1" t="s">
        <v>24</v>
      </c>
      <c r="D80" s="6">
        <v>1.5749763159783401</v>
      </c>
      <c r="E80" s="6">
        <v>0.78100360785877099</v>
      </c>
      <c r="F80" s="6">
        <v>0.101236914763633</v>
      </c>
      <c r="G80" s="6">
        <v>0.182359888343469</v>
      </c>
      <c r="H80" s="6">
        <v>0.231871322621472</v>
      </c>
      <c r="I80" s="15">
        <v>27.244893999999999</v>
      </c>
      <c r="J80" s="15">
        <v>21.9579587943592</v>
      </c>
      <c r="K80" s="1">
        <v>23.75</v>
      </c>
      <c r="L80" s="1">
        <v>23.75</v>
      </c>
      <c r="M80" s="1">
        <v>115.75512236</v>
      </c>
      <c r="N80" s="1">
        <v>53.783999999999999</v>
      </c>
      <c r="O80" s="6">
        <f t="shared" si="1"/>
        <v>1.111235100018195</v>
      </c>
      <c r="Q80" s="1" t="s">
        <v>24</v>
      </c>
      <c r="R80" s="2">
        <v>0.99721998555050795</v>
      </c>
      <c r="S80" s="6">
        <v>-0.221642867808126</v>
      </c>
      <c r="T80" s="6">
        <v>3.08855730575289E-3</v>
      </c>
      <c r="U80" s="6">
        <v>-0.240487300709117</v>
      </c>
      <c r="V80" s="6">
        <v>-0.35714514817447202</v>
      </c>
      <c r="W80" s="6">
        <v>0.94095271999999996</v>
      </c>
      <c r="X80" s="1">
        <v>23.75</v>
      </c>
      <c r="Y80" s="1">
        <v>23.75</v>
      </c>
      <c r="Z80" s="15">
        <v>21.9579587943592</v>
      </c>
    </row>
    <row r="81" spans="2:26" x14ac:dyDescent="0.3">
      <c r="B81" s="1" t="s">
        <v>31</v>
      </c>
      <c r="C81" s="1" t="s">
        <v>25</v>
      </c>
      <c r="D81" s="6">
        <v>1.3735151389442699</v>
      </c>
      <c r="E81" s="6">
        <v>0.76865077228085099</v>
      </c>
      <c r="F81" s="6">
        <v>0.107400232693555</v>
      </c>
      <c r="G81" s="6">
        <v>0.29530329286121099</v>
      </c>
      <c r="H81" s="6">
        <v>0.55988644938947996</v>
      </c>
      <c r="I81" s="15">
        <v>16.4784592</v>
      </c>
      <c r="J81" s="15">
        <v>16.640165980770899</v>
      </c>
      <c r="K81" s="1">
        <v>23.5</v>
      </c>
      <c r="L81" s="1">
        <v>23.5</v>
      </c>
      <c r="M81" s="1">
        <v>121.12197168</v>
      </c>
      <c r="N81" s="1">
        <v>53.783999999999999</v>
      </c>
      <c r="O81" s="6">
        <f t="shared" si="1"/>
        <v>1.0519758315193652</v>
      </c>
      <c r="Q81" s="1" t="s">
        <v>25</v>
      </c>
      <c r="R81" s="2">
        <v>1.0088578932758001</v>
      </c>
      <c r="S81" s="6">
        <v>0.120506313986007</v>
      </c>
      <c r="T81" s="6">
        <v>-5.3081166180475401E-3</v>
      </c>
      <c r="U81" s="6">
        <v>-3.9205413426507497E-2</v>
      </c>
      <c r="V81" s="6">
        <v>-5.52660269452276E-2</v>
      </c>
      <c r="W81" s="6">
        <v>0.87974381999999995</v>
      </c>
      <c r="X81" s="1">
        <v>23.5</v>
      </c>
      <c r="Y81" s="1">
        <v>23.5</v>
      </c>
      <c r="Z81" s="15">
        <v>16.640165980770899</v>
      </c>
    </row>
    <row r="82" spans="2:26" x14ac:dyDescent="0.3">
      <c r="B82" s="1" t="s">
        <v>31</v>
      </c>
      <c r="C82" s="1" t="s">
        <v>26</v>
      </c>
      <c r="D82" s="6"/>
      <c r="E82" s="6"/>
      <c r="F82" s="6"/>
      <c r="G82" s="6"/>
      <c r="H82" s="6"/>
      <c r="I82" s="15"/>
      <c r="J82" s="15"/>
      <c r="K82" s="1">
        <v>24</v>
      </c>
      <c r="O82" s="6"/>
      <c r="Q82" s="1" t="s">
        <v>26</v>
      </c>
      <c r="R82" s="2"/>
      <c r="S82" s="6">
        <v>0.99778765474319298</v>
      </c>
      <c r="T82" s="6">
        <v>0.99566811930969701</v>
      </c>
      <c r="U82" s="6">
        <v>0.88983788394215502</v>
      </c>
      <c r="V82" s="6">
        <v>0.99575457978189197</v>
      </c>
      <c r="W82" s="6">
        <v>0.67221945999999999</v>
      </c>
      <c r="X82" s="1">
        <v>24</v>
      </c>
      <c r="Z82" s="15"/>
    </row>
    <row r="83" spans="2:26" x14ac:dyDescent="0.3">
      <c r="B83" s="1" t="s">
        <v>32</v>
      </c>
      <c r="C83" s="1" t="s">
        <v>12</v>
      </c>
      <c r="D83" s="6">
        <v>1.05849048577709</v>
      </c>
      <c r="E83" s="6">
        <v>-0.73582121336391904</v>
      </c>
      <c r="F83" s="6">
        <v>8.4573685986466099E-2</v>
      </c>
      <c r="G83" s="6">
        <v>-0.287259060209199</v>
      </c>
      <c r="H83" s="6">
        <v>-0.58797102878241003</v>
      </c>
      <c r="I83" s="6">
        <v>19.942087656000002</v>
      </c>
      <c r="J83" s="15"/>
      <c r="K83" s="1"/>
      <c r="L83" s="10"/>
      <c r="O83" s="6"/>
      <c r="Q83" s="1" t="s">
        <v>12</v>
      </c>
      <c r="R83" s="15">
        <v>0.45078352403799399</v>
      </c>
      <c r="S83" s="15">
        <v>-0.811886428716041</v>
      </c>
      <c r="T83" s="15">
        <v>-9.3763935417501706E-2</v>
      </c>
      <c r="U83" s="15">
        <v>-0.59242476500051999</v>
      </c>
      <c r="V83" s="15">
        <v>-0.69147766882403905</v>
      </c>
      <c r="W83" s="15">
        <v>0.91760478000000001</v>
      </c>
      <c r="X83" s="1"/>
      <c r="Y83" s="10"/>
      <c r="Z83" s="15"/>
    </row>
    <row r="84" spans="2:26" x14ac:dyDescent="0.3">
      <c r="B84" s="1" t="s">
        <v>32</v>
      </c>
      <c r="C84" s="1" t="s">
        <v>13</v>
      </c>
      <c r="D84" s="6">
        <v>1.4368219825375701</v>
      </c>
      <c r="E84" s="6">
        <v>0.96854380596042999</v>
      </c>
      <c r="F84" s="6">
        <v>0.198594884621278</v>
      </c>
      <c r="G84" s="6">
        <v>0.27258911823182802</v>
      </c>
      <c r="H84" s="6">
        <v>0.46273610324349101</v>
      </c>
      <c r="I84" s="6">
        <v>27.006948699999999</v>
      </c>
      <c r="J84" s="15"/>
      <c r="K84" s="1">
        <v>22</v>
      </c>
      <c r="L84" s="1"/>
      <c r="O84" s="6"/>
      <c r="Q84" s="1" t="s">
        <v>13</v>
      </c>
      <c r="R84" s="15">
        <v>0.94043662960440699</v>
      </c>
      <c r="S84" s="15">
        <v>-0.54271122756527101</v>
      </c>
      <c r="T84" s="15">
        <v>-5.2796335197095298E-2</v>
      </c>
      <c r="U84" s="15">
        <v>-0.51710856794982696</v>
      </c>
      <c r="V84" s="15">
        <v>-0.70546594396719597</v>
      </c>
      <c r="W84" s="15">
        <v>0.96415406000000003</v>
      </c>
      <c r="X84" s="1">
        <v>22</v>
      </c>
      <c r="Y84" s="1"/>
      <c r="Z84" s="15"/>
    </row>
    <row r="85" spans="2:26" x14ac:dyDescent="0.3">
      <c r="B85" s="1" t="s">
        <v>32</v>
      </c>
      <c r="C85" s="1" t="s">
        <v>14</v>
      </c>
      <c r="D85" s="6">
        <v>1.1632876834321</v>
      </c>
      <c r="E85" s="6">
        <v>0.91285830032378401</v>
      </c>
      <c r="F85" s="6">
        <v>6.8212961854365706E-2</v>
      </c>
      <c r="G85" s="6">
        <v>3.5537077624845197E-2</v>
      </c>
      <c r="H85" s="6">
        <v>0.22937370048900599</v>
      </c>
      <c r="I85" s="6">
        <v>17.163158299999999</v>
      </c>
      <c r="J85" s="15">
        <v>2.4954469283408098</v>
      </c>
      <c r="K85" s="1">
        <v>21.75</v>
      </c>
      <c r="L85" s="1"/>
      <c r="M85" s="1">
        <v>118.22733427999999</v>
      </c>
      <c r="N85" s="1">
        <v>60.710430000000002</v>
      </c>
      <c r="O85" s="6">
        <f t="shared" si="1"/>
        <v>1.0078290838208943</v>
      </c>
      <c r="Q85" s="1" t="s">
        <v>14</v>
      </c>
      <c r="R85" s="15">
        <v>0.95863149267075098</v>
      </c>
      <c r="S85" s="15">
        <v>-0.67772868565601696</v>
      </c>
      <c r="T85" s="15">
        <v>-5.9125313303963402E-2</v>
      </c>
      <c r="U85" s="15">
        <v>-0.22388684560642999</v>
      </c>
      <c r="V85" s="15">
        <v>-0.31865749564567802</v>
      </c>
      <c r="W85" s="15">
        <v>0.87021844000000004</v>
      </c>
      <c r="X85" s="1">
        <v>21.75</v>
      </c>
      <c r="Y85" s="1"/>
      <c r="Z85" s="15">
        <v>2.4954469283408098</v>
      </c>
    </row>
    <row r="86" spans="2:26" x14ac:dyDescent="0.3">
      <c r="B86" s="1" t="s">
        <v>32</v>
      </c>
      <c r="C86" s="1" t="s">
        <v>15</v>
      </c>
      <c r="D86" s="6">
        <v>1.1661766362910899</v>
      </c>
      <c r="E86" s="6">
        <v>0.69952356032694896</v>
      </c>
      <c r="F86" s="6">
        <v>4.9611646415268197E-2</v>
      </c>
      <c r="G86" s="6">
        <v>2.5953044020623199E-2</v>
      </c>
      <c r="H86" s="6">
        <v>5.1311236293024601E-2</v>
      </c>
      <c r="I86" s="6">
        <v>11.844246328000001</v>
      </c>
      <c r="J86" s="15">
        <v>4.9705418000804897</v>
      </c>
      <c r="K86" s="1">
        <v>48.5</v>
      </c>
      <c r="L86" s="1">
        <v>48.5</v>
      </c>
      <c r="M86" s="1">
        <v>108.51115272</v>
      </c>
      <c r="N86" s="1">
        <v>45.71622</v>
      </c>
      <c r="O86" s="6">
        <f t="shared" si="1"/>
        <v>1.008246697022094</v>
      </c>
      <c r="Q86" s="1" t="s">
        <v>15</v>
      </c>
      <c r="R86" s="15">
        <v>0.98251699448728103</v>
      </c>
      <c r="S86" s="15">
        <v>-0.76078071695181804</v>
      </c>
      <c r="T86" s="15">
        <v>-4.1714957549384597E-2</v>
      </c>
      <c r="U86" s="15">
        <v>-0.48948097268950003</v>
      </c>
      <c r="V86" s="15">
        <v>-0.68365663642373098</v>
      </c>
      <c r="W86" s="15">
        <v>0.67463406000000004</v>
      </c>
      <c r="X86" s="1">
        <v>48.5</v>
      </c>
      <c r="Y86" s="1">
        <v>48.5</v>
      </c>
      <c r="Z86" s="15">
        <v>4.9705418000804897</v>
      </c>
    </row>
    <row r="87" spans="2:26" x14ac:dyDescent="0.3">
      <c r="B87" s="1" t="s">
        <v>32</v>
      </c>
      <c r="C87" s="1" t="s">
        <v>16</v>
      </c>
      <c r="D87" s="6">
        <v>1.1611078257792899</v>
      </c>
      <c r="E87" s="6">
        <v>0.97668665464899096</v>
      </c>
      <c r="F87" s="6">
        <v>0.107447815904682</v>
      </c>
      <c r="G87" s="6">
        <v>0.42120473230354999</v>
      </c>
      <c r="H87" s="6">
        <v>0.51748356145943097</v>
      </c>
      <c r="I87" s="6">
        <v>10.4846146</v>
      </c>
      <c r="J87" s="15">
        <v>18.738059749368901</v>
      </c>
      <c r="K87" s="1">
        <v>28.75</v>
      </c>
      <c r="L87" s="1">
        <v>28.75</v>
      </c>
      <c r="M87" s="1">
        <v>106.97060942</v>
      </c>
      <c r="N87" s="1">
        <v>46.063560000000003</v>
      </c>
      <c r="O87" s="6">
        <f t="shared" si="1"/>
        <v>1.0490052443540898</v>
      </c>
      <c r="Q87" s="1" t="s">
        <v>16</v>
      </c>
      <c r="R87" s="15">
        <v>1.0568614326035</v>
      </c>
      <c r="S87" s="15">
        <v>0.64678217889059297</v>
      </c>
      <c r="T87" s="15">
        <v>7.3340759088016003E-2</v>
      </c>
      <c r="U87" s="15">
        <v>0.25169140730518702</v>
      </c>
      <c r="V87" s="15">
        <v>0.491835866659809</v>
      </c>
      <c r="W87" s="15">
        <v>0.70251850000000005</v>
      </c>
      <c r="X87" s="1">
        <v>28.75</v>
      </c>
      <c r="Y87" s="1">
        <v>28.75</v>
      </c>
      <c r="Z87" s="15">
        <v>18.738059749368901</v>
      </c>
    </row>
    <row r="88" spans="2:26" x14ac:dyDescent="0.3">
      <c r="B88" s="1" t="s">
        <v>32</v>
      </c>
      <c r="C88" s="1" t="s">
        <v>17</v>
      </c>
      <c r="D88" s="6">
        <v>1.2283054504143001</v>
      </c>
      <c r="E88" s="6">
        <v>0.33582626900186402</v>
      </c>
      <c r="F88" s="6">
        <v>0.39411883766970102</v>
      </c>
      <c r="G88" s="6">
        <v>0.156387959199389</v>
      </c>
      <c r="H88" s="6">
        <v>0.23252415029498999</v>
      </c>
      <c r="I88" s="6">
        <v>12.196904200000001</v>
      </c>
      <c r="J88" s="15">
        <v>8.1761484496582497</v>
      </c>
      <c r="K88" s="1">
        <v>21</v>
      </c>
      <c r="L88" s="1">
        <v>21</v>
      </c>
      <c r="M88" s="1">
        <v>113.72040256</v>
      </c>
      <c r="N88" s="1">
        <v>47.354999999999997</v>
      </c>
      <c r="O88" s="6">
        <f t="shared" si="1"/>
        <v>1.0119508062412015</v>
      </c>
      <c r="Q88" s="1" t="s">
        <v>17</v>
      </c>
      <c r="R88" s="15">
        <v>1.03826719630338</v>
      </c>
      <c r="S88" s="15">
        <v>-0.15477977693324399</v>
      </c>
      <c r="T88" s="15">
        <v>7.1354925056258001E-3</v>
      </c>
      <c r="U88" s="15">
        <v>-0.367349220425781</v>
      </c>
      <c r="V88" s="15">
        <v>-0.40648853244771799</v>
      </c>
      <c r="W88" s="15">
        <v>0.78001461999999999</v>
      </c>
      <c r="X88" s="1">
        <v>21</v>
      </c>
      <c r="Y88" s="1">
        <v>21</v>
      </c>
      <c r="Z88" s="15">
        <v>8.1761484496582497</v>
      </c>
    </row>
    <row r="89" spans="2:26" x14ac:dyDescent="0.3">
      <c r="B89" s="1" t="s">
        <v>32</v>
      </c>
      <c r="C89" s="1" t="s">
        <v>18</v>
      </c>
      <c r="D89" s="6">
        <v>1.2985932043400299</v>
      </c>
      <c r="E89" s="6">
        <v>0.52794332050181203</v>
      </c>
      <c r="F89" s="6">
        <v>9.0698601563059603E-2</v>
      </c>
      <c r="G89" s="6">
        <v>8.6133318916628995E-2</v>
      </c>
      <c r="H89" s="6">
        <v>0.182064258836168</v>
      </c>
      <c r="I89" s="6">
        <v>15.053141999999999</v>
      </c>
      <c r="J89" s="15"/>
      <c r="K89" s="1">
        <v>21.5</v>
      </c>
      <c r="L89" s="1"/>
      <c r="M89" s="1"/>
      <c r="N89" s="1"/>
      <c r="O89" s="6"/>
      <c r="Q89" s="1" t="s">
        <v>18</v>
      </c>
      <c r="R89" s="15">
        <v>0.93867849021001804</v>
      </c>
      <c r="S89" s="15">
        <v>-0.86583274285189604</v>
      </c>
      <c r="T89" s="15">
        <v>-0.28463650723553102</v>
      </c>
      <c r="U89" s="15">
        <v>-0.16387797241242599</v>
      </c>
      <c r="V89" s="15">
        <v>-0.28853093635152299</v>
      </c>
      <c r="W89" s="15">
        <v>0.88951659999999999</v>
      </c>
      <c r="X89" s="1">
        <v>21.5</v>
      </c>
      <c r="Y89" s="1"/>
      <c r="Z89" s="15"/>
    </row>
    <row r="90" spans="2:26" x14ac:dyDescent="0.3">
      <c r="B90" s="1" t="s">
        <v>32</v>
      </c>
      <c r="C90" s="1" t="s">
        <v>19</v>
      </c>
      <c r="D90" s="6">
        <v>1.25880991704892</v>
      </c>
      <c r="E90" s="6">
        <v>0.94081849763111403</v>
      </c>
      <c r="F90" s="6">
        <v>9.9852529707758195E-2</v>
      </c>
      <c r="G90" s="6">
        <v>0.14441306620899</v>
      </c>
      <c r="H90" s="6">
        <v>0.127313045897571</v>
      </c>
      <c r="I90" s="6">
        <v>10.8144344</v>
      </c>
      <c r="J90" s="15">
        <v>19.594840851392899</v>
      </c>
      <c r="K90" s="1">
        <v>75</v>
      </c>
      <c r="L90" s="1">
        <v>96.5</v>
      </c>
      <c r="M90" s="1">
        <v>112.66319882000001</v>
      </c>
      <c r="N90" s="1">
        <v>101.105</v>
      </c>
      <c r="O90" s="6">
        <f t="shared" si="1"/>
        <v>1.0239451393319936</v>
      </c>
      <c r="Q90" s="1" t="s">
        <v>19</v>
      </c>
      <c r="R90" s="15">
        <v>1.08896416336113</v>
      </c>
      <c r="S90" s="15">
        <v>0.61214631104569395</v>
      </c>
      <c r="T90" s="15">
        <v>-7.3287190867590401E-3</v>
      </c>
      <c r="U90" s="15">
        <v>7.0929531816344302E-2</v>
      </c>
      <c r="V90" s="15">
        <v>2.6686926823699001E-2</v>
      </c>
      <c r="W90" s="15">
        <v>2.5169402000000001</v>
      </c>
      <c r="X90" s="1">
        <v>75</v>
      </c>
      <c r="Y90" s="1">
        <v>96.5</v>
      </c>
      <c r="Z90" s="15">
        <v>19.594840851392899</v>
      </c>
    </row>
    <row r="91" spans="2:26" x14ac:dyDescent="0.3">
      <c r="B91" s="1" t="s">
        <v>32</v>
      </c>
      <c r="C91" s="1" t="s">
        <v>20</v>
      </c>
      <c r="D91" s="6">
        <v>1.2914529576795399</v>
      </c>
      <c r="E91" s="6">
        <v>0.445945938664987</v>
      </c>
      <c r="F91" s="6">
        <v>5.5815481283492403E-2</v>
      </c>
      <c r="G91" s="6">
        <v>-2.5071828435610701E-2</v>
      </c>
      <c r="H91" s="6">
        <v>-6.0561861956973301E-2</v>
      </c>
      <c r="I91" s="6">
        <v>14.806100799999999</v>
      </c>
      <c r="J91" s="15">
        <v>17.2552427011953</v>
      </c>
      <c r="K91" s="1">
        <v>47.5</v>
      </c>
      <c r="L91" s="1">
        <v>47.5</v>
      </c>
      <c r="M91" s="1">
        <v>114.89097618</v>
      </c>
      <c r="N91" s="1">
        <v>44.466000000000001</v>
      </c>
      <c r="O91" s="6">
        <f t="shared" si="1"/>
        <v>1.0275460447393339</v>
      </c>
      <c r="Q91" s="1" t="s">
        <v>20</v>
      </c>
      <c r="R91" s="15">
        <v>1.18553177339745</v>
      </c>
      <c r="S91" s="15">
        <v>0.59208584316733603</v>
      </c>
      <c r="T91" s="15">
        <v>0.10941628444022999</v>
      </c>
      <c r="U91" s="15">
        <v>-8.2652311661493602E-2</v>
      </c>
      <c r="V91" s="15">
        <v>-0.14457153571433501</v>
      </c>
      <c r="W91" s="15">
        <v>2.1202784000000001</v>
      </c>
      <c r="X91" s="1">
        <v>47.5</v>
      </c>
      <c r="Y91" s="1">
        <v>47.5</v>
      </c>
      <c r="Z91" s="15">
        <v>17.2552427011953</v>
      </c>
    </row>
    <row r="92" spans="2:26" x14ac:dyDescent="0.3">
      <c r="B92" s="1" t="s">
        <v>32</v>
      </c>
      <c r="C92" s="1" t="s">
        <v>21</v>
      </c>
      <c r="D92" s="6">
        <v>1.2886907903199001</v>
      </c>
      <c r="E92" s="6">
        <v>-0.136935986249347</v>
      </c>
      <c r="F92" s="6">
        <v>9.5391388976058394E-2</v>
      </c>
      <c r="G92" s="6">
        <v>-4.6773396023209401E-2</v>
      </c>
      <c r="H92" s="6">
        <v>-0.39859988725441597</v>
      </c>
      <c r="I92" s="6">
        <v>40.336936000000001</v>
      </c>
      <c r="J92" s="15">
        <v>17.024424898784201</v>
      </c>
      <c r="K92" s="1">
        <v>23.5</v>
      </c>
      <c r="L92" s="1">
        <v>23.5</v>
      </c>
      <c r="M92" s="1">
        <v>116.55531655999999</v>
      </c>
      <c r="N92" s="1">
        <v>47.503</v>
      </c>
      <c r="O92" s="6">
        <f t="shared" si="1"/>
        <v>1.0275826446035865</v>
      </c>
      <c r="Q92" s="1" t="s">
        <v>21</v>
      </c>
      <c r="R92" s="15">
        <v>1.0643830961710401</v>
      </c>
      <c r="S92" s="15">
        <v>0.74012064453311799</v>
      </c>
      <c r="T92" s="15">
        <v>-8.4675321487204705E-2</v>
      </c>
      <c r="U92" s="15">
        <v>-1.32723063904272E-2</v>
      </c>
      <c r="V92" s="15">
        <v>3.4508337465724501E-3</v>
      </c>
      <c r="W92" s="15">
        <v>1.5569007399999999</v>
      </c>
      <c r="X92" s="1">
        <v>23.5</v>
      </c>
      <c r="Y92" s="1">
        <v>23.5</v>
      </c>
      <c r="Z92" s="15">
        <v>17.024424898784201</v>
      </c>
    </row>
    <row r="93" spans="2:26" x14ac:dyDescent="0.3">
      <c r="B93" s="1" t="s">
        <v>32</v>
      </c>
      <c r="C93" s="1" t="s">
        <v>22</v>
      </c>
      <c r="D93" s="6">
        <v>1.39612401914989</v>
      </c>
      <c r="E93" s="6">
        <v>0.97165157928161605</v>
      </c>
      <c r="F93" s="6">
        <v>9.9540545016305104E-2</v>
      </c>
      <c r="G93" s="6">
        <v>0.34044235934827199</v>
      </c>
      <c r="H93" s="6">
        <v>0.39047571029020101</v>
      </c>
      <c r="I93" s="6">
        <v>19.439147999999999</v>
      </c>
      <c r="J93" s="15"/>
      <c r="K93" s="1">
        <v>27.75</v>
      </c>
      <c r="L93" s="1"/>
      <c r="M93" s="1"/>
      <c r="N93" s="1"/>
      <c r="O93" s="6"/>
      <c r="Q93" s="1" t="s">
        <v>22</v>
      </c>
      <c r="R93" s="15">
        <v>1.0913993357873799</v>
      </c>
      <c r="S93" s="15">
        <v>0.62408685090742599</v>
      </c>
      <c r="T93" s="15">
        <v>-3.2911415817637998E-2</v>
      </c>
      <c r="U93" s="15">
        <v>0.135780500269543</v>
      </c>
      <c r="V93" s="15">
        <v>0.34605165591715997</v>
      </c>
      <c r="W93" s="15">
        <v>1.0782071600000001</v>
      </c>
      <c r="X93" s="1">
        <v>27.75</v>
      </c>
      <c r="Y93" s="1"/>
      <c r="Z93" s="15"/>
    </row>
    <row r="94" spans="2:26" x14ac:dyDescent="0.3">
      <c r="B94" s="1" t="s">
        <v>32</v>
      </c>
      <c r="C94" s="1" t="s">
        <v>23</v>
      </c>
      <c r="D94" s="6">
        <v>1.15490049713987</v>
      </c>
      <c r="E94" s="6">
        <v>0.47813963463856402</v>
      </c>
      <c r="F94" s="6">
        <v>0.115227328160236</v>
      </c>
      <c r="G94" s="6">
        <v>0.11991903441809899</v>
      </c>
      <c r="H94" s="6">
        <v>0.21451548931331799</v>
      </c>
      <c r="I94" s="6">
        <v>13.531736435999999</v>
      </c>
      <c r="J94" s="15">
        <v>15.1069524712688</v>
      </c>
      <c r="K94" s="1">
        <v>20</v>
      </c>
      <c r="L94" s="1">
        <v>47.75</v>
      </c>
      <c r="M94" s="1">
        <v>118.40602251999999</v>
      </c>
      <c r="N94" s="1">
        <v>54.055999999999997</v>
      </c>
      <c r="O94" s="6">
        <f t="shared" si="1"/>
        <v>1.0572093304532362</v>
      </c>
      <c r="Q94" s="1" t="s">
        <v>23</v>
      </c>
      <c r="R94" s="15">
        <v>1.00259808767117</v>
      </c>
      <c r="S94" s="15">
        <v>0.25147892096544</v>
      </c>
      <c r="T94" s="15">
        <v>-4.46763074582908E-2</v>
      </c>
      <c r="U94" s="15">
        <v>-5.9627669242487899E-2</v>
      </c>
      <c r="V94" s="15">
        <v>5.9741205921352902E-2</v>
      </c>
      <c r="W94" s="15">
        <v>0.85047623999999999</v>
      </c>
      <c r="X94" s="1">
        <v>20</v>
      </c>
      <c r="Y94" s="1">
        <v>47.75</v>
      </c>
      <c r="Z94" s="15">
        <v>15.1069524712688</v>
      </c>
    </row>
    <row r="95" spans="2:26" x14ac:dyDescent="0.3">
      <c r="B95" s="1" t="s">
        <v>32</v>
      </c>
      <c r="C95" s="1" t="s">
        <v>24</v>
      </c>
      <c r="D95" s="6">
        <v>1.6223687074200499</v>
      </c>
      <c r="E95" s="6">
        <v>0.74242380847501299</v>
      </c>
      <c r="F95" s="6">
        <v>0.157732693122626</v>
      </c>
      <c r="G95" s="6">
        <v>0.24344741431210701</v>
      </c>
      <c r="H95" s="6">
        <v>0.36717190942204098</v>
      </c>
      <c r="I95" s="6">
        <v>27.867789999999999</v>
      </c>
      <c r="J95" s="15">
        <v>21.9579587943592</v>
      </c>
      <c r="K95" s="1">
        <v>23.75</v>
      </c>
      <c r="L95" s="1">
        <v>23.75</v>
      </c>
      <c r="M95" s="1">
        <v>115.75512236</v>
      </c>
      <c r="N95" s="1">
        <v>53.783999999999999</v>
      </c>
      <c r="O95" s="6">
        <f t="shared" si="1"/>
        <v>1.111235100018195</v>
      </c>
      <c r="Q95" s="1" t="s">
        <v>24</v>
      </c>
      <c r="R95" s="15">
        <v>1.0043452914566</v>
      </c>
      <c r="S95" s="15">
        <v>-2.3625782421043601E-2</v>
      </c>
      <c r="T95" s="15">
        <v>-1.53118918462132E-3</v>
      </c>
      <c r="U95" s="15">
        <v>-0.19809625651833401</v>
      </c>
      <c r="V95" s="15">
        <v>-0.33765036599230702</v>
      </c>
      <c r="W95" s="15">
        <v>0.9663117</v>
      </c>
      <c r="X95" s="1">
        <v>23.75</v>
      </c>
      <c r="Y95" s="1">
        <v>23.75</v>
      </c>
      <c r="Z95" s="15">
        <v>21.9579587943592</v>
      </c>
    </row>
    <row r="96" spans="2:26" x14ac:dyDescent="0.3">
      <c r="B96" s="1" t="s">
        <v>32</v>
      </c>
      <c r="C96" s="1" t="s">
        <v>25</v>
      </c>
      <c r="D96" s="6">
        <v>1.4572146309152101</v>
      </c>
      <c r="E96" s="6">
        <v>0.80433038241724497</v>
      </c>
      <c r="F96" s="6">
        <v>0.121156039239802</v>
      </c>
      <c r="G96" s="6">
        <v>0.22398918216711</v>
      </c>
      <c r="H96" s="6">
        <v>0.39903109616354998</v>
      </c>
      <c r="I96" s="6">
        <v>16.916785999999998</v>
      </c>
      <c r="J96" s="15">
        <v>16.640165980770899</v>
      </c>
      <c r="K96" s="1">
        <v>23.5</v>
      </c>
      <c r="L96" s="1">
        <v>23.5</v>
      </c>
      <c r="M96" s="1">
        <v>121.12197168</v>
      </c>
      <c r="N96" s="1">
        <v>53.783999999999999</v>
      </c>
      <c r="O96" s="6">
        <f t="shared" si="1"/>
        <v>1.0519758315193652</v>
      </c>
      <c r="Q96" s="1" t="s">
        <v>25</v>
      </c>
      <c r="R96" s="15">
        <v>0.40870513477919201</v>
      </c>
      <c r="S96" s="15">
        <v>-0.95802365966780301</v>
      </c>
      <c r="T96" s="15">
        <v>-0.17920927988478999</v>
      </c>
      <c r="U96" s="15">
        <v>-0.425235161473629</v>
      </c>
      <c r="V96" s="15">
        <v>-0.63163315448990498</v>
      </c>
      <c r="W96" s="15">
        <v>2.6299551999999999</v>
      </c>
      <c r="X96" s="1">
        <v>23.5</v>
      </c>
      <c r="Y96" s="1">
        <v>23.5</v>
      </c>
      <c r="Z96" s="15">
        <v>16.640165980770899</v>
      </c>
    </row>
    <row r="97" spans="15:23" x14ac:dyDescent="0.3">
      <c r="O97" s="6"/>
      <c r="Q97" s="1"/>
      <c r="R97" s="15"/>
      <c r="S97" s="15"/>
      <c r="T97" s="15"/>
      <c r="U97" s="15"/>
      <c r="V97" s="15"/>
      <c r="W97" s="15"/>
    </row>
    <row r="98" spans="15:23" x14ac:dyDescent="0.3">
      <c r="O98" s="6"/>
    </row>
  </sheetData>
  <pageMargins left="0.7" right="0.7" top="0.75" bottom="0.75" header="0.3" footer="0.3"/>
  <pageSetup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F12EB8A-B5CD-45DF-8945-25E538A6637B}">
  <dimension ref="A1:X97"/>
  <sheetViews>
    <sheetView topLeftCell="F1" zoomScale="85" zoomScaleNormal="85" workbookViewId="0">
      <selection activeCell="H12" sqref="H12"/>
    </sheetView>
  </sheetViews>
  <sheetFormatPr defaultRowHeight="14.4" x14ac:dyDescent="0.3"/>
  <cols>
    <col min="1" max="1" width="3" style="1" customWidth="1"/>
    <col min="2" max="2" width="13" customWidth="1"/>
    <col min="3" max="3" width="19.109375" customWidth="1"/>
    <col min="4" max="4" width="18.44140625" customWidth="1"/>
    <col min="5" max="5" width="18.6640625" customWidth="1"/>
    <col min="6" max="6" width="21.109375" customWidth="1"/>
    <col min="7" max="7" width="24.88671875" customWidth="1"/>
    <col min="8" max="8" width="23.6640625" customWidth="1"/>
    <col min="9" max="9" width="20.6640625" customWidth="1"/>
    <col min="10" max="10" width="21.88671875" customWidth="1"/>
    <col min="11" max="11" width="18" customWidth="1"/>
    <col min="12" max="12" width="20.5546875" customWidth="1"/>
    <col min="13" max="13" width="21.6640625" customWidth="1"/>
    <col min="14" max="14" width="18.6640625" customWidth="1"/>
    <col min="16" max="16" width="12.44140625" customWidth="1"/>
    <col min="17" max="17" width="16.5546875" customWidth="1"/>
    <col min="18" max="18" width="15.88671875" customWidth="1"/>
    <col min="19" max="19" width="14.6640625" customWidth="1"/>
    <col min="20" max="20" width="14" customWidth="1"/>
    <col min="21" max="21" width="13.109375" customWidth="1"/>
    <col min="22" max="22" width="15.88671875" customWidth="1"/>
    <col min="23" max="23" width="16.6640625" customWidth="1"/>
    <col min="24" max="24" width="15.44140625" customWidth="1"/>
  </cols>
  <sheetData>
    <row r="1" spans="2:15" x14ac:dyDescent="0.3">
      <c r="H1" s="4" t="s">
        <v>8</v>
      </c>
    </row>
    <row r="2" spans="2:15" x14ac:dyDescent="0.3">
      <c r="H2" s="5" t="s">
        <v>9</v>
      </c>
    </row>
    <row r="3" spans="2:15" x14ac:dyDescent="0.3">
      <c r="B3" s="1" t="s">
        <v>1</v>
      </c>
      <c r="C3" s="1"/>
      <c r="D3" s="1"/>
      <c r="E3" s="1"/>
      <c r="F3" s="1"/>
      <c r="G3" s="1"/>
      <c r="H3" s="3"/>
      <c r="I3" s="1"/>
      <c r="J3" s="1"/>
      <c r="K3" s="1"/>
      <c r="L3" s="1"/>
      <c r="M3" s="1"/>
      <c r="N3" s="1"/>
      <c r="O3" s="1"/>
    </row>
    <row r="4" spans="2:15" ht="28.8" x14ac:dyDescent="0.3">
      <c r="B4" s="12" t="s">
        <v>10</v>
      </c>
      <c r="C4" s="12" t="s">
        <v>5</v>
      </c>
      <c r="D4" s="12" t="s">
        <v>6</v>
      </c>
      <c r="E4" s="12" t="s">
        <v>0</v>
      </c>
      <c r="F4" s="13" t="s">
        <v>11</v>
      </c>
      <c r="G4" s="16" t="s">
        <v>29</v>
      </c>
      <c r="H4" s="16" t="s">
        <v>30</v>
      </c>
      <c r="I4" s="12" t="s">
        <v>33</v>
      </c>
      <c r="J4" s="12" t="s">
        <v>34</v>
      </c>
      <c r="K4" s="1"/>
      <c r="L4" s="1"/>
      <c r="M4" s="1"/>
      <c r="N4" s="1"/>
      <c r="O4" s="1"/>
    </row>
    <row r="5" spans="2:15" x14ac:dyDescent="0.3">
      <c r="B5" s="1" t="s">
        <v>12</v>
      </c>
      <c r="C5" s="6">
        <v>1.86943505833322</v>
      </c>
      <c r="D5" s="6">
        <v>1.9314296164550899</v>
      </c>
      <c r="E5" s="6">
        <v>9.4513218106104094E-2</v>
      </c>
      <c r="F5" s="10">
        <v>23.15789474</v>
      </c>
      <c r="G5" s="1">
        <v>6055.55</v>
      </c>
      <c r="H5" s="10"/>
      <c r="K5" s="2"/>
      <c r="L5" s="2"/>
      <c r="M5" s="1"/>
      <c r="N5" s="1"/>
      <c r="O5" s="1"/>
    </row>
    <row r="6" spans="2:15" x14ac:dyDescent="0.3">
      <c r="B6" s="1" t="s">
        <v>13</v>
      </c>
      <c r="C6" s="6">
        <v>1.3545954270153699</v>
      </c>
      <c r="D6" s="6">
        <v>1.0089470650494099</v>
      </c>
      <c r="E6" s="6">
        <v>4.2663094228711902E-2</v>
      </c>
      <c r="F6" s="10">
        <v>23</v>
      </c>
      <c r="G6" s="1">
        <v>22</v>
      </c>
      <c r="H6" s="1"/>
      <c r="K6" s="2"/>
      <c r="L6" s="2"/>
      <c r="M6" s="1"/>
      <c r="N6" s="1"/>
      <c r="O6" s="1"/>
    </row>
    <row r="7" spans="2:15" x14ac:dyDescent="0.3">
      <c r="B7" s="1" t="s">
        <v>14</v>
      </c>
      <c r="C7" s="6"/>
      <c r="D7" s="6"/>
      <c r="E7" s="6"/>
      <c r="F7" s="10"/>
      <c r="G7" s="1">
        <v>21.75</v>
      </c>
      <c r="H7" s="1">
        <v>6099.3</v>
      </c>
      <c r="I7" s="1">
        <v>118.22733427999999</v>
      </c>
      <c r="J7" s="1">
        <v>60.710430000000002</v>
      </c>
      <c r="K7" s="2"/>
      <c r="L7" s="2"/>
      <c r="M7" s="6"/>
      <c r="N7" s="1"/>
      <c r="O7" s="1"/>
    </row>
    <row r="8" spans="2:15" x14ac:dyDescent="0.3">
      <c r="B8" s="1" t="s">
        <v>15</v>
      </c>
      <c r="C8" s="6"/>
      <c r="D8" s="6"/>
      <c r="E8" s="6"/>
      <c r="F8" s="10"/>
      <c r="G8" s="1">
        <v>48.5</v>
      </c>
      <c r="H8" s="1">
        <v>48.5</v>
      </c>
      <c r="I8" s="1">
        <v>108.51115272</v>
      </c>
      <c r="J8" s="1">
        <v>45.71622</v>
      </c>
      <c r="K8" s="2"/>
      <c r="L8" s="2"/>
      <c r="M8" s="6"/>
      <c r="N8" s="1"/>
      <c r="O8" s="1"/>
    </row>
    <row r="9" spans="2:15" x14ac:dyDescent="0.3">
      <c r="B9" s="1" t="s">
        <v>16</v>
      </c>
      <c r="C9" s="6"/>
      <c r="D9" s="6"/>
      <c r="E9" s="6"/>
      <c r="F9" s="10"/>
      <c r="G9" s="1">
        <v>28.75</v>
      </c>
      <c r="H9" s="1">
        <v>28.75</v>
      </c>
      <c r="I9" s="1">
        <v>106.97060942</v>
      </c>
      <c r="J9" s="1">
        <v>46.063560000000003</v>
      </c>
      <c r="K9" s="2"/>
      <c r="L9" s="2"/>
      <c r="M9" s="6"/>
      <c r="N9" s="1"/>
      <c r="O9" s="1"/>
    </row>
    <row r="10" spans="2:15" x14ac:dyDescent="0.3">
      <c r="B10" s="1" t="s">
        <v>17</v>
      </c>
      <c r="C10" s="6">
        <v>1.31746197777344</v>
      </c>
      <c r="D10" s="6">
        <v>0.66698565105034602</v>
      </c>
      <c r="E10" s="6">
        <v>8.8732929175135894E-2</v>
      </c>
      <c r="F10" s="10">
        <v>10.34482759</v>
      </c>
      <c r="G10" s="1">
        <v>21</v>
      </c>
      <c r="H10" s="1">
        <v>21</v>
      </c>
      <c r="I10" s="1">
        <v>113.72040256</v>
      </c>
      <c r="J10" s="1">
        <v>47.354999999999997</v>
      </c>
      <c r="K10" s="2"/>
      <c r="L10" s="2"/>
      <c r="M10" s="6"/>
      <c r="N10" s="1"/>
      <c r="O10" s="1"/>
    </row>
    <row r="11" spans="2:15" x14ac:dyDescent="0.3">
      <c r="B11" s="1" t="s">
        <v>18</v>
      </c>
      <c r="C11" s="6">
        <v>0.89735303995633098</v>
      </c>
      <c r="D11" s="6">
        <v>0.19762137224995299</v>
      </c>
      <c r="E11" s="6">
        <v>-1.9463558010346702E-2</v>
      </c>
      <c r="F11" s="10">
        <v>26.086956520000001</v>
      </c>
      <c r="G11" s="1">
        <v>21.5</v>
      </c>
      <c r="H11" s="1"/>
      <c r="I11" s="1"/>
      <c r="J11" s="1"/>
      <c r="K11" s="2"/>
      <c r="L11" s="2"/>
      <c r="M11" s="6"/>
      <c r="N11" s="1"/>
      <c r="O11" s="1"/>
    </row>
    <row r="12" spans="2:15" x14ac:dyDescent="0.3">
      <c r="B12" s="1" t="s">
        <v>19</v>
      </c>
      <c r="C12" s="6">
        <v>1.39880081037808</v>
      </c>
      <c r="D12" s="6">
        <v>0.54807771119966198</v>
      </c>
      <c r="E12" s="6">
        <v>0.10415722716452799</v>
      </c>
      <c r="F12" s="10">
        <v>8.125</v>
      </c>
      <c r="G12" s="1">
        <v>75</v>
      </c>
      <c r="H12" s="1">
        <v>96.5</v>
      </c>
      <c r="I12" s="1">
        <v>112.66319882000001</v>
      </c>
      <c r="J12" s="1">
        <v>101.105</v>
      </c>
      <c r="K12" s="2"/>
      <c r="L12" s="2"/>
      <c r="M12" s="6"/>
      <c r="N12" s="1"/>
      <c r="O12" s="1"/>
    </row>
    <row r="13" spans="2:15" x14ac:dyDescent="0.3">
      <c r="B13" s="1" t="s">
        <v>20</v>
      </c>
      <c r="C13" s="6">
        <v>1.2210038373368299</v>
      </c>
      <c r="D13" s="6">
        <v>0.10106112243990099</v>
      </c>
      <c r="E13" s="6">
        <v>4.66251429291673E-2</v>
      </c>
      <c r="F13" s="10">
        <v>12.67</v>
      </c>
      <c r="G13" s="1">
        <v>47.5</v>
      </c>
      <c r="H13" s="1">
        <v>47.5</v>
      </c>
      <c r="I13" s="1">
        <v>114.89097618</v>
      </c>
      <c r="J13" s="1">
        <v>44.466000000000001</v>
      </c>
      <c r="K13" s="2"/>
      <c r="L13" s="2"/>
      <c r="M13" s="6"/>
      <c r="N13" s="1"/>
      <c r="O13" s="1"/>
    </row>
    <row r="14" spans="2:15" x14ac:dyDescent="0.3">
      <c r="B14" s="1" t="s">
        <v>21</v>
      </c>
      <c r="C14" s="6">
        <v>1.5249018262283101</v>
      </c>
      <c r="D14" s="6">
        <v>0.50902572287082404</v>
      </c>
      <c r="E14" s="6">
        <v>9.0894558490112708E-3</v>
      </c>
      <c r="F14" s="10">
        <v>42</v>
      </c>
      <c r="G14" s="1">
        <v>23.5</v>
      </c>
      <c r="H14" s="1">
        <v>23.5</v>
      </c>
      <c r="I14" s="1">
        <v>116.55531655999999</v>
      </c>
      <c r="J14" s="1">
        <v>47.503</v>
      </c>
      <c r="K14" s="1"/>
      <c r="L14" s="7"/>
      <c r="M14" s="6"/>
      <c r="N14" s="1"/>
      <c r="O14" s="1"/>
    </row>
    <row r="15" spans="2:15" x14ac:dyDescent="0.3">
      <c r="B15" s="1" t="s">
        <v>22</v>
      </c>
      <c r="C15" s="6"/>
      <c r="D15" s="6"/>
      <c r="E15" s="6"/>
      <c r="F15" s="10"/>
      <c r="G15" s="1">
        <v>27.75</v>
      </c>
      <c r="H15" s="1"/>
      <c r="I15" s="1"/>
      <c r="J15" s="1"/>
      <c r="K15" s="1"/>
      <c r="L15" s="7"/>
      <c r="M15" s="6"/>
      <c r="N15" s="1"/>
      <c r="O15" s="1"/>
    </row>
    <row r="16" spans="2:15" x14ac:dyDescent="0.3">
      <c r="B16" s="1" t="s">
        <v>23</v>
      </c>
      <c r="C16" s="6"/>
      <c r="D16" s="6"/>
      <c r="E16" s="6"/>
      <c r="F16" s="10"/>
      <c r="G16" s="1">
        <v>20</v>
      </c>
      <c r="H16" s="1">
        <v>47.75</v>
      </c>
      <c r="I16" s="1">
        <v>118.40602251999999</v>
      </c>
      <c r="J16" s="1">
        <v>54.055999999999997</v>
      </c>
      <c r="K16" s="1"/>
      <c r="L16" s="1"/>
      <c r="M16" s="1"/>
      <c r="N16" s="1"/>
      <c r="O16" s="1"/>
    </row>
    <row r="17" spans="2:15" x14ac:dyDescent="0.3">
      <c r="B17" s="1" t="s">
        <v>24</v>
      </c>
      <c r="C17" s="6">
        <v>1.36678278361715</v>
      </c>
      <c r="D17" s="6">
        <v>0.463447965306029</v>
      </c>
      <c r="E17" s="6">
        <v>2.0373962034653699E-2</v>
      </c>
      <c r="F17" s="10">
        <v>20.666666670000001</v>
      </c>
      <c r="G17" s="1">
        <v>23.75</v>
      </c>
      <c r="H17" s="1">
        <v>23.75</v>
      </c>
      <c r="I17" s="1">
        <v>115.75512236</v>
      </c>
      <c r="J17" s="1">
        <v>53.783999999999999</v>
      </c>
      <c r="K17" s="1"/>
      <c r="L17" s="1"/>
      <c r="M17" s="1"/>
      <c r="N17" s="1"/>
      <c r="O17" s="1"/>
    </row>
    <row r="18" spans="2:15" x14ac:dyDescent="0.3">
      <c r="B18" s="1" t="s">
        <v>25</v>
      </c>
      <c r="C18" s="6"/>
      <c r="D18" s="6"/>
      <c r="E18" s="6"/>
      <c r="F18" s="10"/>
      <c r="G18" s="1">
        <v>23.5</v>
      </c>
      <c r="H18" s="1">
        <v>23.5</v>
      </c>
      <c r="I18" s="1">
        <v>121.12197168</v>
      </c>
      <c r="J18" s="1">
        <v>53.783999999999999</v>
      </c>
      <c r="K18" s="1"/>
      <c r="L18" s="1"/>
      <c r="M18" s="1"/>
      <c r="N18" s="1"/>
      <c r="O18" s="1"/>
    </row>
    <row r="19" spans="2:15" x14ac:dyDescent="0.3">
      <c r="B19" s="1" t="s">
        <v>26</v>
      </c>
      <c r="C19" s="6"/>
      <c r="D19" s="6"/>
      <c r="E19" s="6"/>
      <c r="F19" s="10"/>
      <c r="G19" s="1">
        <v>24</v>
      </c>
      <c r="K19" s="2"/>
      <c r="L19" s="2"/>
      <c r="M19" s="1"/>
      <c r="N19" s="1"/>
      <c r="O19" s="1"/>
    </row>
    <row r="20" spans="2:15" x14ac:dyDescent="0.3">
      <c r="B20" s="1"/>
      <c r="C20" s="6"/>
      <c r="D20" s="6"/>
      <c r="E20" s="6"/>
      <c r="F20" s="10"/>
      <c r="G20" s="1"/>
      <c r="H20" s="10"/>
      <c r="K20" s="2"/>
      <c r="L20" s="2"/>
      <c r="M20" s="1"/>
      <c r="N20" s="1"/>
      <c r="O20" s="1"/>
    </row>
    <row r="21" spans="2:15" x14ac:dyDescent="0.3">
      <c r="B21" s="11" t="s">
        <v>2</v>
      </c>
      <c r="C21" s="1"/>
      <c r="D21" s="1"/>
      <c r="E21" s="1"/>
      <c r="F21" s="1"/>
      <c r="G21" s="6"/>
      <c r="H21" s="1"/>
      <c r="I21" s="1"/>
      <c r="J21" s="2"/>
      <c r="K21" s="2"/>
      <c r="L21" s="2"/>
      <c r="M21" s="6"/>
      <c r="N21" s="1"/>
      <c r="O21" s="1"/>
    </row>
    <row r="22" spans="2:15" ht="28.8" x14ac:dyDescent="0.3">
      <c r="B22" s="8" t="s">
        <v>10</v>
      </c>
      <c r="C22" s="8" t="s">
        <v>5</v>
      </c>
      <c r="D22" s="8" t="s">
        <v>6</v>
      </c>
      <c r="E22" s="8" t="s">
        <v>0</v>
      </c>
      <c r="F22" s="9" t="s">
        <v>11</v>
      </c>
      <c r="G22" s="14" t="s">
        <v>29</v>
      </c>
      <c r="H22" s="14" t="s">
        <v>30</v>
      </c>
      <c r="I22" s="12" t="s">
        <v>33</v>
      </c>
      <c r="J22" s="12" t="s">
        <v>34</v>
      </c>
      <c r="K22" s="2"/>
      <c r="L22" s="2"/>
      <c r="M22" s="6"/>
      <c r="N22" s="1"/>
      <c r="O22" s="1"/>
    </row>
    <row r="23" spans="2:15" x14ac:dyDescent="0.3">
      <c r="B23" s="1" t="s">
        <v>12</v>
      </c>
      <c r="C23" s="15">
        <v>0.96641125607193401</v>
      </c>
      <c r="D23" s="15">
        <v>0.28028790761501998</v>
      </c>
      <c r="E23" s="15">
        <v>3.4332675043980999E-2</v>
      </c>
      <c r="F23" s="10">
        <v>3.806</v>
      </c>
      <c r="G23" s="1">
        <v>6055.55</v>
      </c>
      <c r="H23" s="10"/>
      <c r="K23" s="1"/>
      <c r="L23" s="1"/>
      <c r="M23" s="6"/>
      <c r="N23" s="1"/>
      <c r="O23" s="1"/>
    </row>
    <row r="24" spans="2:15" x14ac:dyDescent="0.3">
      <c r="B24" s="1" t="s">
        <v>13</v>
      </c>
      <c r="C24" s="15">
        <v>0.998307366622182</v>
      </c>
      <c r="D24" s="15">
        <v>1.3951542417579801</v>
      </c>
      <c r="E24" s="15">
        <v>2.8668980226143202E-2</v>
      </c>
      <c r="F24" s="10">
        <v>3.6539999999999999</v>
      </c>
      <c r="G24" s="1">
        <v>22</v>
      </c>
      <c r="H24" s="1"/>
      <c r="K24" s="1"/>
      <c r="L24" s="1"/>
      <c r="M24" s="6"/>
      <c r="N24" s="1"/>
      <c r="O24" s="1"/>
    </row>
    <row r="25" spans="2:15" x14ac:dyDescent="0.3">
      <c r="B25" s="1" t="s">
        <v>14</v>
      </c>
      <c r="C25" s="15"/>
      <c r="D25" s="15"/>
      <c r="E25" s="15"/>
      <c r="F25" s="10"/>
      <c r="G25" s="1">
        <v>21.75</v>
      </c>
      <c r="H25" s="1">
        <v>6099.3</v>
      </c>
      <c r="I25" s="1">
        <v>118.22733427999999</v>
      </c>
      <c r="J25" s="1">
        <v>60.710430000000002</v>
      </c>
      <c r="K25" s="1"/>
      <c r="L25" s="1"/>
      <c r="M25" s="6"/>
      <c r="N25" s="1"/>
      <c r="O25" s="1"/>
    </row>
    <row r="26" spans="2:15" x14ac:dyDescent="0.3">
      <c r="B26" s="1" t="s">
        <v>15</v>
      </c>
      <c r="C26" s="15"/>
      <c r="D26" s="15"/>
      <c r="E26" s="15"/>
      <c r="F26" s="10"/>
      <c r="G26" s="1">
        <v>48.5</v>
      </c>
      <c r="H26" s="1">
        <v>48.5</v>
      </c>
      <c r="I26" s="1">
        <v>108.51115272</v>
      </c>
      <c r="J26" s="1">
        <v>45.71622</v>
      </c>
      <c r="K26" s="1"/>
      <c r="L26" s="1"/>
      <c r="M26" s="6"/>
      <c r="N26" s="1"/>
      <c r="O26" s="1"/>
    </row>
    <row r="27" spans="2:15" x14ac:dyDescent="0.3">
      <c r="B27" s="1" t="s">
        <v>16</v>
      </c>
      <c r="C27" s="15"/>
      <c r="D27" s="15"/>
      <c r="E27" s="15"/>
      <c r="F27" s="10"/>
      <c r="G27" s="1">
        <v>28.75</v>
      </c>
      <c r="H27" s="1">
        <v>28.75</v>
      </c>
      <c r="I27" s="1">
        <v>106.97060942</v>
      </c>
      <c r="J27" s="1">
        <v>46.063560000000003</v>
      </c>
      <c r="K27" s="1"/>
      <c r="L27" s="1"/>
      <c r="M27" s="6"/>
      <c r="N27" s="1"/>
      <c r="O27" s="1"/>
    </row>
    <row r="28" spans="2:15" x14ac:dyDescent="0.3">
      <c r="B28" s="1" t="s">
        <v>17</v>
      </c>
      <c r="C28" s="15">
        <v>1.01982556926034</v>
      </c>
      <c r="D28" s="15">
        <v>0.38831940167197898</v>
      </c>
      <c r="E28" s="15">
        <v>1.20306787922476E-2</v>
      </c>
      <c r="F28" s="10">
        <v>3.3380000000000001</v>
      </c>
      <c r="G28" s="1">
        <v>21</v>
      </c>
      <c r="H28" s="1">
        <v>21</v>
      </c>
      <c r="I28" s="1">
        <v>113.72040256</v>
      </c>
      <c r="J28" s="1">
        <v>47.354999999999997</v>
      </c>
      <c r="K28" s="1"/>
      <c r="L28" s="1"/>
      <c r="M28" s="6"/>
      <c r="N28" s="1"/>
      <c r="O28" s="1"/>
    </row>
    <row r="29" spans="2:15" x14ac:dyDescent="0.3">
      <c r="B29" s="1" t="s">
        <v>18</v>
      </c>
      <c r="C29" s="15">
        <v>1.0105385292601801</v>
      </c>
      <c r="D29" s="15">
        <v>0.597784224122066</v>
      </c>
      <c r="E29" s="15">
        <v>2.7386597361713599E-2</v>
      </c>
      <c r="F29" s="10">
        <v>3.37</v>
      </c>
      <c r="G29" s="1">
        <v>21.5</v>
      </c>
      <c r="H29" s="1"/>
      <c r="I29" s="1"/>
      <c r="J29" s="1"/>
      <c r="K29" s="1"/>
      <c r="L29" s="1"/>
      <c r="M29" s="6"/>
      <c r="N29" s="1"/>
      <c r="O29" s="1"/>
    </row>
    <row r="30" spans="2:15" x14ac:dyDescent="0.3">
      <c r="B30" s="1" t="s">
        <v>19</v>
      </c>
      <c r="C30" s="15">
        <v>1.04413498578157</v>
      </c>
      <c r="D30" s="15">
        <v>0.92934562720262803</v>
      </c>
      <c r="E30" s="15">
        <v>2.8615745110634201E-2</v>
      </c>
      <c r="F30" s="10">
        <v>3.2989999999999999</v>
      </c>
      <c r="G30" s="1">
        <v>75</v>
      </c>
      <c r="H30" s="1">
        <v>96.5</v>
      </c>
      <c r="I30" s="1">
        <v>112.66319882000001</v>
      </c>
      <c r="J30" s="1">
        <v>101.105</v>
      </c>
      <c r="K30" s="1"/>
      <c r="L30" s="1"/>
      <c r="M30" s="1"/>
      <c r="N30" s="1"/>
      <c r="O30" s="1"/>
    </row>
    <row r="31" spans="2:15" x14ac:dyDescent="0.3">
      <c r="B31" s="1" t="s">
        <v>20</v>
      </c>
      <c r="C31" s="15">
        <v>1.04959681992682</v>
      </c>
      <c r="D31" s="15">
        <v>-0.33094957948560899</v>
      </c>
      <c r="E31" s="15">
        <v>4.4113621235337297E-2</v>
      </c>
      <c r="F31" s="10">
        <v>3.1309999999999998</v>
      </c>
      <c r="G31" s="1">
        <v>47.5</v>
      </c>
      <c r="H31" s="1">
        <v>47.5</v>
      </c>
      <c r="I31" s="1">
        <v>114.89097618</v>
      </c>
      <c r="J31" s="1">
        <v>44.466000000000001</v>
      </c>
      <c r="K31" s="1"/>
      <c r="L31" s="1"/>
      <c r="M31" s="1"/>
      <c r="N31" s="1"/>
      <c r="O31" s="1"/>
    </row>
    <row r="32" spans="2:15" x14ac:dyDescent="0.3">
      <c r="B32" s="1" t="s">
        <v>21</v>
      </c>
      <c r="C32" s="15">
        <v>0.97400899474341096</v>
      </c>
      <c r="D32" s="15">
        <v>-0.27375631737886102</v>
      </c>
      <c r="E32" s="15">
        <v>-8.0536265843332393E-3</v>
      </c>
      <c r="F32" s="10">
        <v>3.7759999999999998</v>
      </c>
      <c r="G32" s="1">
        <v>23.5</v>
      </c>
      <c r="H32" s="1">
        <v>23.5</v>
      </c>
      <c r="I32" s="1">
        <v>116.55531655999999</v>
      </c>
      <c r="J32" s="1">
        <v>47.503</v>
      </c>
      <c r="K32" s="1"/>
      <c r="L32" s="1"/>
      <c r="M32" s="1"/>
      <c r="N32" s="1"/>
      <c r="O32" s="1"/>
    </row>
    <row r="33" spans="2:15" x14ac:dyDescent="0.3">
      <c r="B33" s="1" t="s">
        <v>22</v>
      </c>
      <c r="C33" s="15"/>
      <c r="D33" s="15"/>
      <c r="E33" s="15"/>
      <c r="F33" s="10"/>
      <c r="G33" s="1">
        <v>27.75</v>
      </c>
      <c r="H33" s="1"/>
      <c r="I33" s="1"/>
      <c r="J33" s="1"/>
      <c r="K33" s="2"/>
      <c r="L33" s="2"/>
      <c r="M33" s="1"/>
      <c r="N33" s="1"/>
      <c r="O33" s="1"/>
    </row>
    <row r="34" spans="2:15" x14ac:dyDescent="0.3">
      <c r="B34" s="1" t="s">
        <v>23</v>
      </c>
      <c r="C34" s="15"/>
      <c r="D34" s="15"/>
      <c r="E34" s="15"/>
      <c r="F34" s="10"/>
      <c r="G34" s="1">
        <v>20</v>
      </c>
      <c r="H34" s="1">
        <v>47.75</v>
      </c>
      <c r="I34" s="1">
        <v>118.40602251999999</v>
      </c>
      <c r="J34" s="1">
        <v>54.055999999999997</v>
      </c>
      <c r="K34" s="2"/>
      <c r="L34" s="2"/>
      <c r="M34" s="1"/>
      <c r="N34" s="1"/>
      <c r="O34" s="1"/>
    </row>
    <row r="35" spans="2:15" x14ac:dyDescent="0.3">
      <c r="B35" s="1" t="s">
        <v>24</v>
      </c>
      <c r="C35" s="15">
        <v>1.03922347944993</v>
      </c>
      <c r="D35" s="15">
        <v>0.59399199353963394</v>
      </c>
      <c r="E35" s="15">
        <v>2.7450804091866201E-2</v>
      </c>
      <c r="F35" s="10">
        <v>3.5110000000000001</v>
      </c>
      <c r="G35" s="1">
        <v>23.75</v>
      </c>
      <c r="H35" s="1">
        <v>23.75</v>
      </c>
      <c r="I35" s="1">
        <v>115.75512236</v>
      </c>
      <c r="J35" s="1">
        <v>53.783999999999999</v>
      </c>
      <c r="K35" s="2"/>
      <c r="L35" s="2"/>
      <c r="M35" s="6"/>
      <c r="N35" s="1"/>
      <c r="O35" s="1"/>
    </row>
    <row r="36" spans="2:15" x14ac:dyDescent="0.3">
      <c r="B36" s="1" t="s">
        <v>25</v>
      </c>
      <c r="C36" s="15"/>
      <c r="D36" s="15"/>
      <c r="E36" s="15"/>
      <c r="F36" s="10"/>
      <c r="G36" s="1">
        <v>23.5</v>
      </c>
      <c r="H36" s="1">
        <v>23.5</v>
      </c>
      <c r="I36" s="1">
        <v>121.12197168</v>
      </c>
      <c r="J36" s="1">
        <v>53.783999999999999</v>
      </c>
      <c r="K36" s="2"/>
      <c r="L36" s="2"/>
      <c r="M36" s="6"/>
      <c r="N36" s="1"/>
      <c r="O36" s="1"/>
    </row>
    <row r="37" spans="2:15" x14ac:dyDescent="0.3">
      <c r="B37" s="1" t="s">
        <v>26</v>
      </c>
      <c r="C37" s="15"/>
      <c r="D37" s="15"/>
      <c r="E37" s="15"/>
      <c r="F37" s="10"/>
      <c r="G37" s="1">
        <v>24</v>
      </c>
      <c r="K37" s="1"/>
      <c r="L37" s="1"/>
      <c r="M37" s="6"/>
      <c r="N37" s="1"/>
      <c r="O37" s="1"/>
    </row>
    <row r="38" spans="2:15" x14ac:dyDescent="0.3">
      <c r="K38" s="1"/>
      <c r="L38" s="1"/>
      <c r="M38" s="6"/>
      <c r="N38" s="1"/>
      <c r="O38" s="1"/>
    </row>
    <row r="39" spans="2:15" x14ac:dyDescent="0.3">
      <c r="K39" s="1"/>
      <c r="L39" s="1"/>
      <c r="M39" s="6"/>
      <c r="N39" s="1"/>
      <c r="O39" s="1"/>
    </row>
    <row r="40" spans="2:15" x14ac:dyDescent="0.3">
      <c r="K40" s="1"/>
      <c r="L40" s="1"/>
      <c r="M40" s="6"/>
      <c r="N40" s="1"/>
      <c r="O40" s="1"/>
    </row>
    <row r="41" spans="2:15" x14ac:dyDescent="0.3">
      <c r="K41" s="1"/>
      <c r="L41" s="1"/>
      <c r="M41" s="6"/>
      <c r="N41" s="1"/>
      <c r="O41" s="1"/>
    </row>
    <row r="42" spans="2:15" x14ac:dyDescent="0.3">
      <c r="K42" s="1"/>
      <c r="L42" s="1"/>
      <c r="M42" s="6"/>
      <c r="N42" s="1"/>
      <c r="O42" s="1"/>
    </row>
    <row r="43" spans="2:15" x14ac:dyDescent="0.3">
      <c r="K43" s="1"/>
      <c r="L43" s="1"/>
      <c r="M43" s="6"/>
      <c r="N43" s="1"/>
      <c r="O43" s="1"/>
    </row>
    <row r="44" spans="2:15" x14ac:dyDescent="0.3">
      <c r="K44" s="1"/>
      <c r="L44" s="1"/>
      <c r="M44" s="1"/>
      <c r="N44" s="1"/>
      <c r="O44" s="1"/>
    </row>
    <row r="45" spans="2:15" x14ac:dyDescent="0.3">
      <c r="K45" s="1"/>
      <c r="L45" s="1"/>
      <c r="M45" s="1"/>
      <c r="N45" s="1"/>
      <c r="O45" s="1"/>
    </row>
    <row r="46" spans="2:15" x14ac:dyDescent="0.3">
      <c r="K46" s="2"/>
      <c r="L46" s="2"/>
      <c r="M46" s="2"/>
      <c r="N46" s="2"/>
      <c r="O46" s="1"/>
    </row>
    <row r="47" spans="2:15" x14ac:dyDescent="0.3">
      <c r="K47" s="2"/>
      <c r="L47" s="2"/>
      <c r="M47" s="2"/>
      <c r="N47" s="2"/>
      <c r="O47" s="1"/>
    </row>
    <row r="48" spans="2:15" x14ac:dyDescent="0.3">
      <c r="K48" s="2"/>
      <c r="L48" s="2"/>
      <c r="M48" s="2"/>
      <c r="N48" s="2"/>
      <c r="O48" s="1"/>
    </row>
    <row r="49" spans="2:15" x14ac:dyDescent="0.3">
      <c r="K49" s="2"/>
      <c r="L49" s="2"/>
      <c r="M49" s="2"/>
      <c r="N49" s="2"/>
      <c r="O49" s="1"/>
    </row>
    <row r="50" spans="2:15" x14ac:dyDescent="0.3">
      <c r="K50" s="2"/>
      <c r="L50" s="2"/>
      <c r="M50" s="2"/>
      <c r="N50" s="2"/>
      <c r="O50" s="1"/>
    </row>
    <row r="51" spans="2:15" x14ac:dyDescent="0.3">
      <c r="K51" s="2"/>
      <c r="L51" s="2"/>
      <c r="M51" s="2"/>
      <c r="N51" s="2"/>
      <c r="O51" s="1"/>
    </row>
    <row r="52" spans="2:15" x14ac:dyDescent="0.3">
      <c r="B52" s="1"/>
      <c r="C52" s="15"/>
      <c r="D52" s="15"/>
      <c r="E52" s="15"/>
      <c r="F52" s="1"/>
      <c r="G52" s="1"/>
      <c r="H52" s="10"/>
      <c r="K52" s="2"/>
      <c r="L52" s="2"/>
      <c r="M52" s="2"/>
      <c r="N52" s="2"/>
      <c r="O52" s="1"/>
    </row>
    <row r="53" spans="2:15" x14ac:dyDescent="0.3">
      <c r="B53" s="1"/>
      <c r="C53" s="15"/>
      <c r="D53" s="15"/>
      <c r="E53" s="15"/>
      <c r="F53" s="1"/>
      <c r="G53" s="1"/>
      <c r="H53" s="1"/>
      <c r="K53" s="2"/>
      <c r="L53" s="2"/>
      <c r="M53" s="2"/>
      <c r="N53" s="2"/>
      <c r="O53" s="1"/>
    </row>
    <row r="54" spans="2:15" x14ac:dyDescent="0.3">
      <c r="B54" s="1"/>
      <c r="C54" s="15"/>
      <c r="D54" s="15"/>
      <c r="E54" s="15"/>
      <c r="F54" s="1"/>
      <c r="G54" s="1"/>
      <c r="H54" s="1"/>
      <c r="I54" s="1"/>
      <c r="J54" s="1"/>
      <c r="K54" s="2"/>
      <c r="L54" s="2"/>
      <c r="M54" s="2"/>
      <c r="N54" s="2"/>
      <c r="O54" s="1"/>
    </row>
    <row r="55" spans="2:15" x14ac:dyDescent="0.3">
      <c r="B55" s="1"/>
      <c r="C55" s="15"/>
      <c r="D55" s="15"/>
      <c r="E55" s="15"/>
      <c r="F55" s="1"/>
      <c r="G55" s="1"/>
      <c r="H55" s="1"/>
      <c r="I55" s="1"/>
      <c r="J55" s="1"/>
      <c r="K55" s="1"/>
      <c r="L55" s="1"/>
      <c r="M55" s="1"/>
      <c r="N55" s="1"/>
      <c r="O55" s="1"/>
    </row>
    <row r="56" spans="2:15" x14ac:dyDescent="0.3">
      <c r="B56" s="1"/>
      <c r="C56" s="15"/>
      <c r="D56" s="15"/>
      <c r="E56" s="15"/>
      <c r="F56" s="1"/>
      <c r="G56" s="1"/>
      <c r="H56" s="1"/>
      <c r="I56" s="1"/>
      <c r="J56" s="1"/>
    </row>
    <row r="57" spans="2:15" x14ac:dyDescent="0.3">
      <c r="B57" s="1"/>
      <c r="C57" s="15"/>
      <c r="D57" s="15"/>
      <c r="E57" s="15"/>
      <c r="F57" s="1"/>
      <c r="G57" s="1"/>
      <c r="H57" s="1"/>
      <c r="I57" s="1"/>
      <c r="J57" s="1"/>
    </row>
    <row r="58" spans="2:15" x14ac:dyDescent="0.3">
      <c r="B58" s="1"/>
      <c r="C58" s="15"/>
      <c r="D58" s="15"/>
      <c r="E58" s="15"/>
      <c r="F58" s="1"/>
      <c r="G58" s="1"/>
      <c r="H58" s="1"/>
      <c r="I58" s="1"/>
      <c r="J58" s="1"/>
    </row>
    <row r="59" spans="2:15" x14ac:dyDescent="0.3">
      <c r="B59" s="1"/>
      <c r="C59" s="15"/>
      <c r="D59" s="15"/>
      <c r="E59" s="15"/>
      <c r="F59" s="1"/>
      <c r="G59" s="1"/>
      <c r="H59" s="1"/>
      <c r="I59" s="1"/>
      <c r="J59" s="1"/>
    </row>
    <row r="60" spans="2:15" x14ac:dyDescent="0.3">
      <c r="B60" s="1"/>
      <c r="C60" s="15"/>
      <c r="D60" s="15"/>
      <c r="E60" s="15"/>
      <c r="F60" s="1"/>
      <c r="G60" s="1"/>
      <c r="H60" s="1"/>
      <c r="I60" s="1"/>
      <c r="J60" s="1"/>
    </row>
    <row r="61" spans="2:15" x14ac:dyDescent="0.3">
      <c r="B61" s="1"/>
      <c r="C61" s="15"/>
      <c r="D61" s="15"/>
      <c r="E61" s="15"/>
      <c r="F61" s="1"/>
      <c r="G61" s="1"/>
      <c r="H61" s="1"/>
      <c r="I61" s="1"/>
      <c r="J61" s="1"/>
    </row>
    <row r="62" spans="2:15" x14ac:dyDescent="0.3">
      <c r="B62" s="1"/>
      <c r="C62" s="15"/>
      <c r="D62" s="15"/>
      <c r="E62" s="15"/>
      <c r="F62" s="1"/>
      <c r="G62" s="1"/>
      <c r="H62" s="1"/>
      <c r="I62" s="1"/>
      <c r="J62" s="1"/>
    </row>
    <row r="63" spans="2:15" x14ac:dyDescent="0.3">
      <c r="B63" s="1"/>
      <c r="C63" s="15"/>
      <c r="D63" s="15"/>
      <c r="E63" s="15"/>
      <c r="F63" s="1"/>
      <c r="G63" s="1"/>
      <c r="H63" s="1"/>
      <c r="I63" s="1"/>
      <c r="J63" s="1"/>
    </row>
    <row r="64" spans="2:15" x14ac:dyDescent="0.3">
      <c r="B64" s="1"/>
      <c r="C64" s="15"/>
      <c r="D64" s="15"/>
      <c r="E64" s="15"/>
      <c r="F64" s="1"/>
      <c r="G64" s="1"/>
      <c r="H64" s="1"/>
      <c r="I64" s="1"/>
      <c r="J64" s="1"/>
    </row>
    <row r="65" spans="2:24" x14ac:dyDescent="0.3">
      <c r="B65" s="1"/>
      <c r="C65" s="15"/>
      <c r="D65" s="15"/>
      <c r="E65" s="15"/>
      <c r="F65" s="1"/>
      <c r="G65" s="1"/>
      <c r="H65" s="1"/>
      <c r="I65" s="1"/>
      <c r="J65" s="1"/>
    </row>
    <row r="67" spans="2:24" ht="43.2" x14ac:dyDescent="0.3">
      <c r="B67" s="1"/>
      <c r="C67" s="12" t="s">
        <v>27</v>
      </c>
      <c r="D67" s="12" t="s">
        <v>5</v>
      </c>
      <c r="E67" s="12" t="s">
        <v>6</v>
      </c>
      <c r="F67" s="12" t="s">
        <v>0</v>
      </c>
      <c r="G67" s="12" t="s">
        <v>7</v>
      </c>
      <c r="H67" s="12" t="s">
        <v>3</v>
      </c>
      <c r="I67" s="13" t="s">
        <v>28</v>
      </c>
      <c r="J67" s="14" t="s">
        <v>29</v>
      </c>
      <c r="K67" s="14" t="s">
        <v>30</v>
      </c>
      <c r="L67" s="12" t="s">
        <v>33</v>
      </c>
      <c r="M67" s="12" t="s">
        <v>34</v>
      </c>
      <c r="P67" s="12" t="s">
        <v>4</v>
      </c>
      <c r="Q67" s="12" t="s">
        <v>5</v>
      </c>
      <c r="R67" s="12" t="s">
        <v>6</v>
      </c>
      <c r="S67" s="12" t="s">
        <v>0</v>
      </c>
      <c r="T67" s="12" t="s">
        <v>7</v>
      </c>
      <c r="U67" s="12" t="s">
        <v>3</v>
      </c>
      <c r="V67" s="13" t="s">
        <v>35</v>
      </c>
      <c r="W67" s="16" t="s">
        <v>29</v>
      </c>
      <c r="X67" s="16" t="s">
        <v>30</v>
      </c>
    </row>
    <row r="68" spans="2:24" x14ac:dyDescent="0.3">
      <c r="B68" s="1"/>
      <c r="C68" s="1" t="s">
        <v>12</v>
      </c>
      <c r="D68" s="1"/>
      <c r="E68" s="6">
        <v>0.178366367675658</v>
      </c>
      <c r="F68" s="6">
        <v>5.1856335362832198E-2</v>
      </c>
      <c r="G68" s="6">
        <v>0.245194595440726</v>
      </c>
      <c r="H68" s="6">
        <v>0.32289162790592602</v>
      </c>
      <c r="I68" s="15">
        <v>14.086130000000001</v>
      </c>
      <c r="J68" s="1"/>
      <c r="K68" s="10"/>
      <c r="P68" s="1" t="s">
        <v>12</v>
      </c>
      <c r="Q68" s="1"/>
      <c r="R68" s="6">
        <v>0.22825064648054</v>
      </c>
      <c r="S68" s="6">
        <v>1.3430417175947699E-2</v>
      </c>
      <c r="T68" s="6">
        <v>0.34964310339422999</v>
      </c>
      <c r="U68" s="6">
        <v>0.38367204340486</v>
      </c>
      <c r="V68" s="6">
        <v>0.68921237999999996</v>
      </c>
      <c r="W68" s="1"/>
      <c r="X68" s="10"/>
    </row>
    <row r="69" spans="2:24" x14ac:dyDescent="0.3">
      <c r="B69" s="1"/>
      <c r="C69" s="1" t="s">
        <v>13</v>
      </c>
      <c r="D69" s="6">
        <v>1.39679058575205</v>
      </c>
      <c r="E69" s="6">
        <v>0.88641107886014003</v>
      </c>
      <c r="F69" s="6">
        <v>0.103368750113241</v>
      </c>
      <c r="G69" s="6">
        <v>0.16161880352222899</v>
      </c>
      <c r="H69" s="6">
        <v>0.25317898030309399</v>
      </c>
      <c r="I69" s="15">
        <v>23.435036</v>
      </c>
      <c r="J69" s="1">
        <v>22</v>
      </c>
      <c r="K69" s="1"/>
      <c r="P69" s="1" t="s">
        <v>13</v>
      </c>
      <c r="Q69" s="2">
        <v>0.96435758092830903</v>
      </c>
      <c r="R69" s="6">
        <v>-0.28959025014214101</v>
      </c>
      <c r="S69" s="6">
        <v>-1.61778645652975E-2</v>
      </c>
      <c r="T69" s="6">
        <v>-0.53634613240336904</v>
      </c>
      <c r="U69" s="6">
        <v>-0.61476468522274297</v>
      </c>
      <c r="V69" s="6">
        <v>0.75338316000000005</v>
      </c>
      <c r="W69" s="1">
        <v>22</v>
      </c>
      <c r="X69" s="1"/>
    </row>
    <row r="70" spans="2:24" x14ac:dyDescent="0.3">
      <c r="B70" s="1"/>
      <c r="C70" s="1" t="s">
        <v>14</v>
      </c>
      <c r="D70" s="6">
        <v>1.2108318271354701</v>
      </c>
      <c r="E70" s="6">
        <v>0.92629163740877796</v>
      </c>
      <c r="F70" s="6">
        <v>0.11077055296162799</v>
      </c>
      <c r="G70" s="6">
        <v>0.24079928816250401</v>
      </c>
      <c r="H70" s="6">
        <v>0.39872475769786198</v>
      </c>
      <c r="I70" s="15">
        <v>16.113236000000001</v>
      </c>
      <c r="J70" s="1">
        <v>21.75</v>
      </c>
      <c r="K70" s="1"/>
      <c r="L70" s="1">
        <v>118.22733427999999</v>
      </c>
      <c r="M70" s="1">
        <v>60.710430000000002</v>
      </c>
      <c r="P70" s="1" t="s">
        <v>14</v>
      </c>
      <c r="Q70" s="2">
        <v>0.98302221968248604</v>
      </c>
      <c r="R70" s="6">
        <v>-0.31071591767089402</v>
      </c>
      <c r="S70" s="6">
        <v>-3.7834846370905402E-3</v>
      </c>
      <c r="T70" s="6">
        <v>-0.196474990445519</v>
      </c>
      <c r="U70" s="6">
        <v>-0.21613261406053699</v>
      </c>
      <c r="V70" s="6">
        <v>0.70003090000000001</v>
      </c>
      <c r="W70" s="1">
        <v>21.75</v>
      </c>
      <c r="X70" s="1"/>
    </row>
    <row r="71" spans="2:24" x14ac:dyDescent="0.3">
      <c r="B71" s="1"/>
      <c r="C71" s="1" t="s">
        <v>15</v>
      </c>
      <c r="D71" s="6">
        <v>1.14568818263897</v>
      </c>
      <c r="E71" s="6">
        <v>0.723568252950335</v>
      </c>
      <c r="F71" s="6">
        <v>1.0650915621547401E-2</v>
      </c>
      <c r="G71" s="6">
        <v>-4.325976748147E-2</v>
      </c>
      <c r="H71" s="6">
        <v>-2.1394164632562102E-3</v>
      </c>
      <c r="I71" s="15">
        <v>12.133376200000001</v>
      </c>
      <c r="J71" s="1">
        <v>48.5</v>
      </c>
      <c r="K71" s="1">
        <v>48.5</v>
      </c>
      <c r="L71" s="1">
        <v>108.51115272</v>
      </c>
      <c r="M71" s="1">
        <v>45.71622</v>
      </c>
      <c r="P71" s="1" t="s">
        <v>15</v>
      </c>
      <c r="Q71" s="2">
        <v>0.99703728594241603</v>
      </c>
      <c r="R71" s="6">
        <v>-0.72341186519112299</v>
      </c>
      <c r="S71" s="6">
        <v>6.4581353214806597E-2</v>
      </c>
      <c r="T71" s="6">
        <v>-0.23577970708992499</v>
      </c>
      <c r="U71" s="6">
        <v>-0.60322234971197997</v>
      </c>
      <c r="V71" s="6">
        <v>0.67864073999999996</v>
      </c>
      <c r="W71" s="1">
        <v>48.5</v>
      </c>
      <c r="X71" s="1">
        <v>48.5</v>
      </c>
    </row>
    <row r="72" spans="2:24" x14ac:dyDescent="0.3">
      <c r="B72" s="1"/>
      <c r="C72" s="1" t="s">
        <v>16</v>
      </c>
      <c r="D72" s="6">
        <v>1.10273002217056</v>
      </c>
      <c r="E72" s="6">
        <v>0.92947006080395</v>
      </c>
      <c r="F72" s="6">
        <v>-2.2683422982125001E-2</v>
      </c>
      <c r="G72" s="6">
        <v>0.321471482716705</v>
      </c>
      <c r="H72" s="6">
        <v>0.58728211271901798</v>
      </c>
      <c r="I72" s="15">
        <v>13.1930706</v>
      </c>
      <c r="J72" s="1">
        <v>28.75</v>
      </c>
      <c r="K72" s="1">
        <v>28.75</v>
      </c>
      <c r="L72" s="1">
        <v>106.97060942</v>
      </c>
      <c r="M72" s="1">
        <v>46.063560000000003</v>
      </c>
      <c r="P72" s="1" t="s">
        <v>16</v>
      </c>
      <c r="Q72" s="2">
        <v>1.05414106800948</v>
      </c>
      <c r="R72" s="6">
        <v>0.54135397831396403</v>
      </c>
      <c r="S72" s="6">
        <v>6.1895687016862502E-2</v>
      </c>
      <c r="T72" s="6">
        <v>0.29281906900594301</v>
      </c>
      <c r="U72" s="6">
        <v>0.45795473111708401</v>
      </c>
      <c r="V72" s="6">
        <v>0.62161316</v>
      </c>
      <c r="W72" s="1">
        <v>28.75</v>
      </c>
      <c r="X72" s="1">
        <v>28.75</v>
      </c>
    </row>
    <row r="73" spans="2:24" x14ac:dyDescent="0.3">
      <c r="B73" s="1"/>
      <c r="C73" s="1" t="s">
        <v>17</v>
      </c>
      <c r="D73" s="6">
        <v>1.2576523908335999</v>
      </c>
      <c r="E73" s="6">
        <v>0.77855192606860901</v>
      </c>
      <c r="F73" s="6">
        <v>0.15621819275209001</v>
      </c>
      <c r="G73" s="6">
        <v>0.37178756536818502</v>
      </c>
      <c r="H73" s="6">
        <v>0.39529566790648002</v>
      </c>
      <c r="I73" s="15">
        <v>9.7677034200000001</v>
      </c>
      <c r="J73" s="1">
        <v>21</v>
      </c>
      <c r="K73" s="1">
        <v>21</v>
      </c>
      <c r="L73" s="1">
        <v>113.72040256</v>
      </c>
      <c r="M73" s="1">
        <v>47.354999999999997</v>
      </c>
      <c r="P73" s="1" t="s">
        <v>17</v>
      </c>
      <c r="Q73" s="2">
        <v>1.00376784280544</v>
      </c>
      <c r="R73" s="6">
        <v>-0.28173278371114102</v>
      </c>
      <c r="S73" s="6">
        <v>2.95836818188689E-2</v>
      </c>
      <c r="T73" s="6">
        <v>-0.24798451961503901</v>
      </c>
      <c r="U73" s="6">
        <v>-0.30540995193675702</v>
      </c>
      <c r="V73" s="6">
        <v>0.65177686000000001</v>
      </c>
      <c r="W73" s="1">
        <v>21</v>
      </c>
      <c r="X73" s="1">
        <v>21</v>
      </c>
    </row>
    <row r="74" spans="2:24" x14ac:dyDescent="0.3">
      <c r="B74" s="1"/>
      <c r="C74" s="1" t="s">
        <v>18</v>
      </c>
      <c r="D74" s="6">
        <v>1.24807759229999</v>
      </c>
      <c r="E74" s="6">
        <v>0.55577143716833499</v>
      </c>
      <c r="F74" s="6">
        <v>0.15071577677020101</v>
      </c>
      <c r="G74" s="6">
        <v>-2.2915992990330501E-3</v>
      </c>
      <c r="H74" s="6">
        <v>-1.29409007610388E-2</v>
      </c>
      <c r="I74" s="15">
        <v>15.528736</v>
      </c>
      <c r="J74" s="1">
        <v>21.5</v>
      </c>
      <c r="K74" s="1"/>
      <c r="L74" s="1"/>
      <c r="M74" s="1"/>
      <c r="P74" s="1" t="s">
        <v>18</v>
      </c>
      <c r="Q74" s="2">
        <v>0.965580440673389</v>
      </c>
      <c r="R74" s="6">
        <v>-0.28388728833714599</v>
      </c>
      <c r="S74" s="6">
        <v>-5.4892758010415703E-2</v>
      </c>
      <c r="T74" s="6">
        <v>-0.382367394435078</v>
      </c>
      <c r="U74" s="6">
        <v>-0.492949102990132</v>
      </c>
      <c r="V74" s="6">
        <v>0.73085986000000003</v>
      </c>
      <c r="W74" s="1">
        <v>21.5</v>
      </c>
      <c r="X74" s="1"/>
    </row>
    <row r="75" spans="2:24" x14ac:dyDescent="0.3">
      <c r="B75" s="1"/>
      <c r="C75" s="1" t="s">
        <v>19</v>
      </c>
      <c r="D75" s="6">
        <v>1.42877693896201</v>
      </c>
      <c r="E75" s="6">
        <v>0.33551375674123601</v>
      </c>
      <c r="F75" s="6">
        <v>5.5397551503622099E-2</v>
      </c>
      <c r="G75" s="6">
        <v>0.19084932454591899</v>
      </c>
      <c r="H75" s="6">
        <v>0.27742482843094801</v>
      </c>
      <c r="I75" s="15">
        <v>14.369724039999999</v>
      </c>
      <c r="J75" s="1">
        <v>75</v>
      </c>
      <c r="K75" s="1">
        <v>96.5</v>
      </c>
      <c r="L75" s="1">
        <v>112.66319882000001</v>
      </c>
      <c r="M75" s="1">
        <v>101.105</v>
      </c>
      <c r="P75" s="1" t="s">
        <v>19</v>
      </c>
      <c r="Q75" s="2">
        <v>1.0368691348627199</v>
      </c>
      <c r="R75" s="6">
        <v>-0.167176048352111</v>
      </c>
      <c r="S75" s="6">
        <v>8.8641812543785899E-3</v>
      </c>
      <c r="T75" s="6">
        <v>-0.35015813294515502</v>
      </c>
      <c r="U75" s="6">
        <v>-0.46503716149950902</v>
      </c>
      <c r="V75" s="6">
        <v>0.69966109999999904</v>
      </c>
      <c r="W75" s="1">
        <v>75</v>
      </c>
      <c r="X75" s="1">
        <v>96.5</v>
      </c>
    </row>
    <row r="76" spans="2:24" x14ac:dyDescent="0.3">
      <c r="B76" s="1"/>
      <c r="C76" s="1" t="s">
        <v>20</v>
      </c>
      <c r="D76" s="6">
        <v>1.33941755807892</v>
      </c>
      <c r="E76" s="6">
        <v>0.63731372986403501</v>
      </c>
      <c r="F76" s="6">
        <v>6.9883057908481996E-2</v>
      </c>
      <c r="G76" s="6">
        <v>-1.2096500870022699E-2</v>
      </c>
      <c r="H76" s="6">
        <v>-0.121081543489465</v>
      </c>
      <c r="I76" s="15">
        <v>19.197853511999998</v>
      </c>
      <c r="J76" s="1">
        <v>47.5</v>
      </c>
      <c r="K76" s="1">
        <v>47.5</v>
      </c>
      <c r="L76" s="1">
        <v>114.89097618</v>
      </c>
      <c r="M76" s="1">
        <v>44.466000000000001</v>
      </c>
      <c r="P76" s="1" t="s">
        <v>20</v>
      </c>
      <c r="Q76" s="2">
        <v>0.98011971152962396</v>
      </c>
      <c r="R76" s="6">
        <v>-0.234414236192791</v>
      </c>
      <c r="S76" s="6">
        <v>1.32778322661357E-2</v>
      </c>
      <c r="T76" s="6">
        <v>-0.50424136937081498</v>
      </c>
      <c r="U76" s="6">
        <v>-0.59921100307099695</v>
      </c>
      <c r="V76" s="6">
        <v>0.83630937999999999</v>
      </c>
      <c r="W76" s="1">
        <v>47.5</v>
      </c>
      <c r="X76" s="1">
        <v>47.5</v>
      </c>
    </row>
    <row r="77" spans="2:24" x14ac:dyDescent="0.3">
      <c r="B77" s="1"/>
      <c r="C77" s="1" t="s">
        <v>21</v>
      </c>
      <c r="D77" s="6">
        <v>1.3769164984553499</v>
      </c>
      <c r="E77" s="6">
        <v>-0.44248745305980902</v>
      </c>
      <c r="F77" s="6">
        <v>7.8645648239850305E-2</v>
      </c>
      <c r="G77" s="6">
        <v>-1.00953850119604E-2</v>
      </c>
      <c r="H77" s="6">
        <v>-0.30001520861446102</v>
      </c>
      <c r="I77" s="15">
        <v>45.413344000000002</v>
      </c>
      <c r="J77" s="1">
        <v>23.5</v>
      </c>
      <c r="K77" s="1">
        <v>23.5</v>
      </c>
      <c r="L77" s="1">
        <v>116.55531655999999</v>
      </c>
      <c r="M77" s="1">
        <v>47.503</v>
      </c>
      <c r="P77" s="1" t="s">
        <v>21</v>
      </c>
      <c r="Q77" s="2">
        <v>0.80472452573481301</v>
      </c>
      <c r="R77" s="6">
        <v>-0.91543606234553399</v>
      </c>
      <c r="S77" s="6">
        <v>-6.0975544853349099E-2</v>
      </c>
      <c r="T77" s="6">
        <v>-0.49173834482130302</v>
      </c>
      <c r="U77" s="6">
        <v>-0.81638215147709303</v>
      </c>
      <c r="V77" s="6">
        <v>1.0153706</v>
      </c>
      <c r="W77" s="1">
        <v>23.5</v>
      </c>
      <c r="X77" s="1">
        <v>23.5</v>
      </c>
    </row>
    <row r="78" spans="2:24" x14ac:dyDescent="0.3">
      <c r="B78" s="1"/>
      <c r="C78" s="1" t="s">
        <v>22</v>
      </c>
      <c r="D78" s="6">
        <v>1.66488624253968</v>
      </c>
      <c r="E78" s="6">
        <v>0.73952445342362605</v>
      </c>
      <c r="F78" s="6">
        <v>0.17832892113485599</v>
      </c>
      <c r="G78" s="6">
        <v>0.27423838854409399</v>
      </c>
      <c r="H78" s="6">
        <v>0.48361043234368201</v>
      </c>
      <c r="I78" s="15">
        <v>26.537703021999999</v>
      </c>
      <c r="J78" s="1">
        <v>27.75</v>
      </c>
      <c r="K78" s="1"/>
      <c r="L78" s="1"/>
      <c r="M78" s="1"/>
      <c r="P78" s="1" t="s">
        <v>22</v>
      </c>
      <c r="Q78" s="2">
        <v>1.07122215244959</v>
      </c>
      <c r="R78" s="6">
        <v>-0.11116405161722299</v>
      </c>
      <c r="S78" s="6">
        <v>4.2081062239471598E-2</v>
      </c>
      <c r="T78" s="6">
        <v>-0.189204803446921</v>
      </c>
      <c r="U78" s="6">
        <v>-0.35789938707520003</v>
      </c>
      <c r="V78" s="6">
        <v>0.97403329999999999</v>
      </c>
      <c r="W78" s="1">
        <v>27.75</v>
      </c>
      <c r="X78" s="1"/>
    </row>
    <row r="79" spans="2:24" x14ac:dyDescent="0.3">
      <c r="B79" s="1"/>
      <c r="C79" s="1" t="s">
        <v>23</v>
      </c>
      <c r="D79" s="6">
        <v>1.1538999764416</v>
      </c>
      <c r="E79" s="6">
        <v>9.3645385178040705E-2</v>
      </c>
      <c r="F79" s="6">
        <v>2.1496979213356301E-3</v>
      </c>
      <c r="G79" s="6">
        <v>9.4162329729257102E-2</v>
      </c>
      <c r="H79" s="6">
        <v>0.14570872911704</v>
      </c>
      <c r="I79" s="15">
        <v>13.041978800000001</v>
      </c>
      <c r="J79" s="1">
        <v>20</v>
      </c>
      <c r="K79" s="1">
        <v>47.75</v>
      </c>
      <c r="L79" s="1">
        <v>118.40602251999999</v>
      </c>
      <c r="M79" s="1">
        <v>54.055999999999997</v>
      </c>
      <c r="P79" s="1" t="s">
        <v>23</v>
      </c>
      <c r="Q79" s="2">
        <v>0.96842975873578097</v>
      </c>
      <c r="R79" s="6">
        <v>-0.44122459346906301</v>
      </c>
      <c r="S79" s="6">
        <v>-1.77749404385871E-2</v>
      </c>
      <c r="T79" s="6">
        <v>-0.32892352624960403</v>
      </c>
      <c r="U79" s="6">
        <v>-0.35193689103828402</v>
      </c>
      <c r="V79" s="6">
        <v>0.83745153999999999</v>
      </c>
      <c r="W79" s="1">
        <v>20</v>
      </c>
      <c r="X79" s="1">
        <v>47.75</v>
      </c>
    </row>
    <row r="80" spans="2:24" x14ac:dyDescent="0.3">
      <c r="B80" s="1"/>
      <c r="C80" s="1" t="s">
        <v>24</v>
      </c>
      <c r="D80" s="6">
        <v>1.5749763159783401</v>
      </c>
      <c r="E80" s="6">
        <v>0.78100360785877099</v>
      </c>
      <c r="F80" s="6">
        <v>0.101236914763633</v>
      </c>
      <c r="G80" s="6">
        <v>0.182359888343469</v>
      </c>
      <c r="H80" s="6">
        <v>0.231871322621472</v>
      </c>
      <c r="I80" s="15">
        <v>27.244893999999999</v>
      </c>
      <c r="J80" s="1">
        <v>23.75</v>
      </c>
      <c r="K80" s="1">
        <v>23.75</v>
      </c>
      <c r="L80" s="1">
        <v>115.75512236</v>
      </c>
      <c r="M80" s="1">
        <v>53.783999999999999</v>
      </c>
      <c r="P80" s="1" t="s">
        <v>24</v>
      </c>
      <c r="Q80" s="2">
        <v>0.99721998555050795</v>
      </c>
      <c r="R80" s="6">
        <v>-0.221642867808126</v>
      </c>
      <c r="S80" s="6">
        <v>3.08855730575289E-3</v>
      </c>
      <c r="T80" s="6">
        <v>-0.240487300709117</v>
      </c>
      <c r="U80" s="6">
        <v>-0.35714514817447202</v>
      </c>
      <c r="V80" s="6">
        <v>0.94095271999999996</v>
      </c>
      <c r="W80" s="1">
        <v>23.75</v>
      </c>
      <c r="X80" s="1">
        <v>23.75</v>
      </c>
    </row>
    <row r="81" spans="2:24" x14ac:dyDescent="0.3">
      <c r="B81" s="1"/>
      <c r="C81" s="1" t="s">
        <v>25</v>
      </c>
      <c r="D81" s="6">
        <v>1.3735151389442699</v>
      </c>
      <c r="E81" s="6">
        <v>0.76865077228085099</v>
      </c>
      <c r="F81" s="6">
        <v>0.107400232693555</v>
      </c>
      <c r="G81" s="6">
        <v>0.29530329286121099</v>
      </c>
      <c r="H81" s="6">
        <v>0.55988644938947996</v>
      </c>
      <c r="I81" s="15">
        <v>16.4784592</v>
      </c>
      <c r="J81" s="1">
        <v>23.5</v>
      </c>
      <c r="K81" s="1">
        <v>23.5</v>
      </c>
      <c r="L81" s="1">
        <v>121.12197168</v>
      </c>
      <c r="M81" s="1">
        <v>53.783999999999999</v>
      </c>
      <c r="P81" s="1" t="s">
        <v>25</v>
      </c>
      <c r="Q81" s="2">
        <v>1.0088578932758001</v>
      </c>
      <c r="R81" s="6">
        <v>0.120506313986007</v>
      </c>
      <c r="S81" s="6">
        <v>-5.3081166180475401E-3</v>
      </c>
      <c r="T81" s="6">
        <v>-3.9205413426507497E-2</v>
      </c>
      <c r="U81" s="6">
        <v>-5.52660269452276E-2</v>
      </c>
      <c r="V81" s="6">
        <v>0.87974381999999995</v>
      </c>
      <c r="W81" s="1">
        <v>23.5</v>
      </c>
      <c r="X81" s="1">
        <v>23.5</v>
      </c>
    </row>
    <row r="82" spans="2:24" x14ac:dyDescent="0.3">
      <c r="B82" s="1"/>
      <c r="C82" s="1" t="s">
        <v>26</v>
      </c>
      <c r="D82" s="6"/>
      <c r="E82" s="6">
        <v>0.960491106137359</v>
      </c>
      <c r="F82" s="6">
        <v>0.81801121488623596</v>
      </c>
      <c r="G82" s="6">
        <v>0.71514874979041299</v>
      </c>
      <c r="H82" s="6">
        <v>0.98118225364978595</v>
      </c>
      <c r="I82" s="15">
        <v>11.486862199999999</v>
      </c>
      <c r="J82" s="1">
        <v>24</v>
      </c>
      <c r="P82" s="1" t="s">
        <v>26</v>
      </c>
      <c r="Q82" s="2"/>
      <c r="R82" s="6">
        <v>0.99778765474319298</v>
      </c>
      <c r="S82" s="6">
        <v>0.99566811930969701</v>
      </c>
      <c r="T82" s="6">
        <v>0.88983788394215502</v>
      </c>
      <c r="U82" s="6">
        <v>0.99575457978189197</v>
      </c>
      <c r="V82" s="6">
        <v>0.67221945999999999</v>
      </c>
      <c r="W82" s="1">
        <v>24</v>
      </c>
    </row>
    <row r="83" spans="2:24" x14ac:dyDescent="0.3">
      <c r="B83" s="1"/>
      <c r="C83" s="1"/>
      <c r="D83" s="6"/>
      <c r="E83" s="6"/>
      <c r="F83" s="6"/>
      <c r="G83" s="6"/>
      <c r="H83" s="6"/>
      <c r="I83" s="6"/>
      <c r="J83" s="1"/>
      <c r="K83" s="10"/>
      <c r="P83" s="1"/>
      <c r="Q83" s="15"/>
      <c r="R83" s="15"/>
      <c r="S83" s="15"/>
      <c r="T83" s="15"/>
      <c r="U83" s="15"/>
      <c r="V83" s="15"/>
      <c r="W83" s="1"/>
      <c r="X83" s="10"/>
    </row>
    <row r="84" spans="2:24" x14ac:dyDescent="0.3">
      <c r="B84" s="1"/>
      <c r="C84" s="1"/>
      <c r="D84" s="6"/>
      <c r="E84" s="6"/>
      <c r="F84" s="6"/>
      <c r="G84" s="6"/>
      <c r="H84" s="6"/>
      <c r="I84" s="6"/>
      <c r="J84" s="1"/>
      <c r="K84" s="1"/>
      <c r="P84" s="1"/>
      <c r="Q84" s="15"/>
      <c r="R84" s="15"/>
      <c r="S84" s="15"/>
      <c r="T84" s="15"/>
      <c r="U84" s="15"/>
      <c r="V84" s="15"/>
      <c r="W84" s="1"/>
      <c r="X84" s="1"/>
    </row>
    <row r="85" spans="2:24" x14ac:dyDescent="0.3">
      <c r="B85" s="1"/>
      <c r="C85" s="1"/>
      <c r="D85" s="6"/>
      <c r="E85" s="6"/>
      <c r="F85" s="6"/>
      <c r="G85" s="6"/>
      <c r="H85" s="6"/>
      <c r="I85" s="6"/>
      <c r="J85" s="1"/>
      <c r="K85" s="1"/>
      <c r="L85" s="1"/>
      <c r="M85" s="1"/>
      <c r="P85" s="1"/>
      <c r="Q85" s="15"/>
      <c r="R85" s="15"/>
      <c r="S85" s="15"/>
      <c r="T85" s="15"/>
      <c r="U85" s="15"/>
      <c r="V85" s="15"/>
      <c r="W85" s="1"/>
      <c r="X85" s="1"/>
    </row>
    <row r="86" spans="2:24" x14ac:dyDescent="0.3">
      <c r="B86" s="1"/>
      <c r="C86" s="1"/>
      <c r="D86" s="6"/>
      <c r="E86" s="6"/>
      <c r="F86" s="6"/>
      <c r="G86" s="6"/>
      <c r="H86" s="6"/>
      <c r="I86" s="6"/>
      <c r="J86" s="1"/>
      <c r="K86" s="1"/>
      <c r="L86" s="1"/>
      <c r="M86" s="1"/>
      <c r="P86" s="1"/>
      <c r="Q86" s="15"/>
      <c r="R86" s="15"/>
      <c r="S86" s="15"/>
      <c r="T86" s="15"/>
      <c r="U86" s="15"/>
      <c r="V86" s="15"/>
      <c r="W86" s="1"/>
      <c r="X86" s="1"/>
    </row>
    <row r="87" spans="2:24" x14ac:dyDescent="0.3">
      <c r="B87" s="1"/>
      <c r="C87" s="1"/>
      <c r="D87" s="6"/>
      <c r="E87" s="6"/>
      <c r="F87" s="6"/>
      <c r="G87" s="6"/>
      <c r="H87" s="6"/>
      <c r="I87" s="6"/>
      <c r="J87" s="1"/>
      <c r="K87" s="1"/>
      <c r="L87" s="1"/>
      <c r="M87" s="1"/>
      <c r="P87" s="1"/>
      <c r="Q87" s="15"/>
      <c r="R87" s="15"/>
      <c r="S87" s="15"/>
      <c r="T87" s="15"/>
      <c r="U87" s="15"/>
      <c r="V87" s="15"/>
      <c r="W87" s="1"/>
      <c r="X87" s="1"/>
    </row>
    <row r="88" spans="2:24" x14ac:dyDescent="0.3">
      <c r="B88" s="1"/>
      <c r="C88" s="1"/>
      <c r="D88" s="6"/>
      <c r="E88" s="6"/>
      <c r="F88" s="6"/>
      <c r="G88" s="6"/>
      <c r="H88" s="6"/>
      <c r="I88" s="6"/>
      <c r="J88" s="1"/>
      <c r="K88" s="1"/>
      <c r="L88" s="1"/>
      <c r="M88" s="1"/>
      <c r="P88" s="1"/>
      <c r="Q88" s="15"/>
      <c r="R88" s="15"/>
      <c r="S88" s="15"/>
      <c r="T88" s="15"/>
      <c r="U88" s="15"/>
      <c r="V88" s="15"/>
      <c r="W88" s="1"/>
      <c r="X88" s="1"/>
    </row>
    <row r="89" spans="2:24" x14ac:dyDescent="0.3">
      <c r="B89" s="1"/>
      <c r="C89" s="1"/>
      <c r="D89" s="6"/>
      <c r="E89" s="6"/>
      <c r="F89" s="6"/>
      <c r="G89" s="6"/>
      <c r="H89" s="6"/>
      <c r="I89" s="6"/>
      <c r="J89" s="1"/>
      <c r="K89" s="1"/>
      <c r="L89" s="1"/>
      <c r="M89" s="1"/>
      <c r="P89" s="1"/>
      <c r="Q89" s="15"/>
      <c r="R89" s="15"/>
      <c r="S89" s="15"/>
      <c r="T89" s="15"/>
      <c r="U89" s="15"/>
      <c r="V89" s="15"/>
      <c r="W89" s="1"/>
      <c r="X89" s="1"/>
    </row>
    <row r="90" spans="2:24" x14ac:dyDescent="0.3">
      <c r="B90" s="1"/>
      <c r="C90" s="1"/>
      <c r="D90" s="6"/>
      <c r="E90" s="6"/>
      <c r="F90" s="6"/>
      <c r="G90" s="6"/>
      <c r="H90" s="6"/>
      <c r="I90" s="6"/>
      <c r="J90" s="1"/>
      <c r="K90" s="1"/>
      <c r="L90" s="1"/>
      <c r="M90" s="1"/>
      <c r="P90" s="1"/>
      <c r="Q90" s="15"/>
      <c r="R90" s="15"/>
      <c r="S90" s="15"/>
      <c r="T90" s="15"/>
      <c r="U90" s="15"/>
      <c r="V90" s="15"/>
      <c r="W90" s="1"/>
      <c r="X90" s="1"/>
    </row>
    <row r="91" spans="2:24" x14ac:dyDescent="0.3">
      <c r="B91" s="1"/>
      <c r="C91" s="1"/>
      <c r="D91" s="6"/>
      <c r="E91" s="6"/>
      <c r="F91" s="6"/>
      <c r="G91" s="6"/>
      <c r="H91" s="6"/>
      <c r="I91" s="6"/>
      <c r="J91" s="1"/>
      <c r="K91" s="1"/>
      <c r="L91" s="1"/>
      <c r="M91" s="1"/>
      <c r="P91" s="1"/>
      <c r="Q91" s="15"/>
      <c r="R91" s="15"/>
      <c r="S91" s="15"/>
      <c r="T91" s="15"/>
      <c r="U91" s="15"/>
      <c r="V91" s="15"/>
      <c r="W91" s="1"/>
      <c r="X91" s="1"/>
    </row>
    <row r="92" spans="2:24" x14ac:dyDescent="0.3">
      <c r="B92" s="1"/>
      <c r="C92" s="1"/>
      <c r="D92" s="6"/>
      <c r="E92" s="6"/>
      <c r="F92" s="6"/>
      <c r="G92" s="6"/>
      <c r="H92" s="6"/>
      <c r="I92" s="6"/>
      <c r="J92" s="1"/>
      <c r="K92" s="1"/>
      <c r="L92" s="1"/>
      <c r="M92" s="1"/>
      <c r="P92" s="1"/>
      <c r="Q92" s="15"/>
      <c r="R92" s="15"/>
      <c r="S92" s="15"/>
      <c r="T92" s="15"/>
      <c r="U92" s="15"/>
      <c r="V92" s="15"/>
      <c r="W92" s="1"/>
      <c r="X92" s="1"/>
    </row>
    <row r="93" spans="2:24" x14ac:dyDescent="0.3">
      <c r="B93" s="1"/>
      <c r="C93" s="1"/>
      <c r="D93" s="6"/>
      <c r="E93" s="6"/>
      <c r="F93" s="6"/>
      <c r="G93" s="6"/>
      <c r="H93" s="6"/>
      <c r="I93" s="6"/>
      <c r="J93" s="1"/>
      <c r="K93" s="1"/>
      <c r="L93" s="1"/>
      <c r="M93" s="1"/>
      <c r="P93" s="1"/>
      <c r="Q93" s="15"/>
      <c r="R93" s="15"/>
      <c r="S93" s="15"/>
      <c r="T93" s="15"/>
      <c r="U93" s="15"/>
      <c r="V93" s="15"/>
      <c r="W93" s="1"/>
      <c r="X93" s="1"/>
    </row>
    <row r="94" spans="2:24" x14ac:dyDescent="0.3">
      <c r="B94" s="1"/>
      <c r="C94" s="1"/>
      <c r="D94" s="6"/>
      <c r="E94" s="6"/>
      <c r="F94" s="6"/>
      <c r="G94" s="6"/>
      <c r="H94" s="6"/>
      <c r="I94" s="6"/>
      <c r="J94" s="1"/>
      <c r="K94" s="1"/>
      <c r="L94" s="1"/>
      <c r="M94" s="1"/>
      <c r="P94" s="1"/>
      <c r="Q94" s="15"/>
      <c r="R94" s="15"/>
      <c r="S94" s="15"/>
      <c r="T94" s="15"/>
      <c r="U94" s="15"/>
      <c r="V94" s="15"/>
      <c r="W94" s="1"/>
      <c r="X94" s="1"/>
    </row>
    <row r="95" spans="2:24" x14ac:dyDescent="0.3">
      <c r="B95" s="1"/>
      <c r="C95" s="1"/>
      <c r="D95" s="6"/>
      <c r="E95" s="6"/>
      <c r="F95" s="6"/>
      <c r="G95" s="6"/>
      <c r="H95" s="6"/>
      <c r="I95" s="6"/>
      <c r="J95" s="1"/>
      <c r="K95" s="1"/>
      <c r="L95" s="1"/>
      <c r="M95" s="1"/>
      <c r="P95" s="1"/>
      <c r="Q95" s="15"/>
      <c r="R95" s="15"/>
      <c r="S95" s="15"/>
      <c r="T95" s="15"/>
      <c r="U95" s="15"/>
      <c r="V95" s="15"/>
      <c r="W95" s="1"/>
      <c r="X95" s="1"/>
    </row>
    <row r="96" spans="2:24" x14ac:dyDescent="0.3">
      <c r="B96" s="1"/>
      <c r="C96" s="1"/>
      <c r="D96" s="6"/>
      <c r="E96" s="6"/>
      <c r="F96" s="6"/>
      <c r="G96" s="6"/>
      <c r="H96" s="6"/>
      <c r="I96" s="6"/>
      <c r="J96" s="1"/>
      <c r="K96" s="1"/>
      <c r="L96" s="1"/>
      <c r="M96" s="1"/>
      <c r="P96" s="1"/>
      <c r="Q96" s="15"/>
      <c r="R96" s="15"/>
      <c r="S96" s="15"/>
      <c r="T96" s="15"/>
      <c r="U96" s="15"/>
      <c r="V96" s="15"/>
      <c r="W96" s="1"/>
      <c r="X96" s="1"/>
    </row>
    <row r="97" spans="16:22" x14ac:dyDescent="0.3">
      <c r="P97" s="1"/>
      <c r="Q97" s="15"/>
      <c r="R97" s="15"/>
      <c r="S97" s="15"/>
      <c r="T97" s="15"/>
      <c r="U97" s="15"/>
      <c r="V97" s="15"/>
    </row>
  </sheetData>
  <pageMargins left="0.7" right="0.7" top="0.75" bottom="0.75" header="0.3" footer="0.3"/>
  <pageSetup orientation="portrait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08C53E-DA7B-45A7-9283-508F5A94CB96}">
  <dimension ref="A1:X97"/>
  <sheetViews>
    <sheetView topLeftCell="A4" zoomScaleNormal="100" workbookViewId="0">
      <selection activeCell="K22" sqref="K22"/>
    </sheetView>
  </sheetViews>
  <sheetFormatPr defaultRowHeight="14.4" x14ac:dyDescent="0.3"/>
  <cols>
    <col min="1" max="1" width="3" style="1" customWidth="1"/>
    <col min="2" max="2" width="13" customWidth="1"/>
    <col min="3" max="3" width="19.109375" customWidth="1"/>
    <col min="4" max="4" width="18.44140625" customWidth="1"/>
    <col min="5" max="5" width="18.6640625" customWidth="1"/>
    <col min="6" max="6" width="21.109375" customWidth="1"/>
    <col min="7" max="7" width="24.88671875" customWidth="1"/>
    <col min="8" max="8" width="23.6640625" customWidth="1"/>
    <col min="9" max="9" width="20.6640625" customWidth="1"/>
    <col min="10" max="10" width="21.88671875" customWidth="1"/>
    <col min="11" max="11" width="18" customWidth="1"/>
    <col min="12" max="12" width="20.5546875" customWidth="1"/>
    <col min="13" max="13" width="21.6640625" customWidth="1"/>
    <col min="14" max="14" width="18.6640625" customWidth="1"/>
    <col min="16" max="16" width="12.44140625" customWidth="1"/>
    <col min="17" max="17" width="16.5546875" customWidth="1"/>
    <col min="18" max="18" width="15.88671875" customWidth="1"/>
    <col min="19" max="19" width="14.6640625" customWidth="1"/>
    <col min="20" max="20" width="14" customWidth="1"/>
    <col min="21" max="21" width="13.109375" customWidth="1"/>
    <col min="22" max="22" width="15.88671875" customWidth="1"/>
    <col min="23" max="23" width="16.6640625" customWidth="1"/>
    <col min="24" max="24" width="15.44140625" customWidth="1"/>
  </cols>
  <sheetData>
    <row r="1" spans="2:15" x14ac:dyDescent="0.3">
      <c r="H1" s="4" t="s">
        <v>8</v>
      </c>
    </row>
    <row r="2" spans="2:15" x14ac:dyDescent="0.3">
      <c r="H2" s="5" t="s">
        <v>9</v>
      </c>
    </row>
    <row r="3" spans="2:15" x14ac:dyDescent="0.3">
      <c r="B3" s="1" t="s">
        <v>1</v>
      </c>
      <c r="C3" s="1"/>
      <c r="D3" s="1"/>
      <c r="E3" s="1"/>
      <c r="F3" s="1"/>
      <c r="G3" s="1"/>
      <c r="H3" s="3"/>
      <c r="I3" s="1"/>
      <c r="J3" s="1"/>
      <c r="K3" s="1"/>
      <c r="L3" s="1"/>
      <c r="M3" s="1"/>
      <c r="N3" s="1"/>
      <c r="O3" s="1"/>
    </row>
    <row r="4" spans="2:15" ht="28.8" x14ac:dyDescent="0.3">
      <c r="B4" s="12" t="s">
        <v>10</v>
      </c>
      <c r="C4" s="12" t="s">
        <v>5</v>
      </c>
      <c r="D4" s="12" t="s">
        <v>6</v>
      </c>
      <c r="E4" s="12" t="s">
        <v>0</v>
      </c>
      <c r="F4" s="13" t="s">
        <v>11</v>
      </c>
      <c r="G4" s="16" t="s">
        <v>29</v>
      </c>
      <c r="H4" s="16" t="s">
        <v>30</v>
      </c>
      <c r="I4" s="12" t="s">
        <v>33</v>
      </c>
      <c r="J4" s="12" t="s">
        <v>34</v>
      </c>
      <c r="K4" s="1"/>
      <c r="L4" s="1"/>
      <c r="M4" s="1"/>
      <c r="N4" s="1"/>
      <c r="O4" s="1"/>
    </row>
    <row r="5" spans="2:15" x14ac:dyDescent="0.3">
      <c r="B5" s="1"/>
      <c r="C5" s="6"/>
      <c r="D5" s="6"/>
      <c r="E5" s="6"/>
      <c r="F5" s="10"/>
      <c r="G5" s="1"/>
      <c r="H5" s="10"/>
      <c r="K5" s="2"/>
      <c r="L5" s="2"/>
      <c r="M5" s="1"/>
      <c r="N5" s="1"/>
      <c r="O5" s="1"/>
    </row>
    <row r="6" spans="2:15" x14ac:dyDescent="0.3">
      <c r="B6" s="1"/>
      <c r="C6" s="6"/>
      <c r="D6" s="6"/>
      <c r="E6" s="6"/>
      <c r="F6" s="10"/>
      <c r="G6" s="1"/>
      <c r="H6" s="1"/>
      <c r="K6" s="2"/>
      <c r="L6" s="2"/>
      <c r="M6" s="1"/>
      <c r="N6" s="1"/>
      <c r="O6" s="1"/>
    </row>
    <row r="7" spans="2:15" x14ac:dyDescent="0.3">
      <c r="B7" s="1"/>
      <c r="C7" s="6"/>
      <c r="D7" s="6"/>
      <c r="E7" s="6"/>
      <c r="F7" s="10"/>
      <c r="G7" s="1"/>
      <c r="H7" s="1"/>
      <c r="I7" s="1"/>
      <c r="J7" s="1"/>
      <c r="K7" s="2"/>
      <c r="L7" s="2"/>
      <c r="M7" s="6"/>
      <c r="N7" s="1"/>
      <c r="O7" s="1"/>
    </row>
    <row r="8" spans="2:15" x14ac:dyDescent="0.3">
      <c r="B8" s="1"/>
      <c r="C8" s="6"/>
      <c r="D8" s="6"/>
      <c r="E8" s="6"/>
      <c r="F8" s="10"/>
      <c r="G8" s="1"/>
      <c r="H8" s="1"/>
      <c r="I8" s="1"/>
      <c r="J8" s="1"/>
      <c r="K8" s="2"/>
      <c r="L8" s="2"/>
      <c r="M8" s="6"/>
      <c r="N8" s="1"/>
      <c r="O8" s="1"/>
    </row>
    <row r="9" spans="2:15" x14ac:dyDescent="0.3">
      <c r="B9" s="1"/>
      <c r="C9" s="6"/>
      <c r="D9" s="6"/>
      <c r="E9" s="6"/>
      <c r="F9" s="10"/>
      <c r="G9" s="1"/>
      <c r="H9" s="1"/>
      <c r="I9" s="1"/>
      <c r="J9" s="1"/>
      <c r="K9" s="2"/>
      <c r="L9" s="2"/>
      <c r="M9" s="6"/>
      <c r="N9" s="1"/>
      <c r="O9" s="1"/>
    </row>
    <row r="10" spans="2:15" x14ac:dyDescent="0.3">
      <c r="B10" s="1"/>
      <c r="C10" s="6"/>
      <c r="D10" s="6"/>
      <c r="E10" s="6"/>
      <c r="F10" s="10"/>
      <c r="G10" s="1"/>
      <c r="H10" s="1"/>
      <c r="I10" s="1"/>
      <c r="J10" s="1"/>
      <c r="K10" s="2"/>
      <c r="L10" s="2"/>
      <c r="M10" s="6"/>
      <c r="N10" s="1"/>
      <c r="O10" s="1"/>
    </row>
    <row r="11" spans="2:15" x14ac:dyDescent="0.3">
      <c r="B11" s="1"/>
      <c r="C11" s="6"/>
      <c r="D11" s="6"/>
      <c r="E11" s="6"/>
      <c r="F11" s="10"/>
      <c r="G11" s="1"/>
      <c r="H11" s="1"/>
      <c r="I11" s="1"/>
      <c r="J11" s="1"/>
      <c r="K11" s="2"/>
      <c r="L11" s="2"/>
      <c r="M11" s="6"/>
      <c r="N11" s="1"/>
      <c r="O11" s="1"/>
    </row>
    <row r="12" spans="2:15" x14ac:dyDescent="0.3">
      <c r="B12" s="1"/>
      <c r="C12" s="6"/>
      <c r="D12" s="6"/>
      <c r="E12" s="6"/>
      <c r="F12" s="10"/>
      <c r="G12" s="1"/>
      <c r="H12" s="1"/>
      <c r="I12" s="1"/>
      <c r="J12" s="1"/>
      <c r="K12" s="2"/>
      <c r="L12" s="2"/>
      <c r="M12" s="6"/>
      <c r="N12" s="1"/>
      <c r="O12" s="1"/>
    </row>
    <row r="13" spans="2:15" x14ac:dyDescent="0.3">
      <c r="B13" s="1"/>
      <c r="C13" s="6"/>
      <c r="D13" s="6"/>
      <c r="E13" s="6"/>
      <c r="F13" s="10"/>
      <c r="G13" s="1"/>
      <c r="H13" s="1"/>
      <c r="I13" s="1"/>
      <c r="J13" s="1"/>
      <c r="K13" s="2"/>
      <c r="L13" s="2"/>
      <c r="M13" s="6"/>
      <c r="N13" s="1"/>
      <c r="O13" s="1"/>
    </row>
    <row r="14" spans="2:15" x14ac:dyDescent="0.3">
      <c r="B14" s="1"/>
      <c r="C14" s="6"/>
      <c r="D14" s="6"/>
      <c r="E14" s="6"/>
      <c r="F14" s="10"/>
      <c r="G14" s="1"/>
      <c r="H14" s="1"/>
      <c r="I14" s="1"/>
      <c r="J14" s="1"/>
      <c r="K14" s="1"/>
      <c r="L14" s="7"/>
      <c r="M14" s="6"/>
      <c r="N14" s="1"/>
      <c r="O14" s="1"/>
    </row>
    <row r="15" spans="2:15" x14ac:dyDescent="0.3">
      <c r="B15" s="1"/>
      <c r="C15" s="6"/>
      <c r="D15" s="6"/>
      <c r="E15" s="6"/>
      <c r="F15" s="10"/>
      <c r="G15" s="1"/>
      <c r="H15" s="1"/>
      <c r="I15" s="1"/>
      <c r="J15" s="1"/>
      <c r="K15" s="1"/>
      <c r="L15" s="7"/>
      <c r="M15" s="6"/>
      <c r="N15" s="1"/>
      <c r="O15" s="1"/>
    </row>
    <row r="16" spans="2:15" x14ac:dyDescent="0.3">
      <c r="B16" s="1"/>
      <c r="C16" s="6"/>
      <c r="D16" s="6"/>
      <c r="E16" s="6"/>
      <c r="F16" s="10"/>
      <c r="G16" s="1"/>
      <c r="H16" s="1"/>
      <c r="I16" s="1"/>
      <c r="J16" s="1"/>
      <c r="K16" s="1"/>
      <c r="L16" s="1"/>
      <c r="M16" s="1"/>
      <c r="N16" s="1"/>
      <c r="O16" s="1"/>
    </row>
    <row r="17" spans="2:15" x14ac:dyDescent="0.3">
      <c r="B17" s="1"/>
      <c r="C17" s="6"/>
      <c r="D17" s="6"/>
      <c r="E17" s="6"/>
      <c r="F17" s="10"/>
      <c r="G17" s="1"/>
      <c r="H17" s="1"/>
      <c r="I17" s="1"/>
      <c r="J17" s="1"/>
      <c r="K17" s="1"/>
      <c r="L17" s="1"/>
      <c r="M17" s="1"/>
      <c r="N17" s="1"/>
      <c r="O17" s="1"/>
    </row>
    <row r="18" spans="2:15" x14ac:dyDescent="0.3">
      <c r="B18" s="1"/>
      <c r="C18" s="6"/>
      <c r="D18" s="6"/>
      <c r="E18" s="6"/>
      <c r="F18" s="10"/>
      <c r="G18" s="1"/>
      <c r="H18" s="1"/>
      <c r="I18" s="1"/>
      <c r="J18" s="1"/>
      <c r="K18" s="1"/>
      <c r="L18" s="1"/>
      <c r="M18" s="1"/>
      <c r="N18" s="1"/>
      <c r="O18" s="1"/>
    </row>
    <row r="19" spans="2:15" x14ac:dyDescent="0.3">
      <c r="B19" s="1"/>
      <c r="C19" s="6"/>
      <c r="D19" s="6"/>
      <c r="E19" s="6"/>
      <c r="F19" s="10"/>
      <c r="G19" s="1"/>
      <c r="K19" s="2"/>
      <c r="L19" s="2"/>
      <c r="M19" s="1"/>
      <c r="N19" s="1"/>
      <c r="O19" s="1"/>
    </row>
    <row r="20" spans="2:15" x14ac:dyDescent="0.3">
      <c r="B20" s="1" t="s">
        <v>12</v>
      </c>
      <c r="C20" s="6">
        <v>1.8695993339197901</v>
      </c>
      <c r="D20" s="6">
        <v>0.44896728093636801</v>
      </c>
      <c r="E20" s="6">
        <v>2.4947102971666898E-2</v>
      </c>
      <c r="F20" s="10">
        <v>16</v>
      </c>
      <c r="G20" s="1"/>
      <c r="H20" s="10"/>
      <c r="K20" s="2"/>
      <c r="L20" s="2"/>
      <c r="M20" s="1"/>
      <c r="N20" s="1"/>
      <c r="O20" s="1"/>
    </row>
    <row r="21" spans="2:15" x14ac:dyDescent="0.3">
      <c r="B21" s="1" t="s">
        <v>13</v>
      </c>
      <c r="C21" s="6">
        <v>1.21795864622288</v>
      </c>
      <c r="D21" s="6">
        <v>1.5264059910121399</v>
      </c>
      <c r="E21" s="6">
        <v>9.6293174744729593E-3</v>
      </c>
      <c r="F21" s="10">
        <v>21.5</v>
      </c>
      <c r="G21" s="1">
        <v>22</v>
      </c>
      <c r="H21" s="1"/>
      <c r="K21" s="2"/>
      <c r="L21" s="2"/>
      <c r="M21" s="6"/>
      <c r="N21" s="1"/>
      <c r="O21" s="1"/>
    </row>
    <row r="22" spans="2:15" x14ac:dyDescent="0.3">
      <c r="B22" s="1" t="s">
        <v>14</v>
      </c>
      <c r="C22" s="6">
        <v>1.0299659938988901</v>
      </c>
      <c r="D22" s="6">
        <v>0.71671353985517805</v>
      </c>
      <c r="E22" s="6">
        <v>0.14608753400636901</v>
      </c>
      <c r="F22" s="10">
        <v>12.222222220000001</v>
      </c>
      <c r="G22" s="1">
        <v>21.75</v>
      </c>
      <c r="H22" s="1"/>
      <c r="I22" s="1">
        <v>118.22733427999999</v>
      </c>
      <c r="J22" s="1">
        <v>60.710430000000002</v>
      </c>
      <c r="K22" s="2"/>
      <c r="L22" s="2"/>
      <c r="M22" s="6"/>
      <c r="N22" s="1"/>
      <c r="O22" s="1"/>
    </row>
    <row r="23" spans="2:15" x14ac:dyDescent="0.3">
      <c r="B23" s="1" t="s">
        <v>15</v>
      </c>
      <c r="C23" s="6"/>
      <c r="D23" s="6"/>
      <c r="E23" s="6"/>
      <c r="F23" s="10"/>
      <c r="G23" s="1">
        <v>48.5</v>
      </c>
      <c r="H23" s="1">
        <v>48.5</v>
      </c>
      <c r="I23" s="1">
        <v>108.51115272</v>
      </c>
      <c r="J23" s="1">
        <v>45.71622</v>
      </c>
      <c r="K23" s="1"/>
      <c r="L23" s="1"/>
      <c r="M23" s="6"/>
      <c r="N23" s="1"/>
      <c r="O23" s="1"/>
    </row>
    <row r="24" spans="2:15" x14ac:dyDescent="0.3">
      <c r="B24" s="1" t="s">
        <v>16</v>
      </c>
      <c r="C24" s="6"/>
      <c r="D24" s="6"/>
      <c r="E24" s="6"/>
      <c r="F24" s="10"/>
      <c r="G24" s="1">
        <v>28.75</v>
      </c>
      <c r="H24" s="1">
        <v>28.75</v>
      </c>
      <c r="I24" s="1">
        <v>106.97060942</v>
      </c>
      <c r="J24" s="1">
        <v>46.063560000000003</v>
      </c>
      <c r="K24" s="1"/>
      <c r="L24" s="1"/>
      <c r="M24" s="6"/>
      <c r="N24" s="1"/>
      <c r="O24" s="1"/>
    </row>
    <row r="25" spans="2:15" x14ac:dyDescent="0.3">
      <c r="B25" s="1" t="s">
        <v>17</v>
      </c>
      <c r="C25" s="6">
        <v>1.1534447144942801</v>
      </c>
      <c r="D25" s="6">
        <v>0.678678630991426</v>
      </c>
      <c r="E25" s="6">
        <v>1.27691539373017E-2</v>
      </c>
      <c r="F25" s="10">
        <v>11.25</v>
      </c>
      <c r="G25" s="1">
        <v>21</v>
      </c>
      <c r="H25" s="1">
        <v>21</v>
      </c>
      <c r="I25" s="1">
        <v>113.72040256</v>
      </c>
      <c r="J25" s="1">
        <v>47.354999999999997</v>
      </c>
      <c r="K25" s="1"/>
      <c r="L25" s="1"/>
      <c r="M25" s="6"/>
      <c r="N25" s="1"/>
      <c r="O25" s="1"/>
    </row>
    <row r="26" spans="2:15" x14ac:dyDescent="0.3">
      <c r="B26" s="1" t="s">
        <v>18</v>
      </c>
      <c r="C26" s="6">
        <v>1.6625275928143599</v>
      </c>
      <c r="D26" s="6">
        <v>0.81343884511072295</v>
      </c>
      <c r="E26" s="6">
        <v>6.7576112725014403E-2</v>
      </c>
      <c r="F26" s="10">
        <v>15</v>
      </c>
      <c r="G26" s="1">
        <v>21.5</v>
      </c>
      <c r="H26" s="1"/>
      <c r="I26" s="1"/>
      <c r="J26" s="1"/>
      <c r="K26" s="1"/>
      <c r="L26" s="1"/>
      <c r="M26" s="6"/>
      <c r="N26" s="1"/>
      <c r="O26" s="1"/>
    </row>
    <row r="27" spans="2:15" x14ac:dyDescent="0.3">
      <c r="B27" s="1" t="s">
        <v>19</v>
      </c>
      <c r="C27" s="6">
        <v>0.83858009935182098</v>
      </c>
      <c r="D27" s="6">
        <v>-1.07855599689062</v>
      </c>
      <c r="E27" s="6">
        <v>-0.35416666689988402</v>
      </c>
      <c r="F27" s="10">
        <v>11.612903230000001</v>
      </c>
      <c r="G27" s="1">
        <v>75</v>
      </c>
      <c r="H27" s="1">
        <v>96.5</v>
      </c>
      <c r="I27" s="1">
        <v>112.66319882000001</v>
      </c>
      <c r="J27" s="1">
        <v>101.105</v>
      </c>
      <c r="K27" s="1"/>
      <c r="L27" s="1"/>
      <c r="M27" s="6"/>
      <c r="N27" s="1"/>
      <c r="O27" s="1"/>
    </row>
    <row r="28" spans="2:15" x14ac:dyDescent="0.3">
      <c r="B28" s="1" t="s">
        <v>20</v>
      </c>
      <c r="C28" s="6">
        <v>2.31938512736013</v>
      </c>
      <c r="D28" s="6">
        <v>1.34776836410395</v>
      </c>
      <c r="E28" s="6">
        <v>4.5646344187588998E-2</v>
      </c>
      <c r="F28" s="10">
        <v>14.545454550000001</v>
      </c>
      <c r="G28" s="1">
        <v>47.5</v>
      </c>
      <c r="H28" s="1">
        <v>47.5</v>
      </c>
      <c r="I28" s="1">
        <v>114.89097618</v>
      </c>
      <c r="J28" s="1">
        <v>44.466000000000001</v>
      </c>
      <c r="K28" s="1"/>
      <c r="L28" s="1"/>
      <c r="M28" s="6"/>
      <c r="N28" s="1"/>
      <c r="O28" s="1"/>
    </row>
    <row r="29" spans="2:15" x14ac:dyDescent="0.3">
      <c r="B29" s="1" t="s">
        <v>21</v>
      </c>
      <c r="C29" s="6">
        <v>1.66955637894203</v>
      </c>
      <c r="D29" s="6">
        <v>0.55456789410428697</v>
      </c>
      <c r="E29" s="6">
        <v>1.47909285306715E-2</v>
      </c>
      <c r="F29" s="10">
        <v>45</v>
      </c>
      <c r="G29" s="1">
        <v>23.5</v>
      </c>
      <c r="H29" s="1">
        <v>23.5</v>
      </c>
      <c r="I29" s="1">
        <v>116.55531655999999</v>
      </c>
      <c r="J29" s="1">
        <v>47.503</v>
      </c>
      <c r="K29" s="1"/>
      <c r="L29" s="1"/>
      <c r="M29" s="6"/>
      <c r="N29" s="1"/>
      <c r="O29" s="1"/>
    </row>
    <row r="30" spans="2:15" x14ac:dyDescent="0.3">
      <c r="B30" s="1" t="s">
        <v>22</v>
      </c>
      <c r="C30" s="6"/>
      <c r="D30" s="6">
        <v>0.70468449804027899</v>
      </c>
      <c r="E30" s="6">
        <v>3.5842816756479302E-2</v>
      </c>
      <c r="F30" s="10">
        <v>20</v>
      </c>
      <c r="G30" s="1">
        <v>27.75</v>
      </c>
      <c r="H30" s="1"/>
      <c r="I30" s="1"/>
      <c r="J30" s="1"/>
      <c r="K30" s="1"/>
      <c r="L30" s="1"/>
      <c r="M30" s="1"/>
      <c r="N30" s="1"/>
      <c r="O30" s="1"/>
    </row>
    <row r="31" spans="2:15" x14ac:dyDescent="0.3">
      <c r="B31" s="1" t="s">
        <v>23</v>
      </c>
      <c r="C31" s="6">
        <v>0.90805045415642205</v>
      </c>
      <c r="D31" s="6">
        <v>-0.373253605455523</v>
      </c>
      <c r="E31" s="6">
        <v>-4.0383997186219003E-2</v>
      </c>
      <c r="F31" s="10">
        <v>4.375</v>
      </c>
      <c r="G31" s="1">
        <v>20</v>
      </c>
      <c r="H31" s="1">
        <v>47.75</v>
      </c>
      <c r="I31" s="1">
        <v>118.40602251999999</v>
      </c>
      <c r="J31" s="1">
        <v>54.055999999999997</v>
      </c>
      <c r="K31" s="1"/>
      <c r="L31" s="1"/>
      <c r="M31" s="1"/>
      <c r="N31" s="1"/>
      <c r="O31" s="1"/>
    </row>
    <row r="32" spans="2:15" x14ac:dyDescent="0.3">
      <c r="B32" s="1" t="s">
        <v>24</v>
      </c>
      <c r="C32" s="6">
        <v>1.0862889042163599</v>
      </c>
      <c r="D32" s="6">
        <v>0.63056904760694898</v>
      </c>
      <c r="E32" s="6">
        <v>3.6679485231980898E-2</v>
      </c>
      <c r="F32" s="10">
        <v>24.375</v>
      </c>
      <c r="G32" s="1">
        <v>23.75</v>
      </c>
      <c r="H32" s="1">
        <v>23.75</v>
      </c>
      <c r="I32" s="1">
        <v>115.75512236</v>
      </c>
      <c r="J32" s="1">
        <v>53.783999999999999</v>
      </c>
      <c r="K32" s="1"/>
      <c r="L32" s="1"/>
      <c r="M32" s="1"/>
      <c r="N32" s="1"/>
      <c r="O32" s="1"/>
    </row>
    <row r="33" spans="2:15" x14ac:dyDescent="0.3">
      <c r="B33" s="1" t="s">
        <v>25</v>
      </c>
      <c r="C33" s="6">
        <v>0.39254775269290398</v>
      </c>
      <c r="D33" s="6">
        <v>-0.623899602892661</v>
      </c>
      <c r="E33" s="6">
        <v>-0.76160033358371604</v>
      </c>
      <c r="F33" s="10">
        <v>5.7142857139999998</v>
      </c>
      <c r="G33" s="1">
        <v>23.5</v>
      </c>
      <c r="H33" s="1">
        <v>23.5</v>
      </c>
      <c r="I33" s="1">
        <v>121.12197168</v>
      </c>
      <c r="J33" s="1">
        <v>53.783999999999999</v>
      </c>
      <c r="K33" s="2"/>
      <c r="L33" s="2"/>
      <c r="M33" s="1"/>
      <c r="N33" s="1"/>
      <c r="O33" s="1"/>
    </row>
    <row r="34" spans="2:15" x14ac:dyDescent="0.3">
      <c r="B34" s="1"/>
      <c r="C34" s="2"/>
      <c r="D34" s="2"/>
      <c r="E34" s="2"/>
      <c r="F34" s="1"/>
      <c r="G34" s="1"/>
      <c r="H34" s="1"/>
      <c r="K34" s="2"/>
      <c r="L34" s="2"/>
      <c r="M34" s="1"/>
      <c r="N34" s="1"/>
      <c r="O34" s="1"/>
    </row>
    <row r="35" spans="2:15" x14ac:dyDescent="0.3">
      <c r="B35" s="11" t="s">
        <v>2</v>
      </c>
      <c r="C35" s="1"/>
      <c r="D35" s="1"/>
      <c r="E35" s="1"/>
      <c r="F35" s="1"/>
      <c r="G35" s="6"/>
      <c r="H35" s="1"/>
      <c r="I35" s="1"/>
      <c r="J35" s="2"/>
      <c r="K35" s="2"/>
      <c r="L35" s="2"/>
      <c r="M35" s="6"/>
      <c r="N35" s="1"/>
      <c r="O35" s="1"/>
    </row>
    <row r="36" spans="2:15" ht="28.8" x14ac:dyDescent="0.3">
      <c r="B36" s="8" t="s">
        <v>10</v>
      </c>
      <c r="C36" s="8" t="s">
        <v>5</v>
      </c>
      <c r="D36" s="8" t="s">
        <v>6</v>
      </c>
      <c r="E36" s="8" t="s">
        <v>0</v>
      </c>
      <c r="F36" s="9" t="s">
        <v>11</v>
      </c>
      <c r="G36" s="14" t="s">
        <v>29</v>
      </c>
      <c r="H36" s="14" t="s">
        <v>30</v>
      </c>
      <c r="I36" s="12" t="s">
        <v>33</v>
      </c>
      <c r="J36" s="12" t="s">
        <v>34</v>
      </c>
      <c r="K36" s="2"/>
      <c r="L36" s="2"/>
      <c r="M36" s="6"/>
      <c r="N36" s="1"/>
      <c r="O36" s="1"/>
    </row>
    <row r="37" spans="2:15" x14ac:dyDescent="0.3">
      <c r="B37" s="1"/>
      <c r="C37" s="15"/>
      <c r="D37" s="15"/>
      <c r="E37" s="15"/>
      <c r="F37" s="10"/>
      <c r="G37" s="1"/>
      <c r="H37" s="10"/>
      <c r="K37" s="1"/>
      <c r="L37" s="1"/>
      <c r="M37" s="6"/>
      <c r="N37" s="1"/>
      <c r="O37" s="1"/>
    </row>
    <row r="38" spans="2:15" x14ac:dyDescent="0.3">
      <c r="B38" s="1"/>
      <c r="C38" s="15"/>
      <c r="D38" s="15"/>
      <c r="E38" s="15"/>
      <c r="F38" s="10"/>
      <c r="G38" s="1"/>
      <c r="H38" s="1"/>
      <c r="K38" s="1"/>
      <c r="L38" s="1"/>
      <c r="M38" s="6"/>
      <c r="N38" s="1"/>
      <c r="O38" s="1"/>
    </row>
    <row r="39" spans="2:15" x14ac:dyDescent="0.3">
      <c r="B39" s="1"/>
      <c r="C39" s="15"/>
      <c r="D39" s="15"/>
      <c r="E39" s="15"/>
      <c r="F39" s="10"/>
      <c r="G39" s="1"/>
      <c r="H39" s="1"/>
      <c r="I39" s="1"/>
      <c r="J39" s="1"/>
      <c r="K39" s="1"/>
      <c r="L39" s="1"/>
      <c r="M39" s="6"/>
      <c r="N39" s="1"/>
      <c r="O39" s="1"/>
    </row>
    <row r="40" spans="2:15" x14ac:dyDescent="0.3">
      <c r="B40" s="1"/>
      <c r="C40" s="15"/>
      <c r="D40" s="15"/>
      <c r="E40" s="15"/>
      <c r="F40" s="10"/>
      <c r="G40" s="1"/>
      <c r="H40" s="1"/>
      <c r="I40" s="1"/>
      <c r="J40" s="1"/>
      <c r="K40" s="1"/>
      <c r="L40" s="1"/>
      <c r="M40" s="6"/>
      <c r="N40" s="1"/>
      <c r="O40" s="1"/>
    </row>
    <row r="41" spans="2:15" x14ac:dyDescent="0.3">
      <c r="B41" s="1"/>
      <c r="C41" s="15"/>
      <c r="D41" s="15"/>
      <c r="E41" s="15"/>
      <c r="F41" s="10"/>
      <c r="G41" s="1"/>
      <c r="H41" s="1"/>
      <c r="I41" s="1"/>
      <c r="J41" s="1"/>
      <c r="K41" s="1"/>
      <c r="L41" s="1"/>
      <c r="M41" s="6"/>
      <c r="N41" s="1"/>
      <c r="O41" s="1"/>
    </row>
    <row r="42" spans="2:15" x14ac:dyDescent="0.3">
      <c r="B42" s="1"/>
      <c r="C42" s="15"/>
      <c r="D42" s="15"/>
      <c r="E42" s="15"/>
      <c r="F42" s="10"/>
      <c r="G42" s="1"/>
      <c r="H42" s="1"/>
      <c r="I42" s="1"/>
      <c r="J42" s="1"/>
      <c r="K42" s="1"/>
      <c r="L42" s="1"/>
      <c r="M42" s="6"/>
      <c r="N42" s="1"/>
      <c r="O42" s="1"/>
    </row>
    <row r="43" spans="2:15" x14ac:dyDescent="0.3">
      <c r="B43" s="1"/>
      <c r="C43" s="15"/>
      <c r="D43" s="15"/>
      <c r="E43" s="15"/>
      <c r="F43" s="10"/>
      <c r="G43" s="1"/>
      <c r="H43" s="1"/>
      <c r="I43" s="1"/>
      <c r="J43" s="1"/>
      <c r="K43" s="1"/>
      <c r="L43" s="1"/>
      <c r="M43" s="6"/>
      <c r="N43" s="1"/>
      <c r="O43" s="1"/>
    </row>
    <row r="44" spans="2:15" x14ac:dyDescent="0.3">
      <c r="B44" s="1"/>
      <c r="C44" s="15"/>
      <c r="D44" s="15"/>
      <c r="E44" s="15"/>
      <c r="F44" s="10"/>
      <c r="G44" s="1"/>
      <c r="H44" s="1"/>
      <c r="I44" s="1"/>
      <c r="J44" s="1"/>
      <c r="K44" s="1"/>
      <c r="L44" s="1"/>
      <c r="M44" s="1"/>
      <c r="N44" s="1"/>
      <c r="O44" s="1"/>
    </row>
    <row r="45" spans="2:15" x14ac:dyDescent="0.3">
      <c r="B45" s="1"/>
      <c r="C45" s="15"/>
      <c r="D45" s="15"/>
      <c r="E45" s="15"/>
      <c r="F45" s="10"/>
      <c r="G45" s="1"/>
      <c r="H45" s="1"/>
      <c r="I45" s="1"/>
      <c r="J45" s="1"/>
      <c r="K45" s="1"/>
      <c r="L45" s="1"/>
      <c r="M45" s="1"/>
      <c r="N45" s="1"/>
      <c r="O45" s="1"/>
    </row>
    <row r="46" spans="2:15" x14ac:dyDescent="0.3">
      <c r="B46" s="1"/>
      <c r="C46" s="15"/>
      <c r="D46" s="15"/>
      <c r="E46" s="15"/>
      <c r="F46" s="10"/>
      <c r="G46" s="1"/>
      <c r="H46" s="1"/>
      <c r="I46" s="1"/>
      <c r="J46" s="1"/>
      <c r="K46" s="2"/>
      <c r="L46" s="2"/>
      <c r="M46" s="2"/>
      <c r="N46" s="2"/>
      <c r="O46" s="1"/>
    </row>
    <row r="47" spans="2:15" x14ac:dyDescent="0.3">
      <c r="B47" s="1"/>
      <c r="C47" s="15"/>
      <c r="D47" s="15"/>
      <c r="E47" s="15"/>
      <c r="F47" s="10"/>
      <c r="G47" s="1"/>
      <c r="H47" s="1"/>
      <c r="I47" s="1"/>
      <c r="J47" s="1"/>
      <c r="K47" s="2"/>
      <c r="L47" s="2"/>
      <c r="M47" s="2"/>
      <c r="N47" s="2"/>
      <c r="O47" s="1"/>
    </row>
    <row r="48" spans="2:15" x14ac:dyDescent="0.3">
      <c r="B48" s="1"/>
      <c r="C48" s="15"/>
      <c r="D48" s="15"/>
      <c r="E48" s="15"/>
      <c r="F48" s="10"/>
      <c r="G48" s="1"/>
      <c r="H48" s="1"/>
      <c r="I48" s="1"/>
      <c r="J48" s="1"/>
      <c r="K48" s="2"/>
      <c r="L48" s="2"/>
      <c r="M48" s="2"/>
      <c r="N48" s="2"/>
      <c r="O48" s="1"/>
    </row>
    <row r="49" spans="2:15" x14ac:dyDescent="0.3">
      <c r="B49" s="1"/>
      <c r="C49" s="15"/>
      <c r="D49" s="15"/>
      <c r="E49" s="15"/>
      <c r="F49" s="10"/>
      <c r="G49" s="1"/>
      <c r="H49" s="1"/>
      <c r="I49" s="1"/>
      <c r="J49" s="1"/>
      <c r="K49" s="2"/>
      <c r="L49" s="2"/>
      <c r="M49" s="2"/>
      <c r="N49" s="2"/>
      <c r="O49" s="1"/>
    </row>
    <row r="50" spans="2:15" x14ac:dyDescent="0.3">
      <c r="B50" s="1"/>
      <c r="C50" s="15"/>
      <c r="D50" s="15"/>
      <c r="E50" s="15"/>
      <c r="F50" s="10"/>
      <c r="G50" s="1"/>
      <c r="H50" s="1"/>
      <c r="I50" s="1"/>
      <c r="J50" s="1"/>
      <c r="K50" s="2"/>
      <c r="L50" s="2"/>
      <c r="M50" s="2"/>
      <c r="N50" s="2"/>
      <c r="O50" s="1"/>
    </row>
    <row r="51" spans="2:15" x14ac:dyDescent="0.3">
      <c r="B51" s="1"/>
      <c r="C51" s="15"/>
      <c r="D51" s="15"/>
      <c r="E51" s="15"/>
      <c r="F51" s="10"/>
      <c r="G51" s="1"/>
      <c r="K51" s="2"/>
      <c r="L51" s="2"/>
      <c r="M51" s="2"/>
      <c r="N51" s="2"/>
      <c r="O51" s="1"/>
    </row>
    <row r="52" spans="2:15" x14ac:dyDescent="0.3">
      <c r="B52" s="1" t="s">
        <v>12</v>
      </c>
      <c r="C52" s="15">
        <v>1.0683907677478099</v>
      </c>
      <c r="D52" s="15">
        <v>0.74870138294766397</v>
      </c>
      <c r="E52" s="15">
        <v>6.5697545304297195E-2</v>
      </c>
      <c r="F52" s="1">
        <v>3.8290000000000002</v>
      </c>
      <c r="G52" s="1"/>
      <c r="H52" s="10"/>
      <c r="K52" s="2"/>
      <c r="L52" s="2"/>
      <c r="M52" s="2"/>
      <c r="N52" s="2"/>
      <c r="O52" s="1"/>
    </row>
    <row r="53" spans="2:15" x14ac:dyDescent="0.3">
      <c r="B53" s="1" t="s">
        <v>13</v>
      </c>
      <c r="C53" s="15">
        <v>1.13117180110701</v>
      </c>
      <c r="D53" s="15">
        <v>1.1019405303793299</v>
      </c>
      <c r="E53" s="15">
        <v>0.132436068542756</v>
      </c>
      <c r="F53" s="1">
        <v>4.6630000000000003</v>
      </c>
      <c r="G53" s="1">
        <v>22</v>
      </c>
      <c r="H53" s="1"/>
      <c r="K53" s="2"/>
      <c r="L53" s="2"/>
      <c r="M53" s="2"/>
      <c r="N53" s="2"/>
      <c r="O53" s="1"/>
    </row>
    <row r="54" spans="2:15" x14ac:dyDescent="0.3">
      <c r="B54" s="1" t="s">
        <v>14</v>
      </c>
      <c r="C54" s="15">
        <v>0.99421602518435603</v>
      </c>
      <c r="D54" s="15">
        <v>0.17884914222762199</v>
      </c>
      <c r="E54" s="15">
        <v>-4.2076076707890497E-3</v>
      </c>
      <c r="F54" s="1">
        <v>3.9940000000000002</v>
      </c>
      <c r="G54" s="1">
        <v>21.75</v>
      </c>
      <c r="H54" s="1"/>
      <c r="I54" s="1">
        <v>118.22733427999999</v>
      </c>
      <c r="J54" s="1">
        <v>60.710430000000002</v>
      </c>
      <c r="K54" s="2"/>
      <c r="L54" s="2"/>
      <c r="M54" s="2"/>
      <c r="N54" s="2"/>
      <c r="O54" s="1"/>
    </row>
    <row r="55" spans="2:15" x14ac:dyDescent="0.3">
      <c r="B55" s="1" t="s">
        <v>15</v>
      </c>
      <c r="C55" s="15"/>
      <c r="D55" s="15"/>
      <c r="E55" s="15"/>
      <c r="F55" s="1"/>
      <c r="G55" s="1">
        <v>48.5</v>
      </c>
      <c r="H55" s="1">
        <v>48.5</v>
      </c>
      <c r="I55" s="1">
        <v>108.51115272</v>
      </c>
      <c r="J55" s="1">
        <v>45.71622</v>
      </c>
      <c r="K55" s="1"/>
      <c r="L55" s="1"/>
      <c r="M55" s="1"/>
      <c r="N55" s="1"/>
      <c r="O55" s="1"/>
    </row>
    <row r="56" spans="2:15" x14ac:dyDescent="0.3">
      <c r="B56" s="1" t="s">
        <v>16</v>
      </c>
      <c r="C56" s="15">
        <v>1.0587750080951299</v>
      </c>
      <c r="D56" s="15">
        <v>0.662333397055619</v>
      </c>
      <c r="E56" s="15">
        <v>0.12430930853391101</v>
      </c>
      <c r="F56" s="1">
        <v>3.8860000000000001</v>
      </c>
      <c r="G56" s="1">
        <v>28.75</v>
      </c>
      <c r="H56" s="1">
        <v>28.75</v>
      </c>
      <c r="I56" s="1">
        <v>106.97060942</v>
      </c>
      <c r="J56" s="1">
        <v>46.063560000000003</v>
      </c>
    </row>
    <row r="57" spans="2:15" x14ac:dyDescent="0.3">
      <c r="B57" s="1" t="s">
        <v>17</v>
      </c>
      <c r="C57" s="15">
        <v>1.04764110720538</v>
      </c>
      <c r="D57" s="15">
        <v>1.10062768451704</v>
      </c>
      <c r="E57" s="15">
        <v>9.2876994447724404E-2</v>
      </c>
      <c r="F57" s="1">
        <v>3.7970000000000002</v>
      </c>
      <c r="G57" s="1">
        <v>21</v>
      </c>
      <c r="H57" s="1">
        <v>21</v>
      </c>
      <c r="I57" s="1">
        <v>113.72040256</v>
      </c>
      <c r="J57" s="1">
        <v>47.354999999999997</v>
      </c>
    </row>
    <row r="58" spans="2:15" x14ac:dyDescent="0.3">
      <c r="B58" s="1" t="s">
        <v>18</v>
      </c>
      <c r="C58" s="15">
        <v>1.1477045338510801</v>
      </c>
      <c r="D58" s="15">
        <v>0.97101599927504101</v>
      </c>
      <c r="E58" s="15">
        <v>8.3834633446242604E-2</v>
      </c>
      <c r="F58" s="1">
        <v>4.5410000000000004</v>
      </c>
      <c r="G58" s="1">
        <v>21.5</v>
      </c>
      <c r="H58" s="1"/>
      <c r="I58" s="1"/>
      <c r="J58" s="1"/>
    </row>
    <row r="59" spans="2:15" x14ac:dyDescent="0.3">
      <c r="B59" s="1" t="s">
        <v>19</v>
      </c>
      <c r="C59" s="15">
        <v>1.1126612766097499</v>
      </c>
      <c r="D59" s="15">
        <v>0.95380985457733503</v>
      </c>
      <c r="E59" s="15">
        <v>4.4857179056258203E-2</v>
      </c>
      <c r="F59" s="1">
        <v>3.456</v>
      </c>
      <c r="G59" s="1">
        <v>75</v>
      </c>
      <c r="H59" s="1">
        <v>96.5</v>
      </c>
      <c r="I59" s="1">
        <v>112.66319882000001</v>
      </c>
      <c r="J59" s="1">
        <v>101.105</v>
      </c>
    </row>
    <row r="60" spans="2:15" x14ac:dyDescent="0.3">
      <c r="B60" s="1" t="s">
        <v>20</v>
      </c>
      <c r="C60" s="15">
        <v>1.2530304455719099</v>
      </c>
      <c r="D60" s="15">
        <v>1.1029723476739599</v>
      </c>
      <c r="E60" s="15">
        <v>7.6664996000854094E-2</v>
      </c>
      <c r="F60" s="1">
        <v>4.681</v>
      </c>
      <c r="G60" s="1">
        <v>47.5</v>
      </c>
      <c r="H60" s="1">
        <v>47.5</v>
      </c>
      <c r="I60" s="1">
        <v>114.89097618</v>
      </c>
      <c r="J60" s="1">
        <v>44.466000000000001</v>
      </c>
    </row>
    <row r="61" spans="2:15" x14ac:dyDescent="0.3">
      <c r="B61" s="1" t="s">
        <v>21</v>
      </c>
      <c r="C61" s="15">
        <v>1.0813804129035001</v>
      </c>
      <c r="D61" s="15">
        <v>0.52079829390269505</v>
      </c>
      <c r="E61" s="15">
        <v>2.1219861817338499E-2</v>
      </c>
      <c r="F61" s="1">
        <v>4.9790000000000001</v>
      </c>
      <c r="G61" s="1">
        <v>23.5</v>
      </c>
      <c r="H61" s="1">
        <v>23.5</v>
      </c>
      <c r="I61" s="1">
        <v>116.55531655999999</v>
      </c>
      <c r="J61" s="1">
        <v>47.503</v>
      </c>
    </row>
    <row r="62" spans="2:15" x14ac:dyDescent="0.3">
      <c r="B62" s="1" t="s">
        <v>22</v>
      </c>
      <c r="C62" s="15">
        <v>1.2134925086481201</v>
      </c>
      <c r="D62" s="15">
        <v>0.94175163201491896</v>
      </c>
      <c r="E62" s="15">
        <v>8.5275451626537893E-2</v>
      </c>
      <c r="F62" s="1">
        <v>4.6879999999999997</v>
      </c>
      <c r="G62" s="1">
        <v>27.75</v>
      </c>
      <c r="H62" s="1"/>
      <c r="I62" s="1"/>
      <c r="J62" s="1"/>
    </row>
    <row r="63" spans="2:15" x14ac:dyDescent="0.3">
      <c r="B63" s="1" t="s">
        <v>23</v>
      </c>
      <c r="C63" s="15">
        <v>1.08380817355586</v>
      </c>
      <c r="D63" s="15">
        <v>0.28231733716004298</v>
      </c>
      <c r="E63" s="15">
        <v>3.1629539106965802E-2</v>
      </c>
      <c r="F63" s="1">
        <v>3.4780000000000002</v>
      </c>
      <c r="G63" s="1">
        <v>20</v>
      </c>
      <c r="H63" s="1">
        <v>47.75</v>
      </c>
      <c r="I63" s="1">
        <v>118.40602251999999</v>
      </c>
      <c r="J63" s="1">
        <v>54.055999999999997</v>
      </c>
    </row>
    <row r="64" spans="2:15" x14ac:dyDescent="0.3">
      <c r="B64" s="1" t="s">
        <v>24</v>
      </c>
      <c r="C64" s="15">
        <v>1.0367372638660399</v>
      </c>
      <c r="D64" s="15">
        <v>0.55097576187408004</v>
      </c>
      <c r="E64" s="15">
        <v>4.3964016574286002E-2</v>
      </c>
      <c r="F64" s="1">
        <v>4.0039999999999996</v>
      </c>
      <c r="G64" s="1">
        <v>23.75</v>
      </c>
      <c r="H64" s="1">
        <v>23.75</v>
      </c>
      <c r="I64" s="1">
        <v>115.75512236</v>
      </c>
      <c r="J64" s="1">
        <v>53.783999999999999</v>
      </c>
    </row>
    <row r="65" spans="2:24" x14ac:dyDescent="0.3">
      <c r="B65" s="1" t="s">
        <v>25</v>
      </c>
      <c r="C65" s="15">
        <v>1.1282134088167699</v>
      </c>
      <c r="D65" s="15">
        <v>0.99053604379690696</v>
      </c>
      <c r="E65" s="15">
        <v>5.3048699734524599E-2</v>
      </c>
      <c r="F65" s="1">
        <v>3.5750000000000002</v>
      </c>
      <c r="G65" s="1">
        <v>23.5</v>
      </c>
      <c r="H65" s="1">
        <v>23.5</v>
      </c>
      <c r="I65" s="1">
        <v>121.12197168</v>
      </c>
      <c r="J65" s="1">
        <v>53.783999999999999</v>
      </c>
    </row>
    <row r="67" spans="2:24" ht="43.2" x14ac:dyDescent="0.3">
      <c r="B67" s="1"/>
      <c r="C67" s="12" t="s">
        <v>27</v>
      </c>
      <c r="D67" s="12" t="s">
        <v>5</v>
      </c>
      <c r="E67" s="12" t="s">
        <v>6</v>
      </c>
      <c r="F67" s="12" t="s">
        <v>0</v>
      </c>
      <c r="G67" s="12" t="s">
        <v>7</v>
      </c>
      <c r="H67" s="12" t="s">
        <v>3</v>
      </c>
      <c r="I67" s="13" t="s">
        <v>28</v>
      </c>
      <c r="J67" s="14" t="s">
        <v>29</v>
      </c>
      <c r="K67" s="14" t="s">
        <v>30</v>
      </c>
      <c r="L67" s="12" t="s">
        <v>33</v>
      </c>
      <c r="M67" s="12" t="s">
        <v>34</v>
      </c>
      <c r="P67" s="12" t="s">
        <v>4</v>
      </c>
      <c r="Q67" s="12" t="s">
        <v>5</v>
      </c>
      <c r="R67" s="12" t="s">
        <v>6</v>
      </c>
      <c r="S67" s="12" t="s">
        <v>0</v>
      </c>
      <c r="T67" s="12" t="s">
        <v>7</v>
      </c>
      <c r="U67" s="12" t="s">
        <v>3</v>
      </c>
      <c r="V67" s="13" t="s">
        <v>35</v>
      </c>
      <c r="W67" s="16" t="s">
        <v>29</v>
      </c>
      <c r="X67" s="16" t="s">
        <v>30</v>
      </c>
    </row>
    <row r="68" spans="2:24" x14ac:dyDescent="0.3">
      <c r="B68" s="1" t="s">
        <v>31</v>
      </c>
      <c r="C68" s="1"/>
      <c r="D68" s="1"/>
      <c r="E68" s="6"/>
      <c r="F68" s="6"/>
      <c r="G68" s="6"/>
      <c r="H68" s="6"/>
      <c r="I68" s="15"/>
      <c r="J68" s="1"/>
      <c r="K68" s="10"/>
      <c r="P68" s="1"/>
      <c r="Q68" s="1"/>
      <c r="R68" s="6"/>
      <c r="S68" s="6"/>
      <c r="T68" s="6"/>
      <c r="U68" s="6"/>
      <c r="V68" s="6"/>
      <c r="W68" s="1"/>
      <c r="X68" s="10"/>
    </row>
    <row r="69" spans="2:24" x14ac:dyDescent="0.3">
      <c r="B69" s="1" t="s">
        <v>31</v>
      </c>
      <c r="C69" s="1"/>
      <c r="D69" s="6"/>
      <c r="E69" s="6"/>
      <c r="F69" s="6"/>
      <c r="G69" s="6"/>
      <c r="H69" s="6"/>
      <c r="I69" s="15"/>
      <c r="J69" s="1"/>
      <c r="K69" s="1"/>
      <c r="P69" s="1"/>
      <c r="Q69" s="2"/>
      <c r="R69" s="6"/>
      <c r="S69" s="6"/>
      <c r="T69" s="6"/>
      <c r="U69" s="6"/>
      <c r="V69" s="6"/>
      <c r="W69" s="1"/>
      <c r="X69" s="1"/>
    </row>
    <row r="70" spans="2:24" x14ac:dyDescent="0.3">
      <c r="B70" s="1" t="s">
        <v>31</v>
      </c>
      <c r="C70" s="1"/>
      <c r="D70" s="6"/>
      <c r="E70" s="6"/>
      <c r="F70" s="6"/>
      <c r="G70" s="6"/>
      <c r="H70" s="6"/>
      <c r="I70" s="15"/>
      <c r="J70" s="1"/>
      <c r="K70" s="1"/>
      <c r="L70" s="1"/>
      <c r="M70" s="1"/>
      <c r="P70" s="1"/>
      <c r="Q70" s="2"/>
      <c r="R70" s="6"/>
      <c r="S70" s="6"/>
      <c r="T70" s="6"/>
      <c r="U70" s="6"/>
      <c r="V70" s="6"/>
      <c r="W70" s="1"/>
      <c r="X70" s="1"/>
    </row>
    <row r="71" spans="2:24" x14ac:dyDescent="0.3">
      <c r="B71" s="1" t="s">
        <v>31</v>
      </c>
      <c r="C71" s="1"/>
      <c r="D71" s="6"/>
      <c r="E71" s="6"/>
      <c r="F71" s="6"/>
      <c r="G71" s="6"/>
      <c r="H71" s="6"/>
      <c r="I71" s="15"/>
      <c r="J71" s="1"/>
      <c r="K71" s="1"/>
      <c r="L71" s="1"/>
      <c r="M71" s="1"/>
      <c r="P71" s="1"/>
      <c r="Q71" s="2"/>
      <c r="R71" s="6"/>
      <c r="S71" s="6"/>
      <c r="T71" s="6"/>
      <c r="U71" s="6"/>
      <c r="V71" s="6"/>
      <c r="W71" s="1"/>
      <c r="X71" s="1"/>
    </row>
    <row r="72" spans="2:24" x14ac:dyDescent="0.3">
      <c r="B72" s="1" t="s">
        <v>31</v>
      </c>
      <c r="C72" s="1"/>
      <c r="D72" s="6"/>
      <c r="E72" s="6"/>
      <c r="F72" s="6"/>
      <c r="G72" s="6"/>
      <c r="H72" s="6"/>
      <c r="I72" s="15"/>
      <c r="J72" s="1"/>
      <c r="K72" s="1"/>
      <c r="L72" s="1"/>
      <c r="M72" s="1"/>
      <c r="P72" s="1"/>
      <c r="Q72" s="2"/>
      <c r="R72" s="6"/>
      <c r="S72" s="6"/>
      <c r="T72" s="6"/>
      <c r="U72" s="6"/>
      <c r="V72" s="6"/>
      <c r="W72" s="1"/>
      <c r="X72" s="1"/>
    </row>
    <row r="73" spans="2:24" x14ac:dyDescent="0.3">
      <c r="B73" s="1" t="s">
        <v>31</v>
      </c>
      <c r="C73" s="1"/>
      <c r="D73" s="6"/>
      <c r="E73" s="6"/>
      <c r="F73" s="6"/>
      <c r="G73" s="6"/>
      <c r="H73" s="6"/>
      <c r="I73" s="15"/>
      <c r="J73" s="1"/>
      <c r="K73" s="1"/>
      <c r="L73" s="1"/>
      <c r="M73" s="1"/>
      <c r="P73" s="1"/>
      <c r="Q73" s="2"/>
      <c r="R73" s="6"/>
      <c r="S73" s="6"/>
      <c r="T73" s="6"/>
      <c r="U73" s="6"/>
      <c r="V73" s="6"/>
      <c r="W73" s="1"/>
      <c r="X73" s="1"/>
    </row>
    <row r="74" spans="2:24" x14ac:dyDescent="0.3">
      <c r="B74" s="1" t="s">
        <v>31</v>
      </c>
      <c r="C74" s="1"/>
      <c r="D74" s="6"/>
      <c r="E74" s="6"/>
      <c r="F74" s="6"/>
      <c r="G74" s="6"/>
      <c r="H74" s="6"/>
      <c r="I74" s="15"/>
      <c r="J74" s="1"/>
      <c r="K74" s="1"/>
      <c r="L74" s="1"/>
      <c r="M74" s="1"/>
      <c r="P74" s="1"/>
      <c r="Q74" s="2"/>
      <c r="R74" s="6"/>
      <c r="S74" s="6"/>
      <c r="T74" s="6"/>
      <c r="U74" s="6"/>
      <c r="V74" s="6"/>
      <c r="W74" s="1"/>
      <c r="X74" s="1"/>
    </row>
    <row r="75" spans="2:24" x14ac:dyDescent="0.3">
      <c r="B75" s="1" t="s">
        <v>31</v>
      </c>
      <c r="C75" s="1"/>
      <c r="D75" s="6"/>
      <c r="E75" s="6"/>
      <c r="F75" s="6"/>
      <c r="G75" s="6"/>
      <c r="H75" s="6"/>
      <c r="I75" s="15"/>
      <c r="J75" s="1"/>
      <c r="K75" s="1"/>
      <c r="L75" s="1"/>
      <c r="M75" s="1"/>
      <c r="P75" s="1"/>
      <c r="Q75" s="2"/>
      <c r="R75" s="6"/>
      <c r="S75" s="6"/>
      <c r="T75" s="6"/>
      <c r="U75" s="6"/>
      <c r="V75" s="6"/>
      <c r="W75" s="1"/>
      <c r="X75" s="1"/>
    </row>
    <row r="76" spans="2:24" x14ac:dyDescent="0.3">
      <c r="B76" s="1" t="s">
        <v>31</v>
      </c>
      <c r="C76" s="1"/>
      <c r="D76" s="6"/>
      <c r="E76" s="6"/>
      <c r="F76" s="6"/>
      <c r="G76" s="6"/>
      <c r="H76" s="6"/>
      <c r="I76" s="15"/>
      <c r="J76" s="1"/>
      <c r="K76" s="1"/>
      <c r="L76" s="1"/>
      <c r="M76" s="1"/>
      <c r="P76" s="1"/>
      <c r="Q76" s="2"/>
      <c r="R76" s="6"/>
      <c r="S76" s="6"/>
      <c r="T76" s="6"/>
      <c r="U76" s="6"/>
      <c r="V76" s="6"/>
      <c r="W76" s="1"/>
      <c r="X76" s="1"/>
    </row>
    <row r="77" spans="2:24" x14ac:dyDescent="0.3">
      <c r="B77" s="1" t="s">
        <v>31</v>
      </c>
      <c r="C77" s="1"/>
      <c r="D77" s="6"/>
      <c r="E77" s="6"/>
      <c r="F77" s="6"/>
      <c r="G77" s="6"/>
      <c r="H77" s="6"/>
      <c r="I77" s="15"/>
      <c r="J77" s="1"/>
      <c r="K77" s="1"/>
      <c r="L77" s="1"/>
      <c r="M77" s="1"/>
      <c r="P77" s="1"/>
      <c r="Q77" s="2"/>
      <c r="R77" s="6"/>
      <c r="S77" s="6"/>
      <c r="T77" s="6"/>
      <c r="U77" s="6"/>
      <c r="V77" s="6"/>
      <c r="W77" s="1"/>
      <c r="X77" s="1"/>
    </row>
    <row r="78" spans="2:24" x14ac:dyDescent="0.3">
      <c r="B78" s="1" t="s">
        <v>31</v>
      </c>
      <c r="C78" s="1"/>
      <c r="D78" s="6"/>
      <c r="E78" s="6"/>
      <c r="F78" s="6"/>
      <c r="G78" s="6"/>
      <c r="H78" s="6"/>
      <c r="I78" s="15"/>
      <c r="J78" s="1"/>
      <c r="K78" s="1"/>
      <c r="L78" s="1"/>
      <c r="M78" s="1"/>
      <c r="P78" s="1"/>
      <c r="Q78" s="2"/>
      <c r="R78" s="6"/>
      <c r="S78" s="6"/>
      <c r="T78" s="6"/>
      <c r="U78" s="6"/>
      <c r="V78" s="6"/>
      <c r="W78" s="1"/>
      <c r="X78" s="1"/>
    </row>
    <row r="79" spans="2:24" x14ac:dyDescent="0.3">
      <c r="B79" s="1" t="s">
        <v>31</v>
      </c>
      <c r="C79" s="1"/>
      <c r="D79" s="6"/>
      <c r="E79" s="6"/>
      <c r="F79" s="6"/>
      <c r="G79" s="6"/>
      <c r="H79" s="6"/>
      <c r="I79" s="15"/>
      <c r="J79" s="1"/>
      <c r="K79" s="1"/>
      <c r="L79" s="1"/>
      <c r="M79" s="1"/>
      <c r="P79" s="1"/>
      <c r="Q79" s="2"/>
      <c r="R79" s="6"/>
      <c r="S79" s="6"/>
      <c r="T79" s="6"/>
      <c r="U79" s="6"/>
      <c r="V79" s="6"/>
      <c r="W79" s="1"/>
      <c r="X79" s="1"/>
    </row>
    <row r="80" spans="2:24" x14ac:dyDescent="0.3">
      <c r="B80" s="1" t="s">
        <v>31</v>
      </c>
      <c r="C80" s="1"/>
      <c r="D80" s="6"/>
      <c r="E80" s="6"/>
      <c r="F80" s="6"/>
      <c r="G80" s="6"/>
      <c r="H80" s="6"/>
      <c r="I80" s="15"/>
      <c r="J80" s="1"/>
      <c r="K80" s="1"/>
      <c r="L80" s="1"/>
      <c r="M80" s="1"/>
      <c r="P80" s="1"/>
      <c r="Q80" s="2"/>
      <c r="R80" s="6"/>
      <c r="S80" s="6"/>
      <c r="T80" s="6"/>
      <c r="U80" s="6"/>
      <c r="V80" s="6"/>
      <c r="W80" s="1"/>
      <c r="X80" s="1"/>
    </row>
    <row r="81" spans="2:24" x14ac:dyDescent="0.3">
      <c r="B81" s="1" t="s">
        <v>31</v>
      </c>
      <c r="C81" s="1"/>
      <c r="D81" s="6"/>
      <c r="E81" s="6"/>
      <c r="F81" s="6"/>
      <c r="G81" s="6"/>
      <c r="H81" s="6"/>
      <c r="I81" s="15"/>
      <c r="J81" s="1"/>
      <c r="K81" s="1"/>
      <c r="L81" s="1"/>
      <c r="M81" s="1"/>
      <c r="P81" s="1"/>
      <c r="Q81" s="2"/>
      <c r="R81" s="6"/>
      <c r="S81" s="6"/>
      <c r="T81" s="6"/>
      <c r="U81" s="6"/>
      <c r="V81" s="6"/>
      <c r="W81" s="1"/>
      <c r="X81" s="1"/>
    </row>
    <row r="82" spans="2:24" x14ac:dyDescent="0.3">
      <c r="B82" s="1" t="s">
        <v>31</v>
      </c>
      <c r="C82" s="1"/>
      <c r="D82" s="6"/>
      <c r="E82" s="6"/>
      <c r="F82" s="6"/>
      <c r="G82" s="6"/>
      <c r="H82" s="6"/>
      <c r="I82" s="15"/>
      <c r="J82" s="1"/>
      <c r="P82" s="1"/>
      <c r="Q82" s="2"/>
      <c r="R82" s="6"/>
      <c r="S82" s="6"/>
      <c r="T82" s="6"/>
      <c r="U82" s="6"/>
      <c r="V82" s="6"/>
      <c r="W82" s="1"/>
    </row>
    <row r="83" spans="2:24" x14ac:dyDescent="0.3">
      <c r="B83" s="1" t="s">
        <v>32</v>
      </c>
      <c r="C83" s="1" t="s">
        <v>12</v>
      </c>
      <c r="D83" s="6">
        <v>1.05849048577709</v>
      </c>
      <c r="E83" s="6">
        <v>-0.73582121336391904</v>
      </c>
      <c r="F83" s="6">
        <v>8.4573685986466099E-2</v>
      </c>
      <c r="G83" s="6">
        <v>-0.287259060209199</v>
      </c>
      <c r="H83" s="6">
        <v>-0.58797102878241003</v>
      </c>
      <c r="I83" s="6">
        <v>19.942087656000002</v>
      </c>
      <c r="J83" s="1"/>
      <c r="K83" s="10"/>
      <c r="P83" s="1" t="s">
        <v>12</v>
      </c>
      <c r="Q83" s="15">
        <v>0.45078352403799399</v>
      </c>
      <c r="R83" s="15">
        <v>-0.811886428716041</v>
      </c>
      <c r="S83" s="15">
        <v>-9.3763935417501706E-2</v>
      </c>
      <c r="T83" s="15">
        <v>-0.59242476500051999</v>
      </c>
      <c r="U83" s="15">
        <v>-0.69147766882403905</v>
      </c>
      <c r="V83" s="15">
        <v>0.91760478000000001</v>
      </c>
      <c r="W83" s="1"/>
      <c r="X83" s="10"/>
    </row>
    <row r="84" spans="2:24" x14ac:dyDescent="0.3">
      <c r="B84" s="1" t="s">
        <v>32</v>
      </c>
      <c r="C84" s="1" t="s">
        <v>13</v>
      </c>
      <c r="D84" s="6">
        <v>1.4368219825375701</v>
      </c>
      <c r="E84" s="6">
        <v>0.96854380596042999</v>
      </c>
      <c r="F84" s="6">
        <v>0.198594884621278</v>
      </c>
      <c r="G84" s="6">
        <v>0.27258911823182802</v>
      </c>
      <c r="H84" s="6">
        <v>0.46273610324349101</v>
      </c>
      <c r="I84" s="6">
        <v>27.006948699999999</v>
      </c>
      <c r="J84" s="1">
        <v>22</v>
      </c>
      <c r="K84" s="1"/>
      <c r="P84" s="1" t="s">
        <v>13</v>
      </c>
      <c r="Q84" s="15">
        <v>0.94043662960440699</v>
      </c>
      <c r="R84" s="15">
        <v>-0.54271122756527101</v>
      </c>
      <c r="S84" s="15">
        <v>-5.2796335197095298E-2</v>
      </c>
      <c r="T84" s="15">
        <v>-0.51710856794982696</v>
      </c>
      <c r="U84" s="15">
        <v>-0.70546594396719597</v>
      </c>
      <c r="V84" s="15">
        <v>0.96415406000000003</v>
      </c>
      <c r="W84" s="1">
        <v>22</v>
      </c>
      <c r="X84" s="1"/>
    </row>
    <row r="85" spans="2:24" x14ac:dyDescent="0.3">
      <c r="B85" s="1" t="s">
        <v>32</v>
      </c>
      <c r="C85" s="1" t="s">
        <v>14</v>
      </c>
      <c r="D85" s="6">
        <v>1.1632876834321</v>
      </c>
      <c r="E85" s="6">
        <v>0.91285830032378401</v>
      </c>
      <c r="F85" s="6">
        <v>6.8212961854365706E-2</v>
      </c>
      <c r="G85" s="6">
        <v>3.5537077624845197E-2</v>
      </c>
      <c r="H85" s="6">
        <v>0.22937370048900599</v>
      </c>
      <c r="I85" s="6">
        <v>17.163158299999999</v>
      </c>
      <c r="J85" s="1">
        <v>21.75</v>
      </c>
      <c r="K85" s="1"/>
      <c r="L85" s="1">
        <v>118.22733427999999</v>
      </c>
      <c r="M85" s="1">
        <v>60.710430000000002</v>
      </c>
      <c r="P85" s="1" t="s">
        <v>14</v>
      </c>
      <c r="Q85" s="15">
        <v>0.95863149267075098</v>
      </c>
      <c r="R85" s="15">
        <v>-0.67772868565601696</v>
      </c>
      <c r="S85" s="15">
        <v>-5.9125313303963402E-2</v>
      </c>
      <c r="T85" s="15">
        <v>-0.22388684560642999</v>
      </c>
      <c r="U85" s="15">
        <v>-0.31865749564567802</v>
      </c>
      <c r="V85" s="15">
        <v>0.87021844000000004</v>
      </c>
      <c r="W85" s="1">
        <v>21.75</v>
      </c>
      <c r="X85" s="1"/>
    </row>
    <row r="86" spans="2:24" x14ac:dyDescent="0.3">
      <c r="B86" s="1" t="s">
        <v>32</v>
      </c>
      <c r="C86" s="1" t="s">
        <v>15</v>
      </c>
      <c r="D86" s="6">
        <v>1.1661766362910899</v>
      </c>
      <c r="E86" s="6">
        <v>0.69952356032694896</v>
      </c>
      <c r="F86" s="6">
        <v>4.9611646415268197E-2</v>
      </c>
      <c r="G86" s="6">
        <v>2.5953044020623199E-2</v>
      </c>
      <c r="H86" s="6">
        <v>5.1311236293024601E-2</v>
      </c>
      <c r="I86" s="6">
        <v>11.844246328000001</v>
      </c>
      <c r="J86" s="1">
        <v>48.5</v>
      </c>
      <c r="K86" s="1">
        <v>48.5</v>
      </c>
      <c r="L86" s="1">
        <v>108.51115272</v>
      </c>
      <c r="M86" s="1">
        <v>45.71622</v>
      </c>
      <c r="P86" s="1" t="s">
        <v>15</v>
      </c>
      <c r="Q86" s="15">
        <v>0.98251699448728103</v>
      </c>
      <c r="R86" s="15">
        <v>-0.76078071695181804</v>
      </c>
      <c r="S86" s="15">
        <v>-4.1714957549384597E-2</v>
      </c>
      <c r="T86" s="15">
        <v>-0.48948097268950003</v>
      </c>
      <c r="U86" s="15">
        <v>-0.68365663642373098</v>
      </c>
      <c r="V86" s="15">
        <v>0.67463406000000004</v>
      </c>
      <c r="W86" s="1">
        <v>48.5</v>
      </c>
      <c r="X86" s="1">
        <v>48.5</v>
      </c>
    </row>
    <row r="87" spans="2:24" x14ac:dyDescent="0.3">
      <c r="B87" s="1" t="s">
        <v>32</v>
      </c>
      <c r="C87" s="1" t="s">
        <v>16</v>
      </c>
      <c r="D87" s="6">
        <v>1.1611078257792899</v>
      </c>
      <c r="E87" s="6">
        <v>0.97668665464899096</v>
      </c>
      <c r="F87" s="6">
        <v>0.107447815904682</v>
      </c>
      <c r="G87" s="6">
        <v>0.42120473230354999</v>
      </c>
      <c r="H87" s="6">
        <v>0.51748356145943097</v>
      </c>
      <c r="I87" s="6">
        <v>10.4846146</v>
      </c>
      <c r="J87" s="1">
        <v>28.75</v>
      </c>
      <c r="K87" s="1">
        <v>28.75</v>
      </c>
      <c r="L87" s="1">
        <v>106.97060942</v>
      </c>
      <c r="M87" s="1">
        <v>46.063560000000003</v>
      </c>
      <c r="P87" s="1" t="s">
        <v>16</v>
      </c>
      <c r="Q87" s="15">
        <v>1.0568614326035</v>
      </c>
      <c r="R87" s="15">
        <v>0.64678217889059297</v>
      </c>
      <c r="S87" s="15">
        <v>7.3340759088016003E-2</v>
      </c>
      <c r="T87" s="15">
        <v>0.25169140730518702</v>
      </c>
      <c r="U87" s="15">
        <v>0.491835866659809</v>
      </c>
      <c r="V87" s="15">
        <v>0.70251850000000005</v>
      </c>
      <c r="W87" s="1">
        <v>28.75</v>
      </c>
      <c r="X87" s="1">
        <v>28.75</v>
      </c>
    </row>
    <row r="88" spans="2:24" x14ac:dyDescent="0.3">
      <c r="B88" s="1" t="s">
        <v>32</v>
      </c>
      <c r="C88" s="1" t="s">
        <v>17</v>
      </c>
      <c r="D88" s="6">
        <v>1.2283054504143001</v>
      </c>
      <c r="E88" s="6">
        <v>0.33582626900186402</v>
      </c>
      <c r="F88" s="6">
        <v>0.39411883766970102</v>
      </c>
      <c r="G88" s="6">
        <v>0.156387959199389</v>
      </c>
      <c r="H88" s="6">
        <v>0.23252415029498999</v>
      </c>
      <c r="I88" s="6">
        <v>12.196904200000001</v>
      </c>
      <c r="J88" s="1">
        <v>21</v>
      </c>
      <c r="K88" s="1">
        <v>21</v>
      </c>
      <c r="L88" s="1">
        <v>113.72040256</v>
      </c>
      <c r="M88" s="1">
        <v>47.354999999999997</v>
      </c>
      <c r="P88" s="1" t="s">
        <v>17</v>
      </c>
      <c r="Q88" s="15">
        <v>1.03826719630338</v>
      </c>
      <c r="R88" s="15">
        <v>-0.15477977693324399</v>
      </c>
      <c r="S88" s="15">
        <v>7.1354925056258001E-3</v>
      </c>
      <c r="T88" s="15">
        <v>-0.367349220425781</v>
      </c>
      <c r="U88" s="15">
        <v>-0.40648853244771799</v>
      </c>
      <c r="V88" s="15">
        <v>0.78001461999999999</v>
      </c>
      <c r="W88" s="1">
        <v>21</v>
      </c>
      <c r="X88" s="1">
        <v>21</v>
      </c>
    </row>
    <row r="89" spans="2:24" x14ac:dyDescent="0.3">
      <c r="B89" s="1" t="s">
        <v>32</v>
      </c>
      <c r="C89" s="1" t="s">
        <v>18</v>
      </c>
      <c r="D89" s="6">
        <v>1.2985932043400299</v>
      </c>
      <c r="E89" s="6">
        <v>0.52794332050181203</v>
      </c>
      <c r="F89" s="6">
        <v>9.0698601563059603E-2</v>
      </c>
      <c r="G89" s="6">
        <v>8.6133318916628995E-2</v>
      </c>
      <c r="H89" s="6">
        <v>0.182064258836168</v>
      </c>
      <c r="I89" s="6">
        <v>15.053141999999999</v>
      </c>
      <c r="J89" s="1">
        <v>21.5</v>
      </c>
      <c r="K89" s="1"/>
      <c r="L89" s="1"/>
      <c r="M89" s="1"/>
      <c r="P89" s="1" t="s">
        <v>18</v>
      </c>
      <c r="Q89" s="15">
        <v>0.93867849021001804</v>
      </c>
      <c r="R89" s="15">
        <v>-0.86583274285189604</v>
      </c>
      <c r="S89" s="15">
        <v>-0.28463650723553102</v>
      </c>
      <c r="T89" s="15">
        <v>-0.16387797241242599</v>
      </c>
      <c r="U89" s="15">
        <v>-0.28853093635152299</v>
      </c>
      <c r="V89" s="15">
        <v>0.88951659999999999</v>
      </c>
      <c r="W89" s="1">
        <v>21.5</v>
      </c>
      <c r="X89" s="1"/>
    </row>
    <row r="90" spans="2:24" x14ac:dyDescent="0.3">
      <c r="B90" s="1" t="s">
        <v>32</v>
      </c>
      <c r="C90" s="1" t="s">
        <v>19</v>
      </c>
      <c r="D90" s="6">
        <v>1.25880991704892</v>
      </c>
      <c r="E90" s="6">
        <v>0.94081849763111403</v>
      </c>
      <c r="F90" s="6">
        <v>9.9852529707758195E-2</v>
      </c>
      <c r="G90" s="6">
        <v>0.14441306620899</v>
      </c>
      <c r="H90" s="6">
        <v>0.127313045897571</v>
      </c>
      <c r="I90" s="6">
        <v>10.8144344</v>
      </c>
      <c r="J90" s="1">
        <v>75</v>
      </c>
      <c r="K90" s="1">
        <v>96.5</v>
      </c>
      <c r="L90" s="1">
        <v>112.66319882000001</v>
      </c>
      <c r="M90" s="1">
        <v>101.105</v>
      </c>
      <c r="P90" s="1" t="s">
        <v>19</v>
      </c>
      <c r="Q90" s="15">
        <v>1.08896416336113</v>
      </c>
      <c r="R90" s="15">
        <v>0.61214631104569395</v>
      </c>
      <c r="S90" s="15">
        <v>-7.3287190867590401E-3</v>
      </c>
      <c r="T90" s="15">
        <v>7.0929531816344302E-2</v>
      </c>
      <c r="U90" s="15">
        <v>2.6686926823699001E-2</v>
      </c>
      <c r="V90" s="15">
        <v>2.5169402000000001</v>
      </c>
      <c r="W90" s="1">
        <v>75</v>
      </c>
      <c r="X90" s="1">
        <v>96.5</v>
      </c>
    </row>
    <row r="91" spans="2:24" x14ac:dyDescent="0.3">
      <c r="B91" s="1" t="s">
        <v>32</v>
      </c>
      <c r="C91" s="1" t="s">
        <v>20</v>
      </c>
      <c r="D91" s="6">
        <v>1.2914529576795399</v>
      </c>
      <c r="E91" s="6">
        <v>0.445945938664987</v>
      </c>
      <c r="F91" s="6">
        <v>5.5815481283492403E-2</v>
      </c>
      <c r="G91" s="6">
        <v>-2.5071828435610701E-2</v>
      </c>
      <c r="H91" s="6">
        <v>-6.0561861956973301E-2</v>
      </c>
      <c r="I91" s="6">
        <v>14.806100799999999</v>
      </c>
      <c r="J91" s="1">
        <v>47.5</v>
      </c>
      <c r="K91" s="1">
        <v>47.5</v>
      </c>
      <c r="L91" s="1">
        <v>114.89097618</v>
      </c>
      <c r="M91" s="1">
        <v>44.466000000000001</v>
      </c>
      <c r="P91" s="1" t="s">
        <v>20</v>
      </c>
      <c r="Q91" s="15">
        <v>1.18553177339745</v>
      </c>
      <c r="R91" s="15">
        <v>0.59208584316733603</v>
      </c>
      <c r="S91" s="15">
        <v>0.10941628444022999</v>
      </c>
      <c r="T91" s="15">
        <v>-8.2652311661493602E-2</v>
      </c>
      <c r="U91" s="15">
        <v>-0.14457153571433501</v>
      </c>
      <c r="V91" s="15">
        <v>2.1202784000000001</v>
      </c>
      <c r="W91" s="1">
        <v>47.5</v>
      </c>
      <c r="X91" s="1">
        <v>47.5</v>
      </c>
    </row>
    <row r="92" spans="2:24" x14ac:dyDescent="0.3">
      <c r="B92" s="1" t="s">
        <v>32</v>
      </c>
      <c r="C92" s="1" t="s">
        <v>21</v>
      </c>
      <c r="D92" s="6">
        <v>1.2886907903199001</v>
      </c>
      <c r="E92" s="6">
        <v>-0.136935986249347</v>
      </c>
      <c r="F92" s="6">
        <v>9.5391388976058394E-2</v>
      </c>
      <c r="G92" s="6">
        <v>-4.6773396023209401E-2</v>
      </c>
      <c r="H92" s="6">
        <v>-0.39859988725441597</v>
      </c>
      <c r="I92" s="6">
        <v>40.336936000000001</v>
      </c>
      <c r="J92" s="1">
        <v>23.5</v>
      </c>
      <c r="K92" s="1">
        <v>23.5</v>
      </c>
      <c r="L92" s="1">
        <v>116.55531655999999</v>
      </c>
      <c r="M92" s="1">
        <v>47.503</v>
      </c>
      <c r="P92" s="1" t="s">
        <v>21</v>
      </c>
      <c r="Q92" s="15">
        <v>1.0643830961710401</v>
      </c>
      <c r="R92" s="15">
        <v>0.74012064453311799</v>
      </c>
      <c r="S92" s="15">
        <v>-8.4675321487204705E-2</v>
      </c>
      <c r="T92" s="15">
        <v>-1.32723063904272E-2</v>
      </c>
      <c r="U92" s="15">
        <v>3.4508337465724501E-3</v>
      </c>
      <c r="V92" s="15">
        <v>1.5569007399999999</v>
      </c>
      <c r="W92" s="1">
        <v>23.5</v>
      </c>
      <c r="X92" s="1">
        <v>23.5</v>
      </c>
    </row>
    <row r="93" spans="2:24" x14ac:dyDescent="0.3">
      <c r="B93" s="1" t="s">
        <v>32</v>
      </c>
      <c r="C93" s="1" t="s">
        <v>22</v>
      </c>
      <c r="D93" s="6">
        <v>1.39612401914989</v>
      </c>
      <c r="E93" s="6">
        <v>0.97165157928161605</v>
      </c>
      <c r="F93" s="6">
        <v>9.9540545016305104E-2</v>
      </c>
      <c r="G93" s="6">
        <v>0.34044235934827199</v>
      </c>
      <c r="H93" s="6">
        <v>0.39047571029020101</v>
      </c>
      <c r="I93" s="6">
        <v>19.439147999999999</v>
      </c>
      <c r="J93" s="1">
        <v>27.75</v>
      </c>
      <c r="K93" s="1"/>
      <c r="L93" s="1"/>
      <c r="M93" s="1"/>
      <c r="P93" s="1" t="s">
        <v>22</v>
      </c>
      <c r="Q93" s="15">
        <v>1.0913993357873799</v>
      </c>
      <c r="R93" s="15">
        <v>0.62408685090742599</v>
      </c>
      <c r="S93" s="15">
        <v>-3.2911415817637998E-2</v>
      </c>
      <c r="T93" s="15">
        <v>0.135780500269543</v>
      </c>
      <c r="U93" s="15">
        <v>0.34605165591715997</v>
      </c>
      <c r="V93" s="15">
        <v>1.0782071600000001</v>
      </c>
      <c r="W93" s="1">
        <v>27.75</v>
      </c>
      <c r="X93" s="1"/>
    </row>
    <row r="94" spans="2:24" x14ac:dyDescent="0.3">
      <c r="B94" s="1" t="s">
        <v>32</v>
      </c>
      <c r="C94" s="1" t="s">
        <v>23</v>
      </c>
      <c r="D94" s="6">
        <v>1.15490049713987</v>
      </c>
      <c r="E94" s="6">
        <v>0.47813963463856402</v>
      </c>
      <c r="F94" s="6">
        <v>0.115227328160236</v>
      </c>
      <c r="G94" s="6">
        <v>0.11991903441809899</v>
      </c>
      <c r="H94" s="6">
        <v>0.21451548931331799</v>
      </c>
      <c r="I94" s="6">
        <v>13.531736435999999</v>
      </c>
      <c r="J94" s="1">
        <v>20</v>
      </c>
      <c r="K94" s="1">
        <v>47.75</v>
      </c>
      <c r="L94" s="1">
        <v>118.40602251999999</v>
      </c>
      <c r="M94" s="1">
        <v>54.055999999999997</v>
      </c>
      <c r="P94" s="1" t="s">
        <v>23</v>
      </c>
      <c r="Q94" s="15">
        <v>1.00259808767117</v>
      </c>
      <c r="R94" s="15">
        <v>0.25147892096544</v>
      </c>
      <c r="S94" s="15">
        <v>-4.46763074582908E-2</v>
      </c>
      <c r="T94" s="15">
        <v>-5.9627669242487899E-2</v>
      </c>
      <c r="U94" s="15">
        <v>5.9741205921352902E-2</v>
      </c>
      <c r="V94" s="15">
        <v>0.85047623999999999</v>
      </c>
      <c r="W94" s="1">
        <v>20</v>
      </c>
      <c r="X94" s="1">
        <v>47.75</v>
      </c>
    </row>
    <row r="95" spans="2:24" x14ac:dyDescent="0.3">
      <c r="B95" s="1" t="s">
        <v>32</v>
      </c>
      <c r="C95" s="1" t="s">
        <v>24</v>
      </c>
      <c r="D95" s="6">
        <v>1.6223687074200499</v>
      </c>
      <c r="E95" s="6">
        <v>0.74242380847501299</v>
      </c>
      <c r="F95" s="6">
        <v>0.157732693122626</v>
      </c>
      <c r="G95" s="6">
        <v>0.24344741431210701</v>
      </c>
      <c r="H95" s="6">
        <v>0.36717190942204098</v>
      </c>
      <c r="I95" s="6">
        <v>27.867789999999999</v>
      </c>
      <c r="J95" s="1">
        <v>23.75</v>
      </c>
      <c r="K95" s="1">
        <v>23.75</v>
      </c>
      <c r="L95" s="1">
        <v>115.75512236</v>
      </c>
      <c r="M95" s="1">
        <v>53.783999999999999</v>
      </c>
      <c r="P95" s="1" t="s">
        <v>24</v>
      </c>
      <c r="Q95" s="15">
        <v>1.0043452914566</v>
      </c>
      <c r="R95" s="15">
        <v>-2.3625782421043601E-2</v>
      </c>
      <c r="S95" s="15">
        <v>-1.53118918462132E-3</v>
      </c>
      <c r="T95" s="15">
        <v>-0.19809625651833401</v>
      </c>
      <c r="U95" s="15">
        <v>-0.33765036599230702</v>
      </c>
      <c r="V95" s="15">
        <v>0.9663117</v>
      </c>
      <c r="W95" s="1">
        <v>23.75</v>
      </c>
      <c r="X95" s="1">
        <v>23.75</v>
      </c>
    </row>
    <row r="96" spans="2:24" x14ac:dyDescent="0.3">
      <c r="B96" s="1" t="s">
        <v>32</v>
      </c>
      <c r="C96" s="1" t="s">
        <v>25</v>
      </c>
      <c r="D96" s="6">
        <v>1.4572146309152101</v>
      </c>
      <c r="E96" s="6">
        <v>0.80433038241724497</v>
      </c>
      <c r="F96" s="6">
        <v>0.121156039239802</v>
      </c>
      <c r="G96" s="6">
        <v>0.22398918216711</v>
      </c>
      <c r="H96" s="6">
        <v>0.39903109616354998</v>
      </c>
      <c r="I96" s="6">
        <v>16.916785999999998</v>
      </c>
      <c r="J96" s="1">
        <v>23.5</v>
      </c>
      <c r="K96" s="1">
        <v>23.5</v>
      </c>
      <c r="L96" s="1">
        <v>121.12197168</v>
      </c>
      <c r="M96" s="1">
        <v>53.783999999999999</v>
      </c>
      <c r="P96" s="1" t="s">
        <v>25</v>
      </c>
      <c r="Q96" s="15">
        <v>0.40870513477919201</v>
      </c>
      <c r="R96" s="15">
        <v>-0.95802365966780301</v>
      </c>
      <c r="S96" s="15">
        <v>-0.17920927988478999</v>
      </c>
      <c r="T96" s="15">
        <v>-0.425235161473629</v>
      </c>
      <c r="U96" s="15">
        <v>-0.63163315448990498</v>
      </c>
      <c r="V96" s="15">
        <v>2.6299551999999999</v>
      </c>
      <c r="W96" s="1">
        <v>23.5</v>
      </c>
      <c r="X96" s="1">
        <v>23.5</v>
      </c>
    </row>
    <row r="97" spans="16:22" x14ac:dyDescent="0.3">
      <c r="P97" s="1"/>
      <c r="Q97" s="15"/>
      <c r="R97" s="15"/>
      <c r="S97" s="15"/>
      <c r="T97" s="15"/>
      <c r="U97" s="15"/>
      <c r="V97" s="15"/>
    </row>
  </sheetData>
  <pageMargins left="0.7" right="0.7" top="0.75" bottom="0.75" header="0.3" footer="0.3"/>
  <pageSetup orientation="portrait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all</vt:lpstr>
      <vt:lpstr>downstream</vt:lpstr>
      <vt:lpstr>upstream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Hucke, Nicole (huck4481@vandals.uidaho.edu)</dc:creator>
  <cp:lastModifiedBy>Hucke, Nicole (huck4481@vandals.uidaho.edu)</cp:lastModifiedBy>
  <dcterms:created xsi:type="dcterms:W3CDTF">2026-05-27T03:14:16Z</dcterms:created>
  <dcterms:modified xsi:type="dcterms:W3CDTF">2026-06-26T18:09:18Z</dcterms:modified>
</cp:coreProperties>
</file>