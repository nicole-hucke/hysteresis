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3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correlations\HI_tauc\"/>
    </mc:Choice>
  </mc:AlternateContent>
  <xr:revisionPtr revIDLastSave="0" documentId="13_ncr:1_{68AE7DD5-A3E9-4AAB-8DFF-1985AF5DA8E0}" xr6:coauthVersionLast="47" xr6:coauthVersionMax="47" xr10:uidLastSave="{00000000-0000-0000-0000-000000000000}"/>
  <bookViews>
    <workbookView xWindow="-96" yWindow="-96" windowWidth="23232" windowHeight="12432" xr2:uid="{867610DC-2157-4A8B-BAD4-C3624B9432BC}"/>
  </bookViews>
  <sheets>
    <sheet name="all" sheetId="1" r:id="rId1"/>
    <sheet name="upstream" sheetId="4" r:id="rId2"/>
    <sheet name="downstrea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4" i="1" l="1"/>
  <c r="AG49" i="1"/>
  <c r="AG50" i="1"/>
  <c r="AG51" i="1"/>
  <c r="AG48" i="1"/>
  <c r="AF54" i="1"/>
  <c r="AF49" i="1"/>
  <c r="AF50" i="1"/>
  <c r="AF51" i="1"/>
  <c r="AF48" i="1"/>
  <c r="C47" i="1"/>
  <c r="C48" i="1"/>
  <c r="C49" i="1"/>
  <c r="C50" i="1"/>
  <c r="C51" i="1"/>
  <c r="C52" i="1"/>
  <c r="C53" i="1"/>
  <c r="C54" i="1"/>
  <c r="C46" i="1"/>
  <c r="C34" i="1"/>
  <c r="C35" i="1"/>
  <c r="C36" i="1"/>
  <c r="C37" i="1"/>
  <c r="C38" i="1"/>
  <c r="C40" i="1"/>
  <c r="C41" i="1"/>
  <c r="C42" i="1"/>
  <c r="C43" i="1"/>
  <c r="C33" i="1"/>
  <c r="C20" i="1"/>
  <c r="C21" i="1"/>
  <c r="C22" i="1"/>
  <c r="C23" i="1"/>
  <c r="C24" i="1"/>
  <c r="C26" i="1"/>
  <c r="C27" i="1"/>
  <c r="C28" i="1"/>
  <c r="C29" i="1"/>
  <c r="C19" i="1"/>
  <c r="C6" i="1"/>
  <c r="C7" i="1"/>
  <c r="C8" i="1"/>
  <c r="C9" i="1"/>
  <c r="C10" i="1"/>
  <c r="C12" i="1"/>
  <c r="C13" i="1"/>
  <c r="C14" i="1"/>
  <c r="C15" i="1"/>
  <c r="C5" i="1"/>
  <c r="K24" i="1"/>
  <c r="K22" i="1"/>
  <c r="K23" i="1"/>
  <c r="K28" i="1"/>
  <c r="K29" i="1"/>
  <c r="K21" i="1"/>
  <c r="J21" i="1"/>
  <c r="J22" i="1"/>
  <c r="J23" i="1"/>
  <c r="J24" i="1"/>
  <c r="J28" i="1"/>
  <c r="J29" i="1"/>
</calcChain>
</file>

<file path=xl/sharedStrings.xml><?xml version="1.0" encoding="utf-8"?>
<sst xmlns="http://schemas.openxmlformats.org/spreadsheetml/2006/main" count="316" uniqueCount="46">
  <si>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</si>
  <si>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</si>
  <si>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</si>
  <si>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</si>
  <si>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</si>
  <si>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</si>
  <si>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</si>
  <si>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</si>
  <si>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</si>
  <si>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</si>
  <si>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</si>
  <si>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</si>
  <si>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</si>
  <si>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SRP (mg/L)</t>
  </si>
  <si>
    <t>TP (mg/L)</t>
  </si>
  <si>
    <t>PP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</si>
  <si>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</si>
  <si>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</si>
  <si>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</si>
  <si>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</si>
  <si>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</si>
  <si>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</si>
  <si>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</si>
  <si>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</si>
  <si>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</si>
  <si>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</si>
  <si>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</si>
  <si>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</si>
  <si>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tau_c50</t>
  </si>
  <si>
    <t>tau_c25</t>
  </si>
  <si>
    <t>Peak concentration (mg/L)</t>
  </si>
  <si>
    <t>Time between events τc exceedance (hrs)</t>
  </si>
  <si>
    <t xml:space="preserve">Peak Tau (Pa) </t>
  </si>
  <si>
    <t>tau_c50 (interpolated)</t>
  </si>
  <si>
    <r>
      <t xml:space="preserve">Time between events (no </t>
    </r>
    <r>
      <rPr>
        <b/>
        <sz val="9"/>
        <color theme="1"/>
        <rFont val="Aptos"/>
        <family val="2"/>
        <charset val="1"/>
      </rPr>
      <t>τ</t>
    </r>
    <r>
      <rPr>
        <b/>
        <sz val="9"/>
        <color theme="1"/>
        <rFont val="Aptos Narrow"/>
        <family val="2"/>
      </rPr>
      <t>c exceedance)</t>
    </r>
    <r>
      <rPr>
        <b/>
        <sz val="9"/>
        <color theme="1"/>
        <rFont val="Aptos Narrow"/>
        <family val="2"/>
        <scheme val="minor"/>
      </rPr>
      <t xml:space="preserve"> (hrs)</t>
    </r>
  </si>
  <si>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 xml:space="preserve">peak / </t>
    </r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>c50 exceedance</t>
    </r>
  </si>
  <si>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 xml:space="preserve">peak / </t>
    </r>
    <r>
      <rPr>
        <b/>
        <sz val="11"/>
        <color theme="1"/>
        <rFont val="Aptos"/>
        <family val="2"/>
      </rPr>
      <t>τ</t>
    </r>
    <r>
      <rPr>
        <b/>
        <sz val="11"/>
        <color theme="1"/>
        <rFont val="Aptos Narrow"/>
        <family val="2"/>
      </rPr>
      <t>c50 interpolated</t>
    </r>
  </si>
  <si>
    <r>
      <rPr>
        <b/>
        <sz val="10"/>
        <color theme="1"/>
        <rFont val="Aptos"/>
        <family val="2"/>
      </rPr>
      <t>τ</t>
    </r>
    <r>
      <rPr>
        <b/>
        <sz val="10"/>
        <color theme="1"/>
        <rFont val="Aptos Narrow"/>
        <family val="2"/>
        <scheme val="minor"/>
      </rPr>
      <t>50 (exceedance)</t>
    </r>
  </si>
  <si>
    <t>Time τ&gt;τc50 (hrs)</t>
  </si>
  <si>
    <t>E integral (total)</t>
  </si>
  <si>
    <t>Excess Balance</t>
  </si>
  <si>
    <t>Log Langlois</t>
  </si>
  <si>
    <t>Peak Turbidity (FNU)</t>
  </si>
  <si>
    <t>Peak fDOM (RFU)</t>
  </si>
  <si>
    <r>
      <rPr>
        <b/>
        <sz val="8"/>
        <color theme="1"/>
        <rFont val="Aptos"/>
        <family val="2"/>
      </rPr>
      <t>τ</t>
    </r>
    <r>
      <rPr>
        <b/>
        <sz val="8"/>
        <color theme="1"/>
        <rFont val="Aptos Narrow"/>
        <family val="2"/>
      </rPr>
      <t xml:space="preserve">peak / </t>
    </r>
    <r>
      <rPr>
        <b/>
        <sz val="8"/>
        <color theme="1"/>
        <rFont val="Aptos"/>
        <family val="2"/>
      </rPr>
      <t>τ</t>
    </r>
    <r>
      <rPr>
        <b/>
        <sz val="8"/>
        <color theme="1"/>
        <rFont val="Aptos Narrow"/>
        <family val="2"/>
      </rPr>
      <t>c50 interpolated</t>
    </r>
  </si>
  <si>
    <r>
      <rPr>
        <b/>
        <sz val="8"/>
        <color theme="1"/>
        <rFont val="Aptos"/>
        <family val="2"/>
      </rPr>
      <t>τ</t>
    </r>
    <r>
      <rPr>
        <b/>
        <sz val="8"/>
        <color theme="1"/>
        <rFont val="Aptos Narrow"/>
        <family val="2"/>
      </rPr>
      <t xml:space="preserve">peak / </t>
    </r>
    <r>
      <rPr>
        <b/>
        <sz val="8"/>
        <color theme="1"/>
        <rFont val="Aptos"/>
        <family val="2"/>
      </rPr>
      <t>τ</t>
    </r>
    <r>
      <rPr>
        <b/>
        <sz val="8"/>
        <color theme="1"/>
        <rFont val="Aptos Narrow"/>
        <family val="2"/>
      </rPr>
      <t>c50 exceedance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</si>
</sst>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"/>
      <family val="2"/>
    </font>
    <font>
      <b/>
      <sz val="9"/>
      <color theme="1"/>
      <name val="Aptos Narrow"/>
      <family val="2"/>
      <scheme val="minor"/>
    </font>
    <font>
      <b/>
      <sz val="9"/>
      <color theme="1"/>
      <name val="Aptos"/>
      <family val="2"/>
      <charset val="1"/>
    </font>
    <font>
      <b/>
      <sz val="9"/>
      <color theme="1"/>
      <name val="Aptos Narrow"/>
      <family val="2"/>
    </font>
    <font>
      <b/>
      <sz val="10"/>
      <color theme="1"/>
      <name val="Aptos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Aptos Narrow"/>
      <family val="2"/>
    </font>
    <font>
      <b/>
      <sz val="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0" fontId="0" fillId="0" borderId="0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(interpolated)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8-4D6B-89DE-404887265DDB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C8-4D6B-89DE-404887265DDB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8-4D6B-89DE-404887265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(interpolated)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all!$F$21:$F$29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3-422C-AC08-70B09C432EC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all!$F$21:$F$29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3-422C-AC08-70B09C432EC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all!$F$21:$F$29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63-422C-AC08-70B09C432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(interpolated)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all!$F$35:$F$43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C-4AF0-AC4C-498C384EB92D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all!$F$35:$F$43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C-4AF0-AC4C-498C384EB92D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all!$F$35:$F$43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C-4AF0-AC4C-498C384EB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layout>
        <c:manualLayout>
          <c:xMode val="edge"/>
          <c:yMode val="edge"/>
          <c:x val="0.25008547414198462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7-40ED-8FBC-2287F011599A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803365755751119"/>
                  <c:y val="-0.15135826771653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87-40ED-8FBC-2287F011599A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688481756592789"/>
                  <c:y val="-0.37464266139443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87-40ED-8FBC-2287F011599A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4863362667901"/>
                  <c:y val="5.6522309711286092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87-40ED-8FBC-2287F011599A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35693958640857"/>
                  <c:y val="-0.262163379187986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87-40ED-8FBC-2287F0115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(interpolated)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all!$Z$61:$Z$69</c:f>
              <c:numCache>
                <c:formatCode>0.00000</c:formatCode>
                <c:ptCount val="9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  <c:pt idx="3">
                  <c:v>0.61809493388466297</c:v>
                </c:pt>
                <c:pt idx="5">
                  <c:v>1.0433735492571501</c:v>
                </c:pt>
                <c:pt idx="6">
                  <c:v>0.54304497563021803</c:v>
                </c:pt>
              </c:numCache>
            </c:numRef>
          </c:xVal>
          <c:yVal>
            <c:numRef>
              <c:f>all!$AC$61:$AC$69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F-4050-B037-DAC9157FAB39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231378228098051"/>
                  <c:y val="-0.286608923884514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all!$AA$61:$AA$69</c:f>
              <c:numCache>
                <c:formatCode>0.00000</c:formatCode>
                <c:ptCount val="9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  <c:pt idx="3">
                  <c:v>-0.851696935181535</c:v>
                </c:pt>
                <c:pt idx="5">
                  <c:v>-0.87727286114650804</c:v>
                </c:pt>
                <c:pt idx="6">
                  <c:v>-0.79094425276710101</c:v>
                </c:pt>
              </c:numCache>
            </c:numRef>
          </c:xVal>
          <c:yVal>
            <c:numRef>
              <c:f>all!$AC$61:$AC$69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0F-4050-B037-DAC9157FAB39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350363757892299E-2"/>
                  <c:y val="0.1046334208223972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all!$AB$61:$AB$69</c:f>
              <c:numCache>
                <c:formatCode>0.00000</c:formatCode>
                <c:ptCount val="9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  <c:pt idx="3">
                  <c:v>-0.17562342751062601</c:v>
                </c:pt>
                <c:pt idx="5">
                  <c:v>0.155085326236896</c:v>
                </c:pt>
                <c:pt idx="6">
                  <c:v>-0.49269779802698299</c:v>
                </c:pt>
              </c:numCache>
            </c:numRef>
          </c:xVal>
          <c:yVal>
            <c:numRef>
              <c:f>all!$AC$61:$AC$69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0F-4050-B037-DAC9157F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layout>
        <c:manualLayout>
          <c:xMode val="edge"/>
          <c:yMode val="edge"/>
          <c:x val="0.29714380439287197"/>
          <c:y val="4.413817749698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20-404E-BB99-5A6384BD13A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043585038676913"/>
                  <c:y val="7.680244693822721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20-404E-BB99-5A6384BD13A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892637104572454"/>
                  <c:y val="-5.1650587409803911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20-404E-BB99-5A6384BD13A2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809117281392458"/>
                  <c:y val="-0.2515068401609039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20-404E-BB99-5A6384BD13A2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6154803839321262"/>
                  <c:y val="-0.33687808708950751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920-404E-BB99-5A6384BD1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concentration </a:t>
            </a:r>
            <a:r>
              <a:rPr lang="en-US"/>
              <a:t>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layout>
        <c:manualLayout>
          <c:xMode val="edge"/>
          <c:yMode val="edge"/>
          <c:x val="0.15297928306173969"/>
          <c:y val="3.04607193765392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all!$H$7:$H$15</c:f>
              <c:numCache>
                <c:formatCode>0.00</c:formatCode>
                <c:ptCount val="9"/>
                <c:pt idx="0">
                  <c:v>57.726100000000002</c:v>
                </c:pt>
                <c:pt idx="1">
                  <c:v>49.091801670000002</c:v>
                </c:pt>
                <c:pt idx="2">
                  <c:v>187</c:v>
                </c:pt>
                <c:pt idx="3">
                  <c:v>105.55555560000001</c:v>
                </c:pt>
                <c:pt idx="4">
                  <c:v>76.153846150000007</c:v>
                </c:pt>
                <c:pt idx="5">
                  <c:v>43.2</c:v>
                </c:pt>
                <c:pt idx="6">
                  <c:v>77.894736839999993</c:v>
                </c:pt>
                <c:pt idx="7">
                  <c:v>37.6</c:v>
                </c:pt>
                <c:pt idx="8">
                  <c:v>30.76923077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6-4751-8363-DFD2A887DEBF}"/>
            </c:ext>
          </c:extLst>
        </c:ser>
        <c:ser>
          <c:idx val="1"/>
          <c:order val="1"/>
          <c:tx>
            <c:strRef>
              <c:f>all!$A$31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74123354678187"/>
                  <c:y val="-5.32907217907684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all!$H$35:$H$43</c:f>
              <c:numCache>
                <c:formatCode>0.000</c:formatCode>
                <c:ptCount val="9"/>
                <c:pt idx="0">
                  <c:v>6.7843516800000003</c:v>
                </c:pt>
                <c:pt idx="1">
                  <c:v>5.3650916630000003</c:v>
                </c:pt>
                <c:pt idx="2">
                  <c:v>29.943162610000002</c:v>
                </c:pt>
                <c:pt idx="3">
                  <c:v>13.904999999999999</c:v>
                </c:pt>
                <c:pt idx="4">
                  <c:v>7.7779999999999996</c:v>
                </c:pt>
                <c:pt idx="5">
                  <c:v>5.5549999999999997</c:v>
                </c:pt>
                <c:pt idx="6">
                  <c:v>12.67</c:v>
                </c:pt>
                <c:pt idx="7">
                  <c:v>5.3390000000000004</c:v>
                </c:pt>
                <c:pt idx="8">
                  <c:v>5.1369999999999996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6-4751-8363-DFD2A887DEBF}"/>
            </c:ext>
          </c:extLst>
        </c:ser>
        <c:ser>
          <c:idx val="2"/>
          <c:order val="2"/>
          <c:tx>
            <c:strRef>
              <c:f>all!$A$17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608403785722094E-2"/>
                  <c:y val="0.1704107137592734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all!$H$21:$H$29</c:f>
              <c:numCache>
                <c:formatCode>0.00</c:formatCode>
                <c:ptCount val="9"/>
                <c:pt idx="0">
                  <c:v>8.6910000000000007</c:v>
                </c:pt>
                <c:pt idx="1">
                  <c:v>8.4209999999999994</c:v>
                </c:pt>
                <c:pt idx="2">
                  <c:v>5.15</c:v>
                </c:pt>
                <c:pt idx="3">
                  <c:v>8.5760000000000005</c:v>
                </c:pt>
                <c:pt idx="4">
                  <c:v>4.4729999999999999</c:v>
                </c:pt>
                <c:pt idx="5">
                  <c:v>9.9</c:v>
                </c:pt>
                <c:pt idx="6">
                  <c:v>4.2779999999999996</c:v>
                </c:pt>
                <c:pt idx="7">
                  <c:v>5.4009999999999998</c:v>
                </c:pt>
                <c:pt idx="8">
                  <c:v>8.7050000000000001</c:v>
                </c:pt>
              </c:numCache>
            </c:numRef>
          </c:xVal>
          <c:yVal>
            <c:numRef>
              <c:f>all!$F$7:$F$15</c:f>
              <c:numCache>
                <c:formatCode>0.000</c:formatCode>
                <c:ptCount val="9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7">
                  <c:v>66.341763171136677</c:v>
                </c:pt>
                <c:pt idx="8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E6-4751-8363-DFD2A887D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Time between events to </a:t>
            </a:r>
            <a:r>
              <a:rPr lang="el-GR" sz="1200">
                <a:latin typeface="Aptos" panose="020B0004020202020204" pitchFamily="34" charset="0"/>
              </a:rPr>
              <a:t>τ</a:t>
            </a:r>
            <a:r>
              <a:rPr lang="en-US" sz="1200">
                <a:latin typeface="Aptos" panose="020B0004020202020204" pitchFamily="34" charset="0"/>
              </a:rPr>
              <a:t>c50 (interp)</a:t>
            </a:r>
            <a:endParaRPr lang="en-US" sz="1200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all!$J$4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303452077235628"/>
                  <c:y val="-6.474516337478955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all!$F$8:$F$15</c:f>
              <c:numCache>
                <c:formatCode>0.000</c:formatCode>
                <c:ptCount val="8"/>
                <c:pt idx="0">
                  <c:v>72.370164511034233</c:v>
                </c:pt>
                <c:pt idx="1">
                  <c:v>77.803592516854394</c:v>
                </c:pt>
                <c:pt idx="2">
                  <c:v>77.803592516854394</c:v>
                </c:pt>
                <c:pt idx="6">
                  <c:v>66.341763171136677</c:v>
                </c:pt>
                <c:pt idx="7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75-476E-8EA7-F7B68F7926E0}"/>
            </c:ext>
          </c:extLst>
        </c:ser>
        <c:ser>
          <c:idx val="1"/>
          <c:order val="1"/>
          <c:tx>
            <c:strRef>
              <c:f>all!$I$4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all!$F$8:$F$15</c:f>
              <c:numCache>
                <c:formatCode>0.000</c:formatCode>
                <c:ptCount val="8"/>
                <c:pt idx="0">
                  <c:v>72.370164511034233</c:v>
                </c:pt>
                <c:pt idx="1">
                  <c:v>77.803592516854394</c:v>
                </c:pt>
                <c:pt idx="2">
                  <c:v>77.803592516854394</c:v>
                </c:pt>
                <c:pt idx="6">
                  <c:v>66.341763171136677</c:v>
                </c:pt>
                <c:pt idx="7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75-476E-8EA7-F7B68F792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8-4E06-BC29-CAFE10240563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177455512676828"/>
                  <c:y val="-0.101249423333883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58-4E06-BC29-CAFE10240563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783233974783884E-2"/>
                  <c:y val="-4.282786705644913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58-4E06-BC29-CAFE10240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all!$G$21:$G$29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7-4BE7-9E8D-654918B38145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all!$G$21:$G$29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57-4BE7-9E8D-654918B38145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14851221734725"/>
                  <c:y val="4.1566727236018574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all!$G$21:$G$29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57-4BE7-9E8D-654918B38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6474429400911405"/>
              <c:y val="0.88676842317787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all!$G$35:$G$43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3-44D7-BA43-852A6E0E3E6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494407429840500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all!$G$35:$G$43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33-44D7-BA43-852A6E0E3E6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all!$G$35:$G$43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33-44D7-BA43-852A6E0E3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concentration </a:t>
            </a:r>
            <a:r>
              <a:rPr lang="en-US"/>
              <a:t>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all!$H$7:$H$15</c:f>
              <c:numCache>
                <c:formatCode>0.00</c:formatCode>
                <c:ptCount val="9"/>
                <c:pt idx="0">
                  <c:v>57.726100000000002</c:v>
                </c:pt>
                <c:pt idx="1">
                  <c:v>49.091801670000002</c:v>
                </c:pt>
                <c:pt idx="2">
                  <c:v>187</c:v>
                </c:pt>
                <c:pt idx="3">
                  <c:v>105.55555560000001</c:v>
                </c:pt>
                <c:pt idx="4">
                  <c:v>76.153846150000007</c:v>
                </c:pt>
                <c:pt idx="5">
                  <c:v>43.2</c:v>
                </c:pt>
                <c:pt idx="6">
                  <c:v>77.894736839999993</c:v>
                </c:pt>
                <c:pt idx="7">
                  <c:v>37.6</c:v>
                </c:pt>
                <c:pt idx="8">
                  <c:v>30.76923077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4-4683-BD9C-975B94979B38}"/>
            </c:ext>
          </c:extLst>
        </c:ser>
        <c:ser>
          <c:idx val="1"/>
          <c:order val="1"/>
          <c:tx>
            <c:strRef>
              <c:f>all!$A$31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74123354678187"/>
                  <c:y val="-5.32907217907684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all!$H$35:$H$43</c:f>
              <c:numCache>
                <c:formatCode>0.000</c:formatCode>
                <c:ptCount val="9"/>
                <c:pt idx="0">
                  <c:v>6.7843516800000003</c:v>
                </c:pt>
                <c:pt idx="1">
                  <c:v>5.3650916630000003</c:v>
                </c:pt>
                <c:pt idx="2">
                  <c:v>29.943162610000002</c:v>
                </c:pt>
                <c:pt idx="3">
                  <c:v>13.904999999999999</c:v>
                </c:pt>
                <c:pt idx="4">
                  <c:v>7.7779999999999996</c:v>
                </c:pt>
                <c:pt idx="5">
                  <c:v>5.5549999999999997</c:v>
                </c:pt>
                <c:pt idx="6">
                  <c:v>12.67</c:v>
                </c:pt>
                <c:pt idx="7">
                  <c:v>5.3390000000000004</c:v>
                </c:pt>
                <c:pt idx="8">
                  <c:v>5.1369999999999996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C4-4683-BD9C-975B94979B38}"/>
            </c:ext>
          </c:extLst>
        </c:ser>
        <c:ser>
          <c:idx val="2"/>
          <c:order val="2"/>
          <c:tx>
            <c:strRef>
              <c:f>all!$A$17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608403785722094E-2"/>
                  <c:y val="0.1704107137592734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all!$H$21:$H$29</c:f>
              <c:numCache>
                <c:formatCode>0.00</c:formatCode>
                <c:ptCount val="9"/>
                <c:pt idx="0">
                  <c:v>8.6910000000000007</c:v>
                </c:pt>
                <c:pt idx="1">
                  <c:v>8.4209999999999994</c:v>
                </c:pt>
                <c:pt idx="2">
                  <c:v>5.15</c:v>
                </c:pt>
                <c:pt idx="3">
                  <c:v>8.5760000000000005</c:v>
                </c:pt>
                <c:pt idx="4">
                  <c:v>4.4729999999999999</c:v>
                </c:pt>
                <c:pt idx="5">
                  <c:v>9.9</c:v>
                </c:pt>
                <c:pt idx="6">
                  <c:v>4.2779999999999996</c:v>
                </c:pt>
                <c:pt idx="7">
                  <c:v>5.4009999999999998</c:v>
                </c:pt>
                <c:pt idx="8">
                  <c:v>8.7050000000000001</c:v>
                </c:pt>
              </c:numCache>
            </c:numRef>
          </c:xVal>
          <c:yVal>
            <c:numRef>
              <c:f>all!$G$7:$G$15</c:f>
              <c:numCache>
                <c:formatCode>0.000</c:formatCode>
                <c:ptCount val="9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7">
                  <c:v>64.242932047955975</c:v>
                </c:pt>
                <c:pt idx="8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C4-4683-BD9C-975B94979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between events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all!$J$4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303452077235628"/>
                  <c:y val="-6.474516337478955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all!$G$8:$G$15</c:f>
              <c:numCache>
                <c:formatCode>0.000</c:formatCode>
                <c:ptCount val="8"/>
                <c:pt idx="0">
                  <c:v>69.142603119806424</c:v>
                </c:pt>
                <c:pt idx="1">
                  <c:v>69.014990506950269</c:v>
                </c:pt>
                <c:pt idx="2">
                  <c:v>69.014990506950269</c:v>
                </c:pt>
                <c:pt idx="6">
                  <c:v>64.242932047955975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15-4D58-8797-E14C6EC698AB}"/>
            </c:ext>
          </c:extLst>
        </c:ser>
        <c:ser>
          <c:idx val="1"/>
          <c:order val="1"/>
          <c:tx>
            <c:strRef>
              <c:f>all!$I$4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all!$G$8:$G$15</c:f>
              <c:numCache>
                <c:formatCode>0.000</c:formatCode>
                <c:ptCount val="8"/>
                <c:pt idx="0">
                  <c:v>69.142603119806424</c:v>
                </c:pt>
                <c:pt idx="1">
                  <c:v>69.014990506950269</c:v>
                </c:pt>
                <c:pt idx="2">
                  <c:v>69.014990506950269</c:v>
                </c:pt>
                <c:pt idx="6">
                  <c:v>64.242932047955975</c:v>
                </c:pt>
                <c:pt idx="7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15-4D58-8797-E14C6EC6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3-4932-9C0C-F1CE9CFCC9EE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177455512676828"/>
                  <c:y val="-0.101249423333883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A3-4932-9C0C-F1CE9CFCC9EE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783233974783884E-2"/>
                  <c:y val="-4.282786705644913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A3-4932-9C0C-F1CE9CFCC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 (interp)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67-40B8-85F7-18F462AF33D3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369473518652173E-2"/>
                  <c:y val="-3.235049464970724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67-40B8-85F7-18F462AF33D3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14851221734725"/>
                  <c:y val="4.1566727236018574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67-40B8-85F7-18F462AF3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 (interp)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35-4913-85D3-14942E6E6A66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494407429840500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35-4913-85D3-14942E6E6A66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all!$J$21:$J$29</c:f>
              <c:numCache>
                <c:formatCode>0.000</c:formatCode>
                <c:ptCount val="9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7">
                  <c:v>1.063728040781146</c:v>
                </c:pt>
                <c:pt idx="8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35-4913-85D3-14942E6E6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3244999228037671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D5-457B-95C1-70791EA7D300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803365755751119"/>
                  <c:y val="-0.15135826771653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D5-457B-95C1-70791EA7D300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688481756592789"/>
                  <c:y val="-0.29566179803079701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D5-457B-95C1-70791EA7D300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4863362667901"/>
                  <c:y val="5.6522309711286092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D5-457B-95C1-70791EA7D300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35693958640857"/>
                  <c:y val="-0.262163379187986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D5-457B-95C1-70791EA7D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c25</a:t>
            </a:r>
            <a:endParaRPr lang="en-US"/>
          </a:p>
        </c:rich>
      </c:tx>
      <c:layout>
        <c:manualLayout>
          <c:xMode val="edge"/>
          <c:yMode val="edge"/>
          <c:x val="0.33924906755076667"/>
          <c:y val="4.4138177496981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6-4405-917C-CA924CED60D5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043585038676913"/>
                  <c:y val="7.680244693822721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6-4405-917C-CA924CED60D5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35897629463856"/>
                  <c:y val="-7.85967305267943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D6-4405-917C-CA924CED60D5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440578309028102"/>
                  <c:y val="-0.17013867361068055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D6-4405-917C-CA924CED60D5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6154803839321262"/>
                  <c:y val="-0.33687808708950751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all!$I$48:$I$54</c:f>
              <c:numCache>
                <c:formatCode>0.000</c:formatCode>
                <c:ptCount val="7"/>
                <c:pt idx="0">
                  <c:v>64.048876322946043</c:v>
                </c:pt>
                <c:pt idx="1">
                  <c:v>69.142603119806424</c:v>
                </c:pt>
                <c:pt idx="2">
                  <c:v>69.014990506950269</c:v>
                </c:pt>
                <c:pt idx="3">
                  <c:v>69.014990506950269</c:v>
                </c:pt>
                <c:pt idx="6">
                  <c:v>64.242932047955975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D6-4405-917C-CA924CED6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Time between events to </a:t>
            </a:r>
            <a:r>
              <a:rPr lang="en-US" sz="1100">
                <a:latin typeface="Aptos" panose="020B0004020202020204" pitchFamily="34" charset="0"/>
              </a:rPr>
              <a:t>peak</a:t>
            </a:r>
            <a:r>
              <a:rPr lang="en-US" sz="1100" baseline="0">
                <a:latin typeface="Aptos" panose="020B0004020202020204" pitchFamily="34" charset="0"/>
              </a:rPr>
              <a:t> concentration</a:t>
            </a:r>
            <a:endParaRPr lang="en-US" sz="1100"/>
          </a:p>
        </c:rich>
      </c:tx>
      <c:layout>
        <c:manualLayout>
          <c:xMode val="edge"/>
          <c:yMode val="edge"/>
          <c:x val="0.13171215157721197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all!$A$17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186337638044536"/>
                  <c:y val="-8.32980760267047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all!$H$22:$H$29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A-439D-93D3-954300380D91}"/>
            </c:ext>
          </c:extLst>
        </c:ser>
        <c:ser>
          <c:idx val="1"/>
          <c:order val="1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all!$H$8:$H$15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2">
                  <c:v>105.55555560000001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  <c:pt idx="7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0A-439D-93D3-954300380D91}"/>
            </c:ext>
          </c:extLst>
        </c:ser>
        <c:ser>
          <c:idx val="2"/>
          <c:order val="2"/>
          <c:tx>
            <c:strRef>
              <c:f>all!$A$31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694656739877857E-2"/>
                  <c:y val="-0.3150808049661410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all!$H$36:$H$43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0A-439D-93D3-954300380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Time between </a:t>
            </a:r>
            <a:r>
              <a:rPr lang="el-GR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 </a:t>
            </a:r>
            <a:r>
              <a:rPr lang="en-US" sz="1100"/>
              <a:t>events to </a:t>
            </a:r>
            <a:r>
              <a:rPr lang="en-US" sz="1100">
                <a:latin typeface="Aptos" panose="020B0004020202020204" pitchFamily="34" charset="0"/>
              </a:rPr>
              <a:t>peak</a:t>
            </a:r>
            <a:r>
              <a:rPr lang="en-US" sz="1100" baseline="0">
                <a:latin typeface="Aptos" panose="020B0004020202020204" pitchFamily="34" charset="0"/>
              </a:rPr>
              <a:t> concentration</a:t>
            </a:r>
            <a:endParaRPr lang="en-US" sz="1100"/>
          </a:p>
        </c:rich>
      </c:tx>
      <c:layout>
        <c:manualLayout>
          <c:xMode val="edge"/>
          <c:yMode val="edge"/>
          <c:x val="0.25560393892964078"/>
          <c:y val="4.5639288670891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all!$A$17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186337638044536"/>
                  <c:y val="-8.32980760267047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all!$H$22:$H$29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FE-468E-8A20-B9B2A093F94D}"/>
            </c:ext>
          </c:extLst>
        </c:ser>
        <c:ser>
          <c:idx val="1"/>
          <c:order val="1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all!$H$8:$H$15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2">
                  <c:v>105.55555560000001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  <c:pt idx="7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FE-468E-8A20-B9B2A093F94D}"/>
            </c:ext>
          </c:extLst>
        </c:ser>
        <c:ser>
          <c:idx val="2"/>
          <c:order val="2"/>
          <c:tx>
            <c:strRef>
              <c:f>all!$A$31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694656739877857E-2"/>
                  <c:y val="-0.3150808049661410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all!$H$36:$H$43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FE-468E-8A20-B9B2A093F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98992718427908"/>
                  <c:y val="-0.14103360877855145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2-4FC5-8182-5131C452617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12-4FC5-8182-5131C452617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12-4FC5-8182-5131C4526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A3-4BEB-BF5F-0A71B4B29E3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A3-4BEB-BF5F-0A71B4B29E3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A3-4BEB-BF5F-0A71B4B29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</a:t>
            </a:r>
            <a:r>
              <a:rPr lang="en-US" baseline="0"/>
              <a:t> </a:t>
            </a:r>
            <a:r>
              <a:rPr lang="en-US"/>
              <a:t>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04-41EB-A82C-10B47D5723F7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04-41EB-A82C-10B47D5723F7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04-41EB-A82C-10B47D572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all!$Z$61:$Z$69</c:f>
              <c:numCache>
                <c:formatCode>0.00000</c:formatCode>
                <c:ptCount val="9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  <c:pt idx="3">
                  <c:v>0.61809493388466297</c:v>
                </c:pt>
                <c:pt idx="5">
                  <c:v>1.0433735492571501</c:v>
                </c:pt>
                <c:pt idx="6">
                  <c:v>0.54304497563021803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9-46E1-884B-405AE2D73C74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738076603906719"/>
                  <c:y val="-0.3803444038852456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all!$AA$61:$AA$69</c:f>
              <c:numCache>
                <c:formatCode>0.00000</c:formatCode>
                <c:ptCount val="9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  <c:pt idx="3">
                  <c:v>-0.851696935181535</c:v>
                </c:pt>
                <c:pt idx="5">
                  <c:v>-0.87727286114650804</c:v>
                </c:pt>
                <c:pt idx="6">
                  <c:v>-0.79094425276710101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9-46E1-884B-405AE2D73C74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8009818975069941E-2"/>
                  <c:y val="2.2053570854498883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all!$AB$61:$AB$69</c:f>
              <c:numCache>
                <c:formatCode>0.00000</c:formatCode>
                <c:ptCount val="9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  <c:pt idx="3">
                  <c:v>-0.17562342751062601</c:v>
                </c:pt>
                <c:pt idx="5">
                  <c:v>0.155085326236896</c:v>
                </c:pt>
                <c:pt idx="6">
                  <c:v>-0.49269779802698299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9-46E1-884B-405AE2D73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Peak</a:t>
            </a:r>
            <a:r>
              <a:rPr lang="en-US" sz="1200" baseline="0"/>
              <a:t> concentration </a:t>
            </a:r>
            <a:r>
              <a:rPr lang="en-US" sz="1200"/>
              <a:t>to </a:t>
            </a:r>
            <a:r>
              <a:rPr lang="el-GR" sz="1200">
                <a:latin typeface="Aptos" panose="020B0004020202020204" pitchFamily="34" charset="0"/>
              </a:rPr>
              <a:t>τ</a:t>
            </a:r>
            <a:r>
              <a:rPr lang="en-US" sz="1200">
                <a:latin typeface="Aptos" panose="020B0004020202020204" pitchFamily="34" charset="0"/>
              </a:rPr>
              <a:t>c50 (excd)</a:t>
            </a:r>
            <a:endParaRPr lang="en-US" sz="1200"/>
          </a:p>
        </c:rich>
      </c:tx>
      <c:layout>
        <c:manualLayout>
          <c:xMode val="edge"/>
          <c:yMode val="edge"/>
          <c:x val="0.15463710876866582"/>
          <c:y val="4.0579765572773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SSC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all!$H$7:$H$15</c:f>
              <c:numCache>
                <c:formatCode>0.00</c:formatCode>
                <c:ptCount val="9"/>
                <c:pt idx="0">
                  <c:v>57.726100000000002</c:v>
                </c:pt>
                <c:pt idx="1">
                  <c:v>49.091801670000002</c:v>
                </c:pt>
                <c:pt idx="2">
                  <c:v>187</c:v>
                </c:pt>
                <c:pt idx="3">
                  <c:v>105.55555560000001</c:v>
                </c:pt>
                <c:pt idx="4">
                  <c:v>76.153846150000007</c:v>
                </c:pt>
                <c:pt idx="5">
                  <c:v>43.2</c:v>
                </c:pt>
                <c:pt idx="6">
                  <c:v>77.894736839999993</c:v>
                </c:pt>
                <c:pt idx="7">
                  <c:v>37.6</c:v>
                </c:pt>
                <c:pt idx="8">
                  <c:v>30.76923077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97-4F9A-979D-5A223C4F6AF0}"/>
            </c:ext>
          </c:extLst>
        </c:ser>
        <c:ser>
          <c:idx val="1"/>
          <c:order val="1"/>
          <c:tx>
            <c:strRef>
              <c:f>all!$A$31</c:f>
              <c:strCache>
                <c:ptCount val="1"/>
                <c:pt idx="0">
                  <c:v>POC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74123354678187"/>
                  <c:y val="-5.32907217907684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all!$H$35:$H$43</c:f>
              <c:numCache>
                <c:formatCode>0.000</c:formatCode>
                <c:ptCount val="9"/>
                <c:pt idx="0">
                  <c:v>6.7843516800000003</c:v>
                </c:pt>
                <c:pt idx="1">
                  <c:v>5.3650916630000003</c:v>
                </c:pt>
                <c:pt idx="2">
                  <c:v>29.943162610000002</c:v>
                </c:pt>
                <c:pt idx="3">
                  <c:v>13.904999999999999</c:v>
                </c:pt>
                <c:pt idx="4">
                  <c:v>7.7779999999999996</c:v>
                </c:pt>
                <c:pt idx="5">
                  <c:v>5.5549999999999997</c:v>
                </c:pt>
                <c:pt idx="6">
                  <c:v>12.67</c:v>
                </c:pt>
                <c:pt idx="7">
                  <c:v>5.3390000000000004</c:v>
                </c:pt>
                <c:pt idx="8">
                  <c:v>5.1369999999999996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97-4F9A-979D-5A223C4F6AF0}"/>
            </c:ext>
          </c:extLst>
        </c:ser>
        <c:ser>
          <c:idx val="2"/>
          <c:order val="2"/>
          <c:tx>
            <c:strRef>
              <c:f>all!$A$17</c:f>
              <c:strCache>
                <c:ptCount val="1"/>
                <c:pt idx="0">
                  <c:v>DOC 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608403785722094E-2"/>
                  <c:y val="0.17041071375927347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all!$H$21:$H$29</c:f>
              <c:numCache>
                <c:formatCode>0.00</c:formatCode>
                <c:ptCount val="9"/>
                <c:pt idx="0">
                  <c:v>8.6910000000000007</c:v>
                </c:pt>
                <c:pt idx="1">
                  <c:v>8.4209999999999994</c:v>
                </c:pt>
                <c:pt idx="2">
                  <c:v>5.15</c:v>
                </c:pt>
                <c:pt idx="3">
                  <c:v>8.5760000000000005</c:v>
                </c:pt>
                <c:pt idx="4">
                  <c:v>4.4729999999999999</c:v>
                </c:pt>
                <c:pt idx="5">
                  <c:v>9.9</c:v>
                </c:pt>
                <c:pt idx="6">
                  <c:v>4.2779999999999996</c:v>
                </c:pt>
                <c:pt idx="7">
                  <c:v>5.4009999999999998</c:v>
                </c:pt>
                <c:pt idx="8">
                  <c:v>8.7050000000000001</c:v>
                </c:pt>
              </c:numCache>
            </c:numRef>
          </c:xVal>
          <c:yVal>
            <c:numRef>
              <c:f>all!$K$7:$K$15</c:f>
              <c:numCache>
                <c:formatCode>0.000</c:formatCode>
                <c:ptCount val="9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7">
                  <c:v>67.505054000000001</c:v>
                </c:pt>
                <c:pt idx="8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97-4F9A-979D-5A223C4F6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Time between events to </a:t>
            </a:r>
            <a:r>
              <a:rPr lang="el-GR" sz="1200">
                <a:latin typeface="Aptos" panose="020B0004020202020204" pitchFamily="34" charset="0"/>
              </a:rPr>
              <a:t>τ</a:t>
            </a:r>
            <a:r>
              <a:rPr lang="en-US" sz="1200">
                <a:latin typeface="Aptos" panose="020B0004020202020204" pitchFamily="34" charset="0"/>
              </a:rPr>
              <a:t>c50 (excd)</a:t>
            </a:r>
            <a:endParaRPr lang="en-US" sz="1200"/>
          </a:p>
        </c:rich>
      </c:tx>
      <c:layout>
        <c:manualLayout>
          <c:xMode val="edge"/>
          <c:yMode val="edge"/>
          <c:x val="0.22332403890419142"/>
          <c:y val="5.0698811769008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02780630430196"/>
          <c:y val="0.17753866551293604"/>
          <c:w val="0.70433153244145819"/>
          <c:h val="0.47235030385025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all!$J$4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303452077235628"/>
                  <c:y val="-6.474516337478955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all!$J$8:$J$15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xVal>
          <c:yVal>
            <c:numRef>
              <c:f>all!$K$8:$K$15</c:f>
              <c:numCache>
                <c:formatCode>0.000</c:formatCode>
                <c:ptCount val="8"/>
                <c:pt idx="0">
                  <c:v>73.387016439999996</c:v>
                </c:pt>
                <c:pt idx="1">
                  <c:v>79.767295559999994</c:v>
                </c:pt>
                <c:pt idx="2">
                  <c:v>79.767295559999994</c:v>
                </c:pt>
                <c:pt idx="6">
                  <c:v>67.505054000000001</c:v>
                </c:pt>
                <c:pt idx="7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F-4FE8-9632-8DDDCD48B0B8}"/>
            </c:ext>
          </c:extLst>
        </c:ser>
        <c:ser>
          <c:idx val="1"/>
          <c:order val="1"/>
          <c:tx>
            <c:strRef>
              <c:f>all!$I$4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157512090199589"/>
                  <c:y val="4.002082770610784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all!$I$8:$I$15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xVal>
          <c:yVal>
            <c:numRef>
              <c:f>all!$K$8:$K$15</c:f>
              <c:numCache>
                <c:formatCode>0.000</c:formatCode>
                <c:ptCount val="8"/>
                <c:pt idx="0">
                  <c:v>73.387016439999996</c:v>
                </c:pt>
                <c:pt idx="1">
                  <c:v>79.767295559999994</c:v>
                </c:pt>
                <c:pt idx="2">
                  <c:v>79.767295559999994</c:v>
                </c:pt>
                <c:pt idx="6">
                  <c:v>67.505054000000001</c:v>
                </c:pt>
                <c:pt idx="7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1F-4FE8-9632-8DDDCD48B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layout>
        <c:manualLayout>
          <c:xMode val="edge"/>
          <c:yMode val="edge"/>
          <c:x val="0.10881187866451157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7-43F9-A3D8-F48B1F0A7077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803365755751119"/>
                  <c:y val="-0.1513582677165354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67-43F9-A3D8-F48B1F0A7077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688481756592789"/>
                  <c:y val="-0.37464266139443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67-43F9-A3D8-F48B1F0A7077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904863362667901"/>
                  <c:y val="5.6522309711286092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67-43F9-A3D8-F48B1F0A7077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35693958640857"/>
                  <c:y val="-0.2621633791879865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C67-43F9-A3D8-F48B1F0A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(exceedance)</a:t>
            </a:r>
            <a:endParaRPr lang="en-US"/>
          </a:p>
        </c:rich>
      </c:tx>
      <c:layout>
        <c:manualLayout>
          <c:xMode val="edge"/>
          <c:yMode val="edge"/>
          <c:x val="0.13924906755076669"/>
          <c:y val="3.952577208761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A2-48CD-B676-C0907C319A04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043585038676913"/>
                  <c:y val="7.680244693822721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A2-48CD-B676-C0907C319A04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35897629463856"/>
                  <c:y val="-7.859673052679438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A2-48CD-B676-C0907C319A04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51222544550352"/>
                  <c:y val="-0.270308021517779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8A2-48CD-B676-C0907C319A04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46154803839321262"/>
                  <c:y val="-0.33687808708950751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8A2-48CD-B676-C0907C319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to Peak Turbidity</a:t>
            </a:r>
            <a:endParaRPr lang="en-US"/>
          </a:p>
        </c:rich>
      </c:tx>
      <c:layout>
        <c:manualLayout>
          <c:xMode val="edge"/>
          <c:yMode val="edge"/>
          <c:x val="0.25008547414198462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all!$H$45</c:f>
              <c:strCache>
                <c:ptCount val="1"/>
                <c:pt idx="0">
                  <c:v>tau_c50 (interpolated)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478044058660895"/>
                  <c:y val="3.567693451827070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all!$K$48:$K$54</c:f>
              <c:numCache>
                <c:formatCode>General</c:formatCode>
                <c:ptCount val="7"/>
                <c:pt idx="0">
                  <c:v>21.937999999999999</c:v>
                </c:pt>
                <c:pt idx="1">
                  <c:v>21.5</c:v>
                </c:pt>
                <c:pt idx="2">
                  <c:v>35.631999999999998</c:v>
                </c:pt>
                <c:pt idx="3">
                  <c:v>40.323999999999998</c:v>
                </c:pt>
                <c:pt idx="4">
                  <c:v>17.538</c:v>
                </c:pt>
                <c:pt idx="5">
                  <c:v>29.408000000000001</c:v>
                </c:pt>
                <c:pt idx="6">
                  <c:v>13.777999999999899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6-42AF-8493-FD5771943387}"/>
            </c:ext>
          </c:extLst>
        </c:ser>
        <c:ser>
          <c:idx val="1"/>
          <c:order val="1"/>
          <c:tx>
            <c:strRef>
              <c:f>all!$J$45</c:f>
              <c:strCache>
                <c:ptCount val="1"/>
                <c:pt idx="0">
                  <c:v>τ50 (exceedance)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406475175291573"/>
                  <c:y val="0.2009153414941917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all!$K$48:$K$54</c:f>
              <c:numCache>
                <c:formatCode>General</c:formatCode>
                <c:ptCount val="7"/>
                <c:pt idx="0">
                  <c:v>21.937999999999999</c:v>
                </c:pt>
                <c:pt idx="1">
                  <c:v>21.5</c:v>
                </c:pt>
                <c:pt idx="2">
                  <c:v>35.631999999999998</c:v>
                </c:pt>
                <c:pt idx="3">
                  <c:v>40.323999999999998</c:v>
                </c:pt>
                <c:pt idx="4">
                  <c:v>17.538</c:v>
                </c:pt>
                <c:pt idx="5">
                  <c:v>29.408000000000001</c:v>
                </c:pt>
                <c:pt idx="6">
                  <c:v>13.777999999999899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6-42AF-8493-FD577194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to Peak fDOM</a:t>
            </a:r>
            <a:endParaRPr lang="en-US"/>
          </a:p>
        </c:rich>
      </c:tx>
      <c:layout>
        <c:manualLayout>
          <c:xMode val="edge"/>
          <c:yMode val="edge"/>
          <c:x val="0.25008547414198462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all!$H$45</c:f>
              <c:strCache>
                <c:ptCount val="1"/>
                <c:pt idx="0">
                  <c:v>tau_c50 (interpolated)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478044058660895"/>
                  <c:y val="3.5676934518270705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all!$AE$48:$AE$54</c:f>
              <c:numCache>
                <c:formatCode>0.00</c:formatCode>
                <c:ptCount val="7"/>
                <c:pt idx="0">
                  <c:v>39.21</c:v>
                </c:pt>
                <c:pt idx="1">
                  <c:v>39.158000000000001</c:v>
                </c:pt>
                <c:pt idx="2">
                  <c:v>12.997999999999999</c:v>
                </c:pt>
                <c:pt idx="3">
                  <c:v>13.948</c:v>
                </c:pt>
                <c:pt idx="4">
                  <c:v>9.69</c:v>
                </c:pt>
                <c:pt idx="5">
                  <c:v>9.6120000000000001</c:v>
                </c:pt>
                <c:pt idx="6">
                  <c:v>12.518000000000001</c:v>
                </c:pt>
              </c:numCache>
            </c:numRef>
          </c:xVal>
          <c:yVal>
            <c:numRef>
              <c:f>all!$H$48:$H$54</c:f>
              <c:numCache>
                <c:formatCode>0.000</c:formatCode>
                <c:ptCount val="7"/>
                <c:pt idx="0">
                  <c:v>66.912425378311355</c:v>
                </c:pt>
                <c:pt idx="1">
                  <c:v>72.370164511034233</c:v>
                </c:pt>
                <c:pt idx="2">
                  <c:v>77.803592516854394</c:v>
                </c:pt>
                <c:pt idx="3">
                  <c:v>77.803592516854394</c:v>
                </c:pt>
                <c:pt idx="6">
                  <c:v>66.341763171136677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74-4253-BEA5-D71F3295C331}"/>
            </c:ext>
          </c:extLst>
        </c:ser>
        <c:ser>
          <c:idx val="1"/>
          <c:order val="1"/>
          <c:tx>
            <c:strRef>
              <c:f>all!$J$45</c:f>
              <c:strCache>
                <c:ptCount val="1"/>
                <c:pt idx="0">
                  <c:v>τ50 (exceedance)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255424568447136"/>
                  <c:y val="-0.2168593759008727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all!$AE$48:$AE$54</c:f>
              <c:numCache>
                <c:formatCode>0.00</c:formatCode>
                <c:ptCount val="7"/>
                <c:pt idx="0">
                  <c:v>39.21</c:v>
                </c:pt>
                <c:pt idx="1">
                  <c:v>39.158000000000001</c:v>
                </c:pt>
                <c:pt idx="2">
                  <c:v>12.997999999999999</c:v>
                </c:pt>
                <c:pt idx="3">
                  <c:v>13.948</c:v>
                </c:pt>
                <c:pt idx="4">
                  <c:v>9.69</c:v>
                </c:pt>
                <c:pt idx="5">
                  <c:v>9.6120000000000001</c:v>
                </c:pt>
                <c:pt idx="6">
                  <c:v>12.518000000000001</c:v>
                </c:pt>
              </c:numCache>
            </c:numRef>
          </c:xVal>
          <c:yVal>
            <c:numRef>
              <c:f>all!$J$48:$J$54</c:f>
              <c:numCache>
                <c:formatCode>0.000</c:formatCode>
                <c:ptCount val="7"/>
                <c:pt idx="0">
                  <c:v>60.588347259999999</c:v>
                </c:pt>
                <c:pt idx="1">
                  <c:v>73.387016439999996</c:v>
                </c:pt>
                <c:pt idx="2">
                  <c:v>79.767295559999994</c:v>
                </c:pt>
                <c:pt idx="3">
                  <c:v>79.767295559999994</c:v>
                </c:pt>
                <c:pt idx="6">
                  <c:v>67.505054000000001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4-4253-BEA5-D71F3295C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Turbidity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layout>
        <c:manualLayout>
          <c:xMode val="edge"/>
          <c:yMode val="edge"/>
          <c:x val="0.22031967182617007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8-40AE-8271-155848F182EF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335392915914832"/>
                  <c:y val="-1.131222545046376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8-40AE-8271-155848F182EF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149813978384051"/>
                  <c:y val="0.2915477970718122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B8-40AE-8271-155848F182EF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91086226197246"/>
                  <c:y val="6.7136233496010436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BB8-40AE-8271-155848F182EF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023108047811615"/>
                  <c:y val="0.2300840972734617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BB8-40AE-8271-155848F18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peak / </a:t>
                </a: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(interp)</a:t>
            </a:r>
            <a:endParaRPr lang="en-US"/>
          </a:p>
        </c:rich>
      </c:tx>
      <c:layout>
        <c:manualLayout>
          <c:xMode val="edge"/>
          <c:yMode val="edge"/>
          <c:x val="0.16030169912971404"/>
          <c:y val="3.952577208761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A-4BDE-8C9B-7431876AD351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51580549799696096"/>
                  <c:y val="-7.494250836407059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CA-4BDE-8C9B-7431876AD351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3865174747893"/>
                  <c:y val="-0.2548263193295378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CA-4BDE-8C9B-7431876AD351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809117281392458"/>
                  <c:y val="-0.2515068401609039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CA-4BDE-8C9B-7431876AD351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3056499516507805E-2"/>
                  <c:y val="-0.1989704530035838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all!$AF$48:$AF$54</c:f>
              <c:numCache>
                <c:formatCode>0.00000</c:formatCode>
                <c:ptCount val="7"/>
                <c:pt idx="0">
                  <c:v>1.0628417845850735</c:v>
                </c:pt>
                <c:pt idx="1">
                  <c:v>1.0325844789064453</c:v>
                </c:pt>
                <c:pt idx="2">
                  <c:v>1.025239233557502</c:v>
                </c:pt>
                <c:pt idx="3">
                  <c:v>1.025239233557502</c:v>
                </c:pt>
                <c:pt idx="6">
                  <c:v>1.063728040781146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CA-4BDE-8C9B-7431876AD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peak /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c50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7.0596491228070171E-2"/>
              <c:y val="0.25169424182950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(exc)</a:t>
            </a:r>
            <a:endParaRPr lang="en-US"/>
          </a:p>
        </c:rich>
      </c:tx>
      <c:layout>
        <c:manualLayout>
          <c:xMode val="edge"/>
          <c:yMode val="edge"/>
          <c:x val="0.22031967182617007"/>
          <c:y val="3.8888876725205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6-4E62-AC6D-1EF73645FEF6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335392915914832"/>
                  <c:y val="-1.1312225450463764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B6-4E62-AC6D-1EF73645FEF6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149813978384051"/>
                  <c:y val="0.2915477970718122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B6-4E62-AC6D-1EF73645FEF6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91086226197246"/>
                  <c:y val="6.7136233496010436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8B6-4E62-AC6D-1EF73645FEF6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023108047811615"/>
                  <c:y val="0.23008409727346174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8B6-4E62-AC6D-1EF73645F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peak / </a:t>
                </a: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(exc)</a:t>
            </a:r>
            <a:endParaRPr lang="en-US"/>
          </a:p>
        </c:rich>
      </c:tx>
      <c:layout>
        <c:manualLayout>
          <c:xMode val="edge"/>
          <c:yMode val="edge"/>
          <c:x val="0.16030169912971404"/>
          <c:y val="3.952577208761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03605470368836"/>
                  <c:y val="1.803450515064043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6-4FE0-A73A-8CC7F3BA9D2D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51580549799696096"/>
                  <c:y val="-7.494250836407059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66-4FE0-A73A-8CC7F3BA9D2D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3865174747893"/>
                  <c:y val="-0.2548263193295378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066-4FE0-A73A-8CC7F3BA9D2D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95082193673159"/>
                  <c:y val="-0.308885526635006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66-4FE0-A73A-8CC7F3BA9D2D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3056499516507805E-2"/>
                  <c:y val="-0.2762039104481514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all!$AG$48:$AG$54</c:f>
              <c:numCache>
                <c:formatCode>0.00000</c:formatCode>
                <c:ptCount val="7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66-4FE0-A73A-8CC7F3BA9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peak /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c50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7.0596491228070171E-2"/>
              <c:y val="0.25169424182950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peak/</a:t>
            </a:r>
            <a:r>
              <a:rPr lang="el-GR">
                <a:latin typeface="Aptos" panose="020B0004020202020204" pitchFamily="34" charset="0"/>
              </a:rPr>
              <a:t>τ</a:t>
            </a:r>
            <a:r>
              <a:rPr lang="en-US">
                <a:latin typeface="Aptos" panose="020B0004020202020204" pitchFamily="34" charset="0"/>
              </a:rPr>
              <a:t>c50 (exc)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B-4198-B30E-6F4D0565085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177455512676828"/>
                  <c:y val="-0.101249423333883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AB-4198-B30E-6F4D0565085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781239142515555"/>
                  <c:y val="-0.2545198852584600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AB-4198-B30E-6F4D0565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 (exc)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C4-43F4-A45D-1329CDE251D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369473518652173E-2"/>
                  <c:y val="-3.235049464970724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C4-43F4-A45D-1329CDE251D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14851221734725"/>
                  <c:y val="4.1566727236018574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C4-43F4-A45D-1329CDE25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POC HI to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peak/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c50 (exc)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7-4D03-8FE0-5B095F06F9DA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494407429840500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17-4D03-8FE0-5B095F06F9DA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all!$K$21:$K$29</c:f>
              <c:numCache>
                <c:formatCode>0.000</c:formatCode>
                <c:ptCount val="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7">
                  <c:v>1.045397189964473</c:v>
                </c:pt>
                <c:pt idx="8">
                  <c:v>1.045397189964473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17-4D03-8FE0-5B095F06F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n-US">
                <a:latin typeface="Aptos" panose="020B0004020202020204" pitchFamily="34" charset="0"/>
              </a:rPr>
              <a:t>time</a:t>
            </a:r>
            <a:r>
              <a:rPr lang="en-US" baseline="0">
                <a:latin typeface="Aptos" panose="020B0004020202020204" pitchFamily="34" charset="0"/>
              </a:rPr>
              <a:t> τ&gt;</a:t>
            </a:r>
            <a:r>
              <a:rPr lang="el-GR" baseline="0">
                <a:latin typeface="Aptos" panose="020B0004020202020204" pitchFamily="34" charset="0"/>
              </a:rPr>
              <a:t>τ</a:t>
            </a:r>
            <a:r>
              <a:rPr lang="en-US" baseline="0">
                <a:latin typeface="Aptos" panose="020B0004020202020204" pitchFamily="34" charset="0"/>
              </a:rPr>
              <a:t>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98992718427908"/>
                  <c:y val="-0.14103360877855145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0B-4089-AEB0-7D102E81D246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9700565316006"/>
                  <c:y val="-0.21931757847715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0B-4089-AEB0-7D102E81D246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0B-4089-AEB0-7D102E81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DOC HI to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τ&gt;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F-4E2E-BCBE-C2C70CA1564F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7F-4E2E-BCBE-C2C70CA1564F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7F-4E2E-BCBE-C2C70CA15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POC</a:t>
            </a:r>
            <a:r>
              <a:rPr lang="en-US" sz="1400" baseline="0"/>
              <a:t> </a:t>
            </a:r>
            <a:r>
              <a:rPr lang="en-US" sz="1400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τ&gt;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B6-4940-88BA-24D3077ED68A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B6-4940-88BA-24D3077ED68A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B6-4940-88BA-24D3077E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HI to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τ&gt;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all!$Z$61:$Z$69</c:f>
              <c:numCache>
                <c:formatCode>0.00000</c:formatCode>
                <c:ptCount val="9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  <c:pt idx="3">
                  <c:v>0.61809493388466297</c:v>
                </c:pt>
                <c:pt idx="5">
                  <c:v>1.0433735492571501</c:v>
                </c:pt>
                <c:pt idx="6">
                  <c:v>0.54304497563021803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3-4373-BD5A-68EA17B523C0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231745212163796"/>
                  <c:y val="-9.4195848152938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all!$AA$61:$AA$69</c:f>
              <c:numCache>
                <c:formatCode>0.00000</c:formatCode>
                <c:ptCount val="9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  <c:pt idx="3">
                  <c:v>-0.851696935181535</c:v>
                </c:pt>
                <c:pt idx="5">
                  <c:v>-0.87727286114650804</c:v>
                </c:pt>
                <c:pt idx="6">
                  <c:v>-0.79094425276710101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03-4373-BD5A-68EA17B523C0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8009818975069941E-2"/>
                  <c:y val="2.2053570854498883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all!$AB$61:$AB$69</c:f>
              <c:numCache>
                <c:formatCode>0.00000</c:formatCode>
                <c:ptCount val="9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  <c:pt idx="3">
                  <c:v>-0.17562342751062601</c:v>
                </c:pt>
                <c:pt idx="5">
                  <c:v>0.155085326236896</c:v>
                </c:pt>
                <c:pt idx="6">
                  <c:v>-0.49269779802698299</c:v>
                </c:pt>
              </c:numCache>
            </c:numRef>
          </c:xVal>
          <c:yVal>
            <c:numRef>
              <c:f>all!$I$35:$I$43</c:f>
              <c:numCache>
                <c:formatCode>0.00</c:formatCode>
                <c:ptCount val="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7">
                  <c:v>4.5222851684946201</c:v>
                </c:pt>
                <c:pt idx="8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03-4373-BD5A-68EA17B52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n-US" baseline="0">
                <a:latin typeface="Aptos" panose="020B0004020202020204" pitchFamily="34" charset="0"/>
              </a:rPr>
              <a:t> 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98992718427908"/>
                  <c:y val="-0.14103360877855145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58-4306-B132-6091AC0E20F5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9700565316006"/>
                  <c:y val="-0.21931757847715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58-4306-B132-6091AC0E20F5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58-4306-B132-6091AC0E2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DOC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515362498363186E-2"/>
                  <c:y val="-0.1803130613332744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E-4BBA-9510-511B27E2D30F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BE-4BBA-9510-511B27E2D30F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419337341957903E-2"/>
                  <c:y val="-0.12876226357963264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BE-4BBA-9510-511B27E2D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POC</a:t>
            </a:r>
            <a:r>
              <a:rPr lang="en-US" sz="1400" baseline="0"/>
              <a:t> </a:t>
            </a:r>
            <a:r>
              <a:rPr lang="en-US" sz="1400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2A-4353-9549-1704D8A3198E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2A-4353-9549-1704D8A3198E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2A-4353-9549-1704D8A31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HI 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all!$Z$61:$Z$69</c:f>
              <c:numCache>
                <c:formatCode>0.00000</c:formatCode>
                <c:ptCount val="9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  <c:pt idx="3">
                  <c:v>0.61809493388466297</c:v>
                </c:pt>
                <c:pt idx="5">
                  <c:v>1.0433735492571501</c:v>
                </c:pt>
                <c:pt idx="6">
                  <c:v>0.54304497563021803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5-4CBA-B034-BC80FDD10E55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231745212163796"/>
                  <c:y val="-9.4195848152938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all!$AA$61:$AA$69</c:f>
              <c:numCache>
                <c:formatCode>0.00000</c:formatCode>
                <c:ptCount val="9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  <c:pt idx="3">
                  <c:v>-0.851696935181535</c:v>
                </c:pt>
                <c:pt idx="5">
                  <c:v>-0.87727286114650804</c:v>
                </c:pt>
                <c:pt idx="6">
                  <c:v>-0.79094425276710101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B5-4CBA-B034-BC80FDD10E55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8009818975069941E-2"/>
                  <c:y val="2.2053570854498883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all!$AB$61:$AB$69</c:f>
              <c:numCache>
                <c:formatCode>0.00000</c:formatCode>
                <c:ptCount val="9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  <c:pt idx="3">
                  <c:v>-0.17562342751062601</c:v>
                </c:pt>
                <c:pt idx="5">
                  <c:v>0.155085326236896</c:v>
                </c:pt>
                <c:pt idx="6">
                  <c:v>-0.49269779802698299</c:v>
                </c:pt>
              </c:numCache>
            </c:numRef>
          </c:xVal>
          <c:yVal>
            <c:numRef>
              <c:f>all!$J$35:$J$43</c:f>
              <c:numCache>
                <c:formatCode>0.00</c:formatCode>
                <c:ptCount val="9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7">
                  <c:v>5.7971200506894904</c:v>
                </c:pt>
                <c:pt idx="8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B5-4CBA-B034-BC80FDD1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τ&gt;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</a:t>
            </a:r>
            <a:endParaRPr lang="en-US"/>
          </a:p>
        </c:rich>
      </c:tx>
      <c:layout>
        <c:manualLayout>
          <c:xMode val="edge"/>
          <c:yMode val="edge"/>
          <c:x val="0.2576390252044341"/>
          <c:y val="3.8888788226637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6-4B7A-927A-2D53466EF1E7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16116918994817"/>
                  <c:y val="-9.0737359176770015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66-4B7A-927A-2D53466EF1E7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02152137666612"/>
                  <c:y val="-5.43765142355796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66-4B7A-927A-2D53466EF1E7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75355409212653"/>
                  <c:y val="-7.7319932925542068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C66-4B7A-927A-2D53466EF1E7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048808501379533"/>
                  <c:y val="4.9378880525703852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C66-4B7A-927A-2D53466E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Time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5.5947843100514927E-2"/>
          <c:y val="0.86369430864540497"/>
          <c:w val="0.94080277665767875"/>
          <c:h val="9.5752248622761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time τ&gt;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c</a:t>
            </a:r>
            <a:endParaRPr lang="en-US"/>
          </a:p>
        </c:rich>
      </c:tx>
      <c:layout>
        <c:manualLayout>
          <c:xMode val="edge"/>
          <c:yMode val="edge"/>
          <c:x val="0.30065257632269649"/>
          <c:y val="4.4452108285157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03605470368836"/>
                  <c:y val="1.803450515064043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9-4142-8D55-D573D1984A89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51580549799696096"/>
                  <c:y val="-7.494250836407059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79-4142-8D55-D573D1984A89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3865174747893"/>
                  <c:y val="-0.2548263193295378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79-4142-8D55-D573D1984A89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984555877883686"/>
                  <c:y val="9.0894316509935458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79-4142-8D55-D573D1984A89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9.2705622323525347E-2"/>
                  <c:y val="0.2386797349589945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all!$AH$48:$AH$54</c:f>
              <c:numCache>
                <c:formatCode>0.00</c:formatCode>
                <c:ptCount val="7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4.5222851684946201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79-4142-8D55-D573D198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7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peak /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c50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7.0596491228070171E-2"/>
              <c:y val="0.25169424182950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</a:t>
            </a:r>
            <a:endParaRPr lang="en-US"/>
          </a:p>
        </c:rich>
      </c:tx>
      <c:layout>
        <c:manualLayout>
          <c:xMode val="edge"/>
          <c:yMode val="edge"/>
          <c:x val="0.2576390252044341"/>
          <c:y val="3.8888788226637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92-45AE-885E-B5F79535814E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16116918994817"/>
                  <c:y val="-9.0737359176770015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92-45AE-885E-B5F79535814E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02152137666612"/>
                  <c:y val="-5.43765142355796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92-45AE-885E-B5F79535814E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75355409212653"/>
                  <c:y val="-7.7319932925542068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92-45AE-885E-B5F79535814E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048808501379533"/>
                  <c:y val="4.9378880525703852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92-45AE-885E-B5F795358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Time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5.5947843100514927E-2"/>
          <c:y val="0.86369430864540497"/>
          <c:w val="0.94080277665767875"/>
          <c:h val="9.5752248622761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</a:t>
            </a:r>
            <a:endParaRPr lang="en-US"/>
          </a:p>
        </c:rich>
      </c:tx>
      <c:layout>
        <c:manualLayout>
          <c:xMode val="edge"/>
          <c:yMode val="edge"/>
          <c:x val="0.30065257632269649"/>
          <c:y val="4.4452108285157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03605470368836"/>
                  <c:y val="1.803450515064043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F-4909-9819-D3FB6819A9B0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51580549799696096"/>
                  <c:y val="-7.494250836407059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F-4909-9819-D3FB6819A9B0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3865174747893"/>
                  <c:y val="-0.2548263193295378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9F-4909-9819-D3FB6819A9B0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886989702317206"/>
                  <c:y val="-0.1682093497393347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9F-4909-9819-D3FB6819A9B0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099644989243606E-2"/>
                  <c:y val="-0.402927655157968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all!$AI$48:$AI$54</c:f>
              <c:numCache>
                <c:formatCode>0.00</c:formatCode>
                <c:ptCount val="7"/>
                <c:pt idx="0">
                  <c:v>28.480729852499898</c:v>
                </c:pt>
                <c:pt idx="1">
                  <c:v>0.666171575153233</c:v>
                </c:pt>
                <c:pt idx="2">
                  <c:v>0</c:v>
                </c:pt>
                <c:pt idx="3">
                  <c:v>0</c:v>
                </c:pt>
                <c:pt idx="6">
                  <c:v>5.7971200506894904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29F-4909-9819-D3FB6819A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ax val="4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peak /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c50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3.9040031451567696E-2"/>
              <c:y val="0.25626397666941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 to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excess balance</a:t>
            </a:r>
            <a:endParaRPr lang="en-US"/>
          </a:p>
        </c:rich>
      </c:tx>
      <c:layout>
        <c:manualLayout>
          <c:xMode val="edge"/>
          <c:yMode val="edge"/>
          <c:x val="0.2576390252044341"/>
          <c:y val="3.8888788226637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all!$B$48:$B$54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24-4055-9D94-708B7BD4DD7F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16116918994817"/>
                  <c:y val="-9.0737359176770015E-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all!$D$48:$D$54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24-4055-9D94-708B7BD4DD7F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02152137666612"/>
                  <c:y val="-5.437651423557968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all!$E$48:$E$54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24-4055-9D94-708B7BD4DD7F}"/>
            </c:ext>
          </c:extLst>
        </c:ser>
        <c:ser>
          <c:idx val="3"/>
          <c:order val="3"/>
          <c:tx>
            <c:strRef>
              <c:f>all!$F$45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75355409212653"/>
                  <c:y val="-7.7319932925542068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all!$F$48:$F$54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24-4055-9D94-708B7BD4DD7F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048808501379533"/>
                  <c:y val="4.9378880525703852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all!$G$48:$G$54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E24-4055-9D94-708B7BD4D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Time (hours)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5.5947843100514927E-2"/>
          <c:y val="0.86369430864540497"/>
          <c:w val="0.94080277665767875"/>
          <c:h val="9.5752248622761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</a:t>
            </a:r>
            <a:r>
              <a:rPr lang="en-US"/>
              <a:t> 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excess balance</a:t>
            </a:r>
            <a:endParaRPr lang="en-US"/>
          </a:p>
        </c:rich>
      </c:tx>
      <c:layout>
        <c:manualLayout>
          <c:xMode val="edge"/>
          <c:yMode val="edge"/>
          <c:x val="0.30065257632269649"/>
          <c:y val="4.4452108285157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155850255560161"/>
          <c:y val="0.1849113328616816"/>
          <c:w val="0.74272219919878435"/>
          <c:h val="0.44806322554589817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03605470368836"/>
                  <c:y val="1.8034505150640433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all!$Z$48:$Z$54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FD-460B-A50C-57C91B96FDE0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51580549799696096"/>
                  <c:y val="-7.4942508364070598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all!$AA$48:$AA$54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FD-460B-A50C-57C91B96FDE0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3865174747893"/>
                  <c:y val="-0.25482631932953786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all!$AB$48:$AB$54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FD-460B-A50C-57C91B96FDE0}"/>
            </c:ext>
          </c:extLst>
        </c:ser>
        <c:ser>
          <c:idx val="3"/>
          <c:order val="3"/>
          <c:tx>
            <c:strRef>
              <c:f>all!$AC$45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886989702317206"/>
                  <c:y val="-0.16820934973933477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all!$AC$48:$AC$54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4FD-460B-A50C-57C91B96FDE0}"/>
            </c:ext>
          </c:extLst>
        </c:ser>
        <c:ser>
          <c:idx val="4"/>
          <c:order val="4"/>
          <c:tx>
            <c:strRef>
              <c:f>all!$G$45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9099644989243606E-2"/>
                  <c:y val="-0.402927655157968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all!$AD$48:$AD$54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all!$AJ$48:$AJ$54</c:f>
              <c:numCache>
                <c:formatCode>0.000</c:formatCode>
                <c:ptCount val="7"/>
                <c:pt idx="0">
                  <c:v>0.30708458237534503</c:v>
                </c:pt>
                <c:pt idx="1">
                  <c:v>0.49664162355941199</c:v>
                </c:pt>
                <c:pt idx="6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4FD-460B-A50C-57C91B96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peak / </a:t>
                </a: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τ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ptos" panose="020B0004020202020204" pitchFamily="34" charset="0"/>
                  </a:rPr>
                  <a:t>c50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3.9040031451567696E-2"/>
              <c:y val="0.25626397666941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 to </a:t>
            </a:r>
            <a:r>
              <a:rPr lang="en-US" baseline="0">
                <a:latin typeface="Aptos" panose="020B0004020202020204" pitchFamily="34" charset="0"/>
              </a:rPr>
              <a:t>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98992718427908"/>
                  <c:y val="-0.14103360877855145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all!$B$7:$B$15</c:f>
              <c:numCache>
                <c:formatCode>0.00000</c:formatCode>
                <c:ptCount val="9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1.45242884682964</c:v>
                </c:pt>
                <c:pt idx="5">
                  <c:v>1.48474411958353</c:v>
                </c:pt>
                <c:pt idx="6">
                  <c:v>1.6588389001163999</c:v>
                </c:pt>
                <c:pt idx="7">
                  <c:v>0.665445371933445</c:v>
                </c:pt>
                <c:pt idx="8">
                  <c:v>0.84619083652769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E-4A12-B625-C74CCF264A4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2509700565316006"/>
                  <c:y val="-0.21931757847715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all!$D$7:$D$15</c:f>
              <c:numCache>
                <c:formatCode>0.00000</c:formatCode>
                <c:ptCount val="9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0.238708102284336</c:v>
                </c:pt>
                <c:pt idx="5">
                  <c:v>0.55431906321323399</c:v>
                </c:pt>
                <c:pt idx="6">
                  <c:v>0.49497785634638802</c:v>
                </c:pt>
                <c:pt idx="7">
                  <c:v>-1.0305451800868599</c:v>
                </c:pt>
                <c:pt idx="8">
                  <c:v>-0.57708462423306806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6E-4A12-B625-C74CCF264A4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3193230156575256E-2"/>
                  <c:y val="-4.257284860669011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all!$E$7:$E$15</c:f>
              <c:numCache>
                <c:formatCode>0.00000</c:formatCode>
                <c:ptCount val="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5">
                  <c:v>0.36516163611226798</c:v>
                </c:pt>
                <c:pt idx="6">
                  <c:v>4.1333778886518201E-2</c:v>
                </c:pt>
                <c:pt idx="7">
                  <c:v>-4.1760232547360499E-2</c:v>
                </c:pt>
                <c:pt idx="8">
                  <c:v>-7.8588218215967606E-2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6E-4A12-B625-C74CCF26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DOC HI to</a:t>
            </a:r>
            <a:r>
              <a:rPr lang="en-US" sz="1400" baseline="0"/>
              <a:t> excess balance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4515362498363186E-2"/>
                  <c:y val="-0.18031306133327446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all!$B$21:$B$29</c:f>
              <c:numCache>
                <c:formatCode>0.00000</c:formatCode>
                <c:ptCount val="9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1.0770799229366299</c:v>
                </c:pt>
                <c:pt idx="5">
                  <c:v>1.69896635753922</c:v>
                </c:pt>
                <c:pt idx="6">
                  <c:v>0.68980819676752303</c:v>
                </c:pt>
                <c:pt idx="7">
                  <c:v>0.66267278810022201</c:v>
                </c:pt>
                <c:pt idx="8">
                  <c:v>1.6537701478523501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E0-49DC-836F-9A0D7AA0FC13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5.301004615802335E-2"/>
                  <c:y val="-0.221724688669235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all!$D$21:$D$29</c:f>
              <c:numCache>
                <c:formatCode>0.00000</c:formatCode>
                <c:ptCount val="9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0.64255712913469198</c:v>
                </c:pt>
                <c:pt idx="5">
                  <c:v>1.0004694412552899</c:v>
                </c:pt>
                <c:pt idx="6">
                  <c:v>-0.62247408500113799</c:v>
                </c:pt>
                <c:pt idx="7">
                  <c:v>-1.0273129897173701</c:v>
                </c:pt>
                <c:pt idx="8">
                  <c:v>0.384403035464087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E0-49DC-836F-9A0D7AA0FC13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308128654781095"/>
                  <c:y val="-0.2864986876640420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all!$E$21:$E$29</c:f>
              <c:numCache>
                <c:formatCode>0.00000</c:formatCode>
                <c:ptCount val="9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0.41389016217674901</c:v>
                </c:pt>
                <c:pt idx="5">
                  <c:v>0.39449354239977702</c:v>
                </c:pt>
                <c:pt idx="6">
                  <c:v>-0.17371472956907899</c:v>
                </c:pt>
                <c:pt idx="7">
                  <c:v>-4.74716361793363E-2</c:v>
                </c:pt>
                <c:pt idx="8">
                  <c:v>5.9760012226563401E-2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E0-49DC-836F-9A0D7AA0F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POC</a:t>
            </a:r>
            <a:r>
              <a:rPr lang="en-US" sz="1400" baseline="0"/>
              <a:t> </a:t>
            </a:r>
            <a:r>
              <a:rPr lang="en-US" sz="1400"/>
              <a:t>HI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" panose="020B0004020202020204" pitchFamily="34" charset="0"/>
              </a:rPr>
              <a:t>excess balance</a:t>
            </a:r>
            <a:endParaRPr lang="en-US" sz="1400"/>
          </a:p>
        </c:rich>
      </c:tx>
      <c:layout>
        <c:manualLayout>
          <c:xMode val="edge"/>
          <c:yMode val="edge"/>
          <c:x val="0.21652942149457235"/>
          <c:y val="3.5897435897435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76531812833741"/>
                  <c:y val="-6.751058245378902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all!$B$35:$B$43</c:f>
              <c:numCache>
                <c:formatCode>0.00000</c:formatCode>
                <c:ptCount val="9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1.29322320004102</c:v>
                </c:pt>
                <c:pt idx="5">
                  <c:v>1.2870368477726899</c:v>
                </c:pt>
                <c:pt idx="6">
                  <c:v>1.3490789487664501</c:v>
                </c:pt>
                <c:pt idx="7">
                  <c:v>0.56520265738304298</c:v>
                </c:pt>
                <c:pt idx="8">
                  <c:v>0.82233612818652901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31-4393-81AC-C21475BAACF7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1981386533030887E-2"/>
                  <c:y val="-0.182821320411871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all!$D$35:$D$43</c:f>
              <c:numCache>
                <c:formatCode>0.00000</c:formatCode>
                <c:ptCount val="9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0.43470959470339599</c:v>
                </c:pt>
                <c:pt idx="5">
                  <c:v>0.29324836284144801</c:v>
                </c:pt>
                <c:pt idx="6">
                  <c:v>0.20911471061197601</c:v>
                </c:pt>
                <c:pt idx="7">
                  <c:v>-1.0275595596207601</c:v>
                </c:pt>
                <c:pt idx="8">
                  <c:v>-0.50591021290758598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31-4393-81AC-C21475BAACF7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739725181411147"/>
                  <c:y val="1.461767279090113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all!$E$35:$E$43</c:f>
              <c:numCache>
                <c:formatCode>0.00000</c:formatCode>
                <c:ptCount val="9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0.36758406997509402</c:v>
                </c:pt>
                <c:pt idx="5">
                  <c:v>4.3375577562074601E-2</c:v>
                </c:pt>
                <c:pt idx="6">
                  <c:v>4.5262412029273197E-2</c:v>
                </c:pt>
                <c:pt idx="7">
                  <c:v>-6.6277814143714905E-2</c:v>
                </c:pt>
                <c:pt idx="8">
                  <c:v>-0.161754895727207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31-4393-81AC-C21475BA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layout>
            <c:manualLayout>
              <c:xMode val="edge"/>
              <c:yMode val="edge"/>
              <c:x val="0.43718039872581271"/>
              <c:y val="0.74830688471633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HI to excess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all!$B$4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9111465713244"/>
                  <c:y val="-0.1973199456465129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all!$Z$61:$Z$69</c:f>
              <c:numCache>
                <c:formatCode>0.00000</c:formatCode>
                <c:ptCount val="9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  <c:pt idx="3">
                  <c:v>0.61809493388466297</c:v>
                </c:pt>
                <c:pt idx="5">
                  <c:v>1.0433735492571501</c:v>
                </c:pt>
                <c:pt idx="6">
                  <c:v>0.54304497563021803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C9-4556-9986-87A1B8AFC312}"/>
            </c:ext>
          </c:extLst>
        </c:ser>
        <c:ser>
          <c:idx val="1"/>
          <c:order val="1"/>
          <c:tx>
            <c:strRef>
              <c:f>all!$D$4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231745212163796"/>
                  <c:y val="-9.41958481529389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all!$AA$61:$AA$69</c:f>
              <c:numCache>
                <c:formatCode>0.00000</c:formatCode>
                <c:ptCount val="9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  <c:pt idx="3">
                  <c:v>-0.851696935181535</c:v>
                </c:pt>
                <c:pt idx="5">
                  <c:v>-0.87727286114650804</c:v>
                </c:pt>
                <c:pt idx="6">
                  <c:v>-0.79094425276710101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C9-4556-9986-87A1B8AFC312}"/>
            </c:ext>
          </c:extLst>
        </c:ser>
        <c:ser>
          <c:idx val="2"/>
          <c:order val="2"/>
          <c:tx>
            <c:strRef>
              <c:f>all!$E$4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8009818975069941E-2"/>
                  <c:y val="2.2053570854498883E-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all!$AB$61:$AB$69</c:f>
              <c:numCache>
                <c:formatCode>0.00000</c:formatCode>
                <c:ptCount val="9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  <c:pt idx="3">
                  <c:v>-0.17562342751062601</c:v>
                </c:pt>
                <c:pt idx="5">
                  <c:v>0.155085326236896</c:v>
                </c:pt>
                <c:pt idx="6">
                  <c:v>-0.49269779802698299</c:v>
                </c:pt>
              </c:numCache>
            </c:numRef>
          </c:xVal>
          <c:yVal>
            <c:numRef>
              <c:f>all!$K$35:$K$43</c:f>
              <c:numCache>
                <c:formatCode>0.000</c:formatCode>
                <c:ptCount val="9"/>
                <c:pt idx="0">
                  <c:v>0.30708458237534503</c:v>
                </c:pt>
                <c:pt idx="1">
                  <c:v>0.49664162355941199</c:v>
                </c:pt>
                <c:pt idx="7">
                  <c:v>-0.27417249103342101</c:v>
                </c:pt>
                <c:pt idx="8">
                  <c:v>-0.27417249103342101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C9-4556-9986-87A1B8AFC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0495"/>
        <c:axId val="482950655"/>
      </c:scatterChart>
      <c:valAx>
        <c:axId val="48293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50655"/>
        <c:crosses val="autoZero"/>
        <c:crossBetween val="midCat"/>
      </c:valAx>
      <c:valAx>
        <c:axId val="4829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>
                    <a:latin typeface="Aptos" panose="020B0004020202020204" pitchFamily="34" charset="0"/>
                  </a:rPr>
                  <a:t>τ</a:t>
                </a:r>
                <a:r>
                  <a:rPr lang="en-US">
                    <a:latin typeface="Aptos" panose="020B0004020202020204" pitchFamily="34" charset="0"/>
                  </a:rPr>
                  <a:t>c50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1.45242884682964</c:v>
                </c:pt>
                <c:pt idx="3">
                  <c:v>0.84619083652769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B1-4956-B817-E8C40C25D034}"/>
            </c:ext>
          </c:extLst>
        </c:ser>
        <c:ser>
          <c:idx val="1"/>
          <c:order val="1"/>
          <c:tx>
            <c:strRef>
              <c:f>upstream!$E$2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0.238708102284336</c:v>
                </c:pt>
                <c:pt idx="3">
                  <c:v>-0.57708462423306806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B1-4956-B817-E8C40C25D034}"/>
            </c:ext>
          </c:extLst>
        </c:ser>
        <c:ser>
          <c:idx val="2"/>
          <c:order val="2"/>
          <c:tx>
            <c:strRef>
              <c:f>upstream!$F$2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3">
                  <c:v>-7.8588218215967606E-2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B1-4956-B817-E8C40C25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1.0770799229366299</c:v>
                </c:pt>
                <c:pt idx="3">
                  <c:v>1.6537701478523501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E1-4D42-BA91-AB50649B3C83}"/>
            </c:ext>
          </c:extLst>
        </c:ser>
        <c:ser>
          <c:idx val="1"/>
          <c:order val="1"/>
          <c:tx>
            <c:strRef>
              <c:f>upstream!$E$8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0.64255712913469198</c:v>
                </c:pt>
                <c:pt idx="3">
                  <c:v>0.384403035464087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E1-4D42-BA91-AB50649B3C83}"/>
            </c:ext>
          </c:extLst>
        </c:ser>
        <c:ser>
          <c:idx val="2"/>
          <c:order val="2"/>
          <c:tx>
            <c:strRef>
              <c:f>upstream!$F$8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0.41389016217674901</c:v>
                </c:pt>
                <c:pt idx="3">
                  <c:v>5.9760012226563401E-2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E1-4D42-BA91-AB50649B3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1.29322320004102</c:v>
                </c:pt>
                <c:pt idx="3">
                  <c:v>0.82233612818652901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83-44D4-A37C-CA6A6A74FCB8}"/>
            </c:ext>
          </c:extLst>
        </c:ser>
        <c:ser>
          <c:idx val="1"/>
          <c:order val="1"/>
          <c:tx>
            <c:strRef>
              <c:f>upstream!$E$14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0.43470959470339599</c:v>
                </c:pt>
                <c:pt idx="3">
                  <c:v>-0.50591021290758598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83-44D4-A37C-CA6A6A74FCB8}"/>
            </c:ext>
          </c:extLst>
        </c:ser>
        <c:ser>
          <c:idx val="2"/>
          <c:order val="2"/>
          <c:tx>
            <c:strRef>
              <c:f>upstream!$F$14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0.36758406997509402</c:v>
                </c:pt>
                <c:pt idx="3">
                  <c:v>-0.161754895727207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83-44D4-A37C-CA6A6A74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0.61809493388466297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7-4AC5-9B9D-C48505CAC553}"/>
            </c:ext>
          </c:extLst>
        </c:ser>
        <c:ser>
          <c:idx val="1"/>
          <c:order val="1"/>
          <c:tx>
            <c:strRef>
              <c:f>upstream!$E$20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-0.851696935181535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97-4AC5-9B9D-C48505CAC553}"/>
            </c:ext>
          </c:extLst>
        </c:ser>
        <c:ser>
          <c:idx val="2"/>
          <c:order val="2"/>
          <c:tx>
            <c:strRef>
              <c:f>upstream!$F$20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upstream!$F$21:$F$23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-0.17562342751062601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97-4AC5-9B9D-C48505CA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1.41606982531736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6-4153-ADAF-C7CBB3E3F799}"/>
            </c:ext>
          </c:extLst>
        </c:ser>
        <c:ser>
          <c:idx val="1"/>
          <c:order val="1"/>
          <c:tx>
            <c:strRef>
              <c:f>upstream!$E$38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0.52921681534296305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6-4153-ADAF-C7CBB3E3F799}"/>
            </c:ext>
          </c:extLst>
        </c:ser>
        <c:ser>
          <c:idx val="2"/>
          <c:order val="2"/>
          <c:tx>
            <c:strRef>
              <c:f>upstream!$F$38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618973996691808"/>
                  <c:y val="-7.914628318519001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26-4153-ADAF-C7CBB3E3F799}"/>
            </c:ext>
          </c:extLst>
        </c:ser>
        <c:ser>
          <c:idx val="3"/>
          <c:order val="3"/>
          <c:tx>
            <c:strRef>
              <c:f>upstream!$G$38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513711420441659"/>
                  <c:y val="7.9801789482197086E-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0.17041594173230901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26-4153-ADAF-C7CBB3E3F799}"/>
            </c:ext>
          </c:extLst>
        </c:ser>
        <c:ser>
          <c:idx val="4"/>
          <c:order val="4"/>
          <c:tx>
            <c:strRef>
              <c:f>upstream!$H$38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01432075857969"/>
                  <c:y val="-0.2039412720468764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0.33346513766249403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26-4153-ADAF-C7CBB3E3F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upstream!$D$38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0.64478493475432996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5-4A81-AE3D-ADEA7D36661E}"/>
            </c:ext>
          </c:extLst>
        </c:ser>
        <c:ser>
          <c:idx val="1"/>
          <c:order val="1"/>
          <c:tx>
            <c:strRef>
              <c:f>upstream!$E$38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-0.64445784381595494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F5-4A81-AE3D-ADEA7D36661E}"/>
            </c:ext>
          </c:extLst>
        </c:ser>
        <c:ser>
          <c:idx val="2"/>
          <c:order val="2"/>
          <c:tx>
            <c:strRef>
              <c:f>upstream!$F$38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-0.24334139198969101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BF5-4A81-AE3D-ADEA7D36661E}"/>
            </c:ext>
          </c:extLst>
        </c:ser>
        <c:ser>
          <c:idx val="3"/>
          <c:order val="3"/>
          <c:tx>
            <c:strRef>
              <c:f>upstream!$G$38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-0.34407999236201098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BF5-4A81-AE3D-ADEA7D36661E}"/>
            </c:ext>
          </c:extLst>
        </c:ser>
        <c:ser>
          <c:idx val="4"/>
          <c:order val="4"/>
          <c:tx>
            <c:strRef>
              <c:f>upstream!$H$38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upstream!$C$39:$C$42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upstream!$H$45:$H$48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-0.52379920048275397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BF5-4A81-AE3D-ADEA7D366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downstream!$D$3:$D$6</c:f>
              <c:numCache>
                <c:formatCode>0.00000</c:formatCode>
                <c:ptCount val="4"/>
                <c:pt idx="0">
                  <c:v>2.1746388039620901</c:v>
                </c:pt>
                <c:pt idx="1">
                  <c:v>2.2792285281778502</c:v>
                </c:pt>
                <c:pt idx="2">
                  <c:v>1.4480475262282899</c:v>
                </c:pt>
                <c:pt idx="3">
                  <c:v>0.665445371933445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5-47A3-B056-0568C7DD77A8}"/>
            </c:ext>
          </c:extLst>
        </c:ser>
        <c:ser>
          <c:idx val="1"/>
          <c:order val="1"/>
          <c:tx>
            <c:strRef>
              <c:f>downstream!$E$2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784970672753856"/>
                  <c:y val="-3.331797810987912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downstream!$E$3:$E$6</c:f>
              <c:numCache>
                <c:formatCode>0.00000</c:formatCode>
                <c:ptCount val="4"/>
                <c:pt idx="0">
                  <c:v>0.90358482744648005</c:v>
                </c:pt>
                <c:pt idx="1">
                  <c:v>0.663434225775831</c:v>
                </c:pt>
                <c:pt idx="2">
                  <c:v>0.66475177086608195</c:v>
                </c:pt>
                <c:pt idx="3">
                  <c:v>-1.0305451800868599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85-47A3-B056-0568C7DD77A8}"/>
            </c:ext>
          </c:extLst>
        </c:ser>
        <c:ser>
          <c:idx val="2"/>
          <c:order val="2"/>
          <c:tx>
            <c:strRef>
              <c:f>downstream!$F$2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72884476712721"/>
                  <c:y val="8.673094434624242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downstream!$C$3:$C$6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downstream!$F$3:$F$6</c:f>
              <c:numCache>
                <c:formatCode>0.00000</c:formatCode>
                <c:ptCount val="4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-4.1760232547360499E-2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85-47A3-B056-0568C7DD7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downstream!$D$9:$D$12</c:f>
              <c:numCache>
                <c:formatCode>0.00000</c:formatCode>
                <c:ptCount val="4"/>
                <c:pt idx="0">
                  <c:v>0.93103098270545204</c:v>
                </c:pt>
                <c:pt idx="1">
                  <c:v>0.62021758140125105</c:v>
                </c:pt>
                <c:pt idx="2">
                  <c:v>0.77501210984665403</c:v>
                </c:pt>
                <c:pt idx="3">
                  <c:v>0.66267278810022201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A8-4346-B760-CE308CA93636}"/>
            </c:ext>
          </c:extLst>
        </c:ser>
        <c:ser>
          <c:idx val="1"/>
          <c:order val="1"/>
          <c:tx>
            <c:strRef>
              <c:f>downstream!$E$8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952611332869386"/>
                  <c:y val="3.591229667720106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downstream!$E$9:$E$12</c:f>
              <c:numCache>
                <c:formatCode>0.00000</c:formatCode>
                <c:ptCount val="4"/>
                <c:pt idx="0">
                  <c:v>0.356634245125801</c:v>
                </c:pt>
                <c:pt idx="1">
                  <c:v>-0.834312574960141</c:v>
                </c:pt>
                <c:pt idx="2">
                  <c:v>-0.908415578463458</c:v>
                </c:pt>
                <c:pt idx="3">
                  <c:v>-1.0273129897173701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1A8-4346-B760-CE308CA93636}"/>
            </c:ext>
          </c:extLst>
        </c:ser>
        <c:ser>
          <c:idx val="2"/>
          <c:order val="2"/>
          <c:tx>
            <c:strRef>
              <c:f>downstream!$F$8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124151241223851"/>
                  <c:y val="-4.6970557251772099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downstream!$C$9:$C$12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downstream!$F$9:$F$12</c:f>
              <c:numCache>
                <c:formatCode>0.00000</c:formatCode>
                <c:ptCount val="4"/>
                <c:pt idx="0">
                  <c:v>1.7836570943256701E-2</c:v>
                </c:pt>
                <c:pt idx="1">
                  <c:v>-0.54160608613664096</c:v>
                </c:pt>
                <c:pt idx="2">
                  <c:v>-0.17637365181995501</c:v>
                </c:pt>
                <c:pt idx="3">
                  <c:v>-4.74716361793363E-2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A8-4346-B760-CE308CA93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downstream!$D$14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64113624007729"/>
                  <c:y val="-6.13926830574749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downstream!$D$15:$D$18</c:f>
              <c:numCache>
                <c:formatCode>0.00000</c:formatCode>
                <c:ptCount val="4"/>
                <c:pt idx="0">
                  <c:v>1.5737102771314899</c:v>
                </c:pt>
                <c:pt idx="1">
                  <c:v>1.50347635019633</c:v>
                </c:pt>
                <c:pt idx="2">
                  <c:v>1.46809780024647</c:v>
                </c:pt>
                <c:pt idx="3">
                  <c:v>0.56520265738304298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E2-4663-A01F-3DBF7F5768D6}"/>
            </c:ext>
          </c:extLst>
        </c:ser>
        <c:ser>
          <c:idx val="1"/>
          <c:order val="1"/>
          <c:tx>
            <c:strRef>
              <c:f>downstream!$E$14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122201617104384"/>
                  <c:y val="0.1212202046172799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downstream!$E$15:$E$18</c:f>
              <c:numCache>
                <c:formatCode>0.00000</c:formatCode>
                <c:ptCount val="4"/>
                <c:pt idx="0">
                  <c:v>0.86635228697468503</c:v>
                </c:pt>
                <c:pt idx="1">
                  <c:v>0.96614890517595997</c:v>
                </c:pt>
                <c:pt idx="2">
                  <c:v>0.61110995616383801</c:v>
                </c:pt>
                <c:pt idx="3">
                  <c:v>-1.0275595596207601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E2-4663-A01F-3DBF7F5768D6}"/>
            </c:ext>
          </c:extLst>
        </c:ser>
        <c:ser>
          <c:idx val="2"/>
          <c:order val="2"/>
          <c:tx>
            <c:strRef>
              <c:f>downstream!$F$14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downstream!$C$15:$C$18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downstream!$F$15:$F$18</c:f>
              <c:numCache>
                <c:formatCode>0.00000</c:formatCode>
                <c:ptCount val="4"/>
                <c:pt idx="0">
                  <c:v>0.199680501000808</c:v>
                </c:pt>
                <c:pt idx="1">
                  <c:v>0.12535086320927399</c:v>
                </c:pt>
                <c:pt idx="2">
                  <c:v>0.42964915677977999</c:v>
                </c:pt>
                <c:pt idx="3">
                  <c:v>-6.6277814143714905E-2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E2-4663-A01F-3DBF7F576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PP (mg/L)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downstream!$D$20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494523339772731"/>
                  <c:y val="-0.1859181887978288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downstream!$D$21:$D$23</c:f>
              <c:numCache>
                <c:formatCode>0.00000</c:formatCode>
                <c:ptCount val="3"/>
                <c:pt idx="0">
                  <c:v>2.2885725031264901</c:v>
                </c:pt>
                <c:pt idx="1">
                  <c:v>0.65629846710779305</c:v>
                </c:pt>
                <c:pt idx="2">
                  <c:v>0.92225532580611602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D-4C22-BD18-E4CB9ED07FDF}"/>
            </c:ext>
          </c:extLst>
        </c:ser>
        <c:ser>
          <c:idx val="1"/>
          <c:order val="1"/>
          <c:tx>
            <c:strRef>
              <c:f>downstream!$E$20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64153658209694"/>
                  <c:y val="2.143874872783759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downstream!$E$21:$E$23</c:f>
              <c:numCache>
                <c:formatCode>0.00000</c:formatCode>
                <c:ptCount val="3"/>
                <c:pt idx="0">
                  <c:v>0.86069377106338596</c:v>
                </c:pt>
                <c:pt idx="1">
                  <c:v>-0.38672859447744201</c:v>
                </c:pt>
                <c:pt idx="2">
                  <c:v>-0.36586676677487101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8D-4C22-BD18-E4CB9ED07FDF}"/>
            </c:ext>
          </c:extLst>
        </c:ser>
        <c:ser>
          <c:idx val="2"/>
          <c:order val="2"/>
          <c:tx>
            <c:strRef>
              <c:f>downstream!$F$20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12065045182716"/>
                  <c:y val="-0.107153034442123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downstream!$C$21:$C$23</c:f>
              <c:numCache>
                <c:formatCode>0.0000</c:formatCode>
                <c:ptCount val="3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</c:numCache>
            </c:numRef>
          </c:xVal>
          <c:yVal>
            <c:numRef>
              <c:f>downstream!$F$21:$F$23</c:f>
              <c:numCache>
                <c:formatCode>0.00000</c:formatCode>
                <c:ptCount val="3"/>
                <c:pt idx="0">
                  <c:v>0.14822690674265199</c:v>
                </c:pt>
                <c:pt idx="1">
                  <c:v>-9.02599646039247E-2</c:v>
                </c:pt>
                <c:pt idx="2">
                  <c:v>3.59517217205262E-2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8D-4C22-BD18-E4CB9ED07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(FNU)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downstream!$D$39:$D$42</c:f>
              <c:numCache>
                <c:formatCode>0.00000</c:formatCode>
                <c:ptCount val="4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1.1637562782531401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2A-485C-BB97-E93B5176A243}"/>
            </c:ext>
          </c:extLst>
        </c:ser>
        <c:ser>
          <c:idx val="1"/>
          <c:order val="1"/>
          <c:tx>
            <c:strRef>
              <c:f>downstream!$E$38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128782743216699"/>
                  <c:y val="-2.778942200570252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downstream!$E$39:$E$42</c:f>
              <c:numCache>
                <c:formatCode>0.00000</c:formatCode>
                <c:ptCount val="4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0.401331670241585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2A-485C-BB97-E93B5176A243}"/>
            </c:ext>
          </c:extLst>
        </c:ser>
        <c:ser>
          <c:idx val="2"/>
          <c:order val="2"/>
          <c:tx>
            <c:strRef>
              <c:f>downstream!$F$38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921277224452904"/>
                  <c:y val="-0.127094167185936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downstream!$F$39:$F$42</c:f>
              <c:numCache>
                <c:formatCode>0.00000</c:formatCode>
                <c:ptCount val="4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6.7271555006068101E-2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2A-485C-BB97-E93B5176A243}"/>
            </c:ext>
          </c:extLst>
        </c:ser>
        <c:ser>
          <c:idx val="3"/>
          <c:order val="3"/>
          <c:tx>
            <c:strRef>
              <c:f>downstream!$G$38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downstream!$G$39:$G$42</c:f>
              <c:numCache>
                <c:formatCode>0.00000</c:formatCode>
                <c:ptCount val="4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8.1392652419518097E-2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2A-485C-BB97-E93B5176A243}"/>
            </c:ext>
          </c:extLst>
        </c:ser>
        <c:ser>
          <c:idx val="4"/>
          <c:order val="4"/>
          <c:tx>
            <c:strRef>
              <c:f>downstream!$H$38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5422989344874944E-2"/>
                  <c:y val="4.148869880473573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downstream!$H$39:$H$42</c:f>
              <c:numCache>
                <c:formatCode>0.00000</c:formatCode>
                <c:ptCount val="4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0.164652348864086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2A-485C-BB97-E93B5176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</a:t>
            </a:r>
            <a:r>
              <a:rPr lang="en-US" baseline="0"/>
              <a:t> (RFU)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downstream!$D$38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830769498183587"/>
                  <c:y val="-9.5039181253422464E-2"/>
                </c:manualLayout>
              </c:layout>
              <c:numFmt formatCode="General" sourceLinked="0"/>
              <c:spPr>
                <a:solidFill>
                  <a:schemeClr val="tx2">
                    <a:lumMod val="10000"/>
                    <a:lumOff val="9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downstream!$D$45:$D$48</c:f>
              <c:numCache>
                <c:formatCode>0.00000</c:formatCode>
                <c:ptCount val="4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0.74506131022172795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50-4D6C-9CA1-EFF481423672}"/>
            </c:ext>
          </c:extLst>
        </c:ser>
        <c:ser>
          <c:idx val="1"/>
          <c:order val="1"/>
          <c:tx>
            <c:strRef>
              <c:f>downstream!$E$38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676827827924347"/>
                  <c:y val="-0.1884352691207716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downstream!$E$45:$E$48</c:f>
              <c:numCache>
                <c:formatCode>0.00000</c:formatCode>
                <c:ptCount val="4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-0.75894808346496501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50-4D6C-9CA1-EFF481423672}"/>
            </c:ext>
          </c:extLst>
        </c:ser>
        <c:ser>
          <c:idx val="2"/>
          <c:order val="2"/>
          <c:tx>
            <c:strRef>
              <c:f>downstream!$F$38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378582020007731"/>
                  <c:y val="-0.17808450414286453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downstream!$F$45:$F$48</c:f>
              <c:numCache>
                <c:formatCode>0.00000</c:formatCode>
                <c:ptCount val="4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-0.37958282657101999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50-4D6C-9CA1-EFF481423672}"/>
            </c:ext>
          </c:extLst>
        </c:ser>
        <c:ser>
          <c:idx val="3"/>
          <c:order val="3"/>
          <c:tx>
            <c:strRef>
              <c:f>downstream!$G$38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90054685602224"/>
                  <c:y val="7.7248569735234709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downstream!$G$45:$G$48</c:f>
              <c:numCache>
                <c:formatCode>0.00000</c:formatCode>
                <c:ptCount val="4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-0.37092334927613402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250-4D6C-9CA1-EFF481423672}"/>
            </c:ext>
          </c:extLst>
        </c:ser>
        <c:ser>
          <c:idx val="4"/>
          <c:order val="4"/>
          <c:tx>
            <c:strRef>
              <c:f>downstream!$H$38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9220688155632504"/>
                  <c:y val="-9.8590323268414978E-2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downstream!$C$39:$C$42</c:f>
              <c:numCache>
                <c:formatCode>0.0000</c:formatCode>
                <c:ptCount val="4"/>
                <c:pt idx="0">
                  <c:v>9.4725974000000004E-2</c:v>
                </c:pt>
                <c:pt idx="1">
                  <c:v>0.102452336</c:v>
                </c:pt>
                <c:pt idx="2">
                  <c:v>0.110144282</c:v>
                </c:pt>
                <c:pt idx="3">
                  <c:v>9.3918104000000002E-2</c:v>
                </c:pt>
              </c:numCache>
            </c:numRef>
          </c:xVal>
          <c:yVal>
            <c:numRef>
              <c:f>downstream!$H$45:$H$48</c:f>
              <c:numCache>
                <c:formatCode>0.00000</c:formatCode>
                <c:ptCount val="4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-0.49092006249230202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250-4D6C-9CA1-EFF48142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6230352"/>
        <c:axId val="1344703008"/>
      </c:scatterChart>
      <c:valAx>
        <c:axId val="135623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tau_c50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703008"/>
        <c:crosses val="autoZero"/>
        <c:crossBetween val="midCat"/>
      </c:valAx>
      <c:valAx>
        <c:axId val="13447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3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693420</xdr:colOff>
      <xdr:row>1</xdr:row>
      <xdr:rowOff>106680</xdr:rowOff>
    </xdr:from>
    <xdr:to>
      <xdr:col>23</xdr:col>
      <xdr:colOff>769620</xdr:colOff>
      <xdr:row>13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18078-92AB-49A6-9747-BE910D3E0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678180</xdr:colOff>
      <xdr:row>13</xdr:row>
      <xdr:rowOff>175260</xdr:rowOff>
    </xdr:from>
    <xdr:to>
      <xdr:col>23</xdr:col>
      <xdr:colOff>754380</xdr:colOff>
      <xdr:row>25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E8B61-85F7-4AA3-99F3-44DA72B9C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678180</xdr:colOff>
      <xdr:row>26</xdr:row>
      <xdr:rowOff>53340</xdr:rowOff>
    </xdr:from>
    <xdr:to>
      <xdr:col>23</xdr:col>
      <xdr:colOff>754380</xdr:colOff>
      <xdr:row>38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5A4AD7-BA9A-4A02-BEDF-4950CB522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327659</xdr:colOff>
      <xdr:row>57</xdr:row>
      <xdr:rowOff>68580</xdr:rowOff>
    </xdr:from>
    <xdr:to>
      <xdr:col>2</xdr:col>
      <xdr:colOff>1188720</xdr:colOff>
      <xdr:row>71</xdr:row>
      <xdr:rowOff>134358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0A4EAE-0452-4446-8267-F80490106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618455</xdr:colOff>
      <xdr:row>38</xdr:row>
      <xdr:rowOff>133375</xdr:rowOff>
    </xdr:from>
    <xdr:to>
      <xdr:col>23</xdr:col>
      <xdr:colOff>666773</xdr:colOff>
      <xdr:row>53</xdr:row>
      <xdr:rowOff>49977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278709D-EECD-4C25-8CA4-4E3342558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1267161</xdr:colOff>
      <xdr:row>57</xdr:row>
      <xdr:rowOff>57439</xdr:rowOff>
    </xdr:from>
    <xdr:to>
      <xdr:col>6</xdr:col>
      <xdr:colOff>89759</xdr:colOff>
      <xdr:row>71</xdr:row>
      <xdr:rowOff>134358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3C7E6C-9BFA-45A4-8418-0AC79AD7A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513341</xdr:colOff>
      <xdr:row>1</xdr:row>
      <xdr:rowOff>57678</xdr:rowOff>
    </xdr:from>
    <xdr:to>
      <xdr:col>42</xdr:col>
      <xdr:colOff>84944</xdr:colOff>
      <xdr:row>13</xdr:row>
      <xdr:rowOff>57678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A433280-46F2-4CFE-BCFD-7148BDE8E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504040</xdr:colOff>
      <xdr:row>13</xdr:row>
      <xdr:rowOff>130100</xdr:rowOff>
    </xdr:from>
    <xdr:to>
      <xdr:col>42</xdr:col>
      <xdr:colOff>68023</xdr:colOff>
      <xdr:row>25</xdr:row>
      <xdr:rowOff>163718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D46AF8-5C11-4B60-B0AB-57510DEA8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925381</xdr:colOff>
      <xdr:row>1</xdr:row>
      <xdr:rowOff>94578</xdr:rowOff>
    </xdr:from>
    <xdr:to>
      <xdr:col>27</xdr:col>
      <xdr:colOff>95137</xdr:colOff>
      <xdr:row>13</xdr:row>
      <xdr:rowOff>94578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58F965B-B112-4163-B085-94EBC5E13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910141</xdr:colOff>
      <xdr:row>13</xdr:row>
      <xdr:rowOff>163158</xdr:rowOff>
    </xdr:from>
    <xdr:to>
      <xdr:col>27</xdr:col>
      <xdr:colOff>55020</xdr:colOff>
      <xdr:row>25</xdr:row>
      <xdr:rowOff>163158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6B14932-7211-4A06-BA01-C3CDF26BB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910141</xdr:colOff>
      <xdr:row>26</xdr:row>
      <xdr:rowOff>33618</xdr:rowOff>
    </xdr:from>
    <xdr:to>
      <xdr:col>27</xdr:col>
      <xdr:colOff>55020</xdr:colOff>
      <xdr:row>38</xdr:row>
      <xdr:rowOff>33618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69F64B7-7005-45AB-9C4F-D41377AEF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47</xdr:col>
      <xdr:colOff>215602</xdr:colOff>
      <xdr:row>1</xdr:row>
      <xdr:rowOff>59280</xdr:rowOff>
    </xdr:from>
    <xdr:to>
      <xdr:col>52</xdr:col>
      <xdr:colOff>441963</xdr:colOff>
      <xdr:row>13</xdr:row>
      <xdr:rowOff>59280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68E4CF-B064-4EEB-983D-14B80456F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47</xdr:col>
      <xdr:colOff>206301</xdr:colOff>
      <xdr:row>13</xdr:row>
      <xdr:rowOff>131702</xdr:rowOff>
    </xdr:from>
    <xdr:to>
      <xdr:col>52</xdr:col>
      <xdr:colOff>432662</xdr:colOff>
      <xdr:row>25</xdr:row>
      <xdr:rowOff>165320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DB80C0E-2101-4768-982A-A8CA30BEA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70822</xdr:colOff>
      <xdr:row>1</xdr:row>
      <xdr:rowOff>94578</xdr:rowOff>
    </xdr:from>
    <xdr:to>
      <xdr:col>30</xdr:col>
      <xdr:colOff>454960</xdr:colOff>
      <xdr:row>13</xdr:row>
      <xdr:rowOff>94578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A980D-71A1-46B9-A372-D3C19DD87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27</xdr:col>
      <xdr:colOff>100742</xdr:colOff>
      <xdr:row>13</xdr:row>
      <xdr:rowOff>148142</xdr:rowOff>
    </xdr:from>
    <xdr:to>
      <xdr:col>30</xdr:col>
      <xdr:colOff>467623</xdr:colOff>
      <xdr:row>25</xdr:row>
      <xdr:rowOff>148142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07124-DA7D-4152-A0E3-B3775578E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100742</xdr:colOff>
      <xdr:row>26</xdr:row>
      <xdr:rowOff>26222</xdr:rowOff>
    </xdr:from>
    <xdr:to>
      <xdr:col>30</xdr:col>
      <xdr:colOff>467623</xdr:colOff>
      <xdr:row>38</xdr:row>
      <xdr:rowOff>26222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3E75FA9-ECE7-43FA-912C-AAFCE40F9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358701</xdr:colOff>
      <xdr:row>87</xdr:row>
      <xdr:rowOff>48680</xdr:rowOff>
    </xdr:from>
    <xdr:to>
      <xdr:col>2</xdr:col>
      <xdr:colOff>1219762</xdr:colOff>
      <xdr:row>101</xdr:row>
      <xdr:rowOff>114458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C856C11-94C0-44BD-AA42-B4D04D6C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8742</xdr:colOff>
      <xdr:row>87</xdr:row>
      <xdr:rowOff>29919</xdr:rowOff>
    </xdr:from>
    <xdr:to>
      <xdr:col>6</xdr:col>
      <xdr:colOff>103880</xdr:colOff>
      <xdr:row>101</xdr:row>
      <xdr:rowOff>114458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50CE23D-5AC0-414A-94F3-4C8025A02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36</xdr:col>
      <xdr:colOff>486321</xdr:colOff>
      <xdr:row>26</xdr:row>
      <xdr:rowOff>18458</xdr:rowOff>
    </xdr:from>
    <xdr:to>
      <xdr:col>42</xdr:col>
      <xdr:colOff>57924</xdr:colOff>
      <xdr:row>38</xdr:row>
      <xdr:rowOff>53981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377AE2B-20E4-468D-A264-82FA01150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47</xdr:col>
      <xdr:colOff>220101</xdr:colOff>
      <xdr:row>26</xdr:row>
      <xdr:rowOff>18457</xdr:rowOff>
    </xdr:from>
    <xdr:to>
      <xdr:col>52</xdr:col>
      <xdr:colOff>445165</xdr:colOff>
      <xdr:row>38</xdr:row>
      <xdr:rowOff>53980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734B2FE-6651-4262-A04A-4EDDA349D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521824</xdr:colOff>
      <xdr:row>1</xdr:row>
      <xdr:rowOff>90079</xdr:rowOff>
    </xdr:from>
    <xdr:to>
      <xdr:col>20</xdr:col>
      <xdr:colOff>574349</xdr:colOff>
      <xdr:row>13</xdr:row>
      <xdr:rowOff>90079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1BF7DBD-26DA-4D70-A30C-FB7C1818D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498964</xdr:colOff>
      <xdr:row>13</xdr:row>
      <xdr:rowOff>158659</xdr:rowOff>
    </xdr:from>
    <xdr:to>
      <xdr:col>20</xdr:col>
      <xdr:colOff>551489</xdr:colOff>
      <xdr:row>25</xdr:row>
      <xdr:rowOff>158659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7A87F96-BCFE-4A90-A391-EF4DDFCA3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498964</xdr:colOff>
      <xdr:row>26</xdr:row>
      <xdr:rowOff>29119</xdr:rowOff>
    </xdr:from>
    <xdr:to>
      <xdr:col>20</xdr:col>
      <xdr:colOff>551489</xdr:colOff>
      <xdr:row>38</xdr:row>
      <xdr:rowOff>29119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9E9367A-3359-432F-AD6A-199306590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446859</xdr:colOff>
      <xdr:row>38</xdr:row>
      <xdr:rowOff>109154</xdr:rowOff>
    </xdr:from>
    <xdr:to>
      <xdr:col>20</xdr:col>
      <xdr:colOff>469597</xdr:colOff>
      <xdr:row>53</xdr:row>
      <xdr:rowOff>25756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AF9677D-BB31-45F7-97CD-ADC5D2C70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42</xdr:col>
      <xdr:colOff>180082</xdr:colOff>
      <xdr:row>1</xdr:row>
      <xdr:rowOff>59279</xdr:rowOff>
    </xdr:from>
    <xdr:to>
      <xdr:col>47</xdr:col>
      <xdr:colOff>118559</xdr:colOff>
      <xdr:row>13</xdr:row>
      <xdr:rowOff>59279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2739A8C-A1FE-4A0E-8947-D3074F92D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42</xdr:col>
      <xdr:colOff>25104</xdr:colOff>
      <xdr:row>13</xdr:row>
      <xdr:rowOff>103878</xdr:rowOff>
    </xdr:from>
    <xdr:to>
      <xdr:col>47</xdr:col>
      <xdr:colOff>58720</xdr:colOff>
      <xdr:row>25</xdr:row>
      <xdr:rowOff>139401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577D179-8DAA-40CB-95D0-A01B46CC0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298861</xdr:colOff>
      <xdr:row>72</xdr:row>
      <xdr:rowOff>48680</xdr:rowOff>
    </xdr:from>
    <xdr:to>
      <xdr:col>2</xdr:col>
      <xdr:colOff>1161043</xdr:colOff>
      <xdr:row>86</xdr:row>
      <xdr:rowOff>114458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6905C3A-B078-4328-B3B2-900B3562A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</xdr:col>
      <xdr:colOff>1238363</xdr:colOff>
      <xdr:row>72</xdr:row>
      <xdr:rowOff>29919</xdr:rowOff>
    </xdr:from>
    <xdr:to>
      <xdr:col>6</xdr:col>
      <xdr:colOff>60961</xdr:colOff>
      <xdr:row>86</xdr:row>
      <xdr:rowOff>114458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240422D-CDF3-4B1A-8705-F5C62E75C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</xdr:col>
      <xdr:colOff>177501</xdr:colOff>
      <xdr:row>57</xdr:row>
      <xdr:rowOff>46840</xdr:rowOff>
    </xdr:from>
    <xdr:to>
      <xdr:col>8</xdr:col>
      <xdr:colOff>1237579</xdr:colOff>
      <xdr:row>71</xdr:row>
      <xdr:rowOff>112618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9C2D2A5-2FB9-41E3-9966-F1B369179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</xdr:col>
      <xdr:colOff>168200</xdr:colOff>
      <xdr:row>72</xdr:row>
      <xdr:rowOff>11318</xdr:rowOff>
    </xdr:from>
    <xdr:to>
      <xdr:col>8</xdr:col>
      <xdr:colOff>1230183</xdr:colOff>
      <xdr:row>86</xdr:row>
      <xdr:rowOff>86621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9205C15-B25F-4425-AB51-E7F11F52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29920</xdr:colOff>
      <xdr:row>57</xdr:row>
      <xdr:rowOff>65377</xdr:rowOff>
    </xdr:from>
    <xdr:to>
      <xdr:col>11</xdr:col>
      <xdr:colOff>354220</xdr:colOff>
      <xdr:row>71</xdr:row>
      <xdr:rowOff>133060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183719-3B4D-4961-A4EC-15808224C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11</xdr:col>
      <xdr:colOff>432661</xdr:colOff>
      <xdr:row>57</xdr:row>
      <xdr:rowOff>56141</xdr:rowOff>
    </xdr:from>
    <xdr:to>
      <xdr:col>13</xdr:col>
      <xdr:colOff>1385161</xdr:colOff>
      <xdr:row>71</xdr:row>
      <xdr:rowOff>133060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541FFE1-D014-4892-A03D-74B1A931C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89758</xdr:colOff>
      <xdr:row>72</xdr:row>
      <xdr:rowOff>3857</xdr:rowOff>
    </xdr:from>
    <xdr:to>
      <xdr:col>11</xdr:col>
      <xdr:colOff>408343</xdr:colOff>
      <xdr:row>86</xdr:row>
      <xdr:rowOff>71540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BC10C21-7279-454A-AB19-36D54A0BF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11</xdr:col>
      <xdr:colOff>484879</xdr:colOff>
      <xdr:row>71</xdr:row>
      <xdr:rowOff>169881</xdr:rowOff>
    </xdr:from>
    <xdr:to>
      <xdr:col>13</xdr:col>
      <xdr:colOff>1437379</xdr:colOff>
      <xdr:row>86</xdr:row>
      <xdr:rowOff>71540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1D5ED31-9DEB-4822-B56E-576C6B8D0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30</xdr:col>
      <xdr:colOff>572749</xdr:colOff>
      <xdr:row>1</xdr:row>
      <xdr:rowOff>119390</xdr:rowOff>
    </xdr:from>
    <xdr:to>
      <xdr:col>36</xdr:col>
      <xdr:colOff>410100</xdr:colOff>
      <xdr:row>13</xdr:row>
      <xdr:rowOff>119390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515A78A0-4A85-485C-8177-39E748094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30</xdr:col>
      <xdr:colOff>593417</xdr:colOff>
      <xdr:row>13</xdr:row>
      <xdr:rowOff>178669</xdr:rowOff>
    </xdr:from>
    <xdr:to>
      <xdr:col>36</xdr:col>
      <xdr:colOff>425264</xdr:colOff>
      <xdr:row>25</xdr:row>
      <xdr:rowOff>178669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DCE416B8-892F-4B69-BED6-4E7246690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30</xdr:col>
      <xdr:colOff>593417</xdr:colOff>
      <xdr:row>26</xdr:row>
      <xdr:rowOff>49129</xdr:rowOff>
    </xdr:from>
    <xdr:to>
      <xdr:col>36</xdr:col>
      <xdr:colOff>425264</xdr:colOff>
      <xdr:row>38</xdr:row>
      <xdr:rowOff>49129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15B40931-849A-484A-9B21-4E188C2AA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15</xdr:col>
      <xdr:colOff>414474</xdr:colOff>
      <xdr:row>1</xdr:row>
      <xdr:rowOff>86542</xdr:rowOff>
    </xdr:from>
    <xdr:to>
      <xdr:col>17</xdr:col>
      <xdr:colOff>462373</xdr:colOff>
      <xdr:row>13</xdr:row>
      <xdr:rowOff>86542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DF415E15-DB6D-4910-94ED-34452E8A1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15</xdr:col>
      <xdr:colOff>393519</xdr:colOff>
      <xdr:row>13</xdr:row>
      <xdr:rowOff>157027</xdr:rowOff>
    </xdr:from>
    <xdr:to>
      <xdr:col>17</xdr:col>
      <xdr:colOff>435703</xdr:colOff>
      <xdr:row>25</xdr:row>
      <xdr:rowOff>157027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EAA9DD6-F6A4-4176-9BD4-575E25FB6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15</xdr:col>
      <xdr:colOff>393519</xdr:colOff>
      <xdr:row>26</xdr:row>
      <xdr:rowOff>21772</xdr:rowOff>
    </xdr:from>
    <xdr:to>
      <xdr:col>17</xdr:col>
      <xdr:colOff>435703</xdr:colOff>
      <xdr:row>38</xdr:row>
      <xdr:rowOff>21772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A9439F7-D14E-4DE3-A5EB-B875C61D3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15</xdr:col>
      <xdr:colOff>369843</xdr:colOff>
      <xdr:row>38</xdr:row>
      <xdr:rowOff>86541</xdr:rowOff>
    </xdr:from>
    <xdr:to>
      <xdr:col>17</xdr:col>
      <xdr:colOff>384145</xdr:colOff>
      <xdr:row>53</xdr:row>
      <xdr:rowOff>1238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47F40234-EAEA-42A7-AA48-121BFE627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13</xdr:col>
      <xdr:colOff>565513</xdr:colOff>
      <xdr:row>1</xdr:row>
      <xdr:rowOff>86541</xdr:rowOff>
    </xdr:from>
    <xdr:to>
      <xdr:col>15</xdr:col>
      <xdr:colOff>312422</xdr:colOff>
      <xdr:row>13</xdr:row>
      <xdr:rowOff>86541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17E40215-CAED-43DE-A354-F7646ADF2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550273</xdr:colOff>
      <xdr:row>13</xdr:row>
      <xdr:rowOff>160836</xdr:rowOff>
    </xdr:from>
    <xdr:to>
      <xdr:col>15</xdr:col>
      <xdr:colOff>291467</xdr:colOff>
      <xdr:row>25</xdr:row>
      <xdr:rowOff>160836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943DF7D2-E46A-413F-9FC3-5CD91F9AA8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13</xdr:col>
      <xdr:colOff>550273</xdr:colOff>
      <xdr:row>26</xdr:row>
      <xdr:rowOff>23676</xdr:rowOff>
    </xdr:from>
    <xdr:to>
      <xdr:col>15</xdr:col>
      <xdr:colOff>291467</xdr:colOff>
      <xdr:row>38</xdr:row>
      <xdr:rowOff>23676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93E07204-838C-4AF1-818A-0EA218D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13</xdr:col>
      <xdr:colOff>522787</xdr:colOff>
      <xdr:row>38</xdr:row>
      <xdr:rowOff>86540</xdr:rowOff>
    </xdr:from>
    <xdr:to>
      <xdr:col>15</xdr:col>
      <xdr:colOff>236099</xdr:colOff>
      <xdr:row>52</xdr:row>
      <xdr:rowOff>178402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6BA38704-7063-49B7-8AC7-3301C78E7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107298</xdr:colOff>
      <xdr:row>86</xdr:row>
      <xdr:rowOff>161883</xdr:rowOff>
    </xdr:from>
    <xdr:to>
      <xdr:col>11</xdr:col>
      <xdr:colOff>404383</xdr:colOff>
      <xdr:row>101</xdr:row>
      <xdr:rowOff>45053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8A14E424-4DD9-4497-8433-813248161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11</xdr:col>
      <xdr:colOff>480919</xdr:colOff>
      <xdr:row>86</xdr:row>
      <xdr:rowOff>130060</xdr:rowOff>
    </xdr:from>
    <xdr:to>
      <xdr:col>13</xdr:col>
      <xdr:colOff>1437229</xdr:colOff>
      <xdr:row>101</xdr:row>
      <xdr:rowOff>45053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A51B0D41-DA11-42D3-88DB-11BD9818D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13</xdr:col>
      <xdr:colOff>1485900</xdr:colOff>
      <xdr:row>57</xdr:row>
      <xdr:rowOff>83820</xdr:rowOff>
    </xdr:from>
    <xdr:to>
      <xdr:col>15</xdr:col>
      <xdr:colOff>1390218</xdr:colOff>
      <xdr:row>71</xdr:row>
      <xdr:rowOff>159058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7944CF87-13E4-47E2-94A5-77BDD458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15</xdr:col>
      <xdr:colOff>1437128</xdr:colOff>
      <xdr:row>57</xdr:row>
      <xdr:rowOff>103104</xdr:rowOff>
    </xdr:from>
    <xdr:to>
      <xdr:col>18</xdr:col>
      <xdr:colOff>849155</xdr:colOff>
      <xdr:row>72</xdr:row>
      <xdr:rowOff>19074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FAD1DCF-595C-404F-84E6-C0C545F43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13</xdr:col>
      <xdr:colOff>1524000</xdr:colOff>
      <xdr:row>72</xdr:row>
      <xdr:rowOff>83820</xdr:rowOff>
    </xdr:from>
    <xdr:to>
      <xdr:col>15</xdr:col>
      <xdr:colOff>1435938</xdr:colOff>
      <xdr:row>86</xdr:row>
      <xdr:rowOff>149533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4B1D208E-13E4-4953-95B5-BA992F358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15</xdr:col>
      <xdr:colOff>1479038</xdr:colOff>
      <xdr:row>72</xdr:row>
      <xdr:rowOff>106914</xdr:rowOff>
    </xdr:from>
    <xdr:to>
      <xdr:col>18</xdr:col>
      <xdr:colOff>889160</xdr:colOff>
      <xdr:row>87</xdr:row>
      <xdr:rowOff>28599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2C95779F-F12B-4E02-858D-E1C819DC7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11</xdr:col>
      <xdr:colOff>82732</xdr:colOff>
      <xdr:row>1</xdr:row>
      <xdr:rowOff>87630</xdr:rowOff>
    </xdr:from>
    <xdr:to>
      <xdr:col>13</xdr:col>
      <xdr:colOff>499111</xdr:colOff>
      <xdr:row>13</xdr:row>
      <xdr:rowOff>87630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32AC22F3-D9E5-414E-AE29-DFFAA7366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11</xdr:col>
      <xdr:colOff>57966</xdr:colOff>
      <xdr:row>13</xdr:row>
      <xdr:rowOff>163830</xdr:rowOff>
    </xdr:from>
    <xdr:to>
      <xdr:col>13</xdr:col>
      <xdr:colOff>474256</xdr:colOff>
      <xdr:row>25</xdr:row>
      <xdr:rowOff>163830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5A2707DA-5C4F-4BCB-8B49-B05AD853F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11</xdr:col>
      <xdr:colOff>57966</xdr:colOff>
      <xdr:row>26</xdr:row>
      <xdr:rowOff>41910</xdr:rowOff>
    </xdr:from>
    <xdr:to>
      <xdr:col>13</xdr:col>
      <xdr:colOff>474256</xdr:colOff>
      <xdr:row>38</xdr:row>
      <xdr:rowOff>41910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DA4CB93F-9690-4983-A18E-5597F6700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11</xdr:col>
      <xdr:colOff>41910</xdr:colOff>
      <xdr:row>38</xdr:row>
      <xdr:rowOff>87629</xdr:rowOff>
    </xdr:from>
    <xdr:to>
      <xdr:col>13</xdr:col>
      <xdr:colOff>422457</xdr:colOff>
      <xdr:row>53</xdr:row>
      <xdr:rowOff>4231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D0C8B1EC-5C91-44B5-ACF4-B6926BCF9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AF3D2-16E1-43BF-96ED-AF3B03FBD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6957B-150A-4093-A10B-D131D078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2D75F6-D7AC-4DAA-AFAA-2F36BC055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8F7D38-AA19-4A97-B087-8A3D01C53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3B3007-2E6B-43B8-830D-4BBB6BBC4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8C3EE6-4CF0-4405-84F1-5F0C57F09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171450</xdr:rowOff>
    </xdr:from>
    <xdr:to>
      <xdr:col>9</xdr:col>
      <xdr:colOff>571501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0BE7A3-0A3F-C080-4F65-5E6A092C8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28575</xdr:colOff>
      <xdr:row>0</xdr:row>
      <xdr:rowOff>171450</xdr:rowOff>
    </xdr:from>
    <xdr:to>
      <xdr:col>20</xdr:col>
      <xdr:colOff>38100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9D2ADF-0B7B-4E01-B97B-9DAE0ED83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57150</xdr:colOff>
      <xdr:row>0</xdr:row>
      <xdr:rowOff>161925</xdr:rowOff>
    </xdr:from>
    <xdr:to>
      <xdr:col>14</xdr:col>
      <xdr:colOff>514350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BDCDEA-98FE-49BE-9E77-078F7A604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438151</xdr:colOff>
      <xdr:row>15</xdr:row>
      <xdr:rowOff>161925</xdr:rowOff>
    </xdr:from>
    <xdr:to>
      <xdr:col>9</xdr:col>
      <xdr:colOff>552451</xdr:colOff>
      <xdr:row>29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1CEB1F-3325-4FF2-8379-02307706B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95249</xdr:colOff>
      <xdr:row>15</xdr:row>
      <xdr:rowOff>152400</xdr:rowOff>
    </xdr:from>
    <xdr:to>
      <xdr:col>16</xdr:col>
      <xdr:colOff>57150</xdr:colOff>
      <xdr:row>33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6AFAA6-4702-444B-9E40-5C403D130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123825</xdr:colOff>
      <xdr:row>15</xdr:row>
      <xdr:rowOff>161925</xdr:rowOff>
    </xdr:from>
    <xdr:to>
      <xdr:col>22</xdr:col>
      <xdr:colOff>85726</xdr:colOff>
      <xdr:row>33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C538566-D916-43C7-AB72-BF757276F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AJ97"/>
  <sheetViews>
    <sheetView tabSelected="1" zoomScale="25" zoomScaleNormal="25" workbookViewId="0">
      <selection activeCell="AQ56" sqref="AQ56"/>
    </sheetView>
  </sheetViews>
  <sheetFormatPr defaultRowHeight="15" x14ac:dyDescent="0.25"/>
  <cols>
    <col min="1" max="3" width="19.140625" customWidth="1"/>
    <col min="4" max="4" width="18.42578125" customWidth="1"/>
    <col min="5" max="5" width="18.7109375" customWidth="1"/>
    <col min="6" max="7" width="15.5703125" customWidth="1"/>
    <col min="8" max="8" width="19.7109375" customWidth="1"/>
    <col min="9" max="9" width="21.7109375" customWidth="1"/>
    <col min="10" max="10" width="26.140625" customWidth="1"/>
    <col min="11" max="11" width="20.140625" customWidth="1"/>
    <col min="12" max="12" width="13.85546875" customWidth="1"/>
    <col min="13" max="15" width="26.140625" customWidth="1"/>
    <col min="16" max="17" width="23.7109375" customWidth="1"/>
    <col min="18" max="18" width="15.5703125" customWidth="1"/>
    <col min="19" max="20" width="16" customWidth="1"/>
    <col min="21" max="21" width="13" customWidth="1"/>
    <col min="22" max="22" width="16.28515625" customWidth="1"/>
    <col min="23" max="23" width="17.7109375" customWidth="1"/>
    <col min="24" max="24" width="18.7109375" customWidth="1"/>
    <col min="25" max="25" width="12.140625" customWidth="1"/>
    <col min="26" max="27" width="14.85546875" customWidth="1"/>
    <col min="29" max="29" width="16" customWidth="1"/>
    <col min="30" max="30" width="18.42578125" customWidth="1"/>
    <col min="31" max="31" width="11.5703125" customWidth="1"/>
  </cols>
  <sheetData>
    <row r="1" spans="1:18" x14ac:dyDescent="0.25">
      <c r="A1" s="5" t="s">
        <v>26</v>
      </c>
      <c r="Q1" s="4"/>
    </row>
    <row r="2" spans="1:18" x14ac:dyDescent="0.25">
      <c r="A2" s="6" t="s">
        <v>27</v>
      </c>
      <c r="Q2" s="4"/>
    </row>
    <row r="3" spans="1:18" x14ac:dyDescent="0.25">
      <c r="A3" s="10" t="s">
        <v>12</v>
      </c>
      <c r="B3" s="10"/>
      <c r="C3" s="10"/>
      <c r="D3" s="10"/>
      <c r="E3" s="10"/>
      <c r="F3" s="10"/>
      <c r="G3" s="10"/>
      <c r="H3" s="1"/>
      <c r="I3" s="1"/>
      <c r="J3" s="1"/>
      <c r="K3" s="1"/>
      <c r="L3" s="1"/>
      <c r="M3" s="1"/>
      <c r="N3" s="1"/>
      <c r="O3" s="1"/>
      <c r="Q3" s="4"/>
      <c r="R3" s="1"/>
    </row>
    <row r="4" spans="1:18" ht="32.25" customHeight="1" x14ac:dyDescent="0.25">
      <c r="A4" s="15" t="s">
        <v>0</v>
      </c>
      <c r="B4" s="15" t="s">
        <v>23</v>
      </c>
      <c r="C4" s="15" t="s">
        <v>41</v>
      </c>
      <c r="D4" s="15" t="s">
        <v>24</v>
      </c>
      <c r="E4" s="15" t="s">
        <v>1</v>
      </c>
      <c r="F4" s="18" t="s">
        <v>33</v>
      </c>
      <c r="G4" s="15" t="s">
        <v>29</v>
      </c>
      <c r="H4" s="21" t="s">
        <v>30</v>
      </c>
      <c r="I4" s="21" t="s">
        <v>34</v>
      </c>
      <c r="J4" s="21" t="s">
        <v>31</v>
      </c>
      <c r="K4" s="18" t="s">
        <v>37</v>
      </c>
      <c r="O4" s="19"/>
      <c r="P4" s="4"/>
      <c r="Q4" s="1"/>
      <c r="R4" s="1"/>
    </row>
    <row r="5" spans="1:18" x14ac:dyDescent="0.25">
      <c r="A5" s="1" t="s">
        <v>2</v>
      </c>
      <c r="B5" s="7">
        <v>5.5990042925280497</v>
      </c>
      <c r="C5" s="7">
        <f>LOG10(B5)</f>
        <v>0.74811080045096356</v>
      </c>
      <c r="D5" s="7">
        <v>0.90356607367203301</v>
      </c>
      <c r="E5" s="7">
        <v>0.78479742735639801</v>
      </c>
      <c r="F5" s="1"/>
      <c r="G5" s="1"/>
      <c r="H5" s="12">
        <v>562.32579999999996</v>
      </c>
      <c r="I5" s="12"/>
      <c r="J5" s="12"/>
      <c r="O5" s="12"/>
      <c r="P5" s="1"/>
      <c r="Q5" s="1"/>
      <c r="R5" s="1"/>
    </row>
    <row r="6" spans="1:18" x14ac:dyDescent="0.25">
      <c r="A6" s="1" t="s">
        <v>3</v>
      </c>
      <c r="B6" s="7">
        <v>3.6150481998819401</v>
      </c>
      <c r="C6" s="7">
        <f t="shared" ref="C6:C15" si="0">LOG10(B6)</f>
        <v>0.55811409217085495</v>
      </c>
      <c r="D6" s="7">
        <v>0.84393866538764695</v>
      </c>
      <c r="E6" s="7">
        <v>0.73975142372925395</v>
      </c>
      <c r="H6" s="12">
        <v>359.22</v>
      </c>
      <c r="I6" s="1"/>
      <c r="J6" s="1"/>
      <c r="O6" s="1"/>
      <c r="P6" s="1"/>
      <c r="Q6" s="1"/>
      <c r="R6" s="1"/>
    </row>
    <row r="7" spans="1:18" x14ac:dyDescent="0.25">
      <c r="A7" s="1" t="s">
        <v>4</v>
      </c>
      <c r="B7" s="7">
        <v>2.1746388039620901</v>
      </c>
      <c r="C7" s="7">
        <f t="shared" si="0"/>
        <v>0.33738713325723541</v>
      </c>
      <c r="D7" s="7">
        <v>0.90358482744648005</v>
      </c>
      <c r="E7" s="7">
        <v>0.17369777575697301</v>
      </c>
      <c r="F7" s="11">
        <v>66.912425378311355</v>
      </c>
      <c r="G7" s="11">
        <v>64.048876322946043</v>
      </c>
      <c r="H7" s="12">
        <v>57.726100000000002</v>
      </c>
      <c r="I7" s="1">
        <v>9023.75</v>
      </c>
      <c r="J7" s="1">
        <v>9023.75</v>
      </c>
      <c r="K7" s="11">
        <v>60.588347259999999</v>
      </c>
      <c r="O7" s="1"/>
      <c r="P7" s="1"/>
      <c r="Q7" s="1"/>
      <c r="R7" s="1"/>
    </row>
    <row r="8" spans="1:18" x14ac:dyDescent="0.25">
      <c r="A8" s="1" t="s">
        <v>5</v>
      </c>
      <c r="B8" s="7">
        <v>2.2792285281778502</v>
      </c>
      <c r="C8" s="7">
        <f t="shared" si="0"/>
        <v>0.35778787215309504</v>
      </c>
      <c r="D8" s="7">
        <v>0.663434225775831</v>
      </c>
      <c r="E8" s="7">
        <v>9.9143945152060597E-2</v>
      </c>
      <c r="F8" s="11">
        <v>72.370164511034233</v>
      </c>
      <c r="G8" s="11">
        <v>69.142603119806424</v>
      </c>
      <c r="H8" s="12">
        <v>49.091801670000002</v>
      </c>
      <c r="I8" s="1">
        <v>118.5</v>
      </c>
      <c r="J8" s="1">
        <v>118.5</v>
      </c>
      <c r="K8" s="11">
        <v>73.387016439999996</v>
      </c>
      <c r="O8" s="1"/>
      <c r="P8" s="1"/>
      <c r="Q8" s="1"/>
      <c r="R8" s="1"/>
    </row>
    <row r="9" spans="1:18" x14ac:dyDescent="0.25">
      <c r="A9" s="1" t="s">
        <v>6</v>
      </c>
      <c r="B9" s="7">
        <v>1.4480475262282899</v>
      </c>
      <c r="C9" s="7">
        <f t="shared" si="0"/>
        <v>0.16078281603237832</v>
      </c>
      <c r="D9" s="7">
        <v>0.66475177086608195</v>
      </c>
      <c r="E9" s="7">
        <v>0.21234239309632399</v>
      </c>
      <c r="F9" s="11">
        <v>77.803592516854394</v>
      </c>
      <c r="G9" s="11">
        <v>69.014990506950269</v>
      </c>
      <c r="H9" s="12">
        <v>187</v>
      </c>
      <c r="I9" s="1">
        <v>2036.95</v>
      </c>
      <c r="J9" s="1">
        <v>2060.9499999999998</v>
      </c>
      <c r="K9" s="11">
        <v>79.767295559999994</v>
      </c>
      <c r="O9" s="1"/>
      <c r="P9" s="1"/>
      <c r="Q9" s="1"/>
      <c r="R9" s="1"/>
    </row>
    <row r="10" spans="1:18" x14ac:dyDescent="0.25">
      <c r="A10" s="1" t="s">
        <v>7</v>
      </c>
      <c r="B10" s="7">
        <v>1.45242884682964</v>
      </c>
      <c r="C10" s="7">
        <f t="shared" si="0"/>
        <v>0.16209486589117289</v>
      </c>
      <c r="D10" s="7">
        <v>0.238708102284336</v>
      </c>
      <c r="E10" s="7">
        <v>0.14477972148899501</v>
      </c>
      <c r="F10" s="11">
        <v>77.803592516854394</v>
      </c>
      <c r="G10" s="11">
        <v>69.014990506950269</v>
      </c>
      <c r="H10" s="12">
        <v>105.55555560000001</v>
      </c>
      <c r="I10" s="1">
        <v>2036.95</v>
      </c>
      <c r="J10" s="1">
        <v>2060.9499999999998</v>
      </c>
      <c r="K10" s="11">
        <v>79.767295559999994</v>
      </c>
      <c r="O10" s="1"/>
      <c r="P10" s="1"/>
      <c r="Q10" s="1"/>
      <c r="R10" s="1"/>
    </row>
    <row r="11" spans="1:18" x14ac:dyDescent="0.25">
      <c r="A11" s="1" t="s">
        <v>20</v>
      </c>
      <c r="B11" s="3"/>
      <c r="C11" s="23"/>
      <c r="D11" s="3"/>
      <c r="E11" s="3"/>
      <c r="F11" s="11"/>
      <c r="H11" s="12">
        <v>76.153846150000007</v>
      </c>
      <c r="I11" s="1">
        <v>365</v>
      </c>
      <c r="J11" s="1"/>
      <c r="K11" s="11"/>
      <c r="O11" s="1"/>
      <c r="P11" s="1"/>
      <c r="Q11" s="1"/>
      <c r="R11" s="1"/>
    </row>
    <row r="12" spans="1:18" x14ac:dyDescent="0.25">
      <c r="A12" s="1" t="s">
        <v>8</v>
      </c>
      <c r="B12" s="7">
        <v>1.48474411958353</v>
      </c>
      <c r="C12" s="7">
        <f t="shared" si="0"/>
        <v>0.1716516139036095</v>
      </c>
      <c r="D12" s="7">
        <v>0.55431906321323399</v>
      </c>
      <c r="E12" s="7">
        <v>0.36516163611226798</v>
      </c>
      <c r="F12" s="11"/>
      <c r="H12" s="12">
        <v>43.2</v>
      </c>
      <c r="I12" s="1">
        <v>365</v>
      </c>
      <c r="J12" s="1"/>
      <c r="K12" s="11"/>
      <c r="O12" s="1"/>
      <c r="P12" s="1"/>
      <c r="Q12" s="1"/>
      <c r="R12" s="1"/>
    </row>
    <row r="13" spans="1:18" x14ac:dyDescent="0.25">
      <c r="A13" s="1" t="s">
        <v>9</v>
      </c>
      <c r="B13" s="7">
        <v>1.6588389001163999</v>
      </c>
      <c r="C13" s="7">
        <f t="shared" si="0"/>
        <v>0.21980421110710638</v>
      </c>
      <c r="D13" s="7">
        <v>0.49497785634638802</v>
      </c>
      <c r="E13" s="7">
        <v>4.1333778886518201E-2</v>
      </c>
      <c r="F13" s="11"/>
      <c r="H13" s="12">
        <v>77.894736839999993</v>
      </c>
      <c r="I13" s="1">
        <v>351.5</v>
      </c>
      <c r="J13" s="1"/>
      <c r="K13" s="11"/>
      <c r="O13" s="1"/>
      <c r="P13" s="1"/>
      <c r="Q13" s="1"/>
      <c r="R13" s="1"/>
    </row>
    <row r="14" spans="1:18" x14ac:dyDescent="0.25">
      <c r="A14" s="1" t="s">
        <v>10</v>
      </c>
      <c r="B14" s="8">
        <v>0.665445371933445</v>
      </c>
      <c r="C14" s="8">
        <f t="shared" si="0"/>
        <v>-0.17688759104076174</v>
      </c>
      <c r="D14" s="8">
        <v>-1.0305451800868599</v>
      </c>
      <c r="E14" s="8">
        <v>-4.1760232547360499E-2</v>
      </c>
      <c r="F14" s="11">
        <v>66.341763171136677</v>
      </c>
      <c r="G14" s="11">
        <v>64.242932047955975</v>
      </c>
      <c r="H14" s="12">
        <v>37.6</v>
      </c>
      <c r="I14" s="1">
        <v>413.75</v>
      </c>
      <c r="J14" s="1">
        <v>1130.25</v>
      </c>
      <c r="K14" s="11">
        <v>67.505054000000001</v>
      </c>
      <c r="O14" s="1"/>
      <c r="P14" s="1"/>
      <c r="Q14" s="1"/>
      <c r="R14" s="1"/>
    </row>
    <row r="15" spans="1:18" x14ac:dyDescent="0.25">
      <c r="A15" s="1" t="s">
        <v>11</v>
      </c>
      <c r="B15" s="8">
        <v>0.84619083652769</v>
      </c>
      <c r="C15" s="8">
        <f t="shared" si="0"/>
        <v>-7.2531681991024291E-2</v>
      </c>
      <c r="D15" s="8">
        <v>-0.57708462423306806</v>
      </c>
      <c r="E15" s="8">
        <v>-7.8588218215967606E-2</v>
      </c>
      <c r="F15" s="11">
        <v>66.341763171136677</v>
      </c>
      <c r="G15" s="11">
        <v>64.242932047955975</v>
      </c>
      <c r="H15" s="12">
        <v>30.76923077</v>
      </c>
      <c r="I15" s="1">
        <v>413.75</v>
      </c>
      <c r="J15" s="1">
        <v>1130.25</v>
      </c>
      <c r="K15" s="11">
        <v>67.505054000000001</v>
      </c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9"/>
      <c r="G16" s="9"/>
      <c r="H16" s="9"/>
      <c r="I16" s="9"/>
      <c r="J16" s="9"/>
      <c r="K16" s="9"/>
      <c r="L16" s="9"/>
      <c r="M16" s="9"/>
      <c r="N16" s="9"/>
      <c r="O16" s="9"/>
      <c r="P16" s="1"/>
      <c r="Q16" s="1"/>
      <c r="R16" s="1"/>
    </row>
    <row r="17" spans="1:18" x14ac:dyDescent="0.25">
      <c r="A17" s="10" t="s">
        <v>17</v>
      </c>
      <c r="B17" s="10"/>
      <c r="C17" s="10"/>
      <c r="D17" s="10"/>
      <c r="E17" s="10"/>
      <c r="F17" s="10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30" x14ac:dyDescent="0.25">
      <c r="A18" s="13" t="s">
        <v>0</v>
      </c>
      <c r="B18" s="15" t="s">
        <v>23</v>
      </c>
      <c r="C18" s="15" t="s">
        <v>41</v>
      </c>
      <c r="D18" s="15" t="s">
        <v>24</v>
      </c>
      <c r="E18" s="15" t="s">
        <v>1</v>
      </c>
      <c r="F18" s="18" t="s">
        <v>33</v>
      </c>
      <c r="G18" s="15" t="s">
        <v>29</v>
      </c>
      <c r="H18" s="17" t="s">
        <v>30</v>
      </c>
      <c r="I18" s="15" t="s">
        <v>32</v>
      </c>
      <c r="J18" s="22" t="s">
        <v>36</v>
      </c>
      <c r="K18" s="22" t="s">
        <v>35</v>
      </c>
      <c r="L18" s="20"/>
      <c r="M18" s="20"/>
      <c r="N18" s="20"/>
      <c r="O18" s="20"/>
      <c r="P18" s="1"/>
      <c r="Q18" s="1"/>
      <c r="R18" s="1"/>
    </row>
    <row r="19" spans="1:18" x14ac:dyDescent="0.25">
      <c r="A19" s="1" t="s">
        <v>2</v>
      </c>
      <c r="B19" s="8">
        <v>0.72480501026157895</v>
      </c>
      <c r="C19" s="8">
        <f>LOG10(B19)</f>
        <v>-0.13977881323213187</v>
      </c>
      <c r="D19" s="8">
        <v>-0.53321285069034396</v>
      </c>
      <c r="E19" s="8">
        <v>-0.69015600278604705</v>
      </c>
      <c r="F19" s="1"/>
      <c r="G19" s="1"/>
      <c r="H19" s="12">
        <v>13.39</v>
      </c>
      <c r="I19" s="11">
        <v>133.4714286</v>
      </c>
      <c r="J19" s="1"/>
      <c r="K19" s="1"/>
      <c r="L19" s="1"/>
      <c r="M19" s="1"/>
      <c r="N19" s="1"/>
      <c r="O19" s="1"/>
      <c r="Q19" s="1"/>
      <c r="R19" s="1"/>
    </row>
    <row r="20" spans="1:18" x14ac:dyDescent="0.25">
      <c r="A20" s="1" t="s">
        <v>3</v>
      </c>
      <c r="B20" s="8">
        <v>0.72236032128579997</v>
      </c>
      <c r="C20" s="8">
        <f t="shared" ref="C20:C29" si="1">LOG10(B20)</f>
        <v>-0.14124611751168054</v>
      </c>
      <c r="D20" s="8">
        <v>-0.54415401279001296</v>
      </c>
      <c r="E20" s="8">
        <v>-0.77189783394192801</v>
      </c>
      <c r="F20" s="1"/>
      <c r="G20" s="1"/>
      <c r="H20" s="12">
        <v>13.108000000000001</v>
      </c>
      <c r="I20" s="11">
        <v>133.4714286</v>
      </c>
      <c r="J20" s="1"/>
      <c r="K20" s="1"/>
      <c r="L20" s="1"/>
      <c r="N20" s="1"/>
      <c r="O20" s="1"/>
      <c r="Q20" s="1"/>
      <c r="R20" s="1"/>
    </row>
    <row r="21" spans="1:18" x14ac:dyDescent="0.25">
      <c r="A21" s="1" t="s">
        <v>4</v>
      </c>
      <c r="B21" s="8">
        <v>0.93103098270545204</v>
      </c>
      <c r="C21" s="8">
        <f t="shared" si="1"/>
        <v>-3.1035866393391235E-2</v>
      </c>
      <c r="D21" s="8">
        <v>0.356634245125801</v>
      </c>
      <c r="E21" s="8">
        <v>1.7836570943256701E-2</v>
      </c>
      <c r="F21" s="11">
        <v>66.912425378311355</v>
      </c>
      <c r="G21" s="11">
        <v>64.048876322946043</v>
      </c>
      <c r="H21" s="12">
        <v>8.6910000000000007</v>
      </c>
      <c r="I21" s="11">
        <v>71.117321599999997</v>
      </c>
      <c r="J21" s="11">
        <f t="shared" ref="J21:J29" si="2">I21/F21</f>
        <v>1.0628417845850735</v>
      </c>
      <c r="K21" s="11">
        <f>I21/K7</f>
        <v>1.1737788669959504</v>
      </c>
      <c r="L21" s="11"/>
      <c r="N21" s="11"/>
      <c r="O21" s="11"/>
      <c r="P21" s="11"/>
      <c r="Q21" s="1"/>
      <c r="R21" s="1"/>
    </row>
    <row r="22" spans="1:18" x14ac:dyDescent="0.25">
      <c r="A22" s="1" t="s">
        <v>5</v>
      </c>
      <c r="B22" s="8">
        <v>0.62021758140125105</v>
      </c>
      <c r="C22" s="8">
        <f t="shared" si="1"/>
        <v>-0.20745592691306838</v>
      </c>
      <c r="D22" s="8">
        <v>-0.834312574960141</v>
      </c>
      <c r="E22" s="8">
        <v>-0.54160608613664096</v>
      </c>
      <c r="F22" s="11">
        <v>72.370164511034233</v>
      </c>
      <c r="G22" s="11">
        <v>69.142603119806424</v>
      </c>
      <c r="H22" s="12">
        <v>8.4209999999999994</v>
      </c>
      <c r="I22" s="11">
        <v>74.728308609999999</v>
      </c>
      <c r="J22" s="11">
        <f t="shared" si="2"/>
        <v>1.0325844789064453</v>
      </c>
      <c r="K22" s="11">
        <f t="shared" ref="K22:K29" si="3">I22/K8</f>
        <v>1.0182769682576838</v>
      </c>
      <c r="L22" s="11"/>
      <c r="N22" s="11"/>
      <c r="O22" s="11"/>
      <c r="Q22" s="1"/>
      <c r="R22" s="1"/>
    </row>
    <row r="23" spans="1:18" x14ac:dyDescent="0.25">
      <c r="A23" s="1" t="s">
        <v>6</v>
      </c>
      <c r="B23" s="8">
        <v>0.77501210984665403</v>
      </c>
      <c r="C23" s="8">
        <f t="shared" si="1"/>
        <v>-0.11069151143112253</v>
      </c>
      <c r="D23" s="8">
        <v>-0.908415578463458</v>
      </c>
      <c r="E23" s="8">
        <v>-0.17637365181995501</v>
      </c>
      <c r="F23" s="11">
        <v>77.803592516854394</v>
      </c>
      <c r="G23" s="11">
        <v>69.014990506950269</v>
      </c>
      <c r="H23" s="12">
        <v>5.15</v>
      </c>
      <c r="I23" s="11">
        <v>79.767295559999994</v>
      </c>
      <c r="J23" s="11">
        <f t="shared" si="2"/>
        <v>1.025239233557502</v>
      </c>
      <c r="K23" s="11">
        <f t="shared" si="3"/>
        <v>1</v>
      </c>
      <c r="L23" s="11"/>
      <c r="N23" s="11"/>
      <c r="O23" s="11"/>
      <c r="P23" s="11"/>
      <c r="Q23" s="1"/>
      <c r="R23" s="1"/>
    </row>
    <row r="24" spans="1:18" x14ac:dyDescent="0.25">
      <c r="A24" s="1" t="s">
        <v>7</v>
      </c>
      <c r="B24" s="7">
        <v>1.0770799229366299</v>
      </c>
      <c r="C24" s="7">
        <f t="shared" si="1"/>
        <v>3.2247930598373005E-2</v>
      </c>
      <c r="D24" s="7">
        <v>0.64255712913469198</v>
      </c>
      <c r="E24" s="7">
        <v>0.41389016217674901</v>
      </c>
      <c r="F24" s="11">
        <v>77.803592516854394</v>
      </c>
      <c r="G24" s="11">
        <v>69.014990506950269</v>
      </c>
      <c r="H24" s="12">
        <v>8.5760000000000005</v>
      </c>
      <c r="I24" s="11">
        <v>79.767295559999994</v>
      </c>
      <c r="J24" s="11">
        <f t="shared" si="2"/>
        <v>1.025239233557502</v>
      </c>
      <c r="K24" s="11">
        <f>I24/K10</f>
        <v>1</v>
      </c>
      <c r="L24" s="11"/>
      <c r="N24" s="11"/>
      <c r="O24" s="11"/>
      <c r="P24" s="1"/>
      <c r="Q24" s="1"/>
      <c r="R24" s="1"/>
    </row>
    <row r="25" spans="1:18" x14ac:dyDescent="0.25">
      <c r="A25" s="1" t="s">
        <v>20</v>
      </c>
      <c r="B25" s="3"/>
      <c r="C25" s="24"/>
      <c r="E25" s="3"/>
      <c r="F25" s="11"/>
      <c r="H25" s="12">
        <v>4.4729999999999999</v>
      </c>
      <c r="I25" s="11">
        <v>68.631809730000001</v>
      </c>
      <c r="J25" s="11"/>
      <c r="K25" s="11"/>
      <c r="L25" s="11"/>
      <c r="N25" s="11"/>
      <c r="O25" s="11"/>
      <c r="P25" s="1"/>
      <c r="Q25" s="1"/>
      <c r="R25" s="1"/>
    </row>
    <row r="26" spans="1:18" x14ac:dyDescent="0.25">
      <c r="A26" s="1" t="s">
        <v>8</v>
      </c>
      <c r="B26" s="7">
        <v>1.69896635753922</v>
      </c>
      <c r="C26" s="8">
        <f t="shared" si="1"/>
        <v>0.23018477917526556</v>
      </c>
      <c r="D26" s="7">
        <v>1.0004694412552899</v>
      </c>
      <c r="E26" s="7">
        <v>0.39449354239977702</v>
      </c>
      <c r="F26" s="11"/>
      <c r="H26" s="12">
        <v>9.9</v>
      </c>
      <c r="I26" s="11">
        <v>68.631809730000001</v>
      </c>
      <c r="J26" s="11"/>
      <c r="K26" s="11"/>
      <c r="L26" s="11"/>
      <c r="N26" s="11"/>
      <c r="O26" s="11"/>
      <c r="P26" s="1"/>
      <c r="Q26" s="1"/>
      <c r="R26" s="1"/>
    </row>
    <row r="27" spans="1:18" x14ac:dyDescent="0.25">
      <c r="A27" s="1" t="s">
        <v>9</v>
      </c>
      <c r="B27" s="7">
        <v>0.68980819676752303</v>
      </c>
      <c r="C27" s="8">
        <f t="shared" si="1"/>
        <v>-0.16127164935721236</v>
      </c>
      <c r="D27" s="8">
        <v>-0.62247408500113799</v>
      </c>
      <c r="E27" s="8">
        <v>-0.17371472956907899</v>
      </c>
      <c r="F27" s="11"/>
      <c r="H27" s="12">
        <v>4.2779999999999996</v>
      </c>
      <c r="I27" s="11">
        <v>69.696396059999998</v>
      </c>
      <c r="J27" s="11"/>
      <c r="K27" s="11"/>
      <c r="L27" s="11"/>
      <c r="M27" s="11"/>
      <c r="N27" s="11"/>
      <c r="O27" s="11"/>
      <c r="P27" s="1"/>
      <c r="Q27" s="1"/>
      <c r="R27" s="1"/>
    </row>
    <row r="28" spans="1:18" x14ac:dyDescent="0.25">
      <c r="A28" s="1" t="s">
        <v>10</v>
      </c>
      <c r="B28" s="8">
        <v>0.66267278810022201</v>
      </c>
      <c r="C28" s="8">
        <f t="shared" si="1"/>
        <v>-0.17870086284870682</v>
      </c>
      <c r="D28" s="8">
        <v>-1.0273129897173701</v>
      </c>
      <c r="E28" s="8">
        <v>-4.74716361793363E-2</v>
      </c>
      <c r="F28" s="11">
        <v>66.341763171136677</v>
      </c>
      <c r="G28" s="11">
        <v>64.242932047955975</v>
      </c>
      <c r="H28" s="12">
        <v>5.4009999999999998</v>
      </c>
      <c r="I28" s="11">
        <v>70.569593760000004</v>
      </c>
      <c r="J28" s="11">
        <f t="shared" si="2"/>
        <v>1.063728040781146</v>
      </c>
      <c r="K28" s="11">
        <f t="shared" si="3"/>
        <v>1.045397189964473</v>
      </c>
      <c r="L28" s="11"/>
      <c r="M28" s="11"/>
      <c r="N28" s="11"/>
      <c r="O28" s="11"/>
      <c r="P28" s="1"/>
      <c r="Q28" s="1"/>
      <c r="R28" s="1"/>
    </row>
    <row r="29" spans="1:18" x14ac:dyDescent="0.25">
      <c r="A29" s="1" t="s">
        <v>11</v>
      </c>
      <c r="B29" s="7">
        <v>1.6537701478523501</v>
      </c>
      <c r="C29" s="7">
        <f t="shared" si="1"/>
        <v>0.21847514822975025</v>
      </c>
      <c r="D29" s="7">
        <v>0.384403035464087</v>
      </c>
      <c r="E29" s="7">
        <v>5.9760012226563401E-2</v>
      </c>
      <c r="F29" s="11">
        <v>66.341763171136677</v>
      </c>
      <c r="G29" s="11">
        <v>64.242932047955975</v>
      </c>
      <c r="H29" s="12">
        <v>8.7050000000000001</v>
      </c>
      <c r="I29" s="11">
        <v>70.569593760000004</v>
      </c>
      <c r="J29" s="11">
        <f t="shared" si="2"/>
        <v>1.063728040781146</v>
      </c>
      <c r="K29" s="11">
        <f t="shared" si="3"/>
        <v>1.045397189964473</v>
      </c>
      <c r="L29" s="11"/>
      <c r="M29" s="11"/>
      <c r="N29" s="11"/>
      <c r="O29" s="11"/>
      <c r="P29" s="1"/>
      <c r="Q29" s="1"/>
      <c r="R29" s="1"/>
    </row>
    <row r="30" spans="1:18" x14ac:dyDescent="0.25">
      <c r="A30" s="1"/>
      <c r="B30" s="16"/>
      <c r="C30" s="16"/>
      <c r="D30" s="1"/>
      <c r="E30" s="1"/>
      <c r="F30" s="1"/>
      <c r="G30" s="1"/>
      <c r="H30" s="1"/>
      <c r="I30" s="1"/>
      <c r="J30" s="11"/>
      <c r="K30" s="11"/>
      <c r="L30" s="11"/>
      <c r="M30" s="11"/>
      <c r="N30" s="11"/>
      <c r="O30" s="11"/>
      <c r="P30" s="1"/>
      <c r="Q30" s="1"/>
      <c r="R30" s="1"/>
    </row>
    <row r="31" spans="1:18" x14ac:dyDescent="0.25">
      <c r="A31" s="14" t="s">
        <v>16</v>
      </c>
      <c r="B31" s="14"/>
      <c r="C31" s="14"/>
      <c r="D31" s="14"/>
      <c r="E31" s="14"/>
      <c r="F31" s="14"/>
      <c r="G31" s="1"/>
      <c r="H31" s="1"/>
      <c r="I31" s="1"/>
      <c r="J31" s="25"/>
      <c r="K31" s="25"/>
      <c r="L31" s="1"/>
      <c r="M31" s="1"/>
      <c r="N31" s="1"/>
      <c r="O31" s="1"/>
      <c r="P31" s="1"/>
      <c r="Q31" s="1"/>
      <c r="R31" s="1"/>
    </row>
    <row r="32" spans="1:18" ht="30" x14ac:dyDescent="0.25">
      <c r="A32" s="15" t="s">
        <v>0</v>
      </c>
      <c r="B32" s="15" t="s">
        <v>23</v>
      </c>
      <c r="C32" s="15" t="s">
        <v>41</v>
      </c>
      <c r="D32" s="15" t="s">
        <v>24</v>
      </c>
      <c r="E32" s="15" t="s">
        <v>1</v>
      </c>
      <c r="F32" s="18" t="s">
        <v>33</v>
      </c>
      <c r="G32" s="13" t="s">
        <v>29</v>
      </c>
      <c r="H32" s="17" t="s">
        <v>30</v>
      </c>
      <c r="I32" s="18" t="s">
        <v>38</v>
      </c>
      <c r="J32" s="18" t="s">
        <v>39</v>
      </c>
      <c r="K32" s="18" t="s">
        <v>40</v>
      </c>
      <c r="L32" s="1"/>
      <c r="M32" s="1"/>
      <c r="N32" s="1"/>
      <c r="O32" s="1"/>
      <c r="P32" s="1"/>
      <c r="Q32" s="1"/>
      <c r="R32" s="1"/>
    </row>
    <row r="33" spans="1:36" x14ac:dyDescent="0.25">
      <c r="A33" s="1" t="s">
        <v>2</v>
      </c>
      <c r="B33" s="7">
        <v>3.62123713456148</v>
      </c>
      <c r="C33" s="7">
        <f>LOG10(B33)</f>
        <v>0.55885696526424988</v>
      </c>
      <c r="D33" s="7">
        <v>0.87884003043687597</v>
      </c>
      <c r="E33" s="7">
        <v>0.735611704001494</v>
      </c>
      <c r="F33" s="1"/>
      <c r="G33" s="1"/>
      <c r="H33" s="11">
        <v>51.66</v>
      </c>
      <c r="I33" s="12"/>
      <c r="J33" s="12"/>
      <c r="L33" s="1"/>
      <c r="M33" s="1"/>
      <c r="N33" s="1"/>
      <c r="O33" s="1"/>
      <c r="P33" s="1"/>
      <c r="Q33" s="1"/>
      <c r="R33" s="1"/>
    </row>
    <row r="34" spans="1:36" x14ac:dyDescent="0.25">
      <c r="A34" s="1" t="s">
        <v>3</v>
      </c>
      <c r="B34" s="7">
        <v>3.1649110765038402</v>
      </c>
      <c r="C34" s="7">
        <f t="shared" ref="C34:C43" si="4">LOG10(B34)</f>
        <v>0.50036151229137671</v>
      </c>
      <c r="D34" s="7">
        <v>0.89370073497006797</v>
      </c>
      <c r="E34" s="7">
        <v>0.76773815613843199</v>
      </c>
      <c r="F34" s="1"/>
      <c r="G34" s="1"/>
      <c r="H34" s="11">
        <v>41.27935076</v>
      </c>
      <c r="I34" s="1"/>
      <c r="J34" s="1"/>
      <c r="L34" s="1"/>
      <c r="M34" s="1"/>
      <c r="N34" s="1"/>
      <c r="O34" s="1"/>
      <c r="P34" s="1"/>
      <c r="Q34" s="1"/>
      <c r="R34" s="1"/>
    </row>
    <row r="35" spans="1:36" x14ac:dyDescent="0.25">
      <c r="A35" s="1" t="s">
        <v>4</v>
      </c>
      <c r="B35" s="7">
        <v>1.5737102771314899</v>
      </c>
      <c r="C35" s="7">
        <f t="shared" si="4"/>
        <v>0.19692478099339403</v>
      </c>
      <c r="D35" s="7">
        <v>0.86635228697468503</v>
      </c>
      <c r="E35" s="7">
        <v>0.199680501000808</v>
      </c>
      <c r="F35" s="11">
        <v>66.912425378311355</v>
      </c>
      <c r="G35" s="11">
        <v>64.048876322946043</v>
      </c>
      <c r="H35" s="11">
        <v>6.7843516800000003</v>
      </c>
      <c r="I35" s="12">
        <v>4</v>
      </c>
      <c r="J35" s="12">
        <v>28.480729852499898</v>
      </c>
      <c r="K35" s="11">
        <v>0.30708458237534503</v>
      </c>
      <c r="L35" s="9"/>
      <c r="M35" s="9"/>
      <c r="N35" s="9"/>
      <c r="O35" s="9"/>
      <c r="P35" s="1"/>
      <c r="Q35" s="1"/>
      <c r="R35" s="1"/>
    </row>
    <row r="36" spans="1:36" x14ac:dyDescent="0.25">
      <c r="A36" s="1" t="s">
        <v>5</v>
      </c>
      <c r="B36" s="7">
        <v>1.50347635019633</v>
      </c>
      <c r="C36" s="7">
        <f t="shared" si="4"/>
        <v>0.17709660100320529</v>
      </c>
      <c r="D36" s="7">
        <v>0.96614890517595997</v>
      </c>
      <c r="E36" s="7">
        <v>0.12535086320927399</v>
      </c>
      <c r="F36" s="11">
        <v>72.370164511034233</v>
      </c>
      <c r="G36" s="11">
        <v>69.142603119806424</v>
      </c>
      <c r="H36" s="11">
        <v>5.3650916630000003</v>
      </c>
      <c r="I36" s="12">
        <v>1.1385255280790201</v>
      </c>
      <c r="J36" s="12">
        <v>0.666171575153233</v>
      </c>
      <c r="K36" s="11">
        <v>0.49664162355941199</v>
      </c>
      <c r="L36" s="9"/>
      <c r="M36" s="9"/>
      <c r="N36" s="9"/>
      <c r="O36" s="9"/>
      <c r="P36" s="1"/>
      <c r="Q36" s="1"/>
      <c r="R36" s="1"/>
    </row>
    <row r="37" spans="1:36" x14ac:dyDescent="0.25">
      <c r="A37" s="1" t="s">
        <v>6</v>
      </c>
      <c r="B37" s="7">
        <v>1.46809780024647</v>
      </c>
      <c r="C37" s="7">
        <f t="shared" si="4"/>
        <v>0.16675498793195284</v>
      </c>
      <c r="D37" s="7">
        <v>0.61110995616383801</v>
      </c>
      <c r="E37" s="7">
        <v>0.42964915677977999</v>
      </c>
      <c r="F37" s="11">
        <v>77.803592516854394</v>
      </c>
      <c r="G37" s="11">
        <v>69.014990506950269</v>
      </c>
      <c r="H37" s="11">
        <v>29.943162610000002</v>
      </c>
      <c r="I37" s="12">
        <v>0</v>
      </c>
      <c r="J37" s="12">
        <v>0</v>
      </c>
      <c r="K37" s="11"/>
      <c r="L37" s="9"/>
      <c r="M37" s="9"/>
      <c r="N37" s="9"/>
      <c r="O37" s="9"/>
      <c r="P37" s="1"/>
      <c r="Q37" s="1"/>
      <c r="R37" s="1"/>
    </row>
    <row r="38" spans="1:36" x14ac:dyDescent="0.25">
      <c r="A38" s="1" t="s">
        <v>7</v>
      </c>
      <c r="B38" s="7">
        <v>1.29322320004102</v>
      </c>
      <c r="C38" s="7">
        <f t="shared" si="4"/>
        <v>0.11167348712372607</v>
      </c>
      <c r="D38" s="7">
        <v>0.43470959470339599</v>
      </c>
      <c r="E38" s="7">
        <v>0.36758406997509402</v>
      </c>
      <c r="F38" s="11">
        <v>77.803592516854394</v>
      </c>
      <c r="G38" s="11">
        <v>69.014990506950269</v>
      </c>
      <c r="H38" s="11">
        <v>13.904999999999999</v>
      </c>
      <c r="I38" s="12">
        <v>0</v>
      </c>
      <c r="J38" s="12">
        <v>0</v>
      </c>
      <c r="K38" s="11"/>
      <c r="L38" s="9"/>
      <c r="M38" s="9"/>
      <c r="N38" s="9"/>
      <c r="O38" s="9"/>
      <c r="P38" s="1"/>
      <c r="Q38" s="1"/>
      <c r="R38" s="1"/>
    </row>
    <row r="39" spans="1:36" x14ac:dyDescent="0.25">
      <c r="A39" s="1" t="s">
        <v>20</v>
      </c>
      <c r="B39" s="3"/>
      <c r="C39" s="24"/>
      <c r="D39" s="3"/>
      <c r="E39" s="3"/>
      <c r="F39" s="11"/>
      <c r="H39" s="11">
        <v>7.7779999999999996</v>
      </c>
      <c r="I39" s="12"/>
      <c r="J39" s="12"/>
      <c r="K39" s="11"/>
      <c r="L39" s="9"/>
      <c r="M39" s="9"/>
      <c r="N39" s="9"/>
      <c r="O39" s="9"/>
      <c r="P39" s="1"/>
      <c r="Q39" s="1"/>
      <c r="R39" s="1"/>
    </row>
    <row r="40" spans="1:36" x14ac:dyDescent="0.25">
      <c r="A40" s="1" t="s">
        <v>8</v>
      </c>
      <c r="B40" s="7">
        <v>1.2870368477726899</v>
      </c>
      <c r="C40" s="7">
        <f t="shared" si="4"/>
        <v>0.10959098090226406</v>
      </c>
      <c r="D40" s="7">
        <v>0.29324836284144801</v>
      </c>
      <c r="E40" s="7">
        <v>4.3375577562074601E-2</v>
      </c>
      <c r="F40" s="11"/>
      <c r="H40" s="11">
        <v>5.5549999999999997</v>
      </c>
      <c r="I40" s="12"/>
      <c r="J40" s="12"/>
      <c r="K40" s="11"/>
      <c r="L40" s="9"/>
      <c r="M40" s="9"/>
      <c r="N40" s="9"/>
      <c r="O40" s="9"/>
      <c r="P40" s="1"/>
      <c r="Q40" s="1"/>
      <c r="R40" s="1"/>
    </row>
    <row r="41" spans="1:36" x14ac:dyDescent="0.25">
      <c r="A41" s="1" t="s">
        <v>9</v>
      </c>
      <c r="B41" s="7">
        <v>1.3490789487664501</v>
      </c>
      <c r="C41" s="7">
        <f t="shared" si="4"/>
        <v>0.13003736554318393</v>
      </c>
      <c r="D41" s="7">
        <v>0.20911471061197601</v>
      </c>
      <c r="E41" s="7">
        <v>4.5262412029273197E-2</v>
      </c>
      <c r="F41" s="11"/>
      <c r="H41" s="11">
        <v>12.67</v>
      </c>
      <c r="I41" s="12"/>
      <c r="J41" s="12"/>
      <c r="K41" s="11"/>
      <c r="L41" s="9"/>
      <c r="M41" s="9"/>
      <c r="N41" s="9"/>
      <c r="O41" s="9"/>
      <c r="P41" s="1"/>
      <c r="Q41" s="1"/>
      <c r="R41" s="1"/>
    </row>
    <row r="42" spans="1:36" x14ac:dyDescent="0.25">
      <c r="A42" s="1" t="s">
        <v>10</v>
      </c>
      <c r="B42" s="8">
        <v>0.56520265738304298</v>
      </c>
      <c r="C42" s="8">
        <f t="shared" si="4"/>
        <v>-0.24779580491958866</v>
      </c>
      <c r="D42" s="8">
        <v>-1.0275595596207601</v>
      </c>
      <c r="E42" s="8">
        <v>-6.6277814143714905E-2</v>
      </c>
      <c r="F42" s="11">
        <v>66.341763171136677</v>
      </c>
      <c r="G42" s="11">
        <v>64.242932047955975</v>
      </c>
      <c r="H42" s="11">
        <v>5.3390000000000004</v>
      </c>
      <c r="I42" s="12">
        <v>4.5222851684946201</v>
      </c>
      <c r="J42" s="12">
        <v>5.7971200506894904</v>
      </c>
      <c r="K42" s="11">
        <v>-0.27417249103342101</v>
      </c>
      <c r="L42" s="9"/>
      <c r="M42" s="9"/>
      <c r="N42" s="9"/>
      <c r="O42" s="9"/>
      <c r="P42" s="1"/>
      <c r="Q42" s="1"/>
      <c r="R42" s="1"/>
    </row>
    <row r="43" spans="1:36" x14ac:dyDescent="0.25">
      <c r="A43" s="1" t="s">
        <v>11</v>
      </c>
      <c r="B43" s="8">
        <v>0.82233612818652901</v>
      </c>
      <c r="C43" s="8">
        <f t="shared" si="4"/>
        <v>-8.4950629201643507E-2</v>
      </c>
      <c r="D43" s="8">
        <v>-0.50591021290758598</v>
      </c>
      <c r="E43" s="8">
        <v>-0.161754895727207</v>
      </c>
      <c r="F43" s="11">
        <v>66.341763171136677</v>
      </c>
      <c r="G43" s="11">
        <v>64.242932047955975</v>
      </c>
      <c r="H43" s="11">
        <v>5.1369999999999996</v>
      </c>
      <c r="I43" s="12">
        <v>4.5222851684946201</v>
      </c>
      <c r="J43" s="12">
        <v>5.7971200506894904</v>
      </c>
      <c r="K43" s="11">
        <v>-0.27417249103342101</v>
      </c>
      <c r="L43" s="9"/>
      <c r="M43" s="9"/>
      <c r="N43" s="9"/>
      <c r="O43" s="9"/>
      <c r="P43" s="1"/>
      <c r="Q43" s="1"/>
      <c r="R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36" ht="30" customHeight="1" x14ac:dyDescent="0.25">
      <c r="A45" s="15" t="s">
        <v>22</v>
      </c>
      <c r="B45" s="15" t="s">
        <v>23</v>
      </c>
      <c r="C45" s="15" t="s">
        <v>41</v>
      </c>
      <c r="D45" s="15" t="s">
        <v>24</v>
      </c>
      <c r="E45" s="15" t="s">
        <v>1</v>
      </c>
      <c r="F45" s="15" t="s">
        <v>25</v>
      </c>
      <c r="G45" s="15" t="s">
        <v>18</v>
      </c>
      <c r="H45" s="18" t="s">
        <v>33</v>
      </c>
      <c r="I45" s="15" t="s">
        <v>29</v>
      </c>
      <c r="J45" s="18" t="s">
        <v>37</v>
      </c>
      <c r="K45" s="15" t="s">
        <v>42</v>
      </c>
      <c r="N45" s="10"/>
      <c r="O45" s="10"/>
      <c r="R45" s="1"/>
      <c r="Y45" s="15" t="s">
        <v>19</v>
      </c>
      <c r="Z45" s="15" t="s">
        <v>23</v>
      </c>
      <c r="AA45" s="15" t="s">
        <v>24</v>
      </c>
      <c r="AB45" s="15" t="s">
        <v>1</v>
      </c>
      <c r="AC45" s="15" t="s">
        <v>25</v>
      </c>
      <c r="AD45" s="15" t="s">
        <v>18</v>
      </c>
      <c r="AE45" s="26" t="s">
        <v>43</v>
      </c>
      <c r="AF45" s="27" t="s">
        <v>44</v>
      </c>
      <c r="AG45" s="27" t="s">
        <v>45</v>
      </c>
      <c r="AH45" s="26" t="s">
        <v>38</v>
      </c>
      <c r="AI45" s="26" t="s">
        <v>39</v>
      </c>
      <c r="AJ45" s="26" t="s">
        <v>40</v>
      </c>
    </row>
    <row r="46" spans="1:36" x14ac:dyDescent="0.25">
      <c r="A46" s="1" t="s">
        <v>2</v>
      </c>
      <c r="B46" s="7">
        <v>1.7878260187067601</v>
      </c>
      <c r="C46" s="7">
        <f>LOG10(B46)</f>
        <v>0.25232525339055556</v>
      </c>
      <c r="D46" s="7">
        <v>0.26654667808256899</v>
      </c>
      <c r="E46" s="7">
        <v>0.57681691180727601</v>
      </c>
      <c r="F46" s="7">
        <v>0.16472908104553</v>
      </c>
      <c r="G46" s="7">
        <v>0.27048577500075</v>
      </c>
      <c r="I46" s="1"/>
      <c r="K46" s="1">
        <v>87.311999999999998</v>
      </c>
      <c r="N46" s="3"/>
      <c r="O46" s="3"/>
      <c r="Q46" s="3"/>
      <c r="R46" s="1"/>
      <c r="Y46" s="1" t="s">
        <v>2</v>
      </c>
      <c r="Z46" s="8">
        <v>0.46925034971041901</v>
      </c>
      <c r="AA46" s="8">
        <v>-0.57047580585715596</v>
      </c>
      <c r="AB46" s="8">
        <v>-0.62489073949006502</v>
      </c>
      <c r="AC46" s="8">
        <v>-0.505884156285488</v>
      </c>
      <c r="AD46" s="8">
        <v>-0.62313135244567197</v>
      </c>
      <c r="AE46" s="12">
        <v>54.328000000000003</v>
      </c>
      <c r="AF46" s="3"/>
      <c r="AG46" s="3"/>
      <c r="AH46" s="12"/>
      <c r="AI46" s="12"/>
    </row>
    <row r="47" spans="1:36" x14ac:dyDescent="0.25">
      <c r="A47" s="1" t="s">
        <v>3</v>
      </c>
      <c r="B47" s="7">
        <v>2.8770644107042802</v>
      </c>
      <c r="C47" s="7">
        <f t="shared" ref="C47:C54" si="5">LOG10(B47)</f>
        <v>0.45894958483099857</v>
      </c>
      <c r="D47" s="7">
        <v>0.541500872594741</v>
      </c>
      <c r="E47" s="7">
        <v>0.54443871754473905</v>
      </c>
      <c r="F47" s="7">
        <v>0.24600566680348099</v>
      </c>
      <c r="G47" s="7">
        <v>0.55540922852805497</v>
      </c>
      <c r="I47" s="1"/>
      <c r="K47" s="1">
        <v>95.885999999999996</v>
      </c>
      <c r="N47" s="3"/>
      <c r="O47" s="3"/>
      <c r="Q47" s="3"/>
      <c r="R47" s="1"/>
      <c r="Y47" s="1" t="s">
        <v>3</v>
      </c>
      <c r="Z47" s="8">
        <v>0.52770506265369399</v>
      </c>
      <c r="AA47" s="8">
        <v>-0.57441925876348399</v>
      </c>
      <c r="AB47" s="8">
        <v>-0.61127875482433702</v>
      </c>
      <c r="AC47" s="8">
        <v>-0.50988466103239405</v>
      </c>
      <c r="AD47" s="8">
        <v>-0.59410954788831905</v>
      </c>
      <c r="AE47" s="12">
        <v>39.252000000000002</v>
      </c>
      <c r="AF47" s="3"/>
      <c r="AG47" s="3"/>
      <c r="AH47" s="1"/>
      <c r="AI47" s="1"/>
    </row>
    <row r="48" spans="1:36" x14ac:dyDescent="0.25">
      <c r="A48" s="1" t="s">
        <v>4</v>
      </c>
      <c r="B48" s="7">
        <v>1.2050076272027901</v>
      </c>
      <c r="C48" s="7">
        <f t="shared" si="5"/>
        <v>8.0989795825078759E-2</v>
      </c>
      <c r="D48" s="7">
        <v>0.92674759673055396</v>
      </c>
      <c r="E48" s="7">
        <v>0.13984116014494999</v>
      </c>
      <c r="F48" s="7">
        <v>0.58415158227019104</v>
      </c>
      <c r="G48" s="7">
        <v>0.66959836720930499</v>
      </c>
      <c r="H48" s="11">
        <v>66.912425378311355</v>
      </c>
      <c r="I48" s="11">
        <v>64.048876322946043</v>
      </c>
      <c r="J48" s="11">
        <v>60.588347259999999</v>
      </c>
      <c r="K48" s="1">
        <v>21.937999999999999</v>
      </c>
      <c r="N48" s="3"/>
      <c r="O48" s="3"/>
      <c r="Q48" s="3"/>
      <c r="R48" s="1"/>
      <c r="Y48" s="1" t="s">
        <v>4</v>
      </c>
      <c r="Z48" s="8">
        <v>0.76151296818251002</v>
      </c>
      <c r="AA48" s="8">
        <v>-0.82455849900808098</v>
      </c>
      <c r="AB48" s="8">
        <v>-0.53010922957415696</v>
      </c>
      <c r="AC48" s="8">
        <v>-0.67807302432253402</v>
      </c>
      <c r="AD48" s="8">
        <v>-0.81917889363282403</v>
      </c>
      <c r="AE48" s="12">
        <v>39.21</v>
      </c>
      <c r="AF48" s="3">
        <f>J21</f>
        <v>1.0628417845850735</v>
      </c>
      <c r="AG48" s="3">
        <f>K21</f>
        <v>1.1737788669959504</v>
      </c>
      <c r="AH48" s="12">
        <v>4</v>
      </c>
      <c r="AI48" s="12">
        <v>28.480729852499898</v>
      </c>
      <c r="AJ48" s="11">
        <v>0.30708458237534503</v>
      </c>
    </row>
    <row r="49" spans="1:36" x14ac:dyDescent="0.25">
      <c r="A49" s="1" t="s">
        <v>5</v>
      </c>
      <c r="B49" s="7">
        <v>1.11910970408747</v>
      </c>
      <c r="C49" s="7">
        <f t="shared" si="5"/>
        <v>4.8872661635174883E-2</v>
      </c>
      <c r="D49" s="7">
        <v>0.156816283020727</v>
      </c>
      <c r="E49" s="7">
        <v>8.9326261366187695E-2</v>
      </c>
      <c r="F49" s="7">
        <v>5.92725219807008E-2</v>
      </c>
      <c r="G49" s="7">
        <v>0.1017952207019</v>
      </c>
      <c r="H49" s="11">
        <v>72.370164511034233</v>
      </c>
      <c r="I49" s="11">
        <v>69.142603119806424</v>
      </c>
      <c r="J49" s="11">
        <v>73.387016439999996</v>
      </c>
      <c r="K49" s="1">
        <v>21.5</v>
      </c>
      <c r="N49" s="3"/>
      <c r="O49" s="3"/>
      <c r="Q49" s="3"/>
      <c r="R49" s="1"/>
      <c r="Y49" s="1" t="s">
        <v>5</v>
      </c>
      <c r="Z49" s="8">
        <v>0.63241662033349</v>
      </c>
      <c r="AA49" s="8">
        <v>-0.77305412456000899</v>
      </c>
      <c r="AB49" s="8">
        <v>-0.511670862423525</v>
      </c>
      <c r="AC49" s="8">
        <v>-0.62213976025652196</v>
      </c>
      <c r="AD49" s="8">
        <v>-0.76662036881149098</v>
      </c>
      <c r="AE49" s="12">
        <v>39.158000000000001</v>
      </c>
      <c r="AF49" s="3">
        <f>J22</f>
        <v>1.0325844789064453</v>
      </c>
      <c r="AG49" s="3">
        <f>K22</f>
        <v>1.0182769682576838</v>
      </c>
      <c r="AH49" s="12">
        <v>1.1385255280790201</v>
      </c>
      <c r="AI49" s="12">
        <v>0.666171575153233</v>
      </c>
      <c r="AJ49" s="11">
        <v>0.49664162355941199</v>
      </c>
    </row>
    <row r="50" spans="1:36" x14ac:dyDescent="0.25">
      <c r="A50" s="1" t="s">
        <v>6</v>
      </c>
      <c r="B50" s="7">
        <v>1.4074954172257299</v>
      </c>
      <c r="C50" s="7">
        <f t="shared" si="5"/>
        <v>0.14844698947235901</v>
      </c>
      <c r="D50" s="7">
        <v>0.25880560171696498</v>
      </c>
      <c r="E50" s="7">
        <v>4.6283799610675601E-2</v>
      </c>
      <c r="F50" s="7">
        <v>0.10621290455320199</v>
      </c>
      <c r="G50" s="8">
        <v>-0.90837567524790197</v>
      </c>
      <c r="H50" s="11">
        <v>77.803592516854394</v>
      </c>
      <c r="I50" s="11">
        <v>69.014990506950269</v>
      </c>
      <c r="J50" s="11">
        <v>79.767295559999994</v>
      </c>
      <c r="K50" s="1">
        <v>35.631999999999998</v>
      </c>
      <c r="N50" s="3"/>
      <c r="O50" s="3"/>
      <c r="Q50" s="3"/>
      <c r="R50" s="1"/>
      <c r="Y50" s="1" t="s">
        <v>6</v>
      </c>
      <c r="Z50" s="8">
        <v>0.68587815994758305</v>
      </c>
      <c r="AA50" s="8">
        <v>-0.74314055155585101</v>
      </c>
      <c r="AB50" s="8">
        <v>-0.22155858359451899</v>
      </c>
      <c r="AC50" s="8">
        <v>-0.51680913320449795</v>
      </c>
      <c r="AD50" s="8">
        <v>-0.79093223163479298</v>
      </c>
      <c r="AE50" s="12">
        <v>12.997999999999999</v>
      </c>
      <c r="AF50" s="3">
        <f>J23</f>
        <v>1.025239233557502</v>
      </c>
      <c r="AG50" s="3">
        <f>K23</f>
        <v>1</v>
      </c>
      <c r="AH50" s="12">
        <v>0</v>
      </c>
      <c r="AI50" s="12">
        <v>0</v>
      </c>
      <c r="AJ50" s="11"/>
    </row>
    <row r="51" spans="1:36" x14ac:dyDescent="0.25">
      <c r="A51" s="1" t="s">
        <v>7</v>
      </c>
      <c r="B51" s="7">
        <v>1.41606982531736</v>
      </c>
      <c r="C51" s="7">
        <f t="shared" si="5"/>
        <v>0.15108466860966069</v>
      </c>
      <c r="D51" s="7">
        <v>0.52921681534296305</v>
      </c>
      <c r="E51" s="7">
        <v>3.0850994672477702E-2</v>
      </c>
      <c r="F51" s="7">
        <v>0.17041594173230901</v>
      </c>
      <c r="G51" s="7">
        <v>0.33346513766249403</v>
      </c>
      <c r="H51" s="11">
        <v>77.803592516854394</v>
      </c>
      <c r="I51" s="11">
        <v>69.014990506950269</v>
      </c>
      <c r="J51" s="11">
        <v>79.767295559999994</v>
      </c>
      <c r="K51" s="1">
        <v>40.323999999999998</v>
      </c>
      <c r="N51" s="3"/>
      <c r="O51" s="3"/>
      <c r="Q51" s="3"/>
      <c r="R51" s="1"/>
      <c r="Y51" s="1" t="s">
        <v>7</v>
      </c>
      <c r="Z51" s="8">
        <v>0.64478493475432996</v>
      </c>
      <c r="AA51" s="8">
        <v>-0.64445784381595494</v>
      </c>
      <c r="AB51" s="8">
        <v>-0.24334139198969101</v>
      </c>
      <c r="AC51" s="8">
        <v>-0.34407999236201098</v>
      </c>
      <c r="AD51" s="8">
        <v>-0.52379920048275397</v>
      </c>
      <c r="AE51" s="12">
        <v>13.948</v>
      </c>
      <c r="AF51" s="3">
        <f>J24</f>
        <v>1.025239233557502</v>
      </c>
      <c r="AG51" s="3">
        <f>K24</f>
        <v>1</v>
      </c>
      <c r="AH51" s="12">
        <v>0</v>
      </c>
      <c r="AI51" s="12">
        <v>0</v>
      </c>
      <c r="AJ51" s="11"/>
    </row>
    <row r="52" spans="1:36" x14ac:dyDescent="0.25">
      <c r="A52" s="1" t="s">
        <v>20</v>
      </c>
      <c r="B52" s="7">
        <v>1.5689444337549201</v>
      </c>
      <c r="C52" s="7">
        <f t="shared" si="5"/>
        <v>0.19560756274503188</v>
      </c>
      <c r="D52" s="7">
        <v>0.71850105371235795</v>
      </c>
      <c r="E52" s="7">
        <v>0.164262280281398</v>
      </c>
      <c r="F52" s="7">
        <v>0.415644787212891</v>
      </c>
      <c r="G52" s="7">
        <v>0.60238698682230296</v>
      </c>
      <c r="J52" s="11"/>
      <c r="K52" s="1">
        <v>17.538</v>
      </c>
      <c r="N52" s="3"/>
      <c r="O52" s="3"/>
      <c r="Q52" s="3"/>
      <c r="R52" s="1"/>
      <c r="Y52" s="1" t="s">
        <v>20</v>
      </c>
      <c r="Z52" s="7">
        <v>1.04151195285145</v>
      </c>
      <c r="AA52" s="8">
        <v>-0.120988015114778</v>
      </c>
      <c r="AB52" s="7">
        <v>9.6450074853088597E-2</v>
      </c>
      <c r="AC52" s="8">
        <v>-5.48657708396144E-2</v>
      </c>
      <c r="AD52" s="8">
        <v>-0.16320255139754999</v>
      </c>
      <c r="AE52" s="12">
        <v>9.69</v>
      </c>
      <c r="AF52" s="3"/>
      <c r="AG52" s="3"/>
      <c r="AH52" s="12"/>
      <c r="AI52" s="12"/>
      <c r="AJ52" s="11"/>
    </row>
    <row r="53" spans="1:36" x14ac:dyDescent="0.25">
      <c r="A53" s="1" t="s">
        <v>21</v>
      </c>
      <c r="B53" s="7">
        <v>1.15872732148062</v>
      </c>
      <c r="C53" s="7">
        <f t="shared" si="5"/>
        <v>6.3981247258523458E-2</v>
      </c>
      <c r="D53" s="7">
        <v>0.40647074977609499</v>
      </c>
      <c r="E53" s="8">
        <v>-4.45444212598241E-2</v>
      </c>
      <c r="F53" s="7">
        <v>5.4008474266980598E-2</v>
      </c>
      <c r="G53" s="7">
        <v>0.21627118090962999</v>
      </c>
      <c r="K53" s="1">
        <v>29.408000000000001</v>
      </c>
      <c r="N53" s="3"/>
      <c r="O53" s="3"/>
      <c r="Q53" s="3"/>
      <c r="R53" s="1"/>
      <c r="Y53" s="1" t="s">
        <v>21</v>
      </c>
      <c r="Z53" s="8">
        <v>0.57916197400143898</v>
      </c>
      <c r="AA53" s="8">
        <v>-0.78477741945709301</v>
      </c>
      <c r="AB53" s="8">
        <v>-0.24313716774511701</v>
      </c>
      <c r="AC53" s="8">
        <v>-0.62437814022779903</v>
      </c>
      <c r="AD53" s="8">
        <v>-0.748656600612842</v>
      </c>
      <c r="AE53" s="12">
        <v>9.6120000000000001</v>
      </c>
      <c r="AF53" s="3"/>
      <c r="AG53" s="3"/>
      <c r="AH53" s="12"/>
      <c r="AI53" s="12"/>
      <c r="AJ53" s="11"/>
    </row>
    <row r="54" spans="1:36" x14ac:dyDescent="0.25">
      <c r="A54" s="1" t="s">
        <v>11</v>
      </c>
      <c r="B54" s="7">
        <v>1.1637562782531401</v>
      </c>
      <c r="C54" s="7">
        <f t="shared" si="5"/>
        <v>6.5862036935340984E-2</v>
      </c>
      <c r="D54" s="7">
        <v>0.401331670241585</v>
      </c>
      <c r="E54" s="7">
        <v>6.7271555006068101E-2</v>
      </c>
      <c r="F54" s="7">
        <v>8.1392652419518097E-2</v>
      </c>
      <c r="G54" s="7">
        <v>0.164652348864086</v>
      </c>
      <c r="H54" s="11">
        <v>66.341763171136677</v>
      </c>
      <c r="I54" s="11">
        <v>64.242932047955975</v>
      </c>
      <c r="J54" s="11">
        <v>67.505054000000001</v>
      </c>
      <c r="K54" s="1">
        <v>13.777999999999899</v>
      </c>
      <c r="N54" s="3"/>
      <c r="O54" s="3"/>
      <c r="Q54" s="3"/>
      <c r="R54" s="1"/>
      <c r="Y54" s="1" t="s">
        <v>11</v>
      </c>
      <c r="Z54" s="8">
        <v>0.74506131022172795</v>
      </c>
      <c r="AA54" s="8">
        <v>-0.75894808346496501</v>
      </c>
      <c r="AB54" s="8">
        <v>-0.37958282657101999</v>
      </c>
      <c r="AC54" s="8">
        <v>-0.37092334927613402</v>
      </c>
      <c r="AD54" s="8">
        <v>-0.49092006249230202</v>
      </c>
      <c r="AE54" s="12">
        <v>12.518000000000001</v>
      </c>
      <c r="AF54" s="3">
        <f>J29</f>
        <v>1.063728040781146</v>
      </c>
      <c r="AG54" s="3">
        <f>K28</f>
        <v>1.045397189964473</v>
      </c>
      <c r="AH54" s="12">
        <v>4.5222851684946201</v>
      </c>
      <c r="AI54" s="12">
        <v>5.7971200506894904</v>
      </c>
      <c r="AJ54" s="11">
        <v>-0.27417249103342101</v>
      </c>
    </row>
    <row r="55" spans="1:36" x14ac:dyDescent="0.25">
      <c r="A55" s="1"/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36" x14ac:dyDescent="0.25">
      <c r="I56" s="11"/>
      <c r="J56" s="11"/>
      <c r="AH56" s="12"/>
      <c r="AI56" s="12"/>
      <c r="AJ56" s="11"/>
    </row>
    <row r="57" spans="1:36" x14ac:dyDescent="0.25">
      <c r="Y57" s="1" t="s">
        <v>15</v>
      </c>
      <c r="Z57" s="1"/>
      <c r="AA57" s="1"/>
      <c r="AB57" s="1"/>
      <c r="AC57" s="1"/>
      <c r="AD57" s="1"/>
      <c r="AE57" s="1"/>
    </row>
    <row r="58" spans="1:36" x14ac:dyDescent="0.25">
      <c r="Y58" s="1" t="s">
        <v>0</v>
      </c>
      <c r="Z58" s="1" t="s">
        <v>23</v>
      </c>
      <c r="AA58" s="1" t="s">
        <v>24</v>
      </c>
      <c r="AB58" s="1" t="s">
        <v>1</v>
      </c>
      <c r="AC58" s="1" t="s">
        <v>28</v>
      </c>
      <c r="AD58" s="1" t="s">
        <v>29</v>
      </c>
      <c r="AE58" s="1"/>
    </row>
    <row r="59" spans="1:36" x14ac:dyDescent="0.25"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1"/>
      <c r="Y59" s="1" t="s">
        <v>2</v>
      </c>
      <c r="Z59" s="7">
        <v>4.1991467023786697</v>
      </c>
      <c r="AA59" s="7">
        <v>0.82610521045310603</v>
      </c>
      <c r="AB59" s="7">
        <v>0.45842139345314697</v>
      </c>
      <c r="AC59" s="1"/>
      <c r="AD59" s="1"/>
      <c r="AE59" s="1"/>
    </row>
    <row r="60" spans="1:36" x14ac:dyDescent="0.25"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1"/>
      <c r="Y60" s="1" t="s">
        <v>3</v>
      </c>
      <c r="Z60" s="7">
        <v>4.2426276126814999</v>
      </c>
      <c r="AA60" s="7">
        <v>0.86475068984277004</v>
      </c>
      <c r="AB60" s="7">
        <v>0.70887717949694296</v>
      </c>
      <c r="AC60" s="1"/>
      <c r="AD60" s="1"/>
      <c r="AE60" s="1"/>
    </row>
    <row r="61" spans="1:36" x14ac:dyDescent="0.25"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1"/>
      <c r="Y61" s="1" t="s">
        <v>4</v>
      </c>
      <c r="Z61" s="7">
        <v>2.2885725031264901</v>
      </c>
      <c r="AA61" s="7">
        <v>0.86069377106338596</v>
      </c>
      <c r="AB61" s="7">
        <v>0.14822690674265199</v>
      </c>
      <c r="AC61" s="11">
        <v>66.912425378311355</v>
      </c>
      <c r="AD61" s="1"/>
      <c r="AE61" s="1"/>
    </row>
    <row r="62" spans="1:36" x14ac:dyDescent="0.25"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1"/>
      <c r="Y62" s="1" t="s">
        <v>5</v>
      </c>
      <c r="Z62" s="8">
        <v>0.65629846710779305</v>
      </c>
      <c r="AA62" s="8">
        <v>-0.38672859447744201</v>
      </c>
      <c r="AB62" s="8">
        <v>-9.02599646039247E-2</v>
      </c>
      <c r="AC62" s="11">
        <v>72.370164511034233</v>
      </c>
      <c r="AD62" s="1"/>
      <c r="AE62" s="1"/>
    </row>
    <row r="63" spans="1:36" x14ac:dyDescent="0.25"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1"/>
      <c r="Y63" s="1" t="s">
        <v>6</v>
      </c>
      <c r="Z63" s="8">
        <v>0.92225532580611602</v>
      </c>
      <c r="AA63" s="8">
        <v>-0.36586676677487101</v>
      </c>
      <c r="AB63" s="7">
        <v>3.59517217205262E-2</v>
      </c>
      <c r="AC63" s="11">
        <v>77.803592516854394</v>
      </c>
      <c r="AD63" s="1"/>
      <c r="AE63" s="1"/>
    </row>
    <row r="64" spans="1:36" x14ac:dyDescent="0.25"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1"/>
      <c r="Y64" s="1" t="s">
        <v>7</v>
      </c>
      <c r="Z64" s="8">
        <v>0.61809493388466297</v>
      </c>
      <c r="AA64" s="8">
        <v>-0.851696935181535</v>
      </c>
      <c r="AB64" s="8">
        <v>-0.17562342751062601</v>
      </c>
      <c r="AC64" s="11">
        <v>77.803592516854394</v>
      </c>
      <c r="AD64" s="1"/>
      <c r="AE64" s="1"/>
    </row>
    <row r="65" spans="6:31" x14ac:dyDescent="0.25"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1"/>
      <c r="Y65" s="1" t="s">
        <v>20</v>
      </c>
      <c r="Z65" s="3"/>
      <c r="AA65" s="3"/>
      <c r="AB65" s="3"/>
      <c r="AC65" s="11"/>
      <c r="AD65" s="1"/>
      <c r="AE65" s="1"/>
    </row>
    <row r="66" spans="6:31" x14ac:dyDescent="0.25">
      <c r="F66" s="1"/>
      <c r="Q66" s="1"/>
      <c r="Y66" s="1" t="s">
        <v>8</v>
      </c>
      <c r="Z66" s="7">
        <v>1.0433735492571501</v>
      </c>
      <c r="AA66" s="8">
        <v>-0.87727286114650804</v>
      </c>
      <c r="AB66" s="7">
        <v>0.155085326236896</v>
      </c>
      <c r="AC66" s="11"/>
      <c r="AD66" s="1"/>
      <c r="AE66" s="1"/>
    </row>
    <row r="67" spans="6:31" x14ac:dyDescent="0.25">
      <c r="Y67" s="1" t="s">
        <v>9</v>
      </c>
      <c r="Z67" s="8">
        <v>0.54304497563021803</v>
      </c>
      <c r="AA67" s="8">
        <v>-0.79094425276710101</v>
      </c>
      <c r="AB67" s="8">
        <v>-0.49269779802698299</v>
      </c>
      <c r="AC67" s="11"/>
      <c r="AD67" s="1"/>
      <c r="AE67" s="1"/>
    </row>
    <row r="68" spans="6:31" x14ac:dyDescent="0.25">
      <c r="G68" s="1"/>
      <c r="H68" s="1"/>
      <c r="I68" s="1"/>
      <c r="J68" s="1"/>
      <c r="K68" s="1"/>
      <c r="L68" s="1"/>
      <c r="M68" s="1"/>
      <c r="N68" s="1"/>
      <c r="O68" s="1"/>
      <c r="P68" s="3"/>
      <c r="Q68" s="1"/>
      <c r="Y68" s="1" t="s">
        <v>10</v>
      </c>
      <c r="Z68" s="1"/>
      <c r="AA68" s="1"/>
      <c r="AB68" s="2"/>
      <c r="AC68" s="11">
        <v>66.341763171136677</v>
      </c>
      <c r="AD68" s="1"/>
      <c r="AE68" s="1"/>
    </row>
    <row r="69" spans="6:31" x14ac:dyDescent="0.25">
      <c r="G69" s="3"/>
      <c r="H69" s="3"/>
      <c r="I69" s="3"/>
      <c r="J69" s="3"/>
      <c r="K69" s="3"/>
      <c r="L69" s="3"/>
      <c r="M69" s="3"/>
      <c r="N69" s="3"/>
      <c r="O69" s="3"/>
      <c r="P69" s="3"/>
      <c r="Y69" s="1" t="s">
        <v>11</v>
      </c>
      <c r="Z69" s="1"/>
      <c r="AA69" s="1"/>
      <c r="AB69" s="2"/>
      <c r="AC69" s="11">
        <v>66.341763171136677</v>
      </c>
      <c r="AD69" s="1"/>
      <c r="AE69" s="1"/>
    </row>
    <row r="70" spans="6:31" x14ac:dyDescent="0.25">
      <c r="Y70" s="1"/>
      <c r="Z70" s="1"/>
      <c r="AA70" s="1"/>
      <c r="AB70" s="1"/>
      <c r="AC70" s="1"/>
      <c r="AD70" s="1"/>
      <c r="AE70" s="1"/>
    </row>
    <row r="71" spans="6:31" x14ac:dyDescent="0.25">
      <c r="Y71" s="1" t="s">
        <v>14</v>
      </c>
      <c r="Z71" s="1"/>
      <c r="AA71" s="1"/>
      <c r="AB71" s="1"/>
      <c r="AC71" s="1"/>
      <c r="AD71" s="1"/>
      <c r="AE71" s="1"/>
    </row>
    <row r="72" spans="6:31" x14ac:dyDescent="0.25">
      <c r="Y72" s="1" t="s">
        <v>0</v>
      </c>
      <c r="Z72" s="1" t="s">
        <v>23</v>
      </c>
      <c r="AA72" s="1" t="s">
        <v>24</v>
      </c>
      <c r="AB72" s="1" t="s">
        <v>1</v>
      </c>
      <c r="AC72" s="1" t="s">
        <v>28</v>
      </c>
      <c r="AD72" s="1"/>
      <c r="AE72" s="1"/>
    </row>
    <row r="73" spans="6:31" x14ac:dyDescent="0.25">
      <c r="Y73" s="1" t="s">
        <v>2</v>
      </c>
      <c r="Z73" s="7">
        <v>1.9834327913053</v>
      </c>
      <c r="AA73" s="7">
        <v>0.65719427140843201</v>
      </c>
      <c r="AB73" s="7">
        <v>0.37069968925848601</v>
      </c>
      <c r="AC73" s="1"/>
      <c r="AD73" s="1"/>
      <c r="AE73" s="1"/>
    </row>
    <row r="74" spans="6:31" x14ac:dyDescent="0.25">
      <c r="Y74" s="1" t="s">
        <v>3</v>
      </c>
      <c r="Z74" s="7">
        <v>1.57221069754844</v>
      </c>
      <c r="AA74" s="7">
        <v>0.52379119919397599</v>
      </c>
      <c r="AB74" s="7">
        <v>0.32989293329546998</v>
      </c>
      <c r="AC74" s="1"/>
      <c r="AD74" s="1"/>
      <c r="AE74" s="1"/>
    </row>
    <row r="75" spans="6:31" x14ac:dyDescent="0.25">
      <c r="Y75" s="1" t="s">
        <v>4</v>
      </c>
      <c r="Z75" s="7">
        <v>1.2975667452931301</v>
      </c>
      <c r="AA75" s="7">
        <v>0.86785733003031096</v>
      </c>
      <c r="AB75" s="7">
        <v>0.10077650528672399</v>
      </c>
      <c r="AC75" s="11">
        <v>66.912425378311355</v>
      </c>
      <c r="AD75" s="1"/>
      <c r="AE75" s="1"/>
    </row>
    <row r="76" spans="6:31" x14ac:dyDescent="0.25">
      <c r="Y76" s="1" t="s">
        <v>5</v>
      </c>
      <c r="Z76" s="7">
        <v>1.0575708895152101</v>
      </c>
      <c r="AA76" s="7">
        <v>0.26292322495904802</v>
      </c>
      <c r="AB76" s="7">
        <v>6.3493902184217604E-2</v>
      </c>
      <c r="AC76" s="11">
        <v>72.370164511034233</v>
      </c>
      <c r="AD76" s="1"/>
      <c r="AE76" s="1"/>
    </row>
    <row r="77" spans="6:31" x14ac:dyDescent="0.25">
      <c r="Y77" s="1" t="s">
        <v>6</v>
      </c>
      <c r="Z77" s="1"/>
      <c r="AA77" s="1"/>
      <c r="AB77" s="1"/>
      <c r="AC77" s="11">
        <v>77.803592516854394</v>
      </c>
      <c r="AD77" s="1"/>
      <c r="AE77" s="1"/>
    </row>
    <row r="78" spans="6:31" x14ac:dyDescent="0.25">
      <c r="Y78" s="1" t="s">
        <v>7</v>
      </c>
      <c r="Z78" s="1"/>
      <c r="AA78" s="1"/>
      <c r="AB78" s="1"/>
      <c r="AC78" s="11">
        <v>77.803592516854394</v>
      </c>
      <c r="AD78" s="1"/>
      <c r="AE78" s="1"/>
    </row>
    <row r="79" spans="6:31" x14ac:dyDescent="0.25">
      <c r="Y79" s="1" t="s">
        <v>20</v>
      </c>
      <c r="Z79" s="1"/>
      <c r="AA79" s="1"/>
      <c r="AB79" s="1"/>
      <c r="AC79" s="11"/>
      <c r="AD79" s="1"/>
      <c r="AE79" s="1"/>
    </row>
    <row r="80" spans="6:31" x14ac:dyDescent="0.25">
      <c r="Y80" s="1" t="s">
        <v>8</v>
      </c>
      <c r="Z80" s="1"/>
      <c r="AA80" s="1"/>
      <c r="AB80" s="1"/>
      <c r="AC80" s="11"/>
      <c r="AD80" s="1"/>
      <c r="AE80" s="1"/>
    </row>
    <row r="81" spans="25:31" x14ac:dyDescent="0.25">
      <c r="Y81" s="1" t="s">
        <v>9</v>
      </c>
      <c r="Z81" s="1"/>
      <c r="AA81" s="1"/>
      <c r="AB81" s="1"/>
      <c r="AC81" s="11"/>
      <c r="AD81" s="1"/>
      <c r="AE81" s="1"/>
    </row>
    <row r="82" spans="25:31" x14ac:dyDescent="0.25">
      <c r="Y82" s="1" t="s">
        <v>10</v>
      </c>
      <c r="Z82" s="1"/>
      <c r="AA82" s="1"/>
      <c r="AB82" s="1"/>
      <c r="AC82" s="11">
        <v>66.341763171136677</v>
      </c>
      <c r="AD82" s="1"/>
      <c r="AE82" s="1"/>
    </row>
    <row r="83" spans="25:31" x14ac:dyDescent="0.25">
      <c r="Y83" s="1" t="s">
        <v>11</v>
      </c>
      <c r="Z83" s="1"/>
      <c r="AA83" s="1"/>
      <c r="AB83" s="1"/>
      <c r="AC83" s="11">
        <v>66.341763171136677</v>
      </c>
      <c r="AD83" s="1"/>
      <c r="AE83" s="1"/>
    </row>
    <row r="84" spans="25:31" x14ac:dyDescent="0.25">
      <c r="Y84" s="1"/>
      <c r="Z84" s="1"/>
      <c r="AA84" s="1"/>
      <c r="AB84" s="1"/>
      <c r="AC84" s="1"/>
      <c r="AD84" s="1"/>
      <c r="AE84" s="1"/>
    </row>
    <row r="85" spans="25:31" x14ac:dyDescent="0.25">
      <c r="Y85" s="1" t="s">
        <v>13</v>
      </c>
      <c r="Z85" s="1"/>
      <c r="AA85" s="1"/>
      <c r="AB85" s="1"/>
      <c r="AC85" s="1"/>
      <c r="AD85" s="1"/>
      <c r="AE85" s="1"/>
    </row>
    <row r="86" spans="25:31" x14ac:dyDescent="0.25">
      <c r="Y86" s="1" t="s">
        <v>0</v>
      </c>
      <c r="Z86" s="1" t="s">
        <v>23</v>
      </c>
      <c r="AA86" s="1" t="s">
        <v>24</v>
      </c>
      <c r="AB86" s="1" t="s">
        <v>1</v>
      </c>
      <c r="AC86" s="1" t="s">
        <v>28</v>
      </c>
      <c r="AD86" s="1"/>
      <c r="AE86" s="1"/>
    </row>
    <row r="87" spans="25:31" x14ac:dyDescent="0.25">
      <c r="Y87" s="1" t="s">
        <v>2</v>
      </c>
      <c r="Z87" s="8">
        <v>0.95053401724057496</v>
      </c>
      <c r="AA87" s="8">
        <v>-0.169259073906213</v>
      </c>
      <c r="AB87" s="8">
        <v>-4.4193639828931201E-2</v>
      </c>
      <c r="AC87" s="1"/>
      <c r="AD87" s="1"/>
      <c r="AE87" s="1"/>
    </row>
    <row r="88" spans="25:31" x14ac:dyDescent="0.25">
      <c r="Y88" s="1" t="s">
        <v>3</v>
      </c>
      <c r="Z88" s="7">
        <v>1.02292603590652</v>
      </c>
      <c r="AA88" s="7">
        <v>4.5964226518538299E-2</v>
      </c>
      <c r="AB88" s="7">
        <v>5.6992657113041099E-2</v>
      </c>
      <c r="AC88" s="1"/>
      <c r="AD88" s="1"/>
      <c r="AE88" s="1"/>
    </row>
    <row r="89" spans="25:31" x14ac:dyDescent="0.25">
      <c r="Y89" s="1" t="s">
        <v>4</v>
      </c>
      <c r="Z89" s="8">
        <v>0.92254459679364598</v>
      </c>
      <c r="AA89" s="7">
        <v>0.385385071473553</v>
      </c>
      <c r="AB89" s="7">
        <v>6.6875193364792196E-2</v>
      </c>
      <c r="AC89" s="11">
        <v>66.912425378311355</v>
      </c>
      <c r="AD89" s="1"/>
      <c r="AE89" s="1"/>
    </row>
    <row r="90" spans="25:31" x14ac:dyDescent="0.25">
      <c r="Y90" s="1" t="s">
        <v>5</v>
      </c>
      <c r="Z90" s="8">
        <v>0.53817423509068496</v>
      </c>
      <c r="AA90" s="8">
        <v>-0.51784566087035699</v>
      </c>
      <c r="AB90" s="8">
        <v>-8.6669485065099E-2</v>
      </c>
      <c r="AC90" s="11">
        <v>72.370164511034233</v>
      </c>
      <c r="AD90" s="1"/>
      <c r="AE90" s="1"/>
    </row>
    <row r="91" spans="25:31" x14ac:dyDescent="0.25">
      <c r="Y91" s="1" t="s">
        <v>6</v>
      </c>
      <c r="Z91" s="1"/>
      <c r="AA91" s="1"/>
      <c r="AB91" s="1"/>
      <c r="AC91" s="11">
        <v>77.803592516854394</v>
      </c>
      <c r="AD91" s="1"/>
      <c r="AE91" s="1"/>
    </row>
    <row r="92" spans="25:31" x14ac:dyDescent="0.25">
      <c r="Y92" s="1" t="s">
        <v>7</v>
      </c>
      <c r="Z92" s="1"/>
      <c r="AA92" s="1"/>
      <c r="AB92" s="1"/>
      <c r="AC92" s="11">
        <v>77.803592516854394</v>
      </c>
      <c r="AD92" s="1"/>
      <c r="AE92" s="1"/>
    </row>
    <row r="93" spans="25:31" x14ac:dyDescent="0.25">
      <c r="Y93" s="1" t="s">
        <v>20</v>
      </c>
      <c r="Z93" s="1"/>
      <c r="AA93" s="1"/>
      <c r="AB93" s="1"/>
      <c r="AC93" s="11"/>
      <c r="AD93" s="1"/>
      <c r="AE93" s="1"/>
    </row>
    <row r="94" spans="25:31" x14ac:dyDescent="0.25">
      <c r="Y94" s="1" t="s">
        <v>8</v>
      </c>
      <c r="Z94" s="1"/>
      <c r="AA94" s="1"/>
      <c r="AB94" s="1"/>
      <c r="AC94" s="11"/>
      <c r="AD94" s="1"/>
      <c r="AE94" s="1"/>
    </row>
    <row r="95" spans="25:31" x14ac:dyDescent="0.25">
      <c r="Y95" s="1" t="s">
        <v>9</v>
      </c>
      <c r="Z95" s="1"/>
      <c r="AA95" s="1"/>
      <c r="AB95" s="1"/>
      <c r="AC95" s="11"/>
      <c r="AD95" s="1"/>
      <c r="AE95" s="1"/>
    </row>
    <row r="96" spans="25:31" x14ac:dyDescent="0.25">
      <c r="Y96" s="1" t="s">
        <v>10</v>
      </c>
      <c r="Z96" s="1"/>
      <c r="AA96" s="1"/>
      <c r="AB96" s="1"/>
      <c r="AC96" s="11">
        <v>66.341763171136677</v>
      </c>
      <c r="AD96" s="1"/>
      <c r="AE96" s="1"/>
    </row>
    <row r="97" spans="25:31" x14ac:dyDescent="0.25">
      <c r="Y97" s="1" t="s">
        <v>11</v>
      </c>
      <c r="Z97" s="1"/>
      <c r="AA97" s="1"/>
      <c r="AB97" s="1"/>
      <c r="AC97" s="11">
        <v>66.341763171136677</v>
      </c>
      <c r="AD97" s="1"/>
      <c r="AE9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7CF3-4388-43F5-BF7D-AD6E55B5C457}">
  <dimension ref="B2:H48"/>
  <sheetViews>
    <sheetView zoomScale="70" zoomScaleNormal="70" workbookViewId="0">
      <selection activeCell="AC44" sqref="AC44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10" t="s">
        <v>12</v>
      </c>
      <c r="C2" s="10" t="s">
        <v>28</v>
      </c>
      <c r="D2" s="10" t="s">
        <v>23</v>
      </c>
      <c r="E2" s="10" t="s">
        <v>24</v>
      </c>
      <c r="F2" s="10" t="s">
        <v>1</v>
      </c>
    </row>
    <row r="3" spans="2:6" x14ac:dyDescent="0.25">
      <c r="B3" s="10" t="s">
        <v>4</v>
      </c>
      <c r="C3" s="9">
        <v>9.4725974000000004E-2</v>
      </c>
      <c r="D3" s="7">
        <v>2.1746388039620901</v>
      </c>
      <c r="E3" s="7">
        <v>0.90358482744648005</v>
      </c>
      <c r="F3" s="7">
        <v>0.17369777575697301</v>
      </c>
    </row>
    <row r="4" spans="2:6" x14ac:dyDescent="0.25">
      <c r="B4" s="10" t="s">
        <v>5</v>
      </c>
      <c r="C4" s="9">
        <v>0.102452336</v>
      </c>
      <c r="D4" s="7">
        <v>2.2792285281778502</v>
      </c>
      <c r="E4" s="7">
        <v>0.663434225775831</v>
      </c>
      <c r="F4" s="7">
        <v>9.9143945152060597E-2</v>
      </c>
    </row>
    <row r="5" spans="2:6" x14ac:dyDescent="0.25">
      <c r="B5" s="10" t="s">
        <v>7</v>
      </c>
      <c r="C5" s="9">
        <v>0.110144282</v>
      </c>
      <c r="D5" s="7">
        <v>1.45242884682964</v>
      </c>
      <c r="E5" s="7">
        <v>0.238708102284336</v>
      </c>
      <c r="F5" s="7">
        <v>0.14477972148899501</v>
      </c>
    </row>
    <row r="6" spans="2:6" x14ac:dyDescent="0.25">
      <c r="B6" s="10" t="s">
        <v>11</v>
      </c>
      <c r="C6" s="9">
        <v>9.3918104000000002E-2</v>
      </c>
      <c r="D6" s="8">
        <v>0.84619083652769</v>
      </c>
      <c r="E6" s="8">
        <v>-0.57708462423306806</v>
      </c>
      <c r="F6" s="8">
        <v>-7.8588218215967606E-2</v>
      </c>
    </row>
    <row r="8" spans="2:6" x14ac:dyDescent="0.25">
      <c r="B8" s="1" t="s">
        <v>17</v>
      </c>
      <c r="C8" s="10" t="s">
        <v>28</v>
      </c>
      <c r="D8" s="10" t="s">
        <v>23</v>
      </c>
      <c r="E8" s="10" t="s">
        <v>24</v>
      </c>
      <c r="F8" s="10" t="s">
        <v>1</v>
      </c>
    </row>
    <row r="9" spans="2:6" x14ac:dyDescent="0.25">
      <c r="B9" s="10" t="s">
        <v>4</v>
      </c>
      <c r="C9" s="9">
        <v>9.4725974000000004E-2</v>
      </c>
      <c r="D9" s="8">
        <v>0.93103098270545204</v>
      </c>
      <c r="E9" s="8">
        <v>0.356634245125801</v>
      </c>
      <c r="F9" s="8">
        <v>1.7836570943256701E-2</v>
      </c>
    </row>
    <row r="10" spans="2:6" x14ac:dyDescent="0.25">
      <c r="B10" s="10" t="s">
        <v>5</v>
      </c>
      <c r="C10" s="9">
        <v>0.102452336</v>
      </c>
      <c r="D10" s="8">
        <v>0.62021758140125105</v>
      </c>
      <c r="E10" s="8">
        <v>-0.834312574960141</v>
      </c>
      <c r="F10" s="8">
        <v>-0.54160608613664096</v>
      </c>
    </row>
    <row r="11" spans="2:6" x14ac:dyDescent="0.25">
      <c r="B11" s="10" t="s">
        <v>7</v>
      </c>
      <c r="C11" s="9">
        <v>0.110144282</v>
      </c>
      <c r="D11" s="7">
        <v>1.0770799229366299</v>
      </c>
      <c r="E11" s="7">
        <v>0.64255712913469198</v>
      </c>
      <c r="F11" s="7">
        <v>0.41389016217674901</v>
      </c>
    </row>
    <row r="12" spans="2:6" x14ac:dyDescent="0.25">
      <c r="B12" s="10" t="s">
        <v>11</v>
      </c>
      <c r="C12" s="9">
        <v>9.3918104000000002E-2</v>
      </c>
      <c r="D12" s="7">
        <v>1.6537701478523501</v>
      </c>
      <c r="E12" s="7">
        <v>0.384403035464087</v>
      </c>
      <c r="F12" s="7">
        <v>5.9760012226563401E-2</v>
      </c>
    </row>
    <row r="14" spans="2:6" x14ac:dyDescent="0.25">
      <c r="B14" s="1" t="s">
        <v>16</v>
      </c>
      <c r="C14" s="10" t="s">
        <v>28</v>
      </c>
      <c r="D14" s="10" t="s">
        <v>23</v>
      </c>
      <c r="E14" s="10" t="s">
        <v>24</v>
      </c>
      <c r="F14" s="10" t="s">
        <v>1</v>
      </c>
    </row>
    <row r="15" spans="2:6" x14ac:dyDescent="0.25">
      <c r="B15" s="10" t="s">
        <v>4</v>
      </c>
      <c r="C15" s="9">
        <v>9.4725974000000004E-2</v>
      </c>
      <c r="D15" s="7">
        <v>1.5737102771314899</v>
      </c>
      <c r="E15" s="7">
        <v>0.86635228697468503</v>
      </c>
      <c r="F15" s="7">
        <v>0.199680501000808</v>
      </c>
    </row>
    <row r="16" spans="2:6" x14ac:dyDescent="0.25">
      <c r="B16" s="10" t="s">
        <v>5</v>
      </c>
      <c r="C16" s="9">
        <v>0.102452336</v>
      </c>
      <c r="D16" s="7">
        <v>1.50347635019633</v>
      </c>
      <c r="E16" s="7">
        <v>0.96614890517595997</v>
      </c>
      <c r="F16" s="7">
        <v>0.12535086320927399</v>
      </c>
    </row>
    <row r="17" spans="2:6" x14ac:dyDescent="0.25">
      <c r="B17" s="10" t="s">
        <v>7</v>
      </c>
      <c r="C17" s="9">
        <v>0.110144282</v>
      </c>
      <c r="D17" s="7">
        <v>1.29322320004102</v>
      </c>
      <c r="E17" s="7">
        <v>0.43470959470339599</v>
      </c>
      <c r="F17" s="7">
        <v>0.36758406997509402</v>
      </c>
    </row>
    <row r="18" spans="2:6" x14ac:dyDescent="0.25">
      <c r="B18" s="10" t="s">
        <v>11</v>
      </c>
      <c r="C18" s="9">
        <v>9.3918104000000002E-2</v>
      </c>
      <c r="D18" s="8">
        <v>0.82233612818652901</v>
      </c>
      <c r="E18" s="8">
        <v>-0.50591021290758598</v>
      </c>
      <c r="F18" s="8">
        <v>-0.161754895727207</v>
      </c>
    </row>
    <row r="20" spans="2:6" x14ac:dyDescent="0.25">
      <c r="B20" s="1" t="s">
        <v>15</v>
      </c>
      <c r="C20" s="10" t="s">
        <v>28</v>
      </c>
      <c r="D20" s="10" t="s">
        <v>23</v>
      </c>
      <c r="E20" s="10" t="s">
        <v>24</v>
      </c>
      <c r="F20" s="10" t="s">
        <v>1</v>
      </c>
    </row>
    <row r="21" spans="2:6" x14ac:dyDescent="0.25">
      <c r="B21" s="10" t="s">
        <v>4</v>
      </c>
      <c r="C21" s="9">
        <v>9.4725974000000004E-2</v>
      </c>
      <c r="D21" s="7">
        <v>2.2885725031264901</v>
      </c>
      <c r="E21" s="7">
        <v>0.86069377106338596</v>
      </c>
      <c r="F21" s="7">
        <v>0.14822690674265199</v>
      </c>
    </row>
    <row r="22" spans="2:6" x14ac:dyDescent="0.25">
      <c r="B22" s="10" t="s">
        <v>5</v>
      </c>
      <c r="C22" s="9">
        <v>0.102452336</v>
      </c>
      <c r="D22" s="8">
        <v>0.65629846710779305</v>
      </c>
      <c r="E22" s="8">
        <v>-0.38672859447744201</v>
      </c>
      <c r="F22" s="8">
        <v>-9.02599646039247E-2</v>
      </c>
    </row>
    <row r="23" spans="2:6" x14ac:dyDescent="0.25">
      <c r="B23" s="10" t="s">
        <v>7</v>
      </c>
      <c r="C23" s="9">
        <v>0.110144282</v>
      </c>
      <c r="D23" s="8">
        <v>0.61809493388466297</v>
      </c>
      <c r="E23" s="8">
        <v>-0.851696935181535</v>
      </c>
      <c r="F23" s="8">
        <v>-0.17562342751062601</v>
      </c>
    </row>
    <row r="24" spans="2:6" x14ac:dyDescent="0.25">
      <c r="B24" s="10" t="s">
        <v>11</v>
      </c>
      <c r="C24" s="9">
        <v>9.3918104000000002E-2</v>
      </c>
    </row>
    <row r="26" spans="2:6" x14ac:dyDescent="0.25">
      <c r="B26" s="1" t="s">
        <v>14</v>
      </c>
      <c r="C26" s="10" t="s">
        <v>28</v>
      </c>
      <c r="D26" s="10" t="s">
        <v>23</v>
      </c>
      <c r="E26" s="10" t="s">
        <v>24</v>
      </c>
      <c r="F26" s="10" t="s">
        <v>1</v>
      </c>
    </row>
    <row r="27" spans="2:6" x14ac:dyDescent="0.25">
      <c r="B27" s="10" t="s">
        <v>4</v>
      </c>
      <c r="C27" s="9">
        <v>9.4725974000000004E-2</v>
      </c>
      <c r="D27" s="7">
        <v>1.2975667452931301</v>
      </c>
      <c r="E27" s="7">
        <v>0.86785733003031096</v>
      </c>
      <c r="F27" s="7">
        <v>0.10077650528672399</v>
      </c>
    </row>
    <row r="28" spans="2:6" x14ac:dyDescent="0.25">
      <c r="B28" s="10" t="s">
        <v>5</v>
      </c>
      <c r="C28" s="9">
        <v>0.102452336</v>
      </c>
      <c r="D28" s="7">
        <v>1.0575708895152101</v>
      </c>
      <c r="E28" s="7">
        <v>0.26292322495904802</v>
      </c>
      <c r="F28" s="7">
        <v>6.3493902184217604E-2</v>
      </c>
    </row>
    <row r="29" spans="2:6" x14ac:dyDescent="0.25">
      <c r="B29" s="10" t="s">
        <v>7</v>
      </c>
      <c r="C29" s="9">
        <v>0.110144282</v>
      </c>
    </row>
    <row r="30" spans="2:6" x14ac:dyDescent="0.25">
      <c r="B30" s="10" t="s">
        <v>11</v>
      </c>
      <c r="C30" s="9">
        <v>9.3918104000000002E-2</v>
      </c>
    </row>
    <row r="32" spans="2:6" x14ac:dyDescent="0.25">
      <c r="B32" s="1" t="s">
        <v>13</v>
      </c>
      <c r="C32" s="10" t="s">
        <v>28</v>
      </c>
      <c r="D32" s="10" t="s">
        <v>23</v>
      </c>
      <c r="E32" s="10" t="s">
        <v>24</v>
      </c>
      <c r="F32" s="10" t="s">
        <v>1</v>
      </c>
    </row>
    <row r="33" spans="2:8" x14ac:dyDescent="0.25">
      <c r="B33" s="10" t="s">
        <v>4</v>
      </c>
      <c r="C33" s="9">
        <v>9.4725974000000004E-2</v>
      </c>
      <c r="D33" s="8">
        <v>0.92254459679364598</v>
      </c>
      <c r="E33" s="7">
        <v>0.385385071473553</v>
      </c>
      <c r="F33" s="7">
        <v>6.6875193364792196E-2</v>
      </c>
    </row>
    <row r="34" spans="2:8" x14ac:dyDescent="0.25">
      <c r="B34" s="10" t="s">
        <v>5</v>
      </c>
      <c r="C34" s="9">
        <v>0.102452336</v>
      </c>
      <c r="D34" s="8">
        <v>0.53817423509068496</v>
      </c>
      <c r="E34" s="8">
        <v>-0.51784566087035699</v>
      </c>
      <c r="F34" s="8">
        <v>-8.6669485065099E-2</v>
      </c>
    </row>
    <row r="35" spans="2:8" x14ac:dyDescent="0.25">
      <c r="B35" s="10" t="s">
        <v>7</v>
      </c>
      <c r="C35" s="9">
        <v>0.110144282</v>
      </c>
    </row>
    <row r="36" spans="2:8" x14ac:dyDescent="0.25">
      <c r="B36" s="10" t="s">
        <v>11</v>
      </c>
      <c r="C36" s="9">
        <v>9.3918104000000002E-2</v>
      </c>
    </row>
    <row r="38" spans="2:8" x14ac:dyDescent="0.25">
      <c r="B38" s="10" t="s">
        <v>22</v>
      </c>
      <c r="C38" s="10" t="s">
        <v>28</v>
      </c>
      <c r="D38" s="10" t="s">
        <v>23</v>
      </c>
      <c r="E38" s="10" t="s">
        <v>24</v>
      </c>
      <c r="F38" s="10" t="s">
        <v>1</v>
      </c>
      <c r="G38" s="10" t="s">
        <v>25</v>
      </c>
      <c r="H38" s="10" t="s">
        <v>18</v>
      </c>
    </row>
    <row r="39" spans="2:8" x14ac:dyDescent="0.25">
      <c r="B39" s="10" t="s">
        <v>4</v>
      </c>
      <c r="C39" s="9">
        <v>9.4725974000000004E-2</v>
      </c>
      <c r="D39" s="7">
        <v>1.2050076272027901</v>
      </c>
      <c r="E39" s="7">
        <v>0.92674759673055396</v>
      </c>
      <c r="F39" s="7">
        <v>0.13984116014494999</v>
      </c>
      <c r="G39" s="7">
        <v>0.58415158227019104</v>
      </c>
      <c r="H39" s="7">
        <v>0.66959836720930499</v>
      </c>
    </row>
    <row r="40" spans="2:8" x14ac:dyDescent="0.25">
      <c r="B40" s="10" t="s">
        <v>5</v>
      </c>
      <c r="C40" s="9">
        <v>0.102452336</v>
      </c>
      <c r="D40" s="7">
        <v>1.11910970408747</v>
      </c>
      <c r="E40" s="7">
        <v>0.156816283020727</v>
      </c>
      <c r="F40" s="7">
        <v>8.9326261366187695E-2</v>
      </c>
      <c r="G40" s="7">
        <v>5.92725219807008E-2</v>
      </c>
      <c r="H40" s="7">
        <v>0.1017952207019</v>
      </c>
    </row>
    <row r="41" spans="2:8" x14ac:dyDescent="0.25">
      <c r="B41" s="10" t="s">
        <v>7</v>
      </c>
      <c r="C41" s="9">
        <v>0.110144282</v>
      </c>
      <c r="D41" s="7">
        <v>1.41606982531736</v>
      </c>
      <c r="E41" s="7">
        <v>0.52921681534296305</v>
      </c>
      <c r="F41" s="7">
        <v>3.0850994672477702E-2</v>
      </c>
      <c r="G41" s="7">
        <v>0.17041594173230901</v>
      </c>
      <c r="H41" s="7">
        <v>0.33346513766249403</v>
      </c>
    </row>
    <row r="42" spans="2:8" x14ac:dyDescent="0.25">
      <c r="B42" s="10" t="s">
        <v>11</v>
      </c>
      <c r="C42" s="9">
        <v>9.3918104000000002E-2</v>
      </c>
      <c r="D42" s="7">
        <v>1.1637562782531401</v>
      </c>
      <c r="E42" s="7">
        <v>0.401331670241585</v>
      </c>
      <c r="F42" s="7">
        <v>6.7271555006068101E-2</v>
      </c>
      <c r="G42" s="7">
        <v>8.1392652419518097E-2</v>
      </c>
      <c r="H42" s="7">
        <v>0.164652348864086</v>
      </c>
    </row>
    <row r="44" spans="2:8" x14ac:dyDescent="0.25">
      <c r="B44" s="1" t="s">
        <v>19</v>
      </c>
      <c r="C44" s="10" t="s">
        <v>28</v>
      </c>
      <c r="D44" s="10" t="s">
        <v>23</v>
      </c>
      <c r="E44" s="10" t="s">
        <v>24</v>
      </c>
      <c r="F44" s="10" t="s">
        <v>1</v>
      </c>
      <c r="G44" s="10" t="s">
        <v>25</v>
      </c>
      <c r="H44" s="10" t="s">
        <v>18</v>
      </c>
    </row>
    <row r="45" spans="2:8" x14ac:dyDescent="0.25">
      <c r="B45" s="10" t="s">
        <v>4</v>
      </c>
      <c r="C45" s="9">
        <v>9.4725974000000004E-2</v>
      </c>
      <c r="D45" s="8">
        <v>0.76151296818251002</v>
      </c>
      <c r="E45" s="8">
        <v>-0.82455849900808098</v>
      </c>
      <c r="F45" s="8">
        <v>-0.53010922957415696</v>
      </c>
      <c r="G45" s="8">
        <v>-0.67807302432253402</v>
      </c>
      <c r="H45" s="8">
        <v>-0.81917889363282403</v>
      </c>
    </row>
    <row r="46" spans="2:8" x14ac:dyDescent="0.25">
      <c r="B46" s="10" t="s">
        <v>5</v>
      </c>
      <c r="C46" s="9">
        <v>0.102452336</v>
      </c>
      <c r="D46" s="8">
        <v>0.63241662033349</v>
      </c>
      <c r="E46" s="8">
        <v>-0.77305412456000899</v>
      </c>
      <c r="F46" s="8">
        <v>-0.511670862423525</v>
      </c>
      <c r="G46" s="8">
        <v>-0.62213976025652196</v>
      </c>
      <c r="H46" s="8">
        <v>-0.76662036881149098</v>
      </c>
    </row>
    <row r="47" spans="2:8" x14ac:dyDescent="0.25">
      <c r="B47" s="10" t="s">
        <v>7</v>
      </c>
      <c r="C47" s="9">
        <v>0.110144282</v>
      </c>
      <c r="D47" s="8">
        <v>0.64478493475432996</v>
      </c>
      <c r="E47" s="8">
        <v>-0.64445784381595494</v>
      </c>
      <c r="F47" s="8">
        <v>-0.24334139198969101</v>
      </c>
      <c r="G47" s="8">
        <v>-0.34407999236201098</v>
      </c>
      <c r="H47" s="8">
        <v>-0.52379920048275397</v>
      </c>
    </row>
    <row r="48" spans="2:8" x14ac:dyDescent="0.25">
      <c r="B48" s="10" t="s">
        <v>11</v>
      </c>
      <c r="C48" s="9">
        <v>9.3918104000000002E-2</v>
      </c>
      <c r="D48" s="8">
        <v>0.74506131022172795</v>
      </c>
      <c r="E48" s="8">
        <v>-0.75894808346496501</v>
      </c>
      <c r="F48" s="8">
        <v>-0.37958282657101999</v>
      </c>
      <c r="G48" s="8">
        <v>-0.37092334927613402</v>
      </c>
      <c r="H48" s="8">
        <v>-0.49092006249230202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1C0C-8E57-4EF0-B25E-6D2284B1AE77}">
  <dimension ref="B2:H48"/>
  <sheetViews>
    <sheetView zoomScale="115" zoomScaleNormal="115" workbookViewId="0">
      <selection activeCell="F19" sqref="F19"/>
    </sheetView>
  </sheetViews>
  <sheetFormatPr defaultRowHeight="15" x14ac:dyDescent="0.25"/>
  <cols>
    <col min="2" max="2" width="16.140625" customWidth="1"/>
    <col min="3" max="3" width="10.42578125" customWidth="1"/>
    <col min="4" max="4" width="15.5703125" customWidth="1"/>
    <col min="5" max="5" width="14.42578125" customWidth="1"/>
    <col min="6" max="6" width="12.5703125" customWidth="1"/>
    <col min="7" max="7" width="16.28515625" customWidth="1"/>
    <col min="8" max="8" width="16" customWidth="1"/>
    <col min="9" max="9" width="9.140625" customWidth="1"/>
  </cols>
  <sheetData>
    <row r="2" spans="2:6" x14ac:dyDescent="0.25">
      <c r="B2" s="10" t="s">
        <v>12</v>
      </c>
      <c r="C2" s="10" t="s">
        <v>28</v>
      </c>
      <c r="D2" s="10" t="s">
        <v>23</v>
      </c>
      <c r="E2" s="10" t="s">
        <v>24</v>
      </c>
      <c r="F2" s="10" t="s">
        <v>1</v>
      </c>
    </row>
    <row r="3" spans="2:6" x14ac:dyDescent="0.25">
      <c r="B3" s="10" t="s">
        <v>4</v>
      </c>
      <c r="C3" s="9">
        <v>9.4725974000000004E-2</v>
      </c>
      <c r="D3" s="7">
        <v>2.1746388039620901</v>
      </c>
      <c r="E3" s="7">
        <v>0.90358482744648005</v>
      </c>
      <c r="F3" s="7">
        <v>0.17369777575697301</v>
      </c>
    </row>
    <row r="4" spans="2:6" x14ac:dyDescent="0.25">
      <c r="B4" s="10" t="s">
        <v>5</v>
      </c>
      <c r="C4" s="9">
        <v>0.102452336</v>
      </c>
      <c r="D4" s="7">
        <v>2.2792285281778502</v>
      </c>
      <c r="E4" s="7">
        <v>0.663434225775831</v>
      </c>
      <c r="F4" s="7">
        <v>9.9143945152060597E-2</v>
      </c>
    </row>
    <row r="5" spans="2:6" x14ac:dyDescent="0.25">
      <c r="B5" s="10" t="s">
        <v>6</v>
      </c>
      <c r="C5" s="9">
        <v>0.110144282</v>
      </c>
      <c r="D5" s="7">
        <v>1.4480475262282899</v>
      </c>
      <c r="E5" s="7">
        <v>0.66475177086608195</v>
      </c>
      <c r="F5" s="7">
        <v>0.21234239309632399</v>
      </c>
    </row>
    <row r="6" spans="2:6" x14ac:dyDescent="0.25">
      <c r="B6" s="10" t="s">
        <v>10</v>
      </c>
      <c r="C6" s="9">
        <v>9.3918104000000002E-2</v>
      </c>
      <c r="D6" s="8">
        <v>0.665445371933445</v>
      </c>
      <c r="E6" s="8">
        <v>-1.0305451800868599</v>
      </c>
      <c r="F6" s="8">
        <v>-4.1760232547360499E-2</v>
      </c>
    </row>
    <row r="8" spans="2:6" x14ac:dyDescent="0.25">
      <c r="B8" s="1" t="s">
        <v>17</v>
      </c>
      <c r="C8" s="10" t="s">
        <v>28</v>
      </c>
      <c r="D8" s="10" t="s">
        <v>23</v>
      </c>
      <c r="E8" s="10" t="s">
        <v>24</v>
      </c>
      <c r="F8" s="10" t="s">
        <v>1</v>
      </c>
    </row>
    <row r="9" spans="2:6" x14ac:dyDescent="0.25">
      <c r="B9" s="10" t="s">
        <v>4</v>
      </c>
      <c r="C9" s="9">
        <v>9.4725974000000004E-2</v>
      </c>
      <c r="D9" s="8">
        <v>0.93103098270545204</v>
      </c>
      <c r="E9" s="8">
        <v>0.356634245125801</v>
      </c>
      <c r="F9" s="8">
        <v>1.7836570943256701E-2</v>
      </c>
    </row>
    <row r="10" spans="2:6" x14ac:dyDescent="0.25">
      <c r="B10" s="10" t="s">
        <v>5</v>
      </c>
      <c r="C10" s="9">
        <v>0.102452336</v>
      </c>
      <c r="D10" s="8">
        <v>0.62021758140125105</v>
      </c>
      <c r="E10" s="8">
        <v>-0.834312574960141</v>
      </c>
      <c r="F10" s="8">
        <v>-0.54160608613664096</v>
      </c>
    </row>
    <row r="11" spans="2:6" x14ac:dyDescent="0.25">
      <c r="B11" s="10" t="s">
        <v>6</v>
      </c>
      <c r="C11" s="9">
        <v>0.110144282</v>
      </c>
      <c r="D11" s="8">
        <v>0.77501210984665403</v>
      </c>
      <c r="E11" s="8">
        <v>-0.908415578463458</v>
      </c>
      <c r="F11" s="8">
        <v>-0.17637365181995501</v>
      </c>
    </row>
    <row r="12" spans="2:6" x14ac:dyDescent="0.25">
      <c r="B12" s="10" t="s">
        <v>10</v>
      </c>
      <c r="C12" s="9">
        <v>9.3918104000000002E-2</v>
      </c>
      <c r="D12" s="8">
        <v>0.66267278810022201</v>
      </c>
      <c r="E12" s="8">
        <v>-1.0273129897173701</v>
      </c>
      <c r="F12" s="8">
        <v>-4.74716361793363E-2</v>
      </c>
    </row>
    <row r="14" spans="2:6" x14ac:dyDescent="0.25">
      <c r="B14" s="1" t="s">
        <v>16</v>
      </c>
      <c r="C14" s="10" t="s">
        <v>28</v>
      </c>
      <c r="D14" s="10" t="s">
        <v>23</v>
      </c>
      <c r="E14" s="10" t="s">
        <v>24</v>
      </c>
      <c r="F14" s="10" t="s">
        <v>1</v>
      </c>
    </row>
    <row r="15" spans="2:6" x14ac:dyDescent="0.25">
      <c r="B15" s="10" t="s">
        <v>4</v>
      </c>
      <c r="C15" s="9">
        <v>9.4725974000000004E-2</v>
      </c>
      <c r="D15" s="7">
        <v>1.5737102771314899</v>
      </c>
      <c r="E15" s="7">
        <v>0.86635228697468503</v>
      </c>
      <c r="F15" s="7">
        <v>0.199680501000808</v>
      </c>
    </row>
    <row r="16" spans="2:6" x14ac:dyDescent="0.25">
      <c r="B16" s="10" t="s">
        <v>5</v>
      </c>
      <c r="C16" s="9">
        <v>0.102452336</v>
      </c>
      <c r="D16" s="7">
        <v>1.50347635019633</v>
      </c>
      <c r="E16" s="7">
        <v>0.96614890517595997</v>
      </c>
      <c r="F16" s="7">
        <v>0.12535086320927399</v>
      </c>
    </row>
    <row r="17" spans="2:6" x14ac:dyDescent="0.25">
      <c r="B17" s="10" t="s">
        <v>6</v>
      </c>
      <c r="C17" s="9">
        <v>0.110144282</v>
      </c>
      <c r="D17" s="7">
        <v>1.46809780024647</v>
      </c>
      <c r="E17" s="7">
        <v>0.61110995616383801</v>
      </c>
      <c r="F17" s="7">
        <v>0.42964915677977999</v>
      </c>
    </row>
    <row r="18" spans="2:6" x14ac:dyDescent="0.25">
      <c r="B18" s="10" t="s">
        <v>10</v>
      </c>
      <c r="C18" s="9">
        <v>9.3918104000000002E-2</v>
      </c>
      <c r="D18" s="8">
        <v>0.56520265738304298</v>
      </c>
      <c r="E18" s="8">
        <v>-1.0275595596207601</v>
      </c>
      <c r="F18" s="8">
        <v>-6.6277814143714905E-2</v>
      </c>
    </row>
    <row r="20" spans="2:6" x14ac:dyDescent="0.25">
      <c r="B20" s="1" t="s">
        <v>15</v>
      </c>
      <c r="C20" s="10" t="s">
        <v>28</v>
      </c>
      <c r="D20" s="10" t="s">
        <v>23</v>
      </c>
      <c r="E20" s="10" t="s">
        <v>24</v>
      </c>
      <c r="F20" s="10" t="s">
        <v>1</v>
      </c>
    </row>
    <row r="21" spans="2:6" x14ac:dyDescent="0.25">
      <c r="B21" s="10" t="s">
        <v>4</v>
      </c>
      <c r="C21" s="9">
        <v>9.4725974000000004E-2</v>
      </c>
      <c r="D21" s="7">
        <v>2.2885725031264901</v>
      </c>
      <c r="E21" s="7">
        <v>0.86069377106338596</v>
      </c>
      <c r="F21" s="7">
        <v>0.14822690674265199</v>
      </c>
    </row>
    <row r="22" spans="2:6" x14ac:dyDescent="0.25">
      <c r="B22" s="10" t="s">
        <v>5</v>
      </c>
      <c r="C22" s="9">
        <v>0.102452336</v>
      </c>
      <c r="D22" s="8">
        <v>0.65629846710779305</v>
      </c>
      <c r="E22" s="8">
        <v>-0.38672859447744201</v>
      </c>
      <c r="F22" s="8">
        <v>-9.02599646039247E-2</v>
      </c>
    </row>
    <row r="23" spans="2:6" x14ac:dyDescent="0.25">
      <c r="B23" s="10" t="s">
        <v>6</v>
      </c>
      <c r="C23" s="9">
        <v>0.110144282</v>
      </c>
      <c r="D23" s="8">
        <v>0.92225532580611602</v>
      </c>
      <c r="E23" s="8">
        <v>-0.36586676677487101</v>
      </c>
      <c r="F23" s="7">
        <v>3.59517217205262E-2</v>
      </c>
    </row>
    <row r="24" spans="2:6" x14ac:dyDescent="0.25">
      <c r="B24" s="10" t="s">
        <v>10</v>
      </c>
      <c r="C24" s="9">
        <v>9.3918104000000002E-2</v>
      </c>
    </row>
    <row r="26" spans="2:6" x14ac:dyDescent="0.25">
      <c r="B26" s="1" t="s">
        <v>14</v>
      </c>
      <c r="C26" s="10" t="s">
        <v>28</v>
      </c>
      <c r="D26" s="10" t="s">
        <v>23</v>
      </c>
      <c r="E26" s="10" t="s">
        <v>24</v>
      </c>
      <c r="F26" s="10" t="s">
        <v>1</v>
      </c>
    </row>
    <row r="27" spans="2:6" x14ac:dyDescent="0.25">
      <c r="B27" s="10" t="s">
        <v>4</v>
      </c>
      <c r="C27" s="9">
        <v>9.4725974000000004E-2</v>
      </c>
      <c r="D27" s="7">
        <v>1.2975667452931301</v>
      </c>
      <c r="E27" s="7">
        <v>0.86785733003031096</v>
      </c>
      <c r="F27" s="7">
        <v>0.10077650528672399</v>
      </c>
    </row>
    <row r="28" spans="2:6" x14ac:dyDescent="0.25">
      <c r="B28" s="10" t="s">
        <v>5</v>
      </c>
      <c r="C28" s="9">
        <v>0.102452336</v>
      </c>
      <c r="D28" s="7">
        <v>1.0575708895152101</v>
      </c>
      <c r="E28" s="7">
        <v>0.26292322495904802</v>
      </c>
      <c r="F28" s="7">
        <v>6.3493902184217604E-2</v>
      </c>
    </row>
    <row r="29" spans="2:6" x14ac:dyDescent="0.25">
      <c r="B29" s="10" t="s">
        <v>6</v>
      </c>
      <c r="C29" s="9">
        <v>0.110144282</v>
      </c>
    </row>
    <row r="30" spans="2:6" x14ac:dyDescent="0.25">
      <c r="B30" s="10" t="s">
        <v>10</v>
      </c>
      <c r="C30" s="9">
        <v>9.3918104000000002E-2</v>
      </c>
    </row>
    <row r="32" spans="2:6" x14ac:dyDescent="0.25">
      <c r="B32" s="1" t="s">
        <v>13</v>
      </c>
      <c r="C32" s="10" t="s">
        <v>28</v>
      </c>
      <c r="D32" s="10" t="s">
        <v>23</v>
      </c>
      <c r="E32" s="10" t="s">
        <v>24</v>
      </c>
      <c r="F32" s="10" t="s">
        <v>1</v>
      </c>
    </row>
    <row r="33" spans="2:8" x14ac:dyDescent="0.25">
      <c r="B33" s="10" t="s">
        <v>4</v>
      </c>
      <c r="C33" s="9">
        <v>9.4725974000000004E-2</v>
      </c>
      <c r="D33" s="8">
        <v>0.92254459679364598</v>
      </c>
      <c r="E33" s="7">
        <v>0.385385071473553</v>
      </c>
      <c r="F33" s="7">
        <v>6.6875193364792196E-2</v>
      </c>
    </row>
    <row r="34" spans="2:8" x14ac:dyDescent="0.25">
      <c r="B34" s="10" t="s">
        <v>5</v>
      </c>
      <c r="C34" s="9">
        <v>0.102452336</v>
      </c>
      <c r="D34" s="8">
        <v>0.53817423509068496</v>
      </c>
      <c r="E34" s="8">
        <v>-0.51784566087035699</v>
      </c>
      <c r="F34" s="8">
        <v>-8.6669485065099E-2</v>
      </c>
    </row>
    <row r="35" spans="2:8" x14ac:dyDescent="0.25">
      <c r="B35" s="10" t="s">
        <v>6</v>
      </c>
      <c r="C35" s="9">
        <v>0.110144282</v>
      </c>
    </row>
    <row r="36" spans="2:8" x14ac:dyDescent="0.25">
      <c r="B36" s="10" t="s">
        <v>10</v>
      </c>
      <c r="C36" s="9">
        <v>9.3918104000000002E-2</v>
      </c>
    </row>
    <row r="38" spans="2:8" x14ac:dyDescent="0.25">
      <c r="B38" s="10" t="s">
        <v>22</v>
      </c>
      <c r="C38" s="10" t="s">
        <v>28</v>
      </c>
      <c r="D38" s="10" t="s">
        <v>23</v>
      </c>
      <c r="E38" s="10" t="s">
        <v>24</v>
      </c>
      <c r="F38" s="10" t="s">
        <v>1</v>
      </c>
      <c r="G38" s="10" t="s">
        <v>25</v>
      </c>
      <c r="H38" s="10" t="s">
        <v>18</v>
      </c>
    </row>
    <row r="39" spans="2:8" x14ac:dyDescent="0.25">
      <c r="B39" s="1" t="s">
        <v>4</v>
      </c>
      <c r="C39" s="9">
        <v>9.4725974000000004E-2</v>
      </c>
      <c r="D39" s="7">
        <v>1.2050076272027901</v>
      </c>
      <c r="E39" s="7">
        <v>0.92674759673055396</v>
      </c>
      <c r="F39" s="7">
        <v>0.13984116014494999</v>
      </c>
      <c r="G39" s="7">
        <v>0.58415158227019104</v>
      </c>
      <c r="H39" s="7">
        <v>0.66959836720930499</v>
      </c>
    </row>
    <row r="40" spans="2:8" x14ac:dyDescent="0.25">
      <c r="B40" s="1" t="s">
        <v>5</v>
      </c>
      <c r="C40" s="9">
        <v>0.102452336</v>
      </c>
      <c r="D40" s="7">
        <v>1.11910970408747</v>
      </c>
      <c r="E40" s="7">
        <v>0.156816283020727</v>
      </c>
      <c r="F40" s="7">
        <v>8.9326261366187695E-2</v>
      </c>
      <c r="G40" s="7">
        <v>5.92725219807008E-2</v>
      </c>
      <c r="H40" s="7">
        <v>0.1017952207019</v>
      </c>
    </row>
    <row r="41" spans="2:8" x14ac:dyDescent="0.25">
      <c r="B41" s="1" t="s">
        <v>6</v>
      </c>
      <c r="C41" s="9">
        <v>0.110144282</v>
      </c>
      <c r="D41" s="7">
        <v>1.4074954172257299</v>
      </c>
      <c r="E41" s="7">
        <v>0.25880560171696498</v>
      </c>
      <c r="F41" s="7">
        <v>4.6283799610675601E-2</v>
      </c>
      <c r="G41" s="7">
        <v>0.10621290455320199</v>
      </c>
      <c r="H41" s="8">
        <v>-0.90837567524790197</v>
      </c>
    </row>
    <row r="42" spans="2:8" x14ac:dyDescent="0.25">
      <c r="B42" s="1" t="s">
        <v>11</v>
      </c>
      <c r="C42" s="9">
        <v>9.3918104000000002E-2</v>
      </c>
      <c r="D42" s="7">
        <v>1.1637562782531401</v>
      </c>
      <c r="E42" s="7">
        <v>0.401331670241585</v>
      </c>
      <c r="F42" s="7">
        <v>6.7271555006068101E-2</v>
      </c>
      <c r="G42" s="7">
        <v>8.1392652419518097E-2</v>
      </c>
      <c r="H42" s="7">
        <v>0.164652348864086</v>
      </c>
    </row>
    <row r="44" spans="2:8" x14ac:dyDescent="0.25">
      <c r="B44" s="1" t="s">
        <v>19</v>
      </c>
      <c r="C44" s="10" t="s">
        <v>28</v>
      </c>
      <c r="D44" s="10" t="s">
        <v>23</v>
      </c>
      <c r="E44" s="10" t="s">
        <v>24</v>
      </c>
      <c r="F44" s="10" t="s">
        <v>1</v>
      </c>
      <c r="G44" s="10" t="s">
        <v>25</v>
      </c>
      <c r="H44" s="10" t="s">
        <v>18</v>
      </c>
    </row>
    <row r="45" spans="2:8" x14ac:dyDescent="0.25">
      <c r="B45" s="1" t="s">
        <v>4</v>
      </c>
      <c r="C45" s="9">
        <v>9.4725974000000004E-2</v>
      </c>
      <c r="D45" s="8">
        <v>0.76151296818251002</v>
      </c>
      <c r="E45" s="8">
        <v>-0.82455849900808098</v>
      </c>
      <c r="F45" s="8">
        <v>-0.53010922957415696</v>
      </c>
      <c r="G45" s="8">
        <v>-0.67807302432253402</v>
      </c>
      <c r="H45" s="8">
        <v>-0.81917889363282403</v>
      </c>
    </row>
    <row r="46" spans="2:8" x14ac:dyDescent="0.25">
      <c r="B46" s="1" t="s">
        <v>5</v>
      </c>
      <c r="C46" s="9">
        <v>0.102452336</v>
      </c>
      <c r="D46" s="8">
        <v>0.63241662033349</v>
      </c>
      <c r="E46" s="8">
        <v>-0.77305412456000899</v>
      </c>
      <c r="F46" s="8">
        <v>-0.511670862423525</v>
      </c>
      <c r="G46" s="8">
        <v>-0.62213976025652196</v>
      </c>
      <c r="H46" s="8">
        <v>-0.76662036881149098</v>
      </c>
    </row>
    <row r="47" spans="2:8" x14ac:dyDescent="0.25">
      <c r="B47" s="1" t="s">
        <v>6</v>
      </c>
      <c r="C47" s="9">
        <v>0.110144282</v>
      </c>
      <c r="D47" s="8">
        <v>0.68587815994758305</v>
      </c>
      <c r="E47" s="8">
        <v>-0.74314055155585101</v>
      </c>
      <c r="F47" s="8">
        <v>-0.22155858359451899</v>
      </c>
      <c r="G47" s="8">
        <v>-0.51680913320449795</v>
      </c>
      <c r="H47" s="8">
        <v>-0.79093223163479298</v>
      </c>
    </row>
    <row r="48" spans="2:8" x14ac:dyDescent="0.25">
      <c r="B48" s="1" t="s">
        <v>11</v>
      </c>
      <c r="C48" s="9">
        <v>9.3918104000000002E-2</v>
      </c>
      <c r="D48" s="8">
        <v>0.74506131022172795</v>
      </c>
      <c r="E48" s="8">
        <v>-0.75894808346496501</v>
      </c>
      <c r="F48" s="8">
        <v>-0.37958282657101999</v>
      </c>
      <c r="G48" s="8">
        <v>-0.37092334927613402</v>
      </c>
      <c r="H48" s="8">
        <v>-0.49092006249230202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upstream</vt:lpstr>
      <vt:lpstr>downstream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2026-06-26T04:46:24Z</dcterms:modified>
</cp:coreProperties>
</file>