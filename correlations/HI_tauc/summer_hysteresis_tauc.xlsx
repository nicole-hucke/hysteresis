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3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HI_tauc\"/>
    </mc:Choice>
  </mc:AlternateContent>
  <xr:revisionPtr revIDLastSave="0" documentId="13_ncr:1_{0EC999E5-F0EF-4D27-822F-DFDD46636528}" xr6:coauthVersionLast="47" xr6:coauthVersionMax="47" xr10:uidLastSave="{00000000-0000-0000-0000-000000000000}"/>
  <bookViews>
    <workbookView xWindow="-108" yWindow="-108" windowWidth="23256" windowHeight="12456" xr2:uid="{867610DC-2157-4A8B-BAD4-C3624B9432BC}"/>
  </bookViews>
  <sheets>
    <sheet name="all" sheetId="1" r:id="rId1"/>
    <sheet name="upstream" sheetId="4" r:id="rId2"/>
    <sheet name="downstrea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1" i="1" l="1"/>
  <c r="I22" i="1"/>
  <c r="I23" i="1"/>
  <c r="I24" i="1"/>
  <c r="I28" i="1"/>
  <c r="I29" i="1"/>
</calcChain>
</file>

<file path=xl/sharedStrings.xml><?xml version="1.0" encoding="utf-8"?>
<sst xmlns="http://schemas.openxmlformats.org/spreadsheetml/2006/main" count="299" uniqueCount="35">
  <si>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</si>
  <si>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</si>
  <si>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</si>
  <si>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</si>
  <si>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</si>
  <si>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</si>
  <si>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</si>
  <si>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</si>
  <si>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</si>
  <si>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</si>
  <si>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</si>
  <si>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</si>
  <si>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</si>
  <si>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SRP (mg/L)</t>
  </si>
  <si>
    <t>TP (mg/L)</t>
  </si>
  <si>
    <t>PP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</si>
  <si>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</si>
  <si>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</si>
  <si>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</si>
  <si>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</si>
  <si>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</si>
  <si>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</si>
  <si>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</si>
  <si>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</si>
  <si>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</si>
  <si>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</si>
  <si>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</si>
  <si>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</si>
  <si>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tau_c50</t>
  </si>
  <si>
    <t>tau_c25</t>
  </si>
  <si>
    <t>Peak concentration (mg/L)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</si>
  <si>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</si>
  <si>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</si>
  <si>
    <t xml:space="preserve">Peak Tau (Pa) </t>
  </si>
  <si>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 xml:space="preserve">peak / </t>
    </r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>c50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</si>
</sst>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8-4D6B-89DE-404887265DDB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all!$C$7:$C$15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C8-4D6B-89DE-404887265DDB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all!$E$21:$E$29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63-422C-AC08-70B09C432EC2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all!$C$21:$C$29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all!$E$21:$E$29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63-422C-AC08-70B09C432EC2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all!$E$21:$E$29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all!$E$35:$E$43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6C-4AF0-AC4C-498C384EB92D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all!$C$35:$C$43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all!$E$35:$E$43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C-4AF0-AC4C-498C384EB92D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all!$E$35:$E$43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C-4AF0-AC4C-498C384EB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7-40ED-8FBC-2287F011599A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all!$C$48:$C$54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87-40ED-8FBC-2287F011599A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37464266139443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3"/>
          <c:order val="3"/>
          <c:tx>
            <c:strRef>
              <c:f>all!$E$45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87-40ED-8FBC-2287F011599A}"/>
            </c:ext>
          </c:extLst>
        </c:ser>
        <c:ser>
          <c:idx val="4"/>
          <c:order val="4"/>
          <c:tx>
            <c:strRef>
              <c:f>all!$F$45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87-40ED-8FBC-2287F0115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all!$AD$7:$AD$15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all!$AG$7:$AG$15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0F-4050-B037-DAC9157FAB39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231378228098051"/>
                  <c:y val="-0.286608923884514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all!$AE$7:$AE$15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all!$AG$7:$AG$15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0F-4050-B037-DAC9157FAB39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350363757892299E-2"/>
                  <c:y val="0.1046334208223972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all!$AF$7:$AF$15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all!$AG$7:$AG$15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0F-4050-B037-DAC9157FA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all!$N$48:$N$54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20-404E-BB99-5A6384BD13A2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all!$O$48:$O$54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20-404E-BB99-5A6384BD13A2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all!$P$48:$P$54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3"/>
          <c:order val="3"/>
          <c:tx>
            <c:strRef>
              <c:f>all!$E$45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440578309028102"/>
                  <c:y val="-0.1701386736106805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20-404E-BB99-5A6384BD13A2}"/>
            </c:ext>
          </c:extLst>
        </c:ser>
        <c:ser>
          <c:idx val="4"/>
          <c:order val="4"/>
          <c:tx>
            <c:strRef>
              <c:f>all!$F$45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all!$R$48:$R$54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20-404E-BB99-5A6384BD1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all!$G$7:$G$15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E6-4751-8363-DFD2A887DEBF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all!$G$35:$G$43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E6-4751-8363-DFD2A887DEBF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all!$G$21:$G$29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E6-4751-8363-DFD2A887D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all!$I$4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all!$E$8:$E$15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75-476E-8EA7-F7B68F7926E0}"/>
            </c:ext>
          </c:extLst>
        </c:ser>
        <c:ser>
          <c:idx val="1"/>
          <c:order val="1"/>
          <c:tx>
            <c:strRef>
              <c:f>all!$H$4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all!$E$8:$E$15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75-476E-8EA7-F7B68F792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58-4E06-BC29-CAFE10240563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all!$C$7:$C$15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58-4E06-BC29-CAFE10240563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783233974783884E-2"/>
                  <c:y val="-4.282786705644913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58-4E06-BC29-CAFE10240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57-4BE7-9E8D-654918B38145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all!$C$21:$C$29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57-4BE7-9E8D-654918B38145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57-4BE7-9E8D-654918B38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3-44D7-BA43-852A6E0E3E62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all!$C$35:$C$43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D33-44D7-BA43-852A6E0E3E62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D33-44D7-BA43-852A6E0E3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all!$G$7:$G$15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4-4683-BD9C-975B94979B38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all!$G$35:$G$43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C4-4683-BD9C-975B94979B38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all!$G$21:$G$29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EC4-4683-BD9C-975B94979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all!$I$4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15-4D58-8797-E14C6EC698AB}"/>
            </c:ext>
          </c:extLst>
        </c:ser>
        <c:ser>
          <c:idx val="1"/>
          <c:order val="1"/>
          <c:tx>
            <c:strRef>
              <c:f>all!$H$4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15-4D58-8797-E14C6EC69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all!$I$21:$I$29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A3-4932-9C0C-F1CE9CFCC9EE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all!$C$7:$C$15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all!$I$21:$I$29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A3-4932-9C0C-F1CE9CFCC9EE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783233974783884E-2"/>
                  <c:y val="-4.282786705644913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all!$I$21:$I$29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all!$I$21:$I$29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67-40B8-85F7-18F462AF33D3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all!$C$21:$C$29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all!$I$21:$I$29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67-40B8-85F7-18F462AF33D3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all!$I$21:$I$29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all!$I$21:$I$29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35-4913-85D3-14942E6E6A66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all!$C$35:$C$43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all!$I$21:$I$29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735-4913-85D3-14942E6E6A66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all!$I$21:$I$29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735-4913-85D3-14942E6E6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D5-457B-95C1-70791EA7D300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all!$C$48:$C$54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D5-457B-95C1-70791EA7D300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2956617980307970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D5-457B-95C1-70791EA7D300}"/>
            </c:ext>
          </c:extLst>
        </c:ser>
        <c:ser>
          <c:idx val="3"/>
          <c:order val="3"/>
          <c:tx>
            <c:strRef>
              <c:f>all!$E$45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CD5-457B-95C1-70791EA7D300}"/>
            </c:ext>
          </c:extLst>
        </c:ser>
        <c:ser>
          <c:idx val="4"/>
          <c:order val="4"/>
          <c:tx>
            <c:strRef>
              <c:f>all!$F$45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CD5-457B-95C1-70791EA7D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33924906755076667"/>
          <c:y val="4.41381774969819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all!$N$48:$N$54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D6-4405-917C-CA924CED60D5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all!$O$48:$O$54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D6-4405-917C-CA924CED60D5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all!$P$48:$P$54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2D6-4405-917C-CA924CED60D5}"/>
            </c:ext>
          </c:extLst>
        </c:ser>
        <c:ser>
          <c:idx val="3"/>
          <c:order val="3"/>
          <c:tx>
            <c:strRef>
              <c:f>all!$E$45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440578309028102"/>
                  <c:y val="-0.1701386736106805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2D6-4405-917C-CA924CED60D5}"/>
            </c:ext>
          </c:extLst>
        </c:ser>
        <c:ser>
          <c:idx val="4"/>
          <c:order val="4"/>
          <c:tx>
            <c:strRef>
              <c:f>all!$F$45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all!$R$48:$R$54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2D6-4405-917C-CA924CED60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13171215157721197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all!$G$22:$G$29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0A-439D-93D3-954300380D91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all!$G$8:$G$15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0A-439D-93D3-954300380D91}"/>
            </c:ext>
          </c:extLst>
        </c:ser>
        <c:ser>
          <c:idx val="2"/>
          <c:order val="2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all!$G$36:$G$43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0A-439D-93D3-954300380D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</a:t>
            </a:r>
            <a:r>
              <a:rPr lang="el-GR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100"/>
              <a:t>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25560393892964078"/>
          <c:y val="4.56392886708911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all!$G$22:$G$29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FE-468E-8A20-B9B2A093F94D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all!$G$8:$G$15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FE-468E-8A20-B9B2A093F94D}"/>
            </c:ext>
          </c:extLst>
        </c:ser>
        <c:ser>
          <c:idx val="2"/>
          <c:order val="2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all!$G$36:$G$43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7FE-468E-8A20-B9B2A093F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E3-4313-9168-F8FD1087F1AE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all!$C$48:$C$54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3E3-4313-9168-F8FD1087F1AE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37464266139443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3E3-4313-9168-F8FD1087F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1.45242884682964</c:v>
                </c:pt>
                <c:pt idx="3">
                  <c:v>0.84619083652769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B1-4956-B817-E8C40C25D034}"/>
            </c:ext>
          </c:extLst>
        </c:ser>
        <c:ser>
          <c:idx val="1"/>
          <c:order val="1"/>
          <c:tx>
            <c:strRef>
              <c:f>upstream!$E$2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0.238708102284336</c:v>
                </c:pt>
                <c:pt idx="3">
                  <c:v>-0.57708462423306806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B1-4956-B817-E8C40C25D034}"/>
            </c:ext>
          </c:extLst>
        </c:ser>
        <c:ser>
          <c:idx val="2"/>
          <c:order val="2"/>
          <c:tx>
            <c:strRef>
              <c:f>upstream!$F$2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B1-4956-B817-E8C40C25D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1.0770799229366299</c:v>
                </c:pt>
                <c:pt idx="3">
                  <c:v>1.6537701478523501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E1-4D42-BA91-AB50649B3C83}"/>
            </c:ext>
          </c:extLst>
        </c:ser>
        <c:ser>
          <c:idx val="1"/>
          <c:order val="1"/>
          <c:tx>
            <c:strRef>
              <c:f>upstream!$E$8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0.64255712913469198</c:v>
                </c:pt>
                <c:pt idx="3">
                  <c:v>0.384403035464087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E1-4D42-BA91-AB50649B3C83}"/>
            </c:ext>
          </c:extLst>
        </c:ser>
        <c:ser>
          <c:idx val="2"/>
          <c:order val="2"/>
          <c:tx>
            <c:strRef>
              <c:f>upstream!$F$8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0.41389016217674901</c:v>
                </c:pt>
                <c:pt idx="3">
                  <c:v>5.9760012226563401E-2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E1-4D42-BA91-AB50649B3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1.29322320004102</c:v>
                </c:pt>
                <c:pt idx="3">
                  <c:v>0.82233612818652901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83-44D4-A37C-CA6A6A74FCB8}"/>
            </c:ext>
          </c:extLst>
        </c:ser>
        <c:ser>
          <c:idx val="1"/>
          <c:order val="1"/>
          <c:tx>
            <c:strRef>
              <c:f>upstream!$E$14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0.43470959470339599</c:v>
                </c:pt>
                <c:pt idx="3">
                  <c:v>-0.50591021290758598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83-44D4-A37C-CA6A6A74FCB8}"/>
            </c:ext>
          </c:extLst>
        </c:ser>
        <c:ser>
          <c:idx val="2"/>
          <c:order val="2"/>
          <c:tx>
            <c:strRef>
              <c:f>upstream!$F$14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0.36758406997509402</c:v>
                </c:pt>
                <c:pt idx="3">
                  <c:v>-0.161754895727207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83-44D4-A37C-CA6A6A74F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0.61809493388466297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97-4AC5-9B9D-C48505CAC553}"/>
            </c:ext>
          </c:extLst>
        </c:ser>
        <c:ser>
          <c:idx val="1"/>
          <c:order val="1"/>
          <c:tx>
            <c:strRef>
              <c:f>upstream!$E$20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-0.851696935181535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97-4AC5-9B9D-C48505CAC553}"/>
            </c:ext>
          </c:extLst>
        </c:ser>
        <c:ser>
          <c:idx val="2"/>
          <c:order val="2"/>
          <c:tx>
            <c:strRef>
              <c:f>upstream!$F$20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-0.17562342751062601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B97-4AC5-9B9D-C48505CA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1.41606982531736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6-4153-ADAF-C7CBB3E3F799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0.52921681534296305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26-4153-ADAF-C7CBB3E3F799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18973996691808"/>
                  <c:y val="-7.914628318519001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26-4153-ADAF-C7CBB3E3F799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513711420441659"/>
                  <c:y val="7.980178948219708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0.17041594173230901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26-4153-ADAF-C7CBB3E3F799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01432075857969"/>
                  <c:y val="-0.2039412720468764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0.33346513766249403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26-4153-ADAF-C7CBB3E3F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0.64478493475432996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F5-4A81-AE3D-ADEA7D36661E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-0.64445784381595494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F5-4A81-AE3D-ADEA7D36661E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-0.24334139198969101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F5-4A81-AE3D-ADEA7D36661E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-0.34407999236201098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F5-4A81-AE3D-ADEA7D36661E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-0.52379920048275397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F5-4A81-AE3D-ADEA7D366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0.665445371933445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5-47A3-B056-0568C7DD77A8}"/>
            </c:ext>
          </c:extLst>
        </c:ser>
        <c:ser>
          <c:idx val="1"/>
          <c:order val="1"/>
          <c:tx>
            <c:strRef>
              <c:f>downstream!$E$2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-1.0305451800868599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585-47A3-B056-0568C7DD77A8}"/>
            </c:ext>
          </c:extLst>
        </c:ser>
        <c:ser>
          <c:idx val="2"/>
          <c:order val="2"/>
          <c:tx>
            <c:strRef>
              <c:f>downstream!$F$2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585-47A3-B056-0568C7DD7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0.66267278810022201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8-4346-B760-CE308CA93636}"/>
            </c:ext>
          </c:extLst>
        </c:ser>
        <c:ser>
          <c:idx val="1"/>
          <c:order val="1"/>
          <c:tx>
            <c:strRef>
              <c:f>downstream!$E$8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-1.0273129897173701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A8-4346-B760-CE308CA93636}"/>
            </c:ext>
          </c:extLst>
        </c:ser>
        <c:ser>
          <c:idx val="2"/>
          <c:order val="2"/>
          <c:tx>
            <c:strRef>
              <c:f>downstream!$F$8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-4.74716361793363E-2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A8-4346-B760-CE308CA93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0.56520265738304298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E2-4663-A01F-3DBF7F5768D6}"/>
            </c:ext>
          </c:extLst>
        </c:ser>
        <c:ser>
          <c:idx val="1"/>
          <c:order val="1"/>
          <c:tx>
            <c:strRef>
              <c:f>downstream!$E$14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-1.0275595596207601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E2-4663-A01F-3DBF7F5768D6}"/>
            </c:ext>
          </c:extLst>
        </c:ser>
        <c:ser>
          <c:idx val="2"/>
          <c:order val="2"/>
          <c:tx>
            <c:strRef>
              <c:f>downstream!$F$14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-6.6277814143714905E-2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E2-4663-A01F-3DBF7F576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8D-4C22-BD18-E4CB9ED07FDF}"/>
            </c:ext>
          </c:extLst>
        </c:ser>
        <c:ser>
          <c:idx val="1"/>
          <c:order val="1"/>
          <c:tx>
            <c:strRef>
              <c:f>downstream!$E$20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8D-4C22-BD18-E4CB9ED07FDF}"/>
            </c:ext>
          </c:extLst>
        </c:ser>
        <c:ser>
          <c:idx val="2"/>
          <c:order val="2"/>
          <c:tx>
            <c:strRef>
              <c:f>downstream!$F$20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08D-4C22-BD18-E4CB9ED07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2A-485C-BB97-E93B5176A243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2A-485C-BB97-E93B5176A243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921277224452904"/>
                  <c:y val="-0.12709416718593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2A-485C-BB97-E93B5176A243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72A-485C-BB97-E93B5176A243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5422989344874944E-2"/>
                  <c:y val="4.148869880473573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72A-485C-BB97-E93B5176A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50-4D6C-9CA1-EFF481423672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50-4D6C-9CA1-EFF481423672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50-4D6C-9CA1-EFF481423672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50-4D6C-9CA1-EFF481423672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250-4D6C-9CA1-EFF481423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5" Type="http://schemas.openxmlformats.org/officeDocument/2006/relationships/chart" Target="../charts/chart32.xml"/><Relationship Id="rId4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571500</xdr:colOff>
      <xdr:row>3</xdr:row>
      <xdr:rowOff>47625</xdr:rowOff>
    </xdr:from>
    <xdr:to>
      <xdr:col>11</xdr:col>
      <xdr:colOff>647700</xdr:colOff>
      <xdr:row>15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552450</xdr:colOff>
      <xdr:row>15</xdr:row>
      <xdr:rowOff>114300</xdr:rowOff>
    </xdr:from>
    <xdr:to>
      <xdr:col>11</xdr:col>
      <xdr:colOff>628650</xdr:colOff>
      <xdr:row>27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552450</xdr:colOff>
      <xdr:row>27</xdr:row>
      <xdr:rowOff>171450</xdr:rowOff>
    </xdr:from>
    <xdr:to>
      <xdr:col>11</xdr:col>
      <xdr:colOff>628650</xdr:colOff>
      <xdr:row>39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A4AD7-BA9A-4A02-BEDF-4950CB5220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419099</xdr:colOff>
      <xdr:row>54</xdr:row>
      <xdr:rowOff>161925</xdr:rowOff>
    </xdr:from>
    <xdr:to>
      <xdr:col>2</xdr:col>
      <xdr:colOff>1152524</xdr:colOff>
      <xdr:row>69</xdr:row>
      <xdr:rowOff>44823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496535</xdr:colOff>
      <xdr:row>40</xdr:row>
      <xdr:rowOff>70510</xdr:rowOff>
    </xdr:from>
    <xdr:to>
      <xdr:col>11</xdr:col>
      <xdr:colOff>546758</xdr:colOff>
      <xdr:row>54</xdr:row>
      <xdr:rowOff>168087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78709D-EECD-4C25-8CA4-4E3342558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1187824</xdr:colOff>
      <xdr:row>54</xdr:row>
      <xdr:rowOff>160085</xdr:rowOff>
    </xdr:from>
    <xdr:to>
      <xdr:col>6</xdr:col>
      <xdr:colOff>246530</xdr:colOff>
      <xdr:row>69</xdr:row>
      <xdr:rowOff>56029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1098175</xdr:colOff>
      <xdr:row>2</xdr:row>
      <xdr:rowOff>188899</xdr:rowOff>
    </xdr:from>
    <xdr:to>
      <xdr:col>22</xdr:col>
      <xdr:colOff>255493</xdr:colOff>
      <xdr:row>14</xdr:row>
      <xdr:rowOff>188899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A433280-46F2-4CFE-BCFD-7148BDE8E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1086969</xdr:colOff>
      <xdr:row>15</xdr:row>
      <xdr:rowOff>78441</xdr:rowOff>
    </xdr:from>
    <xdr:to>
      <xdr:col>22</xdr:col>
      <xdr:colOff>244287</xdr:colOff>
      <xdr:row>27</xdr:row>
      <xdr:rowOff>112059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6D46AF8-5C11-4B60-B0AB-57510DEA8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803461</xdr:colOff>
      <xdr:row>3</xdr:row>
      <xdr:rowOff>33618</xdr:rowOff>
    </xdr:from>
    <xdr:to>
      <xdr:col>15</xdr:col>
      <xdr:colOff>5602</xdr:colOff>
      <xdr:row>15</xdr:row>
      <xdr:rowOff>33618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58F965B-B112-4163-B085-94EBC5E13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784411</xdr:colOff>
      <xdr:row>15</xdr:row>
      <xdr:rowOff>100293</xdr:rowOff>
    </xdr:from>
    <xdr:to>
      <xdr:col>14</xdr:col>
      <xdr:colOff>849405</xdr:colOff>
      <xdr:row>27</xdr:row>
      <xdr:rowOff>100293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6B14932-7211-4A06-BA01-C3CDF26BB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784411</xdr:colOff>
      <xdr:row>27</xdr:row>
      <xdr:rowOff>157443</xdr:rowOff>
    </xdr:from>
    <xdr:to>
      <xdr:col>14</xdr:col>
      <xdr:colOff>849405</xdr:colOff>
      <xdr:row>39</xdr:row>
      <xdr:rowOff>157443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69F64B7-7005-45AB-9C4F-D41377AEF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347382</xdr:colOff>
      <xdr:row>3</xdr:row>
      <xdr:rowOff>1</xdr:rowOff>
    </xdr:from>
    <xdr:to>
      <xdr:col>27</xdr:col>
      <xdr:colOff>569259</xdr:colOff>
      <xdr:row>15</xdr:row>
      <xdr:rowOff>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868E4CF-B064-4EEB-983D-14B80456F5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336176</xdr:colOff>
      <xdr:row>15</xdr:row>
      <xdr:rowOff>80043</xdr:rowOff>
    </xdr:from>
    <xdr:to>
      <xdr:col>27</xdr:col>
      <xdr:colOff>558053</xdr:colOff>
      <xdr:row>27</xdr:row>
      <xdr:rowOff>113661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DB80C0E-2101-4768-982A-A8CA30BEA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14</xdr:col>
      <xdr:colOff>859492</xdr:colOff>
      <xdr:row>3</xdr:row>
      <xdr:rowOff>33618</xdr:rowOff>
    </xdr:from>
    <xdr:to>
      <xdr:col>17</xdr:col>
      <xdr:colOff>969310</xdr:colOff>
      <xdr:row>15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15</xdr:col>
      <xdr:colOff>11207</xdr:colOff>
      <xdr:row>15</xdr:row>
      <xdr:rowOff>89087</xdr:rowOff>
    </xdr:from>
    <xdr:to>
      <xdr:col>17</xdr:col>
      <xdr:colOff>983878</xdr:colOff>
      <xdr:row>27</xdr:row>
      <xdr:rowOff>89087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11207</xdr:colOff>
      <xdr:row>27</xdr:row>
      <xdr:rowOff>146237</xdr:rowOff>
    </xdr:from>
    <xdr:to>
      <xdr:col>17</xdr:col>
      <xdr:colOff>983878</xdr:colOff>
      <xdr:row>39</xdr:row>
      <xdr:rowOff>146237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3E75FA9-ECE7-43FA-912C-AAFCE40F9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459441</xdr:colOff>
      <xdr:row>69</xdr:row>
      <xdr:rowOff>136310</xdr:rowOff>
    </xdr:from>
    <xdr:to>
      <xdr:col>2</xdr:col>
      <xdr:colOff>1192866</xdr:colOff>
      <xdr:row>84</xdr:row>
      <xdr:rowOff>19208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C856C11-94C0-44BD-AA42-B4D04D6C4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1216960</xdr:colOff>
      <xdr:row>69</xdr:row>
      <xdr:rowOff>134470</xdr:rowOff>
    </xdr:from>
    <xdr:to>
      <xdr:col>6</xdr:col>
      <xdr:colOff>275666</xdr:colOff>
      <xdr:row>84</xdr:row>
      <xdr:rowOff>30414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50CE23D-5AC0-414A-94F3-4C8025A023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17</xdr:col>
      <xdr:colOff>1074965</xdr:colOff>
      <xdr:row>27</xdr:row>
      <xdr:rowOff>149679</xdr:rowOff>
    </xdr:from>
    <xdr:to>
      <xdr:col>22</xdr:col>
      <xdr:colOff>232283</xdr:colOff>
      <xdr:row>39</xdr:row>
      <xdr:rowOff>183297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377AE2B-20E4-468D-A264-82FA01150D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22</xdr:col>
      <xdr:colOff>353786</xdr:colOff>
      <xdr:row>27</xdr:row>
      <xdr:rowOff>149678</xdr:rowOff>
    </xdr:from>
    <xdr:to>
      <xdr:col>27</xdr:col>
      <xdr:colOff>572461</xdr:colOff>
      <xdr:row>39</xdr:row>
      <xdr:rowOff>183296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8734B2FE-6651-4262-A04A-4EDDA349D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803637</xdr:colOff>
      <xdr:row>61</xdr:row>
      <xdr:rowOff>117837</xdr:rowOff>
    </xdr:from>
    <xdr:to>
      <xdr:col>12</xdr:col>
      <xdr:colOff>413656</xdr:colOff>
      <xdr:row>79</xdr:row>
      <xdr:rowOff>87085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0722FB5-8B83-49BB-8B34-4DD785FF66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AF3D2-16E1-43BF-96ED-AF3B03FBD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C6957B-150A-4093-A10B-D131D078C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2D75F6-D7AC-4DAA-AFAA-2F36BC055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8F7D38-AA19-4A97-B087-8A3D01C53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3B3007-2E6B-43B8-830D-4BBB6BBC4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8C3EE6-4CF0-4405-84F1-5F0C57F09C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BE7A3-0A3F-C080-4F65-5E6A092C8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9D2ADF-0B7B-4E01-B97B-9DAE0ED83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BDCDEA-98FE-49BE-9E77-078F7A604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1CEB1F-3325-4FF2-8379-02307706B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C6AFAA6-4702-444B-9E40-5C403D130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C538566-D916-43C7-AB72-BF757276F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I69"/>
  <sheetViews>
    <sheetView tabSelected="1" topLeftCell="G60" zoomScale="130" zoomScaleNormal="130" workbookViewId="0">
      <selection activeCell="H21" sqref="H21"/>
    </sheetView>
  </sheetViews>
  <sheetFormatPr defaultRowHeight="15" x14ac:dyDescent="0.25"/>
  <cols>
    <col min="1" max="2" width="19.140625" customWidth="1"/>
    <col min="3" max="3" width="18.42578125" customWidth="1"/>
    <col min="4" max="4" width="18.7109375" customWidth="1"/>
    <col min="5" max="6" width="15.5703125" customWidth="1"/>
    <col min="7" max="7" width="19.7109375" customWidth="1"/>
    <col min="8" max="8" width="20.85546875" customWidth="1"/>
    <col min="9" max="9" width="17.85546875" customWidth="1"/>
    <col min="10" max="11" width="23.7109375" customWidth="1"/>
    <col min="12" max="12" width="15.5703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18" width="18.7109375" customWidth="1"/>
    <col min="20" max="20" width="14.85546875" customWidth="1"/>
    <col min="21" max="21" width="9.7109375" customWidth="1"/>
  </cols>
  <sheetData>
    <row r="1" spans="1:35" x14ac:dyDescent="0.25">
      <c r="A1" s="5" t="s">
        <v>26</v>
      </c>
      <c r="K1" s="4"/>
    </row>
    <row r="2" spans="1:35" x14ac:dyDescent="0.25">
      <c r="A2" s="6" t="s">
        <v>27</v>
      </c>
      <c r="K2" s="4"/>
    </row>
    <row r="3" spans="1:35" x14ac:dyDescent="0.25">
      <c r="A3" s="10" t="s">
        <v>12</v>
      </c>
      <c r="B3" s="10"/>
      <c r="C3" s="10"/>
      <c r="D3" s="10"/>
      <c r="E3" s="10"/>
      <c r="F3" s="10"/>
      <c r="G3" s="1"/>
      <c r="H3" s="1"/>
      <c r="I3" s="1"/>
      <c r="K3" s="4"/>
      <c r="L3" s="1"/>
      <c r="AC3" s="1" t="s">
        <v>15</v>
      </c>
      <c r="AD3" s="1"/>
      <c r="AE3" s="1"/>
      <c r="AF3" s="1"/>
      <c r="AG3" s="1"/>
      <c r="AH3" s="1"/>
      <c r="AI3" s="1"/>
    </row>
    <row r="4" spans="1:35" ht="32.25" customHeight="1" x14ac:dyDescent="0.25">
      <c r="A4" s="15" t="s">
        <v>0</v>
      </c>
      <c r="B4" s="15" t="s">
        <v>23</v>
      </c>
      <c r="C4" s="15" t="s">
        <v>24</v>
      </c>
      <c r="D4" s="15" t="s">
        <v>1</v>
      </c>
      <c r="E4" s="15" t="s">
        <v>28</v>
      </c>
      <c r="F4" s="15" t="s">
        <v>29</v>
      </c>
      <c r="G4" s="17" t="s">
        <v>30</v>
      </c>
      <c r="H4" s="18" t="s">
        <v>31</v>
      </c>
      <c r="I4" s="18" t="s">
        <v>32</v>
      </c>
      <c r="J4" s="4"/>
      <c r="K4" s="1"/>
      <c r="L4" s="1"/>
      <c r="AC4" s="1" t="s">
        <v>0</v>
      </c>
      <c r="AD4" s="1" t="s">
        <v>23</v>
      </c>
      <c r="AE4" s="1" t="s">
        <v>24</v>
      </c>
      <c r="AF4" s="1" t="s">
        <v>1</v>
      </c>
      <c r="AG4" s="1" t="s">
        <v>28</v>
      </c>
      <c r="AH4" s="1" t="s">
        <v>29</v>
      </c>
      <c r="AI4" s="1"/>
    </row>
    <row r="5" spans="1:35" x14ac:dyDescent="0.25">
      <c r="A5" s="1" t="s">
        <v>2</v>
      </c>
      <c r="B5" s="7">
        <v>5.5990042925280497</v>
      </c>
      <c r="C5" s="7">
        <v>0.90356607367203301</v>
      </c>
      <c r="D5" s="7">
        <v>0.78479742735639801</v>
      </c>
      <c r="E5" s="1"/>
      <c r="F5" s="1"/>
      <c r="G5" s="12">
        <v>562.32579999999996</v>
      </c>
      <c r="H5" s="12"/>
      <c r="I5" s="12"/>
      <c r="J5" s="1"/>
      <c r="K5" s="1"/>
      <c r="L5" s="1"/>
      <c r="AC5" s="1" t="s">
        <v>2</v>
      </c>
      <c r="AD5" s="7">
        <v>4.1991467023786697</v>
      </c>
      <c r="AE5" s="7">
        <v>0.82610521045310603</v>
      </c>
      <c r="AF5" s="7">
        <v>0.45842139345314697</v>
      </c>
      <c r="AG5" s="1"/>
      <c r="AH5" s="1"/>
      <c r="AI5" s="1"/>
    </row>
    <row r="6" spans="1:35" x14ac:dyDescent="0.25">
      <c r="A6" s="1" t="s">
        <v>3</v>
      </c>
      <c r="B6" s="7">
        <v>3.6150481998819401</v>
      </c>
      <c r="C6" s="7">
        <v>0.84393866538764695</v>
      </c>
      <c r="D6" s="7">
        <v>0.73975142372925395</v>
      </c>
      <c r="G6" s="12">
        <v>359.22</v>
      </c>
      <c r="H6" s="1"/>
      <c r="I6" s="1"/>
      <c r="J6" s="1"/>
      <c r="K6" s="1"/>
      <c r="L6" s="1"/>
      <c r="AC6" s="1" t="s">
        <v>3</v>
      </c>
      <c r="AD6" s="7">
        <v>4.2426276126814999</v>
      </c>
      <c r="AE6" s="7">
        <v>0.86475068984277004</v>
      </c>
      <c r="AF6" s="7">
        <v>0.70887717949694296</v>
      </c>
      <c r="AG6" s="1"/>
      <c r="AH6" s="1"/>
      <c r="AI6" s="1"/>
    </row>
    <row r="7" spans="1:35" x14ac:dyDescent="0.25">
      <c r="A7" s="1" t="s">
        <v>4</v>
      </c>
      <c r="B7" s="7">
        <v>2.1746388039620901</v>
      </c>
      <c r="C7" s="7">
        <v>0.90358482744648005</v>
      </c>
      <c r="D7" s="7">
        <v>0.17369777575697301</v>
      </c>
      <c r="E7" s="11">
        <v>66.912425378311355</v>
      </c>
      <c r="F7" s="11">
        <v>64.048876322946043</v>
      </c>
      <c r="G7" s="12">
        <v>57.726100000000002</v>
      </c>
      <c r="H7" s="1">
        <v>9023.75</v>
      </c>
      <c r="I7" s="1">
        <v>9023.75</v>
      </c>
      <c r="J7" s="1"/>
      <c r="K7" s="1"/>
      <c r="L7" s="1"/>
      <c r="AC7" s="1" t="s">
        <v>4</v>
      </c>
      <c r="AD7" s="7">
        <v>2.2885725031264901</v>
      </c>
      <c r="AE7" s="7">
        <v>0.86069377106338596</v>
      </c>
      <c r="AF7" s="7">
        <v>0.14822690674265199</v>
      </c>
      <c r="AG7" s="11">
        <v>66.912425378311355</v>
      </c>
      <c r="AH7" s="1"/>
      <c r="AI7" s="1"/>
    </row>
    <row r="8" spans="1:35" x14ac:dyDescent="0.25">
      <c r="A8" s="1" t="s">
        <v>5</v>
      </c>
      <c r="B8" s="7">
        <v>2.2792285281778502</v>
      </c>
      <c r="C8" s="7">
        <v>0.663434225775831</v>
      </c>
      <c r="D8" s="7">
        <v>9.9143945152060597E-2</v>
      </c>
      <c r="E8" s="11">
        <v>72.370164511034233</v>
      </c>
      <c r="F8" s="11">
        <v>69.142603119806424</v>
      </c>
      <c r="G8" s="12">
        <v>49.091801670000002</v>
      </c>
      <c r="H8" s="1">
        <v>118.5</v>
      </c>
      <c r="I8" s="1">
        <v>118.5</v>
      </c>
      <c r="J8" s="1"/>
      <c r="K8" s="1"/>
      <c r="L8" s="1"/>
      <c r="AC8" s="1" t="s">
        <v>5</v>
      </c>
      <c r="AD8" s="8">
        <v>0.65629846710779305</v>
      </c>
      <c r="AE8" s="8">
        <v>-0.38672859447744201</v>
      </c>
      <c r="AF8" s="8">
        <v>-9.02599646039247E-2</v>
      </c>
      <c r="AG8" s="11">
        <v>72.370164511034233</v>
      </c>
      <c r="AH8" s="1"/>
      <c r="AI8" s="1"/>
    </row>
    <row r="9" spans="1:35" x14ac:dyDescent="0.25">
      <c r="A9" s="1" t="s">
        <v>6</v>
      </c>
      <c r="B9" s="7">
        <v>1.4480475262282899</v>
      </c>
      <c r="C9" s="7">
        <v>0.66475177086608195</v>
      </c>
      <c r="D9" s="7">
        <v>0.21234239309632399</v>
      </c>
      <c r="E9" s="11">
        <v>77.803592516854394</v>
      </c>
      <c r="F9" s="11">
        <v>69.014990506950269</v>
      </c>
      <c r="G9" s="12">
        <v>187</v>
      </c>
      <c r="H9" s="1">
        <v>2036.95</v>
      </c>
      <c r="I9" s="1">
        <v>2060.9499999999998</v>
      </c>
      <c r="J9" s="1"/>
      <c r="K9" s="1"/>
      <c r="L9" s="1"/>
      <c r="AC9" s="1" t="s">
        <v>6</v>
      </c>
      <c r="AD9" s="8">
        <v>0.92225532580611602</v>
      </c>
      <c r="AE9" s="8">
        <v>-0.36586676677487101</v>
      </c>
      <c r="AF9" s="7">
        <v>3.59517217205262E-2</v>
      </c>
      <c r="AG9" s="11">
        <v>77.803592516854394</v>
      </c>
      <c r="AH9" s="1"/>
      <c r="AI9" s="1"/>
    </row>
    <row r="10" spans="1:35" x14ac:dyDescent="0.25">
      <c r="A10" s="1" t="s">
        <v>7</v>
      </c>
      <c r="B10" s="7">
        <v>1.45242884682964</v>
      </c>
      <c r="C10" s="7">
        <v>0.238708102284336</v>
      </c>
      <c r="D10" s="7">
        <v>0.14477972148899501</v>
      </c>
      <c r="E10" s="11">
        <v>77.803592516854394</v>
      </c>
      <c r="F10" s="11">
        <v>69.014990506950269</v>
      </c>
      <c r="G10" s="12">
        <v>105.55555560000001</v>
      </c>
      <c r="H10" s="1">
        <v>2036.95</v>
      </c>
      <c r="I10" s="1">
        <v>2060.9499999999998</v>
      </c>
      <c r="J10" s="1"/>
      <c r="K10" s="1"/>
      <c r="L10" s="1"/>
      <c r="AC10" s="1" t="s">
        <v>7</v>
      </c>
      <c r="AD10" s="8">
        <v>0.61809493388466297</v>
      </c>
      <c r="AE10" s="8">
        <v>-0.851696935181535</v>
      </c>
      <c r="AF10" s="8">
        <v>-0.17562342751062601</v>
      </c>
      <c r="AG10" s="11">
        <v>77.803592516854394</v>
      </c>
      <c r="AH10" s="1"/>
      <c r="AI10" s="1"/>
    </row>
    <row r="11" spans="1:35" x14ac:dyDescent="0.25">
      <c r="A11" s="1" t="s">
        <v>20</v>
      </c>
      <c r="B11" s="3"/>
      <c r="C11" s="3"/>
      <c r="D11" s="3"/>
      <c r="E11" s="11"/>
      <c r="G11" s="12">
        <v>76.153846150000007</v>
      </c>
      <c r="H11" s="1">
        <v>365</v>
      </c>
      <c r="I11" s="1"/>
      <c r="J11" s="1"/>
      <c r="K11" s="1"/>
      <c r="L11" s="1"/>
      <c r="AC11" s="1" t="s">
        <v>20</v>
      </c>
      <c r="AD11" s="3"/>
      <c r="AE11" s="3"/>
      <c r="AF11" s="3"/>
      <c r="AG11" s="11"/>
      <c r="AH11" s="1"/>
      <c r="AI11" s="1"/>
    </row>
    <row r="12" spans="1:35" x14ac:dyDescent="0.25">
      <c r="A12" s="1" t="s">
        <v>8</v>
      </c>
      <c r="B12" s="7">
        <v>1.48474411958353</v>
      </c>
      <c r="C12" s="7">
        <v>0.55431906321323399</v>
      </c>
      <c r="D12" s="7">
        <v>0.36516163611226798</v>
      </c>
      <c r="E12" s="11"/>
      <c r="G12" s="12">
        <v>43.2</v>
      </c>
      <c r="H12" s="1">
        <v>365</v>
      </c>
      <c r="I12" s="1"/>
      <c r="J12" s="1"/>
      <c r="K12" s="1"/>
      <c r="L12" s="1"/>
      <c r="AC12" s="1" t="s">
        <v>8</v>
      </c>
      <c r="AD12" s="7">
        <v>1.0433735492571501</v>
      </c>
      <c r="AE12" s="8">
        <v>-0.87727286114650804</v>
      </c>
      <c r="AF12" s="7">
        <v>0.155085326236896</v>
      </c>
      <c r="AG12" s="11"/>
      <c r="AH12" s="1"/>
      <c r="AI12" s="1"/>
    </row>
    <row r="13" spans="1:35" x14ac:dyDescent="0.25">
      <c r="A13" s="1" t="s">
        <v>9</v>
      </c>
      <c r="B13" s="7">
        <v>1.6588389001163999</v>
      </c>
      <c r="C13" s="7">
        <v>0.49497785634638802</v>
      </c>
      <c r="D13" s="7">
        <v>4.1333778886518201E-2</v>
      </c>
      <c r="E13" s="11"/>
      <c r="G13" s="12">
        <v>77.894736839999993</v>
      </c>
      <c r="H13" s="1">
        <v>351.5</v>
      </c>
      <c r="I13" s="1"/>
      <c r="J13" s="1"/>
      <c r="K13" s="1"/>
      <c r="L13" s="1"/>
      <c r="AC13" s="1" t="s">
        <v>9</v>
      </c>
      <c r="AD13" s="8">
        <v>0.54304497563021803</v>
      </c>
      <c r="AE13" s="8">
        <v>-0.79094425276710101</v>
      </c>
      <c r="AF13" s="8">
        <v>-0.49269779802698299</v>
      </c>
      <c r="AG13" s="11"/>
      <c r="AH13" s="1"/>
      <c r="AI13" s="1"/>
    </row>
    <row r="14" spans="1:35" x14ac:dyDescent="0.25">
      <c r="A14" s="1" t="s">
        <v>10</v>
      </c>
      <c r="B14" s="8">
        <v>0.665445371933445</v>
      </c>
      <c r="C14" s="8">
        <v>-1.0305451800868599</v>
      </c>
      <c r="D14" s="8">
        <v>-4.1760232547360499E-2</v>
      </c>
      <c r="E14" s="11">
        <v>66.341763171136677</v>
      </c>
      <c r="F14" s="11">
        <v>64.242932047955975</v>
      </c>
      <c r="G14" s="12">
        <v>37.6</v>
      </c>
      <c r="H14" s="1">
        <v>413.75</v>
      </c>
      <c r="I14" s="1">
        <v>1130.25</v>
      </c>
      <c r="J14" s="1"/>
      <c r="K14" s="1"/>
      <c r="L14" s="1"/>
      <c r="AC14" s="1" t="s">
        <v>10</v>
      </c>
      <c r="AD14" s="1"/>
      <c r="AE14" s="1"/>
      <c r="AF14" s="2"/>
      <c r="AG14" s="11">
        <v>66.341763171136677</v>
      </c>
      <c r="AH14" s="1"/>
      <c r="AI14" s="1"/>
    </row>
    <row r="15" spans="1:35" x14ac:dyDescent="0.25">
      <c r="A15" s="1" t="s">
        <v>11</v>
      </c>
      <c r="B15" s="8">
        <v>0.84619083652769</v>
      </c>
      <c r="C15" s="8">
        <v>-0.57708462423306806</v>
      </c>
      <c r="D15" s="8">
        <v>-7.8588218215967606E-2</v>
      </c>
      <c r="E15" s="11">
        <v>66.341763171136677</v>
      </c>
      <c r="F15" s="11">
        <v>64.242932047955975</v>
      </c>
      <c r="G15" s="12">
        <v>30.76923077</v>
      </c>
      <c r="H15" s="1">
        <v>413.75</v>
      </c>
      <c r="I15" s="1">
        <v>1130.25</v>
      </c>
      <c r="J15" s="1"/>
      <c r="K15" s="1"/>
      <c r="L15" s="1"/>
      <c r="AC15" s="1" t="s">
        <v>11</v>
      </c>
      <c r="AD15" s="1"/>
      <c r="AE15" s="1"/>
      <c r="AF15" s="2"/>
      <c r="AG15" s="11">
        <v>66.341763171136677</v>
      </c>
      <c r="AH15" s="1"/>
      <c r="AI15" s="1"/>
    </row>
    <row r="16" spans="1:35" x14ac:dyDescent="0.25">
      <c r="A16" s="1"/>
      <c r="B16" s="1"/>
      <c r="C16" s="1"/>
      <c r="D16" s="1"/>
      <c r="E16" s="9"/>
      <c r="F16" s="9"/>
      <c r="G16" s="9"/>
      <c r="H16" s="9"/>
      <c r="I16" s="9"/>
      <c r="J16" s="1"/>
      <c r="K16" s="1"/>
      <c r="L16" s="1"/>
      <c r="AC16" s="1"/>
      <c r="AD16" s="1"/>
      <c r="AE16" s="1"/>
      <c r="AF16" s="1"/>
      <c r="AG16" s="1"/>
      <c r="AH16" s="1"/>
      <c r="AI16" s="1"/>
    </row>
    <row r="17" spans="1:35" x14ac:dyDescent="0.25">
      <c r="A17" s="10" t="s">
        <v>17</v>
      </c>
      <c r="B17" s="10"/>
      <c r="C17" s="10"/>
      <c r="D17" s="10"/>
      <c r="E17" s="10"/>
      <c r="F17" s="10"/>
      <c r="G17" s="1"/>
      <c r="H17" s="1"/>
      <c r="I17" s="1"/>
      <c r="J17" s="1"/>
      <c r="K17" s="1"/>
      <c r="L17" s="1"/>
      <c r="AC17" s="1" t="s">
        <v>14</v>
      </c>
      <c r="AD17" s="1"/>
      <c r="AE17" s="1"/>
      <c r="AF17" s="1"/>
      <c r="AG17" s="1"/>
      <c r="AH17" s="1"/>
      <c r="AI17" s="1"/>
    </row>
    <row r="18" spans="1:35" ht="30" x14ac:dyDescent="0.25">
      <c r="A18" s="13" t="s">
        <v>0</v>
      </c>
      <c r="B18" s="15" t="s">
        <v>23</v>
      </c>
      <c r="C18" s="15" t="s">
        <v>24</v>
      </c>
      <c r="D18" s="15" t="s">
        <v>1</v>
      </c>
      <c r="E18" s="15" t="s">
        <v>28</v>
      </c>
      <c r="F18" s="15" t="s">
        <v>29</v>
      </c>
      <c r="G18" s="17" t="s">
        <v>30</v>
      </c>
      <c r="H18" s="15" t="s">
        <v>33</v>
      </c>
      <c r="I18" s="19" t="s">
        <v>34</v>
      </c>
      <c r="J18" s="1"/>
      <c r="K18" s="1"/>
      <c r="L18" s="1"/>
      <c r="AC18" s="1" t="s">
        <v>0</v>
      </c>
      <c r="AD18" s="1" t="s">
        <v>23</v>
      </c>
      <c r="AE18" s="1" t="s">
        <v>24</v>
      </c>
      <c r="AF18" s="1" t="s">
        <v>1</v>
      </c>
      <c r="AG18" s="1" t="s">
        <v>28</v>
      </c>
      <c r="AH18" s="1"/>
      <c r="AI18" s="1"/>
    </row>
    <row r="19" spans="1:35" x14ac:dyDescent="0.25">
      <c r="A19" s="1" t="s">
        <v>2</v>
      </c>
      <c r="B19" s="8">
        <v>0.72480501026157895</v>
      </c>
      <c r="C19" s="8">
        <v>-0.53321285069034396</v>
      </c>
      <c r="D19" s="8">
        <v>-0.69015600278604705</v>
      </c>
      <c r="E19" s="1"/>
      <c r="F19" s="1"/>
      <c r="G19" s="12">
        <v>13.39</v>
      </c>
      <c r="H19" s="11">
        <v>133.4714286</v>
      </c>
      <c r="I19" s="1"/>
      <c r="K19" s="1"/>
      <c r="L19" s="1"/>
      <c r="AC19" s="1" t="s">
        <v>2</v>
      </c>
      <c r="AD19" s="7">
        <v>1.9834327913053</v>
      </c>
      <c r="AE19" s="7">
        <v>0.65719427140843201</v>
      </c>
      <c r="AF19" s="7">
        <v>0.37069968925848601</v>
      </c>
      <c r="AG19" s="1"/>
      <c r="AH19" s="1"/>
      <c r="AI19" s="1"/>
    </row>
    <row r="20" spans="1:35" x14ac:dyDescent="0.25">
      <c r="A20" s="1" t="s">
        <v>3</v>
      </c>
      <c r="B20" s="8">
        <v>0.72236032128579997</v>
      </c>
      <c r="C20" s="8">
        <v>-0.54415401279001296</v>
      </c>
      <c r="D20" s="8">
        <v>-0.77189783394192801</v>
      </c>
      <c r="E20" s="1"/>
      <c r="F20" s="1"/>
      <c r="G20" s="12">
        <v>13.108000000000001</v>
      </c>
      <c r="H20" s="11">
        <v>133.4714286</v>
      </c>
      <c r="I20" s="1"/>
      <c r="K20" s="1"/>
      <c r="L20" s="1"/>
      <c r="AC20" s="1" t="s">
        <v>3</v>
      </c>
      <c r="AD20" s="7">
        <v>1.57221069754844</v>
      </c>
      <c r="AE20" s="7">
        <v>0.52379119919397599</v>
      </c>
      <c r="AF20" s="7">
        <v>0.32989293329546998</v>
      </c>
      <c r="AG20" s="1"/>
      <c r="AH20" s="1"/>
      <c r="AI20" s="1"/>
    </row>
    <row r="21" spans="1:35" x14ac:dyDescent="0.25">
      <c r="A21" s="1" t="s">
        <v>4</v>
      </c>
      <c r="B21" s="8">
        <v>0.93103098270545204</v>
      </c>
      <c r="C21" s="8">
        <v>0.356634245125801</v>
      </c>
      <c r="D21" s="8">
        <v>1.7836570943256701E-2</v>
      </c>
      <c r="E21" s="11">
        <v>66.912425378311355</v>
      </c>
      <c r="F21" s="11">
        <v>64.048876322946043</v>
      </c>
      <c r="G21" s="12">
        <v>8.6910000000000007</v>
      </c>
      <c r="H21" s="11">
        <v>71.117321599999997</v>
      </c>
      <c r="I21" s="11">
        <f t="shared" ref="I21:I29" si="0">H21/E21</f>
        <v>1.0628417845850735</v>
      </c>
      <c r="J21" s="11"/>
      <c r="K21" s="1"/>
      <c r="L21" s="1"/>
      <c r="AC21" s="1" t="s">
        <v>4</v>
      </c>
      <c r="AD21" s="7">
        <v>1.2975667452931301</v>
      </c>
      <c r="AE21" s="7">
        <v>0.86785733003031096</v>
      </c>
      <c r="AF21" s="7">
        <v>0.10077650528672399</v>
      </c>
      <c r="AG21" s="11">
        <v>66.912425378311355</v>
      </c>
      <c r="AH21" s="1"/>
      <c r="AI21" s="1"/>
    </row>
    <row r="22" spans="1:35" x14ac:dyDescent="0.25">
      <c r="A22" s="1" t="s">
        <v>5</v>
      </c>
      <c r="B22" s="8">
        <v>0.62021758140125105</v>
      </c>
      <c r="C22" s="8">
        <v>-0.834312574960141</v>
      </c>
      <c r="D22" s="8">
        <v>-0.54160608613664096</v>
      </c>
      <c r="E22" s="11">
        <v>72.370164511034233</v>
      </c>
      <c r="F22" s="11">
        <v>69.142603119806424</v>
      </c>
      <c r="G22" s="12">
        <v>8.4209999999999994</v>
      </c>
      <c r="H22" s="11">
        <v>74.728308609999999</v>
      </c>
      <c r="I22" s="11">
        <f t="shared" si="0"/>
        <v>1.0325844789064453</v>
      </c>
      <c r="K22" s="1"/>
      <c r="L22" s="1"/>
      <c r="AC22" s="1" t="s">
        <v>5</v>
      </c>
      <c r="AD22" s="7">
        <v>1.0575708895152101</v>
      </c>
      <c r="AE22" s="7">
        <v>0.26292322495904802</v>
      </c>
      <c r="AF22" s="7">
        <v>6.3493902184217604E-2</v>
      </c>
      <c r="AG22" s="11">
        <v>72.370164511034233</v>
      </c>
      <c r="AH22" s="1"/>
      <c r="AI22" s="1"/>
    </row>
    <row r="23" spans="1:35" x14ac:dyDescent="0.25">
      <c r="A23" s="1" t="s">
        <v>6</v>
      </c>
      <c r="B23" s="8">
        <v>0.77501210984665403</v>
      </c>
      <c r="C23" s="8">
        <v>-0.908415578463458</v>
      </c>
      <c r="D23" s="8">
        <v>-0.17637365181995501</v>
      </c>
      <c r="E23" s="11">
        <v>77.803592516854394</v>
      </c>
      <c r="F23" s="11">
        <v>69.014990506950269</v>
      </c>
      <c r="G23" s="12">
        <v>5.15</v>
      </c>
      <c r="H23" s="11">
        <v>79.767295559999994</v>
      </c>
      <c r="I23" s="11">
        <f t="shared" si="0"/>
        <v>1.025239233557502</v>
      </c>
      <c r="J23" s="11"/>
      <c r="K23" s="1"/>
      <c r="L23" s="1"/>
      <c r="AC23" s="1" t="s">
        <v>6</v>
      </c>
      <c r="AD23" s="1"/>
      <c r="AE23" s="1"/>
      <c r="AF23" s="1"/>
      <c r="AG23" s="11">
        <v>77.803592516854394</v>
      </c>
      <c r="AH23" s="1"/>
      <c r="AI23" s="1"/>
    </row>
    <row r="24" spans="1:35" x14ac:dyDescent="0.25">
      <c r="A24" s="1" t="s">
        <v>7</v>
      </c>
      <c r="B24" s="7">
        <v>1.0770799229366299</v>
      </c>
      <c r="C24" s="7">
        <v>0.64255712913469198</v>
      </c>
      <c r="D24" s="7">
        <v>0.41389016217674901</v>
      </c>
      <c r="E24" s="11">
        <v>77.803592516854394</v>
      </c>
      <c r="F24" s="11">
        <v>69.014990506950269</v>
      </c>
      <c r="G24" s="12">
        <v>8.5760000000000005</v>
      </c>
      <c r="H24" s="11">
        <v>79.767295559999994</v>
      </c>
      <c r="I24" s="11">
        <f t="shared" si="0"/>
        <v>1.025239233557502</v>
      </c>
      <c r="J24" s="1"/>
      <c r="K24" s="1"/>
      <c r="L24" s="1"/>
      <c r="AC24" s="1" t="s">
        <v>7</v>
      </c>
      <c r="AD24" s="1"/>
      <c r="AE24" s="1"/>
      <c r="AF24" s="1"/>
      <c r="AG24" s="11">
        <v>77.803592516854394</v>
      </c>
      <c r="AH24" s="1"/>
      <c r="AI24" s="1"/>
    </row>
    <row r="25" spans="1:35" x14ac:dyDescent="0.25">
      <c r="A25" s="1" t="s">
        <v>20</v>
      </c>
      <c r="B25" s="3"/>
      <c r="D25" s="3"/>
      <c r="E25" s="11"/>
      <c r="G25" s="12">
        <v>4.4729999999999999</v>
      </c>
      <c r="H25" s="11">
        <v>68.631809730000001</v>
      </c>
      <c r="I25" s="11"/>
      <c r="J25" s="1"/>
      <c r="K25" s="1"/>
      <c r="L25" s="1"/>
      <c r="AC25" s="1" t="s">
        <v>20</v>
      </c>
      <c r="AD25" s="1"/>
      <c r="AE25" s="1"/>
      <c r="AF25" s="1"/>
      <c r="AG25" s="11"/>
      <c r="AH25" s="1"/>
      <c r="AI25" s="1"/>
    </row>
    <row r="26" spans="1:35" x14ac:dyDescent="0.25">
      <c r="A26" s="1" t="s">
        <v>8</v>
      </c>
      <c r="B26" s="7">
        <v>1.69896635753922</v>
      </c>
      <c r="C26" s="7">
        <v>1.0004694412552899</v>
      </c>
      <c r="D26" s="7">
        <v>0.39449354239977702</v>
      </c>
      <c r="E26" s="11"/>
      <c r="G26" s="12">
        <v>9.9</v>
      </c>
      <c r="H26" s="11">
        <v>68.631809730000001</v>
      </c>
      <c r="I26" s="11"/>
      <c r="J26" s="1"/>
      <c r="K26" s="1"/>
      <c r="L26" s="1"/>
      <c r="AC26" s="1" t="s">
        <v>8</v>
      </c>
      <c r="AD26" s="1"/>
      <c r="AE26" s="1"/>
      <c r="AF26" s="1"/>
      <c r="AG26" s="11"/>
      <c r="AH26" s="1"/>
      <c r="AI26" s="1"/>
    </row>
    <row r="27" spans="1:35" x14ac:dyDescent="0.25">
      <c r="A27" s="1" t="s">
        <v>9</v>
      </c>
      <c r="B27" s="7">
        <v>0.68980819676752303</v>
      </c>
      <c r="C27" s="8">
        <v>-0.62247408500113799</v>
      </c>
      <c r="D27" s="8">
        <v>-0.17371472956907899</v>
      </c>
      <c r="E27" s="11"/>
      <c r="G27" s="12">
        <v>4.2779999999999996</v>
      </c>
      <c r="H27" s="11">
        <v>69.696396059999998</v>
      </c>
      <c r="I27" s="11"/>
      <c r="J27" s="1"/>
      <c r="K27" s="1"/>
      <c r="L27" s="1"/>
      <c r="AC27" s="1" t="s">
        <v>9</v>
      </c>
      <c r="AD27" s="1"/>
      <c r="AE27" s="1"/>
      <c r="AF27" s="1"/>
      <c r="AG27" s="11"/>
      <c r="AH27" s="1"/>
      <c r="AI27" s="1"/>
    </row>
    <row r="28" spans="1:35" x14ac:dyDescent="0.25">
      <c r="A28" s="1" t="s">
        <v>10</v>
      </c>
      <c r="B28" s="8">
        <v>0.66267278810022201</v>
      </c>
      <c r="C28" s="8">
        <v>-1.0273129897173701</v>
      </c>
      <c r="D28" s="8">
        <v>-4.74716361793363E-2</v>
      </c>
      <c r="E28" s="11">
        <v>66.341763171136677</v>
      </c>
      <c r="F28" s="11">
        <v>64.242932047955975</v>
      </c>
      <c r="G28" s="12">
        <v>5.4009999999999998</v>
      </c>
      <c r="H28" s="11">
        <v>70.569593760000004</v>
      </c>
      <c r="I28" s="11">
        <f t="shared" si="0"/>
        <v>1.063728040781146</v>
      </c>
      <c r="J28" s="1"/>
      <c r="K28" s="1"/>
      <c r="L28" s="1"/>
      <c r="AC28" s="1" t="s">
        <v>10</v>
      </c>
      <c r="AD28" s="1"/>
      <c r="AE28" s="1"/>
      <c r="AF28" s="1"/>
      <c r="AG28" s="11">
        <v>66.341763171136677</v>
      </c>
      <c r="AH28" s="1"/>
      <c r="AI28" s="1"/>
    </row>
    <row r="29" spans="1:35" x14ac:dyDescent="0.25">
      <c r="A29" s="1" t="s">
        <v>11</v>
      </c>
      <c r="B29" s="7">
        <v>1.6537701478523501</v>
      </c>
      <c r="C29" s="7">
        <v>0.384403035464087</v>
      </c>
      <c r="D29" s="7">
        <v>5.9760012226563401E-2</v>
      </c>
      <c r="E29" s="11">
        <v>66.341763171136677</v>
      </c>
      <c r="F29" s="11">
        <v>64.242932047955975</v>
      </c>
      <c r="G29" s="12">
        <v>8.7050000000000001</v>
      </c>
      <c r="H29" s="11">
        <v>70.569593760000004</v>
      </c>
      <c r="I29" s="11">
        <f t="shared" si="0"/>
        <v>1.063728040781146</v>
      </c>
      <c r="J29" s="1"/>
      <c r="K29" s="1"/>
      <c r="L29" s="1"/>
      <c r="AC29" s="1" t="s">
        <v>11</v>
      </c>
      <c r="AD29" s="1"/>
      <c r="AE29" s="1"/>
      <c r="AF29" s="1"/>
      <c r="AG29" s="11">
        <v>66.341763171136677</v>
      </c>
      <c r="AH29" s="1"/>
      <c r="AI29" s="1"/>
    </row>
    <row r="30" spans="1:35" x14ac:dyDescent="0.25">
      <c r="A30" s="1"/>
      <c r="B30" s="16"/>
      <c r="C30" s="1"/>
      <c r="D30" s="1"/>
      <c r="E30" s="1"/>
      <c r="F30" s="1"/>
      <c r="G30" s="1"/>
      <c r="H30" s="1"/>
      <c r="I30" s="11"/>
      <c r="J30" s="1"/>
      <c r="K30" s="1"/>
      <c r="L30" s="1"/>
      <c r="AC30" s="1"/>
      <c r="AD30" s="1"/>
      <c r="AE30" s="1"/>
      <c r="AF30" s="1"/>
      <c r="AG30" s="1"/>
      <c r="AH30" s="1"/>
      <c r="AI30" s="1"/>
    </row>
    <row r="31" spans="1:35" x14ac:dyDescent="0.25">
      <c r="A31" s="14" t="s">
        <v>16</v>
      </c>
      <c r="B31" s="14"/>
      <c r="C31" s="14"/>
      <c r="D31" s="14"/>
      <c r="E31" s="14"/>
      <c r="F31" s="1"/>
      <c r="G31" s="1"/>
      <c r="H31" s="1"/>
      <c r="I31" s="1"/>
      <c r="J31" s="1"/>
      <c r="K31" s="1"/>
      <c r="L31" s="1"/>
      <c r="AC31" s="1" t="s">
        <v>13</v>
      </c>
      <c r="AD31" s="1"/>
      <c r="AE31" s="1"/>
      <c r="AF31" s="1"/>
      <c r="AG31" s="1"/>
      <c r="AH31" s="1"/>
      <c r="AI31" s="1"/>
    </row>
    <row r="32" spans="1:35" ht="30" x14ac:dyDescent="0.25">
      <c r="A32" s="15" t="s">
        <v>0</v>
      </c>
      <c r="B32" s="15" t="s">
        <v>23</v>
      </c>
      <c r="C32" s="15" t="s">
        <v>24</v>
      </c>
      <c r="D32" s="15" t="s">
        <v>1</v>
      </c>
      <c r="E32" s="15" t="s">
        <v>28</v>
      </c>
      <c r="F32" s="13" t="s">
        <v>29</v>
      </c>
      <c r="G32" s="17" t="s">
        <v>30</v>
      </c>
      <c r="H32" s="1"/>
      <c r="I32" s="1"/>
      <c r="J32" s="1"/>
      <c r="K32" s="1"/>
      <c r="L32" s="1"/>
      <c r="AC32" s="1" t="s">
        <v>0</v>
      </c>
      <c r="AD32" s="1" t="s">
        <v>23</v>
      </c>
      <c r="AE32" s="1" t="s">
        <v>24</v>
      </c>
      <c r="AF32" s="1" t="s">
        <v>1</v>
      </c>
      <c r="AG32" s="1" t="s">
        <v>28</v>
      </c>
      <c r="AH32" s="1"/>
      <c r="AI32" s="1"/>
    </row>
    <row r="33" spans="1:35" x14ac:dyDescent="0.25">
      <c r="A33" s="1" t="s">
        <v>2</v>
      </c>
      <c r="B33" s="7">
        <v>3.62123713456148</v>
      </c>
      <c r="C33" s="7">
        <v>0.87884003043687597</v>
      </c>
      <c r="D33" s="7">
        <v>0.735611704001494</v>
      </c>
      <c r="E33" s="1"/>
      <c r="F33" s="1"/>
      <c r="G33" s="11">
        <v>51.66</v>
      </c>
      <c r="H33" s="1"/>
      <c r="I33" s="1"/>
      <c r="J33" s="1"/>
      <c r="K33" s="1"/>
      <c r="L33" s="1"/>
      <c r="AC33" s="1" t="s">
        <v>2</v>
      </c>
      <c r="AD33" s="8">
        <v>0.95053401724057496</v>
      </c>
      <c r="AE33" s="8">
        <v>-0.169259073906213</v>
      </c>
      <c r="AF33" s="8">
        <v>-4.4193639828931201E-2</v>
      </c>
      <c r="AG33" s="1"/>
      <c r="AH33" s="1"/>
      <c r="AI33" s="1"/>
    </row>
    <row r="34" spans="1:35" x14ac:dyDescent="0.25">
      <c r="A34" s="1" t="s">
        <v>3</v>
      </c>
      <c r="B34" s="7">
        <v>3.1649110765038402</v>
      </c>
      <c r="C34" s="7">
        <v>0.89370073497006797</v>
      </c>
      <c r="D34" s="7">
        <v>0.76773815613843199</v>
      </c>
      <c r="E34" s="1"/>
      <c r="F34" s="1"/>
      <c r="G34" s="11">
        <v>41.27935076</v>
      </c>
      <c r="H34" s="1"/>
      <c r="I34" s="1"/>
      <c r="J34" s="1"/>
      <c r="K34" s="1"/>
      <c r="L34" s="1"/>
      <c r="AC34" s="1" t="s">
        <v>3</v>
      </c>
      <c r="AD34" s="7">
        <v>1.02292603590652</v>
      </c>
      <c r="AE34" s="7">
        <v>4.5964226518538299E-2</v>
      </c>
      <c r="AF34" s="7">
        <v>5.6992657113041099E-2</v>
      </c>
      <c r="AG34" s="1"/>
      <c r="AH34" s="1"/>
      <c r="AI34" s="1"/>
    </row>
    <row r="35" spans="1:35" x14ac:dyDescent="0.25">
      <c r="A35" s="1" t="s">
        <v>4</v>
      </c>
      <c r="B35" s="7">
        <v>1.5737102771314899</v>
      </c>
      <c r="C35" s="7">
        <v>0.86635228697468503</v>
      </c>
      <c r="D35" s="7">
        <v>0.199680501000808</v>
      </c>
      <c r="E35" s="11">
        <v>66.912425378311355</v>
      </c>
      <c r="F35" s="11">
        <v>64.048876322946043</v>
      </c>
      <c r="G35" s="11">
        <v>6.7843516800000003</v>
      </c>
      <c r="H35" s="9"/>
      <c r="I35" s="9"/>
      <c r="J35" s="1"/>
      <c r="K35" s="1"/>
      <c r="L35" s="1"/>
      <c r="AC35" s="1" t="s">
        <v>4</v>
      </c>
      <c r="AD35" s="8">
        <v>0.92254459679364598</v>
      </c>
      <c r="AE35" s="7">
        <v>0.385385071473553</v>
      </c>
      <c r="AF35" s="7">
        <v>6.6875193364792196E-2</v>
      </c>
      <c r="AG35" s="11">
        <v>66.912425378311355</v>
      </c>
      <c r="AH35" s="1"/>
      <c r="AI35" s="1"/>
    </row>
    <row r="36" spans="1:35" x14ac:dyDescent="0.25">
      <c r="A36" s="1" t="s">
        <v>5</v>
      </c>
      <c r="B36" s="7">
        <v>1.50347635019633</v>
      </c>
      <c r="C36" s="7">
        <v>0.96614890517595997</v>
      </c>
      <c r="D36" s="7">
        <v>0.12535086320927399</v>
      </c>
      <c r="E36" s="11">
        <v>72.370164511034233</v>
      </c>
      <c r="F36" s="11">
        <v>69.142603119806424</v>
      </c>
      <c r="G36" s="11">
        <v>5.3650916630000003</v>
      </c>
      <c r="H36" s="9"/>
      <c r="I36" s="9"/>
      <c r="J36" s="1"/>
      <c r="K36" s="1"/>
      <c r="L36" s="1"/>
      <c r="AC36" s="1" t="s">
        <v>5</v>
      </c>
      <c r="AD36" s="8">
        <v>0.53817423509068496</v>
      </c>
      <c r="AE36" s="8">
        <v>-0.51784566087035699</v>
      </c>
      <c r="AF36" s="8">
        <v>-8.6669485065099E-2</v>
      </c>
      <c r="AG36" s="11">
        <v>72.370164511034233</v>
      </c>
      <c r="AH36" s="1"/>
      <c r="AI36" s="1"/>
    </row>
    <row r="37" spans="1:35" x14ac:dyDescent="0.25">
      <c r="A37" s="1" t="s">
        <v>6</v>
      </c>
      <c r="B37" s="7">
        <v>1.46809780024647</v>
      </c>
      <c r="C37" s="7">
        <v>0.61110995616383801</v>
      </c>
      <c r="D37" s="7">
        <v>0.42964915677977999</v>
      </c>
      <c r="E37" s="11">
        <v>77.803592516854394</v>
      </c>
      <c r="F37" s="11">
        <v>69.014990506950269</v>
      </c>
      <c r="G37" s="11">
        <v>29.943162610000002</v>
      </c>
      <c r="H37" s="9"/>
      <c r="I37" s="9"/>
      <c r="J37" s="1"/>
      <c r="K37" s="1"/>
      <c r="L37" s="1"/>
      <c r="AC37" s="1" t="s">
        <v>6</v>
      </c>
      <c r="AD37" s="1"/>
      <c r="AE37" s="1"/>
      <c r="AF37" s="1"/>
      <c r="AG37" s="11">
        <v>77.803592516854394</v>
      </c>
      <c r="AH37" s="1"/>
      <c r="AI37" s="1"/>
    </row>
    <row r="38" spans="1:35" x14ac:dyDescent="0.25">
      <c r="A38" s="1" t="s">
        <v>7</v>
      </c>
      <c r="B38" s="7">
        <v>1.29322320004102</v>
      </c>
      <c r="C38" s="7">
        <v>0.43470959470339599</v>
      </c>
      <c r="D38" s="7">
        <v>0.36758406997509402</v>
      </c>
      <c r="E38" s="11">
        <v>77.803592516854394</v>
      </c>
      <c r="F38" s="11">
        <v>69.014990506950269</v>
      </c>
      <c r="G38" s="11">
        <v>13.904999999999999</v>
      </c>
      <c r="H38" s="9"/>
      <c r="I38" s="9"/>
      <c r="J38" s="1"/>
      <c r="K38" s="1"/>
      <c r="L38" s="1"/>
      <c r="AC38" s="1" t="s">
        <v>7</v>
      </c>
      <c r="AD38" s="1"/>
      <c r="AE38" s="1"/>
      <c r="AF38" s="1"/>
      <c r="AG38" s="11">
        <v>77.803592516854394</v>
      </c>
      <c r="AH38" s="1"/>
      <c r="AI38" s="1"/>
    </row>
    <row r="39" spans="1:35" x14ac:dyDescent="0.25">
      <c r="A39" s="1" t="s">
        <v>20</v>
      </c>
      <c r="B39" s="3"/>
      <c r="C39" s="3"/>
      <c r="D39" s="3"/>
      <c r="E39" s="11"/>
      <c r="G39" s="11">
        <v>7.7779999999999996</v>
      </c>
      <c r="H39" s="9"/>
      <c r="I39" s="9"/>
      <c r="J39" s="1"/>
      <c r="K39" s="1"/>
      <c r="L39" s="1"/>
      <c r="AC39" s="1" t="s">
        <v>20</v>
      </c>
      <c r="AD39" s="1"/>
      <c r="AE39" s="1"/>
      <c r="AF39" s="1"/>
      <c r="AG39" s="11"/>
      <c r="AH39" s="1"/>
      <c r="AI39" s="1"/>
    </row>
    <row r="40" spans="1:35" x14ac:dyDescent="0.25">
      <c r="A40" s="1" t="s">
        <v>8</v>
      </c>
      <c r="B40" s="7">
        <v>1.2870368477726899</v>
      </c>
      <c r="C40" s="7">
        <v>0.29324836284144801</v>
      </c>
      <c r="D40" s="7">
        <v>4.3375577562074601E-2</v>
      </c>
      <c r="E40" s="11"/>
      <c r="G40" s="11">
        <v>5.5549999999999997</v>
      </c>
      <c r="H40" s="9"/>
      <c r="I40" s="9"/>
      <c r="J40" s="1"/>
      <c r="K40" s="1"/>
      <c r="L40" s="1"/>
      <c r="AC40" s="1" t="s">
        <v>8</v>
      </c>
      <c r="AD40" s="1"/>
      <c r="AE40" s="1"/>
      <c r="AF40" s="1"/>
      <c r="AG40" s="11"/>
      <c r="AH40" s="1"/>
      <c r="AI40" s="1"/>
    </row>
    <row r="41" spans="1:35" x14ac:dyDescent="0.25">
      <c r="A41" s="1" t="s">
        <v>9</v>
      </c>
      <c r="B41" s="7">
        <v>1.3490789487664501</v>
      </c>
      <c r="C41" s="7">
        <v>0.20911471061197601</v>
      </c>
      <c r="D41" s="7">
        <v>4.5262412029273197E-2</v>
      </c>
      <c r="E41" s="11"/>
      <c r="G41" s="11">
        <v>12.67</v>
      </c>
      <c r="H41" s="9"/>
      <c r="I41" s="9"/>
      <c r="J41" s="1"/>
      <c r="K41" s="1"/>
      <c r="L41" s="1"/>
      <c r="AC41" s="1" t="s">
        <v>9</v>
      </c>
      <c r="AD41" s="1"/>
      <c r="AE41" s="1"/>
      <c r="AF41" s="1"/>
      <c r="AG41" s="11"/>
      <c r="AH41" s="1"/>
      <c r="AI41" s="1"/>
    </row>
    <row r="42" spans="1:35" x14ac:dyDescent="0.25">
      <c r="A42" s="1" t="s">
        <v>10</v>
      </c>
      <c r="B42" s="8">
        <v>0.56520265738304298</v>
      </c>
      <c r="C42" s="8">
        <v>-1.0275595596207601</v>
      </c>
      <c r="D42" s="8">
        <v>-6.6277814143714905E-2</v>
      </c>
      <c r="E42" s="11">
        <v>66.341763171136677</v>
      </c>
      <c r="F42" s="11">
        <v>64.242932047955975</v>
      </c>
      <c r="G42" s="11">
        <v>5.3390000000000004</v>
      </c>
      <c r="H42" s="9"/>
      <c r="I42" s="9"/>
      <c r="J42" s="1"/>
      <c r="K42" s="1"/>
      <c r="L42" s="1"/>
      <c r="AC42" s="1" t="s">
        <v>10</v>
      </c>
      <c r="AD42" s="1"/>
      <c r="AE42" s="1"/>
      <c r="AF42" s="1"/>
      <c r="AG42" s="11">
        <v>66.341763171136677</v>
      </c>
      <c r="AH42" s="1"/>
      <c r="AI42" s="1"/>
    </row>
    <row r="43" spans="1:35" x14ac:dyDescent="0.25">
      <c r="A43" s="1" t="s">
        <v>11</v>
      </c>
      <c r="B43" s="8">
        <v>0.82233612818652901</v>
      </c>
      <c r="C43" s="8">
        <v>-0.50591021290758598</v>
      </c>
      <c r="D43" s="8">
        <v>-0.161754895727207</v>
      </c>
      <c r="E43" s="11">
        <v>66.341763171136677</v>
      </c>
      <c r="F43" s="11">
        <v>64.242932047955975</v>
      </c>
      <c r="G43" s="11">
        <v>5.1369999999999996</v>
      </c>
      <c r="H43" s="9"/>
      <c r="I43" s="9"/>
      <c r="J43" s="1"/>
      <c r="K43" s="1"/>
      <c r="L43" s="1"/>
      <c r="AC43" s="1" t="s">
        <v>11</v>
      </c>
      <c r="AD43" s="1"/>
      <c r="AE43" s="1"/>
      <c r="AF43" s="1"/>
      <c r="AG43" s="11">
        <v>66.341763171136677</v>
      </c>
      <c r="AH43" s="1"/>
      <c r="AI43" s="1"/>
    </row>
    <row r="44" spans="1:35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35" x14ac:dyDescent="0.25">
      <c r="A45" s="13" t="s">
        <v>22</v>
      </c>
      <c r="B45" s="13" t="s">
        <v>23</v>
      </c>
      <c r="C45" s="13" t="s">
        <v>24</v>
      </c>
      <c r="D45" s="13" t="s">
        <v>1</v>
      </c>
      <c r="E45" s="13" t="s">
        <v>25</v>
      </c>
      <c r="F45" s="13" t="s">
        <v>18</v>
      </c>
      <c r="G45" s="13" t="s">
        <v>28</v>
      </c>
      <c r="H45" s="13" t="s">
        <v>29</v>
      </c>
      <c r="I45" s="10"/>
      <c r="L45" s="1"/>
      <c r="M45" s="1" t="s">
        <v>19</v>
      </c>
      <c r="N45" s="1" t="s">
        <v>23</v>
      </c>
      <c r="O45" s="1" t="s">
        <v>24</v>
      </c>
      <c r="P45" s="1" t="s">
        <v>1</v>
      </c>
      <c r="Q45" s="1" t="s">
        <v>25</v>
      </c>
      <c r="R45" s="1" t="s">
        <v>18</v>
      </c>
      <c r="S45" s="1"/>
    </row>
    <row r="46" spans="1:35" x14ac:dyDescent="0.25">
      <c r="A46" s="1" t="s">
        <v>2</v>
      </c>
      <c r="B46" s="7">
        <v>1.7878260187067601</v>
      </c>
      <c r="C46" s="7">
        <v>0.26654667808256899</v>
      </c>
      <c r="D46" s="7">
        <v>0.57681691180727601</v>
      </c>
      <c r="E46" s="7">
        <v>0.16472908104553</v>
      </c>
      <c r="F46" s="7">
        <v>0.27048577500075</v>
      </c>
      <c r="H46" s="1"/>
      <c r="I46" s="3"/>
      <c r="K46" s="3"/>
      <c r="L46" s="1"/>
      <c r="M46" s="1" t="s">
        <v>2</v>
      </c>
      <c r="N46" s="8">
        <v>0.46925034971041901</v>
      </c>
      <c r="O46" s="8">
        <v>-0.57047580585715596</v>
      </c>
      <c r="P46" s="8">
        <v>-0.62489073949006502</v>
      </c>
      <c r="Q46" s="8">
        <v>-0.505884156285488</v>
      </c>
      <c r="R46" s="8">
        <v>-0.62313135244567197</v>
      </c>
      <c r="S46" s="1"/>
    </row>
    <row r="47" spans="1:35" x14ac:dyDescent="0.25">
      <c r="A47" s="1" t="s">
        <v>3</v>
      </c>
      <c r="B47" s="7">
        <v>2.8770644107042802</v>
      </c>
      <c r="C47" s="7">
        <v>0.541500872594741</v>
      </c>
      <c r="D47" s="7">
        <v>0.54443871754473905</v>
      </c>
      <c r="E47" s="7">
        <v>0.24600566680348099</v>
      </c>
      <c r="F47" s="7">
        <v>0.55540922852805497</v>
      </c>
      <c r="H47" s="1"/>
      <c r="I47" s="3"/>
      <c r="K47" s="3"/>
      <c r="L47" s="1"/>
      <c r="M47" s="1" t="s">
        <v>3</v>
      </c>
      <c r="N47" s="8">
        <v>0.52770506265369399</v>
      </c>
      <c r="O47" s="8">
        <v>-0.57441925876348399</v>
      </c>
      <c r="P47" s="8">
        <v>-0.61127875482433702</v>
      </c>
      <c r="Q47" s="8">
        <v>-0.50988466103239405</v>
      </c>
      <c r="R47" s="8">
        <v>-0.59410954788831905</v>
      </c>
      <c r="S47" s="1"/>
    </row>
    <row r="48" spans="1:35" x14ac:dyDescent="0.25">
      <c r="A48" s="1" t="s">
        <v>4</v>
      </c>
      <c r="B48" s="7">
        <v>1.2050076272027901</v>
      </c>
      <c r="C48" s="7">
        <v>0.92674759673055396</v>
      </c>
      <c r="D48" s="7">
        <v>0.13984116014494999</v>
      </c>
      <c r="E48" s="7">
        <v>0.58415158227019104</v>
      </c>
      <c r="F48" s="7">
        <v>0.66959836720930499</v>
      </c>
      <c r="G48" s="11">
        <v>66.912425378311355</v>
      </c>
      <c r="H48" s="11">
        <v>64.048876322946043</v>
      </c>
      <c r="I48" s="3"/>
      <c r="K48" s="3"/>
      <c r="L48" s="1"/>
      <c r="M48" s="1" t="s">
        <v>4</v>
      </c>
      <c r="N48" s="8">
        <v>0.76151296818251002</v>
      </c>
      <c r="O48" s="8">
        <v>-0.82455849900808098</v>
      </c>
      <c r="P48" s="8">
        <v>-0.53010922957415696</v>
      </c>
      <c r="Q48" s="8">
        <v>-0.67807302432253402</v>
      </c>
      <c r="R48" s="8">
        <v>-0.81917889363282403</v>
      </c>
      <c r="S48" s="1"/>
    </row>
    <row r="49" spans="1:19" x14ac:dyDescent="0.25">
      <c r="A49" s="1" t="s">
        <v>5</v>
      </c>
      <c r="B49" s="7">
        <v>1.11910970408747</v>
      </c>
      <c r="C49" s="7">
        <v>0.156816283020727</v>
      </c>
      <c r="D49" s="7">
        <v>8.9326261366187695E-2</v>
      </c>
      <c r="E49" s="7">
        <v>5.92725219807008E-2</v>
      </c>
      <c r="F49" s="7">
        <v>0.1017952207019</v>
      </c>
      <c r="G49" s="11">
        <v>72.370164511034233</v>
      </c>
      <c r="H49" s="11">
        <v>69.142603119806424</v>
      </c>
      <c r="I49" s="3"/>
      <c r="K49" s="3"/>
      <c r="L49" s="1"/>
      <c r="M49" s="1" t="s">
        <v>5</v>
      </c>
      <c r="N49" s="8">
        <v>0.63241662033349</v>
      </c>
      <c r="O49" s="8">
        <v>-0.77305412456000899</v>
      </c>
      <c r="P49" s="8">
        <v>-0.511670862423525</v>
      </c>
      <c r="Q49" s="8">
        <v>-0.62213976025652196</v>
      </c>
      <c r="R49" s="8">
        <v>-0.76662036881149098</v>
      </c>
      <c r="S49" s="1"/>
    </row>
    <row r="50" spans="1:19" x14ac:dyDescent="0.25">
      <c r="A50" s="1" t="s">
        <v>6</v>
      </c>
      <c r="B50" s="7">
        <v>1.4074954172257299</v>
      </c>
      <c r="C50" s="7">
        <v>0.25880560171696498</v>
      </c>
      <c r="D50" s="7">
        <v>4.6283799610675601E-2</v>
      </c>
      <c r="E50" s="7">
        <v>0.10621290455320199</v>
      </c>
      <c r="F50" s="8">
        <v>-0.90837567524790197</v>
      </c>
      <c r="G50" s="11">
        <v>77.803592516854394</v>
      </c>
      <c r="H50" s="11">
        <v>69.014990506950269</v>
      </c>
      <c r="I50" s="3"/>
      <c r="K50" s="3"/>
      <c r="L50" s="1"/>
      <c r="M50" s="1" t="s">
        <v>6</v>
      </c>
      <c r="N50" s="8">
        <v>0.68587815994758305</v>
      </c>
      <c r="O50" s="8">
        <v>-0.74314055155585101</v>
      </c>
      <c r="P50" s="8">
        <v>-0.22155858359451899</v>
      </c>
      <c r="Q50" s="8">
        <v>-0.51680913320449795</v>
      </c>
      <c r="R50" s="8">
        <v>-0.79093223163479298</v>
      </c>
      <c r="S50" s="1"/>
    </row>
    <row r="51" spans="1:19" x14ac:dyDescent="0.25">
      <c r="A51" s="1" t="s">
        <v>7</v>
      </c>
      <c r="B51" s="7">
        <v>1.41606982531736</v>
      </c>
      <c r="C51" s="7">
        <v>0.52921681534296305</v>
      </c>
      <c r="D51" s="7">
        <v>3.0850994672477702E-2</v>
      </c>
      <c r="E51" s="7">
        <v>0.17041594173230901</v>
      </c>
      <c r="F51" s="7">
        <v>0.33346513766249403</v>
      </c>
      <c r="G51" s="11">
        <v>77.803592516854394</v>
      </c>
      <c r="H51" s="11">
        <v>69.014990506950269</v>
      </c>
      <c r="I51" s="3"/>
      <c r="K51" s="3"/>
      <c r="L51" s="1"/>
      <c r="M51" s="1" t="s">
        <v>7</v>
      </c>
      <c r="N51" s="8">
        <v>0.64478493475432996</v>
      </c>
      <c r="O51" s="8">
        <v>-0.64445784381595494</v>
      </c>
      <c r="P51" s="8">
        <v>-0.24334139198969101</v>
      </c>
      <c r="Q51" s="8">
        <v>-0.34407999236201098</v>
      </c>
      <c r="R51" s="8">
        <v>-0.52379920048275397</v>
      </c>
      <c r="S51" s="1"/>
    </row>
    <row r="52" spans="1:19" x14ac:dyDescent="0.25">
      <c r="A52" s="1" t="s">
        <v>20</v>
      </c>
      <c r="B52" s="7">
        <v>1.5689444337549201</v>
      </c>
      <c r="C52" s="7">
        <v>0.71850105371235795</v>
      </c>
      <c r="D52" s="7">
        <v>0.164262280281398</v>
      </c>
      <c r="E52" s="7">
        <v>0.415644787212891</v>
      </c>
      <c r="F52" s="7">
        <v>0.60238698682230296</v>
      </c>
      <c r="I52" s="3"/>
      <c r="K52" s="3"/>
      <c r="L52" s="1"/>
      <c r="M52" s="1" t="s">
        <v>20</v>
      </c>
      <c r="N52" s="7">
        <v>1.04151195285145</v>
      </c>
      <c r="O52" s="8">
        <v>-0.120988015114778</v>
      </c>
      <c r="P52" s="7">
        <v>9.6450074853088597E-2</v>
      </c>
      <c r="Q52" s="8">
        <v>-5.48657708396144E-2</v>
      </c>
      <c r="R52" s="8">
        <v>-0.16320255139754999</v>
      </c>
      <c r="S52" s="1"/>
    </row>
    <row r="53" spans="1:19" x14ac:dyDescent="0.25">
      <c r="A53" s="1" t="s">
        <v>21</v>
      </c>
      <c r="B53" s="7">
        <v>1.15872732148062</v>
      </c>
      <c r="C53" s="7">
        <v>0.40647074977609499</v>
      </c>
      <c r="D53" s="8">
        <v>-4.45444212598241E-2</v>
      </c>
      <c r="E53" s="7">
        <v>5.4008474266980598E-2</v>
      </c>
      <c r="F53" s="7">
        <v>0.21627118090962999</v>
      </c>
      <c r="I53" s="3"/>
      <c r="K53" s="3"/>
      <c r="L53" s="1"/>
      <c r="M53" s="1" t="s">
        <v>21</v>
      </c>
      <c r="N53" s="8">
        <v>0.57916197400143898</v>
      </c>
      <c r="O53" s="8">
        <v>-0.78477741945709301</v>
      </c>
      <c r="P53" s="8">
        <v>-0.24313716774511701</v>
      </c>
      <c r="Q53" s="8">
        <v>-0.62437814022779903</v>
      </c>
      <c r="R53" s="8">
        <v>-0.748656600612842</v>
      </c>
      <c r="S53" s="1"/>
    </row>
    <row r="54" spans="1:19" x14ac:dyDescent="0.25">
      <c r="A54" s="1" t="s">
        <v>11</v>
      </c>
      <c r="B54" s="7">
        <v>1.1637562782531401</v>
      </c>
      <c r="C54" s="7">
        <v>0.401331670241585</v>
      </c>
      <c r="D54" s="7">
        <v>6.7271555006068101E-2</v>
      </c>
      <c r="E54" s="7">
        <v>8.1392652419518097E-2</v>
      </c>
      <c r="F54" s="7">
        <v>0.164652348864086</v>
      </c>
      <c r="G54" s="11">
        <v>66.341763171136677</v>
      </c>
      <c r="H54" s="11">
        <v>64.242932047955975</v>
      </c>
      <c r="I54" s="3"/>
      <c r="K54" s="3"/>
      <c r="L54" s="1"/>
      <c r="M54" s="1" t="s">
        <v>11</v>
      </c>
      <c r="N54" s="8">
        <v>0.74506131022172795</v>
      </c>
      <c r="O54" s="8">
        <v>-0.75894808346496501</v>
      </c>
      <c r="P54" s="8">
        <v>-0.37958282657101999</v>
      </c>
      <c r="Q54" s="8">
        <v>-0.37092334927613402</v>
      </c>
      <c r="R54" s="8">
        <v>-0.49092006249230202</v>
      </c>
      <c r="S54" s="1"/>
    </row>
    <row r="55" spans="1:19" x14ac:dyDescent="0.25">
      <c r="A55" s="1"/>
      <c r="B55" s="1"/>
      <c r="C55" s="1"/>
      <c r="D55" s="1"/>
      <c r="E55" s="1"/>
      <c r="F55" s="1"/>
      <c r="G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x14ac:dyDescent="0.25">
      <c r="H56" s="11"/>
    </row>
    <row r="59" spans="1:19" x14ac:dyDescent="0.25">
      <c r="E59" s="1"/>
      <c r="F59" s="3"/>
      <c r="G59" s="3"/>
      <c r="H59" s="3"/>
      <c r="I59" s="3"/>
      <c r="J59" s="3"/>
      <c r="K59" s="1"/>
    </row>
    <row r="60" spans="1:19" x14ac:dyDescent="0.25">
      <c r="E60" s="1"/>
      <c r="F60" s="3"/>
      <c r="G60" s="3"/>
      <c r="H60" s="3"/>
      <c r="I60" s="3"/>
      <c r="J60" s="3"/>
      <c r="K60" s="1"/>
    </row>
    <row r="61" spans="1:19" x14ac:dyDescent="0.25">
      <c r="E61" s="1"/>
      <c r="F61" s="3"/>
      <c r="G61" s="3"/>
      <c r="H61" s="3"/>
      <c r="I61" s="3"/>
      <c r="J61" s="3"/>
      <c r="K61" s="1"/>
    </row>
    <row r="62" spans="1:19" x14ac:dyDescent="0.25">
      <c r="E62" s="1"/>
      <c r="F62" s="3"/>
      <c r="G62" s="3"/>
      <c r="H62" s="3"/>
      <c r="I62" s="3"/>
      <c r="J62" s="3"/>
      <c r="K62" s="1"/>
    </row>
    <row r="63" spans="1:19" x14ac:dyDescent="0.25">
      <c r="E63" s="1"/>
      <c r="F63" s="3"/>
      <c r="G63" s="3"/>
      <c r="H63" s="3"/>
      <c r="I63" s="3"/>
      <c r="J63" s="3"/>
      <c r="K63" s="1"/>
    </row>
    <row r="64" spans="1:19" x14ac:dyDescent="0.25">
      <c r="E64" s="1"/>
      <c r="F64" s="3"/>
      <c r="G64" s="3"/>
      <c r="H64" s="3"/>
      <c r="I64" s="3"/>
      <c r="J64" s="3"/>
      <c r="K64" s="1"/>
    </row>
    <row r="65" spans="5:11" x14ac:dyDescent="0.25">
      <c r="E65" s="1"/>
      <c r="F65" s="3"/>
      <c r="G65" s="3"/>
      <c r="H65" s="3"/>
      <c r="I65" s="3"/>
      <c r="J65" s="3"/>
      <c r="K65" s="1"/>
    </row>
    <row r="66" spans="5:11" x14ac:dyDescent="0.25">
      <c r="E66" s="1"/>
      <c r="K66" s="1"/>
    </row>
    <row r="68" spans="5:11" x14ac:dyDescent="0.25">
      <c r="F68" s="1"/>
      <c r="G68" s="1"/>
      <c r="H68" s="1"/>
      <c r="I68" s="1"/>
      <c r="J68" s="3"/>
      <c r="K68" s="1"/>
    </row>
    <row r="69" spans="5:11" x14ac:dyDescent="0.25">
      <c r="F69" s="3"/>
      <c r="G69" s="3"/>
      <c r="H69" s="3"/>
      <c r="I69" s="3"/>
      <c r="J69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7CF3-4388-43F5-BF7D-AD6E55B5C457}">
  <dimension ref="B2:H48"/>
  <sheetViews>
    <sheetView zoomScale="70" zoomScaleNormal="70" workbookViewId="0">
      <selection activeCell="AC44" sqref="AC44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7</v>
      </c>
      <c r="C5" s="9">
        <v>0.110144282</v>
      </c>
      <c r="D5" s="7">
        <v>1.45242884682964</v>
      </c>
      <c r="E5" s="7">
        <v>0.238708102284336</v>
      </c>
      <c r="F5" s="7">
        <v>0.14477972148899501</v>
      </c>
    </row>
    <row r="6" spans="2:6" x14ac:dyDescent="0.25">
      <c r="B6" s="10" t="s">
        <v>11</v>
      </c>
      <c r="C6" s="9">
        <v>9.3918104000000002E-2</v>
      </c>
      <c r="D6" s="8">
        <v>0.84619083652769</v>
      </c>
      <c r="E6" s="8">
        <v>-0.57708462423306806</v>
      </c>
      <c r="F6" s="8">
        <v>-7.8588218215967606E-2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7</v>
      </c>
      <c r="C11" s="9">
        <v>0.110144282</v>
      </c>
      <c r="D11" s="7">
        <v>1.0770799229366299</v>
      </c>
      <c r="E11" s="7">
        <v>0.64255712913469198</v>
      </c>
      <c r="F11" s="7">
        <v>0.41389016217674901</v>
      </c>
    </row>
    <row r="12" spans="2:6" x14ac:dyDescent="0.25">
      <c r="B12" s="10" t="s">
        <v>11</v>
      </c>
      <c r="C12" s="9">
        <v>9.3918104000000002E-2</v>
      </c>
      <c r="D12" s="7">
        <v>1.6537701478523501</v>
      </c>
      <c r="E12" s="7">
        <v>0.384403035464087</v>
      </c>
      <c r="F12" s="7">
        <v>5.9760012226563401E-2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7</v>
      </c>
      <c r="C17" s="9">
        <v>0.110144282</v>
      </c>
      <c r="D17" s="7">
        <v>1.29322320004102</v>
      </c>
      <c r="E17" s="7">
        <v>0.43470959470339599</v>
      </c>
      <c r="F17" s="7">
        <v>0.36758406997509402</v>
      </c>
    </row>
    <row r="18" spans="2:6" x14ac:dyDescent="0.25">
      <c r="B18" s="10" t="s">
        <v>11</v>
      </c>
      <c r="C18" s="9">
        <v>9.3918104000000002E-2</v>
      </c>
      <c r="D18" s="8">
        <v>0.82233612818652901</v>
      </c>
      <c r="E18" s="8">
        <v>-0.50591021290758598</v>
      </c>
      <c r="F18" s="8">
        <v>-0.161754895727207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7</v>
      </c>
      <c r="C23" s="9">
        <v>0.110144282</v>
      </c>
      <c r="D23" s="8">
        <v>0.61809493388466297</v>
      </c>
      <c r="E23" s="8">
        <v>-0.851696935181535</v>
      </c>
      <c r="F23" s="8">
        <v>-0.17562342751062601</v>
      </c>
    </row>
    <row r="24" spans="2:6" x14ac:dyDescent="0.25">
      <c r="B24" s="10" t="s">
        <v>11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7</v>
      </c>
      <c r="C29" s="9">
        <v>0.110144282</v>
      </c>
    </row>
    <row r="30" spans="2:6" x14ac:dyDescent="0.25">
      <c r="B30" s="10" t="s">
        <v>11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7</v>
      </c>
      <c r="C35" s="9">
        <v>0.110144282</v>
      </c>
    </row>
    <row r="36" spans="2:8" x14ac:dyDescent="0.25">
      <c r="B36" s="10" t="s">
        <v>11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0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0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0" t="s">
        <v>7</v>
      </c>
      <c r="C41" s="9">
        <v>0.110144282</v>
      </c>
      <c r="D41" s="7">
        <v>1.41606982531736</v>
      </c>
      <c r="E41" s="7">
        <v>0.52921681534296305</v>
      </c>
      <c r="F41" s="7">
        <v>3.0850994672477702E-2</v>
      </c>
      <c r="G41" s="7">
        <v>0.17041594173230901</v>
      </c>
      <c r="H41" s="7">
        <v>0.33346513766249403</v>
      </c>
    </row>
    <row r="42" spans="2:8" x14ac:dyDescent="0.25">
      <c r="B42" s="10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0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0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0" t="s">
        <v>7</v>
      </c>
      <c r="C47" s="9">
        <v>0.110144282</v>
      </c>
      <c r="D47" s="8">
        <v>0.64478493475432996</v>
      </c>
      <c r="E47" s="8">
        <v>-0.64445784381595494</v>
      </c>
      <c r="F47" s="8">
        <v>-0.24334139198969101</v>
      </c>
      <c r="G47" s="8">
        <v>-0.34407999236201098</v>
      </c>
      <c r="H47" s="8">
        <v>-0.52379920048275397</v>
      </c>
    </row>
    <row r="48" spans="2:8" x14ac:dyDescent="0.25">
      <c r="B48" s="10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1C0C-8E57-4EF0-B25E-6D2284B1AE77}">
  <dimension ref="B2:H48"/>
  <sheetViews>
    <sheetView zoomScale="115" zoomScaleNormal="115" workbookViewId="0">
      <selection activeCell="F19" sqref="F19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6</v>
      </c>
      <c r="C5" s="9">
        <v>0.110144282</v>
      </c>
      <c r="D5" s="7">
        <v>1.4480475262282899</v>
      </c>
      <c r="E5" s="7">
        <v>0.66475177086608195</v>
      </c>
      <c r="F5" s="7">
        <v>0.21234239309632399</v>
      </c>
    </row>
    <row r="6" spans="2:6" x14ac:dyDescent="0.25">
      <c r="B6" s="10" t="s">
        <v>10</v>
      </c>
      <c r="C6" s="9">
        <v>9.3918104000000002E-2</v>
      </c>
      <c r="D6" s="8">
        <v>0.665445371933445</v>
      </c>
      <c r="E6" s="8">
        <v>-1.0305451800868599</v>
      </c>
      <c r="F6" s="8">
        <v>-4.1760232547360499E-2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6</v>
      </c>
      <c r="C11" s="9">
        <v>0.110144282</v>
      </c>
      <c r="D11" s="8">
        <v>0.77501210984665403</v>
      </c>
      <c r="E11" s="8">
        <v>-0.908415578463458</v>
      </c>
      <c r="F11" s="8">
        <v>-0.17637365181995501</v>
      </c>
    </row>
    <row r="12" spans="2:6" x14ac:dyDescent="0.25">
      <c r="B12" s="10" t="s">
        <v>10</v>
      </c>
      <c r="C12" s="9">
        <v>9.3918104000000002E-2</v>
      </c>
      <c r="D12" s="8">
        <v>0.66267278810022201</v>
      </c>
      <c r="E12" s="8">
        <v>-1.0273129897173701</v>
      </c>
      <c r="F12" s="8">
        <v>-4.74716361793363E-2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6</v>
      </c>
      <c r="C17" s="9">
        <v>0.110144282</v>
      </c>
      <c r="D17" s="7">
        <v>1.46809780024647</v>
      </c>
      <c r="E17" s="7">
        <v>0.61110995616383801</v>
      </c>
      <c r="F17" s="7">
        <v>0.42964915677977999</v>
      </c>
    </row>
    <row r="18" spans="2:6" x14ac:dyDescent="0.25">
      <c r="B18" s="10" t="s">
        <v>10</v>
      </c>
      <c r="C18" s="9">
        <v>9.3918104000000002E-2</v>
      </c>
      <c r="D18" s="8">
        <v>0.56520265738304298</v>
      </c>
      <c r="E18" s="8">
        <v>-1.0275595596207601</v>
      </c>
      <c r="F18" s="8">
        <v>-6.6277814143714905E-2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6</v>
      </c>
      <c r="C23" s="9">
        <v>0.110144282</v>
      </c>
      <c r="D23" s="8">
        <v>0.92225532580611602</v>
      </c>
      <c r="E23" s="8">
        <v>-0.36586676677487101</v>
      </c>
      <c r="F23" s="7">
        <v>3.59517217205262E-2</v>
      </c>
    </row>
    <row r="24" spans="2:6" x14ac:dyDescent="0.25">
      <c r="B24" s="10" t="s">
        <v>10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6</v>
      </c>
      <c r="C29" s="9">
        <v>0.110144282</v>
      </c>
    </row>
    <row r="30" spans="2:6" x14ac:dyDescent="0.25">
      <c r="B30" s="10" t="s">
        <v>10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6</v>
      </c>
      <c r="C35" s="9">
        <v>0.110144282</v>
      </c>
    </row>
    <row r="36" spans="2:8" x14ac:dyDescent="0.25">
      <c r="B36" s="10" t="s">
        <v>10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" t="s">
        <v>6</v>
      </c>
      <c r="C41" s="9">
        <v>0.110144282</v>
      </c>
      <c r="D41" s="7">
        <v>1.4074954172257299</v>
      </c>
      <c r="E41" s="7">
        <v>0.25880560171696498</v>
      </c>
      <c r="F41" s="7">
        <v>4.6283799610675601E-2</v>
      </c>
      <c r="G41" s="7">
        <v>0.10621290455320199</v>
      </c>
      <c r="H41" s="8">
        <v>-0.90837567524790197</v>
      </c>
    </row>
    <row r="42" spans="2:8" x14ac:dyDescent="0.25">
      <c r="B42" s="1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" t="s">
        <v>6</v>
      </c>
      <c r="C47" s="9">
        <v>0.110144282</v>
      </c>
      <c r="D47" s="8">
        <v>0.68587815994758305</v>
      </c>
      <c r="E47" s="8">
        <v>-0.74314055155585101</v>
      </c>
      <c r="F47" s="8">
        <v>-0.22155858359451899</v>
      </c>
      <c r="G47" s="8">
        <v>-0.51680913320449795</v>
      </c>
      <c r="H47" s="8">
        <v>-0.79093223163479298</v>
      </c>
    </row>
    <row r="48" spans="2:8" x14ac:dyDescent="0.25">
      <c r="B48" s="1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upstream</vt:lpstr>
      <vt:lpstr>downstream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2026-06-25T00:20:12Z</dcterms:modified>
</cp:coreProperties>
</file>