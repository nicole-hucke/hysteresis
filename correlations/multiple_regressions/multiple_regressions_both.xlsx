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6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7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8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multiple_regressions\"/>
    </mc:Choice>
  </mc:AlternateContent>
  <xr:revisionPtr revIDLastSave="0" documentId="13_ncr:1_{6D0DE80D-E2FE-4ED6-AA2E-250A4496462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ll_data" sheetId="1" r:id="rId1"/>
    <sheet name="downstream" sheetId="2" r:id="rId2"/>
    <sheet name="upstream" sheetId="3" r:id="rId3"/>
    <sheet name="relationships with tauc" sheetId="4" r:id="rId4"/>
    <sheet name="tau correlations" sheetId="5" r:id="rId5"/>
    <sheet name="tauc correlations (no st7)" sheetId="7" r:id="rId6"/>
    <sheet name="tauc correlations - no 0 (st4)" sheetId="6" r:id="rId7"/>
    <sheet name="tauc correlations (no st4-7)" sheetId="8" r:id="rId8"/>
  </sheets>
  <definedNames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'tauc correlations - no 0 (st4)'!$BM$33</definedName>
    <definedName name="solver_typ" localSheetId="6" hidden="1">1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L74" i="8"/>
  <c r="K74" i="8"/>
  <c r="L73" i="8"/>
  <c r="K73" i="8"/>
  <c r="L72" i="8"/>
  <c r="K72" i="8"/>
  <c r="L71" i="8"/>
  <c r="K71" i="8"/>
  <c r="L70" i="8"/>
  <c r="K70" i="8"/>
  <c r="L69" i="8"/>
  <c r="K69" i="8"/>
  <c r="L66" i="8"/>
  <c r="K66" i="8"/>
  <c r="J66" i="8"/>
  <c r="L65" i="8"/>
  <c r="K65" i="8"/>
  <c r="J65" i="8"/>
  <c r="L61" i="8"/>
  <c r="K61" i="8"/>
  <c r="J61" i="8"/>
  <c r="L60" i="8"/>
  <c r="K60" i="8"/>
  <c r="J60" i="8"/>
  <c r="L59" i="8"/>
  <c r="K59" i="8"/>
  <c r="J59" i="8"/>
  <c r="L58" i="8"/>
  <c r="K58" i="8"/>
  <c r="J58" i="8"/>
  <c r="L57" i="8"/>
  <c r="K57" i="8"/>
  <c r="J57" i="8"/>
  <c r="L56" i="8"/>
  <c r="K56" i="8"/>
  <c r="J56" i="8"/>
  <c r="L55" i="8"/>
  <c r="K55" i="8"/>
  <c r="J55" i="8"/>
  <c r="L52" i="8"/>
  <c r="K52" i="8"/>
  <c r="L51" i="8"/>
  <c r="K51" i="8"/>
  <c r="L47" i="8"/>
  <c r="K47" i="8"/>
  <c r="L46" i="8"/>
  <c r="K46" i="8"/>
  <c r="L45" i="8"/>
  <c r="K45" i="8"/>
  <c r="L44" i="8"/>
  <c r="K44" i="8"/>
  <c r="L43" i="8"/>
  <c r="K43" i="8"/>
  <c r="L42" i="8"/>
  <c r="K42" i="8"/>
  <c r="L39" i="8"/>
  <c r="K39" i="8"/>
  <c r="L38" i="8"/>
  <c r="K38" i="8"/>
  <c r="L34" i="8"/>
  <c r="K34" i="8"/>
  <c r="J34" i="8"/>
  <c r="L33" i="8"/>
  <c r="K33" i="8"/>
  <c r="J33" i="8"/>
  <c r="L32" i="8"/>
  <c r="K32" i="8"/>
  <c r="J32" i="8"/>
  <c r="L31" i="8"/>
  <c r="K31" i="8"/>
  <c r="J31" i="8"/>
  <c r="L30" i="8"/>
  <c r="K30" i="8"/>
  <c r="J30" i="8"/>
  <c r="L29" i="8"/>
  <c r="K29" i="8"/>
  <c r="J29" i="8"/>
  <c r="L28" i="8"/>
  <c r="K28" i="8"/>
  <c r="J28" i="8"/>
  <c r="L25" i="8"/>
  <c r="K25" i="8"/>
  <c r="J25" i="8"/>
  <c r="L24" i="8"/>
  <c r="K24" i="8"/>
  <c r="J24" i="8"/>
  <c r="L20" i="8"/>
  <c r="K20" i="8"/>
  <c r="J20" i="8"/>
  <c r="L19" i="8"/>
  <c r="K19" i="8"/>
  <c r="J19" i="8"/>
  <c r="L18" i="8"/>
  <c r="K18" i="8"/>
  <c r="J18" i="8"/>
  <c r="L17" i="8"/>
  <c r="K17" i="8"/>
  <c r="J17" i="8"/>
  <c r="L16" i="8"/>
  <c r="K16" i="8"/>
  <c r="J16" i="8"/>
  <c r="L15" i="8"/>
  <c r="K15" i="8"/>
  <c r="J15" i="8"/>
  <c r="L14" i="8"/>
  <c r="K14" i="8"/>
  <c r="J14" i="8"/>
  <c r="L13" i="8"/>
  <c r="K13" i="8"/>
  <c r="J13" i="8"/>
  <c r="L12" i="8"/>
  <c r="K12" i="8"/>
  <c r="J12" i="8"/>
  <c r="L11" i="8"/>
  <c r="K11" i="8"/>
  <c r="J11" i="8"/>
  <c r="L10" i="8"/>
  <c r="K10" i="8"/>
  <c r="J10" i="8"/>
  <c r="AZ9" i="8"/>
  <c r="AY9" i="8"/>
  <c r="L9" i="8"/>
  <c r="K9" i="8"/>
  <c r="J9" i="8"/>
  <c r="AZ8" i="8"/>
  <c r="AY8" i="8"/>
  <c r="L8" i="8"/>
  <c r="K8" i="8"/>
  <c r="J8" i="8"/>
  <c r="AZ7" i="8"/>
  <c r="AY7" i="8"/>
  <c r="AZ6" i="8"/>
  <c r="AY6" i="8"/>
  <c r="AZ5" i="8"/>
  <c r="AY5" i="8"/>
  <c r="AZ4" i="8"/>
  <c r="AY4" i="8"/>
  <c r="AZ3" i="8"/>
  <c r="AY3" i="8"/>
  <c r="L3" i="8"/>
  <c r="K3" i="8"/>
  <c r="J3" i="8"/>
  <c r="AZ2" i="8"/>
  <c r="AY2" i="8"/>
  <c r="L2" i="8"/>
  <c r="K2" i="8"/>
  <c r="J2" i="8"/>
  <c r="K74" i="7"/>
  <c r="K73" i="7"/>
  <c r="K72" i="7"/>
  <c r="K71" i="7"/>
  <c r="K70" i="7"/>
  <c r="K69" i="7"/>
  <c r="K66" i="7"/>
  <c r="J66" i="7"/>
  <c r="K65" i="7"/>
  <c r="J65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2" i="7"/>
  <c r="K51" i="7"/>
  <c r="K47" i="7"/>
  <c r="K46" i="7"/>
  <c r="K45" i="7"/>
  <c r="K44" i="7"/>
  <c r="K43" i="7"/>
  <c r="K42" i="7"/>
  <c r="K39" i="7"/>
  <c r="K38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5" i="7"/>
  <c r="J25" i="7"/>
  <c r="K24" i="7"/>
  <c r="J24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BC9" i="7"/>
  <c r="BB9" i="7"/>
  <c r="K10" i="7"/>
  <c r="J10" i="7"/>
  <c r="BC8" i="7"/>
  <c r="BB8" i="7"/>
  <c r="K9" i="7"/>
  <c r="J9" i="7"/>
  <c r="BC7" i="7"/>
  <c r="BB7" i="7"/>
  <c r="K8" i="7"/>
  <c r="J8" i="7"/>
  <c r="BC6" i="7"/>
  <c r="BB6" i="7"/>
  <c r="BC5" i="7"/>
  <c r="BB5" i="7"/>
  <c r="J5" i="7"/>
  <c r="J4" i="7"/>
  <c r="BC3" i="7"/>
  <c r="BB3" i="7"/>
  <c r="K3" i="7"/>
  <c r="BC2" i="7"/>
  <c r="BB2" i="7"/>
  <c r="K2" i="7"/>
  <c r="J2" i="7"/>
  <c r="K38" i="5"/>
  <c r="K24" i="5"/>
  <c r="K25" i="5"/>
  <c r="K27" i="5"/>
  <c r="K28" i="5"/>
  <c r="K29" i="5"/>
  <c r="K30" i="5"/>
  <c r="K31" i="5"/>
  <c r="K32" i="5"/>
  <c r="K33" i="5"/>
  <c r="K34" i="5"/>
  <c r="K39" i="5"/>
  <c r="K41" i="5"/>
  <c r="K42" i="5"/>
  <c r="K43" i="5"/>
  <c r="K44" i="5"/>
  <c r="K45" i="5"/>
  <c r="K46" i="5"/>
  <c r="K47" i="5"/>
  <c r="K51" i="5"/>
  <c r="K52" i="5"/>
  <c r="K54" i="5"/>
  <c r="K55" i="5"/>
  <c r="K56" i="5"/>
  <c r="K57" i="5"/>
  <c r="K58" i="5"/>
  <c r="K59" i="5"/>
  <c r="K60" i="5"/>
  <c r="K61" i="5"/>
  <c r="K65" i="5"/>
  <c r="K66" i="5"/>
  <c r="K68" i="5"/>
  <c r="K69" i="5"/>
  <c r="K70" i="5"/>
  <c r="K71" i="5"/>
  <c r="K72" i="5"/>
  <c r="K73" i="5"/>
  <c r="K74" i="5"/>
  <c r="K18" i="5"/>
  <c r="K19" i="5"/>
  <c r="K20" i="5"/>
  <c r="K3" i="5"/>
  <c r="K6" i="5"/>
  <c r="K7" i="5"/>
  <c r="K8" i="5"/>
  <c r="K9" i="5"/>
  <c r="K10" i="5"/>
  <c r="K11" i="5"/>
  <c r="K12" i="5"/>
  <c r="K13" i="5"/>
  <c r="K14" i="5"/>
  <c r="K15" i="5"/>
  <c r="K16" i="5"/>
  <c r="K17" i="5"/>
  <c r="K2" i="5"/>
  <c r="AX3" i="5"/>
  <c r="AX5" i="5"/>
  <c r="AX6" i="5"/>
  <c r="AX7" i="5"/>
  <c r="AX8" i="5"/>
  <c r="AX9" i="5"/>
  <c r="AX10" i="5"/>
  <c r="AX2" i="5"/>
  <c r="AZ3" i="5"/>
  <c r="AZ5" i="5"/>
  <c r="AZ6" i="5"/>
  <c r="AZ7" i="5"/>
  <c r="AZ8" i="5"/>
  <c r="AZ9" i="5"/>
  <c r="AZ10" i="5"/>
  <c r="AZ2" i="5"/>
  <c r="AY9" i="6"/>
  <c r="AZ9" i="6"/>
  <c r="AY8" i="6"/>
  <c r="AZ8" i="6"/>
  <c r="AY7" i="6"/>
  <c r="AZ7" i="6"/>
  <c r="AY6" i="6"/>
  <c r="AZ6" i="6"/>
  <c r="AY5" i="6"/>
  <c r="AZ5" i="6"/>
  <c r="AY4" i="6"/>
  <c r="AZ4" i="6"/>
  <c r="AY3" i="6"/>
  <c r="AZ3" i="6"/>
  <c r="AY2" i="6"/>
  <c r="AZ2" i="6"/>
  <c r="L3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4" i="6"/>
  <c r="L25" i="6"/>
  <c r="L27" i="6"/>
  <c r="L28" i="6"/>
  <c r="L29" i="6"/>
  <c r="L30" i="6"/>
  <c r="L31" i="6"/>
  <c r="L32" i="6"/>
  <c r="L33" i="6"/>
  <c r="L34" i="6"/>
  <c r="L38" i="6"/>
  <c r="L39" i="6"/>
  <c r="L41" i="6"/>
  <c r="L42" i="6"/>
  <c r="L43" i="6"/>
  <c r="L44" i="6"/>
  <c r="L45" i="6"/>
  <c r="L46" i="6"/>
  <c r="L47" i="6"/>
  <c r="L51" i="6"/>
  <c r="L52" i="6"/>
  <c r="L54" i="6"/>
  <c r="L55" i="6"/>
  <c r="L56" i="6"/>
  <c r="L57" i="6"/>
  <c r="L58" i="6"/>
  <c r="L59" i="6"/>
  <c r="L60" i="6"/>
  <c r="L61" i="6"/>
  <c r="L65" i="6"/>
  <c r="L66" i="6"/>
  <c r="L68" i="6"/>
  <c r="L69" i="6"/>
  <c r="L70" i="6"/>
  <c r="L71" i="6"/>
  <c r="L72" i="6"/>
  <c r="L73" i="6"/>
  <c r="L74" i="6"/>
  <c r="L2" i="6"/>
  <c r="K24" i="6"/>
  <c r="K25" i="6"/>
  <c r="K27" i="6"/>
  <c r="K28" i="6"/>
  <c r="K29" i="6"/>
  <c r="K30" i="6"/>
  <c r="K31" i="6"/>
  <c r="K32" i="6"/>
  <c r="K33" i="6"/>
  <c r="K34" i="6"/>
  <c r="K38" i="6"/>
  <c r="K39" i="6"/>
  <c r="K41" i="6"/>
  <c r="K42" i="6"/>
  <c r="K43" i="6"/>
  <c r="K44" i="6"/>
  <c r="K45" i="6"/>
  <c r="K46" i="6"/>
  <c r="K47" i="6"/>
  <c r="K51" i="6"/>
  <c r="K52" i="6"/>
  <c r="K54" i="6"/>
  <c r="K55" i="6"/>
  <c r="K56" i="6"/>
  <c r="K57" i="6"/>
  <c r="K58" i="6"/>
  <c r="K59" i="6"/>
  <c r="K60" i="6"/>
  <c r="K61" i="6"/>
  <c r="K65" i="6"/>
  <c r="K66" i="6"/>
  <c r="K68" i="6"/>
  <c r="K69" i="6"/>
  <c r="K70" i="6"/>
  <c r="K71" i="6"/>
  <c r="K72" i="6"/>
  <c r="K73" i="6"/>
  <c r="K74" i="6"/>
  <c r="K3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" i="6"/>
  <c r="J2" i="6"/>
  <c r="J66" i="6"/>
  <c r="J65" i="6"/>
  <c r="J61" i="6"/>
  <c r="J60" i="6"/>
  <c r="J59" i="6"/>
  <c r="J58" i="6"/>
  <c r="J57" i="6"/>
  <c r="J56" i="6"/>
  <c r="J55" i="6"/>
  <c r="J34" i="6"/>
  <c r="J33" i="6"/>
  <c r="J32" i="6"/>
  <c r="J31" i="6"/>
  <c r="J30" i="6"/>
  <c r="J29" i="6"/>
  <c r="J28" i="6"/>
  <c r="J25" i="6"/>
  <c r="J24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3" i="6"/>
  <c r="J4" i="5"/>
  <c r="J5" i="5"/>
  <c r="J66" i="5"/>
  <c r="J65" i="5"/>
  <c r="J61" i="5"/>
  <c r="J60" i="5"/>
  <c r="J59" i="5"/>
  <c r="J58" i="5"/>
  <c r="J57" i="5"/>
  <c r="J56" i="5"/>
  <c r="J55" i="5"/>
  <c r="J34" i="5"/>
  <c r="J33" i="5"/>
  <c r="J32" i="5"/>
  <c r="J31" i="5"/>
  <c r="J30" i="5"/>
  <c r="J29" i="5"/>
  <c r="J28" i="5"/>
  <c r="J25" i="5"/>
  <c r="J24" i="5"/>
  <c r="J2" i="5"/>
  <c r="J15" i="5"/>
  <c r="J3" i="5"/>
  <c r="J6" i="5"/>
  <c r="J7" i="5"/>
  <c r="J8" i="5"/>
  <c r="J9" i="5"/>
  <c r="J10" i="5"/>
  <c r="J11" i="5"/>
  <c r="J12" i="5"/>
  <c r="J13" i="5"/>
  <c r="J14" i="5"/>
  <c r="J16" i="5"/>
  <c r="J17" i="5"/>
  <c r="J18" i="5"/>
  <c r="J19" i="5"/>
  <c r="J20" i="5"/>
  <c r="U37" i="3"/>
  <c r="U36" i="3"/>
  <c r="U35" i="3"/>
  <c r="U34" i="3"/>
  <c r="U33" i="3"/>
  <c r="U32" i="3"/>
  <c r="I32" i="3"/>
  <c r="C32" i="3"/>
  <c r="U31" i="3"/>
  <c r="I31" i="3"/>
  <c r="C31" i="3"/>
  <c r="U30" i="3"/>
  <c r="I30" i="3"/>
  <c r="C30" i="3"/>
  <c r="U29" i="3"/>
  <c r="I29" i="3"/>
  <c r="U28" i="3"/>
  <c r="I28" i="3"/>
  <c r="C28" i="3"/>
  <c r="U27" i="3"/>
  <c r="I27" i="3"/>
  <c r="C27" i="3"/>
  <c r="U26" i="3"/>
  <c r="I26" i="3"/>
  <c r="C26" i="3"/>
  <c r="U25" i="3"/>
  <c r="I25" i="3"/>
  <c r="C25" i="3"/>
  <c r="U24" i="3"/>
  <c r="I24" i="3"/>
  <c r="C24" i="3"/>
  <c r="U23" i="3"/>
  <c r="I23" i="3"/>
  <c r="C23" i="3"/>
  <c r="U22" i="3"/>
  <c r="I22" i="3"/>
  <c r="C22" i="3"/>
  <c r="U21" i="3"/>
  <c r="I21" i="3"/>
  <c r="C21" i="3"/>
  <c r="U20" i="3"/>
  <c r="I20" i="3"/>
  <c r="C20" i="3"/>
  <c r="U19" i="3"/>
  <c r="I19" i="3"/>
  <c r="C19" i="3"/>
  <c r="U18" i="3"/>
  <c r="I18" i="3"/>
  <c r="C18" i="3"/>
  <c r="U17" i="3"/>
  <c r="I17" i="3"/>
  <c r="C17" i="3"/>
  <c r="U16" i="3"/>
  <c r="I16" i="3"/>
  <c r="C16" i="3"/>
  <c r="U15" i="3"/>
  <c r="I15" i="3"/>
  <c r="C15" i="3"/>
  <c r="U14" i="3"/>
  <c r="I14" i="3"/>
  <c r="C14" i="3"/>
  <c r="U13" i="3"/>
  <c r="I13" i="3"/>
  <c r="C13" i="3"/>
  <c r="U12" i="3"/>
  <c r="O12" i="3"/>
  <c r="I12" i="3"/>
  <c r="C12" i="3"/>
  <c r="U11" i="3"/>
  <c r="O11" i="3"/>
  <c r="I11" i="3"/>
  <c r="C11" i="3"/>
  <c r="U10" i="3"/>
  <c r="O10" i="3"/>
  <c r="I10" i="3"/>
  <c r="C10" i="3"/>
  <c r="U9" i="3"/>
  <c r="O9" i="3"/>
  <c r="I9" i="3"/>
  <c r="C9" i="3"/>
  <c r="U8" i="3"/>
  <c r="O8" i="3"/>
  <c r="I8" i="3"/>
  <c r="C8" i="3"/>
  <c r="U7" i="3"/>
  <c r="O7" i="3"/>
  <c r="I7" i="3"/>
  <c r="C7" i="3"/>
  <c r="U6" i="3"/>
  <c r="O6" i="3"/>
  <c r="I6" i="3"/>
  <c r="C6" i="3"/>
  <c r="U5" i="3"/>
  <c r="O5" i="3"/>
  <c r="I5" i="3"/>
  <c r="C5" i="3"/>
  <c r="U4" i="3"/>
  <c r="O4" i="3"/>
  <c r="I4" i="3"/>
  <c r="C4" i="3"/>
  <c r="U3" i="3"/>
  <c r="O3" i="3"/>
  <c r="I3" i="3"/>
  <c r="C3" i="3"/>
  <c r="U37" i="2"/>
  <c r="U36" i="2"/>
  <c r="U35" i="2"/>
  <c r="U34" i="2"/>
  <c r="U33" i="2"/>
  <c r="U32" i="2"/>
  <c r="I32" i="2"/>
  <c r="C32" i="2"/>
  <c r="U31" i="2"/>
  <c r="I31" i="2"/>
  <c r="C31" i="2"/>
  <c r="U30" i="2"/>
  <c r="I30" i="2"/>
  <c r="C30" i="2"/>
  <c r="U29" i="2"/>
  <c r="I29" i="2"/>
  <c r="U28" i="2"/>
  <c r="I28" i="2"/>
  <c r="C28" i="2"/>
  <c r="U27" i="2"/>
  <c r="I27" i="2"/>
  <c r="C27" i="2"/>
  <c r="U26" i="2"/>
  <c r="I26" i="2"/>
  <c r="C26" i="2"/>
  <c r="U25" i="2"/>
  <c r="I25" i="2"/>
  <c r="C25" i="2"/>
  <c r="U24" i="2"/>
  <c r="I24" i="2"/>
  <c r="C24" i="2"/>
  <c r="U23" i="2"/>
  <c r="I23" i="2"/>
  <c r="C23" i="2"/>
  <c r="U22" i="2"/>
  <c r="I22" i="2"/>
  <c r="C22" i="2"/>
  <c r="U21" i="2"/>
  <c r="I21" i="2"/>
  <c r="C21" i="2"/>
  <c r="U20" i="2"/>
  <c r="I20" i="2"/>
  <c r="C20" i="2"/>
  <c r="U19" i="2"/>
  <c r="I19" i="2"/>
  <c r="C19" i="2"/>
  <c r="U18" i="2"/>
  <c r="I18" i="2"/>
  <c r="C18" i="2"/>
  <c r="U17" i="2"/>
  <c r="I17" i="2"/>
  <c r="C17" i="2"/>
  <c r="U16" i="2"/>
  <c r="I16" i="2"/>
  <c r="C16" i="2"/>
  <c r="U15" i="2"/>
  <c r="I15" i="2"/>
  <c r="C15" i="2"/>
  <c r="U14" i="2"/>
  <c r="I14" i="2"/>
  <c r="C14" i="2"/>
  <c r="U13" i="2"/>
  <c r="I13" i="2"/>
  <c r="C13" i="2"/>
  <c r="U12" i="2"/>
  <c r="O12" i="2"/>
  <c r="I12" i="2"/>
  <c r="C12" i="2"/>
  <c r="U11" i="2"/>
  <c r="O11" i="2"/>
  <c r="I11" i="2"/>
  <c r="C11" i="2"/>
  <c r="U10" i="2"/>
  <c r="O10" i="2"/>
  <c r="I10" i="2"/>
  <c r="C10" i="2"/>
  <c r="U9" i="2"/>
  <c r="O9" i="2"/>
  <c r="I9" i="2"/>
  <c r="C9" i="2"/>
  <c r="U8" i="2"/>
  <c r="O8" i="2"/>
  <c r="I8" i="2"/>
  <c r="C8" i="2"/>
  <c r="U7" i="2"/>
  <c r="O7" i="2"/>
  <c r="I7" i="2"/>
  <c r="C7" i="2"/>
  <c r="U6" i="2"/>
  <c r="O6" i="2"/>
  <c r="I6" i="2"/>
  <c r="C6" i="2"/>
  <c r="U5" i="2"/>
  <c r="O5" i="2"/>
  <c r="I5" i="2"/>
  <c r="C5" i="2"/>
  <c r="U4" i="2"/>
  <c r="O4" i="2"/>
  <c r="I4" i="2"/>
  <c r="C4" i="2"/>
  <c r="U3" i="2"/>
  <c r="O3" i="2"/>
  <c r="I3" i="2"/>
  <c r="C3" i="2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0" i="1"/>
  <c r="C31" i="1"/>
  <c r="C32" i="1"/>
  <c r="O12" i="1"/>
  <c r="I12" i="1"/>
  <c r="C12" i="1"/>
  <c r="O11" i="1"/>
  <c r="I11" i="1"/>
  <c r="C11" i="1"/>
  <c r="U11" i="1"/>
  <c r="O10" i="1"/>
  <c r="I10" i="1"/>
  <c r="C10" i="1"/>
  <c r="U10" i="1"/>
  <c r="O9" i="1"/>
  <c r="I9" i="1"/>
  <c r="C9" i="1"/>
  <c r="U9" i="1"/>
  <c r="U8" i="1"/>
  <c r="O8" i="1"/>
  <c r="I8" i="1"/>
  <c r="C8" i="1"/>
  <c r="U7" i="1"/>
  <c r="O7" i="1"/>
  <c r="I7" i="1"/>
  <c r="C7" i="1"/>
  <c r="U6" i="1"/>
  <c r="O6" i="1"/>
  <c r="I6" i="1"/>
  <c r="C6" i="1"/>
  <c r="U5" i="1"/>
  <c r="O5" i="1"/>
  <c r="I5" i="1"/>
  <c r="C5" i="1"/>
  <c r="U4" i="1"/>
  <c r="O4" i="1"/>
  <c r="I4" i="1"/>
  <c r="C4" i="1"/>
  <c r="U3" i="1"/>
  <c r="O3" i="1"/>
  <c r="I3" i="1"/>
  <c r="C3" i="1"/>
</calcChain>
</file>

<file path=xl/sharedStrings.xml><?xml version="1.0" encoding="utf-8"?>
<sst xmlns="http://schemas.openxmlformats.org/spreadsheetml/2006/main" count="2374" uniqueCount="129">
  <si>
    <t>SSC (mg/L)</t>
  </si>
  <si>
    <t>DOC (mg/L)</t>
  </si>
  <si>
    <t>POC (mg/L)</t>
  </si>
  <si>
    <t>Storm</t>
  </si>
  <si>
    <t>Langlois (2005)</t>
  </si>
  <si>
    <t>Log Langlois</t>
  </si>
  <si>
    <t>Lawler (2006)</t>
  </si>
  <si>
    <t xml:space="preserve">Aich (2014) </t>
  </si>
  <si>
    <t>Turnidity FNU</t>
  </si>
  <si>
    <t>st1_down</t>
  </si>
  <si>
    <t>st1_up</t>
  </si>
  <si>
    <t>st2_down</t>
  </si>
  <si>
    <t>st3_down</t>
  </si>
  <si>
    <t>st4_down</t>
  </si>
  <si>
    <t>st4_up</t>
  </si>
  <si>
    <t>st5_down</t>
  </si>
  <si>
    <t>st5_up</t>
  </si>
  <si>
    <t>st6_down</t>
  </si>
  <si>
    <t>st6_up</t>
  </si>
  <si>
    <t>st7_up</t>
  </si>
  <si>
    <t>st7_down</t>
  </si>
  <si>
    <t>Down Event_1</t>
  </si>
  <si>
    <t>Down Event_2</t>
  </si>
  <si>
    <t>Down Event_3</t>
  </si>
  <si>
    <t>Down Event_4</t>
  </si>
  <si>
    <t>Down Event_5</t>
  </si>
  <si>
    <t>Down Event_6</t>
  </si>
  <si>
    <t>Down Event_7</t>
  </si>
  <si>
    <t>Down Event_8</t>
  </si>
  <si>
    <t>Down Event_9</t>
  </si>
  <si>
    <t>Down Event_10</t>
  </si>
  <si>
    <t>Down Event_11</t>
  </si>
  <si>
    <t>Down Event_12</t>
  </si>
  <si>
    <t>Down Event_13</t>
  </si>
  <si>
    <t>Down Event_14</t>
  </si>
  <si>
    <t>Up Event_1</t>
  </si>
  <si>
    <t>Up Event_2</t>
  </si>
  <si>
    <t>Up Event_3</t>
  </si>
  <si>
    <t>Up Event_4</t>
  </si>
  <si>
    <t>Up Event_5</t>
  </si>
  <si>
    <t>Up Event_6</t>
  </si>
  <si>
    <t>Up Event_7</t>
  </si>
  <si>
    <t>Up Event_8</t>
  </si>
  <si>
    <t>Up Event_9</t>
  </si>
  <si>
    <t>Up Event_10</t>
  </si>
  <si>
    <t>Up Event_11</t>
  </si>
  <si>
    <t>Up Event_12</t>
  </si>
  <si>
    <t>Up Event_13</t>
  </si>
  <si>
    <t>Up Event_14</t>
  </si>
  <si>
    <t>tau_c50 (interpolated)</t>
  </si>
  <si>
    <t>Peak concentration (mg/L)</t>
  </si>
  <si>
    <t>Time between events τc exceedance (hrs)</t>
  </si>
  <si>
    <t>τpeak / τc50 interpolated</t>
  </si>
  <si>
    <t>τpeak / τc50 exceedance</t>
  </si>
  <si>
    <t>Time τ&gt;τc50 (hrs)</t>
  </si>
  <si>
    <t>E integral (total)</t>
  </si>
  <si>
    <t>Excess Balance</t>
  </si>
  <si>
    <r>
      <t xml:space="preserve">Time between events (no </t>
    </r>
    <r>
      <rPr>
        <b/>
        <sz val="9"/>
        <color theme="1"/>
        <rFont val="Aptos"/>
        <family val="2"/>
        <charset val="1"/>
      </rPr>
      <t>τ</t>
    </r>
    <r>
      <rPr>
        <b/>
        <sz val="9"/>
        <color theme="1"/>
        <rFont val="Aptos Narrow"/>
        <family val="2"/>
      </rPr>
      <t>c exceedance)</t>
    </r>
    <r>
      <rPr>
        <b/>
        <sz val="9"/>
        <color theme="1"/>
        <rFont val="Calibri"/>
        <family val="2"/>
        <scheme val="minor"/>
      </rPr>
      <t xml:space="preserve"> (hrs)</t>
    </r>
  </si>
  <si>
    <t>SSC HI</t>
  </si>
  <si>
    <t xml:space="preserve">Aich Hysteresis </t>
  </si>
  <si>
    <t>Turbidity HI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</si>
  <si>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</si>
  <si>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</si>
  <si>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</si>
  <si>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</si>
  <si>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</si>
  <si>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</si>
  <si>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</si>
  <si>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</si>
  <si>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</si>
  <si>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</si>
  <si>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</si>
  <si>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</si>
  <si>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</si>
  <si>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</si>
  <si>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</si>
  <si>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</si>
  <si>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</si>
  <si>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</si>
  <si>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</si>
  <si>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</si>
  <si>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</si>
  <si>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</si>
  <si>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</si>
  <si>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</si>
  <si>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Multiple Regression for SSC Aich HI - Three Variables</t>
  </si>
  <si>
    <t>Multiple Regression for SSC Aich HI - Two Variables</t>
  </si>
  <si>
    <t>Multiple Regression for Turbidity Aich HI - Three Variables</t>
  </si>
  <si>
    <t>Multiple Regression for Turbidity Aich HI - Two Variables</t>
  </si>
  <si>
    <t>Event_6</t>
  </si>
  <si>
    <t>Multiple Regression for SSC Aich HI - Three Variables - Including downstream samples</t>
  </si>
  <si>
    <t xml:space="preserve">Multiple Regression for SSC Aich HI - Two Variables - Including downstream samples </t>
  </si>
  <si>
    <t>Multiple Regression for Turbidity Aich HI - Three Variables - including downstream samples</t>
  </si>
  <si>
    <t>Multiple Regression for Turbidity Aich HI - Two Variables - including downstream samples</t>
  </si>
  <si>
    <t>POC HI</t>
  </si>
  <si>
    <t>Turb HI</t>
  </si>
  <si>
    <t>DOC HI</t>
  </si>
  <si>
    <t>tauc</t>
  </si>
  <si>
    <t>Downstream</t>
  </si>
  <si>
    <t>Upstream</t>
  </si>
  <si>
    <t>Summer Down, Spring up</t>
  </si>
  <si>
    <t>Event_3</t>
  </si>
  <si>
    <t>Event_4</t>
  </si>
  <si>
    <t>Event_5</t>
  </si>
  <si>
    <t>Event_8</t>
  </si>
  <si>
    <t>Event_9</t>
  </si>
  <si>
    <t>Event_10</t>
  </si>
  <si>
    <t>Event_12</t>
  </si>
  <si>
    <t>Event_13</t>
  </si>
  <si>
    <t>Event_14</t>
  </si>
  <si>
    <t>Time τ &gt; τc (hrs)</t>
  </si>
  <si>
    <t>RiseTime τ &gt; τc (hrs)</t>
  </si>
  <si>
    <t>FallTime τ &gt; τc (hrs)</t>
  </si>
  <si>
    <t>Rise Time τ&gt;τc (hrs)</t>
  </si>
  <si>
    <t>Fall Time τ&gt;τc (hrs)</t>
  </si>
  <si>
    <t>st2</t>
  </si>
  <si>
    <t>st3</t>
  </si>
  <si>
    <t>st4</t>
  </si>
  <si>
    <t>st7</t>
  </si>
  <si>
    <t>τpeak / τc (exceed)</t>
  </si>
  <si>
    <t>∆time τ&gt;τc (hrs)</t>
  </si>
  <si>
    <t>Summer Down, Spring Up</t>
  </si>
  <si>
    <t xml:space="preserve">Summer Up, Spring Down </t>
  </si>
  <si>
    <t xml:space="preserve">% rising time </t>
  </si>
  <si>
    <t xml:space="preserve">% falling time </t>
  </si>
  <si>
    <t xml:space="preserve">% rise time </t>
  </si>
  <si>
    <t xml:space="preserve">% fall time </t>
  </si>
  <si>
    <t xml:space="preserve">Excess Balance </t>
  </si>
  <si>
    <t xml:space="preserve">Excess Integral Rise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</si>
</sst>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ptos"/>
      <family val="2"/>
      <charset val="1"/>
    </font>
    <font>
      <b/>
      <sz val="9"/>
      <color theme="1"/>
      <name val="Aptos Narrow"/>
      <family val="2"/>
    </font>
    <font>
      <i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A02B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7" fillId="4" borderId="4" xfId="0" applyFont="1" applyFill="1" applyBorder="1" applyAlignment="1">
      <alignment horizontal="centerContinuous"/>
    </xf>
    <xf numFmtId="0" fontId="0" fillId="4" borderId="2" xfId="0" applyFill="1" applyBorder="1"/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0" fillId="6" borderId="0" xfId="0" applyFill="1"/>
    <xf numFmtId="0" fontId="7" fillId="2" borderId="4" xfId="0" applyFont="1" applyFill="1" applyBorder="1" applyAlignment="1">
      <alignment horizontal="centerContinuous"/>
    </xf>
    <xf numFmtId="0" fontId="0" fillId="2" borderId="0" xfId="0" applyFill="1"/>
    <xf numFmtId="0" fontId="0" fillId="2" borderId="2" xfId="0" applyFill="1" applyBorder="1"/>
    <xf numFmtId="0" fontId="7" fillId="2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6" borderId="2" xfId="0" applyFill="1" applyBorder="1"/>
    <xf numFmtId="165" fontId="9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Continuous"/>
    </xf>
    <xf numFmtId="165" fontId="9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/>
    <xf numFmtId="2" fontId="9" fillId="2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7" fillId="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turbidity HI vs SSC HI</a:t>
            </a:r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286501687289088"/>
                  <c:y val="-0.164750291630212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all_data!$B$38:$B$56</c:f>
              <c:numCache>
                <c:formatCode>0.00000</c:formatCode>
                <c:ptCount val="19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0.14477972148899501</c:v>
                </c:pt>
                <c:pt idx="5">
                  <c:v>-4.1760232547360499E-2</c:v>
                </c:pt>
                <c:pt idx="6">
                  <c:v>-7.8588218215967606E-2</c:v>
                </c:pt>
                <c:pt idx="7" formatCode="0.0000">
                  <c:v>8.8732929175135894E-2</c:v>
                </c:pt>
                <c:pt idx="8" formatCode="0.0000">
                  <c:v>0.10415722716452799</c:v>
                </c:pt>
                <c:pt idx="9" formatCode="0.0000">
                  <c:v>4.66251429291673E-2</c:v>
                </c:pt>
                <c:pt idx="10" formatCode="0.0000">
                  <c:v>9.0894558490112708E-3</c:v>
                </c:pt>
                <c:pt idx="11" formatCode="0.0000">
                  <c:v>2.0373962034653699E-2</c:v>
                </c:pt>
                <c:pt idx="12" formatCode="0.0000">
                  <c:v>0.14608753400636901</c:v>
                </c:pt>
                <c:pt idx="13" formatCode="0.0000">
                  <c:v>1.0119527368219401E-2</c:v>
                </c:pt>
                <c:pt idx="14" formatCode="0.0000">
                  <c:v>4.5646344187588998E-2</c:v>
                </c:pt>
                <c:pt idx="15" formatCode="0.0000">
                  <c:v>1.47909285306715E-2</c:v>
                </c:pt>
                <c:pt idx="16" formatCode="0.0000">
                  <c:v>2.0282132481243099E-2</c:v>
                </c:pt>
                <c:pt idx="17" formatCode="0.0000">
                  <c:v>3.6679485231980898E-2</c:v>
                </c:pt>
                <c:pt idx="18" formatCode="0.0000">
                  <c:v>7.7980025652416296E-2</c:v>
                </c:pt>
              </c:numCache>
            </c:numRef>
          </c:xVal>
          <c:yVal>
            <c:numRef>
              <c:f>all_data!$C$38:$C$56</c:f>
              <c:numCache>
                <c:formatCode>0.00000</c:formatCode>
                <c:ptCount val="19"/>
                <c:pt idx="0">
                  <c:v>0.57681691180727601</c:v>
                </c:pt>
                <c:pt idx="1">
                  <c:v>0.13984116014494999</c:v>
                </c:pt>
                <c:pt idx="2">
                  <c:v>8.9326261366187695E-2</c:v>
                </c:pt>
                <c:pt idx="3">
                  <c:v>4.6283799610675601E-2</c:v>
                </c:pt>
                <c:pt idx="4">
                  <c:v>3.0850994672477702E-2</c:v>
                </c:pt>
                <c:pt idx="6">
                  <c:v>6.7271555006068101E-2</c:v>
                </c:pt>
                <c:pt idx="7" formatCode="0.0000">
                  <c:v>0.15621819275209001</c:v>
                </c:pt>
                <c:pt idx="8" formatCode="0.0000">
                  <c:v>5.5397551503622099E-2</c:v>
                </c:pt>
                <c:pt idx="9" formatCode="0.0000">
                  <c:v>6.9883057908481996E-2</c:v>
                </c:pt>
                <c:pt idx="10" formatCode="0.0000">
                  <c:v>7.8645648239850305E-2</c:v>
                </c:pt>
                <c:pt idx="11" formatCode="0.0000">
                  <c:v>0.101236914763633</c:v>
                </c:pt>
                <c:pt idx="12" formatCode="0.0000">
                  <c:v>6.8212961854365706E-2</c:v>
                </c:pt>
                <c:pt idx="13" formatCode="0.0000">
                  <c:v>9.9852529707758195E-2</c:v>
                </c:pt>
                <c:pt idx="14" formatCode="0.0000">
                  <c:v>5.5815481283492403E-2</c:v>
                </c:pt>
                <c:pt idx="15" formatCode="0.0000">
                  <c:v>9.5391388976058394E-2</c:v>
                </c:pt>
                <c:pt idx="16" formatCode="0.0000">
                  <c:v>0.115227328160236</c:v>
                </c:pt>
                <c:pt idx="17" formatCode="0.0000">
                  <c:v>0.157732693122626</c:v>
                </c:pt>
                <c:pt idx="18" formatCode="0.000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80-4DC6-B41C-697B8FCAA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vs E</a:t>
            </a:r>
            <a:r>
              <a:rPr lang="en-US" baseline="0"/>
              <a:t> integral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850243719535056"/>
                  <c:y val="-0.333508460378622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6" formatCode="0.0000">
                  <c:v>8.8732929175135894E-2</c:v>
                </c:pt>
                <c:pt idx="7" formatCode="0.0000">
                  <c:v>0.10415722716452799</c:v>
                </c:pt>
                <c:pt idx="8" formatCode="0.0000">
                  <c:v>4.66251429291673E-2</c:v>
                </c:pt>
                <c:pt idx="9" formatCode="0.0000">
                  <c:v>9.0894558490112708E-3</c:v>
                </c:pt>
                <c:pt idx="10" formatCode="0.0000">
                  <c:v>2.0373962034653699E-2</c:v>
                </c:pt>
                <c:pt idx="11" formatCode="0.0000">
                  <c:v>0.14608753400636901</c:v>
                </c:pt>
                <c:pt idx="12" formatCode="0.0000">
                  <c:v>1.0119527368219401E-2</c:v>
                </c:pt>
                <c:pt idx="13" formatCode="0.0000">
                  <c:v>4.5646344187588998E-2</c:v>
                </c:pt>
                <c:pt idx="14" formatCode="0.0000">
                  <c:v>1.47909285306715E-2</c:v>
                </c:pt>
                <c:pt idx="15" formatCode="0.0000">
                  <c:v>2.0282132481243099E-2</c:v>
                </c:pt>
                <c:pt idx="16" formatCode="0.0000">
                  <c:v>3.6679485231980898E-2</c:v>
                </c:pt>
                <c:pt idx="17" formatCode="0.0000">
                  <c:v>7.7980025652416296E-2</c:v>
                </c:pt>
              </c:numCache>
            </c:numRef>
          </c:xVal>
          <c:yVal>
            <c:numRef>
              <c:f>all_data!$K$39:$K$56</c:f>
              <c:numCache>
                <c:formatCode>0.00</c:formatCode>
                <c:ptCount val="18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4">
                  <c:v>5.7971200506894904</c:v>
                </c:pt>
                <c:pt idx="5">
                  <c:v>5.7971200506894904</c:v>
                </c:pt>
                <c:pt idx="6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0" formatCode="0.000">
                  <c:v>175.86248095131899</c:v>
                </c:pt>
                <c:pt idx="11" formatCode="0.000">
                  <c:v>1.9432258375425799</c:v>
                </c:pt>
                <c:pt idx="12" formatCode="0.000">
                  <c:v>33.895949402833203</c:v>
                </c:pt>
                <c:pt idx="13" formatCode="0.000">
                  <c:v>32.177431699139497</c:v>
                </c:pt>
                <c:pt idx="14" formatCode="0.000">
                  <c:v>31.253302872972</c:v>
                </c:pt>
                <c:pt idx="15" formatCode="0.000">
                  <c:v>42.7547044117564</c:v>
                </c:pt>
                <c:pt idx="16" formatCode="0.000">
                  <c:v>175.86248095131899</c:v>
                </c:pt>
                <c:pt idx="17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DA-41F4-8EF8-61F1FC6B7F81}"/>
            </c:ext>
          </c:extLst>
        </c:ser>
        <c:ser>
          <c:idx val="1"/>
          <c:order val="1"/>
          <c:tx>
            <c:strRef>
              <c:f>all_data!$C$37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046981627296588E-2"/>
                  <c:y val="-3.558027586977165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all_data!$C$39:$C$56</c:f>
              <c:numCache>
                <c:formatCode>0.00000</c:formatCode>
                <c:ptCount val="1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 formatCode="0.0000">
                  <c:v>0.15621819275209001</c:v>
                </c:pt>
                <c:pt idx="7" formatCode="0.0000">
                  <c:v>5.5397551503622099E-2</c:v>
                </c:pt>
                <c:pt idx="8" formatCode="0.0000">
                  <c:v>6.9883057908481996E-2</c:v>
                </c:pt>
                <c:pt idx="9" formatCode="0.0000">
                  <c:v>7.8645648239850305E-2</c:v>
                </c:pt>
                <c:pt idx="10" formatCode="0.0000">
                  <c:v>0.101236914763633</c:v>
                </c:pt>
                <c:pt idx="11" formatCode="0.0000">
                  <c:v>6.8212961854365706E-2</c:v>
                </c:pt>
                <c:pt idx="12" formatCode="0.0000">
                  <c:v>9.9852529707758195E-2</c:v>
                </c:pt>
                <c:pt idx="13" formatCode="0.0000">
                  <c:v>5.5815481283492403E-2</c:v>
                </c:pt>
                <c:pt idx="14" formatCode="0.0000">
                  <c:v>9.5391388976058394E-2</c:v>
                </c:pt>
                <c:pt idx="15" formatCode="0.0000">
                  <c:v>0.115227328160236</c:v>
                </c:pt>
                <c:pt idx="16" formatCode="0.0000">
                  <c:v>0.157732693122626</c:v>
                </c:pt>
                <c:pt idx="17" formatCode="0.0000">
                  <c:v>0.121156039239802</c:v>
                </c:pt>
              </c:numCache>
            </c:numRef>
          </c:xVal>
          <c:yVal>
            <c:numRef>
              <c:f>all_data!$K$39:$K$56</c:f>
              <c:numCache>
                <c:formatCode>0.00</c:formatCode>
                <c:ptCount val="18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4">
                  <c:v>5.7971200506894904</c:v>
                </c:pt>
                <c:pt idx="5">
                  <c:v>5.7971200506894904</c:v>
                </c:pt>
                <c:pt idx="6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0" formatCode="0.000">
                  <c:v>175.86248095131899</c:v>
                </c:pt>
                <c:pt idx="11" formatCode="0.000">
                  <c:v>1.9432258375425799</c:v>
                </c:pt>
                <c:pt idx="12" formatCode="0.000">
                  <c:v>33.895949402833203</c:v>
                </c:pt>
                <c:pt idx="13" formatCode="0.000">
                  <c:v>32.177431699139497</c:v>
                </c:pt>
                <c:pt idx="14" formatCode="0.000">
                  <c:v>31.253302872972</c:v>
                </c:pt>
                <c:pt idx="15" formatCode="0.000">
                  <c:v>42.7547044117564</c:v>
                </c:pt>
                <c:pt idx="16" formatCode="0.000">
                  <c:v>175.86248095131899</c:v>
                </c:pt>
                <c:pt idx="17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DA-41F4-8EF8-61F1FC6B7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Aich</a:t>
            </a:r>
            <a:r>
              <a:rPr lang="en-US" sz="1050" baseline="0"/>
              <a:t> </a:t>
            </a:r>
            <a:r>
              <a:rPr lang="en-US" sz="1050"/>
              <a:t>HI vs E</a:t>
            </a:r>
            <a:r>
              <a:rPr lang="en-US" sz="1050" baseline="0"/>
              <a:t> integral (without event 13)</a:t>
            </a:r>
            <a:endParaRPr lang="en-US" sz="1050"/>
          </a:p>
        </c:rich>
      </c:tx>
      <c:layout>
        <c:manualLayout>
          <c:xMode val="edge"/>
          <c:yMode val="edge"/>
          <c:x val="0.13790476190476192"/>
          <c:y val="3.7037136315407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850243719535056"/>
                  <c:y val="-0.333508460378622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(all_data!$B$39:$B$48,all_data!$B$50:$B$54)</c:f>
              <c:numCache>
                <c:formatCode>0.00000</c:formatCode>
                <c:ptCount val="15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6" formatCode="0.0000">
                  <c:v>8.8732929175135894E-2</c:v>
                </c:pt>
                <c:pt idx="7" formatCode="0.0000">
                  <c:v>0.10415722716452799</c:v>
                </c:pt>
                <c:pt idx="8" formatCode="0.0000">
                  <c:v>4.66251429291673E-2</c:v>
                </c:pt>
                <c:pt idx="9" formatCode="0.0000">
                  <c:v>9.0894558490112708E-3</c:v>
                </c:pt>
                <c:pt idx="10" formatCode="0.0000">
                  <c:v>0.14608753400636901</c:v>
                </c:pt>
                <c:pt idx="11" formatCode="0.0000">
                  <c:v>1.0119527368219401E-2</c:v>
                </c:pt>
                <c:pt idx="12" formatCode="0.0000">
                  <c:v>4.5646344187588998E-2</c:v>
                </c:pt>
                <c:pt idx="13" formatCode="0.0000">
                  <c:v>1.47909285306715E-2</c:v>
                </c:pt>
                <c:pt idx="14" formatCode="0.0000">
                  <c:v>2.0282132481243099E-2</c:v>
                </c:pt>
              </c:numCache>
            </c:numRef>
          </c:xVal>
          <c:yVal>
            <c:numRef>
              <c:f>(all_data!$K$39:$K$48,all_data!$K$50:$K$54)</c:f>
              <c:numCache>
                <c:formatCode>0.00</c:formatCode>
                <c:ptCount val="15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4">
                  <c:v>5.7971200506894904</c:v>
                </c:pt>
                <c:pt idx="5">
                  <c:v>5.7971200506894904</c:v>
                </c:pt>
                <c:pt idx="6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0" formatCode="0.000">
                  <c:v>1.9432258375425799</c:v>
                </c:pt>
                <c:pt idx="11" formatCode="0.000">
                  <c:v>33.895949402833203</c:v>
                </c:pt>
                <c:pt idx="12" formatCode="0.000">
                  <c:v>32.177431699139497</c:v>
                </c:pt>
                <c:pt idx="13" formatCode="0.000">
                  <c:v>31.253302872972</c:v>
                </c:pt>
                <c:pt idx="14" formatCode="0.000">
                  <c:v>42.7547044117564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9-415E-8919-63D5F936DEC9}"/>
            </c:ext>
          </c:extLst>
        </c:ser>
        <c:ser>
          <c:idx val="1"/>
          <c:order val="1"/>
          <c:tx>
            <c:strRef>
              <c:f>all_data!$C$37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046429541134945"/>
                  <c:y val="-0.2038536885017032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(all_data!$C$39:$C$48,all_data!$C$50:$C$54)</c:f>
              <c:numCache>
                <c:formatCode>0.00000</c:formatCode>
                <c:ptCount val="15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 formatCode="0.0000">
                  <c:v>0.15621819275209001</c:v>
                </c:pt>
                <c:pt idx="7" formatCode="0.0000">
                  <c:v>5.5397551503622099E-2</c:v>
                </c:pt>
                <c:pt idx="8" formatCode="0.0000">
                  <c:v>6.9883057908481996E-2</c:v>
                </c:pt>
                <c:pt idx="9" formatCode="0.0000">
                  <c:v>7.8645648239850305E-2</c:v>
                </c:pt>
                <c:pt idx="10" formatCode="0.0000">
                  <c:v>6.8212961854365706E-2</c:v>
                </c:pt>
                <c:pt idx="11" formatCode="0.0000">
                  <c:v>9.9852529707758195E-2</c:v>
                </c:pt>
                <c:pt idx="12" formatCode="0.0000">
                  <c:v>5.5815481283492403E-2</c:v>
                </c:pt>
                <c:pt idx="13" formatCode="0.0000">
                  <c:v>9.5391388976058394E-2</c:v>
                </c:pt>
                <c:pt idx="14" formatCode="0.0000">
                  <c:v>0.115227328160236</c:v>
                </c:pt>
              </c:numCache>
            </c:numRef>
          </c:xVal>
          <c:yVal>
            <c:numRef>
              <c:f>(all_data!$K$39:$K$48,all_data!$K$50:$K$54)</c:f>
              <c:numCache>
                <c:formatCode>0.00</c:formatCode>
                <c:ptCount val="15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4">
                  <c:v>5.7971200506894904</c:v>
                </c:pt>
                <c:pt idx="5">
                  <c:v>5.7971200506894904</c:v>
                </c:pt>
                <c:pt idx="6" formatCode="0.000">
                  <c:v>5.4523947827090398</c:v>
                </c:pt>
                <c:pt idx="7" formatCode="0.000">
                  <c:v>33.895949402833203</c:v>
                </c:pt>
                <c:pt idx="8" formatCode="0.000">
                  <c:v>32.177431699139497</c:v>
                </c:pt>
                <c:pt idx="9" formatCode="0.000">
                  <c:v>31.253302872972</c:v>
                </c:pt>
                <c:pt idx="10" formatCode="0.000">
                  <c:v>1.9432258375425799</c:v>
                </c:pt>
                <c:pt idx="11" formatCode="0.000">
                  <c:v>33.895949402833203</c:v>
                </c:pt>
                <c:pt idx="12" formatCode="0.000">
                  <c:v>32.177431699139497</c:v>
                </c:pt>
                <c:pt idx="13" formatCode="0.000">
                  <c:v>31.253302872972</c:v>
                </c:pt>
                <c:pt idx="14" formatCode="0.000">
                  <c:v>42.7547044117564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99-415E-8919-63D5F936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vs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c50  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7521934758155229E-2"/>
                  <c:y val="-0.286480594181046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6" formatCode="0.0000">
                  <c:v>8.8732929175135894E-2</c:v>
                </c:pt>
                <c:pt idx="7" formatCode="0.0000">
                  <c:v>0.10415722716452799</c:v>
                </c:pt>
                <c:pt idx="8" formatCode="0.0000">
                  <c:v>4.66251429291673E-2</c:v>
                </c:pt>
                <c:pt idx="9" formatCode="0.0000">
                  <c:v>9.0894558490112708E-3</c:v>
                </c:pt>
                <c:pt idx="10" formatCode="0.0000">
                  <c:v>2.0373962034653699E-2</c:v>
                </c:pt>
                <c:pt idx="11" formatCode="0.0000">
                  <c:v>0.14608753400636901</c:v>
                </c:pt>
                <c:pt idx="12" formatCode="0.0000">
                  <c:v>1.0119527368219401E-2</c:v>
                </c:pt>
                <c:pt idx="13" formatCode="0.0000">
                  <c:v>4.5646344187588998E-2</c:v>
                </c:pt>
                <c:pt idx="14" formatCode="0.0000">
                  <c:v>1.47909285306715E-2</c:v>
                </c:pt>
                <c:pt idx="15" formatCode="0.0000">
                  <c:v>2.0282132481243099E-2</c:v>
                </c:pt>
                <c:pt idx="16" formatCode="0.0000">
                  <c:v>3.6679485231980898E-2</c:v>
                </c:pt>
                <c:pt idx="17" formatCode="0.0000">
                  <c:v>7.7980025652416296E-2</c:v>
                </c:pt>
              </c:numCache>
            </c:numRef>
          </c:xVal>
          <c:yVal>
            <c:numRef>
              <c:f>all_data!$I$39:$I$56</c:f>
              <c:numCache>
                <c:formatCode>0.00</c:formatCode>
                <c:ptCount val="18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4">
                  <c:v>1.045397189964473</c:v>
                </c:pt>
                <c:pt idx="5">
                  <c:v>1.045397189964473</c:v>
                </c:pt>
                <c:pt idx="6" formatCode="0.0000">
                  <c:v>1.0119508062412015</c:v>
                </c:pt>
                <c:pt idx="7" formatCode="0.0000">
                  <c:v>1.0239451393319936</c:v>
                </c:pt>
                <c:pt idx="8" formatCode="0.0000">
                  <c:v>1.0275460447393339</c:v>
                </c:pt>
                <c:pt idx="9" formatCode="0.0000">
                  <c:v>1.0275826446035865</c:v>
                </c:pt>
                <c:pt idx="10" formatCode="0.0000">
                  <c:v>1.111235100018195</c:v>
                </c:pt>
                <c:pt idx="11" formatCode="0.0000">
                  <c:v>1.0078290838208943</c:v>
                </c:pt>
                <c:pt idx="12" formatCode="0.0000">
                  <c:v>1.0239451393319936</c:v>
                </c:pt>
                <c:pt idx="13" formatCode="0.0000">
                  <c:v>1.0275460447393339</c:v>
                </c:pt>
                <c:pt idx="14" formatCode="0.0000">
                  <c:v>1.0275826446035865</c:v>
                </c:pt>
                <c:pt idx="15" formatCode="0.0000">
                  <c:v>1.0572093304532362</c:v>
                </c:pt>
                <c:pt idx="16" formatCode="0.0000">
                  <c:v>1.111235100018195</c:v>
                </c:pt>
                <c:pt idx="17" formatCode="0.0000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CD-4739-89C1-69203C6C4F9E}"/>
            </c:ext>
          </c:extLst>
        </c:ser>
        <c:ser>
          <c:idx val="1"/>
          <c:order val="1"/>
          <c:tx>
            <c:strRef>
              <c:f>all_data!$C$37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990288713910762"/>
                  <c:y val="-0.26126229965935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all_data!$C$39:$C$56</c:f>
              <c:numCache>
                <c:formatCode>0.00000</c:formatCode>
                <c:ptCount val="1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 formatCode="0.0000">
                  <c:v>0.15621819275209001</c:v>
                </c:pt>
                <c:pt idx="7" formatCode="0.0000">
                  <c:v>5.5397551503622099E-2</c:v>
                </c:pt>
                <c:pt idx="8" formatCode="0.0000">
                  <c:v>6.9883057908481996E-2</c:v>
                </c:pt>
                <c:pt idx="9" formatCode="0.0000">
                  <c:v>7.8645648239850305E-2</c:v>
                </c:pt>
                <c:pt idx="10" formatCode="0.0000">
                  <c:v>0.101236914763633</c:v>
                </c:pt>
                <c:pt idx="11" formatCode="0.0000">
                  <c:v>6.8212961854365706E-2</c:v>
                </c:pt>
                <c:pt idx="12" formatCode="0.0000">
                  <c:v>9.9852529707758195E-2</c:v>
                </c:pt>
                <c:pt idx="13" formatCode="0.0000">
                  <c:v>5.5815481283492403E-2</c:v>
                </c:pt>
                <c:pt idx="14" formatCode="0.0000">
                  <c:v>9.5391388976058394E-2</c:v>
                </c:pt>
                <c:pt idx="15" formatCode="0.0000">
                  <c:v>0.115227328160236</c:v>
                </c:pt>
                <c:pt idx="16" formatCode="0.0000">
                  <c:v>0.157732693122626</c:v>
                </c:pt>
                <c:pt idx="17" formatCode="0.0000">
                  <c:v>0.121156039239802</c:v>
                </c:pt>
              </c:numCache>
            </c:numRef>
          </c:xVal>
          <c:yVal>
            <c:numRef>
              <c:f>all_data!$I$39:$I$56</c:f>
              <c:numCache>
                <c:formatCode>0.00</c:formatCode>
                <c:ptCount val="18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4">
                  <c:v>1.045397189964473</c:v>
                </c:pt>
                <c:pt idx="5">
                  <c:v>1.045397189964473</c:v>
                </c:pt>
                <c:pt idx="6" formatCode="0.0000">
                  <c:v>1.0119508062412015</c:v>
                </c:pt>
                <c:pt idx="7" formatCode="0.0000">
                  <c:v>1.0239451393319936</c:v>
                </c:pt>
                <c:pt idx="8" formatCode="0.0000">
                  <c:v>1.0275460447393339</c:v>
                </c:pt>
                <c:pt idx="9" formatCode="0.0000">
                  <c:v>1.0275826446035865</c:v>
                </c:pt>
                <c:pt idx="10" formatCode="0.0000">
                  <c:v>1.111235100018195</c:v>
                </c:pt>
                <c:pt idx="11" formatCode="0.0000">
                  <c:v>1.0078290838208943</c:v>
                </c:pt>
                <c:pt idx="12" formatCode="0.0000">
                  <c:v>1.0239451393319936</c:v>
                </c:pt>
                <c:pt idx="13" formatCode="0.0000">
                  <c:v>1.0275460447393339</c:v>
                </c:pt>
                <c:pt idx="14" formatCode="0.0000">
                  <c:v>1.0275826446035865</c:v>
                </c:pt>
                <c:pt idx="15" formatCode="0.0000">
                  <c:v>1.0572093304532362</c:v>
                </c:pt>
                <c:pt idx="16" formatCode="0.0000">
                  <c:v>1.111235100018195</c:v>
                </c:pt>
                <c:pt idx="17" formatCode="0.0000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CD-4739-89C1-69203C6C4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c50 (hrs) 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029921259842519"/>
                  <c:y val="-0.148423298151560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6" formatCode="0.0000">
                  <c:v>8.8732929175135894E-2</c:v>
                </c:pt>
                <c:pt idx="7" formatCode="0.0000">
                  <c:v>0.10415722716452799</c:v>
                </c:pt>
                <c:pt idx="8" formatCode="0.0000">
                  <c:v>4.66251429291673E-2</c:v>
                </c:pt>
                <c:pt idx="9" formatCode="0.0000">
                  <c:v>9.0894558490112708E-3</c:v>
                </c:pt>
                <c:pt idx="10" formatCode="0.0000">
                  <c:v>2.0373962034653699E-2</c:v>
                </c:pt>
                <c:pt idx="11" formatCode="0.0000">
                  <c:v>0.14608753400636901</c:v>
                </c:pt>
                <c:pt idx="12" formatCode="0.0000">
                  <c:v>1.0119527368219401E-2</c:v>
                </c:pt>
                <c:pt idx="13" formatCode="0.0000">
                  <c:v>4.5646344187588998E-2</c:v>
                </c:pt>
                <c:pt idx="14" formatCode="0.0000">
                  <c:v>1.47909285306715E-2</c:v>
                </c:pt>
                <c:pt idx="15" formatCode="0.0000">
                  <c:v>2.0282132481243099E-2</c:v>
                </c:pt>
                <c:pt idx="16" formatCode="0.0000">
                  <c:v>3.6679485231980898E-2</c:v>
                </c:pt>
                <c:pt idx="17" formatCode="0.0000">
                  <c:v>7.7980025652416296E-2</c:v>
                </c:pt>
              </c:numCache>
            </c:numRef>
          </c:xVal>
          <c:yVal>
            <c:numRef>
              <c:f>all_data!$J$39:$J$56</c:f>
              <c:numCache>
                <c:formatCode>0.00</c:formatCode>
                <c:ptCount val="18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4">
                  <c:v>4.5222851684946201</c:v>
                </c:pt>
                <c:pt idx="5">
                  <c:v>4.5222851684946201</c:v>
                </c:pt>
                <c:pt idx="6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0" formatCode="0.000">
                  <c:v>21.9579587943592</c:v>
                </c:pt>
                <c:pt idx="11" formatCode="0.000">
                  <c:v>2.4954469283408098</c:v>
                </c:pt>
                <c:pt idx="12" formatCode="0.000">
                  <c:v>19.594840851392899</c:v>
                </c:pt>
                <c:pt idx="13" formatCode="0.000">
                  <c:v>17.2552427011953</c:v>
                </c:pt>
                <c:pt idx="14" formatCode="0.000">
                  <c:v>17.024424898784201</c:v>
                </c:pt>
                <c:pt idx="15" formatCode="0.000">
                  <c:v>15.1069524712688</c:v>
                </c:pt>
                <c:pt idx="16" formatCode="0.000">
                  <c:v>21.9579587943592</c:v>
                </c:pt>
                <c:pt idx="17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57-4B52-8D51-8BA32A77F473}"/>
            </c:ext>
          </c:extLst>
        </c:ser>
        <c:ser>
          <c:idx val="1"/>
          <c:order val="1"/>
          <c:tx>
            <c:strRef>
              <c:f>all_data!$C$37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27956648107191"/>
                  <c:y val="-0.1661187948856254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all_data!$C$39:$C$56</c:f>
              <c:numCache>
                <c:formatCode>0.00000</c:formatCode>
                <c:ptCount val="1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 formatCode="0.0000">
                  <c:v>0.15621819275209001</c:v>
                </c:pt>
                <c:pt idx="7" formatCode="0.0000">
                  <c:v>5.5397551503622099E-2</c:v>
                </c:pt>
                <c:pt idx="8" formatCode="0.0000">
                  <c:v>6.9883057908481996E-2</c:v>
                </c:pt>
                <c:pt idx="9" formatCode="0.0000">
                  <c:v>7.8645648239850305E-2</c:v>
                </c:pt>
                <c:pt idx="10" formatCode="0.0000">
                  <c:v>0.101236914763633</c:v>
                </c:pt>
                <c:pt idx="11" formatCode="0.0000">
                  <c:v>6.8212961854365706E-2</c:v>
                </c:pt>
                <c:pt idx="12" formatCode="0.0000">
                  <c:v>9.9852529707758195E-2</c:v>
                </c:pt>
                <c:pt idx="13" formatCode="0.0000">
                  <c:v>5.5815481283492403E-2</c:v>
                </c:pt>
                <c:pt idx="14" formatCode="0.0000">
                  <c:v>9.5391388976058394E-2</c:v>
                </c:pt>
                <c:pt idx="15" formatCode="0.0000">
                  <c:v>0.115227328160236</c:v>
                </c:pt>
                <c:pt idx="16" formatCode="0.0000">
                  <c:v>0.157732693122626</c:v>
                </c:pt>
                <c:pt idx="17" formatCode="0.0000">
                  <c:v>0.121156039239802</c:v>
                </c:pt>
              </c:numCache>
            </c:numRef>
          </c:xVal>
          <c:yVal>
            <c:numRef>
              <c:f>all_data!$J$39:$J$56</c:f>
              <c:numCache>
                <c:formatCode>0.00</c:formatCode>
                <c:ptCount val="18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4">
                  <c:v>4.5222851684946201</c:v>
                </c:pt>
                <c:pt idx="5">
                  <c:v>4.5222851684946201</c:v>
                </c:pt>
                <c:pt idx="6" formatCode="0.000">
                  <c:v>8.1761484496582497</c:v>
                </c:pt>
                <c:pt idx="7" formatCode="0.000">
                  <c:v>19.594840851392899</c:v>
                </c:pt>
                <c:pt idx="8" formatCode="0.000">
                  <c:v>17.2552427011953</c:v>
                </c:pt>
                <c:pt idx="9" formatCode="0.000">
                  <c:v>17.024424898784201</c:v>
                </c:pt>
                <c:pt idx="10" formatCode="0.000">
                  <c:v>21.9579587943592</c:v>
                </c:pt>
                <c:pt idx="11" formatCode="0.000">
                  <c:v>2.4954469283408098</c:v>
                </c:pt>
                <c:pt idx="12" formatCode="0.000">
                  <c:v>19.594840851392899</c:v>
                </c:pt>
                <c:pt idx="13" formatCode="0.000">
                  <c:v>17.2552427011953</c:v>
                </c:pt>
                <c:pt idx="14" formatCode="0.000">
                  <c:v>17.024424898784201</c:v>
                </c:pt>
                <c:pt idx="15" formatCode="0.000">
                  <c:v>15.1069524712688</c:v>
                </c:pt>
                <c:pt idx="16" formatCode="0.000">
                  <c:v>21.9579587943592</c:v>
                </c:pt>
                <c:pt idx="17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57-4B52-8D51-8BA32A77F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Excess Balance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933725727935721"/>
                  <c:y val="0.1186382978723404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6" formatCode="0.0000">
                  <c:v>8.8732929175135894E-2</c:v>
                </c:pt>
                <c:pt idx="7" formatCode="0.0000">
                  <c:v>0.10415722716452799</c:v>
                </c:pt>
                <c:pt idx="8" formatCode="0.0000">
                  <c:v>4.66251429291673E-2</c:v>
                </c:pt>
                <c:pt idx="9" formatCode="0.0000">
                  <c:v>9.0894558490112708E-3</c:v>
                </c:pt>
                <c:pt idx="10" formatCode="0.0000">
                  <c:v>2.0373962034653699E-2</c:v>
                </c:pt>
                <c:pt idx="11" formatCode="0.0000">
                  <c:v>0.14608753400636901</c:v>
                </c:pt>
                <c:pt idx="12" formatCode="0.0000">
                  <c:v>1.0119527368219401E-2</c:v>
                </c:pt>
                <c:pt idx="13" formatCode="0.0000">
                  <c:v>4.5646344187588998E-2</c:v>
                </c:pt>
                <c:pt idx="14" formatCode="0.0000">
                  <c:v>1.47909285306715E-2</c:v>
                </c:pt>
                <c:pt idx="15" formatCode="0.0000">
                  <c:v>2.0282132481243099E-2</c:v>
                </c:pt>
                <c:pt idx="16" formatCode="0.0000">
                  <c:v>3.6679485231980898E-2</c:v>
                </c:pt>
                <c:pt idx="17" formatCode="0.0000">
                  <c:v>7.7980025652416296E-2</c:v>
                </c:pt>
              </c:numCache>
            </c:numRef>
          </c:xVal>
          <c:yVal>
            <c:numRef>
              <c:f>all_data!$L$39:$L$56</c:f>
              <c:numCache>
                <c:formatCode>0.000</c:formatCode>
                <c:ptCount val="18"/>
                <c:pt idx="0">
                  <c:v>0.30708458237534503</c:v>
                </c:pt>
                <c:pt idx="1">
                  <c:v>0.49664162355941199</c:v>
                </c:pt>
                <c:pt idx="4">
                  <c:v>-0.27417249103342101</c:v>
                </c:pt>
                <c:pt idx="5">
                  <c:v>-0.27417249103342101</c:v>
                </c:pt>
                <c:pt idx="6">
                  <c:v>0.19059894727801999</c:v>
                </c:pt>
                <c:pt idx="7">
                  <c:v>0.499861288181496</c:v>
                </c:pt>
                <c:pt idx="8">
                  <c:v>0.40695810522245701</c:v>
                </c:pt>
                <c:pt idx="9">
                  <c:v>5.4056282725128302E-2</c:v>
                </c:pt>
                <c:pt idx="10">
                  <c:v>0.45125668170602201</c:v>
                </c:pt>
                <c:pt idx="11">
                  <c:v>-0.14571780115724001</c:v>
                </c:pt>
                <c:pt idx="12">
                  <c:v>0.499861288181496</c:v>
                </c:pt>
                <c:pt idx="13">
                  <c:v>0.40695810522245701</c:v>
                </c:pt>
                <c:pt idx="14">
                  <c:v>5.4056282725128302E-2</c:v>
                </c:pt>
                <c:pt idx="15">
                  <c:v>0.26690920736687102</c:v>
                </c:pt>
                <c:pt idx="16">
                  <c:v>0.45125668170602201</c:v>
                </c:pt>
                <c:pt idx="17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4-42BE-8C16-6C7C29D83F8E}"/>
            </c:ext>
          </c:extLst>
        </c:ser>
        <c:ser>
          <c:idx val="1"/>
          <c:order val="1"/>
          <c:tx>
            <c:strRef>
              <c:f>all_data!$C$37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83713361925961"/>
                  <c:y val="0.1669277936002680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all_data!$C$39:$C$56</c:f>
              <c:numCache>
                <c:formatCode>0.00000</c:formatCode>
                <c:ptCount val="1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 formatCode="0.0000">
                  <c:v>0.15621819275209001</c:v>
                </c:pt>
                <c:pt idx="7" formatCode="0.0000">
                  <c:v>5.5397551503622099E-2</c:v>
                </c:pt>
                <c:pt idx="8" formatCode="0.0000">
                  <c:v>6.9883057908481996E-2</c:v>
                </c:pt>
                <c:pt idx="9" formatCode="0.0000">
                  <c:v>7.8645648239850305E-2</c:v>
                </c:pt>
                <c:pt idx="10" formatCode="0.0000">
                  <c:v>0.101236914763633</c:v>
                </c:pt>
                <c:pt idx="11" formatCode="0.0000">
                  <c:v>6.8212961854365706E-2</c:v>
                </c:pt>
                <c:pt idx="12" formatCode="0.0000">
                  <c:v>9.9852529707758195E-2</c:v>
                </c:pt>
                <c:pt idx="13" formatCode="0.0000">
                  <c:v>5.5815481283492403E-2</c:v>
                </c:pt>
                <c:pt idx="14" formatCode="0.0000">
                  <c:v>9.5391388976058394E-2</c:v>
                </c:pt>
                <c:pt idx="15" formatCode="0.0000">
                  <c:v>0.115227328160236</c:v>
                </c:pt>
                <c:pt idx="16" formatCode="0.0000">
                  <c:v>0.157732693122626</c:v>
                </c:pt>
                <c:pt idx="17" formatCode="0.0000">
                  <c:v>0.121156039239802</c:v>
                </c:pt>
              </c:numCache>
            </c:numRef>
          </c:xVal>
          <c:yVal>
            <c:numRef>
              <c:f>all_data!$L$39:$L$56</c:f>
              <c:numCache>
                <c:formatCode>0.000</c:formatCode>
                <c:ptCount val="18"/>
                <c:pt idx="0">
                  <c:v>0.30708458237534503</c:v>
                </c:pt>
                <c:pt idx="1">
                  <c:v>0.49664162355941199</c:v>
                </c:pt>
                <c:pt idx="4">
                  <c:v>-0.27417249103342101</c:v>
                </c:pt>
                <c:pt idx="5">
                  <c:v>-0.27417249103342101</c:v>
                </c:pt>
                <c:pt idx="6">
                  <c:v>0.19059894727801999</c:v>
                </c:pt>
                <c:pt idx="7">
                  <c:v>0.499861288181496</c:v>
                </c:pt>
                <c:pt idx="8">
                  <c:v>0.40695810522245701</c:v>
                </c:pt>
                <c:pt idx="9">
                  <c:v>5.4056282725128302E-2</c:v>
                </c:pt>
                <c:pt idx="10">
                  <c:v>0.45125668170602201</c:v>
                </c:pt>
                <c:pt idx="11">
                  <c:v>-0.14571780115724001</c:v>
                </c:pt>
                <c:pt idx="12">
                  <c:v>0.499861288181496</c:v>
                </c:pt>
                <c:pt idx="13">
                  <c:v>0.40695810522245701</c:v>
                </c:pt>
                <c:pt idx="14">
                  <c:v>5.4056282725128302E-2</c:v>
                </c:pt>
                <c:pt idx="15">
                  <c:v>0.26690920736687102</c:v>
                </c:pt>
                <c:pt idx="16">
                  <c:v>0.45125668170602201</c:v>
                </c:pt>
                <c:pt idx="17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B4-42BE-8C16-6C7C29D83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turbidity HI vs SSC HI</a:t>
            </a:r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286501687289088"/>
                  <c:y val="-0.164750291630212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downstream!$B$38:$B$56</c:f>
              <c:numCache>
                <c:formatCode>0.00000</c:formatCode>
                <c:ptCount val="19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-4.1760232547360499E-2</c:v>
                </c:pt>
                <c:pt idx="5" formatCode="0.0000">
                  <c:v>8.8732929175135894E-2</c:v>
                </c:pt>
                <c:pt idx="6" formatCode="0.0000">
                  <c:v>0.10415722716452799</c:v>
                </c:pt>
                <c:pt idx="7" formatCode="0.0000">
                  <c:v>4.66251429291673E-2</c:v>
                </c:pt>
                <c:pt idx="8" formatCode="0.0000">
                  <c:v>9.0894558490112708E-3</c:v>
                </c:pt>
                <c:pt idx="9" formatCode="0.0000">
                  <c:v>2.0373962034653699E-2</c:v>
                </c:pt>
              </c:numCache>
            </c:numRef>
          </c:xVal>
          <c:yVal>
            <c:numRef>
              <c:f>downstream!$C$38:$C$56</c:f>
              <c:numCache>
                <c:formatCode>0.00000</c:formatCode>
                <c:ptCount val="19"/>
                <c:pt idx="0">
                  <c:v>0.57681691180727601</c:v>
                </c:pt>
                <c:pt idx="1">
                  <c:v>0.13984116014494999</c:v>
                </c:pt>
                <c:pt idx="2">
                  <c:v>8.9326261366187695E-2</c:v>
                </c:pt>
                <c:pt idx="3">
                  <c:v>4.6283799610675601E-2</c:v>
                </c:pt>
                <c:pt idx="5" formatCode="0.0000">
                  <c:v>0.15621819275209001</c:v>
                </c:pt>
                <c:pt idx="6" formatCode="0.0000">
                  <c:v>5.5397551503622099E-2</c:v>
                </c:pt>
                <c:pt idx="7" formatCode="0.0000">
                  <c:v>6.9883057908481996E-2</c:v>
                </c:pt>
                <c:pt idx="8" formatCode="0.0000">
                  <c:v>7.8645648239850305E-2</c:v>
                </c:pt>
                <c:pt idx="9" formatCode="0.0000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17-430D-B9D6-FB89ACD3A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vs E</a:t>
            </a:r>
            <a:r>
              <a:rPr lang="en-US" baseline="0"/>
              <a:t> integral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850243719535056"/>
                  <c:y val="-0.333508460378622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 formatCode="0.0000">
                  <c:v>8.8732929175135894E-2</c:v>
                </c:pt>
                <c:pt idx="5" formatCode="0.0000">
                  <c:v>0.10415722716452799</c:v>
                </c:pt>
                <c:pt idx="6" formatCode="0.0000">
                  <c:v>4.66251429291673E-2</c:v>
                </c:pt>
                <c:pt idx="7" formatCode="0.0000">
                  <c:v>9.0894558490112708E-3</c:v>
                </c:pt>
                <c:pt idx="8" formatCode="0.0000">
                  <c:v>2.0373962034653699E-2</c:v>
                </c:pt>
              </c:numCache>
            </c:numRef>
          </c:xVal>
          <c:yVal>
            <c:numRef>
              <c:f>downstream!$K$39:$K$56</c:f>
              <c:numCache>
                <c:formatCode>0.00</c:formatCode>
                <c:ptCount val="18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5.7971200506894904</c:v>
                </c:pt>
                <c:pt idx="4" formatCode="0.000">
                  <c:v>5.4523947827090398</c:v>
                </c:pt>
                <c:pt idx="5" formatCode="0.000">
                  <c:v>33.895949402833203</c:v>
                </c:pt>
                <c:pt idx="6" formatCode="0.000">
                  <c:v>32.177431699139497</c:v>
                </c:pt>
                <c:pt idx="7" formatCode="0.000">
                  <c:v>31.253302872972</c:v>
                </c:pt>
                <c:pt idx="8" formatCode="0.000">
                  <c:v>175.86248095131899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F1-413F-B4F5-634873032D94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046981627296588E-2"/>
                  <c:y val="-3.558027586977165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downstream!$C$39:$C$56</c:f>
              <c:numCache>
                <c:formatCode>0.00000</c:formatCode>
                <c:ptCount val="1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 formatCode="0.0000">
                  <c:v>0.15621819275209001</c:v>
                </c:pt>
                <c:pt idx="5" formatCode="0.0000">
                  <c:v>5.5397551503622099E-2</c:v>
                </c:pt>
                <c:pt idx="6" formatCode="0.0000">
                  <c:v>6.9883057908481996E-2</c:v>
                </c:pt>
                <c:pt idx="7" formatCode="0.0000">
                  <c:v>7.8645648239850305E-2</c:v>
                </c:pt>
                <c:pt idx="8" formatCode="0.0000">
                  <c:v>0.101236914763633</c:v>
                </c:pt>
              </c:numCache>
            </c:numRef>
          </c:xVal>
          <c:yVal>
            <c:numRef>
              <c:f>downstream!$K$39:$K$56</c:f>
              <c:numCache>
                <c:formatCode>0.00</c:formatCode>
                <c:ptCount val="18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5.7971200506894904</c:v>
                </c:pt>
                <c:pt idx="4" formatCode="0.000">
                  <c:v>5.4523947827090398</c:v>
                </c:pt>
                <c:pt idx="5" formatCode="0.000">
                  <c:v>33.895949402833203</c:v>
                </c:pt>
                <c:pt idx="6" formatCode="0.000">
                  <c:v>32.177431699139497</c:v>
                </c:pt>
                <c:pt idx="7" formatCode="0.000">
                  <c:v>31.253302872972</c:v>
                </c:pt>
                <c:pt idx="8" formatCode="0.000">
                  <c:v>175.86248095131899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F1-413F-B4F5-634873032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vs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c50  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82612631170598"/>
                  <c:y val="-0.248729993857150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 formatCode="0.0000">
                  <c:v>8.8732929175135894E-2</c:v>
                </c:pt>
                <c:pt idx="5" formatCode="0.0000">
                  <c:v>0.10415722716452799</c:v>
                </c:pt>
                <c:pt idx="6" formatCode="0.0000">
                  <c:v>4.66251429291673E-2</c:v>
                </c:pt>
                <c:pt idx="7" formatCode="0.0000">
                  <c:v>9.0894558490112708E-3</c:v>
                </c:pt>
                <c:pt idx="8" formatCode="0.0000">
                  <c:v>2.0373962034653699E-2</c:v>
                </c:pt>
              </c:numCache>
            </c:numRef>
          </c:xVal>
          <c:yVal>
            <c:numRef>
              <c:f>downstream!$I$39:$I$47</c:f>
              <c:numCache>
                <c:formatCode>0.00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 formatCode="0.0000">
                  <c:v>1.0119508062412015</c:v>
                </c:pt>
                <c:pt idx="5" formatCode="0.0000">
                  <c:v>1.0239451393319936</c:v>
                </c:pt>
                <c:pt idx="6" formatCode="0.0000">
                  <c:v>1.0275460447393339</c:v>
                </c:pt>
                <c:pt idx="7" formatCode="0.0000">
                  <c:v>1.0275826446035865</c:v>
                </c:pt>
                <c:pt idx="8" formatCode="0.0000">
                  <c:v>1.111235100018195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BC-4063-B4AA-291E205D4CF9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983261887112465"/>
                  <c:y val="-6.144636175797174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downstream!$C$39:$C$56</c:f>
              <c:numCache>
                <c:formatCode>0.00000</c:formatCode>
                <c:ptCount val="1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 formatCode="0.0000">
                  <c:v>0.15621819275209001</c:v>
                </c:pt>
                <c:pt idx="5" formatCode="0.0000">
                  <c:v>5.5397551503622099E-2</c:v>
                </c:pt>
                <c:pt idx="6" formatCode="0.0000">
                  <c:v>6.9883057908481996E-2</c:v>
                </c:pt>
                <c:pt idx="7" formatCode="0.0000">
                  <c:v>7.8645648239850305E-2</c:v>
                </c:pt>
                <c:pt idx="8" formatCode="0.0000">
                  <c:v>0.101236914763633</c:v>
                </c:pt>
              </c:numCache>
            </c:numRef>
          </c:xVal>
          <c:yVal>
            <c:numRef>
              <c:f>downstream!$I$39:$I$56</c:f>
              <c:numCache>
                <c:formatCode>0.00</c:formatCode>
                <c:ptCount val="18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 formatCode="0.0000">
                  <c:v>1.0119508062412015</c:v>
                </c:pt>
                <c:pt idx="5" formatCode="0.0000">
                  <c:v>1.0239451393319936</c:v>
                </c:pt>
                <c:pt idx="6" formatCode="0.0000">
                  <c:v>1.0275460447393339</c:v>
                </c:pt>
                <c:pt idx="7" formatCode="0.0000">
                  <c:v>1.0275826446035865</c:v>
                </c:pt>
                <c:pt idx="8" formatCode="0.0000">
                  <c:v>1.111235100018195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BC-4063-B4AA-291E205D4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c50 (hrs) 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029921259842519"/>
                  <c:y val="-0.148423298151560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 formatCode="0.0000">
                  <c:v>8.8732929175135894E-2</c:v>
                </c:pt>
                <c:pt idx="5" formatCode="0.0000">
                  <c:v>0.10415722716452799</c:v>
                </c:pt>
                <c:pt idx="6" formatCode="0.0000">
                  <c:v>4.66251429291673E-2</c:v>
                </c:pt>
                <c:pt idx="7" formatCode="0.0000">
                  <c:v>9.0894558490112708E-3</c:v>
                </c:pt>
                <c:pt idx="8" formatCode="0.0000">
                  <c:v>2.0373962034653699E-2</c:v>
                </c:pt>
              </c:numCache>
            </c:numRef>
          </c:xVal>
          <c:yVal>
            <c:numRef>
              <c:f>downstream!$J$39:$J$56</c:f>
              <c:numCache>
                <c:formatCode>0.00</c:formatCode>
                <c:ptCount val="18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 formatCode="0.000">
                  <c:v>8.1761484496582497</c:v>
                </c:pt>
                <c:pt idx="5" formatCode="0.000">
                  <c:v>19.594840851392899</c:v>
                </c:pt>
                <c:pt idx="6" formatCode="0.000">
                  <c:v>17.2552427011953</c:v>
                </c:pt>
                <c:pt idx="7" formatCode="0.000">
                  <c:v>17.024424898784201</c:v>
                </c:pt>
                <c:pt idx="8" formatCode="0.000">
                  <c:v>21.9579587943592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42-4AB1-8C82-8FFE492DD5D1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4839054293614646"/>
                  <c:y val="-0.2993762139591020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downstream!$C$39:$C$56</c:f>
              <c:numCache>
                <c:formatCode>0.00000</c:formatCode>
                <c:ptCount val="1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 formatCode="0.0000">
                  <c:v>0.15621819275209001</c:v>
                </c:pt>
                <c:pt idx="5" formatCode="0.0000">
                  <c:v>5.5397551503622099E-2</c:v>
                </c:pt>
                <c:pt idx="6" formatCode="0.0000">
                  <c:v>6.9883057908481996E-2</c:v>
                </c:pt>
                <c:pt idx="7" formatCode="0.0000">
                  <c:v>7.8645648239850305E-2</c:v>
                </c:pt>
                <c:pt idx="8" formatCode="0.0000">
                  <c:v>0.101236914763633</c:v>
                </c:pt>
              </c:numCache>
            </c:numRef>
          </c:xVal>
          <c:yVal>
            <c:numRef>
              <c:f>downstream!$J$39:$J$56</c:f>
              <c:numCache>
                <c:formatCode>0.00</c:formatCode>
                <c:ptCount val="18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 formatCode="0.000">
                  <c:v>8.1761484496582497</c:v>
                </c:pt>
                <c:pt idx="5" formatCode="0.000">
                  <c:v>19.594840851392899</c:v>
                </c:pt>
                <c:pt idx="6" formatCode="0.000">
                  <c:v>17.2552427011953</c:v>
                </c:pt>
                <c:pt idx="7" formatCode="0.000">
                  <c:v>17.024424898784201</c:v>
                </c:pt>
                <c:pt idx="8" formatCode="0.000">
                  <c:v>21.9579587943592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42-4AB1-8C82-8FFE492DD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Excess Balance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841582302212223"/>
                  <c:y val="-6.1843971631205677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downstream!$B$39:$B$56</c:f>
              <c:numCache>
                <c:formatCode>0.00000</c:formatCode>
                <c:ptCount val="1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 formatCode="0.0000">
                  <c:v>8.8732929175135894E-2</c:v>
                </c:pt>
                <c:pt idx="5" formatCode="0.0000">
                  <c:v>0.10415722716452799</c:v>
                </c:pt>
                <c:pt idx="6" formatCode="0.0000">
                  <c:v>4.66251429291673E-2</c:v>
                </c:pt>
                <c:pt idx="7" formatCode="0.0000">
                  <c:v>9.0894558490112708E-3</c:v>
                </c:pt>
                <c:pt idx="8" formatCode="0.0000">
                  <c:v>2.0373962034653699E-2</c:v>
                </c:pt>
              </c:numCache>
            </c:numRef>
          </c:xVal>
          <c:yVal>
            <c:numRef>
              <c:f>downstream!$L$39:$L$56</c:f>
              <c:numCache>
                <c:formatCode>0.000</c:formatCode>
                <c:ptCount val="18"/>
                <c:pt idx="0">
                  <c:v>0.30708458237534503</c:v>
                </c:pt>
                <c:pt idx="1">
                  <c:v>0.49664162355941199</c:v>
                </c:pt>
                <c:pt idx="3">
                  <c:v>-0.27417249103342101</c:v>
                </c:pt>
                <c:pt idx="4">
                  <c:v>0.19059894727801999</c:v>
                </c:pt>
                <c:pt idx="5">
                  <c:v>0.499861288181496</c:v>
                </c:pt>
                <c:pt idx="6">
                  <c:v>0.40695810522245701</c:v>
                </c:pt>
                <c:pt idx="7">
                  <c:v>5.4056282725128302E-2</c:v>
                </c:pt>
                <c:pt idx="8">
                  <c:v>0.45125668170602201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56-4C33-9D62-8B3D560F640D}"/>
            </c:ext>
          </c:extLst>
        </c:ser>
        <c:ser>
          <c:idx val="1"/>
          <c:order val="1"/>
          <c:tx>
            <c:strRef>
              <c:f>downstream!$C$37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352692924832758"/>
                  <c:y val="-8.453453956553302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downstream!$C$39:$C$47</c:f>
              <c:numCache>
                <c:formatCode>0.00000</c:formatCode>
                <c:ptCount val="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 formatCode="0.0000">
                  <c:v>0.15621819275209001</c:v>
                </c:pt>
                <c:pt idx="5" formatCode="0.0000">
                  <c:v>5.5397551503622099E-2</c:v>
                </c:pt>
                <c:pt idx="6" formatCode="0.0000">
                  <c:v>6.9883057908481996E-2</c:v>
                </c:pt>
                <c:pt idx="7" formatCode="0.0000">
                  <c:v>7.8645648239850305E-2</c:v>
                </c:pt>
                <c:pt idx="8" formatCode="0.0000">
                  <c:v>0.101236914763633</c:v>
                </c:pt>
              </c:numCache>
            </c:numRef>
          </c:xVal>
          <c:yVal>
            <c:numRef>
              <c:f>downstream!$L$39:$L$47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3">
                  <c:v>-0.27417249103342101</c:v>
                </c:pt>
                <c:pt idx="4">
                  <c:v>0.19059894727801999</c:v>
                </c:pt>
                <c:pt idx="5">
                  <c:v>0.499861288181496</c:v>
                </c:pt>
                <c:pt idx="6">
                  <c:v>0.40695810522245701</c:v>
                </c:pt>
                <c:pt idx="7">
                  <c:v>5.4056282725128302E-2</c:v>
                </c:pt>
                <c:pt idx="8">
                  <c:v>0.45125668170602201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56-4C33-9D62-8B3D560F6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turbidity HI vs SSC HI</a:t>
            </a:r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286501687289088"/>
                  <c:y val="-0.164750291630212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upstream!$B$38:$B$49</c:f>
              <c:numCache>
                <c:formatCode>0.00000</c:formatCode>
                <c:ptCount val="12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0.14477972148899501</c:v>
                </c:pt>
                <c:pt idx="4">
                  <c:v>-7.8588218215967606E-2</c:v>
                </c:pt>
                <c:pt idx="5" formatCode="0.0000">
                  <c:v>0.14608753400636901</c:v>
                </c:pt>
                <c:pt idx="6" formatCode="0.0000">
                  <c:v>1.0119527368219401E-2</c:v>
                </c:pt>
                <c:pt idx="7" formatCode="0.0000">
                  <c:v>4.5646344187588998E-2</c:v>
                </c:pt>
                <c:pt idx="8" formatCode="0.0000">
                  <c:v>1.47909285306715E-2</c:v>
                </c:pt>
                <c:pt idx="9" formatCode="0.0000">
                  <c:v>2.0282132481243099E-2</c:v>
                </c:pt>
                <c:pt idx="10" formatCode="0.0000">
                  <c:v>3.6679485231980898E-2</c:v>
                </c:pt>
                <c:pt idx="11" formatCode="0.0000">
                  <c:v>7.7980025652416296E-2</c:v>
                </c:pt>
              </c:numCache>
            </c:numRef>
          </c:xVal>
          <c:yVal>
            <c:numRef>
              <c:f>upstream!$C$38:$C$49</c:f>
              <c:numCache>
                <c:formatCode>0.00000</c:formatCode>
                <c:ptCount val="12"/>
                <c:pt idx="0">
                  <c:v>0.57681691180727601</c:v>
                </c:pt>
                <c:pt idx="1">
                  <c:v>0.13984116014494999</c:v>
                </c:pt>
                <c:pt idx="2">
                  <c:v>8.9326261366187695E-2</c:v>
                </c:pt>
                <c:pt idx="3">
                  <c:v>3.0850994672477702E-2</c:v>
                </c:pt>
                <c:pt idx="4">
                  <c:v>6.7271555006068101E-2</c:v>
                </c:pt>
                <c:pt idx="5" formatCode="0.0000">
                  <c:v>6.8212961854365706E-2</c:v>
                </c:pt>
                <c:pt idx="6" formatCode="0.0000">
                  <c:v>9.9852529707758195E-2</c:v>
                </c:pt>
                <c:pt idx="7" formatCode="0.0000">
                  <c:v>5.5815481283492403E-2</c:v>
                </c:pt>
                <c:pt idx="8" formatCode="0.0000">
                  <c:v>9.5391388976058394E-2</c:v>
                </c:pt>
                <c:pt idx="9" formatCode="0.0000">
                  <c:v>0.115227328160236</c:v>
                </c:pt>
                <c:pt idx="10" formatCode="0.0000">
                  <c:v>0.157732693122626</c:v>
                </c:pt>
                <c:pt idx="11" formatCode="0.000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87-4855-93BE-CAFE2B1A6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vs E</a:t>
            </a:r>
            <a:r>
              <a:rPr lang="en-US" baseline="0"/>
              <a:t> integral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850243719535056"/>
                  <c:y val="-0.333508460378622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upstream!$B$39:$B$49</c:f>
              <c:numCache>
                <c:formatCode>0.00000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 formatCode="0.0000">
                  <c:v>0.14608753400636901</c:v>
                </c:pt>
                <c:pt idx="5" formatCode="0.0000">
                  <c:v>1.0119527368219401E-2</c:v>
                </c:pt>
                <c:pt idx="6" formatCode="0.0000">
                  <c:v>4.5646344187588998E-2</c:v>
                </c:pt>
                <c:pt idx="7" formatCode="0.0000">
                  <c:v>1.47909285306715E-2</c:v>
                </c:pt>
                <c:pt idx="8" formatCode="0.0000">
                  <c:v>2.0282132481243099E-2</c:v>
                </c:pt>
                <c:pt idx="9" formatCode="0.0000">
                  <c:v>3.6679485231980898E-2</c:v>
                </c:pt>
                <c:pt idx="10" formatCode="0.0000">
                  <c:v>7.7980025652416296E-2</c:v>
                </c:pt>
              </c:numCache>
            </c:numRef>
          </c:xVal>
          <c:yVal>
            <c:numRef>
              <c:f>upstream!$K$39:$K$49</c:f>
              <c:numCache>
                <c:formatCode>0.00</c:formatCode>
                <c:ptCount val="11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5.7971200506894904</c:v>
                </c:pt>
                <c:pt idx="4" formatCode="0.000">
                  <c:v>1.9432258375425799</c:v>
                </c:pt>
                <c:pt idx="5" formatCode="0.000">
                  <c:v>33.895949402833203</c:v>
                </c:pt>
                <c:pt idx="6" formatCode="0.000">
                  <c:v>32.177431699139497</c:v>
                </c:pt>
                <c:pt idx="7" formatCode="0.000">
                  <c:v>31.253302872972</c:v>
                </c:pt>
                <c:pt idx="8" formatCode="0.000">
                  <c:v>42.7547044117564</c:v>
                </c:pt>
                <c:pt idx="9" formatCode="0.000">
                  <c:v>175.86248095131899</c:v>
                </c:pt>
                <c:pt idx="10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C-48E7-A712-553A19665A3E}"/>
            </c:ext>
          </c:extLst>
        </c:ser>
        <c:ser>
          <c:idx val="1"/>
          <c:order val="1"/>
          <c:tx>
            <c:strRef>
              <c:f>upstream!$C$37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046981627296588E-2"/>
                  <c:y val="-3.558027586977165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upstream!$C$39:$C$49</c:f>
              <c:numCache>
                <c:formatCode>0.00000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 formatCode="0.0000">
                  <c:v>6.8212961854365706E-2</c:v>
                </c:pt>
                <c:pt idx="5" formatCode="0.0000">
                  <c:v>9.9852529707758195E-2</c:v>
                </c:pt>
                <c:pt idx="6" formatCode="0.0000">
                  <c:v>5.5815481283492403E-2</c:v>
                </c:pt>
                <c:pt idx="7" formatCode="0.0000">
                  <c:v>9.5391388976058394E-2</c:v>
                </c:pt>
                <c:pt idx="8" formatCode="0.0000">
                  <c:v>0.115227328160236</c:v>
                </c:pt>
                <c:pt idx="9" formatCode="0.0000">
                  <c:v>0.157732693122626</c:v>
                </c:pt>
                <c:pt idx="10" formatCode="0.0000">
                  <c:v>0.121156039239802</c:v>
                </c:pt>
              </c:numCache>
            </c:numRef>
          </c:xVal>
          <c:yVal>
            <c:numRef>
              <c:f>upstream!$K$39:$K$49</c:f>
              <c:numCache>
                <c:formatCode>0.00</c:formatCode>
                <c:ptCount val="11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5.7971200506894904</c:v>
                </c:pt>
                <c:pt idx="4" formatCode="0.000">
                  <c:v>1.9432258375425799</c:v>
                </c:pt>
                <c:pt idx="5" formatCode="0.000">
                  <c:v>33.895949402833203</c:v>
                </c:pt>
                <c:pt idx="6" formatCode="0.000">
                  <c:v>32.177431699139497</c:v>
                </c:pt>
                <c:pt idx="7" formatCode="0.000">
                  <c:v>31.253302872972</c:v>
                </c:pt>
                <c:pt idx="8" formatCode="0.000">
                  <c:v>42.7547044117564</c:v>
                </c:pt>
                <c:pt idx="9" formatCode="0.000">
                  <c:v>175.86248095131899</c:v>
                </c:pt>
                <c:pt idx="10" formatCode="0.000">
                  <c:v>52.638565780695899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7C-48E7-A712-553A1966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vs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c50  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363640464372869"/>
                  <c:y val="-0.2460132908918300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upstream!$B$39:$B$49</c:f>
              <c:numCache>
                <c:formatCode>0.00000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 formatCode="0.0000">
                  <c:v>0.14608753400636901</c:v>
                </c:pt>
                <c:pt idx="5" formatCode="0.0000">
                  <c:v>1.0119527368219401E-2</c:v>
                </c:pt>
                <c:pt idx="6" formatCode="0.0000">
                  <c:v>4.5646344187588998E-2</c:v>
                </c:pt>
                <c:pt idx="7" formatCode="0.0000">
                  <c:v>1.47909285306715E-2</c:v>
                </c:pt>
                <c:pt idx="8" formatCode="0.0000">
                  <c:v>2.0282132481243099E-2</c:v>
                </c:pt>
                <c:pt idx="9" formatCode="0.0000">
                  <c:v>3.6679485231980898E-2</c:v>
                </c:pt>
                <c:pt idx="10" formatCode="0.0000">
                  <c:v>7.7980025652416296E-2</c:v>
                </c:pt>
              </c:numCache>
            </c:numRef>
          </c:xVal>
          <c:yVal>
            <c:numRef>
              <c:f>upstream!$I$39:$I$49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 formatCode="0.0000">
                  <c:v>1.0078290838208943</c:v>
                </c:pt>
                <c:pt idx="5" formatCode="0.0000">
                  <c:v>1.0239451393319936</c:v>
                </c:pt>
                <c:pt idx="6" formatCode="0.0000">
                  <c:v>1.0275460447393339</c:v>
                </c:pt>
                <c:pt idx="7" formatCode="0.0000">
                  <c:v>1.0275826446035865</c:v>
                </c:pt>
                <c:pt idx="8" formatCode="0.0000">
                  <c:v>1.0572093304532362</c:v>
                </c:pt>
                <c:pt idx="9" formatCode="0.0000">
                  <c:v>1.111235100018195</c:v>
                </c:pt>
                <c:pt idx="10" formatCode="0.0000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CC-45AC-9AD7-5FC4AED9B6E3}"/>
            </c:ext>
          </c:extLst>
        </c:ser>
        <c:ser>
          <c:idx val="1"/>
          <c:order val="1"/>
          <c:tx>
            <c:strRef>
              <c:f>upstream!$C$37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4890815840160949E-2"/>
                  <c:y val="-0.1780957167588093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upstream!$C$39:$C$49</c:f>
              <c:numCache>
                <c:formatCode>0.00000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 formatCode="0.0000">
                  <c:v>6.8212961854365706E-2</c:v>
                </c:pt>
                <c:pt idx="5" formatCode="0.0000">
                  <c:v>9.9852529707758195E-2</c:v>
                </c:pt>
                <c:pt idx="6" formatCode="0.0000">
                  <c:v>5.5815481283492403E-2</c:v>
                </c:pt>
                <c:pt idx="7" formatCode="0.0000">
                  <c:v>9.5391388976058394E-2</c:v>
                </c:pt>
                <c:pt idx="8" formatCode="0.0000">
                  <c:v>0.115227328160236</c:v>
                </c:pt>
                <c:pt idx="9" formatCode="0.0000">
                  <c:v>0.157732693122626</c:v>
                </c:pt>
                <c:pt idx="10" formatCode="0.0000">
                  <c:v>0.121156039239802</c:v>
                </c:pt>
              </c:numCache>
            </c:numRef>
          </c:xVal>
          <c:yVal>
            <c:numRef>
              <c:f>upstream!$I$39:$I$49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 formatCode="0.0000">
                  <c:v>1.0078290838208943</c:v>
                </c:pt>
                <c:pt idx="5" formatCode="0.0000">
                  <c:v>1.0239451393319936</c:v>
                </c:pt>
                <c:pt idx="6" formatCode="0.0000">
                  <c:v>1.0275460447393339</c:v>
                </c:pt>
                <c:pt idx="7" formatCode="0.0000">
                  <c:v>1.0275826446035865</c:v>
                </c:pt>
                <c:pt idx="8" formatCode="0.0000">
                  <c:v>1.0572093304532362</c:v>
                </c:pt>
                <c:pt idx="9" formatCode="0.0000">
                  <c:v>1.111235100018195</c:v>
                </c:pt>
                <c:pt idx="10" formatCode="0.0000">
                  <c:v>1.0519758315193652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CC-45AC-9AD7-5FC4AED9B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c50 (hrs) 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029921259842519"/>
                  <c:y val="-0.148423298151560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upstream!$B$39:$B$49</c:f>
              <c:numCache>
                <c:formatCode>0.00000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 formatCode="0.0000">
                  <c:v>0.14608753400636901</c:v>
                </c:pt>
                <c:pt idx="5" formatCode="0.0000">
                  <c:v>1.0119527368219401E-2</c:v>
                </c:pt>
                <c:pt idx="6" formatCode="0.0000">
                  <c:v>4.5646344187588998E-2</c:v>
                </c:pt>
                <c:pt idx="7" formatCode="0.0000">
                  <c:v>1.47909285306715E-2</c:v>
                </c:pt>
                <c:pt idx="8" formatCode="0.0000">
                  <c:v>2.0282132481243099E-2</c:v>
                </c:pt>
                <c:pt idx="9" formatCode="0.0000">
                  <c:v>3.6679485231980898E-2</c:v>
                </c:pt>
                <c:pt idx="10" formatCode="0.0000">
                  <c:v>7.7980025652416296E-2</c:v>
                </c:pt>
              </c:numCache>
            </c:numRef>
          </c:xVal>
          <c:yVal>
            <c:numRef>
              <c:f>upstream!$J$39:$J$49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 formatCode="0.000">
                  <c:v>2.4954469283408098</c:v>
                </c:pt>
                <c:pt idx="5" formatCode="0.000">
                  <c:v>19.594840851392899</c:v>
                </c:pt>
                <c:pt idx="6" formatCode="0.000">
                  <c:v>17.2552427011953</c:v>
                </c:pt>
                <c:pt idx="7" formatCode="0.000">
                  <c:v>17.024424898784201</c:v>
                </c:pt>
                <c:pt idx="8" formatCode="0.000">
                  <c:v>15.1069524712688</c:v>
                </c:pt>
                <c:pt idx="9" formatCode="0.000">
                  <c:v>21.9579587943592</c:v>
                </c:pt>
                <c:pt idx="10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3A-4B47-B6F1-D56B8B0DF47C}"/>
            </c:ext>
          </c:extLst>
        </c:ser>
        <c:ser>
          <c:idx val="1"/>
          <c:order val="1"/>
          <c:tx>
            <c:strRef>
              <c:f>upstream!$C$37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988976377952755"/>
                  <c:y val="-0.1666936952029932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upstream!$C$39:$C$49</c:f>
              <c:numCache>
                <c:formatCode>0.00000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 formatCode="0.0000">
                  <c:v>6.8212961854365706E-2</c:v>
                </c:pt>
                <c:pt idx="5" formatCode="0.0000">
                  <c:v>9.9852529707758195E-2</c:v>
                </c:pt>
                <c:pt idx="6" formatCode="0.0000">
                  <c:v>5.5815481283492403E-2</c:v>
                </c:pt>
                <c:pt idx="7" formatCode="0.0000">
                  <c:v>9.5391388976058394E-2</c:v>
                </c:pt>
                <c:pt idx="8" formatCode="0.0000">
                  <c:v>0.115227328160236</c:v>
                </c:pt>
                <c:pt idx="9" formatCode="0.0000">
                  <c:v>0.157732693122626</c:v>
                </c:pt>
                <c:pt idx="10" formatCode="0.0000">
                  <c:v>0.121156039239802</c:v>
                </c:pt>
              </c:numCache>
            </c:numRef>
          </c:xVal>
          <c:yVal>
            <c:numRef>
              <c:f>upstream!$J$39:$J$49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 formatCode="0.000">
                  <c:v>2.4954469283408098</c:v>
                </c:pt>
                <c:pt idx="5" formatCode="0.000">
                  <c:v>19.594840851392899</c:v>
                </c:pt>
                <c:pt idx="6" formatCode="0.000">
                  <c:v>17.2552427011953</c:v>
                </c:pt>
                <c:pt idx="7" formatCode="0.000">
                  <c:v>17.024424898784201</c:v>
                </c:pt>
                <c:pt idx="8" formatCode="0.000">
                  <c:v>15.1069524712688</c:v>
                </c:pt>
                <c:pt idx="9" formatCode="0.000">
                  <c:v>21.9579587943592</c:v>
                </c:pt>
                <c:pt idx="10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3A-4B47-B6F1-D56B8B0DF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</a:t>
            </a:r>
            <a:r>
              <a:rPr lang="en-US" baseline="0"/>
              <a:t> </a:t>
            </a:r>
            <a:r>
              <a:rPr lang="en-US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Excess Balance</a:t>
            </a:r>
            <a:endParaRPr lang="en-US"/>
          </a:p>
        </c:rich>
      </c:tx>
      <c:layout>
        <c:manualLayout>
          <c:xMode val="edge"/>
          <c:yMode val="edge"/>
          <c:x val="0.161714285714285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7556318126157426"/>
                  <c:y val="-0.121651197855587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upstream!$B$39:$B$49</c:f>
              <c:numCache>
                <c:formatCode>0.00000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 formatCode="0.0000">
                  <c:v>0.14608753400636901</c:v>
                </c:pt>
                <c:pt idx="5" formatCode="0.0000">
                  <c:v>1.0119527368219401E-2</c:v>
                </c:pt>
                <c:pt idx="6" formatCode="0.0000">
                  <c:v>4.5646344187588998E-2</c:v>
                </c:pt>
                <c:pt idx="7" formatCode="0.0000">
                  <c:v>1.47909285306715E-2</c:v>
                </c:pt>
                <c:pt idx="8" formatCode="0.0000">
                  <c:v>2.0282132481243099E-2</c:v>
                </c:pt>
                <c:pt idx="9" formatCode="0.0000">
                  <c:v>3.6679485231980898E-2</c:v>
                </c:pt>
                <c:pt idx="10" formatCode="0.0000">
                  <c:v>7.7980025652416296E-2</c:v>
                </c:pt>
              </c:numCache>
            </c:numRef>
          </c:xVal>
          <c:yVal>
            <c:numRef>
              <c:f>upstream!$L$39:$L$49</c:f>
              <c:numCache>
                <c:formatCode>0.000</c:formatCode>
                <c:ptCount val="11"/>
                <c:pt idx="0">
                  <c:v>0.30708458237534503</c:v>
                </c:pt>
                <c:pt idx="1">
                  <c:v>0.49664162355941199</c:v>
                </c:pt>
                <c:pt idx="3">
                  <c:v>-0.27417249103342101</c:v>
                </c:pt>
                <c:pt idx="4">
                  <c:v>-0.14571780115724001</c:v>
                </c:pt>
                <c:pt idx="5">
                  <c:v>0.499861288181496</c:v>
                </c:pt>
                <c:pt idx="6">
                  <c:v>0.40695810522245701</c:v>
                </c:pt>
                <c:pt idx="7">
                  <c:v>5.4056282725128302E-2</c:v>
                </c:pt>
                <c:pt idx="8">
                  <c:v>0.26690920736687102</c:v>
                </c:pt>
                <c:pt idx="9">
                  <c:v>0.45125668170602201</c:v>
                </c:pt>
                <c:pt idx="1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C9-4579-902C-E38BCC9725B9}"/>
            </c:ext>
          </c:extLst>
        </c:ser>
        <c:ser>
          <c:idx val="1"/>
          <c:order val="1"/>
          <c:tx>
            <c:strRef>
              <c:f>upstream!$C$37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930763917793179"/>
                  <c:y val="0.5158014184397162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upstream!$C$39:$C$49</c:f>
              <c:numCache>
                <c:formatCode>0.00000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 formatCode="0.0000">
                  <c:v>6.8212961854365706E-2</c:v>
                </c:pt>
                <c:pt idx="5" formatCode="0.0000">
                  <c:v>9.9852529707758195E-2</c:v>
                </c:pt>
                <c:pt idx="6" formatCode="0.0000">
                  <c:v>5.5815481283492403E-2</c:v>
                </c:pt>
                <c:pt idx="7" formatCode="0.0000">
                  <c:v>9.5391388976058394E-2</c:v>
                </c:pt>
                <c:pt idx="8" formatCode="0.0000">
                  <c:v>0.115227328160236</c:v>
                </c:pt>
                <c:pt idx="9" formatCode="0.0000">
                  <c:v>0.157732693122626</c:v>
                </c:pt>
                <c:pt idx="10" formatCode="0.0000">
                  <c:v>0.121156039239802</c:v>
                </c:pt>
              </c:numCache>
            </c:numRef>
          </c:xVal>
          <c:yVal>
            <c:numRef>
              <c:f>upstream!$L$39:$L$49</c:f>
              <c:numCache>
                <c:formatCode>0.000</c:formatCode>
                <c:ptCount val="11"/>
                <c:pt idx="0">
                  <c:v>0.30708458237534503</c:v>
                </c:pt>
                <c:pt idx="1">
                  <c:v>0.49664162355941199</c:v>
                </c:pt>
                <c:pt idx="3">
                  <c:v>-0.27417249103342101</c:v>
                </c:pt>
                <c:pt idx="4">
                  <c:v>-0.14571780115724001</c:v>
                </c:pt>
                <c:pt idx="5">
                  <c:v>0.499861288181496</c:v>
                </c:pt>
                <c:pt idx="6">
                  <c:v>0.40695810522245701</c:v>
                </c:pt>
                <c:pt idx="7">
                  <c:v>5.4056282725128302E-2</c:v>
                </c:pt>
                <c:pt idx="8">
                  <c:v>0.26690920736687102</c:v>
                </c:pt>
                <c:pt idx="9">
                  <c:v>0.45125668170602201</c:v>
                </c:pt>
                <c:pt idx="1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C9-4579-902C-E38BCC972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Aich</a:t>
            </a:r>
            <a:r>
              <a:rPr lang="en-US" sz="1100" baseline="0"/>
              <a:t> </a:t>
            </a:r>
            <a:r>
              <a:rPr lang="en-US" sz="1100"/>
              <a:t>HI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between events</a:t>
            </a:r>
            <a:endParaRPr lang="en-US" sz="1100"/>
          </a:p>
        </c:rich>
      </c:tx>
      <c:layout>
        <c:manualLayout>
          <c:xMode val="edge"/>
          <c:yMode val="edge"/>
          <c:x val="0.14261866062017622"/>
          <c:y val="4.5729985687561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upstream!$B$37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8.4961861100126448E-2"/>
                  <c:y val="-0.3180085518700970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upstream!$G$39:$G$49</c:f>
              <c:numCache>
                <c:formatCode>General</c:formatCode>
                <c:ptCount val="11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1130.25</c:v>
                </c:pt>
                <c:pt idx="4">
                  <c:v>6099.3</c:v>
                </c:pt>
                <c:pt idx="5">
                  <c:v>96.5</c:v>
                </c:pt>
                <c:pt idx="6">
                  <c:v>47.5</c:v>
                </c:pt>
                <c:pt idx="7">
                  <c:v>23.5</c:v>
                </c:pt>
                <c:pt idx="8">
                  <c:v>47.75</c:v>
                </c:pt>
                <c:pt idx="9">
                  <c:v>23.75</c:v>
                </c:pt>
                <c:pt idx="10">
                  <c:v>23.5</c:v>
                </c:pt>
              </c:numCache>
            </c:numRef>
          </c:xVal>
          <c:yVal>
            <c:numRef>
              <c:f>upstream!$J$39:$J$49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 formatCode="0.000">
                  <c:v>2.4954469283408098</c:v>
                </c:pt>
                <c:pt idx="5" formatCode="0.000">
                  <c:v>19.594840851392899</c:v>
                </c:pt>
                <c:pt idx="6" formatCode="0.000">
                  <c:v>17.2552427011953</c:v>
                </c:pt>
                <c:pt idx="7" formatCode="0.000">
                  <c:v>17.024424898784201</c:v>
                </c:pt>
                <c:pt idx="8" formatCode="0.000">
                  <c:v>15.1069524712688</c:v>
                </c:pt>
                <c:pt idx="9" formatCode="0.000">
                  <c:v>21.9579587943592</c:v>
                </c:pt>
                <c:pt idx="10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B-49DB-8274-7F7DAA22804C}"/>
            </c:ext>
          </c:extLst>
        </c:ser>
        <c:ser>
          <c:idx val="1"/>
          <c:order val="1"/>
          <c:tx>
            <c:strRef>
              <c:f>upstream!$C$37</c:f>
              <c:strCache>
                <c:ptCount val="1"/>
                <c:pt idx="0">
                  <c:v>Turbidity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-0.12509153185609312"/>
                  <c:y val="-0.40505945719513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upstream!$F$39:$F$49</c:f>
              <c:numCache>
                <c:formatCode>General</c:formatCode>
                <c:ptCount val="11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413.75</c:v>
                </c:pt>
                <c:pt idx="4">
                  <c:v>21.75</c:v>
                </c:pt>
                <c:pt idx="5">
                  <c:v>75</c:v>
                </c:pt>
                <c:pt idx="6">
                  <c:v>47.5</c:v>
                </c:pt>
                <c:pt idx="7">
                  <c:v>23.5</c:v>
                </c:pt>
                <c:pt idx="8">
                  <c:v>20</c:v>
                </c:pt>
                <c:pt idx="9">
                  <c:v>23.75</c:v>
                </c:pt>
                <c:pt idx="10">
                  <c:v>23.5</c:v>
                </c:pt>
              </c:numCache>
            </c:numRef>
          </c:xVal>
          <c:yVal>
            <c:numRef>
              <c:f>upstream!$J$39:$J$49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 formatCode="0.000">
                  <c:v>2.4954469283408098</c:v>
                </c:pt>
                <c:pt idx="5" formatCode="0.000">
                  <c:v>19.594840851392899</c:v>
                </c:pt>
                <c:pt idx="6" formatCode="0.000">
                  <c:v>17.2552427011953</c:v>
                </c:pt>
                <c:pt idx="7" formatCode="0.000">
                  <c:v>17.024424898784201</c:v>
                </c:pt>
                <c:pt idx="8" formatCode="0.000">
                  <c:v>15.1069524712688</c:v>
                </c:pt>
                <c:pt idx="9" formatCode="0.000">
                  <c:v>21.9579587943592</c:v>
                </c:pt>
                <c:pt idx="10" formatCode="0.000">
                  <c:v>16.640165980770899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9B-49DB-8274-7F7DAA228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176527"/>
        <c:axId val="1523057007"/>
      </c:scatterChart>
      <c:valAx>
        <c:axId val="15121765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7007"/>
        <c:crosses val="autoZero"/>
        <c:crossBetween val="midCat"/>
      </c:valAx>
      <c:valAx>
        <c:axId val="15230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17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7767363310656604E-2"/>
                  <c:y val="-0.3398011928776569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tauc'!$G$3:$G$21</c:f>
              <c:numCache>
                <c:formatCode>0.000</c:formatCode>
                <c:ptCount val="1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118.22733427999999</c:v>
                </c:pt>
                <c:pt idx="7">
                  <c:v>113.72040256</c:v>
                </c:pt>
                <c:pt idx="8">
                  <c:v>112.66319882000001</c:v>
                </c:pt>
                <c:pt idx="9">
                  <c:v>114.89097618</c:v>
                </c:pt>
                <c:pt idx="10">
                  <c:v>116.55531655999999</c:v>
                </c:pt>
                <c:pt idx="11">
                  <c:v>115.75512236</c:v>
                </c:pt>
                <c:pt idx="12">
                  <c:v>118.22733427999999</c:v>
                </c:pt>
                <c:pt idx="13">
                  <c:v>112.66319882000001</c:v>
                </c:pt>
                <c:pt idx="14">
                  <c:v>114.89097618</c:v>
                </c:pt>
                <c:pt idx="15">
                  <c:v>116.55531655999999</c:v>
                </c:pt>
                <c:pt idx="16">
                  <c:v>118.40602251999999</c:v>
                </c:pt>
                <c:pt idx="17">
                  <c:v>115.75512236</c:v>
                </c:pt>
                <c:pt idx="18">
                  <c:v>121.12197168</c:v>
                </c:pt>
              </c:numCache>
            </c:numRef>
          </c:xVal>
          <c:yVal>
            <c:numRef>
              <c:f>'relationships with tauc'!$C$3:$C$21</c:f>
              <c:numCache>
                <c:formatCode>0.00000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 formatCode="0.0000">
                  <c:v>8.8732929175135894E-2</c:v>
                </c:pt>
                <c:pt idx="8" formatCode="0.0000">
                  <c:v>0.10415722716452799</c:v>
                </c:pt>
                <c:pt idx="9" formatCode="0.0000">
                  <c:v>4.66251429291673E-2</c:v>
                </c:pt>
                <c:pt idx="10" formatCode="0.0000">
                  <c:v>9.0894558490112708E-3</c:v>
                </c:pt>
                <c:pt idx="11" formatCode="0.0000">
                  <c:v>2.0373962034653699E-2</c:v>
                </c:pt>
                <c:pt idx="12" formatCode="0.0000">
                  <c:v>0.14608753400636901</c:v>
                </c:pt>
                <c:pt idx="13" formatCode="0.0000">
                  <c:v>1.0119527368219401E-2</c:v>
                </c:pt>
                <c:pt idx="14" formatCode="0.0000">
                  <c:v>4.5646344187588998E-2</c:v>
                </c:pt>
                <c:pt idx="15" formatCode="0.0000">
                  <c:v>1.47909285306715E-2</c:v>
                </c:pt>
                <c:pt idx="16" formatCode="0.0000">
                  <c:v>2.0282132481243099E-2</c:v>
                </c:pt>
                <c:pt idx="17" formatCode="0.0000">
                  <c:v>3.6679485231980898E-2</c:v>
                </c:pt>
                <c:pt idx="18" formatCode="0.000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8-4B48-B8F9-81B323A0ED07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303194309873473E-2"/>
                  <c:y val="-0.1424743633453133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tauc'!$G$3:$G$21</c:f>
              <c:numCache>
                <c:formatCode>0.000</c:formatCode>
                <c:ptCount val="1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118.22733427999999</c:v>
                </c:pt>
                <c:pt idx="7">
                  <c:v>113.72040256</c:v>
                </c:pt>
                <c:pt idx="8">
                  <c:v>112.66319882000001</c:v>
                </c:pt>
                <c:pt idx="9">
                  <c:v>114.89097618</c:v>
                </c:pt>
                <c:pt idx="10">
                  <c:v>116.55531655999999</c:v>
                </c:pt>
                <c:pt idx="11">
                  <c:v>115.75512236</c:v>
                </c:pt>
                <c:pt idx="12">
                  <c:v>118.22733427999999</c:v>
                </c:pt>
                <c:pt idx="13">
                  <c:v>112.66319882000001</c:v>
                </c:pt>
                <c:pt idx="14">
                  <c:v>114.89097618</c:v>
                </c:pt>
                <c:pt idx="15">
                  <c:v>116.55531655999999</c:v>
                </c:pt>
                <c:pt idx="16">
                  <c:v>118.40602251999999</c:v>
                </c:pt>
                <c:pt idx="17">
                  <c:v>115.75512236</c:v>
                </c:pt>
                <c:pt idx="18">
                  <c:v>121.12197168</c:v>
                </c:pt>
              </c:numCache>
            </c:numRef>
          </c:xVal>
          <c:yVal>
            <c:numRef>
              <c:f>'relationships with tauc'!$E$3:$E$21</c:f>
              <c:numCache>
                <c:formatCode>0.00000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 formatCode="0.0000">
                  <c:v>0.11077055296162799</c:v>
                </c:pt>
                <c:pt idx="7" formatCode="0.0000">
                  <c:v>0.15621819275209001</c:v>
                </c:pt>
                <c:pt idx="8" formatCode="0.0000">
                  <c:v>5.5397551503622099E-2</c:v>
                </c:pt>
                <c:pt idx="9" formatCode="0.0000">
                  <c:v>6.9883057908481996E-2</c:v>
                </c:pt>
                <c:pt idx="10" formatCode="0.0000">
                  <c:v>7.8645648239850305E-2</c:v>
                </c:pt>
                <c:pt idx="11" formatCode="0.0000">
                  <c:v>0.101236914763633</c:v>
                </c:pt>
                <c:pt idx="12" formatCode="0.0000">
                  <c:v>6.8212961854365706E-2</c:v>
                </c:pt>
                <c:pt idx="13" formatCode="0.0000">
                  <c:v>9.9852529707758195E-2</c:v>
                </c:pt>
                <c:pt idx="14" formatCode="0.0000">
                  <c:v>5.5815481283492403E-2</c:v>
                </c:pt>
                <c:pt idx="15" formatCode="0.0000">
                  <c:v>9.5391388976058394E-2</c:v>
                </c:pt>
                <c:pt idx="16" formatCode="0.0000">
                  <c:v>0.115227328160236</c:v>
                </c:pt>
                <c:pt idx="17" formatCode="0.0000">
                  <c:v>0.157732693122626</c:v>
                </c:pt>
                <c:pt idx="18" formatCode="0.000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8-4B48-B8F9-81B323A0E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  <c:max val="13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297766602115607"/>
                  <c:y val="-0.4109495395202384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tauc'!$G$10:$G$21</c:f>
              <c:numCache>
                <c:formatCode>0.000</c:formatCode>
                <c:ptCount val="12"/>
                <c:pt idx="0">
                  <c:v>113.72040256</c:v>
                </c:pt>
                <c:pt idx="1">
                  <c:v>112.66319882000001</c:v>
                </c:pt>
                <c:pt idx="2">
                  <c:v>114.89097618</c:v>
                </c:pt>
                <c:pt idx="3">
                  <c:v>116.55531655999999</c:v>
                </c:pt>
                <c:pt idx="4">
                  <c:v>115.75512236</c:v>
                </c:pt>
                <c:pt idx="5">
                  <c:v>118.22733427999999</c:v>
                </c:pt>
                <c:pt idx="6">
                  <c:v>112.66319882000001</c:v>
                </c:pt>
                <c:pt idx="7">
                  <c:v>114.89097618</c:v>
                </c:pt>
                <c:pt idx="8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</c:numCache>
            </c:numRef>
          </c:xVal>
          <c:yVal>
            <c:numRef>
              <c:f>'relationships with tauc'!$C$10:$C$21</c:f>
              <c:numCache>
                <c:formatCode>0.0000</c:formatCode>
                <c:ptCount val="12"/>
                <c:pt idx="0">
                  <c:v>8.8732929175135894E-2</c:v>
                </c:pt>
                <c:pt idx="1">
                  <c:v>0.10415722716452799</c:v>
                </c:pt>
                <c:pt idx="2">
                  <c:v>4.66251429291673E-2</c:v>
                </c:pt>
                <c:pt idx="3">
                  <c:v>9.0894558490112708E-3</c:v>
                </c:pt>
                <c:pt idx="4">
                  <c:v>2.0373962034653699E-2</c:v>
                </c:pt>
                <c:pt idx="5">
                  <c:v>0.14608753400636901</c:v>
                </c:pt>
                <c:pt idx="6">
                  <c:v>1.0119527368219401E-2</c:v>
                </c:pt>
                <c:pt idx="7">
                  <c:v>4.5646344187588998E-2</c:v>
                </c:pt>
                <c:pt idx="8">
                  <c:v>1.47909285306715E-2</c:v>
                </c:pt>
                <c:pt idx="9">
                  <c:v>2.0282132481243099E-2</c:v>
                </c:pt>
                <c:pt idx="10">
                  <c:v>3.6679485231980898E-2</c:v>
                </c:pt>
                <c:pt idx="11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D-45F0-B98F-5D3C79ABD317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857371399966712"/>
                  <c:y val="-9.5126820190478023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tauc'!$G$9:$G$21</c:f>
              <c:numCache>
                <c:formatCode>0.000</c:formatCode>
                <c:ptCount val="13"/>
                <c:pt idx="0">
                  <c:v>118.22733427999999</c:v>
                </c:pt>
                <c:pt idx="1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5">
                  <c:v>115.75512236</c:v>
                </c:pt>
                <c:pt idx="6">
                  <c:v>118.22733427999999</c:v>
                </c:pt>
                <c:pt idx="7">
                  <c:v>112.66319882000001</c:v>
                </c:pt>
                <c:pt idx="8">
                  <c:v>114.89097618</c:v>
                </c:pt>
                <c:pt idx="9">
                  <c:v>116.55531655999999</c:v>
                </c:pt>
                <c:pt idx="10">
                  <c:v>118.40602251999999</c:v>
                </c:pt>
                <c:pt idx="11">
                  <c:v>115.75512236</c:v>
                </c:pt>
                <c:pt idx="12">
                  <c:v>121.12197168</c:v>
                </c:pt>
              </c:numCache>
            </c:numRef>
          </c:xVal>
          <c:yVal>
            <c:numRef>
              <c:f>'relationships with tauc'!$E$9:$E$21</c:f>
              <c:numCache>
                <c:formatCode>0.0000</c:formatCode>
                <c:ptCount val="13"/>
                <c:pt idx="0">
                  <c:v>0.11077055296162799</c:v>
                </c:pt>
                <c:pt idx="1">
                  <c:v>0.15621819275209001</c:v>
                </c:pt>
                <c:pt idx="2">
                  <c:v>5.5397551503622099E-2</c:v>
                </c:pt>
                <c:pt idx="3">
                  <c:v>6.9883057908481996E-2</c:v>
                </c:pt>
                <c:pt idx="4">
                  <c:v>7.8645648239850305E-2</c:v>
                </c:pt>
                <c:pt idx="5">
                  <c:v>0.101236914763633</c:v>
                </c:pt>
                <c:pt idx="6">
                  <c:v>6.8212961854365706E-2</c:v>
                </c:pt>
                <c:pt idx="7">
                  <c:v>9.9852529707758195E-2</c:v>
                </c:pt>
                <c:pt idx="8">
                  <c:v>5.5815481283492403E-2</c:v>
                </c:pt>
                <c:pt idx="9">
                  <c:v>9.5391388976058394E-2</c:v>
                </c:pt>
                <c:pt idx="10">
                  <c:v>0.115227328160236</c:v>
                </c:pt>
                <c:pt idx="11">
                  <c:v>0.157732693122626</c:v>
                </c:pt>
                <c:pt idx="12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9D-45F0-B98F-5D3C79ABD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  <c:max val="125"/>
          <c:min val="1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Summer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194275090114744"/>
                  <c:y val="-0.1291067648639339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tauc'!$G$3:$G$8</c:f>
              <c:numCache>
                <c:formatCode>0.000</c:formatCode>
                <c:ptCount val="6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</c:numCache>
            </c:numRef>
          </c:xVal>
          <c:yVal>
            <c:numRef>
              <c:f>'relationships with tauc'!$C$3:$C$8</c:f>
              <c:numCache>
                <c:formatCode>0.00000</c:formatCode>
                <c:ptCount val="6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FB-4ACB-97CD-75AE97807C9B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074937574189956"/>
                  <c:y val="-0.3742085060741770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tauc'!$G$3:$G$8</c:f>
              <c:numCache>
                <c:formatCode>0.000</c:formatCode>
                <c:ptCount val="6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</c:numCache>
            </c:numRef>
          </c:xVal>
          <c:yVal>
            <c:numRef>
              <c:f>'relationships with tauc'!$E$3:$E$8</c:f>
              <c:numCache>
                <c:formatCode>0.00000</c:formatCode>
                <c:ptCount val="6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FB-4ACB-97CD-75AE97807C9B}"/>
            </c:ext>
          </c:extLst>
        </c:ser>
        <c:ser>
          <c:idx val="1"/>
          <c:order val="2"/>
          <c:tx>
            <c:strRef>
              <c:f>'relationships with tauc'!$D$2</c:f>
              <c:strCache>
                <c:ptCount val="1"/>
                <c:pt idx="0">
                  <c:v>POC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516523009713998"/>
                  <c:y val="-8.857398168208584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tauc'!$G$3:$G$8</c:f>
              <c:numCache>
                <c:formatCode>0.000</c:formatCode>
                <c:ptCount val="6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</c:numCache>
            </c:numRef>
          </c:xVal>
          <c:yVal>
            <c:numRef>
              <c:f>'relationships with tauc'!$D$3:$D$8</c:f>
              <c:numCache>
                <c:formatCode>0.00000</c:formatCode>
                <c:ptCount val="6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FB-4ACB-97CD-75AE97807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23703445852807775"/>
          <c:y val="0.86001258096101596"/>
          <c:w val="0.51841370801687869"/>
          <c:h val="9.3555727938682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Downstream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7767363310656604E-2"/>
                  <c:y val="-0.3398011928776569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tauc'!$G$24:$G$33</c:f>
              <c:numCache>
                <c:formatCode>0.000</c:formatCode>
                <c:ptCount val="10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  <c:pt idx="4">
                  <c:v>118.22733427999999</c:v>
                </c:pt>
                <c:pt idx="5">
                  <c:v>113.72040256</c:v>
                </c:pt>
                <c:pt idx="6">
                  <c:v>112.66319882000001</c:v>
                </c:pt>
                <c:pt idx="7">
                  <c:v>114.89097618</c:v>
                </c:pt>
                <c:pt idx="8">
                  <c:v>116.55531655999999</c:v>
                </c:pt>
                <c:pt idx="9">
                  <c:v>115.75512236</c:v>
                </c:pt>
              </c:numCache>
            </c:numRef>
          </c:xVal>
          <c:yVal>
            <c:numRef>
              <c:f>'relationships with tauc'!$C$24:$C$33</c:f>
              <c:numCache>
                <c:formatCode>0.00000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 formatCode="0.0000">
                  <c:v>8.8732929175135894E-2</c:v>
                </c:pt>
                <c:pt idx="6" formatCode="0.0000">
                  <c:v>0.10415722716452799</c:v>
                </c:pt>
                <c:pt idx="7" formatCode="0.0000">
                  <c:v>4.66251429291673E-2</c:v>
                </c:pt>
                <c:pt idx="8" formatCode="0.0000">
                  <c:v>9.0894558490112708E-3</c:v>
                </c:pt>
                <c:pt idx="9" formatCode="0.0000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F3-44CF-9387-12FF00C861B7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303194309873473E-2"/>
                  <c:y val="-0.1424743633453133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tauc'!$G$24:$G$33</c:f>
              <c:numCache>
                <c:formatCode>0.000</c:formatCode>
                <c:ptCount val="10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  <c:pt idx="4">
                  <c:v>118.22733427999999</c:v>
                </c:pt>
                <c:pt idx="5">
                  <c:v>113.72040256</c:v>
                </c:pt>
                <c:pt idx="6">
                  <c:v>112.66319882000001</c:v>
                </c:pt>
                <c:pt idx="7">
                  <c:v>114.89097618</c:v>
                </c:pt>
                <c:pt idx="8">
                  <c:v>116.55531655999999</c:v>
                </c:pt>
                <c:pt idx="9">
                  <c:v>115.75512236</c:v>
                </c:pt>
              </c:numCache>
            </c:numRef>
          </c:xVal>
          <c:yVal>
            <c:numRef>
              <c:f>'relationships with tauc'!$E$24:$E$33</c:f>
              <c:numCache>
                <c:formatCode>0.00000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 formatCode="0.0000">
                  <c:v>0.11077055296162799</c:v>
                </c:pt>
                <c:pt idx="5" formatCode="0.0000">
                  <c:v>0.15621819275209001</c:v>
                </c:pt>
                <c:pt idx="6" formatCode="0.0000">
                  <c:v>5.5397551503622099E-2</c:v>
                </c:pt>
                <c:pt idx="7" formatCode="0.0000">
                  <c:v>6.9883057908481996E-2</c:v>
                </c:pt>
                <c:pt idx="8" formatCode="0.0000">
                  <c:v>7.8645648239850305E-2</c:v>
                </c:pt>
                <c:pt idx="9" formatCode="0.0000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F3-44CF-9387-12FF00C8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  <c:max val="13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Downstream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7767363310656604E-2"/>
                  <c:y val="-0.3398011928776569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tauc'!$G$28:$G$33</c:f>
              <c:numCache>
                <c:formatCode>0.000</c:formatCode>
                <c:ptCount val="6"/>
                <c:pt idx="0">
                  <c:v>118.22733427999999</c:v>
                </c:pt>
                <c:pt idx="1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5">
                  <c:v>115.75512236</c:v>
                </c:pt>
              </c:numCache>
            </c:numRef>
          </c:xVal>
          <c:yVal>
            <c:numRef>
              <c:f>'relationships with tauc'!$C$29:$C$33</c:f>
              <c:numCache>
                <c:formatCode>0.0000</c:formatCode>
                <c:ptCount val="5"/>
                <c:pt idx="0">
                  <c:v>8.8732929175135894E-2</c:v>
                </c:pt>
                <c:pt idx="1">
                  <c:v>0.10415722716452799</c:v>
                </c:pt>
                <c:pt idx="2">
                  <c:v>4.66251429291673E-2</c:v>
                </c:pt>
                <c:pt idx="3">
                  <c:v>9.0894558490112708E-3</c:v>
                </c:pt>
                <c:pt idx="4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2-46E8-9F08-0CB3CA74495E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575521515371625"/>
                  <c:y val="-0.2253659588530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tauc'!$G$28:$G$33</c:f>
              <c:numCache>
                <c:formatCode>0.000</c:formatCode>
                <c:ptCount val="6"/>
                <c:pt idx="0">
                  <c:v>118.22733427999999</c:v>
                </c:pt>
                <c:pt idx="1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5">
                  <c:v>115.75512236</c:v>
                </c:pt>
              </c:numCache>
            </c:numRef>
          </c:xVal>
          <c:yVal>
            <c:numRef>
              <c:f>'relationships with tauc'!$E$28:$E$33</c:f>
              <c:numCache>
                <c:formatCode>0.0000</c:formatCode>
                <c:ptCount val="6"/>
                <c:pt idx="0">
                  <c:v>0.11077055296162799</c:v>
                </c:pt>
                <c:pt idx="1">
                  <c:v>0.15621819275209001</c:v>
                </c:pt>
                <c:pt idx="2">
                  <c:v>5.5397551503622099E-2</c:v>
                </c:pt>
                <c:pt idx="3">
                  <c:v>6.9883057908481996E-2</c:v>
                </c:pt>
                <c:pt idx="4">
                  <c:v>7.8645648239850305E-2</c:v>
                </c:pt>
                <c:pt idx="5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F2-46E8-9F08-0CB3CA744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HI to Tauc - Downstream Summer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6708476761071"/>
          <c:y val="0.19209975017057632"/>
          <c:w val="0.8031857515075056"/>
          <c:h val="0.552469199127103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743858923641792"/>
                  <c:y val="-0.2785416911308590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tauc'!$G$24:$G$27</c:f>
              <c:numCache>
                <c:formatCode>0.000</c:formatCode>
                <c:ptCount val="4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</c:numCache>
            </c:numRef>
          </c:xVal>
          <c:yVal>
            <c:numRef>
              <c:f>'relationships with tauc'!$C$24:$C$27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9B-4AF9-A4D0-08D591B6B9E2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443321287529173"/>
                  <c:y val="-0.300696754749400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tauc'!$G$24:$G$27</c:f>
              <c:numCache>
                <c:formatCode>0.000</c:formatCode>
                <c:ptCount val="4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</c:numCache>
            </c:numRef>
          </c:xVal>
          <c:yVal>
            <c:numRef>
              <c:f>'relationships with tauc'!$E$24:$E$27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9B-4AF9-A4D0-08D591B6B9E2}"/>
            </c:ext>
          </c:extLst>
        </c:ser>
        <c:ser>
          <c:idx val="1"/>
          <c:order val="2"/>
          <c:tx>
            <c:strRef>
              <c:f>'relationships with tauc'!$D$2</c:f>
              <c:strCache>
                <c:ptCount val="1"/>
                <c:pt idx="0">
                  <c:v>POC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310002600679409"/>
                  <c:y val="1.24971461473753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tauc'!$G$24:$G$27</c:f>
              <c:numCache>
                <c:formatCode>0.000</c:formatCode>
                <c:ptCount val="4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</c:numCache>
            </c:numRef>
          </c:xVal>
          <c:yVal>
            <c:numRef>
              <c:f>'relationships with tauc'!$D$24:$D$27</c:f>
              <c:numCache>
                <c:formatCode>0.00000</c:formatCode>
                <c:ptCount val="4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9B-4AF9-A4D0-08D591B6B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Upstream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681702685807237"/>
                  <c:y val="0.1605823038000875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tauc'!$G$36:$G$46</c:f>
              <c:numCache>
                <c:formatCode>0.000</c:formatCode>
                <c:ptCount val="11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  <c:pt idx="4">
                  <c:v>118.22733427999999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8">
                  <c:v>118.40602251999999</c:v>
                </c:pt>
                <c:pt idx="9">
                  <c:v>115.75512236</c:v>
                </c:pt>
                <c:pt idx="10">
                  <c:v>121.12197168</c:v>
                </c:pt>
              </c:numCache>
            </c:numRef>
          </c:xVal>
          <c:yVal>
            <c:numRef>
              <c:f>'relationships with tauc'!$C$36:$C$46</c:f>
              <c:numCache>
                <c:formatCode>0.00000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 formatCode="0.0000">
                  <c:v>0.14608753400636901</c:v>
                </c:pt>
                <c:pt idx="5" formatCode="0.0000">
                  <c:v>1.0119527368219401E-2</c:v>
                </c:pt>
                <c:pt idx="6" formatCode="0.0000">
                  <c:v>4.5646344187588998E-2</c:v>
                </c:pt>
                <c:pt idx="7" formatCode="0.0000">
                  <c:v>1.47909285306715E-2</c:v>
                </c:pt>
                <c:pt idx="8" formatCode="0.0000">
                  <c:v>2.0282132481243099E-2</c:v>
                </c:pt>
                <c:pt idx="9" formatCode="0.0000">
                  <c:v>3.6679485231980898E-2</c:v>
                </c:pt>
                <c:pt idx="10" formatCode="0.000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7-48F0-A44C-3B148FBC6287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303194309873473E-2"/>
                  <c:y val="-0.1424743633453133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tauc'!$G$36:$G$46</c:f>
              <c:numCache>
                <c:formatCode>0.000</c:formatCode>
                <c:ptCount val="11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  <c:pt idx="4">
                  <c:v>118.22733427999999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8">
                  <c:v>118.40602251999999</c:v>
                </c:pt>
                <c:pt idx="9">
                  <c:v>115.75512236</c:v>
                </c:pt>
                <c:pt idx="10">
                  <c:v>121.12197168</c:v>
                </c:pt>
              </c:numCache>
            </c:numRef>
          </c:xVal>
          <c:yVal>
            <c:numRef>
              <c:f>'relationships with tauc'!$E$36:$E$46</c:f>
              <c:numCache>
                <c:formatCode>0.00000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 formatCode="0.0000">
                  <c:v>6.8212961854365706E-2</c:v>
                </c:pt>
                <c:pt idx="5" formatCode="0.0000">
                  <c:v>9.9852529707758195E-2</c:v>
                </c:pt>
                <c:pt idx="6" formatCode="0.0000">
                  <c:v>5.5815481283492403E-2</c:v>
                </c:pt>
                <c:pt idx="7" formatCode="0.0000">
                  <c:v>9.5391388976058394E-2</c:v>
                </c:pt>
                <c:pt idx="8" formatCode="0.0000">
                  <c:v>0.115227328160236</c:v>
                </c:pt>
                <c:pt idx="9" formatCode="0.0000">
                  <c:v>0.157732693122626</c:v>
                </c:pt>
                <c:pt idx="10" formatCode="0.000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7-48F0-A44C-3B148FBC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  <c:max val="13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Upstream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524896255506253"/>
                  <c:y val="-0.2662977357325921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tauc'!$G$40:$G$46</c:f>
              <c:numCache>
                <c:formatCode>0.000</c:formatCode>
                <c:ptCount val="7"/>
                <c:pt idx="0">
                  <c:v>118.22733427999999</c:v>
                </c:pt>
                <c:pt idx="1">
                  <c:v>112.66319882000001</c:v>
                </c:pt>
                <c:pt idx="2">
                  <c:v>114.89097618</c:v>
                </c:pt>
                <c:pt idx="3">
                  <c:v>116.55531655999999</c:v>
                </c:pt>
                <c:pt idx="4">
                  <c:v>118.40602251999999</c:v>
                </c:pt>
                <c:pt idx="5">
                  <c:v>115.75512236</c:v>
                </c:pt>
                <c:pt idx="6">
                  <c:v>121.12197168</c:v>
                </c:pt>
              </c:numCache>
            </c:numRef>
          </c:xVal>
          <c:yVal>
            <c:numRef>
              <c:f>'relationships with tauc'!$C$40:$C$46</c:f>
              <c:numCache>
                <c:formatCode>0.0000</c:formatCode>
                <c:ptCount val="7"/>
                <c:pt idx="0">
                  <c:v>0.14608753400636901</c:v>
                </c:pt>
                <c:pt idx="1">
                  <c:v>1.0119527368219401E-2</c:v>
                </c:pt>
                <c:pt idx="2">
                  <c:v>4.5646344187588998E-2</c:v>
                </c:pt>
                <c:pt idx="3">
                  <c:v>1.47909285306715E-2</c:v>
                </c:pt>
                <c:pt idx="4">
                  <c:v>2.0282132481243099E-2</c:v>
                </c:pt>
                <c:pt idx="5">
                  <c:v>3.6679485231980898E-2</c:v>
                </c:pt>
                <c:pt idx="6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1-4004-8E23-903F27344371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575521515371625"/>
                  <c:y val="-0.2253659588530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tauc'!$G$40:$G$46</c:f>
              <c:numCache>
                <c:formatCode>0.000</c:formatCode>
                <c:ptCount val="7"/>
                <c:pt idx="0">
                  <c:v>118.22733427999999</c:v>
                </c:pt>
                <c:pt idx="1">
                  <c:v>112.66319882000001</c:v>
                </c:pt>
                <c:pt idx="2">
                  <c:v>114.89097618</c:v>
                </c:pt>
                <c:pt idx="3">
                  <c:v>116.55531655999999</c:v>
                </c:pt>
                <c:pt idx="4">
                  <c:v>118.40602251999999</c:v>
                </c:pt>
                <c:pt idx="5">
                  <c:v>115.75512236</c:v>
                </c:pt>
                <c:pt idx="6">
                  <c:v>121.12197168</c:v>
                </c:pt>
              </c:numCache>
            </c:numRef>
          </c:xVal>
          <c:yVal>
            <c:numRef>
              <c:f>'relationships with tauc'!$E$40:$E$46</c:f>
              <c:numCache>
                <c:formatCode>0.0000</c:formatCode>
                <c:ptCount val="7"/>
                <c:pt idx="0">
                  <c:v>6.8212961854365706E-2</c:v>
                </c:pt>
                <c:pt idx="1">
                  <c:v>9.9852529707758195E-2</c:v>
                </c:pt>
                <c:pt idx="2">
                  <c:v>5.5815481283492403E-2</c:v>
                </c:pt>
                <c:pt idx="3">
                  <c:v>9.5391388976058394E-2</c:v>
                </c:pt>
                <c:pt idx="4">
                  <c:v>0.115227328160236</c:v>
                </c:pt>
                <c:pt idx="5">
                  <c:v>0.157732693122626</c:v>
                </c:pt>
                <c:pt idx="6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E1-4004-8E23-903F27344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HI to Tauc - Upstream Summer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8248593401858094E-2"/>
                  <c:y val="0.1193663421314208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tauc'!$G$36:$G$39</c:f>
              <c:numCache>
                <c:formatCode>0.000</c:formatCode>
                <c:ptCount val="4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</c:numCache>
            </c:numRef>
          </c:xVal>
          <c:yVal>
            <c:numRef>
              <c:f>'relationships with tauc'!$C$36:$C$39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6C-45B6-9BB4-102A395EC993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80863037884305"/>
                  <c:y val="1.522069284338886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tauc'!$G$36:$G$39</c:f>
              <c:numCache>
                <c:formatCode>0.000</c:formatCode>
                <c:ptCount val="4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</c:numCache>
            </c:numRef>
          </c:xVal>
          <c:yVal>
            <c:numRef>
              <c:f>'relationships with tauc'!$E$36:$E$39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6C-45B6-9BB4-102A395EC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 to Tauc - Upstream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'relationships with tauc'!$C$2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681702685807237"/>
                  <c:y val="0.1605823038000875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tauc'!$G$50:$G$60</c:f>
              <c:numCache>
                <c:formatCode>0.000</c:formatCode>
                <c:ptCount val="11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  <c:pt idx="4">
                  <c:v>118.22733427999999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8">
                  <c:v>118.40602251999999</c:v>
                </c:pt>
                <c:pt idx="9">
                  <c:v>115.75512236</c:v>
                </c:pt>
                <c:pt idx="10">
                  <c:v>121.12197168</c:v>
                </c:pt>
              </c:numCache>
            </c:numRef>
          </c:xVal>
          <c:yVal>
            <c:numRef>
              <c:f>'relationships with tauc'!$C$50:$C$60</c:f>
              <c:numCache>
                <c:formatCode>0.00000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 formatCode="0.0000">
                  <c:v>0.14608753400636901</c:v>
                </c:pt>
                <c:pt idx="5" formatCode="0.0000">
                  <c:v>1.0119527368219401E-2</c:v>
                </c:pt>
                <c:pt idx="6" formatCode="0.0000">
                  <c:v>4.5646344187588998E-2</c:v>
                </c:pt>
                <c:pt idx="7" formatCode="0.0000">
                  <c:v>1.47909285306715E-2</c:v>
                </c:pt>
                <c:pt idx="8" formatCode="0.0000">
                  <c:v>2.0282132481243099E-2</c:v>
                </c:pt>
                <c:pt idx="9" formatCode="0.0000">
                  <c:v>3.6679485231980898E-2</c:v>
                </c:pt>
                <c:pt idx="10" formatCode="0.000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2-4452-87E0-529C0D37257B}"/>
            </c:ext>
          </c:extLst>
        </c:ser>
        <c:ser>
          <c:idx val="2"/>
          <c:order val="1"/>
          <c:tx>
            <c:strRef>
              <c:f>'relationships with tauc'!$E$2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303194309873473E-2"/>
                  <c:y val="-0.1424743633453133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'relationships with tauc'!$G$50:$G$60</c:f>
              <c:numCache>
                <c:formatCode>0.000</c:formatCode>
                <c:ptCount val="11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66.341763171136677</c:v>
                </c:pt>
                <c:pt idx="4">
                  <c:v>118.22733427999999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8">
                  <c:v>118.40602251999999</c:v>
                </c:pt>
                <c:pt idx="9">
                  <c:v>115.75512236</c:v>
                </c:pt>
                <c:pt idx="10">
                  <c:v>121.12197168</c:v>
                </c:pt>
              </c:numCache>
            </c:numRef>
          </c:xVal>
          <c:yVal>
            <c:numRef>
              <c:f>'relationships with tauc'!$E$50:$E$60</c:f>
              <c:numCache>
                <c:formatCode>0.00000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 formatCode="0.0000">
                  <c:v>6.8212961854365706E-2</c:v>
                </c:pt>
                <c:pt idx="5" formatCode="0.0000">
                  <c:v>9.9852529707758195E-2</c:v>
                </c:pt>
                <c:pt idx="6" formatCode="0.0000">
                  <c:v>5.5815481283492403E-2</c:v>
                </c:pt>
                <c:pt idx="7" formatCode="0.0000">
                  <c:v>9.5391388976058394E-2</c:v>
                </c:pt>
                <c:pt idx="8" formatCode="0.0000">
                  <c:v>0.115227328160236</c:v>
                </c:pt>
                <c:pt idx="9" formatCode="0.0000">
                  <c:v>0.157732693122626</c:v>
                </c:pt>
                <c:pt idx="10" formatCode="0.000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E2-4452-87E0-529C0D372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57615"/>
        <c:axId val="1523128047"/>
      </c:scatterChart>
      <c:valAx>
        <c:axId val="1893257615"/>
        <c:scaling>
          <c:orientation val="minMax"/>
          <c:max val="13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28047"/>
        <c:crosses val="autoZero"/>
        <c:crossBetween val="midCat"/>
      </c:valAx>
      <c:valAx>
        <c:axId val="15231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5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4">
                  <c:v>1.045397189964473</c:v>
                </c:pt>
                <c:pt idx="5">
                  <c:v>1.045397189964473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 correlations'!$B$2:$B$20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A-4477-B81E-AB303E731051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4">
                  <c:v>1.045397189964473</c:v>
                </c:pt>
                <c:pt idx="5">
                  <c:v>1.045397189964473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 correlations'!$D$2:$D$20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CA-4477-B81E-AB303E731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 correlations'!$B$24:$B$35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7B-45B5-825D-9E1307887504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 correlations'!$D$24:$D$34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7B-45B5-825D-9E1307887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 correlations'!$B$38:$B$47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21-440B-B539-DE5564950116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 correlations'!$D$38:$D$47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21-440B-B539-DE5564950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 correlations'!$B$51:$B$61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B-4E7B-B0C4-A0C1D9371D32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 correlations'!$D$51:$D$61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4B-4E7B-B0C4-A0C1D937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 correlations'!$B$65:$B$74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AD-4D96-9325-1EF3D8278F76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 correlations'!$D$65:$D$74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AD-4D96-9325-1EF3D8278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</a:t>
            </a:r>
            <a:r>
              <a:rPr lang="en-US" sz="1100" baseline="0"/>
              <a:t> t</a:t>
            </a:r>
            <a:r>
              <a:rPr lang="en-US" sz="1100"/>
              <a:t>ime </a:t>
            </a:r>
            <a:r>
              <a:rPr lang="el-GR" sz="1100"/>
              <a:t>τ &gt; 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4">
                  <c:v>4.5222851684946201</c:v>
                </c:pt>
                <c:pt idx="5">
                  <c:v>4.5222851684946201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 correlations'!$B$2:$B$20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64-4731-8D1A-06AA36387114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4">
                  <c:v>4.5222851684946201</c:v>
                </c:pt>
                <c:pt idx="5">
                  <c:v>4.5222851684946201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 correlations'!$D$2:$D$20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64-4731-8D1A-06AA36387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 correlations'!$B$24:$B$35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9-4E38-BA9E-36F7F9EF1064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 correlations'!$D$24:$D$34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89-4E38-BA9E-36F7F9EF1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608727034120734"/>
                  <c:y val="0.11428514144065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 correlations'!$B$38:$B$47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5F-474C-A7A0-3AC5EBEEF48A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 correlations'!$D$38:$D$47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5F-474C-A7A0-3AC5EBEEF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 correlations'!$B$51:$B$61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FF-4F5B-B948-5A2354B4742C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 correlations'!$D$51:$D$61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FF-4F5B-B948-5A2354B47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3945997306741127E-2"/>
                  <c:y val="0.145055045202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 correlations'!$B$65:$B$74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3E-4517-B6DF-450C5348489D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 correlations'!$D$65:$D$74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3E-4517-B6DF-450C53484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∆time </a:t>
            </a:r>
            <a:r>
              <a:rPr lang="el-GR" sz="1100"/>
              <a:t>τ&gt;τ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0</c:v>
                </c:pt>
                <c:pt idx="4">
                  <c:v>-0.25523545319733998</c:v>
                </c:pt>
                <c:pt idx="5">
                  <c:v>-0.25523545319733998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 correlations'!$B$2:$B$20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94-44C5-8A87-C591964CB956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0</c:v>
                </c:pt>
                <c:pt idx="4">
                  <c:v>-0.25523545319733998</c:v>
                </c:pt>
                <c:pt idx="5">
                  <c:v>-0.25523545319733998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 correlations'!$D$2:$D$20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94-44C5-8A87-C591964CB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 correlations'!$B$24:$B$35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7E-42B7-AE15-5E8616923108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 correlations'!$D$24:$D$34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7E-42B7-AE15-5E8616923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 correlations'!$B$38:$B$47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AF-4A54-B7CC-512D430D84A2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 correlations'!$D$38:$D$47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AF-4A54-B7CC-512D430D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 correlations'!$B$51:$B$61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00-4131-BD9B-3F97430A822B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 correlations'!$D$51:$D$61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00-4131-BD9B-3F97430A8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3945997306741127E-2"/>
                  <c:y val="0.145055045202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 correlations'!$B$65:$B$74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D-4323-B144-8141386242BE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 correlations'!$D$65:$D$74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0D-4323-B144-814138624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∆% rise time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</c:v>
                </c:pt>
                <c:pt idx="4">
                  <c:v>0.47178025669682583</c:v>
                </c:pt>
                <c:pt idx="5">
                  <c:v>0.47178025669682583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 correlations'!$B$2:$B$20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1-44D4-B987-1A4F5001503D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</c:v>
                </c:pt>
                <c:pt idx="4">
                  <c:v>0.47178025669682583</c:v>
                </c:pt>
                <c:pt idx="5">
                  <c:v>0.47178025669682583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 correlations'!$D$2:$D$20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91-44D4-B987-1A4F50015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 correlations'!$B$24:$B$35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5-4C09-8AF6-8D26CA87E367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 correlations'!$D$24:$D$34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B5-4C09-8AF6-8D26CA87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7909438949630335E-2"/>
                  <c:y val="2.611576259034184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 correlations'!$B$38:$B$47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10-4E96-86B8-EA171BBD4428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 correlations'!$D$38:$D$47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10-4E96-86B8-EA171BBD4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 correlations'!$B$51:$B$61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4-4AF5-819D-AB624086FE70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 correlations'!$D$51:$D$61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64-4AF5-819D-AB624086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 correlations'!$B$1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674756867580907"/>
                  <c:y val="-3.785156009488483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 correlations'!$B$65:$B$74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74-45A2-834C-26A90E2737D9}"/>
            </c:ext>
          </c:extLst>
        </c:ser>
        <c:ser>
          <c:idx val="2"/>
          <c:order val="1"/>
          <c:tx>
            <c:strRef>
              <c:f>'tau correlations'!$D$1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 correlations'!$K$65:$K$74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 correlations'!$D$65:$D$74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74-45A2-834C-26A90E273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0-4D90-B97F-8BF6A511DC68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40-4D90-B97F-8BF6A511D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58-408D-A0BB-AF118ABB89B7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58-408D-A0BB-AF118ABB8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0C-49BE-AE83-DBA3687B9500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0C-49BE-AE83-DBA3687B9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0-4F17-B74D-AC9B4BCBB53E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50-4F17-B74D-AC9B4BCBB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38-4A4A-B173-D9116B93AF8C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38-4A4A-B173-D9116B93A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</a:t>
            </a:r>
            <a:r>
              <a:rPr lang="en-US" sz="1100" baseline="0"/>
              <a:t> t</a:t>
            </a:r>
            <a:r>
              <a:rPr lang="en-US" sz="1100"/>
              <a:t>ime </a:t>
            </a:r>
            <a:r>
              <a:rPr lang="el-GR" sz="1100"/>
              <a:t>τ &gt; 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87-4119-B134-46CACC68A49B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87-4119-B134-46CACC68A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9E-4587-9CD0-4900947EE9B7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9E-4587-9CD0-4900947E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574983725931359E-2"/>
                  <c:y val="-0.336157236305588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4B-4F45-9957-66135D838FC4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4B-4F45-9957-66135D838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D2-4382-9ECD-C04354755BA4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D2-4382-9ECD-C04354755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073178452924234"/>
                  <c:y val="-6.888204169172369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8F-47AA-8288-F259765A855A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8F-47AA-8288-F259765A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∆time </a:t>
            </a:r>
            <a:r>
              <a:rPr lang="el-GR" sz="1100"/>
              <a:t>τ&gt;τ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0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6-4854-877E-04BAF78D7DA8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0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A6-4854-877E-04BAF78D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45-4ACA-976D-58B48C85678F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45-4ACA-976D-58B48C856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FC-4B51-A126-EA7969D60CC6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FC-4B51-A126-EA7969D60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F3-4769-8BEC-FCFED1E983A4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F3-4769-8BEC-FCFED1E98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3945997306741127E-2"/>
                  <c:y val="0.145055045202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B-4D43-A4B8-D6739942AC7E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DB-4D43-A4B8-D6739942A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∆% rise time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B-41C9-9A53-11F06ABEAA81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6B-41C9-9A53-11F06ABE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5C-4C19-AE82-0C66343C4634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5C-4C19-AE82-0C66343C4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7909438949630335E-2"/>
                  <c:y val="2.611576259034184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2-426D-BF30-F114D8CB393D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E2-426D-BF30-F114D8CB3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0-43B8-8568-83314D7B7809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70-43B8-8568-83314D7B7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674756867580907"/>
                  <c:y val="-3.785156009488483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1-456B-926D-0DD272EAF9FB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E1-456B-926D-0DD272EAF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</a:t>
            </a:r>
            <a:r>
              <a:rPr lang="en-US" baseline="0"/>
              <a:t> to excess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st7)'!$BI$1</c:f>
              <c:strCache>
                <c:ptCount val="1"/>
                <c:pt idx="0">
                  <c:v>Turb HI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965163445478405"/>
                  <c:y val="-0.25003135024788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st7)'!$BI$2:$BI$9</c:f>
              <c:numCache>
                <c:formatCode>0.00</c:formatCode>
                <c:ptCount val="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0.11077055296162799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0.101236914763633</c:v>
                </c:pt>
              </c:numCache>
            </c:numRef>
          </c:xVal>
          <c:yVal>
            <c:numRef>
              <c:f>'tauc correlations (no st7)'!$BQ$2:$BQ$9</c:f>
              <c:numCache>
                <c:formatCode>0.000</c:formatCode>
                <c:ptCount val="8"/>
                <c:pt idx="0">
                  <c:v>0.30708458237534503</c:v>
                </c:pt>
                <c:pt idx="1">
                  <c:v>0.49664162355941199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0.45125668170602201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9-4055-A6F3-D1F1CDF4A658}"/>
            </c:ext>
          </c:extLst>
        </c:ser>
        <c:ser>
          <c:idx val="1"/>
          <c:order val="1"/>
          <c:tx>
            <c:strRef>
              <c:f>'tauc correlations (no st7)'!$AW$1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13130286866635"/>
                  <c:y val="-4.8543671624380287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st7)'!$AW$2:$AW$9</c:f>
              <c:numCache>
                <c:formatCode>0.00</c:formatCode>
                <c:ptCount val="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8.8732929175135894E-2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2.0373962034653699E-2</c:v>
                </c:pt>
              </c:numCache>
            </c:numRef>
          </c:xVal>
          <c:yVal>
            <c:numRef>
              <c:f>'tauc correlations (no st7)'!$BE$2:$BE$9</c:f>
              <c:numCache>
                <c:formatCode>0.000</c:formatCode>
                <c:ptCount val="8"/>
                <c:pt idx="0">
                  <c:v>0.30708458237534503</c:v>
                </c:pt>
                <c:pt idx="1">
                  <c:v>0.49664162355941199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0.45125668170602201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69-4055-A6F3-D1F1CDF4A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840191"/>
        <c:axId val="1738622415"/>
      </c:scatterChart>
      <c:valAx>
        <c:axId val="180784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2415"/>
        <c:crosses val="autoZero"/>
        <c:crossBetween val="midCat"/>
      </c:valAx>
      <c:valAx>
        <c:axId val="17386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84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duration balance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st7)'!$L$2:$L$19</c:f>
              <c:numCache>
                <c:formatCode>0.00</c:formatCode>
                <c:ptCount val="18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3">
                  <c:v>0</c:v>
                </c:pt>
                <c:pt idx="6">
                  <c:v>1.1131942168706099</c:v>
                </c:pt>
                <c:pt idx="7">
                  <c:v>2.2065870384902602</c:v>
                </c:pt>
                <c:pt idx="8">
                  <c:v>8.4763382350991101</c:v>
                </c:pt>
                <c:pt idx="9">
                  <c:v>9.5412825319663295</c:v>
                </c:pt>
                <c:pt idx="10">
                  <c:v>14.7819327483883</c:v>
                </c:pt>
                <c:pt idx="11">
                  <c:v>48.251680680319097</c:v>
                </c:pt>
                <c:pt idx="12">
                  <c:v>1.1131942168706099</c:v>
                </c:pt>
                <c:pt idx="13">
                  <c:v>8.4763382350991101</c:v>
                </c:pt>
                <c:pt idx="14">
                  <c:v>9.5412825319663295</c:v>
                </c:pt>
                <c:pt idx="15">
                  <c:v>14.7819327483883</c:v>
                </c:pt>
                <c:pt idx="16">
                  <c:v>15.671540073004801</c:v>
                </c:pt>
                <c:pt idx="17">
                  <c:v>48.251680680319097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99-4429-86AA-D136F74167F6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st7)'!$L$2:$L$19</c:f>
              <c:numCache>
                <c:formatCode>0.00</c:formatCode>
                <c:ptCount val="18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3">
                  <c:v>0</c:v>
                </c:pt>
                <c:pt idx="6">
                  <c:v>1.1131942168706099</c:v>
                </c:pt>
                <c:pt idx="7">
                  <c:v>2.2065870384902602</c:v>
                </c:pt>
                <c:pt idx="8">
                  <c:v>8.4763382350991101</c:v>
                </c:pt>
                <c:pt idx="9">
                  <c:v>9.5412825319663295</c:v>
                </c:pt>
                <c:pt idx="10">
                  <c:v>14.7819327483883</c:v>
                </c:pt>
                <c:pt idx="11">
                  <c:v>48.251680680319097</c:v>
                </c:pt>
                <c:pt idx="12">
                  <c:v>1.1131942168706099</c:v>
                </c:pt>
                <c:pt idx="13">
                  <c:v>8.4763382350991101</c:v>
                </c:pt>
                <c:pt idx="14">
                  <c:v>9.5412825319663295</c:v>
                </c:pt>
                <c:pt idx="15">
                  <c:v>14.7819327483883</c:v>
                </c:pt>
                <c:pt idx="16">
                  <c:v>15.671540073004801</c:v>
                </c:pt>
                <c:pt idx="17">
                  <c:v>48.251680680319097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99-4429-86AA-D136F7416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balance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st7)'!$L$24:$L$34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A-4C7A-8197-2207ED6B2E94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st7)'!$L$24:$L$34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A-4C7A-8197-2207ED6B2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CMP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8374036523266"/>
                  <c:y val="-5.847573123888785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st7)'!$L$38:$L$47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43-4AAC-9543-70887BAABC4C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024621846361744"/>
                  <c:y val="-0.2430401064104145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st7)'!$L$38:$L$47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43-4AAC-9543-70887BAAB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balance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619999707719351"/>
                  <c:y val="-0.51398794322669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st7)'!$L$51:$L$61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C-4E85-A9DC-E9B436A75F4C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st7)'!$L$51:$L$61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EC-4E85-A9DC-E9B436A7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balance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674756867580907"/>
                  <c:y val="-3.785156009488483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st7)'!$L$65:$L$74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D3-4A31-889B-727DACE2EEA2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43138260874093E-2"/>
                  <c:y val="-0.2391493864582048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st7)'!$L$65:$L$74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D3-4A31-889B-727DACE2E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1067608617981837E-2"/>
                  <c:y val="-0.2369628262160822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4">
                  <c:v>1.045397189964473</c:v>
                </c:pt>
                <c:pt idx="5">
                  <c:v>1.045397189964473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- no 0 (st4)'!$B$2:$B$20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94-412E-97A3-562B2EC00F87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4">
                  <c:v>1.045397189964473</c:v>
                </c:pt>
                <c:pt idx="5">
                  <c:v>1.045397189964473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- no 0 (st4)'!$D$2:$D$20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94-412E-97A3-562B2EC00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- no 0 (st4)'!$B$24:$B$35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C-42BF-8089-FBBF2FD6F1FA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- no 0 (st4)'!$D$24:$D$34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7C-42BF-8089-FBBF2FD6F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2186924751466504E-2"/>
                  <c:y val="0.340649289128505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- no 0 (st4)'!$B$38:$B$47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79-4007-B4A5-712EB2992176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- no 0 (st4)'!$D$38:$D$47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79-4007-B4A5-712EB2992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- no 0 (st4)'!$B$51:$B$61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A-4708-B323-D34FD55C83BE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- no 0 (st4)'!$D$51:$D$61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AA-4708-B323-D34FD55C8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- no 0 (st4)'!$B$65:$B$74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6-47C1-BB56-9D625868BB3A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3">
                  <c:v>1.045397189964473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- no 0 (st4)'!$D$65:$D$74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66-47C1-BB56-9D625868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</a:t>
            </a:r>
            <a:r>
              <a:rPr lang="en-US" sz="1100" baseline="0"/>
              <a:t> t</a:t>
            </a:r>
            <a:r>
              <a:rPr lang="en-US" sz="1100"/>
              <a:t>ime </a:t>
            </a:r>
            <a:r>
              <a:rPr lang="el-GR" sz="1100"/>
              <a:t>τ &gt; 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4">
                  <c:v>4.5222851684946201</c:v>
                </c:pt>
                <c:pt idx="5">
                  <c:v>4.5222851684946201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- no 0 (st4)'!$B$2:$B$20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7-4F94-8EC3-334DCAAA481E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92087535404352"/>
                  <c:y val="0.266308114360511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4">
                  <c:v>4.5222851684946201</c:v>
                </c:pt>
                <c:pt idx="5">
                  <c:v>4.5222851684946201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- no 0 (st4)'!$D$2:$D$20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7-4F94-8EC3-334DCAAA4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- no 0 (st4)'!$B$24:$B$35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8-4804-AAA1-5D524D9D6942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- no 0 (st4)'!$D$24:$D$34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A8-4804-AAA1-5D524D9D6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608727034120734"/>
                  <c:y val="0.11428514144065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- no 0 (st4)'!$B$38:$B$47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D8-4F11-8B4D-FA0A261A0371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- no 0 (st4)'!$D$38:$D$47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D8-4F11-8B4D-FA0A261A0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- no 0 (st4)'!$B$51:$B$61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A3-467E-B623-BD952E9A70A4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- no 0 (st4)'!$D$51:$D$61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A3-467E-B623-BD952E9A7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3945997306741127E-2"/>
                  <c:y val="0.145055045202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- no 0 (st4)'!$B$65:$B$74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B7-457D-A34F-2CE244FAFCCA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3">
                  <c:v>4.5222851684946201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- no 0 (st4)'!$D$65:$D$74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B7-457D-A34F-2CE244FAF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∆time </a:t>
            </a:r>
            <a:r>
              <a:rPr lang="el-GR" sz="1100"/>
              <a:t>τ&gt;τ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4">
                  <c:v>-0.25523545319733998</c:v>
                </c:pt>
                <c:pt idx="5">
                  <c:v>-0.25523545319733998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- no 0 (st4)'!$B$2:$B$20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63-465B-88D9-9D2E3891A9D3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4">
                  <c:v>-0.25523545319733998</c:v>
                </c:pt>
                <c:pt idx="5">
                  <c:v>-0.25523545319733998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- no 0 (st4)'!$D$2:$D$20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63-465B-88D9-9D2E3891A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- no 0 (st4)'!$B$24:$B$35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5D-43CA-8961-CEE0C495D2EB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- no 0 (st4)'!$D$24:$D$34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5D-43CA-8961-CEE0C495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- no 0 (st4)'!$B$38:$B$47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FB-4E72-95DB-7E886F65EB94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- no 0 (st4)'!$D$38:$D$47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FB-4E72-95DB-7E886F65E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- no 0 (st4)'!$B$51:$B$61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4-4174-AA06-A8D6EA2B5F36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- no 0 (st4)'!$D$51:$D$61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74-4174-AA06-A8D6EA2B5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3945997306741127E-2"/>
                  <c:y val="0.145055045202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- no 0 (st4)'!$B$65:$B$74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DC-441C-BD5D-6C9BE5C7C223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3">
                  <c:v>-0.25523545319733998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- no 0 (st4)'!$D$65:$D$74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DC-441C-BD5D-6C9BE5C7C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% rising time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4">
                  <c:v>0.47178025669682583</c:v>
                </c:pt>
                <c:pt idx="5">
                  <c:v>0.47178025669682583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- no 0 (st4)'!$B$2:$B$20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B1-4312-9124-84CE065C2E0B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4">
                  <c:v>0.47178025669682583</c:v>
                </c:pt>
                <c:pt idx="5">
                  <c:v>0.47178025669682583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- no 0 (st4)'!$D$2:$D$20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B1-4312-9124-84CE065C2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- no 0 (st4)'!$B$24:$B$35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A-4ADF-944B-2CD49DEEAF9A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- no 0 (st4)'!$D$24:$D$34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FA-4ADF-944B-2CD49DEEA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820249145798396"/>
                  <c:y val="-2.388807908160203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- no 0 (st4)'!$B$38:$B$47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E-4F61-81B9-CE4A754F29EE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- no 0 (st4)'!$D$38:$D$47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4E-4F61-81B9-CE4A754F2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- no 0 (st4)'!$B$51:$B$61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A-438A-A24C-81B20BFD4E46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- no 0 (st4)'!$D$51:$D$61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AA-438A-A24C-81B20BFD4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623714832894788"/>
                  <c:y val="-6.416190051417190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- no 0 (st4)'!$B$65:$B$74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0C-4593-979A-9ACBAD054917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48600372571863"/>
                  <c:y val="0.2464549708451142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3">
                  <c:v>0.47178025669682583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- no 0 (st4)'!$D$65:$D$74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0C-4593-979A-9ACBAD05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% falling time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(st4)'!$L$2:$L$20</c:f>
              <c:numCache>
                <c:formatCode>0.00</c:formatCode>
                <c:ptCount val="19"/>
                <c:pt idx="0">
                  <c:v>0.6875</c:v>
                </c:pt>
                <c:pt idx="1">
                  <c:v>0.7804177474862507</c:v>
                </c:pt>
                <c:pt idx="4">
                  <c:v>0.52821974330317423</c:v>
                </c:pt>
                <c:pt idx="5">
                  <c:v>0.52821974330317423</c:v>
                </c:pt>
                <c:pt idx="6">
                  <c:v>0.26074599211876454</c:v>
                </c:pt>
                <c:pt idx="7">
                  <c:v>0.61768356815564218</c:v>
                </c:pt>
                <c:pt idx="8">
                  <c:v>0.71824430721731836</c:v>
                </c:pt>
                <c:pt idx="9">
                  <c:v>0.69967888714239146</c:v>
                </c:pt>
                <c:pt idx="10">
                  <c:v>0.62705681761906529</c:v>
                </c:pt>
                <c:pt idx="11">
                  <c:v>0.66946113423695353</c:v>
                </c:pt>
                <c:pt idx="12">
                  <c:v>0.26074599211876454</c:v>
                </c:pt>
                <c:pt idx="13">
                  <c:v>0.71824430721731836</c:v>
                </c:pt>
                <c:pt idx="14">
                  <c:v>0.69967888714239146</c:v>
                </c:pt>
                <c:pt idx="15">
                  <c:v>0.62705681761906529</c:v>
                </c:pt>
                <c:pt idx="16">
                  <c:v>0.78761759991323199</c:v>
                </c:pt>
                <c:pt idx="17">
                  <c:v>0.66946113423695353</c:v>
                </c:pt>
                <c:pt idx="18">
                  <c:v>0.74657460626507921</c:v>
                </c:pt>
              </c:numCache>
            </c:numRef>
          </c:xVal>
          <c:yVal>
            <c:numRef>
              <c:f>'tauc correlations - no 0 (st4)'!$B$2:$B$20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CB-4C17-A931-25A3211B1F96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(st4)'!$L$2:$L$20</c:f>
              <c:numCache>
                <c:formatCode>0.00</c:formatCode>
                <c:ptCount val="19"/>
                <c:pt idx="0">
                  <c:v>0.6875</c:v>
                </c:pt>
                <c:pt idx="1">
                  <c:v>0.7804177474862507</c:v>
                </c:pt>
                <c:pt idx="4">
                  <c:v>0.52821974330317423</c:v>
                </c:pt>
                <c:pt idx="5">
                  <c:v>0.52821974330317423</c:v>
                </c:pt>
                <c:pt idx="6">
                  <c:v>0.26074599211876454</c:v>
                </c:pt>
                <c:pt idx="7">
                  <c:v>0.61768356815564218</c:v>
                </c:pt>
                <c:pt idx="8">
                  <c:v>0.71824430721731836</c:v>
                </c:pt>
                <c:pt idx="9">
                  <c:v>0.69967888714239146</c:v>
                </c:pt>
                <c:pt idx="10">
                  <c:v>0.62705681761906529</c:v>
                </c:pt>
                <c:pt idx="11">
                  <c:v>0.66946113423695353</c:v>
                </c:pt>
                <c:pt idx="12">
                  <c:v>0.26074599211876454</c:v>
                </c:pt>
                <c:pt idx="13">
                  <c:v>0.71824430721731836</c:v>
                </c:pt>
                <c:pt idx="14">
                  <c:v>0.69967888714239146</c:v>
                </c:pt>
                <c:pt idx="15">
                  <c:v>0.62705681761906529</c:v>
                </c:pt>
                <c:pt idx="16">
                  <c:v>0.78761759991323199</c:v>
                </c:pt>
                <c:pt idx="17">
                  <c:v>0.66946113423695353</c:v>
                </c:pt>
                <c:pt idx="18">
                  <c:v>0.74657460626507921</c:v>
                </c:pt>
              </c:numCache>
            </c:numRef>
          </c:xVal>
          <c:yVal>
            <c:numRef>
              <c:f>'tauc correlations - no 0 (st4)'!$D$2:$D$20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CB-4C17-A931-25A3211B1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(st4)'!$L$24:$L$34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- no 0 (st4)'!$B$24:$B$35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99-4D57-A94E-B87D84A667A0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(st4)'!$L$24:$L$34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- no 0 (st4)'!$D$24:$D$34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99-4D57-A94E-B87D84A66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820249145798396"/>
                  <c:y val="-2.388807908160203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(st4)'!$L$38:$L$47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- no 0 (st4)'!$B$38:$B$47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8D-440C-801E-697404676CFB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386220932637358"/>
                  <c:y val="7.728916635881023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(st4)'!$L$38:$L$47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- no 0 (st4)'!$D$38:$D$47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8D-440C-801E-697404676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(st4)'!$L$51:$L$61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- no 0 (st4)'!$B$51:$B$61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93-4FE1-8EF8-702A6537DF61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(st4)'!$L$51:$L$61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- no 0 (st4)'!$D$51:$D$61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93-4FE1-8EF8-702A6537D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623714832894788"/>
                  <c:y val="-6.416190051417190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(st4)'!$L$65:$L$74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- no 0 (st4)'!$B$65:$B$74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D2-4E3D-A5D9-5B34BC05DD5C}"/>
            </c:ext>
          </c:extLst>
        </c:ser>
        <c:ser>
          <c:idx val="2"/>
          <c:order val="1"/>
          <c:tx>
            <c:strRef>
              <c:f>'tauc correlations - no 0 (st4)'!$D$1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972764748507461"/>
                  <c:y val="0.177907711630481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(st4)'!$L$65:$L$74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3">
                  <c:v>0.52821974330317423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- no 0 (st4)'!$D$65:$D$74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D2-4E3D-A5D9-5B34BC05D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to Turbidity HI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- no 0 (st4)'!$A$63</c:f>
              <c:strCache>
                <c:ptCount val="1"/>
                <c:pt idx="0">
                  <c:v>Summer Up, Spring Down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8497210662355414"/>
                  <c:y val="0.347311323944047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xVal>
          <c:yVal>
            <c:numRef>
              <c:f>'tauc correlations - no 0 (st4)'!$D$65:$D$74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23-4A02-839E-FBEA66FDCC6F}"/>
            </c:ext>
          </c:extLst>
        </c:ser>
        <c:ser>
          <c:idx val="1"/>
          <c:order val="1"/>
          <c:tx>
            <c:strRef>
              <c:f>'tauc correlations - no 0 (st4)'!$A$49</c:f>
              <c:strCache>
                <c:ptCount val="1"/>
                <c:pt idx="0">
                  <c:v>Summer Down, Spring 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48668203546799"/>
                  <c:y val="0.2884864519894864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xVal>
          <c:yVal>
            <c:numRef>
              <c:f>'tauc correlations - no 0 (st4)'!$D$51:$D$61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23-4A02-839E-FBEA66FDCC6F}"/>
            </c:ext>
          </c:extLst>
        </c:ser>
        <c:ser>
          <c:idx val="2"/>
          <c:order val="2"/>
          <c:tx>
            <c:strRef>
              <c:f>'tauc correlations - no 0 (st4)'!$A$36</c:f>
              <c:strCache>
                <c:ptCount val="1"/>
                <c:pt idx="0">
                  <c:v>Downstream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0675528676786118E-2"/>
                  <c:y val="0.35822539135416198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3">
                  <c:v>-4.1760232547360499E-2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xVal>
          <c:yVal>
            <c:numRef>
              <c:f>'tauc correlations - no 0 (st4)'!$D$38:$D$47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23-4A02-839E-FBEA66FDCC6F}"/>
            </c:ext>
          </c:extLst>
        </c:ser>
        <c:ser>
          <c:idx val="3"/>
          <c:order val="3"/>
          <c:tx>
            <c:strRef>
              <c:f>'tauc correlations - no 0 (st4)'!$A$22</c:f>
              <c:strCache>
                <c:ptCount val="1"/>
                <c:pt idx="0">
                  <c:v>Upstream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583395706715369"/>
                  <c:y val="0.3870924948383844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(st4)'!$B$24:$B$34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3">
                  <c:v>-7.8588218215967606E-2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xVal>
          <c:yVal>
            <c:numRef>
              <c:f>'tauc correlations - no 0 (st4)'!$D$24:$D$34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3">
                  <c:v>6.7271555006068101E-2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23-4A02-839E-FBEA66FDCC6F}"/>
            </c:ext>
          </c:extLst>
        </c:ser>
        <c:ser>
          <c:idx val="4"/>
          <c:order val="4"/>
          <c:tx>
            <c:strRef>
              <c:f>'tauc correlations - no 0 (st4)'!$A$1</c:f>
              <c:strCache>
                <c:ptCount val="1"/>
                <c:pt idx="0">
                  <c:v>Aich Hysteresis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630290510264163"/>
                  <c:y val="0.37770501606041995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- no 0 (st4)'!$B$2:$B$20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4">
                  <c:v>-4.1760232547360499E-2</c:v>
                </c:pt>
                <c:pt idx="5">
                  <c:v>-7.8588218215967606E-2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xVal>
          <c:yVal>
            <c:numRef>
              <c:f>'tauc correlations - no 0 (st4)'!$D$2:$D$20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5">
                  <c:v>6.7271555006068101E-2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23-4A02-839E-FBEA66FDC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874383"/>
        <c:axId val="1738671375"/>
      </c:scatterChart>
      <c:valAx>
        <c:axId val="188287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71375"/>
        <c:crosses val="autoZero"/>
        <c:crossBetween val="midCat"/>
      </c:valAx>
      <c:valAx>
        <c:axId val="17386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87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1067608617981837E-2"/>
                  <c:y val="-0.2369628262160822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(no st4-7)'!$B$2:$B$20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84-443C-A44C-E1A7B61D6A8C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(no st4-7)'!$D$2:$D$20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84-443C-A44C-E1A7B61D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st4-7)'!$B$24:$B$35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3-4E26-8267-936B4FFF848A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st4-7)'!$D$24:$D$34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03-4E26-8267-936B4FFF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st4-7)'!$B$38:$B$47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D4-46B9-87E3-4ABC0CF7503F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st4-7)'!$D$38:$D$47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D4-46B9-87E3-4ABC0CF75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st4-7)'!$B$51:$B$61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16-430E-BD95-7399D3C2ABFD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st4-7)'!$D$51:$D$61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16-430E-BD95-7399D3C2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st4-7)'!$B$65:$B$74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86-4FA6-8A24-B7A532CB8180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3479103130133677E-2"/>
                  <c:y val="-0.121334633489426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st4-7)'!$D$65:$D$74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86-4FA6-8A24-B7A532CB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</a:t>
            </a:r>
            <a:r>
              <a:rPr lang="en-US" sz="1100" baseline="0"/>
              <a:t> t</a:t>
            </a:r>
            <a:r>
              <a:rPr lang="en-US" sz="1100"/>
              <a:t>ime </a:t>
            </a:r>
            <a:r>
              <a:rPr lang="el-GR" sz="1100"/>
              <a:t>τ &gt; 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(no st4-7)'!$B$2:$B$20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7E-4EBB-A182-6A4411704BE9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92087535404352"/>
                  <c:y val="0.266308114360511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(no st4-7)'!$D$2:$D$20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7E-4EBB-A182-6A4411704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st4-7)'!$B$24:$B$35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66-49C1-B609-298EC0D89B86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st4-7)'!$D$24:$D$34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66-49C1-B609-298EC0D89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608727034120734"/>
                  <c:y val="0.11428514144065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st4-7)'!$B$38:$B$47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7-4059-805D-9BFF22161568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st4-7)'!$D$38:$D$47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7-4059-805D-9BFF22161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st4-7)'!$B$51:$B$61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36-4BDF-8FF9-2BE1226F391F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st4-7)'!$D$51:$D$61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36-4BDF-8FF9-2BE1226F3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464419758651281"/>
                  <c:y val="4.77397318661855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st4-7)'!$B$65:$B$74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93-4108-AB52-F2A1BD2FFCA9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st4-7)'!$D$65:$D$74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93-4108-AB52-F2A1BD2F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∆time </a:t>
            </a:r>
            <a:r>
              <a:rPr lang="el-GR" sz="1100"/>
              <a:t>τ&gt;τ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(no st4-7)'!$B$2:$B$20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E0-466B-AB43-C266EC1D2A91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(no st4-7)'!$D$2:$D$20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E0-466B-AB43-C266EC1D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st4-7)'!$B$24:$B$35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9-4706-9357-3FD30B925D93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st4-7)'!$D$24:$D$34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E9-4706-9357-3FD30B925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st4-7)'!$B$38:$B$47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D7-4B98-9B41-EC505B604F09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st4-7)'!$D$38:$D$47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D7-4B98-9B41-EC505B604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st4-7)'!$B$51:$B$61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8F-4E0D-8CCF-F9CA6B3FA55B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st4-7)'!$D$51:$D$61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8F-4E0D-8CCF-F9CA6B3FA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7310621826490761E-2"/>
                  <c:y val="0.291202832623367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st4-7)'!$B$65:$B$74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AC-4CCD-8F67-93794E76A8F6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st4-7)'!$D$65:$D$74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AC-4CCD-8F67-93794E76A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% rising time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(no st4-7)'!$B$2:$B$20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77-4A82-8541-03F6AC171CD7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(no st4-7)'!$D$2:$D$20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77-4A82-8541-03F6AC171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st4-7)'!$B$24:$B$35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39-40C7-8E9D-5008996D3FB7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st4-7)'!$D$24:$D$34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39-40C7-8E9D-5008996D3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820249145798396"/>
                  <c:y val="-2.388807908160203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st4-7)'!$B$38:$B$47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B4-4333-8756-A88DC9FE488C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st4-7)'!$D$38:$D$47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B4-4333-8756-A88DC9FE4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st4-7)'!$B$51:$B$61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79-4DD4-8E92-A9909204AA5F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st4-7)'!$D$51:$D$61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79-4DD4-8E92-A9909204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623714832894788"/>
                  <c:y val="-6.416190051417190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st4-7)'!$B$65:$B$74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3D-4C31-B576-A616FBD870EF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48600372571863"/>
                  <c:y val="0.2464549708451142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st4-7)'!$D$65:$D$74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3D-4C31-B576-A616FBD87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% falling time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st4-7)'!$L$2:$L$20</c:f>
              <c:numCache>
                <c:formatCode>0.00</c:formatCode>
                <c:ptCount val="19"/>
                <c:pt idx="0">
                  <c:v>0.6875</c:v>
                </c:pt>
                <c:pt idx="1">
                  <c:v>0.7804177474862507</c:v>
                </c:pt>
                <c:pt idx="6">
                  <c:v>0.26074599211876454</c:v>
                </c:pt>
                <c:pt idx="7">
                  <c:v>0.61768356815564218</c:v>
                </c:pt>
                <c:pt idx="8">
                  <c:v>0.71824430721731836</c:v>
                </c:pt>
                <c:pt idx="9">
                  <c:v>0.69967888714239146</c:v>
                </c:pt>
                <c:pt idx="10">
                  <c:v>0.62705681761906529</c:v>
                </c:pt>
                <c:pt idx="11">
                  <c:v>0.66946113423695353</c:v>
                </c:pt>
                <c:pt idx="12">
                  <c:v>0.26074599211876454</c:v>
                </c:pt>
                <c:pt idx="13">
                  <c:v>0.71824430721731836</c:v>
                </c:pt>
                <c:pt idx="14">
                  <c:v>0.69967888714239146</c:v>
                </c:pt>
                <c:pt idx="15">
                  <c:v>0.62705681761906529</c:v>
                </c:pt>
                <c:pt idx="16">
                  <c:v>0.78761759991323199</c:v>
                </c:pt>
                <c:pt idx="17">
                  <c:v>0.66946113423695353</c:v>
                </c:pt>
                <c:pt idx="18">
                  <c:v>0.74657460626507921</c:v>
                </c:pt>
              </c:numCache>
            </c:numRef>
          </c:xVal>
          <c:yVal>
            <c:numRef>
              <c:f>'tauc correlations (no st4-7)'!$B$2:$B$20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49-4834-9A96-D4A89BEF5114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st4-7)'!$L$2:$L$20</c:f>
              <c:numCache>
                <c:formatCode>0.00</c:formatCode>
                <c:ptCount val="19"/>
                <c:pt idx="0">
                  <c:v>0.6875</c:v>
                </c:pt>
                <c:pt idx="1">
                  <c:v>0.7804177474862507</c:v>
                </c:pt>
                <c:pt idx="6">
                  <c:v>0.26074599211876454</c:v>
                </c:pt>
                <c:pt idx="7">
                  <c:v>0.61768356815564218</c:v>
                </c:pt>
                <c:pt idx="8">
                  <c:v>0.71824430721731836</c:v>
                </c:pt>
                <c:pt idx="9">
                  <c:v>0.69967888714239146</c:v>
                </c:pt>
                <c:pt idx="10">
                  <c:v>0.62705681761906529</c:v>
                </c:pt>
                <c:pt idx="11">
                  <c:v>0.66946113423695353</c:v>
                </c:pt>
                <c:pt idx="12">
                  <c:v>0.26074599211876454</c:v>
                </c:pt>
                <c:pt idx="13">
                  <c:v>0.71824430721731836</c:v>
                </c:pt>
                <c:pt idx="14">
                  <c:v>0.69967888714239146</c:v>
                </c:pt>
                <c:pt idx="15">
                  <c:v>0.62705681761906529</c:v>
                </c:pt>
                <c:pt idx="16">
                  <c:v>0.78761759991323199</c:v>
                </c:pt>
                <c:pt idx="17">
                  <c:v>0.66946113423695353</c:v>
                </c:pt>
                <c:pt idx="18">
                  <c:v>0.74657460626507921</c:v>
                </c:pt>
              </c:numCache>
            </c:numRef>
          </c:xVal>
          <c:yVal>
            <c:numRef>
              <c:f>'tauc correlations (no st4-7)'!$D$2:$D$20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49-4834-9A96-D4A89BEF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st4-7)'!$L$24:$L$34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(no st4-7)'!$B$24:$B$35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83-4355-9E35-312E230732F5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st4-7)'!$L$24:$L$34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(no st4-7)'!$D$24:$D$34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83-4355-9E35-312E23073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820249145798396"/>
                  <c:y val="-2.388807908160203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st4-7)'!$L$38:$L$47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(no st4-7)'!$B$38:$B$47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62-4589-AA9C-B25E9C8115B8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386220932637358"/>
                  <c:y val="7.728916635881023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st4-7)'!$L$38:$L$47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(no st4-7)'!$D$38:$D$47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62-4589-AA9C-B25E9C81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st4-7)'!$L$51:$L$61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(no st4-7)'!$B$51:$B$61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FB-4477-A324-CF82D870899C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st4-7)'!$L$51:$L$61</c:f>
              <c:numCache>
                <c:formatCode>0.00</c:formatCode>
                <c:ptCount val="11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0.71824430721731836</c:v>
                </c:pt>
                <c:pt idx="6">
                  <c:v>0.69967888714239146</c:v>
                </c:pt>
                <c:pt idx="7">
                  <c:v>0.62705681761906529</c:v>
                </c:pt>
                <c:pt idx="8">
                  <c:v>0.78761759991323199</c:v>
                </c:pt>
                <c:pt idx="9">
                  <c:v>0.66946113423695353</c:v>
                </c:pt>
                <c:pt idx="10">
                  <c:v>0.74657460626507921</c:v>
                </c:pt>
              </c:numCache>
            </c:numRef>
          </c:xVal>
          <c:yVal>
            <c:numRef>
              <c:f>'tauc correlations (no st4-7)'!$D$51:$D$61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FB-4477-A324-CF82D870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falling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623714832894788"/>
                  <c:y val="-6.416190051417190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st4-7)'!$L$65:$L$74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(no st4-7)'!$B$65:$B$74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4-47CC-94FD-016BBA033626}"/>
            </c:ext>
          </c:extLst>
        </c:ser>
        <c:ser>
          <c:idx val="2"/>
          <c:order val="1"/>
          <c:tx>
            <c:strRef>
              <c:f>'tauc correlations (no st4-7)'!$D$1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972764748507461"/>
                  <c:y val="0.177907711630481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st4-7)'!$L$65:$L$74</c:f>
              <c:numCache>
                <c:formatCode>0.00</c:formatCode>
                <c:ptCount val="10"/>
                <c:pt idx="0">
                  <c:v>0.6875</c:v>
                </c:pt>
                <c:pt idx="1">
                  <c:v>0.7804177474862507</c:v>
                </c:pt>
                <c:pt idx="4">
                  <c:v>0.26074599211876454</c:v>
                </c:pt>
                <c:pt idx="5">
                  <c:v>0.61768356815564218</c:v>
                </c:pt>
                <c:pt idx="6">
                  <c:v>0.71824430721731836</c:v>
                </c:pt>
                <c:pt idx="7">
                  <c:v>0.69967888714239146</c:v>
                </c:pt>
                <c:pt idx="8">
                  <c:v>0.62705681761906529</c:v>
                </c:pt>
                <c:pt idx="9">
                  <c:v>0.66946113423695353</c:v>
                </c:pt>
              </c:numCache>
            </c:numRef>
          </c:xVal>
          <c:yVal>
            <c:numRef>
              <c:f>'tauc correlations (no st4-7)'!$D$65:$D$74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44-47CC-94FD-016BBA03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to Turbidity HI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st4-7)'!$A$63</c:f>
              <c:strCache>
                <c:ptCount val="1"/>
                <c:pt idx="0">
                  <c:v>Summer Up, Spring Down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8497210662355414"/>
                  <c:y val="0.347311323944047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xVal>
          <c:yVal>
            <c:numRef>
              <c:f>'tauc correlations (no st4-7)'!$D$65:$D$74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FD-4121-8B35-AB08332D98AD}"/>
            </c:ext>
          </c:extLst>
        </c:ser>
        <c:ser>
          <c:idx val="1"/>
          <c:order val="1"/>
          <c:tx>
            <c:strRef>
              <c:f>'tauc correlations (no st4-7)'!$A$49</c:f>
              <c:strCache>
                <c:ptCount val="1"/>
                <c:pt idx="0">
                  <c:v>Summer Down, Spring 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48668203546799"/>
                  <c:y val="0.2884864519894864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xVal>
          <c:yVal>
            <c:numRef>
              <c:f>'tauc correlations (no st4-7)'!$D$51:$D$61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FD-4121-8B35-AB08332D98AD}"/>
            </c:ext>
          </c:extLst>
        </c:ser>
        <c:ser>
          <c:idx val="2"/>
          <c:order val="2"/>
          <c:tx>
            <c:strRef>
              <c:f>'tauc correlations (no st4-7)'!$A$36</c:f>
              <c:strCache>
                <c:ptCount val="1"/>
                <c:pt idx="0">
                  <c:v>Downstream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0675528676786118E-2"/>
                  <c:y val="0.35822539135416198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xVal>
          <c:yVal>
            <c:numRef>
              <c:f>'tauc correlations (no st4-7)'!$D$38:$D$47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FD-4121-8B35-AB08332D98AD}"/>
            </c:ext>
          </c:extLst>
        </c:ser>
        <c:ser>
          <c:idx val="3"/>
          <c:order val="3"/>
          <c:tx>
            <c:strRef>
              <c:f>'tauc correlations (no st4-7)'!$A$22</c:f>
              <c:strCache>
                <c:ptCount val="1"/>
                <c:pt idx="0">
                  <c:v>Upstream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583395706715369"/>
                  <c:y val="0.3870924948383844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st4-7)'!$B$24:$B$34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xVal>
          <c:yVal>
            <c:numRef>
              <c:f>'tauc correlations (no st4-7)'!$D$24:$D$34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EFD-4121-8B35-AB08332D98AD}"/>
            </c:ext>
          </c:extLst>
        </c:ser>
        <c:ser>
          <c:idx val="4"/>
          <c:order val="4"/>
          <c:tx>
            <c:strRef>
              <c:f>'tauc correlations (no st4-7)'!$A$1</c:f>
              <c:strCache>
                <c:ptCount val="1"/>
                <c:pt idx="0">
                  <c:v>Aich Hysteresis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630290510264163"/>
                  <c:y val="0.37770501606041995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st4-7)'!$B$2:$B$20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xVal>
          <c:yVal>
            <c:numRef>
              <c:f>'tauc correlations (no st4-7)'!$D$2:$D$20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EFD-4121-8B35-AB08332D9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874383"/>
        <c:axId val="1738671375"/>
      </c:scatterChart>
      <c:valAx>
        <c:axId val="188287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71375"/>
        <c:crosses val="autoZero"/>
        <c:crossBetween val="midCat"/>
      </c:valAx>
      <c:valAx>
        <c:axId val="17386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87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18" Type="http://schemas.openxmlformats.org/officeDocument/2006/relationships/chart" Target="../charts/chart4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17" Type="http://schemas.openxmlformats.org/officeDocument/2006/relationships/chart" Target="../charts/chart44.xml"/><Relationship Id="rId2" Type="http://schemas.openxmlformats.org/officeDocument/2006/relationships/chart" Target="../charts/chart29.xml"/><Relationship Id="rId16" Type="http://schemas.openxmlformats.org/officeDocument/2006/relationships/chart" Target="../charts/chart43.xml"/><Relationship Id="rId20" Type="http://schemas.openxmlformats.org/officeDocument/2006/relationships/chart" Target="../charts/chart47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10" Type="http://schemas.openxmlformats.org/officeDocument/2006/relationships/chart" Target="../charts/chart37.xml"/><Relationship Id="rId19" Type="http://schemas.openxmlformats.org/officeDocument/2006/relationships/chart" Target="../charts/chart46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13" Type="http://schemas.openxmlformats.org/officeDocument/2006/relationships/chart" Target="../charts/chart60.xml"/><Relationship Id="rId18" Type="http://schemas.openxmlformats.org/officeDocument/2006/relationships/chart" Target="../charts/chart65.xml"/><Relationship Id="rId26" Type="http://schemas.openxmlformats.org/officeDocument/2006/relationships/chart" Target="../charts/chart73.xml"/><Relationship Id="rId3" Type="http://schemas.openxmlformats.org/officeDocument/2006/relationships/chart" Target="../charts/chart50.xml"/><Relationship Id="rId21" Type="http://schemas.openxmlformats.org/officeDocument/2006/relationships/chart" Target="../charts/chart68.xml"/><Relationship Id="rId7" Type="http://schemas.openxmlformats.org/officeDocument/2006/relationships/chart" Target="../charts/chart54.xml"/><Relationship Id="rId12" Type="http://schemas.openxmlformats.org/officeDocument/2006/relationships/chart" Target="../charts/chart59.xml"/><Relationship Id="rId17" Type="http://schemas.openxmlformats.org/officeDocument/2006/relationships/chart" Target="../charts/chart64.xml"/><Relationship Id="rId25" Type="http://schemas.openxmlformats.org/officeDocument/2006/relationships/chart" Target="../charts/chart72.xml"/><Relationship Id="rId2" Type="http://schemas.openxmlformats.org/officeDocument/2006/relationships/chart" Target="../charts/chart49.xml"/><Relationship Id="rId16" Type="http://schemas.openxmlformats.org/officeDocument/2006/relationships/chart" Target="../charts/chart63.xml"/><Relationship Id="rId20" Type="http://schemas.openxmlformats.org/officeDocument/2006/relationships/chart" Target="../charts/chart67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11" Type="http://schemas.openxmlformats.org/officeDocument/2006/relationships/chart" Target="../charts/chart58.xml"/><Relationship Id="rId24" Type="http://schemas.openxmlformats.org/officeDocument/2006/relationships/chart" Target="../charts/chart71.xml"/><Relationship Id="rId5" Type="http://schemas.openxmlformats.org/officeDocument/2006/relationships/chart" Target="../charts/chart52.xml"/><Relationship Id="rId15" Type="http://schemas.openxmlformats.org/officeDocument/2006/relationships/chart" Target="../charts/chart62.xml"/><Relationship Id="rId23" Type="http://schemas.openxmlformats.org/officeDocument/2006/relationships/chart" Target="../charts/chart70.xml"/><Relationship Id="rId10" Type="http://schemas.openxmlformats.org/officeDocument/2006/relationships/chart" Target="../charts/chart57.xml"/><Relationship Id="rId19" Type="http://schemas.openxmlformats.org/officeDocument/2006/relationships/chart" Target="../charts/chart66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Relationship Id="rId14" Type="http://schemas.openxmlformats.org/officeDocument/2006/relationships/chart" Target="../charts/chart61.xml"/><Relationship Id="rId22" Type="http://schemas.openxmlformats.org/officeDocument/2006/relationships/chart" Target="../charts/chart6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1.xml"/><Relationship Id="rId13" Type="http://schemas.openxmlformats.org/officeDocument/2006/relationships/chart" Target="../charts/chart86.xml"/><Relationship Id="rId18" Type="http://schemas.openxmlformats.org/officeDocument/2006/relationships/chart" Target="../charts/chart91.xml"/><Relationship Id="rId26" Type="http://schemas.openxmlformats.org/officeDocument/2006/relationships/chart" Target="../charts/chart99.xml"/><Relationship Id="rId3" Type="http://schemas.openxmlformats.org/officeDocument/2006/relationships/chart" Target="../charts/chart76.xml"/><Relationship Id="rId21" Type="http://schemas.openxmlformats.org/officeDocument/2006/relationships/chart" Target="../charts/chart94.xml"/><Relationship Id="rId7" Type="http://schemas.openxmlformats.org/officeDocument/2006/relationships/chart" Target="../charts/chart80.xml"/><Relationship Id="rId12" Type="http://schemas.openxmlformats.org/officeDocument/2006/relationships/chart" Target="../charts/chart85.xml"/><Relationship Id="rId17" Type="http://schemas.openxmlformats.org/officeDocument/2006/relationships/chart" Target="../charts/chart90.xml"/><Relationship Id="rId25" Type="http://schemas.openxmlformats.org/officeDocument/2006/relationships/chart" Target="../charts/chart98.xml"/><Relationship Id="rId2" Type="http://schemas.openxmlformats.org/officeDocument/2006/relationships/chart" Target="../charts/chart75.xml"/><Relationship Id="rId16" Type="http://schemas.openxmlformats.org/officeDocument/2006/relationships/chart" Target="../charts/chart89.xml"/><Relationship Id="rId20" Type="http://schemas.openxmlformats.org/officeDocument/2006/relationships/chart" Target="../charts/chart93.xml"/><Relationship Id="rId1" Type="http://schemas.openxmlformats.org/officeDocument/2006/relationships/chart" Target="../charts/chart74.xml"/><Relationship Id="rId6" Type="http://schemas.openxmlformats.org/officeDocument/2006/relationships/chart" Target="../charts/chart79.xml"/><Relationship Id="rId11" Type="http://schemas.openxmlformats.org/officeDocument/2006/relationships/chart" Target="../charts/chart84.xml"/><Relationship Id="rId24" Type="http://schemas.openxmlformats.org/officeDocument/2006/relationships/chart" Target="../charts/chart97.xml"/><Relationship Id="rId5" Type="http://schemas.openxmlformats.org/officeDocument/2006/relationships/chart" Target="../charts/chart78.xml"/><Relationship Id="rId15" Type="http://schemas.openxmlformats.org/officeDocument/2006/relationships/chart" Target="../charts/chart88.xml"/><Relationship Id="rId23" Type="http://schemas.openxmlformats.org/officeDocument/2006/relationships/chart" Target="../charts/chart96.xml"/><Relationship Id="rId10" Type="http://schemas.openxmlformats.org/officeDocument/2006/relationships/chart" Target="../charts/chart83.xml"/><Relationship Id="rId19" Type="http://schemas.openxmlformats.org/officeDocument/2006/relationships/chart" Target="../charts/chart92.xml"/><Relationship Id="rId4" Type="http://schemas.openxmlformats.org/officeDocument/2006/relationships/chart" Target="../charts/chart77.xml"/><Relationship Id="rId9" Type="http://schemas.openxmlformats.org/officeDocument/2006/relationships/chart" Target="../charts/chart82.xml"/><Relationship Id="rId14" Type="http://schemas.openxmlformats.org/officeDocument/2006/relationships/chart" Target="../charts/chart87.xml"/><Relationship Id="rId22" Type="http://schemas.openxmlformats.org/officeDocument/2006/relationships/chart" Target="../charts/chart9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13" Type="http://schemas.openxmlformats.org/officeDocument/2006/relationships/chart" Target="../charts/chart112.xml"/><Relationship Id="rId18" Type="http://schemas.openxmlformats.org/officeDocument/2006/relationships/chart" Target="../charts/chart117.xml"/><Relationship Id="rId26" Type="http://schemas.openxmlformats.org/officeDocument/2006/relationships/chart" Target="../charts/chart125.xml"/><Relationship Id="rId3" Type="http://schemas.openxmlformats.org/officeDocument/2006/relationships/chart" Target="../charts/chart102.xml"/><Relationship Id="rId21" Type="http://schemas.openxmlformats.org/officeDocument/2006/relationships/chart" Target="../charts/chart120.xml"/><Relationship Id="rId7" Type="http://schemas.openxmlformats.org/officeDocument/2006/relationships/chart" Target="../charts/chart106.xml"/><Relationship Id="rId12" Type="http://schemas.openxmlformats.org/officeDocument/2006/relationships/chart" Target="../charts/chart111.xml"/><Relationship Id="rId17" Type="http://schemas.openxmlformats.org/officeDocument/2006/relationships/chart" Target="../charts/chart116.xml"/><Relationship Id="rId25" Type="http://schemas.openxmlformats.org/officeDocument/2006/relationships/chart" Target="../charts/chart124.xml"/><Relationship Id="rId2" Type="http://schemas.openxmlformats.org/officeDocument/2006/relationships/chart" Target="../charts/chart101.xml"/><Relationship Id="rId16" Type="http://schemas.openxmlformats.org/officeDocument/2006/relationships/chart" Target="../charts/chart115.xml"/><Relationship Id="rId20" Type="http://schemas.openxmlformats.org/officeDocument/2006/relationships/chart" Target="../charts/chart119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11" Type="http://schemas.openxmlformats.org/officeDocument/2006/relationships/chart" Target="../charts/chart110.xml"/><Relationship Id="rId24" Type="http://schemas.openxmlformats.org/officeDocument/2006/relationships/chart" Target="../charts/chart123.xml"/><Relationship Id="rId5" Type="http://schemas.openxmlformats.org/officeDocument/2006/relationships/chart" Target="../charts/chart104.xml"/><Relationship Id="rId15" Type="http://schemas.openxmlformats.org/officeDocument/2006/relationships/chart" Target="../charts/chart114.xml"/><Relationship Id="rId23" Type="http://schemas.openxmlformats.org/officeDocument/2006/relationships/chart" Target="../charts/chart122.xml"/><Relationship Id="rId10" Type="http://schemas.openxmlformats.org/officeDocument/2006/relationships/chart" Target="../charts/chart109.xml"/><Relationship Id="rId19" Type="http://schemas.openxmlformats.org/officeDocument/2006/relationships/chart" Target="../charts/chart118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Relationship Id="rId14" Type="http://schemas.openxmlformats.org/officeDocument/2006/relationships/chart" Target="../charts/chart113.xml"/><Relationship Id="rId22" Type="http://schemas.openxmlformats.org/officeDocument/2006/relationships/chart" Target="../charts/chart1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38</xdr:row>
      <xdr:rowOff>28574</xdr:rowOff>
    </xdr:from>
    <xdr:to>
      <xdr:col>15</xdr:col>
      <xdr:colOff>95250</xdr:colOff>
      <xdr:row>49</xdr:row>
      <xdr:rowOff>157161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884E8-9C7D-3030-29C0-7BE5D4372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200025</xdr:colOff>
      <xdr:row>37</xdr:row>
      <xdr:rowOff>161924</xdr:rowOff>
    </xdr:from>
    <xdr:to>
      <xdr:col>18</xdr:col>
      <xdr:colOff>533400</xdr:colOff>
      <xdr:row>49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7449E6-1792-4A4D-90E7-0E7F15645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104775</xdr:colOff>
      <xdr:row>50</xdr:row>
      <xdr:rowOff>123825</xdr:rowOff>
    </xdr:from>
    <xdr:to>
      <xdr:col>18</xdr:col>
      <xdr:colOff>533400</xdr:colOff>
      <xdr:row>62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07B291-2529-415B-89F0-6FECD4086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685800</xdr:colOff>
      <xdr:row>38</xdr:row>
      <xdr:rowOff>57150</xdr:rowOff>
    </xdr:from>
    <xdr:to>
      <xdr:col>21</xdr:col>
      <xdr:colOff>533400</xdr:colOff>
      <xdr:row>50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2F367F-9D07-4283-980D-8CEE602FF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723900</xdr:colOff>
      <xdr:row>50</xdr:row>
      <xdr:rowOff>114300</xdr:rowOff>
    </xdr:from>
    <xdr:to>
      <xdr:col>21</xdr:col>
      <xdr:colOff>571500</xdr:colOff>
      <xdr:row>62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4CBE2A-B290-4FFD-B9EA-5217BF11F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219075</xdr:colOff>
      <xdr:row>38</xdr:row>
      <xdr:rowOff>47625</xdr:rowOff>
    </xdr:from>
    <xdr:to>
      <xdr:col>26</xdr:col>
      <xdr:colOff>238125</xdr:colOff>
      <xdr:row>50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4A2407-26B7-42A1-9E7C-1D9DE8013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38</xdr:row>
      <xdr:rowOff>28574</xdr:rowOff>
    </xdr:from>
    <xdr:to>
      <xdr:col>15</xdr:col>
      <xdr:colOff>95250</xdr:colOff>
      <xdr:row>49</xdr:row>
      <xdr:rowOff>157161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5EC4A-4595-4CEE-B7B6-1CC40A3B0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200025</xdr:colOff>
      <xdr:row>37</xdr:row>
      <xdr:rowOff>161924</xdr:rowOff>
    </xdr:from>
    <xdr:to>
      <xdr:col>18</xdr:col>
      <xdr:colOff>533400</xdr:colOff>
      <xdr:row>49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E815E8-6241-4C2D-AA5A-7C9071B9D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685800</xdr:colOff>
      <xdr:row>38</xdr:row>
      <xdr:rowOff>57150</xdr:rowOff>
    </xdr:from>
    <xdr:to>
      <xdr:col>21</xdr:col>
      <xdr:colOff>533400</xdr:colOff>
      <xdr:row>50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379D9A-3970-48DE-9B62-062254E8A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623047</xdr:colOff>
      <xdr:row>38</xdr:row>
      <xdr:rowOff>80682</xdr:rowOff>
    </xdr:from>
    <xdr:to>
      <xdr:col>25</xdr:col>
      <xdr:colOff>369794</xdr:colOff>
      <xdr:row>49</xdr:row>
      <xdr:rowOff>179295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901052-E80B-4212-BD5F-D67B026C9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420782</xdr:colOff>
      <xdr:row>38</xdr:row>
      <xdr:rowOff>81243</xdr:rowOff>
    </xdr:from>
    <xdr:to>
      <xdr:col>30</xdr:col>
      <xdr:colOff>47625</xdr:colOff>
      <xdr:row>50</xdr:row>
      <xdr:rowOff>33618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525785-14EC-437E-AEE0-7E329F15D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38</xdr:row>
      <xdr:rowOff>28574</xdr:rowOff>
    </xdr:from>
    <xdr:to>
      <xdr:col>15</xdr:col>
      <xdr:colOff>95250</xdr:colOff>
      <xdr:row>49</xdr:row>
      <xdr:rowOff>157161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08382-157F-4348-949F-3CC4E27F6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200025</xdr:colOff>
      <xdr:row>37</xdr:row>
      <xdr:rowOff>161924</xdr:rowOff>
    </xdr:from>
    <xdr:to>
      <xdr:col>18</xdr:col>
      <xdr:colOff>533400</xdr:colOff>
      <xdr:row>49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B0E439-8527-443C-AC1B-12C914301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685800</xdr:colOff>
      <xdr:row>38</xdr:row>
      <xdr:rowOff>57150</xdr:rowOff>
    </xdr:from>
    <xdr:to>
      <xdr:col>21</xdr:col>
      <xdr:colOff>533400</xdr:colOff>
      <xdr:row>50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588698-F7DF-404F-BB44-982E81F59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723900</xdr:colOff>
      <xdr:row>50</xdr:row>
      <xdr:rowOff>114300</xdr:rowOff>
    </xdr:from>
    <xdr:to>
      <xdr:col>21</xdr:col>
      <xdr:colOff>571500</xdr:colOff>
      <xdr:row>62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38A23D-F57A-406F-BD01-911D5FFB6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219075</xdr:colOff>
      <xdr:row>38</xdr:row>
      <xdr:rowOff>47625</xdr:rowOff>
    </xdr:from>
    <xdr:to>
      <xdr:col>26</xdr:col>
      <xdr:colOff>238125</xdr:colOff>
      <xdr:row>50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A7E3C1-0F86-468F-BF13-DF019CDB0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224118</xdr:colOff>
      <xdr:row>50</xdr:row>
      <xdr:rowOff>89647</xdr:rowOff>
    </xdr:from>
    <xdr:to>
      <xdr:col>18</xdr:col>
      <xdr:colOff>553570</xdr:colOff>
      <xdr:row>62</xdr:row>
      <xdr:rowOff>42022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CC7921-7137-4D7D-A6DA-9ECC1A1C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404812</xdr:colOff>
      <xdr:row>0</xdr:row>
      <xdr:rowOff>185737</xdr:rowOff>
    </xdr:from>
    <xdr:to>
      <xdr:col>11</xdr:col>
      <xdr:colOff>1066800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9F49C-940E-CAC4-6FDC-41B3D485A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400050</xdr:colOff>
      <xdr:row>13</xdr:row>
      <xdr:rowOff>28575</xdr:rowOff>
    </xdr:from>
    <xdr:to>
      <xdr:col>11</xdr:col>
      <xdr:colOff>1062038</xdr:colOff>
      <xdr:row>25</xdr:row>
      <xdr:rowOff>33338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CCCF2-100E-43D2-8E86-2F67209F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438150</xdr:colOff>
      <xdr:row>25</xdr:row>
      <xdr:rowOff>57150</xdr:rowOff>
    </xdr:from>
    <xdr:to>
      <xdr:col>11</xdr:col>
      <xdr:colOff>1100138</xdr:colOff>
      <xdr:row>37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FC618A-4E34-4CB2-8701-61BF3E755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1162050</xdr:colOff>
      <xdr:row>0</xdr:row>
      <xdr:rowOff>180975</xdr:rowOff>
    </xdr:from>
    <xdr:to>
      <xdr:col>15</xdr:col>
      <xdr:colOff>290513</xdr:colOff>
      <xdr:row>12</xdr:row>
      <xdr:rowOff>185738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92E917-5F2F-4DAD-8CB0-8E5D79C75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1152525</xdr:colOff>
      <xdr:row>13</xdr:row>
      <xdr:rowOff>57150</xdr:rowOff>
    </xdr:from>
    <xdr:to>
      <xdr:col>15</xdr:col>
      <xdr:colOff>280988</xdr:colOff>
      <xdr:row>25</xdr:row>
      <xdr:rowOff>61913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EEEDE8-ED40-4881-8065-C1E3CF6C3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1171575</xdr:colOff>
      <xdr:row>25</xdr:row>
      <xdr:rowOff>123825</xdr:rowOff>
    </xdr:from>
    <xdr:to>
      <xdr:col>15</xdr:col>
      <xdr:colOff>300038</xdr:colOff>
      <xdr:row>37</xdr:row>
      <xdr:rowOff>128588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125C79-A994-4EB6-906F-8707430C0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356907</xdr:colOff>
      <xdr:row>0</xdr:row>
      <xdr:rowOff>179294</xdr:rowOff>
    </xdr:from>
    <xdr:to>
      <xdr:col>20</xdr:col>
      <xdr:colOff>180134</xdr:colOff>
      <xdr:row>12</xdr:row>
      <xdr:rowOff>184057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E78A541-E114-4D08-B06F-B1C398153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347382</xdr:colOff>
      <xdr:row>13</xdr:row>
      <xdr:rowOff>55469</xdr:rowOff>
    </xdr:from>
    <xdr:to>
      <xdr:col>20</xdr:col>
      <xdr:colOff>170609</xdr:colOff>
      <xdr:row>25</xdr:row>
      <xdr:rowOff>60232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622329-392A-46A8-BFAF-B81283305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366432</xdr:colOff>
      <xdr:row>25</xdr:row>
      <xdr:rowOff>122144</xdr:rowOff>
    </xdr:from>
    <xdr:to>
      <xdr:col>20</xdr:col>
      <xdr:colOff>189659</xdr:colOff>
      <xdr:row>37</xdr:row>
      <xdr:rowOff>126907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8CD1F4-D6D1-4A5F-B346-1033BBBB2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235323</xdr:colOff>
      <xdr:row>1</xdr:row>
      <xdr:rowOff>11206</xdr:rowOff>
    </xdr:from>
    <xdr:to>
      <xdr:col>25</xdr:col>
      <xdr:colOff>305080</xdr:colOff>
      <xdr:row>13</xdr:row>
      <xdr:rowOff>15969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D9DBAC1-CF4E-4BA0-9AE5-EBCD2753E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344983</xdr:colOff>
      <xdr:row>0</xdr:row>
      <xdr:rowOff>175292</xdr:rowOff>
    </xdr:from>
    <xdr:to>
      <xdr:col>16</xdr:col>
      <xdr:colOff>367394</xdr:colOff>
      <xdr:row>13</xdr:row>
      <xdr:rowOff>27374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05381C-5553-4AEF-9486-DA4949FB8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311365</xdr:colOff>
      <xdr:row>13</xdr:row>
      <xdr:rowOff>62114</xdr:rowOff>
    </xdr:from>
    <xdr:to>
      <xdr:col>16</xdr:col>
      <xdr:colOff>333776</xdr:colOff>
      <xdr:row>27</xdr:row>
      <xdr:rowOff>3844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75DD50-7DBD-45FB-82C8-57E581BA4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322570</xdr:colOff>
      <xdr:row>27</xdr:row>
      <xdr:rowOff>84526</xdr:rowOff>
    </xdr:from>
    <xdr:to>
      <xdr:col>16</xdr:col>
      <xdr:colOff>344981</xdr:colOff>
      <xdr:row>41</xdr:row>
      <xdr:rowOff>26255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AB7B1F-7258-41F2-8661-DC4C31518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277747</xdr:colOff>
      <xdr:row>41</xdr:row>
      <xdr:rowOff>129350</xdr:rowOff>
    </xdr:from>
    <xdr:to>
      <xdr:col>16</xdr:col>
      <xdr:colOff>300158</xdr:colOff>
      <xdr:row>55</xdr:row>
      <xdr:rowOff>71080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6493A84-7CBD-41F9-B6CC-3E40D91C6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300159</xdr:colOff>
      <xdr:row>55</xdr:row>
      <xdr:rowOff>151762</xdr:rowOff>
    </xdr:from>
    <xdr:to>
      <xdr:col>16</xdr:col>
      <xdr:colOff>322570</xdr:colOff>
      <xdr:row>69</xdr:row>
      <xdr:rowOff>93491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9012C62-4A3C-4E2C-8B74-39D1DC1EE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414620</xdr:colOff>
      <xdr:row>0</xdr:row>
      <xdr:rowOff>212912</xdr:rowOff>
    </xdr:from>
    <xdr:to>
      <xdr:col>21</xdr:col>
      <xdr:colOff>437032</xdr:colOff>
      <xdr:row>13</xdr:row>
      <xdr:rowOff>64994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D86B0BD-A643-4F06-93FB-B8332741F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425825</xdr:colOff>
      <xdr:row>13</xdr:row>
      <xdr:rowOff>99734</xdr:rowOff>
    </xdr:from>
    <xdr:to>
      <xdr:col>21</xdr:col>
      <xdr:colOff>448237</xdr:colOff>
      <xdr:row>27</xdr:row>
      <xdr:rowOff>41464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B41E757-5CC0-4B32-999E-6E9B4C84D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437030</xdr:colOff>
      <xdr:row>27</xdr:row>
      <xdr:rowOff>122146</xdr:rowOff>
    </xdr:from>
    <xdr:to>
      <xdr:col>21</xdr:col>
      <xdr:colOff>459442</xdr:colOff>
      <xdr:row>41</xdr:row>
      <xdr:rowOff>63875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7ABAAD5-D053-438E-A9C1-AB3F4BAA3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392207</xdr:colOff>
      <xdr:row>41</xdr:row>
      <xdr:rowOff>166970</xdr:rowOff>
    </xdr:from>
    <xdr:to>
      <xdr:col>21</xdr:col>
      <xdr:colOff>414619</xdr:colOff>
      <xdr:row>55</xdr:row>
      <xdr:rowOff>108700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4711FD-11A1-4F40-B0F5-D2804B873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414619</xdr:colOff>
      <xdr:row>55</xdr:row>
      <xdr:rowOff>189382</xdr:rowOff>
    </xdr:from>
    <xdr:to>
      <xdr:col>21</xdr:col>
      <xdr:colOff>437031</xdr:colOff>
      <xdr:row>69</xdr:row>
      <xdr:rowOff>131111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115A9FA-CA6C-4AEB-9E4F-E707A20FA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515471</xdr:colOff>
      <xdr:row>0</xdr:row>
      <xdr:rowOff>224118</xdr:rowOff>
    </xdr:from>
    <xdr:to>
      <xdr:col>26</xdr:col>
      <xdr:colOff>537883</xdr:colOff>
      <xdr:row>13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8F9545-5CFF-4C59-AD73-DBE373F82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526676</xdr:colOff>
      <xdr:row>13</xdr:row>
      <xdr:rowOff>110940</xdr:rowOff>
    </xdr:from>
    <xdr:to>
      <xdr:col>26</xdr:col>
      <xdr:colOff>549088</xdr:colOff>
      <xdr:row>27</xdr:row>
      <xdr:rowOff>52670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A0D0E6D-EE39-45DF-A33B-BB556CAE6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537881</xdr:colOff>
      <xdr:row>27</xdr:row>
      <xdr:rowOff>133352</xdr:rowOff>
    </xdr:from>
    <xdr:to>
      <xdr:col>26</xdr:col>
      <xdr:colOff>560293</xdr:colOff>
      <xdr:row>41</xdr:row>
      <xdr:rowOff>75081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DA51744-E513-4766-8D7C-7B29CA806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493058</xdr:colOff>
      <xdr:row>41</xdr:row>
      <xdr:rowOff>178176</xdr:rowOff>
    </xdr:from>
    <xdr:to>
      <xdr:col>26</xdr:col>
      <xdr:colOff>515470</xdr:colOff>
      <xdr:row>55</xdr:row>
      <xdr:rowOff>119906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589C2D5-896D-46F0-B6F9-CB9C03B76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515470</xdr:colOff>
      <xdr:row>56</xdr:row>
      <xdr:rowOff>10088</xdr:rowOff>
    </xdr:from>
    <xdr:to>
      <xdr:col>26</xdr:col>
      <xdr:colOff>537882</xdr:colOff>
      <xdr:row>69</xdr:row>
      <xdr:rowOff>142317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BEFA273-002B-4FFB-8052-5C0DEF6C0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90449</xdr:colOff>
      <xdr:row>0</xdr:row>
      <xdr:rowOff>163285</xdr:rowOff>
    </xdr:from>
    <xdr:to>
      <xdr:col>32</xdr:col>
      <xdr:colOff>112861</xdr:colOff>
      <xdr:row>13</xdr:row>
      <xdr:rowOff>15367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2DF80D-2D56-4294-975B-A8A40D87C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27</xdr:col>
      <xdr:colOff>101654</xdr:colOff>
      <xdr:row>13</xdr:row>
      <xdr:rowOff>50107</xdr:rowOff>
    </xdr:from>
    <xdr:to>
      <xdr:col>32</xdr:col>
      <xdr:colOff>124066</xdr:colOff>
      <xdr:row>26</xdr:row>
      <xdr:rowOff>182337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221B5-85D7-4C30-9708-E480A5ADF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112859</xdr:colOff>
      <xdr:row>27</xdr:row>
      <xdr:rowOff>72519</xdr:rowOff>
    </xdr:from>
    <xdr:to>
      <xdr:col>32</xdr:col>
      <xdr:colOff>135271</xdr:colOff>
      <xdr:row>41</xdr:row>
      <xdr:rowOff>14248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5A6174A-41D3-4D0E-A119-A9C48414F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68036</xdr:colOff>
      <xdr:row>41</xdr:row>
      <xdr:rowOff>117343</xdr:rowOff>
    </xdr:from>
    <xdr:to>
      <xdr:col>32</xdr:col>
      <xdr:colOff>90448</xdr:colOff>
      <xdr:row>55</xdr:row>
      <xdr:rowOff>59073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76D8E38-5ABE-464F-93FA-0740609E2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27</xdr:col>
      <xdr:colOff>90448</xdr:colOff>
      <xdr:row>55</xdr:row>
      <xdr:rowOff>139755</xdr:rowOff>
    </xdr:from>
    <xdr:to>
      <xdr:col>32</xdr:col>
      <xdr:colOff>112860</xdr:colOff>
      <xdr:row>69</xdr:row>
      <xdr:rowOff>81484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12CDB41-B2F9-4924-AF1E-C21E25B5B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344983</xdr:colOff>
      <xdr:row>0</xdr:row>
      <xdr:rowOff>175292</xdr:rowOff>
    </xdr:from>
    <xdr:to>
      <xdr:col>18</xdr:col>
      <xdr:colOff>367394</xdr:colOff>
      <xdr:row>13</xdr:row>
      <xdr:rowOff>27374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65E1F-9650-4F02-8FAB-1FA7A0B40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311365</xdr:colOff>
      <xdr:row>13</xdr:row>
      <xdr:rowOff>62114</xdr:rowOff>
    </xdr:from>
    <xdr:to>
      <xdr:col>18</xdr:col>
      <xdr:colOff>333776</xdr:colOff>
      <xdr:row>27</xdr:row>
      <xdr:rowOff>3844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2EFD04-DDF9-4F10-A753-6B869E270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322570</xdr:colOff>
      <xdr:row>27</xdr:row>
      <xdr:rowOff>84526</xdr:rowOff>
    </xdr:from>
    <xdr:to>
      <xdr:col>18</xdr:col>
      <xdr:colOff>344981</xdr:colOff>
      <xdr:row>41</xdr:row>
      <xdr:rowOff>26255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BA2F3C-6665-45D0-ACB4-2039ADCC2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277747</xdr:colOff>
      <xdr:row>41</xdr:row>
      <xdr:rowOff>129350</xdr:rowOff>
    </xdr:from>
    <xdr:to>
      <xdr:col>18</xdr:col>
      <xdr:colOff>300158</xdr:colOff>
      <xdr:row>55</xdr:row>
      <xdr:rowOff>71080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AEEB80-CCEE-49EB-976A-130F51FBA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300159</xdr:colOff>
      <xdr:row>55</xdr:row>
      <xdr:rowOff>151762</xdr:rowOff>
    </xdr:from>
    <xdr:to>
      <xdr:col>18</xdr:col>
      <xdr:colOff>322570</xdr:colOff>
      <xdr:row>69</xdr:row>
      <xdr:rowOff>93491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004BE6-A611-4C5E-8EA1-EF000BE95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414620</xdr:colOff>
      <xdr:row>0</xdr:row>
      <xdr:rowOff>212912</xdr:rowOff>
    </xdr:from>
    <xdr:to>
      <xdr:col>23</xdr:col>
      <xdr:colOff>437032</xdr:colOff>
      <xdr:row>13</xdr:row>
      <xdr:rowOff>64994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41229D-550C-426E-8122-970B989F2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425825</xdr:colOff>
      <xdr:row>13</xdr:row>
      <xdr:rowOff>99734</xdr:rowOff>
    </xdr:from>
    <xdr:to>
      <xdr:col>23</xdr:col>
      <xdr:colOff>448237</xdr:colOff>
      <xdr:row>27</xdr:row>
      <xdr:rowOff>41464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EED3E0-4616-4544-B180-C777E127E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437030</xdr:colOff>
      <xdr:row>27</xdr:row>
      <xdr:rowOff>122146</xdr:rowOff>
    </xdr:from>
    <xdr:to>
      <xdr:col>23</xdr:col>
      <xdr:colOff>459442</xdr:colOff>
      <xdr:row>41</xdr:row>
      <xdr:rowOff>63875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42AB8D-812C-4435-BB09-BD5022C13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392207</xdr:colOff>
      <xdr:row>41</xdr:row>
      <xdr:rowOff>166970</xdr:rowOff>
    </xdr:from>
    <xdr:to>
      <xdr:col>23</xdr:col>
      <xdr:colOff>414619</xdr:colOff>
      <xdr:row>55</xdr:row>
      <xdr:rowOff>108700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2C0446-0744-4A18-8898-ADAC89F9F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414619</xdr:colOff>
      <xdr:row>55</xdr:row>
      <xdr:rowOff>189382</xdr:rowOff>
    </xdr:from>
    <xdr:to>
      <xdr:col>23</xdr:col>
      <xdr:colOff>437031</xdr:colOff>
      <xdr:row>69</xdr:row>
      <xdr:rowOff>131111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739AEF-EA4D-4288-921C-5B5DE54B9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515471</xdr:colOff>
      <xdr:row>0</xdr:row>
      <xdr:rowOff>224118</xdr:rowOff>
    </xdr:from>
    <xdr:to>
      <xdr:col>28</xdr:col>
      <xdr:colOff>537883</xdr:colOff>
      <xdr:row>13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81AEFD-A17A-4BC3-92CD-B9078BE34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526676</xdr:colOff>
      <xdr:row>13</xdr:row>
      <xdr:rowOff>110940</xdr:rowOff>
    </xdr:from>
    <xdr:to>
      <xdr:col>28</xdr:col>
      <xdr:colOff>549088</xdr:colOff>
      <xdr:row>27</xdr:row>
      <xdr:rowOff>52670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88748DB-0899-4603-B3F5-99D69E416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537881</xdr:colOff>
      <xdr:row>27</xdr:row>
      <xdr:rowOff>133352</xdr:rowOff>
    </xdr:from>
    <xdr:to>
      <xdr:col>28</xdr:col>
      <xdr:colOff>560293</xdr:colOff>
      <xdr:row>41</xdr:row>
      <xdr:rowOff>75081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15C87A5-766A-4125-BF42-E3B20FDC7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493058</xdr:colOff>
      <xdr:row>41</xdr:row>
      <xdr:rowOff>178176</xdr:rowOff>
    </xdr:from>
    <xdr:to>
      <xdr:col>28</xdr:col>
      <xdr:colOff>515470</xdr:colOff>
      <xdr:row>55</xdr:row>
      <xdr:rowOff>119906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BD76347-9AA1-4BA8-8A24-5CF04A79D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515470</xdr:colOff>
      <xdr:row>56</xdr:row>
      <xdr:rowOff>10088</xdr:rowOff>
    </xdr:from>
    <xdr:to>
      <xdr:col>28</xdr:col>
      <xdr:colOff>537882</xdr:colOff>
      <xdr:row>69</xdr:row>
      <xdr:rowOff>142317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71F124D-FA24-424D-B3D3-D44D9812C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90449</xdr:colOff>
      <xdr:row>0</xdr:row>
      <xdr:rowOff>163285</xdr:rowOff>
    </xdr:from>
    <xdr:to>
      <xdr:col>34</xdr:col>
      <xdr:colOff>112861</xdr:colOff>
      <xdr:row>13</xdr:row>
      <xdr:rowOff>15367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2331B90-07F7-43CC-A6A4-FF3D521C6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101654</xdr:colOff>
      <xdr:row>13</xdr:row>
      <xdr:rowOff>50107</xdr:rowOff>
    </xdr:from>
    <xdr:to>
      <xdr:col>34</xdr:col>
      <xdr:colOff>124066</xdr:colOff>
      <xdr:row>26</xdr:row>
      <xdr:rowOff>182337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6C76A60-7E3A-4162-B78D-ABE64923A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29</xdr:col>
      <xdr:colOff>112859</xdr:colOff>
      <xdr:row>27</xdr:row>
      <xdr:rowOff>72519</xdr:rowOff>
    </xdr:from>
    <xdr:to>
      <xdr:col>34</xdr:col>
      <xdr:colOff>135271</xdr:colOff>
      <xdr:row>41</xdr:row>
      <xdr:rowOff>14248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6E0B879-706C-4DA1-870B-39605D361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68036</xdr:colOff>
      <xdr:row>41</xdr:row>
      <xdr:rowOff>117343</xdr:rowOff>
    </xdr:from>
    <xdr:to>
      <xdr:col>34</xdr:col>
      <xdr:colOff>90448</xdr:colOff>
      <xdr:row>55</xdr:row>
      <xdr:rowOff>59073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D2861BA-22AD-423F-BBF3-4C2D92C4E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90448</xdr:colOff>
      <xdr:row>55</xdr:row>
      <xdr:rowOff>139755</xdr:rowOff>
    </xdr:from>
    <xdr:to>
      <xdr:col>34</xdr:col>
      <xdr:colOff>112860</xdr:colOff>
      <xdr:row>69</xdr:row>
      <xdr:rowOff>81484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3866269-7515-4D6D-99CE-6DE7A2AAD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53</xdr:col>
      <xdr:colOff>600074</xdr:colOff>
      <xdr:row>10</xdr:row>
      <xdr:rowOff>157162</xdr:rowOff>
    </xdr:from>
    <xdr:to>
      <xdr:col>58</xdr:col>
      <xdr:colOff>133349</xdr:colOff>
      <xdr:row>24</xdr:row>
      <xdr:rowOff>61912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8BBC2D5-AA4E-E8A4-6C7E-D3A406EB4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34</xdr:col>
      <xdr:colOff>212914</xdr:colOff>
      <xdr:row>0</xdr:row>
      <xdr:rowOff>155863</xdr:rowOff>
    </xdr:from>
    <xdr:to>
      <xdr:col>39</xdr:col>
      <xdr:colOff>381001</xdr:colOff>
      <xdr:row>13</xdr:row>
      <xdr:rowOff>7945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160436E-5302-4E94-96CC-F758FD9F4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34</xdr:col>
      <xdr:colOff>224119</xdr:colOff>
      <xdr:row>13</xdr:row>
      <xdr:rowOff>42685</xdr:rowOff>
    </xdr:from>
    <xdr:to>
      <xdr:col>39</xdr:col>
      <xdr:colOff>392206</xdr:colOff>
      <xdr:row>26</xdr:row>
      <xdr:rowOff>174915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A438106-FFA9-47F5-94CE-7E296862E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235324</xdr:colOff>
      <xdr:row>27</xdr:row>
      <xdr:rowOff>65097</xdr:rowOff>
    </xdr:from>
    <xdr:to>
      <xdr:col>39</xdr:col>
      <xdr:colOff>403411</xdr:colOff>
      <xdr:row>41</xdr:row>
      <xdr:rowOff>6826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B22E4EC-B74A-448E-93E7-284F9401B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190501</xdr:colOff>
      <xdr:row>41</xdr:row>
      <xdr:rowOff>109921</xdr:rowOff>
    </xdr:from>
    <xdr:to>
      <xdr:col>39</xdr:col>
      <xdr:colOff>358588</xdr:colOff>
      <xdr:row>55</xdr:row>
      <xdr:rowOff>51651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11A077C-5A92-4258-9599-B1CE056F3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34</xdr:col>
      <xdr:colOff>212913</xdr:colOff>
      <xdr:row>55</xdr:row>
      <xdr:rowOff>132333</xdr:rowOff>
    </xdr:from>
    <xdr:to>
      <xdr:col>39</xdr:col>
      <xdr:colOff>381000</xdr:colOff>
      <xdr:row>69</xdr:row>
      <xdr:rowOff>74062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001135B-C11F-4771-ADB2-39A1034E8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389807</xdr:colOff>
      <xdr:row>0</xdr:row>
      <xdr:rowOff>199105</xdr:rowOff>
    </xdr:from>
    <xdr:to>
      <xdr:col>17</xdr:col>
      <xdr:colOff>412219</xdr:colOff>
      <xdr:row>13</xdr:row>
      <xdr:rowOff>51187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D5CAA-5CC6-495D-BE09-D3A957CB6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401012</xdr:colOff>
      <xdr:row>13</xdr:row>
      <xdr:rowOff>85927</xdr:rowOff>
    </xdr:from>
    <xdr:to>
      <xdr:col>17</xdr:col>
      <xdr:colOff>423424</xdr:colOff>
      <xdr:row>27</xdr:row>
      <xdr:rowOff>27657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C37857-F9C5-439C-A0D2-344D97CC3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412217</xdr:colOff>
      <xdr:row>27</xdr:row>
      <xdr:rowOff>108339</xdr:rowOff>
    </xdr:from>
    <xdr:to>
      <xdr:col>17</xdr:col>
      <xdr:colOff>434629</xdr:colOff>
      <xdr:row>41</xdr:row>
      <xdr:rowOff>50068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01D42-2C8F-4945-AE08-6C552A0C8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367394</xdr:colOff>
      <xdr:row>41</xdr:row>
      <xdr:rowOff>153163</xdr:rowOff>
    </xdr:from>
    <xdr:to>
      <xdr:col>17</xdr:col>
      <xdr:colOff>389806</xdr:colOff>
      <xdr:row>55</xdr:row>
      <xdr:rowOff>94893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C1FAE5-915A-4EE8-BC05-94284243A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389806</xdr:colOff>
      <xdr:row>55</xdr:row>
      <xdr:rowOff>175575</xdr:rowOff>
    </xdr:from>
    <xdr:to>
      <xdr:col>17</xdr:col>
      <xdr:colOff>412218</xdr:colOff>
      <xdr:row>69</xdr:row>
      <xdr:rowOff>117304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AEC852-8D3F-48CC-BE23-49DD19522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504268</xdr:colOff>
      <xdr:row>0</xdr:row>
      <xdr:rowOff>236725</xdr:rowOff>
    </xdr:from>
    <xdr:to>
      <xdr:col>22</xdr:col>
      <xdr:colOff>526680</xdr:colOff>
      <xdr:row>13</xdr:row>
      <xdr:rowOff>88807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58CDC9-871F-4784-99F9-BBBC40587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515473</xdr:colOff>
      <xdr:row>13</xdr:row>
      <xdr:rowOff>123547</xdr:rowOff>
    </xdr:from>
    <xdr:to>
      <xdr:col>22</xdr:col>
      <xdr:colOff>537885</xdr:colOff>
      <xdr:row>27</xdr:row>
      <xdr:rowOff>65277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6F9E78-D4D1-4529-B9FD-2D3ADD923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526678</xdr:colOff>
      <xdr:row>27</xdr:row>
      <xdr:rowOff>145959</xdr:rowOff>
    </xdr:from>
    <xdr:to>
      <xdr:col>22</xdr:col>
      <xdr:colOff>549090</xdr:colOff>
      <xdr:row>41</xdr:row>
      <xdr:rowOff>87688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5F6EDD-28E4-45AB-A972-312AB3011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481855</xdr:colOff>
      <xdr:row>42</xdr:row>
      <xdr:rowOff>283</xdr:rowOff>
    </xdr:from>
    <xdr:to>
      <xdr:col>22</xdr:col>
      <xdr:colOff>504267</xdr:colOff>
      <xdr:row>55</xdr:row>
      <xdr:rowOff>132513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8E6888-9923-479B-9904-44CBF0695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504267</xdr:colOff>
      <xdr:row>56</xdr:row>
      <xdr:rowOff>22695</xdr:rowOff>
    </xdr:from>
    <xdr:to>
      <xdr:col>22</xdr:col>
      <xdr:colOff>526679</xdr:colOff>
      <xdr:row>69</xdr:row>
      <xdr:rowOff>154924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3291720-0132-40CB-A7DD-E2F37100C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605119</xdr:colOff>
      <xdr:row>0</xdr:row>
      <xdr:rowOff>247931</xdr:rowOff>
    </xdr:from>
    <xdr:to>
      <xdr:col>28</xdr:col>
      <xdr:colOff>8405</xdr:colOff>
      <xdr:row>13</xdr:row>
      <xdr:rowOff>100013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8B71F0D-C663-4FC8-B2F6-C95231FF1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616324</xdr:colOff>
      <xdr:row>13</xdr:row>
      <xdr:rowOff>134753</xdr:rowOff>
    </xdr:from>
    <xdr:to>
      <xdr:col>28</xdr:col>
      <xdr:colOff>19610</xdr:colOff>
      <xdr:row>27</xdr:row>
      <xdr:rowOff>76483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0F339E2-CD68-48B0-AC5A-6E2C8ADAE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8404</xdr:colOff>
      <xdr:row>27</xdr:row>
      <xdr:rowOff>157165</xdr:rowOff>
    </xdr:from>
    <xdr:to>
      <xdr:col>28</xdr:col>
      <xdr:colOff>30815</xdr:colOff>
      <xdr:row>41</xdr:row>
      <xdr:rowOff>98894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AA65482-0011-40B1-93F4-1515C73E4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582706</xdr:colOff>
      <xdr:row>42</xdr:row>
      <xdr:rowOff>11489</xdr:rowOff>
    </xdr:from>
    <xdr:to>
      <xdr:col>27</xdr:col>
      <xdr:colOff>605117</xdr:colOff>
      <xdr:row>55</xdr:row>
      <xdr:rowOff>143719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FD4C1C-A1C9-4B7A-9920-6B6645B15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605118</xdr:colOff>
      <xdr:row>56</xdr:row>
      <xdr:rowOff>33901</xdr:rowOff>
    </xdr:from>
    <xdr:to>
      <xdr:col>28</xdr:col>
      <xdr:colOff>8404</xdr:colOff>
      <xdr:row>69</xdr:row>
      <xdr:rowOff>166130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02020C2-BA3E-4F54-B1C8-3A15D4A4D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89088</xdr:colOff>
      <xdr:row>0</xdr:row>
      <xdr:rowOff>247650</xdr:rowOff>
    </xdr:from>
    <xdr:to>
      <xdr:col>33</xdr:col>
      <xdr:colOff>101974</xdr:colOff>
      <xdr:row>13</xdr:row>
      <xdr:rowOff>99732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CBED4F8-A92A-4F92-8D9F-2DFD55AFF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90768</xdr:colOff>
      <xdr:row>13</xdr:row>
      <xdr:rowOff>134472</xdr:rowOff>
    </xdr:from>
    <xdr:to>
      <xdr:col>33</xdr:col>
      <xdr:colOff>113179</xdr:colOff>
      <xdr:row>27</xdr:row>
      <xdr:rowOff>76202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50258F9-4EEE-4AE4-B0DA-00007E2B9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101973</xdr:colOff>
      <xdr:row>27</xdr:row>
      <xdr:rowOff>156884</xdr:rowOff>
    </xdr:from>
    <xdr:to>
      <xdr:col>33</xdr:col>
      <xdr:colOff>124384</xdr:colOff>
      <xdr:row>41</xdr:row>
      <xdr:rowOff>98613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AFFAD2-C74C-4088-A344-7D5AD903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28</xdr:col>
      <xdr:colOff>66675</xdr:colOff>
      <xdr:row>42</xdr:row>
      <xdr:rowOff>11208</xdr:rowOff>
    </xdr:from>
    <xdr:to>
      <xdr:col>33</xdr:col>
      <xdr:colOff>89086</xdr:colOff>
      <xdr:row>55</xdr:row>
      <xdr:rowOff>143438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2015E4D-E9AD-49AA-8303-72A60DFD3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89087</xdr:colOff>
      <xdr:row>56</xdr:row>
      <xdr:rowOff>33620</xdr:rowOff>
    </xdr:from>
    <xdr:to>
      <xdr:col>33</xdr:col>
      <xdr:colOff>101973</xdr:colOff>
      <xdr:row>69</xdr:row>
      <xdr:rowOff>165849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0A80B2B-3758-4541-82F9-04601C6B0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33</xdr:col>
      <xdr:colOff>174813</xdr:colOff>
      <xdr:row>0</xdr:row>
      <xdr:rowOff>257175</xdr:rowOff>
    </xdr:from>
    <xdr:to>
      <xdr:col>38</xdr:col>
      <xdr:colOff>187699</xdr:colOff>
      <xdr:row>13</xdr:row>
      <xdr:rowOff>109257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3F314B9-80E1-4ABC-99A0-0D20AE0B8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176493</xdr:colOff>
      <xdr:row>13</xdr:row>
      <xdr:rowOff>143997</xdr:rowOff>
    </xdr:from>
    <xdr:to>
      <xdr:col>38</xdr:col>
      <xdr:colOff>198904</xdr:colOff>
      <xdr:row>27</xdr:row>
      <xdr:rowOff>85727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4BFEAA8-313E-4335-91EB-DEEF5C44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187698</xdr:colOff>
      <xdr:row>27</xdr:row>
      <xdr:rowOff>166409</xdr:rowOff>
    </xdr:from>
    <xdr:to>
      <xdr:col>38</xdr:col>
      <xdr:colOff>210109</xdr:colOff>
      <xdr:row>41</xdr:row>
      <xdr:rowOff>108138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F8A9308-D622-4A23-922E-FCA8ECA49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152400</xdr:colOff>
      <xdr:row>42</xdr:row>
      <xdr:rowOff>20733</xdr:rowOff>
    </xdr:from>
    <xdr:to>
      <xdr:col>38</xdr:col>
      <xdr:colOff>174811</xdr:colOff>
      <xdr:row>55</xdr:row>
      <xdr:rowOff>152963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A04CCD0-3E7F-460D-93D6-77384BA2E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174812</xdr:colOff>
      <xdr:row>56</xdr:row>
      <xdr:rowOff>43145</xdr:rowOff>
    </xdr:from>
    <xdr:to>
      <xdr:col>38</xdr:col>
      <xdr:colOff>187698</xdr:colOff>
      <xdr:row>69</xdr:row>
      <xdr:rowOff>175374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688DAA7-EB5A-4C17-9027-A9F0E267B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342900</xdr:colOff>
      <xdr:row>75</xdr:row>
      <xdr:rowOff>171449</xdr:rowOff>
    </xdr:from>
    <xdr:to>
      <xdr:col>6</xdr:col>
      <xdr:colOff>523875</xdr:colOff>
      <xdr:row>94</xdr:row>
      <xdr:rowOff>57150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1CEF462-C91C-2D8B-EA30-29A2B96BE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389807</xdr:colOff>
      <xdr:row>0</xdr:row>
      <xdr:rowOff>199105</xdr:rowOff>
    </xdr:from>
    <xdr:to>
      <xdr:col>17</xdr:col>
      <xdr:colOff>412219</xdr:colOff>
      <xdr:row>13</xdr:row>
      <xdr:rowOff>51187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DDF60D-4261-4EBB-BC87-6B264DEE0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401012</xdr:colOff>
      <xdr:row>13</xdr:row>
      <xdr:rowOff>85927</xdr:rowOff>
    </xdr:from>
    <xdr:to>
      <xdr:col>17</xdr:col>
      <xdr:colOff>423424</xdr:colOff>
      <xdr:row>27</xdr:row>
      <xdr:rowOff>27657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CA753-A74A-4670-B581-5D8D6B293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412217</xdr:colOff>
      <xdr:row>27</xdr:row>
      <xdr:rowOff>108339</xdr:rowOff>
    </xdr:from>
    <xdr:to>
      <xdr:col>17</xdr:col>
      <xdr:colOff>434629</xdr:colOff>
      <xdr:row>41</xdr:row>
      <xdr:rowOff>50068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CE53ED-D098-414F-9BB5-BE000E752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367394</xdr:colOff>
      <xdr:row>41</xdr:row>
      <xdr:rowOff>153163</xdr:rowOff>
    </xdr:from>
    <xdr:to>
      <xdr:col>17</xdr:col>
      <xdr:colOff>389806</xdr:colOff>
      <xdr:row>55</xdr:row>
      <xdr:rowOff>94893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4AC24-2349-4D89-8867-BB7DDC38A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389806</xdr:colOff>
      <xdr:row>55</xdr:row>
      <xdr:rowOff>175575</xdr:rowOff>
    </xdr:from>
    <xdr:to>
      <xdr:col>17</xdr:col>
      <xdr:colOff>412218</xdr:colOff>
      <xdr:row>69</xdr:row>
      <xdr:rowOff>117304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FDDCF2-F6E4-4A34-B566-8C2B75370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504268</xdr:colOff>
      <xdr:row>0</xdr:row>
      <xdr:rowOff>236725</xdr:rowOff>
    </xdr:from>
    <xdr:to>
      <xdr:col>22</xdr:col>
      <xdr:colOff>526680</xdr:colOff>
      <xdr:row>13</xdr:row>
      <xdr:rowOff>88807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86D83A-E64B-4327-A994-C0EB6CA1A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515473</xdr:colOff>
      <xdr:row>13</xdr:row>
      <xdr:rowOff>123547</xdr:rowOff>
    </xdr:from>
    <xdr:to>
      <xdr:col>22</xdr:col>
      <xdr:colOff>537885</xdr:colOff>
      <xdr:row>27</xdr:row>
      <xdr:rowOff>65277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9DF297-E575-4103-AAFA-A962D0419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526678</xdr:colOff>
      <xdr:row>27</xdr:row>
      <xdr:rowOff>145959</xdr:rowOff>
    </xdr:from>
    <xdr:to>
      <xdr:col>22</xdr:col>
      <xdr:colOff>549090</xdr:colOff>
      <xdr:row>41</xdr:row>
      <xdr:rowOff>87688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BED4F8-4E63-44DB-91C2-E989B9829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481855</xdr:colOff>
      <xdr:row>42</xdr:row>
      <xdr:rowOff>283</xdr:rowOff>
    </xdr:from>
    <xdr:to>
      <xdr:col>22</xdr:col>
      <xdr:colOff>504267</xdr:colOff>
      <xdr:row>55</xdr:row>
      <xdr:rowOff>132513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254BCD-BBE4-4046-BB19-924D08173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504267</xdr:colOff>
      <xdr:row>56</xdr:row>
      <xdr:rowOff>22695</xdr:rowOff>
    </xdr:from>
    <xdr:to>
      <xdr:col>22</xdr:col>
      <xdr:colOff>526679</xdr:colOff>
      <xdr:row>69</xdr:row>
      <xdr:rowOff>154924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94F047-5B4E-44F5-999E-B60DDF7E2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605119</xdr:colOff>
      <xdr:row>0</xdr:row>
      <xdr:rowOff>247931</xdr:rowOff>
    </xdr:from>
    <xdr:to>
      <xdr:col>28</xdr:col>
      <xdr:colOff>8405</xdr:colOff>
      <xdr:row>13</xdr:row>
      <xdr:rowOff>100013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6865E5D-C73C-4A1E-8759-4EB23417D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616324</xdr:colOff>
      <xdr:row>13</xdr:row>
      <xdr:rowOff>134753</xdr:rowOff>
    </xdr:from>
    <xdr:to>
      <xdr:col>28</xdr:col>
      <xdr:colOff>19610</xdr:colOff>
      <xdr:row>27</xdr:row>
      <xdr:rowOff>76483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07C4267-0C27-4DE4-9F8D-21CC17180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8404</xdr:colOff>
      <xdr:row>27</xdr:row>
      <xdr:rowOff>157165</xdr:rowOff>
    </xdr:from>
    <xdr:to>
      <xdr:col>28</xdr:col>
      <xdr:colOff>30815</xdr:colOff>
      <xdr:row>41</xdr:row>
      <xdr:rowOff>98894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8C8650D-861E-4B93-9425-117B21E0B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582706</xdr:colOff>
      <xdr:row>42</xdr:row>
      <xdr:rowOff>11489</xdr:rowOff>
    </xdr:from>
    <xdr:to>
      <xdr:col>27</xdr:col>
      <xdr:colOff>605117</xdr:colOff>
      <xdr:row>55</xdr:row>
      <xdr:rowOff>143719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5E8503F-130E-4440-9460-76F9E6D3C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605118</xdr:colOff>
      <xdr:row>56</xdr:row>
      <xdr:rowOff>33901</xdr:rowOff>
    </xdr:from>
    <xdr:to>
      <xdr:col>28</xdr:col>
      <xdr:colOff>8404</xdr:colOff>
      <xdr:row>69</xdr:row>
      <xdr:rowOff>166130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931C60C-5BE7-4956-ADD0-E31A813B4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89088</xdr:colOff>
      <xdr:row>0</xdr:row>
      <xdr:rowOff>247650</xdr:rowOff>
    </xdr:from>
    <xdr:to>
      <xdr:col>33</xdr:col>
      <xdr:colOff>101974</xdr:colOff>
      <xdr:row>13</xdr:row>
      <xdr:rowOff>99732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DEEF88A-4DC0-4C2E-9404-AFC13EE8D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90768</xdr:colOff>
      <xdr:row>13</xdr:row>
      <xdr:rowOff>134472</xdr:rowOff>
    </xdr:from>
    <xdr:to>
      <xdr:col>33</xdr:col>
      <xdr:colOff>113179</xdr:colOff>
      <xdr:row>27</xdr:row>
      <xdr:rowOff>76202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CA73543-1F73-4CF8-899D-2153AE3C3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101973</xdr:colOff>
      <xdr:row>27</xdr:row>
      <xdr:rowOff>156884</xdr:rowOff>
    </xdr:from>
    <xdr:to>
      <xdr:col>33</xdr:col>
      <xdr:colOff>124384</xdr:colOff>
      <xdr:row>41</xdr:row>
      <xdr:rowOff>98613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5AC4CA5-2C26-4F84-AD49-CBB053E7E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28</xdr:col>
      <xdr:colOff>66675</xdr:colOff>
      <xdr:row>42</xdr:row>
      <xdr:rowOff>11208</xdr:rowOff>
    </xdr:from>
    <xdr:to>
      <xdr:col>33</xdr:col>
      <xdr:colOff>89086</xdr:colOff>
      <xdr:row>55</xdr:row>
      <xdr:rowOff>143438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1A9846A-E989-485C-B6DE-8F097A369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89087</xdr:colOff>
      <xdr:row>56</xdr:row>
      <xdr:rowOff>33620</xdr:rowOff>
    </xdr:from>
    <xdr:to>
      <xdr:col>33</xdr:col>
      <xdr:colOff>101973</xdr:colOff>
      <xdr:row>69</xdr:row>
      <xdr:rowOff>165849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0931231-5F93-487E-8BBB-8DAD5F6D8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33</xdr:col>
      <xdr:colOff>174813</xdr:colOff>
      <xdr:row>0</xdr:row>
      <xdr:rowOff>257175</xdr:rowOff>
    </xdr:from>
    <xdr:to>
      <xdr:col>38</xdr:col>
      <xdr:colOff>187699</xdr:colOff>
      <xdr:row>13</xdr:row>
      <xdr:rowOff>109257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9671396-A9AE-416C-A6DA-582AB8B7B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176493</xdr:colOff>
      <xdr:row>13</xdr:row>
      <xdr:rowOff>143997</xdr:rowOff>
    </xdr:from>
    <xdr:to>
      <xdr:col>38</xdr:col>
      <xdr:colOff>198904</xdr:colOff>
      <xdr:row>27</xdr:row>
      <xdr:rowOff>85727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8AE400B-A662-4905-B7D9-9EAA66CE3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187698</xdr:colOff>
      <xdr:row>27</xdr:row>
      <xdr:rowOff>166409</xdr:rowOff>
    </xdr:from>
    <xdr:to>
      <xdr:col>38</xdr:col>
      <xdr:colOff>210109</xdr:colOff>
      <xdr:row>41</xdr:row>
      <xdr:rowOff>108138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2AE746C-B740-44B8-ADF6-1B5CBF993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152400</xdr:colOff>
      <xdr:row>42</xdr:row>
      <xdr:rowOff>20733</xdr:rowOff>
    </xdr:from>
    <xdr:to>
      <xdr:col>38</xdr:col>
      <xdr:colOff>174811</xdr:colOff>
      <xdr:row>55</xdr:row>
      <xdr:rowOff>152963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C10844B-E30E-4004-B5A2-C6B34B7A7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174812</xdr:colOff>
      <xdr:row>56</xdr:row>
      <xdr:rowOff>43145</xdr:rowOff>
    </xdr:from>
    <xdr:to>
      <xdr:col>38</xdr:col>
      <xdr:colOff>187698</xdr:colOff>
      <xdr:row>69</xdr:row>
      <xdr:rowOff>175374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7FF5F8A-EDBA-4ECE-8CA8-BED91F1CE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342900</xdr:colOff>
      <xdr:row>75</xdr:row>
      <xdr:rowOff>171449</xdr:rowOff>
    </xdr:from>
    <xdr:to>
      <xdr:col>6</xdr:col>
      <xdr:colOff>523875</xdr:colOff>
      <xdr:row>94</xdr:row>
      <xdr:rowOff>57150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A55F874-2094-41C6-A1F2-C15AF4F01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7"/>
  <sheetViews>
    <sheetView topLeftCell="A31" zoomScale="85" zoomScaleNormal="85" workbookViewId="0">
      <selection activeCell="N53" sqref="N53"/>
    </sheetView>
  </sheetViews>
  <sheetFormatPr defaultRowHeight="15" x14ac:dyDescent="0.25"/>
  <cols>
    <col min="1" max="1" width="15.5703125" customWidth="1"/>
    <col min="2" max="2" width="14.28515625" customWidth="1"/>
    <col min="3" max="3" width="13.42578125" customWidth="1"/>
    <col min="4" max="4" width="13.7109375" customWidth="1"/>
    <col min="5" max="5" width="14.140625" customWidth="1"/>
    <col min="6" max="6" width="13.28515625" customWidth="1"/>
    <col min="7" max="7" width="16.42578125" customWidth="1"/>
    <col min="8" max="8" width="17.28515625" customWidth="1"/>
    <col min="9" max="9" width="13" customWidth="1"/>
    <col min="10" max="10" width="14" customWidth="1"/>
    <col min="11" max="11" width="18.7109375" customWidth="1"/>
    <col min="13" max="13" width="13.140625" customWidth="1"/>
    <col min="14" max="14" width="14.5703125" customWidth="1"/>
    <col min="15" max="15" width="12.85546875" customWidth="1"/>
    <col min="16" max="16" width="13.7109375" customWidth="1"/>
    <col min="17" max="17" width="12.140625" customWidth="1"/>
    <col min="19" max="19" width="13.85546875" customWidth="1"/>
    <col min="20" max="20" width="14" customWidth="1"/>
    <col min="21" max="21" width="14.42578125" customWidth="1"/>
    <col min="22" max="22" width="13.28515625" customWidth="1"/>
    <col min="23" max="23" width="12.28515625" customWidth="1"/>
  </cols>
  <sheetData>
    <row r="1" spans="1:23" x14ac:dyDescent="0.25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2" t="s">
        <v>2</v>
      </c>
      <c r="N1" s="2"/>
      <c r="O1" s="2"/>
      <c r="P1" s="2"/>
      <c r="Q1" s="2"/>
    </row>
    <row r="2" spans="1:23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G2" s="4" t="s">
        <v>3</v>
      </c>
      <c r="H2" s="3" t="s">
        <v>4</v>
      </c>
      <c r="I2" s="3" t="s">
        <v>5</v>
      </c>
      <c r="J2" s="3" t="s">
        <v>6</v>
      </c>
      <c r="K2" s="3" t="s">
        <v>7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S2" s="3" t="s">
        <v>8</v>
      </c>
      <c r="T2" s="3" t="s">
        <v>4</v>
      </c>
      <c r="U2" s="3" t="s">
        <v>5</v>
      </c>
      <c r="V2" s="3" t="s">
        <v>6</v>
      </c>
      <c r="W2" s="3" t="s">
        <v>7</v>
      </c>
    </row>
    <row r="3" spans="1:23" x14ac:dyDescent="0.25">
      <c r="A3" s="5" t="s">
        <v>9</v>
      </c>
      <c r="B3" s="6">
        <v>5.5990042925280497</v>
      </c>
      <c r="C3" s="6">
        <f>LOG10(B3)</f>
        <v>0.74811080045096356</v>
      </c>
      <c r="D3" s="6">
        <v>0.90356607367203301</v>
      </c>
      <c r="E3" s="6">
        <v>0.78479742735639801</v>
      </c>
      <c r="G3" s="5" t="s">
        <v>9</v>
      </c>
      <c r="H3" s="7">
        <v>0.72480501026157895</v>
      </c>
      <c r="I3" s="7">
        <f>LOG10(H3)</f>
        <v>-0.13977881323213187</v>
      </c>
      <c r="J3" s="7">
        <v>-0.53321285069034396</v>
      </c>
      <c r="K3" s="7">
        <v>-0.69015600278604705</v>
      </c>
      <c r="M3" s="5" t="s">
        <v>9</v>
      </c>
      <c r="N3" s="6">
        <v>3.62123713456148</v>
      </c>
      <c r="O3" s="6">
        <f>LOG10(N3)</f>
        <v>0.55885696526424988</v>
      </c>
      <c r="P3" s="6">
        <v>0.87884003043687597</v>
      </c>
      <c r="Q3" s="6">
        <v>0.735611704001494</v>
      </c>
      <c r="S3" s="5" t="s">
        <v>9</v>
      </c>
      <c r="T3" s="6">
        <v>1.7878260187067601</v>
      </c>
      <c r="U3" s="6">
        <f>LOG10(T3)</f>
        <v>0.25232525339055556</v>
      </c>
      <c r="V3" s="6">
        <v>0.26654667808256899</v>
      </c>
      <c r="W3" s="6">
        <v>0.57681691180727601</v>
      </c>
    </row>
    <row r="4" spans="1:23" x14ac:dyDescent="0.25">
      <c r="A4" s="5" t="s">
        <v>10</v>
      </c>
      <c r="B4" s="6">
        <v>3.6150481998819401</v>
      </c>
      <c r="C4" s="6">
        <f t="shared" ref="C4:C32" si="0">LOG10(B4)</f>
        <v>0.55811409217085495</v>
      </c>
      <c r="D4" s="6">
        <v>0.84393866538764695</v>
      </c>
      <c r="E4" s="6">
        <v>0.73975142372925395</v>
      </c>
      <c r="G4" s="5" t="s">
        <v>10</v>
      </c>
      <c r="H4" s="7">
        <v>0.72236032128579997</v>
      </c>
      <c r="I4" s="7">
        <f t="shared" ref="I4:I32" si="1">LOG10(H4)</f>
        <v>-0.14124611751168054</v>
      </c>
      <c r="J4" s="7">
        <v>-0.54415401279001296</v>
      </c>
      <c r="K4" s="7">
        <v>-0.77189783394192801</v>
      </c>
      <c r="M4" s="5" t="s">
        <v>10</v>
      </c>
      <c r="N4" s="6">
        <v>3.1649110765038402</v>
      </c>
      <c r="O4" s="6">
        <f t="shared" ref="O4:O12" si="2">LOG10(N4)</f>
        <v>0.50036151229137671</v>
      </c>
      <c r="P4" s="6">
        <v>0.89370073497006797</v>
      </c>
      <c r="Q4" s="6">
        <v>0.76773815613843199</v>
      </c>
      <c r="S4" s="5" t="s">
        <v>10</v>
      </c>
      <c r="T4" s="6">
        <v>2.8770644107042802</v>
      </c>
      <c r="U4" s="6">
        <f t="shared" ref="U4:U11" si="3">LOG10(T4)</f>
        <v>0.45894958483099857</v>
      </c>
      <c r="V4" s="6">
        <v>0.541500872594741</v>
      </c>
      <c r="W4" s="6">
        <v>0.54443871754473905</v>
      </c>
    </row>
    <row r="5" spans="1:23" x14ac:dyDescent="0.25">
      <c r="A5" s="5" t="s">
        <v>11</v>
      </c>
      <c r="B5" s="6">
        <v>2.1746388039620901</v>
      </c>
      <c r="C5" s="6">
        <f t="shared" si="0"/>
        <v>0.33738713325723541</v>
      </c>
      <c r="D5" s="6">
        <v>0.90358482744648005</v>
      </c>
      <c r="E5" s="6">
        <v>0.17369777575697301</v>
      </c>
      <c r="G5" s="5" t="s">
        <v>11</v>
      </c>
      <c r="H5" s="7">
        <v>0.93103098270545204</v>
      </c>
      <c r="I5" s="7">
        <f t="shared" si="1"/>
        <v>-3.1035866393391235E-2</v>
      </c>
      <c r="J5" s="7">
        <v>0.356634245125801</v>
      </c>
      <c r="K5" s="7">
        <v>1.7836570943256701E-2</v>
      </c>
      <c r="M5" s="5" t="s">
        <v>11</v>
      </c>
      <c r="N5" s="6">
        <v>1.5737102771314899</v>
      </c>
      <c r="O5" s="6">
        <f t="shared" si="2"/>
        <v>0.19692478099339403</v>
      </c>
      <c r="P5" s="6">
        <v>0.86635228697468503</v>
      </c>
      <c r="Q5" s="6">
        <v>0.199680501000808</v>
      </c>
      <c r="S5" s="5" t="s">
        <v>11</v>
      </c>
      <c r="T5" s="6">
        <v>1.2050076272027901</v>
      </c>
      <c r="U5" s="6">
        <f t="shared" si="3"/>
        <v>8.0989795825078759E-2</v>
      </c>
      <c r="V5" s="6">
        <v>0.92674759673055396</v>
      </c>
      <c r="W5" s="6">
        <v>0.13984116014494999</v>
      </c>
    </row>
    <row r="6" spans="1:23" x14ac:dyDescent="0.25">
      <c r="A6" s="5" t="s">
        <v>12</v>
      </c>
      <c r="B6" s="6">
        <v>2.2792285281778502</v>
      </c>
      <c r="C6" s="6">
        <f t="shared" si="0"/>
        <v>0.35778787215309504</v>
      </c>
      <c r="D6" s="6">
        <v>0.663434225775831</v>
      </c>
      <c r="E6" s="6">
        <v>9.9143945152060597E-2</v>
      </c>
      <c r="G6" s="5" t="s">
        <v>12</v>
      </c>
      <c r="H6" s="7">
        <v>0.62021758140125105</v>
      </c>
      <c r="I6" s="7">
        <f t="shared" si="1"/>
        <v>-0.20745592691306838</v>
      </c>
      <c r="J6" s="7">
        <v>-0.834312574960141</v>
      </c>
      <c r="K6" s="7">
        <v>-0.54160608613664096</v>
      </c>
      <c r="M6" s="5" t="s">
        <v>12</v>
      </c>
      <c r="N6" s="6">
        <v>1.50347635019633</v>
      </c>
      <c r="O6" s="6">
        <f t="shared" si="2"/>
        <v>0.17709660100320529</v>
      </c>
      <c r="P6" s="6">
        <v>0.96614890517595997</v>
      </c>
      <c r="Q6" s="6">
        <v>0.12535086320927399</v>
      </c>
      <c r="S6" s="5" t="s">
        <v>12</v>
      </c>
      <c r="T6" s="6">
        <v>1.11910970408747</v>
      </c>
      <c r="U6" s="6">
        <f t="shared" si="3"/>
        <v>4.8872661635174883E-2</v>
      </c>
      <c r="V6" s="6">
        <v>0.156816283020727</v>
      </c>
      <c r="W6" s="6">
        <v>8.9326261366187695E-2</v>
      </c>
    </row>
    <row r="7" spans="1:23" x14ac:dyDescent="0.25">
      <c r="A7" s="5" t="s">
        <v>13</v>
      </c>
      <c r="B7" s="6">
        <v>1.4480475262282899</v>
      </c>
      <c r="C7" s="6">
        <f t="shared" si="0"/>
        <v>0.16078281603237832</v>
      </c>
      <c r="D7" s="6">
        <v>0.66475177086608195</v>
      </c>
      <c r="E7" s="6">
        <v>0.21234239309632399</v>
      </c>
      <c r="G7" s="5" t="s">
        <v>13</v>
      </c>
      <c r="H7" s="7">
        <v>0.77501210984665403</v>
      </c>
      <c r="I7" s="7">
        <f t="shared" si="1"/>
        <v>-0.11069151143112253</v>
      </c>
      <c r="J7" s="7">
        <v>-0.908415578463458</v>
      </c>
      <c r="K7" s="7">
        <v>-0.17637365181995501</v>
      </c>
      <c r="M7" s="5" t="s">
        <v>13</v>
      </c>
      <c r="N7" s="6">
        <v>1.46809780024647</v>
      </c>
      <c r="O7" s="6">
        <f t="shared" si="2"/>
        <v>0.16675498793195284</v>
      </c>
      <c r="P7" s="6">
        <v>0.61110995616383801</v>
      </c>
      <c r="Q7" s="6">
        <v>0.42964915677977999</v>
      </c>
      <c r="S7" s="5" t="s">
        <v>13</v>
      </c>
      <c r="T7" s="6">
        <v>1.4074954172257299</v>
      </c>
      <c r="U7" s="6">
        <f t="shared" si="3"/>
        <v>0.14844698947235901</v>
      </c>
      <c r="V7" s="6">
        <v>0.25880560171696498</v>
      </c>
      <c r="W7" s="6">
        <v>4.6283799610675601E-2</v>
      </c>
    </row>
    <row r="8" spans="1:23" x14ac:dyDescent="0.25">
      <c r="A8" s="5" t="s">
        <v>14</v>
      </c>
      <c r="B8" s="6">
        <v>1.45242884682964</v>
      </c>
      <c r="C8" s="6">
        <f t="shared" si="0"/>
        <v>0.16209486589117289</v>
      </c>
      <c r="D8" s="6">
        <v>0.238708102284336</v>
      </c>
      <c r="E8" s="6">
        <v>0.14477972148899501</v>
      </c>
      <c r="G8" s="5" t="s">
        <v>14</v>
      </c>
      <c r="H8" s="6">
        <v>1.0770799229366299</v>
      </c>
      <c r="I8" s="6">
        <f t="shared" si="1"/>
        <v>3.2247930598373005E-2</v>
      </c>
      <c r="J8" s="6">
        <v>0.64255712913469198</v>
      </c>
      <c r="K8" s="6">
        <v>0.41389016217674901</v>
      </c>
      <c r="M8" s="5" t="s">
        <v>14</v>
      </c>
      <c r="N8" s="6">
        <v>1.29322320004102</v>
      </c>
      <c r="O8" s="6">
        <f t="shared" si="2"/>
        <v>0.11167348712372607</v>
      </c>
      <c r="P8" s="6">
        <v>0.43470959470339599</v>
      </c>
      <c r="Q8" s="6">
        <v>0.36758406997509402</v>
      </c>
      <c r="S8" s="5" t="s">
        <v>14</v>
      </c>
      <c r="T8" s="6">
        <v>1.41606982531736</v>
      </c>
      <c r="U8" s="6">
        <f t="shared" si="3"/>
        <v>0.15108466860966069</v>
      </c>
      <c r="V8" s="6">
        <v>0.52921681534296305</v>
      </c>
      <c r="W8" s="6">
        <v>3.0850994672477702E-2</v>
      </c>
    </row>
    <row r="9" spans="1:23" x14ac:dyDescent="0.25">
      <c r="A9" s="5" t="s">
        <v>16</v>
      </c>
      <c r="B9" s="6">
        <v>1.48474411958353</v>
      </c>
      <c r="C9" s="6">
        <f t="shared" si="0"/>
        <v>0.1716516139036095</v>
      </c>
      <c r="D9" s="6">
        <v>0.55431906321323399</v>
      </c>
      <c r="E9" s="6">
        <v>0.36516163611226798</v>
      </c>
      <c r="G9" s="5" t="s">
        <v>16</v>
      </c>
      <c r="H9" s="6">
        <v>1.69896635753922</v>
      </c>
      <c r="I9" s="7">
        <f t="shared" si="1"/>
        <v>0.23018477917526556</v>
      </c>
      <c r="J9" s="6">
        <v>1.0004694412552899</v>
      </c>
      <c r="K9" s="6">
        <v>0.39449354239977702</v>
      </c>
      <c r="M9" s="5" t="s">
        <v>16</v>
      </c>
      <c r="N9" s="6">
        <v>1.2870368477726899</v>
      </c>
      <c r="O9" s="6">
        <f t="shared" si="2"/>
        <v>0.10959098090226406</v>
      </c>
      <c r="P9" s="6">
        <v>0.29324836284144801</v>
      </c>
      <c r="Q9" s="6">
        <v>4.3375577562074601E-2</v>
      </c>
      <c r="S9" s="5" t="s">
        <v>15</v>
      </c>
      <c r="T9" s="6">
        <v>1.5689444337549201</v>
      </c>
      <c r="U9" s="6">
        <f t="shared" si="3"/>
        <v>0.19560756274503188</v>
      </c>
      <c r="V9" s="6">
        <v>0.71850105371235795</v>
      </c>
      <c r="W9" s="6">
        <v>0.164262280281398</v>
      </c>
    </row>
    <row r="10" spans="1:23" x14ac:dyDescent="0.25">
      <c r="A10" s="5" t="s">
        <v>18</v>
      </c>
      <c r="B10" s="6">
        <v>1.6588389001163999</v>
      </c>
      <c r="C10" s="6">
        <f t="shared" si="0"/>
        <v>0.21980421110710638</v>
      </c>
      <c r="D10" s="6">
        <v>0.49497785634638802</v>
      </c>
      <c r="E10" s="6">
        <v>4.1333778886518201E-2</v>
      </c>
      <c r="G10" s="5" t="s">
        <v>18</v>
      </c>
      <c r="H10" s="6">
        <v>0.68980819676752303</v>
      </c>
      <c r="I10" s="7">
        <f t="shared" si="1"/>
        <v>-0.16127164935721236</v>
      </c>
      <c r="J10" s="7">
        <v>-0.62247408500113799</v>
      </c>
      <c r="K10" s="7">
        <v>-0.17371472956907899</v>
      </c>
      <c r="M10" s="5" t="s">
        <v>18</v>
      </c>
      <c r="N10" s="6">
        <v>1.3490789487664501</v>
      </c>
      <c r="O10" s="6">
        <f t="shared" si="2"/>
        <v>0.13003736554318393</v>
      </c>
      <c r="P10" s="6">
        <v>0.20911471061197601</v>
      </c>
      <c r="Q10" s="6">
        <v>4.5262412029273197E-2</v>
      </c>
      <c r="S10" s="5" t="s">
        <v>17</v>
      </c>
      <c r="T10" s="6">
        <v>1.15872732148062</v>
      </c>
      <c r="U10" s="6">
        <f t="shared" si="3"/>
        <v>6.3981247258523458E-2</v>
      </c>
      <c r="V10" s="6">
        <v>0.40647074977609499</v>
      </c>
      <c r="W10" s="7">
        <v>-4.45444212598241E-2</v>
      </c>
    </row>
    <row r="11" spans="1:23" x14ac:dyDescent="0.25">
      <c r="A11" s="5" t="s">
        <v>20</v>
      </c>
      <c r="B11" s="7">
        <v>0.665445371933445</v>
      </c>
      <c r="C11" s="7">
        <f t="shared" si="0"/>
        <v>-0.17688759104076174</v>
      </c>
      <c r="D11" s="7">
        <v>-1.0305451800868599</v>
      </c>
      <c r="E11" s="7">
        <v>-4.1760232547360499E-2</v>
      </c>
      <c r="G11" s="5" t="s">
        <v>20</v>
      </c>
      <c r="H11" s="7">
        <v>0.66267278810022201</v>
      </c>
      <c r="I11" s="7">
        <f t="shared" si="1"/>
        <v>-0.17870086284870682</v>
      </c>
      <c r="J11" s="7">
        <v>-1.0273129897173701</v>
      </c>
      <c r="K11" s="7">
        <v>-4.74716361793363E-2</v>
      </c>
      <c r="M11" s="5" t="s">
        <v>20</v>
      </c>
      <c r="N11" s="7">
        <v>0.56520265738304298</v>
      </c>
      <c r="O11" s="7">
        <f t="shared" si="2"/>
        <v>-0.24779580491958866</v>
      </c>
      <c r="P11" s="7">
        <v>-1.0275595596207601</v>
      </c>
      <c r="Q11" s="7">
        <v>-6.6277814143714905E-2</v>
      </c>
      <c r="S11" s="5" t="s">
        <v>19</v>
      </c>
      <c r="T11" s="6">
        <v>1.1637562782531401</v>
      </c>
      <c r="U11" s="6">
        <f t="shared" si="3"/>
        <v>6.5862036935340984E-2</v>
      </c>
      <c r="V11" s="6">
        <v>0.401331670241585</v>
      </c>
      <c r="W11" s="6">
        <v>6.7271555006068101E-2</v>
      </c>
    </row>
    <row r="12" spans="1:23" x14ac:dyDescent="0.25">
      <c r="A12" s="5" t="s">
        <v>19</v>
      </c>
      <c r="B12" s="7">
        <v>0.84619083652769</v>
      </c>
      <c r="C12" s="7">
        <f t="shared" si="0"/>
        <v>-7.2531681991024291E-2</v>
      </c>
      <c r="D12" s="7">
        <v>-0.57708462423306806</v>
      </c>
      <c r="E12" s="7">
        <v>-7.8588218215967606E-2</v>
      </c>
      <c r="G12" s="5" t="s">
        <v>19</v>
      </c>
      <c r="H12" s="6">
        <v>1.6537701478523501</v>
      </c>
      <c r="I12" s="6">
        <f t="shared" si="1"/>
        <v>0.21847514822975025</v>
      </c>
      <c r="J12" s="6">
        <v>0.384403035464087</v>
      </c>
      <c r="K12" s="6">
        <v>5.9760012226563401E-2</v>
      </c>
      <c r="M12" s="5" t="s">
        <v>19</v>
      </c>
      <c r="N12" s="7">
        <v>0.82233612818652901</v>
      </c>
      <c r="O12" s="7">
        <f t="shared" si="2"/>
        <v>-8.4950629201643507E-2</v>
      </c>
      <c r="P12" s="7">
        <v>-0.50591021290758598</v>
      </c>
      <c r="Q12" s="7">
        <v>-0.161754895727207</v>
      </c>
      <c r="S12" s="5" t="s">
        <v>22</v>
      </c>
      <c r="T12" s="8">
        <v>1.39679058575205</v>
      </c>
      <c r="U12" s="6">
        <f t="shared" ref="U12:U37" si="4">LOG10(T12)</f>
        <v>0.14513129926404733</v>
      </c>
      <c r="V12" s="8">
        <v>0.88641107886014003</v>
      </c>
      <c r="W12" s="8">
        <v>0.103368750113241</v>
      </c>
    </row>
    <row r="13" spans="1:23" x14ac:dyDescent="0.25">
      <c r="A13" s="5" t="s">
        <v>21</v>
      </c>
      <c r="B13" s="8">
        <v>1.86943505833322</v>
      </c>
      <c r="C13" s="6">
        <f t="shared" si="0"/>
        <v>0.27171038294442207</v>
      </c>
      <c r="D13" s="8">
        <v>1.9314296164550899</v>
      </c>
      <c r="E13" s="8">
        <v>9.4513218106104094E-2</v>
      </c>
      <c r="G13" s="5" t="s">
        <v>21</v>
      </c>
      <c r="H13" s="14">
        <v>0.96641125607193401</v>
      </c>
      <c r="I13" s="7">
        <f t="shared" si="1"/>
        <v>-1.4838020339809969E-2</v>
      </c>
      <c r="J13" s="12">
        <v>0.28028790761501998</v>
      </c>
      <c r="K13" s="12">
        <v>3.4332675043980999E-2</v>
      </c>
      <c r="S13" s="5" t="s">
        <v>23</v>
      </c>
      <c r="T13" s="8">
        <v>1.2108318271354701</v>
      </c>
      <c r="U13" s="6">
        <f t="shared" si="4"/>
        <v>8.3083828015989958E-2</v>
      </c>
      <c r="V13" s="8">
        <v>0.92629163740877796</v>
      </c>
      <c r="W13" s="8">
        <v>0.11077055296162799</v>
      </c>
    </row>
    <row r="14" spans="1:23" x14ac:dyDescent="0.25">
      <c r="A14" s="5" t="s">
        <v>22</v>
      </c>
      <c r="B14" s="8">
        <v>1.3545954270153699</v>
      </c>
      <c r="C14" s="6">
        <f t="shared" si="0"/>
        <v>0.13180960513617518</v>
      </c>
      <c r="D14" s="8">
        <v>1.0089470650494099</v>
      </c>
      <c r="E14" s="8">
        <v>4.2663094228711902E-2</v>
      </c>
      <c r="G14" s="5" t="s">
        <v>22</v>
      </c>
      <c r="H14" s="14">
        <v>0.998307366622182</v>
      </c>
      <c r="I14" s="7">
        <f t="shared" si="1"/>
        <v>-7.3572416731629124E-4</v>
      </c>
      <c r="J14" s="12">
        <v>1.3951542417579801</v>
      </c>
      <c r="K14" s="12">
        <v>2.8668980226143202E-2</v>
      </c>
      <c r="S14" s="5" t="s">
        <v>24</v>
      </c>
      <c r="T14" s="8">
        <v>1.14568818263897</v>
      </c>
      <c r="U14" s="6">
        <f t="shared" si="4"/>
        <v>5.9066433524895802E-2</v>
      </c>
      <c r="V14" s="8">
        <v>0.723568252950335</v>
      </c>
      <c r="W14" s="8">
        <v>1.0650915621547401E-2</v>
      </c>
    </row>
    <row r="15" spans="1:23" x14ac:dyDescent="0.25">
      <c r="A15" s="5" t="s">
        <v>26</v>
      </c>
      <c r="B15" s="8">
        <v>1.31746197777344</v>
      </c>
      <c r="C15" s="6">
        <f t="shared" si="0"/>
        <v>0.11973809023641387</v>
      </c>
      <c r="D15" s="8">
        <v>0.66698565105034602</v>
      </c>
      <c r="E15" s="8">
        <v>8.8732929175135894E-2</v>
      </c>
      <c r="G15" s="5" t="s">
        <v>26</v>
      </c>
      <c r="H15" s="12">
        <v>1.01982556926034</v>
      </c>
      <c r="I15" s="6">
        <f t="shared" si="1"/>
        <v>8.5258964816829121E-3</v>
      </c>
      <c r="J15" s="12">
        <v>0.38831940167197898</v>
      </c>
      <c r="K15" s="12">
        <v>1.20306787922476E-2</v>
      </c>
      <c r="S15" s="5" t="s">
        <v>25</v>
      </c>
      <c r="T15" s="8">
        <v>1.10273002217056</v>
      </c>
      <c r="U15" s="6">
        <f t="shared" si="4"/>
        <v>4.2469198538698585E-2</v>
      </c>
      <c r="V15" s="8">
        <v>0.92947006080395</v>
      </c>
      <c r="W15" s="10">
        <v>-2.2683422982125001E-2</v>
      </c>
    </row>
    <row r="16" spans="1:23" x14ac:dyDescent="0.25">
      <c r="A16" s="5" t="s">
        <v>27</v>
      </c>
      <c r="B16" s="10">
        <v>0.89735303995633098</v>
      </c>
      <c r="C16" s="7">
        <f t="shared" si="0"/>
        <v>-4.7036661593077796E-2</v>
      </c>
      <c r="D16" s="8">
        <v>0.19762137224995299</v>
      </c>
      <c r="E16" s="10">
        <v>-1.9463558010346702E-2</v>
      </c>
      <c r="G16" s="5" t="s">
        <v>27</v>
      </c>
      <c r="H16" s="12">
        <v>1.0105385292601801</v>
      </c>
      <c r="I16" s="6">
        <f t="shared" si="1"/>
        <v>4.552876709402724E-3</v>
      </c>
      <c r="J16" s="12">
        <v>0.597784224122066</v>
      </c>
      <c r="K16" s="12">
        <v>2.7386597361713599E-2</v>
      </c>
      <c r="S16" s="5" t="s">
        <v>26</v>
      </c>
      <c r="T16" s="8">
        <v>1.2576523908335999</v>
      </c>
      <c r="U16" s="6">
        <f t="shared" si="4"/>
        <v>9.9560620756408508E-2</v>
      </c>
      <c r="V16" s="8">
        <v>0.77855192606860901</v>
      </c>
      <c r="W16" s="8">
        <v>0.15621819275209001</v>
      </c>
    </row>
    <row r="17" spans="1:23" x14ac:dyDescent="0.25">
      <c r="A17" s="5" t="s">
        <v>28</v>
      </c>
      <c r="B17" s="8">
        <v>1.39880081037808</v>
      </c>
      <c r="C17" s="6">
        <f t="shared" si="0"/>
        <v>0.14575587524045741</v>
      </c>
      <c r="D17" s="8">
        <v>0.54807771119966198</v>
      </c>
      <c r="E17" s="8">
        <v>0.10415722716452799</v>
      </c>
      <c r="G17" s="5" t="s">
        <v>28</v>
      </c>
      <c r="H17" s="12">
        <v>1.04413498578157</v>
      </c>
      <c r="I17" s="6">
        <f t="shared" si="1"/>
        <v>1.8756647890840521E-2</v>
      </c>
      <c r="J17" s="12">
        <v>0.92934562720262803</v>
      </c>
      <c r="K17" s="12">
        <v>2.8615745110634201E-2</v>
      </c>
      <c r="S17" s="5" t="s">
        <v>27</v>
      </c>
      <c r="T17" s="8">
        <v>1.24807759229999</v>
      </c>
      <c r="U17" s="6">
        <f t="shared" si="4"/>
        <v>9.6241586035677562E-2</v>
      </c>
      <c r="V17" s="8">
        <v>0.55577143716833499</v>
      </c>
      <c r="W17" s="8">
        <v>0.15071577677020101</v>
      </c>
    </row>
    <row r="18" spans="1:23" x14ac:dyDescent="0.25">
      <c r="A18" s="5" t="s">
        <v>29</v>
      </c>
      <c r="B18" s="8">
        <v>1.2210038373368299</v>
      </c>
      <c r="C18" s="6">
        <f t="shared" si="0"/>
        <v>8.6717028835620949E-2</v>
      </c>
      <c r="D18" s="8">
        <v>0.10106112243990099</v>
      </c>
      <c r="E18" s="8">
        <v>4.66251429291673E-2</v>
      </c>
      <c r="G18" s="5" t="s">
        <v>29</v>
      </c>
      <c r="H18" s="12">
        <v>1.04959681992682</v>
      </c>
      <c r="I18" s="6">
        <f t="shared" si="1"/>
        <v>2.1022506206197909E-2</v>
      </c>
      <c r="J18" s="14">
        <v>-0.33094957948560899</v>
      </c>
      <c r="K18" s="12">
        <v>4.4113621235337297E-2</v>
      </c>
      <c r="S18" s="5" t="s">
        <v>28</v>
      </c>
      <c r="T18" s="8">
        <v>1.42877693896201</v>
      </c>
      <c r="U18" s="6">
        <f t="shared" si="4"/>
        <v>0.15496443191235268</v>
      </c>
      <c r="V18" s="8">
        <v>0.33551375674123601</v>
      </c>
      <c r="W18" s="8">
        <v>5.5397551503622099E-2</v>
      </c>
    </row>
    <row r="19" spans="1:23" x14ac:dyDescent="0.25">
      <c r="A19" s="5" t="s">
        <v>30</v>
      </c>
      <c r="B19" s="8">
        <v>1.5249018262283101</v>
      </c>
      <c r="C19" s="6">
        <f t="shared" si="0"/>
        <v>0.18324188453542448</v>
      </c>
      <c r="D19" s="8">
        <v>0.50902572287082404</v>
      </c>
      <c r="E19" s="8">
        <v>9.0894558490112708E-3</v>
      </c>
      <c r="G19" s="5" t="s">
        <v>30</v>
      </c>
      <c r="H19" s="14">
        <v>0.97400899474341096</v>
      </c>
      <c r="I19" s="7">
        <f t="shared" si="1"/>
        <v>-1.1437032495725058E-2</v>
      </c>
      <c r="J19" s="14">
        <v>-0.27375631737886102</v>
      </c>
      <c r="K19" s="14">
        <v>-8.0536265843332393E-3</v>
      </c>
      <c r="S19" s="5" t="s">
        <v>29</v>
      </c>
      <c r="T19" s="8">
        <v>1.33941755807892</v>
      </c>
      <c r="U19" s="6">
        <f t="shared" si="4"/>
        <v>0.12691598769170023</v>
      </c>
      <c r="V19" s="8">
        <v>0.63731372986403501</v>
      </c>
      <c r="W19" s="8">
        <v>6.9883057908481996E-2</v>
      </c>
    </row>
    <row r="20" spans="1:23" x14ac:dyDescent="0.25">
      <c r="A20" s="5" t="s">
        <v>33</v>
      </c>
      <c r="B20" s="8">
        <v>1.36678278361715</v>
      </c>
      <c r="C20" s="6">
        <f t="shared" si="0"/>
        <v>0.13569949966494516</v>
      </c>
      <c r="D20" s="8">
        <v>0.463447965306029</v>
      </c>
      <c r="E20" s="8">
        <v>2.0373962034653699E-2</v>
      </c>
      <c r="G20" s="5" t="s">
        <v>33</v>
      </c>
      <c r="H20" s="12">
        <v>1.03922347944993</v>
      </c>
      <c r="I20" s="6">
        <f t="shared" si="1"/>
        <v>1.6708950305493162E-2</v>
      </c>
      <c r="J20" s="12">
        <v>0.59399199353963394</v>
      </c>
      <c r="K20" s="12">
        <v>2.7450804091866201E-2</v>
      </c>
      <c r="S20" s="5" t="s">
        <v>30</v>
      </c>
      <c r="T20" s="8">
        <v>1.3769164984553499</v>
      </c>
      <c r="U20" s="6">
        <f t="shared" si="4"/>
        <v>0.13890760375753933</v>
      </c>
      <c r="V20" s="10">
        <v>-0.44248745305980902</v>
      </c>
      <c r="W20" s="8">
        <v>7.8645648239850305E-2</v>
      </c>
    </row>
    <row r="21" spans="1:23" x14ac:dyDescent="0.25">
      <c r="A21" s="5" t="s">
        <v>35</v>
      </c>
      <c r="B21" s="8">
        <v>1.8695993339197901</v>
      </c>
      <c r="C21" s="6">
        <f t="shared" si="0"/>
        <v>0.27174854465855475</v>
      </c>
      <c r="D21" s="8">
        <v>0.44896728093636801</v>
      </c>
      <c r="E21" s="8">
        <v>2.4947102971666898E-2</v>
      </c>
      <c r="G21" s="5" t="s">
        <v>35</v>
      </c>
      <c r="H21" s="12">
        <v>1.0683907677478099</v>
      </c>
      <c r="I21" s="6">
        <f t="shared" si="1"/>
        <v>2.8730126510037885E-2</v>
      </c>
      <c r="J21" s="12">
        <v>0.74870138294766397</v>
      </c>
      <c r="K21" s="12">
        <v>6.5697545304297195E-2</v>
      </c>
      <c r="S21" s="5" t="s">
        <v>31</v>
      </c>
      <c r="T21" s="8">
        <v>1.66488624253968</v>
      </c>
      <c r="U21" s="6">
        <f t="shared" si="4"/>
        <v>0.22138456461405814</v>
      </c>
      <c r="V21" s="8">
        <v>0.73952445342362605</v>
      </c>
      <c r="W21" s="8">
        <v>0.17832892113485599</v>
      </c>
    </row>
    <row r="22" spans="1:23" x14ac:dyDescent="0.25">
      <c r="A22" s="5" t="s">
        <v>36</v>
      </c>
      <c r="B22" s="8">
        <v>1.21795864622288</v>
      </c>
      <c r="C22" s="6">
        <f t="shared" si="0"/>
        <v>8.5632542794309818E-2</v>
      </c>
      <c r="D22" s="8">
        <v>1.5264059910121399</v>
      </c>
      <c r="E22" s="8">
        <v>9.6293174744729593E-3</v>
      </c>
      <c r="G22" s="5" t="s">
        <v>36</v>
      </c>
      <c r="H22" s="12">
        <v>1.13117180110701</v>
      </c>
      <c r="I22" s="6">
        <f t="shared" si="1"/>
        <v>5.3528570094737521E-2</v>
      </c>
      <c r="J22" s="12">
        <v>1.1019405303793299</v>
      </c>
      <c r="K22" s="12">
        <v>0.132436068542756</v>
      </c>
      <c r="S22" s="5" t="s">
        <v>32</v>
      </c>
      <c r="T22" s="8">
        <v>1.1538999764416</v>
      </c>
      <c r="U22" s="6">
        <f t="shared" si="4"/>
        <v>6.2168164485084561E-2</v>
      </c>
      <c r="V22" s="8">
        <v>9.3645385178040705E-2</v>
      </c>
      <c r="W22" s="8">
        <v>2.1496979213356301E-3</v>
      </c>
    </row>
    <row r="23" spans="1:23" x14ac:dyDescent="0.25">
      <c r="A23" s="5" t="s">
        <v>37</v>
      </c>
      <c r="B23" s="8">
        <v>1.0299659938988901</v>
      </c>
      <c r="C23" s="6">
        <f t="shared" si="0"/>
        <v>1.2822885961612207E-2</v>
      </c>
      <c r="D23" s="8">
        <v>0.71671353985517805</v>
      </c>
      <c r="E23" s="8">
        <v>0.14608753400636901</v>
      </c>
      <c r="G23" s="5" t="s">
        <v>37</v>
      </c>
      <c r="H23" s="14">
        <v>0.99421602518435603</v>
      </c>
      <c r="I23" s="7">
        <f t="shared" si="1"/>
        <v>-2.5192410028456592E-3</v>
      </c>
      <c r="J23" s="12">
        <v>0.17884914222762199</v>
      </c>
      <c r="K23" s="14">
        <v>-4.2076076707890497E-3</v>
      </c>
      <c r="S23" s="5" t="s">
        <v>33</v>
      </c>
      <c r="T23" s="8">
        <v>1.5749763159783401</v>
      </c>
      <c r="U23" s="6">
        <f t="shared" si="4"/>
        <v>0.197274027384506</v>
      </c>
      <c r="V23" s="8">
        <v>0.78100360785877099</v>
      </c>
      <c r="W23" s="8">
        <v>0.101236914763633</v>
      </c>
    </row>
    <row r="24" spans="1:23" x14ac:dyDescent="0.25">
      <c r="A24" s="5" t="s">
        <v>40</v>
      </c>
      <c r="B24" s="8">
        <v>1.1534447144942801</v>
      </c>
      <c r="C24" s="6">
        <f t="shared" si="0"/>
        <v>6.1996783282367796E-2</v>
      </c>
      <c r="D24" s="8">
        <v>0.678678630991426</v>
      </c>
      <c r="E24" s="8">
        <v>1.27691539373017E-2</v>
      </c>
      <c r="G24" s="5" t="s">
        <v>40</v>
      </c>
      <c r="H24" s="12">
        <v>1.04764110720538</v>
      </c>
      <c r="I24" s="6">
        <f t="shared" si="1"/>
        <v>2.0212530877868819E-2</v>
      </c>
      <c r="J24" s="12">
        <v>1.10062768451704</v>
      </c>
      <c r="K24" s="12">
        <v>9.2876994447724404E-2</v>
      </c>
      <c r="S24" s="5" t="s">
        <v>34</v>
      </c>
      <c r="T24" s="8">
        <v>1.3735151389442699</v>
      </c>
      <c r="U24" s="6">
        <f t="shared" si="4"/>
        <v>0.13783345059584137</v>
      </c>
      <c r="V24" s="8">
        <v>0.76865077228085099</v>
      </c>
      <c r="W24" s="8">
        <v>0.107400232693555</v>
      </c>
    </row>
    <row r="25" spans="1:23" x14ac:dyDescent="0.25">
      <c r="A25" s="5" t="s">
        <v>41</v>
      </c>
      <c r="B25" s="8">
        <v>1.6625275928143599</v>
      </c>
      <c r="C25" s="6">
        <f t="shared" si="0"/>
        <v>0.22076886197969703</v>
      </c>
      <c r="D25" s="8">
        <v>0.81343884511072295</v>
      </c>
      <c r="E25" s="8">
        <v>6.7576112725014403E-2</v>
      </c>
      <c r="G25" s="5" t="s">
        <v>41</v>
      </c>
      <c r="H25" s="12">
        <v>1.1477045338510801</v>
      </c>
      <c r="I25" s="6">
        <f t="shared" si="1"/>
        <v>5.9830097265812149E-2</v>
      </c>
      <c r="J25" s="12">
        <v>0.97101599927504101</v>
      </c>
      <c r="K25" s="12">
        <v>8.3834633446242604E-2</v>
      </c>
      <c r="S25" s="5" t="s">
        <v>36</v>
      </c>
      <c r="T25" s="8">
        <v>1.4368219825375701</v>
      </c>
      <c r="U25" s="6">
        <f t="shared" si="4"/>
        <v>0.15740296382610611</v>
      </c>
      <c r="V25" s="8">
        <v>0.96854380596042999</v>
      </c>
      <c r="W25" s="8">
        <v>0.198594884621278</v>
      </c>
    </row>
    <row r="26" spans="1:23" x14ac:dyDescent="0.25">
      <c r="A26" s="5" t="s">
        <v>42</v>
      </c>
      <c r="B26" s="10">
        <v>0.83858009935182098</v>
      </c>
      <c r="C26" s="7">
        <f t="shared" si="0"/>
        <v>-7.6455448209867299E-2</v>
      </c>
      <c r="D26" s="10">
        <v>-1.07855599689062</v>
      </c>
      <c r="E26" s="38">
        <v>1.0119527368219401E-2</v>
      </c>
      <c r="G26" s="5" t="s">
        <v>42</v>
      </c>
      <c r="H26" s="12">
        <v>1.1126612766097499</v>
      </c>
      <c r="I26" s="6">
        <f t="shared" si="1"/>
        <v>4.6362973779066348E-2</v>
      </c>
      <c r="J26" s="12">
        <v>0.95380985457733503</v>
      </c>
      <c r="K26" s="12">
        <v>4.4857179056258203E-2</v>
      </c>
      <c r="S26" s="5" t="s">
        <v>37</v>
      </c>
      <c r="T26" s="8">
        <v>1.1632876834321</v>
      </c>
      <c r="U26" s="6">
        <f t="shared" si="4"/>
        <v>6.5687129927886334E-2</v>
      </c>
      <c r="V26" s="8">
        <v>0.91285830032378401</v>
      </c>
      <c r="W26" s="8">
        <v>6.8212961854365706E-2</v>
      </c>
    </row>
    <row r="27" spans="1:23" x14ac:dyDescent="0.25">
      <c r="A27" s="5" t="s">
        <v>43</v>
      </c>
      <c r="B27" s="8">
        <v>2.31938512736013</v>
      </c>
      <c r="C27" s="6">
        <f t="shared" si="0"/>
        <v>0.36537286799984553</v>
      </c>
      <c r="D27" s="8">
        <v>1.34776836410395</v>
      </c>
      <c r="E27" s="8">
        <v>4.5646344187588998E-2</v>
      </c>
      <c r="G27" s="5" t="s">
        <v>43</v>
      </c>
      <c r="H27" s="12">
        <v>1.2530304455719099</v>
      </c>
      <c r="I27" s="6">
        <f t="shared" si="1"/>
        <v>9.7961623414933932E-2</v>
      </c>
      <c r="J27" s="12">
        <v>1.1029723476739599</v>
      </c>
      <c r="K27" s="12">
        <v>7.6664996000854094E-2</v>
      </c>
      <c r="S27" s="5" t="s">
        <v>38</v>
      </c>
      <c r="T27" s="8">
        <v>1.1661766362910899</v>
      </c>
      <c r="U27" s="6">
        <f t="shared" si="4"/>
        <v>6.6764336320578821E-2</v>
      </c>
      <c r="V27" s="8">
        <v>0.69952356032694896</v>
      </c>
      <c r="W27" s="8">
        <v>4.9611646415268197E-2</v>
      </c>
    </row>
    <row r="28" spans="1:23" x14ac:dyDescent="0.25">
      <c r="A28" s="5" t="s">
        <v>44</v>
      </c>
      <c r="B28" s="8">
        <v>1.66955637894203</v>
      </c>
      <c r="C28" s="6">
        <f t="shared" si="0"/>
        <v>0.22260108924843011</v>
      </c>
      <c r="D28" s="8">
        <v>0.55456789410428697</v>
      </c>
      <c r="E28" s="8">
        <v>1.47909285306715E-2</v>
      </c>
      <c r="G28" s="5" t="s">
        <v>44</v>
      </c>
      <c r="H28" s="12">
        <v>1.0813804129035001</v>
      </c>
      <c r="I28" s="6">
        <f t="shared" si="1"/>
        <v>3.3978498913578563E-2</v>
      </c>
      <c r="J28" s="12">
        <v>0.52079829390269505</v>
      </c>
      <c r="K28" s="12">
        <v>2.1219861817338499E-2</v>
      </c>
      <c r="S28" s="5" t="s">
        <v>39</v>
      </c>
      <c r="T28" s="8">
        <v>1.1611078257792899</v>
      </c>
      <c r="U28" s="6">
        <f t="shared" si="4"/>
        <v>6.4872552181767323E-2</v>
      </c>
      <c r="V28" s="8">
        <v>0.97668665464899096</v>
      </c>
      <c r="W28" s="8">
        <v>0.107447815904682</v>
      </c>
    </row>
    <row r="29" spans="1:23" x14ac:dyDescent="0.25">
      <c r="A29" s="5" t="s">
        <v>45</v>
      </c>
      <c r="B29" s="9"/>
      <c r="C29" s="11"/>
      <c r="D29" s="8">
        <v>0.70468449804027899</v>
      </c>
      <c r="E29" s="8">
        <v>3.5842816756479302E-2</v>
      </c>
      <c r="G29" s="5" t="s">
        <v>45</v>
      </c>
      <c r="H29" s="12">
        <v>1.2134925086481201</v>
      </c>
      <c r="I29" s="6">
        <f t="shared" si="1"/>
        <v>8.4037099610824728E-2</v>
      </c>
      <c r="J29" s="12">
        <v>0.94175163201491896</v>
      </c>
      <c r="K29" s="12">
        <v>8.5275451626537893E-2</v>
      </c>
      <c r="S29" s="5" t="s">
        <v>40</v>
      </c>
      <c r="T29" s="8">
        <v>1.2283054504143001</v>
      </c>
      <c r="U29" s="6">
        <f t="shared" si="4"/>
        <v>8.9306378966329397E-2</v>
      </c>
      <c r="V29" s="8">
        <v>0.33582626900186402</v>
      </c>
      <c r="W29" s="8">
        <v>0.39411883766970102</v>
      </c>
    </row>
    <row r="30" spans="1:23" x14ac:dyDescent="0.25">
      <c r="A30" s="5" t="s">
        <v>46</v>
      </c>
      <c r="B30" s="10">
        <v>0.90805045415642205</v>
      </c>
      <c r="C30" s="7">
        <f t="shared" si="0"/>
        <v>-4.1890020032920458E-2</v>
      </c>
      <c r="D30" s="10">
        <v>-0.373253605455523</v>
      </c>
      <c r="E30" s="8">
        <v>2.0282132481243099E-2</v>
      </c>
      <c r="G30" s="5" t="s">
        <v>46</v>
      </c>
      <c r="H30" s="12">
        <v>1.08380817355586</v>
      </c>
      <c r="I30" s="6">
        <f t="shared" si="1"/>
        <v>3.4952421927176971E-2</v>
      </c>
      <c r="J30" s="12">
        <v>0.28231733716004298</v>
      </c>
      <c r="K30" s="12">
        <v>3.1629539106965802E-2</v>
      </c>
      <c r="S30" s="5" t="s">
        <v>41</v>
      </c>
      <c r="T30" s="8">
        <v>1.2985932043400299</v>
      </c>
      <c r="U30" s="6">
        <f t="shared" si="4"/>
        <v>0.11347312583894865</v>
      </c>
      <c r="V30" s="8">
        <v>0.52794332050181203</v>
      </c>
      <c r="W30" s="8">
        <v>9.0698601563059603E-2</v>
      </c>
    </row>
    <row r="31" spans="1:23" x14ac:dyDescent="0.25">
      <c r="A31" s="5" t="s">
        <v>47</v>
      </c>
      <c r="B31" s="8">
        <v>1.0862889042163599</v>
      </c>
      <c r="C31" s="6">
        <f t="shared" si="0"/>
        <v>3.5945343504069888E-2</v>
      </c>
      <c r="D31" s="8">
        <v>0.63056904760694898</v>
      </c>
      <c r="E31" s="8">
        <v>3.6679485231980898E-2</v>
      </c>
      <c r="G31" s="5" t="s">
        <v>47</v>
      </c>
      <c r="H31" s="12">
        <v>1.0367372638660399</v>
      </c>
      <c r="I31" s="6">
        <f t="shared" si="1"/>
        <v>1.5668708837912649E-2</v>
      </c>
      <c r="J31" s="12">
        <v>0.55097576187408004</v>
      </c>
      <c r="K31" s="12">
        <v>4.3964016574286002E-2</v>
      </c>
      <c r="S31" s="5" t="s">
        <v>42</v>
      </c>
      <c r="T31" s="8">
        <v>1.25880991704892</v>
      </c>
      <c r="U31" s="6">
        <f t="shared" si="4"/>
        <v>9.9960155676404691E-2</v>
      </c>
      <c r="V31" s="8">
        <v>0.94081849763111403</v>
      </c>
      <c r="W31" s="8">
        <v>9.9852529707758195E-2</v>
      </c>
    </row>
    <row r="32" spans="1:23" x14ac:dyDescent="0.25">
      <c r="A32" s="5" t="s">
        <v>48</v>
      </c>
      <c r="B32" s="10">
        <v>0.39254775269290398</v>
      </c>
      <c r="C32" s="7">
        <f t="shared" si="0"/>
        <v>-0.40610750460138001</v>
      </c>
      <c r="D32" s="10">
        <v>-0.623899602892661</v>
      </c>
      <c r="E32" s="8">
        <v>7.7980025652416296E-2</v>
      </c>
      <c r="G32" s="5" t="s">
        <v>48</v>
      </c>
      <c r="H32" s="12">
        <v>1.1282134088167699</v>
      </c>
      <c r="I32" s="6">
        <f t="shared" si="1"/>
        <v>5.2391257010121609E-2</v>
      </c>
      <c r="J32" s="12">
        <v>0.99053604379690696</v>
      </c>
      <c r="K32" s="12">
        <v>5.3048699734524599E-2</v>
      </c>
      <c r="S32" s="5" t="s">
        <v>43</v>
      </c>
      <c r="T32" s="8">
        <v>1.2914529576795399</v>
      </c>
      <c r="U32" s="6">
        <f t="shared" si="4"/>
        <v>0.11107859123540517</v>
      </c>
      <c r="V32" s="8">
        <v>0.445945938664987</v>
      </c>
      <c r="W32" s="8">
        <v>5.5815481283492403E-2</v>
      </c>
    </row>
    <row r="33" spans="1:23" x14ac:dyDescent="0.25">
      <c r="S33" s="5" t="s">
        <v>44</v>
      </c>
      <c r="T33" s="8">
        <v>1.2886907903199001</v>
      </c>
      <c r="U33" s="6">
        <f t="shared" si="4"/>
        <v>0.11014872482653605</v>
      </c>
      <c r="V33" s="10">
        <v>-0.136935986249347</v>
      </c>
      <c r="W33" s="8">
        <v>9.5391388976058394E-2</v>
      </c>
    </row>
    <row r="34" spans="1:23" x14ac:dyDescent="0.25">
      <c r="S34" s="5" t="s">
        <v>45</v>
      </c>
      <c r="T34" s="8">
        <v>1.39612401914989</v>
      </c>
      <c r="U34" s="6">
        <f t="shared" si="4"/>
        <v>0.14492399883164073</v>
      </c>
      <c r="V34" s="8">
        <v>0.97165157928161605</v>
      </c>
      <c r="W34" s="8">
        <v>9.9540545016305104E-2</v>
      </c>
    </row>
    <row r="35" spans="1:23" x14ac:dyDescent="0.25">
      <c r="S35" s="5" t="s">
        <v>46</v>
      </c>
      <c r="T35" s="8">
        <v>1.15490049713987</v>
      </c>
      <c r="U35" s="6">
        <f t="shared" si="4"/>
        <v>6.2544568293434938E-2</v>
      </c>
      <c r="V35" s="8">
        <v>0.47813963463856402</v>
      </c>
      <c r="W35" s="8">
        <v>0.115227328160236</v>
      </c>
    </row>
    <row r="36" spans="1:23" x14ac:dyDescent="0.25">
      <c r="S36" s="5" t="s">
        <v>47</v>
      </c>
      <c r="T36" s="8">
        <v>1.6223687074200499</v>
      </c>
      <c r="U36" s="6">
        <f t="shared" si="4"/>
        <v>0.21014956097310067</v>
      </c>
      <c r="V36" s="8">
        <v>0.74242380847501299</v>
      </c>
      <c r="W36" s="8">
        <v>0.157732693122626</v>
      </c>
    </row>
    <row r="37" spans="1:23" ht="34.5" customHeight="1" x14ac:dyDescent="0.25">
      <c r="A37" s="16" t="s">
        <v>59</v>
      </c>
      <c r="B37" s="17" t="s">
        <v>58</v>
      </c>
      <c r="C37" s="21" t="s">
        <v>60</v>
      </c>
      <c r="D37" s="17" t="s">
        <v>49</v>
      </c>
      <c r="E37" s="17" t="s">
        <v>50</v>
      </c>
      <c r="F37" s="17" t="s">
        <v>57</v>
      </c>
      <c r="G37" s="17" t="s">
        <v>51</v>
      </c>
      <c r="H37" s="18" t="s">
        <v>52</v>
      </c>
      <c r="I37" s="17" t="s">
        <v>53</v>
      </c>
      <c r="J37" s="17" t="s">
        <v>54</v>
      </c>
      <c r="K37" s="17" t="s">
        <v>55</v>
      </c>
      <c r="L37" s="17" t="s">
        <v>56</v>
      </c>
      <c r="S37" s="5" t="s">
        <v>48</v>
      </c>
      <c r="T37" s="8">
        <v>1.4572146309152101</v>
      </c>
      <c r="U37" s="6">
        <f t="shared" si="4"/>
        <v>0.16352352305151571</v>
      </c>
      <c r="V37" s="8">
        <v>0.80433038241724497</v>
      </c>
      <c r="W37" s="8">
        <v>0.121156039239802</v>
      </c>
    </row>
    <row r="38" spans="1:23" x14ac:dyDescent="0.25">
      <c r="A38" s="5" t="s">
        <v>9</v>
      </c>
      <c r="B38" s="6">
        <v>0.78479742735639801</v>
      </c>
      <c r="C38" s="6">
        <v>0.57681691180727601</v>
      </c>
      <c r="M38" s="5"/>
    </row>
    <row r="39" spans="1:23" x14ac:dyDescent="0.25">
      <c r="A39" s="5" t="s">
        <v>11</v>
      </c>
      <c r="B39" s="6">
        <v>0.17369777575697301</v>
      </c>
      <c r="C39" s="6">
        <v>0.13984116014494999</v>
      </c>
      <c r="D39" s="13">
        <v>66.912425378311355</v>
      </c>
      <c r="E39" s="15">
        <v>57.726100000000002</v>
      </c>
      <c r="F39" s="5">
        <v>9023.75</v>
      </c>
      <c r="G39" s="5">
        <v>9023.75</v>
      </c>
      <c r="H39" s="13">
        <v>1.0628417845850735</v>
      </c>
      <c r="I39" s="15">
        <v>1.1737788669959504</v>
      </c>
      <c r="J39" s="15">
        <v>4</v>
      </c>
      <c r="K39" s="15">
        <v>28.480729852499898</v>
      </c>
      <c r="L39" s="13">
        <v>0.30708458237534503</v>
      </c>
      <c r="M39" s="5"/>
    </row>
    <row r="40" spans="1:23" x14ac:dyDescent="0.25">
      <c r="A40" s="5" t="s">
        <v>12</v>
      </c>
      <c r="B40" s="6">
        <v>9.9143945152060597E-2</v>
      </c>
      <c r="C40" s="6">
        <v>8.9326261366187695E-2</v>
      </c>
      <c r="D40" s="13">
        <v>72.370164511034233</v>
      </c>
      <c r="E40" s="15">
        <v>49.091801670000002</v>
      </c>
      <c r="F40" s="5">
        <v>118.5</v>
      </c>
      <c r="G40" s="5">
        <v>118.5</v>
      </c>
      <c r="H40" s="13">
        <v>1.0325844789064453</v>
      </c>
      <c r="I40" s="15">
        <v>1.0182769682576838</v>
      </c>
      <c r="J40" s="15">
        <v>1.1385255280790201</v>
      </c>
      <c r="K40" s="15">
        <v>0.666171575153233</v>
      </c>
      <c r="L40" s="13">
        <v>0.49664162355941199</v>
      </c>
      <c r="M40" s="5"/>
      <c r="N40" s="5"/>
      <c r="O40" s="9"/>
    </row>
    <row r="41" spans="1:23" x14ac:dyDescent="0.25">
      <c r="A41" s="5" t="s">
        <v>13</v>
      </c>
      <c r="B41" s="6">
        <v>0.21234239309632399</v>
      </c>
      <c r="C41" s="6">
        <v>4.6283799610675601E-2</v>
      </c>
      <c r="D41" s="13">
        <v>77.803592516854394</v>
      </c>
      <c r="E41" s="15">
        <v>187</v>
      </c>
      <c r="F41" s="5">
        <v>2036.95</v>
      </c>
      <c r="G41" s="5">
        <v>2060.9499999999998</v>
      </c>
      <c r="H41" s="13">
        <v>1.025239233557502</v>
      </c>
      <c r="I41" s="15">
        <v>1</v>
      </c>
      <c r="J41" s="15">
        <v>0</v>
      </c>
      <c r="K41" s="15">
        <v>0</v>
      </c>
      <c r="L41" s="13"/>
      <c r="M41" s="5"/>
      <c r="N41" s="5"/>
      <c r="O41" s="9"/>
    </row>
    <row r="42" spans="1:23" x14ac:dyDescent="0.25">
      <c r="A42" s="5" t="s">
        <v>14</v>
      </c>
      <c r="B42" s="6">
        <v>0.14477972148899501</v>
      </c>
      <c r="C42" s="6">
        <v>3.0850994672477702E-2</v>
      </c>
      <c r="D42" s="13">
        <v>77.803592516854394</v>
      </c>
      <c r="E42" s="15">
        <v>105.55555560000001</v>
      </c>
      <c r="F42" s="5">
        <v>2036.95</v>
      </c>
      <c r="G42" s="5">
        <v>2060.9499999999998</v>
      </c>
      <c r="H42" s="13">
        <v>1.025239233557502</v>
      </c>
      <c r="I42" s="15">
        <v>1</v>
      </c>
      <c r="J42" s="15">
        <v>0</v>
      </c>
      <c r="K42" s="15">
        <v>0</v>
      </c>
      <c r="L42" s="13"/>
      <c r="M42" s="5"/>
      <c r="N42" s="5"/>
      <c r="O42" s="9"/>
    </row>
    <row r="43" spans="1:23" x14ac:dyDescent="0.25">
      <c r="A43" s="5" t="s">
        <v>20</v>
      </c>
      <c r="B43" s="7">
        <v>-4.1760232547360499E-2</v>
      </c>
      <c r="D43" s="13">
        <v>66.341763171136677</v>
      </c>
      <c r="E43" s="15">
        <v>37.6</v>
      </c>
      <c r="F43" s="5">
        <v>413.75</v>
      </c>
      <c r="G43" s="5">
        <v>1130.25</v>
      </c>
      <c r="H43" s="13">
        <v>1.063728040781146</v>
      </c>
      <c r="I43" s="15">
        <v>1.045397189964473</v>
      </c>
      <c r="J43" s="15">
        <v>4.5222851684946201</v>
      </c>
      <c r="K43" s="15">
        <v>5.7971200506894904</v>
      </c>
      <c r="L43" s="13">
        <v>-0.27417249103342101</v>
      </c>
      <c r="M43" s="5"/>
      <c r="N43" s="5"/>
      <c r="O43" s="9"/>
    </row>
    <row r="44" spans="1:23" x14ac:dyDescent="0.25">
      <c r="A44" s="5" t="s">
        <v>19</v>
      </c>
      <c r="B44" s="7">
        <v>-7.8588218215967606E-2</v>
      </c>
      <c r="C44" s="6">
        <v>6.7271555006068101E-2</v>
      </c>
      <c r="D44" s="13">
        <v>66.341763171136677</v>
      </c>
      <c r="E44" s="15">
        <v>30.76923077</v>
      </c>
      <c r="F44" s="5">
        <v>413.75</v>
      </c>
      <c r="G44" s="5">
        <v>1130.25</v>
      </c>
      <c r="H44" s="13">
        <v>1.063728040781146</v>
      </c>
      <c r="I44" s="15">
        <v>1.045397189964473</v>
      </c>
      <c r="J44" s="15">
        <v>4.5222851684946201</v>
      </c>
      <c r="K44" s="15">
        <v>5.7971200506894904</v>
      </c>
      <c r="L44" s="13">
        <v>-0.27417249103342101</v>
      </c>
      <c r="M44" s="5"/>
      <c r="N44" s="5"/>
      <c r="O44" s="9"/>
      <c r="P44" s="19"/>
      <c r="Q44" s="19"/>
      <c r="R44" s="19"/>
      <c r="S44" s="19"/>
      <c r="T44" s="19"/>
      <c r="U44" s="20"/>
      <c r="V44" s="20"/>
    </row>
    <row r="45" spans="1:23" x14ac:dyDescent="0.25">
      <c r="A45" s="5" t="s">
        <v>26</v>
      </c>
      <c r="B45" s="8">
        <v>8.8732929175135894E-2</v>
      </c>
      <c r="C45" s="8">
        <v>0.15621819275209001</v>
      </c>
      <c r="D45" s="13">
        <v>113.72040256</v>
      </c>
      <c r="E45" s="13">
        <v>9.7677034200000001</v>
      </c>
      <c r="F45" s="5">
        <v>21</v>
      </c>
      <c r="G45" s="5">
        <v>21</v>
      </c>
      <c r="H45" s="9">
        <v>1.0119508062412015</v>
      </c>
      <c r="I45" s="9">
        <v>1.0119508062412015</v>
      </c>
      <c r="J45" s="13">
        <v>8.1761484496582497</v>
      </c>
      <c r="K45" s="13">
        <v>5.4523947827090398</v>
      </c>
      <c r="L45" s="13">
        <v>0.19059894727801999</v>
      </c>
      <c r="M45" s="5"/>
      <c r="N45" s="5"/>
      <c r="O45" s="9"/>
    </row>
    <row r="46" spans="1:23" x14ac:dyDescent="0.25">
      <c r="A46" s="5" t="s">
        <v>28</v>
      </c>
      <c r="B46" s="8">
        <v>0.10415722716452799</v>
      </c>
      <c r="C46" s="8">
        <v>5.5397551503622099E-2</v>
      </c>
      <c r="D46" s="13">
        <v>112.66319882000001</v>
      </c>
      <c r="E46" s="13">
        <v>14.369724039999999</v>
      </c>
      <c r="F46" s="5">
        <v>75</v>
      </c>
      <c r="G46" s="5">
        <v>96.5</v>
      </c>
      <c r="H46" s="9">
        <v>1.0239451393319936</v>
      </c>
      <c r="I46" s="9">
        <v>1.0239451393319936</v>
      </c>
      <c r="J46" s="13">
        <v>19.594840851392899</v>
      </c>
      <c r="K46" s="13">
        <v>33.895949402833203</v>
      </c>
      <c r="L46" s="13">
        <v>0.499861288181496</v>
      </c>
      <c r="M46" s="5"/>
      <c r="N46" s="5"/>
      <c r="O46" s="9"/>
    </row>
    <row r="47" spans="1:23" x14ac:dyDescent="0.25">
      <c r="A47" s="5" t="s">
        <v>29</v>
      </c>
      <c r="B47" s="8">
        <v>4.66251429291673E-2</v>
      </c>
      <c r="C47" s="8">
        <v>6.9883057908481996E-2</v>
      </c>
      <c r="D47" s="13">
        <v>114.89097618</v>
      </c>
      <c r="E47" s="13">
        <v>19.197853511999998</v>
      </c>
      <c r="F47" s="5">
        <v>47.5</v>
      </c>
      <c r="G47" s="5">
        <v>47.5</v>
      </c>
      <c r="H47" s="9">
        <v>1.0275460447393339</v>
      </c>
      <c r="I47" s="9">
        <v>1.0275460447393339</v>
      </c>
      <c r="J47" s="13">
        <v>17.2552427011953</v>
      </c>
      <c r="K47" s="13">
        <v>32.177431699139497</v>
      </c>
      <c r="L47" s="13">
        <v>0.40695810522245701</v>
      </c>
      <c r="M47" s="5"/>
      <c r="N47" s="5"/>
      <c r="O47" s="9"/>
    </row>
    <row r="48" spans="1:23" x14ac:dyDescent="0.25">
      <c r="A48" s="5" t="s">
        <v>30</v>
      </c>
      <c r="B48" s="8">
        <v>9.0894558490112708E-3</v>
      </c>
      <c r="C48" s="8">
        <v>7.8645648239850305E-2</v>
      </c>
      <c r="D48" s="13">
        <v>116.55531655999999</v>
      </c>
      <c r="E48" s="13">
        <v>45.413344000000002</v>
      </c>
      <c r="F48" s="5">
        <v>23.5</v>
      </c>
      <c r="G48" s="5">
        <v>23.5</v>
      </c>
      <c r="H48" s="9">
        <v>1.0275826446035865</v>
      </c>
      <c r="I48" s="9">
        <v>1.0275826446035865</v>
      </c>
      <c r="J48" s="13">
        <v>17.024424898784201</v>
      </c>
      <c r="K48" s="13">
        <v>31.253302872972</v>
      </c>
      <c r="L48" s="13">
        <v>5.4056282725128302E-2</v>
      </c>
      <c r="N48" s="5"/>
      <c r="O48" s="9"/>
    </row>
    <row r="49" spans="1:22" x14ac:dyDescent="0.25">
      <c r="A49" s="5" t="s">
        <v>33</v>
      </c>
      <c r="B49" s="8">
        <v>2.0373962034653699E-2</v>
      </c>
      <c r="C49" s="8">
        <v>0.101236914763633</v>
      </c>
      <c r="D49" s="13">
        <v>115.75512236</v>
      </c>
      <c r="E49" s="13">
        <v>27.244893999999999</v>
      </c>
      <c r="F49" s="5">
        <v>23.75</v>
      </c>
      <c r="G49" s="5">
        <v>23.75</v>
      </c>
      <c r="H49" s="9">
        <v>1.111235100018195</v>
      </c>
      <c r="I49" s="9">
        <v>1.111235100018195</v>
      </c>
      <c r="J49" s="13">
        <v>21.9579587943592</v>
      </c>
      <c r="K49" s="13">
        <v>175.86248095131899</v>
      </c>
      <c r="L49" s="13">
        <v>0.45125668170602201</v>
      </c>
      <c r="N49" s="5"/>
      <c r="O49" s="9"/>
    </row>
    <row r="50" spans="1:22" x14ac:dyDescent="0.25">
      <c r="A50" s="5" t="s">
        <v>37</v>
      </c>
      <c r="B50" s="8">
        <v>0.14608753400636901</v>
      </c>
      <c r="C50" s="8">
        <v>6.8212961854365706E-2</v>
      </c>
      <c r="D50" s="13">
        <v>118.22733427999999</v>
      </c>
      <c r="E50" s="9">
        <v>17.163158299999999</v>
      </c>
      <c r="F50" s="5">
        <v>21.75</v>
      </c>
      <c r="G50" s="5"/>
      <c r="H50" s="9">
        <v>1.0078290838208943</v>
      </c>
      <c r="I50" s="9">
        <v>1.0078290838208943</v>
      </c>
      <c r="J50" s="13">
        <v>2.4954469283408098</v>
      </c>
      <c r="K50" s="13">
        <v>1.9432258375425799</v>
      </c>
      <c r="L50" s="13">
        <v>-0.14571780115724001</v>
      </c>
      <c r="N50" s="5"/>
      <c r="O50" s="9"/>
      <c r="P50" s="5"/>
      <c r="Q50" s="5"/>
      <c r="R50" s="9"/>
      <c r="S50" s="9"/>
      <c r="T50" s="13"/>
      <c r="U50" s="13"/>
      <c r="V50" s="13"/>
    </row>
    <row r="51" spans="1:22" x14ac:dyDescent="0.25">
      <c r="A51" s="5" t="s">
        <v>42</v>
      </c>
      <c r="B51" s="38">
        <v>1.0119527368219401E-2</v>
      </c>
      <c r="C51" s="8">
        <v>9.9852529707758195E-2</v>
      </c>
      <c r="D51" s="13">
        <v>112.66319882000001</v>
      </c>
      <c r="E51" s="9">
        <v>10.8144344</v>
      </c>
      <c r="F51" s="5">
        <v>75</v>
      </c>
      <c r="G51" s="5">
        <v>96.5</v>
      </c>
      <c r="H51" s="9">
        <v>1.0239451393319936</v>
      </c>
      <c r="I51" s="9">
        <v>1.0239451393319936</v>
      </c>
      <c r="J51" s="13">
        <v>19.594840851392899</v>
      </c>
      <c r="K51" s="13">
        <v>33.895949402833203</v>
      </c>
      <c r="L51" s="13">
        <v>0.499861288181496</v>
      </c>
      <c r="N51" s="5"/>
      <c r="O51" s="9"/>
      <c r="P51" s="5"/>
      <c r="Q51" s="5"/>
      <c r="R51" s="9"/>
      <c r="S51" s="9"/>
      <c r="T51" s="13"/>
      <c r="U51" s="13"/>
      <c r="V51" s="13"/>
    </row>
    <row r="52" spans="1:22" x14ac:dyDescent="0.25">
      <c r="A52" s="5" t="s">
        <v>43</v>
      </c>
      <c r="B52" s="8">
        <v>4.5646344187588998E-2</v>
      </c>
      <c r="C52" s="8">
        <v>5.5815481283492403E-2</v>
      </c>
      <c r="D52" s="13">
        <v>114.89097618</v>
      </c>
      <c r="E52" s="9">
        <v>14.806100799999999</v>
      </c>
      <c r="F52" s="5">
        <v>47.5</v>
      </c>
      <c r="G52" s="5">
        <v>47.5</v>
      </c>
      <c r="H52" s="9">
        <v>1.0275460447393339</v>
      </c>
      <c r="I52" s="9">
        <v>1.0275460447393339</v>
      </c>
      <c r="J52" s="13">
        <v>17.2552427011953</v>
      </c>
      <c r="K52" s="13">
        <v>32.177431699139497</v>
      </c>
      <c r="L52" s="13">
        <v>0.40695810522245701</v>
      </c>
      <c r="N52" s="5"/>
      <c r="O52" s="9"/>
    </row>
    <row r="53" spans="1:22" x14ac:dyDescent="0.25">
      <c r="A53" s="5" t="s">
        <v>44</v>
      </c>
      <c r="B53" s="8">
        <v>1.47909285306715E-2</v>
      </c>
      <c r="C53" s="8">
        <v>9.5391388976058394E-2</v>
      </c>
      <c r="D53" s="13">
        <v>116.55531655999999</v>
      </c>
      <c r="E53" s="9">
        <v>40.336936000000001</v>
      </c>
      <c r="F53" s="5">
        <v>23.5</v>
      </c>
      <c r="G53" s="5">
        <v>23.5</v>
      </c>
      <c r="H53" s="9">
        <v>1.0275826446035865</v>
      </c>
      <c r="I53" s="9">
        <v>1.0275826446035865</v>
      </c>
      <c r="J53" s="13">
        <v>17.024424898784201</v>
      </c>
      <c r="K53" s="13">
        <v>31.253302872972</v>
      </c>
      <c r="L53" s="13">
        <v>5.4056282725128302E-2</v>
      </c>
      <c r="N53" s="5"/>
      <c r="O53" s="9"/>
      <c r="P53" s="5"/>
      <c r="Q53" s="5"/>
      <c r="R53" s="9"/>
      <c r="S53" s="9"/>
      <c r="T53" s="13"/>
      <c r="U53" s="13"/>
      <c r="V53" s="13"/>
    </row>
    <row r="54" spans="1:22" x14ac:dyDescent="0.25">
      <c r="A54" s="5" t="s">
        <v>46</v>
      </c>
      <c r="B54" s="8">
        <v>2.0282132481243099E-2</v>
      </c>
      <c r="C54" s="8">
        <v>0.115227328160236</v>
      </c>
      <c r="D54" s="13">
        <v>118.40602251999999</v>
      </c>
      <c r="E54" s="9">
        <v>13.531736435999999</v>
      </c>
      <c r="F54" s="5">
        <v>20</v>
      </c>
      <c r="G54" s="5">
        <v>47.75</v>
      </c>
      <c r="H54" s="9">
        <v>1.0572093304532362</v>
      </c>
      <c r="I54" s="9">
        <v>1.0572093304532362</v>
      </c>
      <c r="J54" s="13">
        <v>15.1069524712688</v>
      </c>
      <c r="K54" s="13">
        <v>42.7547044117564</v>
      </c>
      <c r="L54" s="13">
        <v>0.26690920736687102</v>
      </c>
      <c r="N54" s="5"/>
      <c r="O54" s="9"/>
      <c r="P54" s="5"/>
      <c r="Q54" s="15"/>
      <c r="R54" s="9"/>
      <c r="S54" s="9"/>
      <c r="T54" s="13"/>
      <c r="U54" s="13"/>
      <c r="V54" s="13"/>
    </row>
    <row r="55" spans="1:22" x14ac:dyDescent="0.25">
      <c r="A55" s="5" t="s">
        <v>47</v>
      </c>
      <c r="B55" s="8">
        <v>3.6679485231980898E-2</v>
      </c>
      <c r="C55" s="8">
        <v>0.157732693122626</v>
      </c>
      <c r="D55" s="13">
        <v>115.75512236</v>
      </c>
      <c r="E55" s="9">
        <v>27.867789999999999</v>
      </c>
      <c r="F55" s="5">
        <v>23.75</v>
      </c>
      <c r="G55" s="5">
        <v>23.75</v>
      </c>
      <c r="H55" s="9">
        <v>1.111235100018195</v>
      </c>
      <c r="I55" s="9">
        <v>1.111235100018195</v>
      </c>
      <c r="J55" s="13">
        <v>21.9579587943592</v>
      </c>
      <c r="K55" s="13">
        <v>175.86248095131899</v>
      </c>
      <c r="L55" s="13">
        <v>0.45125668170602201</v>
      </c>
      <c r="N55" s="5"/>
      <c r="O55" s="9"/>
      <c r="P55" s="5"/>
      <c r="Q55" s="5"/>
      <c r="R55" s="9"/>
      <c r="S55" s="9"/>
      <c r="T55" s="13"/>
      <c r="U55" s="13"/>
      <c r="V55" s="13"/>
    </row>
    <row r="56" spans="1:22" x14ac:dyDescent="0.25">
      <c r="A56" s="5" t="s">
        <v>48</v>
      </c>
      <c r="B56" s="8">
        <v>7.7980025652416296E-2</v>
      </c>
      <c r="C56" s="8">
        <v>0.121156039239802</v>
      </c>
      <c r="D56" s="13">
        <v>121.12197168</v>
      </c>
      <c r="E56" s="9">
        <v>16.916785999999998</v>
      </c>
      <c r="F56" s="5">
        <v>23.5</v>
      </c>
      <c r="G56" s="5">
        <v>23.5</v>
      </c>
      <c r="H56" s="9">
        <v>1.0519758315193652</v>
      </c>
      <c r="I56" s="9">
        <v>1.0519758315193652</v>
      </c>
      <c r="J56" s="13">
        <v>16.640165980770899</v>
      </c>
      <c r="K56" s="13">
        <v>52.638565780695899</v>
      </c>
      <c r="L56" s="13">
        <v>0.51242235468873398</v>
      </c>
      <c r="N56" s="5"/>
      <c r="O56" s="9"/>
    </row>
    <row r="57" spans="1:22" x14ac:dyDescent="0.25">
      <c r="N57" s="5"/>
      <c r="O57" s="9"/>
      <c r="P57" s="5"/>
      <c r="Q57" s="5"/>
      <c r="R57" s="9"/>
      <c r="S57" s="9"/>
      <c r="T57" s="13"/>
      <c r="U57" s="13"/>
      <c r="V57" s="13"/>
    </row>
    <row r="58" spans="1:22" x14ac:dyDescent="0.25">
      <c r="U58" s="13"/>
      <c r="V58" s="13"/>
    </row>
    <row r="62" spans="1:22" ht="48" x14ac:dyDescent="0.25">
      <c r="A62" s="16" t="s">
        <v>59</v>
      </c>
      <c r="B62" s="17" t="s">
        <v>58</v>
      </c>
      <c r="C62" s="17" t="s">
        <v>51</v>
      </c>
      <c r="D62" s="17" t="s">
        <v>53</v>
      </c>
      <c r="E62" s="17" t="s">
        <v>54</v>
      </c>
      <c r="H62" s="21" t="s">
        <v>60</v>
      </c>
      <c r="I62" s="17" t="s">
        <v>51</v>
      </c>
      <c r="J62" s="17" t="s">
        <v>53</v>
      </c>
      <c r="K62" s="17" t="s">
        <v>54</v>
      </c>
      <c r="N62" s="5"/>
      <c r="O62" s="9"/>
      <c r="P62" s="5"/>
      <c r="Q62" s="5"/>
      <c r="R62" s="9"/>
      <c r="S62" s="9"/>
      <c r="T62" s="13"/>
    </row>
    <row r="63" spans="1:22" x14ac:dyDescent="0.25">
      <c r="A63" s="5" t="s">
        <v>11</v>
      </c>
      <c r="B63" s="6">
        <v>0.17369777575697301</v>
      </c>
      <c r="C63" s="5">
        <v>2023.75</v>
      </c>
      <c r="D63" s="15">
        <v>1.1737788669959504</v>
      </c>
      <c r="E63" s="15">
        <v>4</v>
      </c>
      <c r="G63" s="5" t="s">
        <v>11</v>
      </c>
      <c r="H63" s="6">
        <v>0.13984116014494999</v>
      </c>
      <c r="I63" s="5">
        <v>9023.75</v>
      </c>
      <c r="J63" s="15">
        <v>1.1737788669959504</v>
      </c>
      <c r="K63" s="15">
        <v>4</v>
      </c>
      <c r="N63" s="5"/>
      <c r="O63" s="9"/>
    </row>
    <row r="64" spans="1:22" x14ac:dyDescent="0.25">
      <c r="A64" s="5" t="s">
        <v>12</v>
      </c>
      <c r="B64" s="6">
        <v>9.9143945152060597E-2</v>
      </c>
      <c r="C64" s="5">
        <v>118.5</v>
      </c>
      <c r="D64" s="15">
        <v>1.0182769682576838</v>
      </c>
      <c r="E64" s="15">
        <v>1.1385255280790201</v>
      </c>
      <c r="G64" s="5" t="s">
        <v>12</v>
      </c>
      <c r="H64" s="6">
        <v>8.9326261366187695E-2</v>
      </c>
      <c r="I64" s="5">
        <v>118.5</v>
      </c>
      <c r="J64" s="15">
        <v>1.0182769682576838</v>
      </c>
      <c r="K64" s="15">
        <v>1.1385255280790201</v>
      </c>
      <c r="N64" s="5"/>
      <c r="O64" s="9"/>
    </row>
    <row r="65" spans="1:19" x14ac:dyDescent="0.25">
      <c r="A65" s="5" t="s">
        <v>13</v>
      </c>
      <c r="B65" s="6">
        <v>0.21234239309632399</v>
      </c>
      <c r="C65" s="5">
        <v>2060.9499999999998</v>
      </c>
      <c r="D65" s="15">
        <v>1</v>
      </c>
      <c r="E65" s="15">
        <v>0</v>
      </c>
      <c r="G65" s="5" t="s">
        <v>13</v>
      </c>
      <c r="H65" s="6">
        <v>4.6283799610675601E-2</v>
      </c>
      <c r="I65" s="5">
        <v>2060.9499999999998</v>
      </c>
      <c r="J65" s="15">
        <v>1</v>
      </c>
      <c r="K65" s="15">
        <v>0</v>
      </c>
      <c r="N65" s="5"/>
      <c r="O65" s="9"/>
    </row>
    <row r="66" spans="1:19" x14ac:dyDescent="0.25">
      <c r="A66" s="5" t="s">
        <v>14</v>
      </c>
      <c r="B66" s="6">
        <v>0.14477972148899501</v>
      </c>
      <c r="C66" s="5">
        <v>2060.9499999999998</v>
      </c>
      <c r="D66" s="15">
        <v>1</v>
      </c>
      <c r="E66" s="15">
        <v>0</v>
      </c>
      <c r="G66" s="5" t="s">
        <v>14</v>
      </c>
      <c r="H66" s="6">
        <v>3.0850994672477702E-2</v>
      </c>
      <c r="I66" s="5">
        <v>2060.9499999999998</v>
      </c>
      <c r="J66" s="15">
        <v>1</v>
      </c>
      <c r="K66" s="15">
        <v>0</v>
      </c>
      <c r="N66" s="5"/>
      <c r="O66" s="9"/>
    </row>
    <row r="67" spans="1:19" x14ac:dyDescent="0.25">
      <c r="A67" s="5" t="s">
        <v>20</v>
      </c>
      <c r="B67" s="7">
        <v>-4.1760232547360499E-2</v>
      </c>
      <c r="C67" s="5">
        <v>1130.25</v>
      </c>
      <c r="D67" s="15">
        <v>1.045397189964473</v>
      </c>
      <c r="E67" s="15">
        <v>4.5222851684946201</v>
      </c>
      <c r="G67" s="5" t="s">
        <v>19</v>
      </c>
      <c r="H67" s="6">
        <v>6.7271555006068101E-2</v>
      </c>
      <c r="I67" s="5">
        <v>1130.25</v>
      </c>
      <c r="J67" s="15">
        <v>1.045397189964473</v>
      </c>
      <c r="K67" s="15">
        <v>4.5222851684946201</v>
      </c>
      <c r="N67" s="5"/>
      <c r="O67" s="9"/>
    </row>
    <row r="68" spans="1:19" x14ac:dyDescent="0.25">
      <c r="A68" s="5" t="s">
        <v>19</v>
      </c>
      <c r="B68" s="7">
        <v>-7.8588218215967606E-2</v>
      </c>
      <c r="C68" s="5">
        <v>1130.25</v>
      </c>
      <c r="D68" s="15">
        <v>1.045397189964473</v>
      </c>
      <c r="E68" s="15">
        <v>4.5222851684946201</v>
      </c>
      <c r="G68" s="5" t="s">
        <v>26</v>
      </c>
      <c r="H68" s="8">
        <v>0.15621819275209001</v>
      </c>
      <c r="I68" s="5">
        <v>21</v>
      </c>
      <c r="J68" s="9">
        <v>1.0119508062412015</v>
      </c>
      <c r="K68" s="13">
        <v>8.1761484496582497</v>
      </c>
      <c r="M68" s="5"/>
      <c r="N68" s="9"/>
      <c r="O68" s="9"/>
    </row>
    <row r="69" spans="1:19" x14ac:dyDescent="0.25">
      <c r="A69" s="5" t="s">
        <v>26</v>
      </c>
      <c r="B69" s="8">
        <v>8.8732929175135894E-2</v>
      </c>
      <c r="C69" s="5">
        <v>21</v>
      </c>
      <c r="D69" s="9">
        <v>1.0119508062412015</v>
      </c>
      <c r="E69" s="13">
        <v>8.1761484496582497</v>
      </c>
      <c r="G69" s="5" t="s">
        <v>28</v>
      </c>
      <c r="H69" s="8">
        <v>5.5397551503622099E-2</v>
      </c>
      <c r="I69" s="5">
        <v>96.5</v>
      </c>
      <c r="J69" s="9">
        <v>1.0239451393319936</v>
      </c>
      <c r="K69" s="13">
        <v>19.594840851392899</v>
      </c>
      <c r="M69" s="5"/>
      <c r="N69" s="41"/>
      <c r="O69" s="9"/>
    </row>
    <row r="70" spans="1:19" x14ac:dyDescent="0.25">
      <c r="A70" s="5" t="s">
        <v>28</v>
      </c>
      <c r="B70" s="8">
        <v>0.10415722716452799</v>
      </c>
      <c r="C70" s="5">
        <v>96.5</v>
      </c>
      <c r="D70" s="9">
        <v>1.0239451393319936</v>
      </c>
      <c r="E70" s="13">
        <v>19.594840851392899</v>
      </c>
      <c r="G70" s="5" t="s">
        <v>29</v>
      </c>
      <c r="H70" s="8">
        <v>6.9883057908481996E-2</v>
      </c>
      <c r="I70" s="5">
        <v>47.5</v>
      </c>
      <c r="J70" s="9">
        <v>1.0275460447393339</v>
      </c>
      <c r="K70" s="13">
        <v>17.2552427011953</v>
      </c>
      <c r="M70" s="5"/>
      <c r="N70" s="9"/>
    </row>
    <row r="71" spans="1:19" x14ac:dyDescent="0.25">
      <c r="A71" s="5" t="s">
        <v>29</v>
      </c>
      <c r="B71" s="8">
        <v>4.66251429291673E-2</v>
      </c>
      <c r="C71" s="5">
        <v>47.5</v>
      </c>
      <c r="D71" s="9">
        <v>1.0275460447393339</v>
      </c>
      <c r="E71" s="13">
        <v>17.2552427011953</v>
      </c>
      <c r="G71" s="5" t="s">
        <v>30</v>
      </c>
      <c r="H71" s="8">
        <v>7.8645648239850305E-2</v>
      </c>
      <c r="I71" s="5">
        <v>23.5</v>
      </c>
      <c r="J71" s="9">
        <v>1.0275826446035865</v>
      </c>
      <c r="K71" s="13">
        <v>17.024424898784201</v>
      </c>
      <c r="M71" s="5"/>
      <c r="N71" s="9"/>
    </row>
    <row r="72" spans="1:19" x14ac:dyDescent="0.25">
      <c r="A72" s="5" t="s">
        <v>30</v>
      </c>
      <c r="B72" s="8">
        <v>9.0894558490112708E-3</v>
      </c>
      <c r="C72" s="5">
        <v>23.5</v>
      </c>
      <c r="D72" s="9">
        <v>1.0275826446035865</v>
      </c>
      <c r="E72" s="13">
        <v>17.024424898784201</v>
      </c>
      <c r="G72" s="5" t="s">
        <v>33</v>
      </c>
      <c r="H72" s="8">
        <v>0.101236914763633</v>
      </c>
      <c r="I72" s="5">
        <v>23.75</v>
      </c>
      <c r="J72" s="9">
        <v>1.111235100018195</v>
      </c>
      <c r="K72" s="13">
        <v>21.9579587943592</v>
      </c>
      <c r="M72" s="5"/>
      <c r="N72" s="9"/>
    </row>
    <row r="73" spans="1:19" x14ac:dyDescent="0.25">
      <c r="A73" s="5" t="s">
        <v>33</v>
      </c>
      <c r="B73" s="8">
        <v>2.0373962034653699E-2</v>
      </c>
      <c r="C73" s="5">
        <v>23.75</v>
      </c>
      <c r="D73" s="9">
        <v>1.111235100018195</v>
      </c>
      <c r="E73" s="13">
        <v>21.9579587943592</v>
      </c>
      <c r="G73" s="5" t="s">
        <v>42</v>
      </c>
      <c r="H73" s="8">
        <v>9.9852529707758195E-2</v>
      </c>
      <c r="I73" s="5">
        <v>96.5</v>
      </c>
      <c r="J73" s="9">
        <v>1.0239451393319936</v>
      </c>
      <c r="K73" s="13">
        <v>19.594840851392899</v>
      </c>
      <c r="M73" s="5"/>
      <c r="N73" s="9"/>
    </row>
    <row r="74" spans="1:19" x14ac:dyDescent="0.25">
      <c r="A74" s="5" t="s">
        <v>43</v>
      </c>
      <c r="B74" s="8">
        <v>4.5646344187588998E-2</v>
      </c>
      <c r="C74" s="5">
        <v>47.5</v>
      </c>
      <c r="D74" s="9">
        <v>1.0275460447393339</v>
      </c>
      <c r="E74" s="13">
        <v>17.2552427011953</v>
      </c>
      <c r="G74" s="5" t="s">
        <v>43</v>
      </c>
      <c r="H74" s="8">
        <v>5.5815481283492403E-2</v>
      </c>
      <c r="I74" s="5">
        <v>47.5</v>
      </c>
      <c r="J74" s="9">
        <v>1.0275460447393339</v>
      </c>
      <c r="K74" s="13">
        <v>17.2552427011953</v>
      </c>
      <c r="M74" s="5"/>
      <c r="N74" s="9"/>
    </row>
    <row r="75" spans="1:19" x14ac:dyDescent="0.25">
      <c r="A75" s="5" t="s">
        <v>44</v>
      </c>
      <c r="B75" s="8">
        <v>1.47909285306715E-2</v>
      </c>
      <c r="C75" s="5">
        <v>23.5</v>
      </c>
      <c r="D75" s="9">
        <v>1.0275826446035865</v>
      </c>
      <c r="E75" s="13">
        <v>17.024424898784201</v>
      </c>
      <c r="G75" s="5" t="s">
        <v>44</v>
      </c>
      <c r="H75" s="8">
        <v>9.5391388976058394E-2</v>
      </c>
      <c r="I75" s="5">
        <v>23.5</v>
      </c>
      <c r="J75" s="9">
        <v>1.0275826446035865</v>
      </c>
      <c r="K75" s="13">
        <v>17.024424898784201</v>
      </c>
    </row>
    <row r="76" spans="1:19" x14ac:dyDescent="0.25">
      <c r="A76" s="5" t="s">
        <v>46</v>
      </c>
      <c r="B76" s="8">
        <v>2.0282132481243099E-2</v>
      </c>
      <c r="G76" s="5" t="s">
        <v>46</v>
      </c>
      <c r="H76" s="8">
        <v>0.115227328160236</v>
      </c>
      <c r="I76" s="5">
        <v>47.75</v>
      </c>
      <c r="J76" s="9">
        <v>1.0572093304532362</v>
      </c>
      <c r="K76" s="13">
        <v>15.1069524712688</v>
      </c>
    </row>
    <row r="77" spans="1:19" x14ac:dyDescent="0.25">
      <c r="A77" s="5" t="s">
        <v>47</v>
      </c>
      <c r="B77" s="8">
        <v>3.6679485231980898E-2</v>
      </c>
      <c r="C77" s="5">
        <v>23.75</v>
      </c>
      <c r="D77" s="9">
        <v>1.111235100018195</v>
      </c>
      <c r="E77" s="13">
        <v>21.9579587943592</v>
      </c>
      <c r="G77" s="5" t="s">
        <v>47</v>
      </c>
      <c r="H77" s="8">
        <v>0.157732693122626</v>
      </c>
      <c r="I77" s="5">
        <v>23.75</v>
      </c>
      <c r="J77" s="9">
        <v>1.111235100018195</v>
      </c>
      <c r="K77" s="13">
        <v>21.9579587943592</v>
      </c>
    </row>
    <row r="78" spans="1:19" x14ac:dyDescent="0.25">
      <c r="A78" s="5" t="s">
        <v>48</v>
      </c>
      <c r="B78" s="8">
        <v>7.7980025652416296E-2</v>
      </c>
      <c r="G78" s="5" t="s">
        <v>48</v>
      </c>
      <c r="H78" s="8">
        <v>0.121156039239802</v>
      </c>
      <c r="I78" s="5">
        <v>23.5</v>
      </c>
      <c r="J78" s="9">
        <v>1.0519758315193652</v>
      </c>
      <c r="K78" s="13">
        <v>16.640165980770899</v>
      </c>
    </row>
    <row r="79" spans="1:19" ht="15.75" thickBot="1" x14ac:dyDescent="0.3">
      <c r="A79" s="26" t="s">
        <v>85</v>
      </c>
      <c r="B79" s="27"/>
      <c r="C79" s="27"/>
      <c r="D79" s="27"/>
      <c r="E79" s="27"/>
      <c r="F79" s="28"/>
      <c r="G79" s="22"/>
      <c r="H79" s="22"/>
      <c r="I79" s="22"/>
      <c r="K79" s="26" t="s">
        <v>86</v>
      </c>
      <c r="L79" s="27"/>
      <c r="M79" s="27"/>
      <c r="N79" s="27"/>
      <c r="O79" s="27"/>
      <c r="P79" s="28"/>
      <c r="Q79" s="22"/>
      <c r="R79" s="22"/>
      <c r="S79" s="22"/>
    </row>
    <row r="80" spans="1:19" x14ac:dyDescent="0.25">
      <c r="A80" s="25" t="s">
        <v>62</v>
      </c>
      <c r="B80" s="25"/>
      <c r="C80" s="22"/>
      <c r="D80" s="22"/>
      <c r="E80" s="22"/>
      <c r="F80" s="22"/>
      <c r="G80" s="22"/>
      <c r="H80" s="22"/>
      <c r="I80" s="22"/>
      <c r="K80" s="25" t="s">
        <v>62</v>
      </c>
      <c r="L80" s="25"/>
      <c r="M80" s="22"/>
      <c r="N80" s="22"/>
      <c r="O80" s="22"/>
      <c r="P80" s="22"/>
      <c r="Q80" s="22"/>
      <c r="R80" s="22"/>
      <c r="S80" s="22"/>
    </row>
    <row r="81" spans="1:19" x14ac:dyDescent="0.25">
      <c r="A81" s="22" t="s">
        <v>63</v>
      </c>
      <c r="B81" s="29">
        <v>0.48251295102489455</v>
      </c>
      <c r="C81" s="22"/>
      <c r="D81" s="22"/>
      <c r="E81" s="22"/>
      <c r="F81" s="22"/>
      <c r="G81" s="22"/>
      <c r="H81" s="22"/>
      <c r="I81" s="22"/>
      <c r="K81" s="22" t="s">
        <v>63</v>
      </c>
      <c r="L81" s="29">
        <v>0.38466176976718042</v>
      </c>
      <c r="M81" s="22"/>
      <c r="N81" s="22"/>
      <c r="O81" s="22"/>
      <c r="P81" s="22"/>
      <c r="Q81" s="22"/>
      <c r="R81" s="22"/>
      <c r="S81" s="22"/>
    </row>
    <row r="82" spans="1:19" x14ac:dyDescent="0.25">
      <c r="A82" s="22" t="s">
        <v>64</v>
      </c>
      <c r="B82" s="29">
        <v>0.2328187479067523</v>
      </c>
      <c r="C82" s="22"/>
      <c r="D82" s="22"/>
      <c r="E82" s="22"/>
      <c r="F82" s="22"/>
      <c r="G82" s="22"/>
      <c r="H82" s="22"/>
      <c r="I82" s="22"/>
      <c r="K82" s="22" t="s">
        <v>64</v>
      </c>
      <c r="L82" s="29">
        <v>0.14796467712041933</v>
      </c>
      <c r="M82" s="22"/>
      <c r="N82" s="22"/>
      <c r="O82" s="22"/>
      <c r="P82" s="22"/>
      <c r="Q82" s="22"/>
      <c r="R82" s="22"/>
      <c r="S82" s="22"/>
    </row>
    <row r="83" spans="1:19" x14ac:dyDescent="0.25">
      <c r="A83" s="22" t="s">
        <v>65</v>
      </c>
      <c r="B83" s="29">
        <v>2.6643722787779824E-3</v>
      </c>
      <c r="C83" s="22"/>
      <c r="D83" s="22"/>
      <c r="E83" s="22"/>
      <c r="F83" s="22"/>
      <c r="G83" s="22"/>
      <c r="H83" s="22"/>
      <c r="I83" s="22"/>
      <c r="K83" s="22" t="s">
        <v>65</v>
      </c>
      <c r="L83" s="29">
        <v>-6.9508361304135239E-3</v>
      </c>
      <c r="M83" s="22"/>
      <c r="N83" s="22"/>
      <c r="O83" s="22"/>
      <c r="P83" s="22"/>
      <c r="Q83" s="22"/>
      <c r="R83" s="22"/>
      <c r="S83" s="22"/>
    </row>
    <row r="84" spans="1:19" x14ac:dyDescent="0.25">
      <c r="A84" s="22" t="s">
        <v>66</v>
      </c>
      <c r="B84" s="22">
        <v>8.0389302750076413E-2</v>
      </c>
      <c r="C84" s="22"/>
      <c r="D84" s="22"/>
      <c r="E84" s="22"/>
      <c r="F84" s="22"/>
      <c r="G84" s="22"/>
      <c r="H84" s="22"/>
      <c r="I84" s="22"/>
      <c r="K84" s="22" t="s">
        <v>66</v>
      </c>
      <c r="L84" s="22">
        <v>8.0775885660973407E-2</v>
      </c>
      <c r="M84" s="22"/>
      <c r="N84" s="22"/>
      <c r="O84" s="22"/>
      <c r="P84" s="22"/>
      <c r="Q84" s="22"/>
      <c r="R84" s="22"/>
      <c r="S84" s="22"/>
    </row>
    <row r="85" spans="1:19" ht="15.75" thickBot="1" x14ac:dyDescent="0.3">
      <c r="A85" s="24" t="s">
        <v>67</v>
      </c>
      <c r="B85" s="24">
        <v>14</v>
      </c>
      <c r="C85" s="22"/>
      <c r="D85" s="22"/>
      <c r="E85" s="22"/>
      <c r="F85" s="22"/>
      <c r="G85" s="22"/>
      <c r="H85" s="22"/>
      <c r="I85" s="22"/>
      <c r="K85" s="24" t="s">
        <v>67</v>
      </c>
      <c r="L85" s="24">
        <v>14</v>
      </c>
      <c r="M85" s="22"/>
      <c r="N85" s="22"/>
      <c r="O85" s="22"/>
      <c r="P85" s="22"/>
      <c r="Q85" s="22"/>
      <c r="R85" s="22"/>
      <c r="S85" s="22"/>
    </row>
    <row r="86" spans="1:19" x14ac:dyDescent="0.25">
      <c r="A86" s="22"/>
      <c r="B86" s="22"/>
      <c r="C86" s="22"/>
      <c r="D86" s="22"/>
      <c r="E86" s="22"/>
      <c r="F86" s="22"/>
      <c r="G86" s="22"/>
      <c r="H86" s="22"/>
      <c r="I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.75" thickBot="1" x14ac:dyDescent="0.3">
      <c r="A87" s="22" t="s">
        <v>68</v>
      </c>
      <c r="B87" s="22"/>
      <c r="C87" s="22"/>
      <c r="D87" s="22"/>
      <c r="E87" s="22"/>
      <c r="F87" s="22"/>
      <c r="G87" s="22"/>
      <c r="H87" s="22"/>
      <c r="I87" s="22"/>
      <c r="K87" s="22" t="s">
        <v>68</v>
      </c>
      <c r="L87" s="22"/>
      <c r="M87" s="22"/>
      <c r="N87" s="22"/>
      <c r="O87" s="22"/>
      <c r="P87" s="22"/>
      <c r="Q87" s="22"/>
      <c r="R87" s="22"/>
      <c r="S87" s="22"/>
    </row>
    <row r="88" spans="1:19" x14ac:dyDescent="0.25">
      <c r="A88" s="25"/>
      <c r="B88" s="25" t="s">
        <v>73</v>
      </c>
      <c r="C88" s="25" t="s">
        <v>74</v>
      </c>
      <c r="D88" s="25" t="s">
        <v>75</v>
      </c>
      <c r="E88" s="25" t="s">
        <v>76</v>
      </c>
      <c r="F88" s="25" t="s">
        <v>77</v>
      </c>
      <c r="G88" s="22"/>
      <c r="H88" s="22"/>
      <c r="I88" s="22"/>
      <c r="K88" s="25"/>
      <c r="L88" s="25" t="s">
        <v>73</v>
      </c>
      <c r="M88" s="25" t="s">
        <v>74</v>
      </c>
      <c r="N88" s="25" t="s">
        <v>75</v>
      </c>
      <c r="O88" s="25" t="s">
        <v>76</v>
      </c>
      <c r="P88" s="25" t="s">
        <v>77</v>
      </c>
      <c r="Q88" s="22"/>
      <c r="R88" s="22"/>
      <c r="S88" s="22"/>
    </row>
    <row r="89" spans="1:19" x14ac:dyDescent="0.25">
      <c r="A89" s="22" t="s">
        <v>69</v>
      </c>
      <c r="B89" s="22">
        <v>3</v>
      </c>
      <c r="C89" s="22">
        <v>1.96117564700104E-2</v>
      </c>
      <c r="D89" s="22">
        <v>6.5372521566701329E-3</v>
      </c>
      <c r="E89" s="22">
        <v>1.0115764571996873</v>
      </c>
      <c r="F89" s="22">
        <v>0.42768588321673529</v>
      </c>
      <c r="G89" s="22"/>
      <c r="H89" s="22"/>
      <c r="I89" s="22"/>
      <c r="K89" s="22" t="s">
        <v>69</v>
      </c>
      <c r="L89" s="22">
        <v>2</v>
      </c>
      <c r="M89" s="22">
        <v>1.2463975688983692E-2</v>
      </c>
      <c r="N89" s="22">
        <v>6.2319878444918458E-3</v>
      </c>
      <c r="O89" s="22">
        <v>0.95513143916607623</v>
      </c>
      <c r="P89" s="22">
        <v>0.41449261621387323</v>
      </c>
      <c r="Q89" s="22"/>
      <c r="R89" s="22"/>
      <c r="S89" s="22"/>
    </row>
    <row r="90" spans="1:19" x14ac:dyDescent="0.25">
      <c r="A90" s="22" t="s">
        <v>70</v>
      </c>
      <c r="B90" s="22">
        <v>10</v>
      </c>
      <c r="C90" s="22">
        <v>6.4624399966434432E-2</v>
      </c>
      <c r="D90" s="22">
        <v>6.4624399966434435E-3</v>
      </c>
      <c r="E90" s="22"/>
      <c r="F90" s="22"/>
      <c r="G90" s="22"/>
      <c r="H90" s="22"/>
      <c r="I90" s="22"/>
      <c r="K90" s="22" t="s">
        <v>70</v>
      </c>
      <c r="L90" s="22">
        <v>11</v>
      </c>
      <c r="M90" s="22">
        <v>7.177218074746114E-2</v>
      </c>
      <c r="N90" s="22">
        <v>6.5247437043146487E-3</v>
      </c>
      <c r="O90" s="22"/>
      <c r="P90" s="22"/>
      <c r="Q90" s="22"/>
      <c r="R90" s="22"/>
      <c r="S90" s="22"/>
    </row>
    <row r="91" spans="1:19" ht="15.75" thickBot="1" x14ac:dyDescent="0.3">
      <c r="A91" s="24" t="s">
        <v>71</v>
      </c>
      <c r="B91" s="24">
        <v>13</v>
      </c>
      <c r="C91" s="24">
        <v>8.4236156436444831E-2</v>
      </c>
      <c r="D91" s="24"/>
      <c r="E91" s="24"/>
      <c r="F91" s="24"/>
      <c r="G91" s="22"/>
      <c r="H91" s="22"/>
      <c r="I91" s="22"/>
      <c r="K91" s="24" t="s">
        <v>71</v>
      </c>
      <c r="L91" s="24">
        <v>13</v>
      </c>
      <c r="M91" s="24">
        <v>8.4236156436444831E-2</v>
      </c>
      <c r="N91" s="24"/>
      <c r="O91" s="24"/>
      <c r="P91" s="24"/>
      <c r="Q91" s="22"/>
      <c r="R91" s="22"/>
      <c r="S91" s="22"/>
    </row>
    <row r="92" spans="1:19" ht="15.75" thickBot="1" x14ac:dyDescent="0.3">
      <c r="A92" s="22"/>
      <c r="B92" s="22"/>
      <c r="C92" s="22"/>
      <c r="D92" s="22"/>
      <c r="E92" s="22"/>
      <c r="F92" s="22"/>
      <c r="G92" s="22"/>
      <c r="H92" s="22"/>
      <c r="I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1:19" x14ac:dyDescent="0.25">
      <c r="A93" s="25"/>
      <c r="B93" s="25" t="s">
        <v>78</v>
      </c>
      <c r="C93" s="25" t="s">
        <v>66</v>
      </c>
      <c r="D93" s="25" t="s">
        <v>79</v>
      </c>
      <c r="E93" s="25" t="s">
        <v>80</v>
      </c>
      <c r="F93" s="25" t="s">
        <v>81</v>
      </c>
      <c r="G93" s="25" t="s">
        <v>82</v>
      </c>
      <c r="H93" s="25" t="s">
        <v>83</v>
      </c>
      <c r="I93" s="25" t="s">
        <v>84</v>
      </c>
      <c r="K93" s="25"/>
      <c r="L93" s="25" t="s">
        <v>78</v>
      </c>
      <c r="M93" s="25" t="s">
        <v>66</v>
      </c>
      <c r="N93" s="25" t="s">
        <v>79</v>
      </c>
      <c r="O93" s="25" t="s">
        <v>80</v>
      </c>
      <c r="P93" s="25" t="s">
        <v>81</v>
      </c>
      <c r="Q93" s="25" t="s">
        <v>82</v>
      </c>
      <c r="R93" s="25" t="s">
        <v>83</v>
      </c>
      <c r="S93" s="25" t="s">
        <v>84</v>
      </c>
    </row>
    <row r="94" spans="1:19" x14ac:dyDescent="0.25">
      <c r="A94" s="22" t="s">
        <v>72</v>
      </c>
      <c r="B94" s="22">
        <v>0.16508969034542068</v>
      </c>
      <c r="C94" s="22">
        <v>0.50108601373911099</v>
      </c>
      <c r="D94" s="22">
        <v>0.32946377631560508</v>
      </c>
      <c r="E94" s="22">
        <v>0.7486021122218296</v>
      </c>
      <c r="F94" s="22">
        <v>-0.95139952505362069</v>
      </c>
      <c r="G94" s="22">
        <v>1.281578905744462</v>
      </c>
      <c r="H94" s="22">
        <v>-0.95139952505362069</v>
      </c>
      <c r="I94" s="22">
        <v>1.281578905744462</v>
      </c>
      <c r="K94" s="22" t="s">
        <v>72</v>
      </c>
      <c r="L94" s="22">
        <v>-1.3031946158227385E-2</v>
      </c>
      <c r="M94" s="22">
        <v>0.47386295080047486</v>
      </c>
      <c r="N94" s="22">
        <v>-2.7501508898750405E-2</v>
      </c>
      <c r="O94" s="22">
        <v>0.97855233580894185</v>
      </c>
      <c r="P94" s="22">
        <v>-1.0559972687873067</v>
      </c>
      <c r="Q94" s="22">
        <v>1.029933376470852</v>
      </c>
      <c r="R94" s="22">
        <v>-1.0559972687873067</v>
      </c>
      <c r="S94" s="22">
        <v>1.029933376470852</v>
      </c>
    </row>
    <row r="95" spans="1:19" x14ac:dyDescent="0.25">
      <c r="A95" s="22" t="s">
        <v>51</v>
      </c>
      <c r="B95" s="22">
        <v>4.7947313306882818E-5</v>
      </c>
      <c r="C95" s="22">
        <v>4.5590769918518787E-5</v>
      </c>
      <c r="D95" s="22">
        <v>1.0516890456681411</v>
      </c>
      <c r="E95" s="22">
        <v>0.31769203301268373</v>
      </c>
      <c r="F95" s="22">
        <v>-5.3635252440536001E-5</v>
      </c>
      <c r="G95" s="22">
        <v>1.4952987905430165E-4</v>
      </c>
      <c r="H95" s="22">
        <v>-5.3635252440536001E-5</v>
      </c>
      <c r="I95" s="22">
        <v>1.4952987905430165E-4</v>
      </c>
      <c r="K95" s="22" t="s">
        <v>53</v>
      </c>
      <c r="L95" s="22">
        <v>0.11149690039355213</v>
      </c>
      <c r="M95" s="22">
        <v>0.45802329204431774</v>
      </c>
      <c r="N95" s="22">
        <v>0.24343063405335255</v>
      </c>
      <c r="O95" s="22">
        <v>0.81215190442678953</v>
      </c>
      <c r="P95" s="22">
        <v>-0.89660556837230987</v>
      </c>
      <c r="Q95" s="22">
        <v>1.1195993691594142</v>
      </c>
      <c r="R95" s="22">
        <v>-0.89660556837230987</v>
      </c>
      <c r="S95" s="22">
        <v>1.1195993691594142</v>
      </c>
    </row>
    <row r="96" spans="1:19" ht="15.75" thickBot="1" x14ac:dyDescent="0.3">
      <c r="A96" s="22" t="s">
        <v>53</v>
      </c>
      <c r="B96" s="22">
        <v>-0.13032918183594214</v>
      </c>
      <c r="C96" s="22">
        <v>0.51054367229390873</v>
      </c>
      <c r="D96" s="22">
        <v>-0.25527528575638581</v>
      </c>
      <c r="E96" s="22">
        <v>0.80368406590920383</v>
      </c>
      <c r="F96" s="22">
        <v>-1.2678913737097488</v>
      </c>
      <c r="G96" s="22">
        <v>1.0072330100378644</v>
      </c>
      <c r="H96" s="22">
        <v>-1.2678913737097488</v>
      </c>
      <c r="I96" s="22">
        <v>1.0072330100378644</v>
      </c>
      <c r="K96" s="24" t="s">
        <v>54</v>
      </c>
      <c r="L96" s="24">
        <v>-3.7262077900561573E-3</v>
      </c>
      <c r="M96" s="24">
        <v>2.7001101293113194E-3</v>
      </c>
      <c r="N96" s="24">
        <v>-1.3800206701222779</v>
      </c>
      <c r="O96" s="24">
        <v>0.19498264689440939</v>
      </c>
      <c r="P96" s="24">
        <v>-9.6691101152834857E-3</v>
      </c>
      <c r="Q96" s="24">
        <v>2.2166945351711712E-3</v>
      </c>
      <c r="R96" s="24">
        <v>-9.6691101152834857E-3</v>
      </c>
      <c r="S96" s="24">
        <v>2.2166945351711712E-3</v>
      </c>
    </row>
    <row r="97" spans="1:19" ht="15.75" thickBot="1" x14ac:dyDescent="0.3">
      <c r="A97" s="24" t="s">
        <v>54</v>
      </c>
      <c r="B97" s="24">
        <v>3.2711330150808371E-4</v>
      </c>
      <c r="C97" s="24">
        <v>4.6984158287661608E-3</v>
      </c>
      <c r="D97" s="24">
        <v>6.9622041434758683E-2</v>
      </c>
      <c r="E97" s="24">
        <v>0.94586706291327372</v>
      </c>
      <c r="F97" s="24">
        <v>-1.0141609549353088E-2</v>
      </c>
      <c r="G97" s="24">
        <v>1.0795836152369257E-2</v>
      </c>
      <c r="H97" s="24">
        <v>-1.0141609549353088E-2</v>
      </c>
      <c r="I97" s="24">
        <v>1.0795836152369257E-2</v>
      </c>
    </row>
    <row r="99" spans="1:19" ht="15.75" thickBot="1" x14ac:dyDescent="0.3">
      <c r="A99" s="34" t="s">
        <v>87</v>
      </c>
      <c r="B99" s="35"/>
      <c r="C99" s="35"/>
      <c r="D99" s="35"/>
      <c r="E99" s="35"/>
      <c r="F99" s="36"/>
      <c r="K99" s="34" t="s">
        <v>88</v>
      </c>
      <c r="L99" s="35"/>
      <c r="M99" s="35"/>
      <c r="N99" s="35"/>
      <c r="O99" s="35"/>
      <c r="P99" s="36"/>
    </row>
    <row r="100" spans="1:19" x14ac:dyDescent="0.25">
      <c r="A100" s="33" t="s">
        <v>62</v>
      </c>
      <c r="B100" s="33"/>
      <c r="C100" s="31"/>
      <c r="D100" s="31"/>
      <c r="E100" s="31"/>
      <c r="F100" s="31"/>
      <c r="G100" s="31"/>
      <c r="H100" s="31"/>
      <c r="I100" s="31"/>
      <c r="K100" s="33" t="s">
        <v>62</v>
      </c>
      <c r="L100" s="33"/>
      <c r="M100" s="31"/>
      <c r="N100" s="31"/>
      <c r="O100" s="31"/>
      <c r="P100" s="31"/>
      <c r="Q100" s="31"/>
      <c r="R100" s="31"/>
      <c r="S100" s="31"/>
    </row>
    <row r="101" spans="1:19" x14ac:dyDescent="0.25">
      <c r="A101" s="31" t="s">
        <v>63</v>
      </c>
      <c r="B101" s="29">
        <v>0.66024512064107888</v>
      </c>
      <c r="C101" s="31"/>
      <c r="D101" s="31"/>
      <c r="E101" s="31"/>
      <c r="F101" s="31"/>
      <c r="G101" s="31"/>
      <c r="H101" s="31"/>
      <c r="I101" s="31"/>
      <c r="K101" s="31" t="s">
        <v>63</v>
      </c>
      <c r="L101" s="29">
        <v>0.61280887230613368</v>
      </c>
      <c r="M101" s="31"/>
      <c r="N101" s="31"/>
      <c r="O101" s="31"/>
      <c r="P101" s="31"/>
      <c r="Q101" s="31"/>
      <c r="R101" s="31"/>
      <c r="S101" s="31"/>
    </row>
    <row r="102" spans="1:19" x14ac:dyDescent="0.25">
      <c r="A102" s="31" t="s">
        <v>64</v>
      </c>
      <c r="B102" s="29">
        <v>0.43592361933035279</v>
      </c>
      <c r="C102" s="31"/>
      <c r="D102" s="31"/>
      <c r="E102" s="31"/>
      <c r="F102" s="31"/>
      <c r="G102" s="31"/>
      <c r="H102" s="31"/>
      <c r="I102" s="31"/>
      <c r="K102" s="31" t="s">
        <v>64</v>
      </c>
      <c r="L102" s="29">
        <v>0.37553471397711524</v>
      </c>
      <c r="M102" s="31"/>
      <c r="N102" s="31"/>
      <c r="O102" s="31"/>
      <c r="P102" s="31"/>
      <c r="Q102" s="31"/>
      <c r="R102" s="31"/>
      <c r="S102" s="31"/>
    </row>
    <row r="103" spans="1:19" x14ac:dyDescent="0.25">
      <c r="A103" s="31" t="s">
        <v>65</v>
      </c>
      <c r="B103" s="29">
        <v>0.29490452416294094</v>
      </c>
      <c r="C103" s="31"/>
      <c r="D103" s="31"/>
      <c r="E103" s="31"/>
      <c r="F103" s="31"/>
      <c r="G103" s="31"/>
      <c r="H103" s="31"/>
      <c r="I103" s="31"/>
      <c r="K103" s="31" t="s">
        <v>65</v>
      </c>
      <c r="L103" s="29">
        <v>0.27946313151205604</v>
      </c>
      <c r="M103" s="31"/>
      <c r="N103" s="31"/>
      <c r="O103" s="31"/>
      <c r="P103" s="31"/>
      <c r="Q103" s="31"/>
      <c r="R103" s="31"/>
      <c r="S103" s="31"/>
    </row>
    <row r="104" spans="1:19" x14ac:dyDescent="0.25">
      <c r="A104" s="31" t="s">
        <v>66</v>
      </c>
      <c r="B104" s="31">
        <v>3.2188619167776718E-2</v>
      </c>
      <c r="C104" s="31"/>
      <c r="D104" s="31"/>
      <c r="E104" s="31"/>
      <c r="F104" s="31"/>
      <c r="G104" s="31"/>
      <c r="H104" s="31"/>
      <c r="I104" s="31"/>
      <c r="K104" s="31" t="s">
        <v>66</v>
      </c>
      <c r="L104" s="31">
        <v>3.2539171168686938E-2</v>
      </c>
      <c r="M104" s="31"/>
      <c r="N104" s="31"/>
      <c r="O104" s="31"/>
      <c r="P104" s="31"/>
      <c r="Q104" s="31"/>
      <c r="R104" s="31"/>
      <c r="S104" s="31"/>
    </row>
    <row r="105" spans="1:19" ht="15.75" thickBot="1" x14ac:dyDescent="0.3">
      <c r="A105" s="32" t="s">
        <v>67</v>
      </c>
      <c r="B105" s="32">
        <v>16</v>
      </c>
      <c r="C105" s="31"/>
      <c r="D105" s="31"/>
      <c r="E105" s="31"/>
      <c r="F105" s="31"/>
      <c r="G105" s="31"/>
      <c r="H105" s="31"/>
      <c r="I105" s="31"/>
      <c r="K105" s="32" t="s">
        <v>67</v>
      </c>
      <c r="L105" s="32">
        <v>16</v>
      </c>
      <c r="M105" s="31"/>
      <c r="N105" s="31"/>
      <c r="O105" s="31"/>
      <c r="P105" s="31"/>
      <c r="Q105" s="31"/>
      <c r="R105" s="31"/>
      <c r="S105" s="31"/>
    </row>
    <row r="106" spans="1:19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K106" s="31"/>
      <c r="L106" s="31"/>
      <c r="M106" s="31"/>
      <c r="N106" s="31"/>
      <c r="O106" s="31"/>
      <c r="P106" s="31"/>
      <c r="Q106" s="31"/>
      <c r="R106" s="31"/>
      <c r="S106" s="31"/>
    </row>
    <row r="107" spans="1:19" ht="15.75" thickBot="1" x14ac:dyDescent="0.3">
      <c r="A107" s="31" t="s">
        <v>68</v>
      </c>
      <c r="B107" s="31"/>
      <c r="C107" s="31"/>
      <c r="D107" s="31"/>
      <c r="E107" s="31"/>
      <c r="F107" s="31"/>
      <c r="G107" s="31"/>
      <c r="H107" s="31"/>
      <c r="I107" s="31"/>
      <c r="K107" s="31" t="s">
        <v>68</v>
      </c>
      <c r="L107" s="31"/>
      <c r="M107" s="31"/>
      <c r="N107" s="31"/>
      <c r="O107" s="31"/>
      <c r="P107" s="31"/>
      <c r="Q107" s="31"/>
      <c r="R107" s="31"/>
      <c r="S107" s="31"/>
    </row>
    <row r="108" spans="1:19" x14ac:dyDescent="0.25">
      <c r="A108" s="33"/>
      <c r="B108" s="33" t="s">
        <v>73</v>
      </c>
      <c r="C108" s="33" t="s">
        <v>74</v>
      </c>
      <c r="D108" s="33" t="s">
        <v>75</v>
      </c>
      <c r="E108" s="33" t="s">
        <v>76</v>
      </c>
      <c r="F108" s="33" t="s">
        <v>77</v>
      </c>
      <c r="G108" s="31"/>
      <c r="H108" s="31"/>
      <c r="I108" s="31"/>
      <c r="K108" s="33"/>
      <c r="L108" s="33" t="s">
        <v>73</v>
      </c>
      <c r="M108" s="33" t="s">
        <v>74</v>
      </c>
      <c r="N108" s="33" t="s">
        <v>75</v>
      </c>
      <c r="O108" s="33" t="s">
        <v>76</v>
      </c>
      <c r="P108" s="33" t="s">
        <v>77</v>
      </c>
      <c r="Q108" s="31"/>
      <c r="R108" s="31"/>
      <c r="S108" s="31"/>
    </row>
    <row r="109" spans="1:19" x14ac:dyDescent="0.25">
      <c r="A109" s="31" t="s">
        <v>69</v>
      </c>
      <c r="B109" s="31">
        <v>3</v>
      </c>
      <c r="C109" s="31">
        <v>9.6085626236876876E-3</v>
      </c>
      <c r="D109" s="31">
        <v>3.202854207895896E-3</v>
      </c>
      <c r="E109" s="31">
        <v>3.0912382384303561</v>
      </c>
      <c r="F109" s="31">
        <v>6.7747550446141822E-2</v>
      </c>
      <c r="G109" s="31"/>
      <c r="H109" s="31"/>
      <c r="I109" s="31"/>
      <c r="K109" s="31" t="s">
        <v>69</v>
      </c>
      <c r="L109" s="31">
        <v>2</v>
      </c>
      <c r="M109" s="31">
        <v>8.2774794863392509E-3</v>
      </c>
      <c r="N109" s="31">
        <v>4.1387397431696255E-3</v>
      </c>
      <c r="O109" s="31">
        <v>3.9089052594058757</v>
      </c>
      <c r="P109" s="31">
        <v>4.6860180422553598E-2</v>
      </c>
      <c r="Q109" s="31"/>
      <c r="R109" s="31"/>
      <c r="S109" s="31"/>
    </row>
    <row r="110" spans="1:19" x14ac:dyDescent="0.25">
      <c r="A110" s="31" t="s">
        <v>70</v>
      </c>
      <c r="B110" s="31">
        <v>12</v>
      </c>
      <c r="C110" s="31">
        <v>1.2433286447137955E-2</v>
      </c>
      <c r="D110" s="31">
        <v>1.0361072039281629E-3</v>
      </c>
      <c r="E110" s="31"/>
      <c r="F110" s="31"/>
      <c r="G110" s="31"/>
      <c r="H110" s="31"/>
      <c r="I110" s="31"/>
      <c r="K110" s="31" t="s">
        <v>70</v>
      </c>
      <c r="L110" s="31">
        <v>13</v>
      </c>
      <c r="M110" s="31">
        <v>1.3764369584486392E-2</v>
      </c>
      <c r="N110" s="31">
        <v>1.0587976603451071E-3</v>
      </c>
      <c r="O110" s="31"/>
      <c r="P110" s="31"/>
      <c r="Q110" s="31"/>
      <c r="R110" s="31"/>
      <c r="S110" s="31"/>
    </row>
    <row r="111" spans="1:19" ht="15.75" thickBot="1" x14ac:dyDescent="0.3">
      <c r="A111" s="32" t="s">
        <v>71</v>
      </c>
      <c r="B111" s="32">
        <v>15</v>
      </c>
      <c r="C111" s="32">
        <v>2.2041849070825643E-2</v>
      </c>
      <c r="D111" s="32"/>
      <c r="E111" s="32"/>
      <c r="F111" s="32"/>
      <c r="G111" s="31"/>
      <c r="H111" s="31"/>
      <c r="I111" s="31"/>
      <c r="K111" s="32" t="s">
        <v>71</v>
      </c>
      <c r="L111" s="32">
        <v>15</v>
      </c>
      <c r="M111" s="32">
        <v>2.2041849070825643E-2</v>
      </c>
      <c r="N111" s="32"/>
      <c r="O111" s="32"/>
      <c r="P111" s="32"/>
      <c r="Q111" s="31"/>
      <c r="R111" s="31"/>
      <c r="S111" s="31"/>
    </row>
    <row r="112" spans="1:19" ht="15.75" thickBot="1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K112" s="31"/>
      <c r="L112" s="31"/>
      <c r="M112" s="31"/>
      <c r="N112" s="31"/>
      <c r="O112" s="31"/>
      <c r="P112" s="31"/>
      <c r="Q112" s="31"/>
      <c r="R112" s="31"/>
      <c r="S112" s="31"/>
    </row>
    <row r="113" spans="1:19" x14ac:dyDescent="0.25">
      <c r="A113" s="33"/>
      <c r="B113" s="33" t="s">
        <v>78</v>
      </c>
      <c r="C113" s="33" t="s">
        <v>66</v>
      </c>
      <c r="D113" s="33" t="s">
        <v>79</v>
      </c>
      <c r="E113" s="33" t="s">
        <v>80</v>
      </c>
      <c r="F113" s="33" t="s">
        <v>81</v>
      </c>
      <c r="G113" s="33" t="s">
        <v>82</v>
      </c>
      <c r="H113" s="33" t="s">
        <v>83</v>
      </c>
      <c r="I113" s="33" t="s">
        <v>84</v>
      </c>
      <c r="K113" s="33"/>
      <c r="L113" s="33" t="s">
        <v>78</v>
      </c>
      <c r="M113" s="33" t="s">
        <v>66</v>
      </c>
      <c r="N113" s="33" t="s">
        <v>79</v>
      </c>
      <c r="O113" s="33" t="s">
        <v>80</v>
      </c>
      <c r="P113" s="33" t="s">
        <v>81</v>
      </c>
      <c r="Q113" s="33" t="s">
        <v>82</v>
      </c>
      <c r="R113" s="33" t="s">
        <v>83</v>
      </c>
      <c r="S113" s="33" t="s">
        <v>84</v>
      </c>
    </row>
    <row r="114" spans="1:19" x14ac:dyDescent="0.25">
      <c r="A114" s="31" t="s">
        <v>72</v>
      </c>
      <c r="B114" s="31">
        <v>-0.66713721864985209</v>
      </c>
      <c r="C114" s="31">
        <v>0.30377600001993421</v>
      </c>
      <c r="D114" s="31">
        <v>-2.1961485390750868</v>
      </c>
      <c r="E114" s="31">
        <v>4.8470549765445438E-2</v>
      </c>
      <c r="F114" s="31">
        <v>-1.3290082648382771</v>
      </c>
      <c r="G114" s="31">
        <v>-5.2661724614272432E-3</v>
      </c>
      <c r="H114" s="31">
        <v>-1.3290082648382771</v>
      </c>
      <c r="I114" s="31">
        <v>-5.2661724614272432E-3</v>
      </c>
      <c r="K114" s="31" t="s">
        <v>72</v>
      </c>
      <c r="L114" s="31">
        <v>-0.3947906191155941</v>
      </c>
      <c r="M114" s="31">
        <v>0.18788507848613323</v>
      </c>
      <c r="N114" s="31">
        <v>-2.1012345541039408</v>
      </c>
      <c r="O114" s="31">
        <v>5.5687674498016468E-2</v>
      </c>
      <c r="P114" s="31">
        <v>-0.80069165369408801</v>
      </c>
      <c r="Q114" s="31">
        <v>1.111041546289987E-2</v>
      </c>
      <c r="R114" s="31">
        <v>-0.80069165369408801</v>
      </c>
      <c r="S114" s="31">
        <v>1.111041546289987E-2</v>
      </c>
    </row>
    <row r="115" spans="1:19" x14ac:dyDescent="0.25">
      <c r="A115" s="31" t="s">
        <v>51</v>
      </c>
      <c r="B115" s="31">
        <v>-8.2257037845988396E-6</v>
      </c>
      <c r="C115" s="31">
        <v>7.2572623301206364E-6</v>
      </c>
      <c r="D115" s="31">
        <v>-1.1334444602420903</v>
      </c>
      <c r="E115" s="31">
        <v>0.27916506177655187</v>
      </c>
      <c r="F115" s="31">
        <v>-2.4037920057726366E-5</v>
      </c>
      <c r="G115" s="31">
        <v>7.5865124885286872E-6</v>
      </c>
      <c r="H115" s="31">
        <v>-2.4037920057726366E-5</v>
      </c>
      <c r="I115" s="31">
        <v>7.5865124885286872E-6</v>
      </c>
      <c r="K115" s="31" t="s">
        <v>53</v>
      </c>
      <c r="L115" s="31">
        <v>0.45711148790742634</v>
      </c>
      <c r="M115" s="31">
        <v>0.18156283254862221</v>
      </c>
      <c r="N115" s="31">
        <v>2.5176490226049579</v>
      </c>
      <c r="O115" s="31">
        <v>2.5717918873317556E-2</v>
      </c>
      <c r="P115" s="31">
        <v>6.4868835290780358E-2</v>
      </c>
      <c r="Q115" s="31">
        <v>0.84935414052407232</v>
      </c>
      <c r="R115" s="31">
        <v>6.4868835290780358E-2</v>
      </c>
      <c r="S115" s="31">
        <v>0.84935414052407232</v>
      </c>
    </row>
    <row r="116" spans="1:19" ht="15.75" thickBot="1" x14ac:dyDescent="0.3">
      <c r="A116" s="31" t="s">
        <v>53</v>
      </c>
      <c r="B116" s="31">
        <v>0.74254617941648893</v>
      </c>
      <c r="C116" s="31">
        <v>0.30931646908688115</v>
      </c>
      <c r="D116" s="31">
        <v>2.4006034389585693</v>
      </c>
      <c r="E116" s="31">
        <v>3.3481785916455356E-2</v>
      </c>
      <c r="F116" s="31">
        <v>6.8603488142625624E-2</v>
      </c>
      <c r="G116" s="31">
        <v>1.4164888706903522</v>
      </c>
      <c r="H116" s="31">
        <v>6.8603488142625624E-2</v>
      </c>
      <c r="I116" s="31">
        <v>1.4164888706903522</v>
      </c>
      <c r="K116" s="32" t="s">
        <v>54</v>
      </c>
      <c r="L116" s="32">
        <v>7.2098119058174232E-4</v>
      </c>
      <c r="M116" s="32">
        <v>1.0583089158254992E-3</v>
      </c>
      <c r="N116" s="32">
        <v>0.68125778758970823</v>
      </c>
      <c r="O116" s="32">
        <v>0.50766302330712865</v>
      </c>
      <c r="P116" s="32">
        <v>-1.5653562200227862E-3</v>
      </c>
      <c r="Q116" s="32">
        <v>3.007318601186271E-3</v>
      </c>
      <c r="R116" s="32">
        <v>-1.5653562200227862E-3</v>
      </c>
      <c r="S116" s="32">
        <v>3.007318601186271E-3</v>
      </c>
    </row>
    <row r="117" spans="1:19" ht="15.75" thickBot="1" x14ac:dyDescent="0.3">
      <c r="A117" s="32" t="s">
        <v>54</v>
      </c>
      <c r="B117" s="32">
        <v>-7.6024609345504309E-4</v>
      </c>
      <c r="C117" s="32">
        <v>1.6744666520121922E-3</v>
      </c>
      <c r="D117" s="32">
        <v>-0.4540228332057028</v>
      </c>
      <c r="E117" s="32">
        <v>0.65791472617009528</v>
      </c>
      <c r="F117" s="32">
        <v>-4.4085955177091381E-3</v>
      </c>
      <c r="G117" s="32">
        <v>2.8881033307990517E-3</v>
      </c>
      <c r="H117" s="32">
        <v>-4.4085955177091381E-3</v>
      </c>
      <c r="I117" s="32">
        <v>2.8881033307990517E-3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DAB5-6A0F-46C6-A1E5-5C1BEA124733}">
  <dimension ref="A1:W110"/>
  <sheetViews>
    <sheetView topLeftCell="A70" zoomScale="85" zoomScaleNormal="85" workbookViewId="0">
      <selection activeCell="N105" sqref="N105"/>
    </sheetView>
  </sheetViews>
  <sheetFormatPr defaultRowHeight="15" x14ac:dyDescent="0.25"/>
  <cols>
    <col min="1" max="1" width="15.5703125" customWidth="1"/>
    <col min="2" max="2" width="14.28515625" customWidth="1"/>
    <col min="3" max="3" width="13.42578125" customWidth="1"/>
    <col min="4" max="4" width="13.7109375" customWidth="1"/>
    <col min="5" max="5" width="14.140625" customWidth="1"/>
    <col min="6" max="6" width="13.28515625" customWidth="1"/>
    <col min="7" max="7" width="16.42578125" customWidth="1"/>
    <col min="8" max="8" width="17.28515625" customWidth="1"/>
    <col min="9" max="9" width="13" customWidth="1"/>
    <col min="10" max="10" width="14" customWidth="1"/>
    <col min="11" max="11" width="13.5703125" customWidth="1"/>
    <col min="13" max="13" width="13.140625" customWidth="1"/>
    <col min="14" max="14" width="14.5703125" customWidth="1"/>
    <col min="15" max="15" width="12.85546875" customWidth="1"/>
    <col min="16" max="16" width="13.7109375" customWidth="1"/>
    <col min="17" max="17" width="12.140625" customWidth="1"/>
    <col min="19" max="19" width="13.85546875" customWidth="1"/>
    <col min="20" max="20" width="14" customWidth="1"/>
    <col min="21" max="21" width="14.42578125" customWidth="1"/>
    <col min="22" max="22" width="13.28515625" customWidth="1"/>
    <col min="23" max="23" width="12.28515625" customWidth="1"/>
  </cols>
  <sheetData>
    <row r="1" spans="1:23" x14ac:dyDescent="0.25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2" t="s">
        <v>2</v>
      </c>
      <c r="N1" s="2"/>
      <c r="O1" s="2"/>
      <c r="P1" s="2"/>
      <c r="Q1" s="2"/>
    </row>
    <row r="2" spans="1:23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G2" s="4" t="s">
        <v>3</v>
      </c>
      <c r="H2" s="3" t="s">
        <v>4</v>
      </c>
      <c r="I2" s="3" t="s">
        <v>5</v>
      </c>
      <c r="J2" s="3" t="s">
        <v>6</v>
      </c>
      <c r="K2" s="3" t="s">
        <v>7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S2" s="3" t="s">
        <v>8</v>
      </c>
      <c r="T2" s="3" t="s">
        <v>4</v>
      </c>
      <c r="U2" s="3" t="s">
        <v>5</v>
      </c>
      <c r="V2" s="3" t="s">
        <v>6</v>
      </c>
      <c r="W2" s="3" t="s">
        <v>7</v>
      </c>
    </row>
    <row r="3" spans="1:23" x14ac:dyDescent="0.25">
      <c r="A3" s="5" t="s">
        <v>9</v>
      </c>
      <c r="B3" s="6">
        <v>5.5990042925280497</v>
      </c>
      <c r="C3" s="6">
        <f>LOG10(B3)</f>
        <v>0.74811080045096356</v>
      </c>
      <c r="D3" s="6">
        <v>0.90356607367203301</v>
      </c>
      <c r="E3" s="6">
        <v>0.78479742735639801</v>
      </c>
      <c r="G3" s="5" t="s">
        <v>9</v>
      </c>
      <c r="H3" s="7">
        <v>0.72480501026157895</v>
      </c>
      <c r="I3" s="7">
        <f>LOG10(H3)</f>
        <v>-0.13977881323213187</v>
      </c>
      <c r="J3" s="7">
        <v>-0.53321285069034396</v>
      </c>
      <c r="K3" s="7">
        <v>-0.69015600278604705</v>
      </c>
      <c r="M3" s="5" t="s">
        <v>9</v>
      </c>
      <c r="N3" s="6">
        <v>3.62123713456148</v>
      </c>
      <c r="O3" s="6">
        <f>LOG10(N3)</f>
        <v>0.55885696526424988</v>
      </c>
      <c r="P3" s="6">
        <v>0.87884003043687597</v>
      </c>
      <c r="Q3" s="6">
        <v>0.735611704001494</v>
      </c>
      <c r="S3" s="5" t="s">
        <v>9</v>
      </c>
      <c r="T3" s="6">
        <v>1.7878260187067601</v>
      </c>
      <c r="U3" s="6">
        <f>LOG10(T3)</f>
        <v>0.25232525339055556</v>
      </c>
      <c r="V3" s="6">
        <v>0.26654667808256899</v>
      </c>
      <c r="W3" s="6">
        <v>0.57681691180727601</v>
      </c>
    </row>
    <row r="4" spans="1:23" x14ac:dyDescent="0.25">
      <c r="A4" s="5" t="s">
        <v>10</v>
      </c>
      <c r="B4" s="6">
        <v>3.6150481998819401</v>
      </c>
      <c r="C4" s="6">
        <f t="shared" ref="C4:C32" si="0">LOG10(B4)</f>
        <v>0.55811409217085495</v>
      </c>
      <c r="D4" s="6">
        <v>0.84393866538764695</v>
      </c>
      <c r="E4" s="6">
        <v>0.73975142372925395</v>
      </c>
      <c r="G4" s="5" t="s">
        <v>10</v>
      </c>
      <c r="H4" s="7">
        <v>0.72236032128579997</v>
      </c>
      <c r="I4" s="7">
        <f t="shared" ref="I4:I32" si="1">LOG10(H4)</f>
        <v>-0.14124611751168054</v>
      </c>
      <c r="J4" s="7">
        <v>-0.54415401279001296</v>
      </c>
      <c r="K4" s="7">
        <v>-0.77189783394192801</v>
      </c>
      <c r="M4" s="5" t="s">
        <v>10</v>
      </c>
      <c r="N4" s="6">
        <v>3.1649110765038402</v>
      </c>
      <c r="O4" s="6">
        <f t="shared" ref="O4:O12" si="2">LOG10(N4)</f>
        <v>0.50036151229137671</v>
      </c>
      <c r="P4" s="6">
        <v>0.89370073497006797</v>
      </c>
      <c r="Q4" s="6">
        <v>0.76773815613843199</v>
      </c>
      <c r="S4" s="5" t="s">
        <v>10</v>
      </c>
      <c r="T4" s="6">
        <v>2.8770644107042802</v>
      </c>
      <c r="U4" s="6">
        <f t="shared" ref="U4:U11" si="3">LOG10(T4)</f>
        <v>0.45894958483099857</v>
      </c>
      <c r="V4" s="6">
        <v>0.541500872594741</v>
      </c>
      <c r="W4" s="6">
        <v>0.54443871754473905</v>
      </c>
    </row>
    <row r="5" spans="1:23" x14ac:dyDescent="0.25">
      <c r="A5" s="5" t="s">
        <v>11</v>
      </c>
      <c r="B5" s="6">
        <v>2.1746388039620901</v>
      </c>
      <c r="C5" s="6">
        <f t="shared" si="0"/>
        <v>0.33738713325723541</v>
      </c>
      <c r="D5" s="6">
        <v>0.90358482744648005</v>
      </c>
      <c r="E5" s="6">
        <v>0.17369777575697301</v>
      </c>
      <c r="G5" s="5" t="s">
        <v>11</v>
      </c>
      <c r="H5" s="7">
        <v>0.93103098270545204</v>
      </c>
      <c r="I5" s="7">
        <f t="shared" si="1"/>
        <v>-3.1035866393391235E-2</v>
      </c>
      <c r="J5" s="7">
        <v>0.356634245125801</v>
      </c>
      <c r="K5" s="7">
        <v>1.7836570943256701E-2</v>
      </c>
      <c r="M5" s="5" t="s">
        <v>11</v>
      </c>
      <c r="N5" s="6">
        <v>1.5737102771314899</v>
      </c>
      <c r="O5" s="6">
        <f t="shared" si="2"/>
        <v>0.19692478099339403</v>
      </c>
      <c r="P5" s="6">
        <v>0.86635228697468503</v>
      </c>
      <c r="Q5" s="6">
        <v>0.199680501000808</v>
      </c>
      <c r="S5" s="5" t="s">
        <v>11</v>
      </c>
      <c r="T5" s="6">
        <v>1.2050076272027901</v>
      </c>
      <c r="U5" s="6">
        <f t="shared" si="3"/>
        <v>8.0989795825078759E-2</v>
      </c>
      <c r="V5" s="6">
        <v>0.92674759673055396</v>
      </c>
      <c r="W5" s="6">
        <v>0.13984116014494999</v>
      </c>
    </row>
    <row r="6" spans="1:23" x14ac:dyDescent="0.25">
      <c r="A6" s="5" t="s">
        <v>12</v>
      </c>
      <c r="B6" s="6">
        <v>2.2792285281778502</v>
      </c>
      <c r="C6" s="6">
        <f t="shared" si="0"/>
        <v>0.35778787215309504</v>
      </c>
      <c r="D6" s="6">
        <v>0.663434225775831</v>
      </c>
      <c r="E6" s="6">
        <v>9.9143945152060597E-2</v>
      </c>
      <c r="G6" s="5" t="s">
        <v>12</v>
      </c>
      <c r="H6" s="7">
        <v>0.62021758140125105</v>
      </c>
      <c r="I6" s="7">
        <f t="shared" si="1"/>
        <v>-0.20745592691306838</v>
      </c>
      <c r="J6" s="7">
        <v>-0.834312574960141</v>
      </c>
      <c r="K6" s="7">
        <v>-0.54160608613664096</v>
      </c>
      <c r="M6" s="5" t="s">
        <v>12</v>
      </c>
      <c r="N6" s="6">
        <v>1.50347635019633</v>
      </c>
      <c r="O6" s="6">
        <f t="shared" si="2"/>
        <v>0.17709660100320529</v>
      </c>
      <c r="P6" s="6">
        <v>0.96614890517595997</v>
      </c>
      <c r="Q6" s="6">
        <v>0.12535086320927399</v>
      </c>
      <c r="S6" s="5" t="s">
        <v>12</v>
      </c>
      <c r="T6" s="6">
        <v>1.11910970408747</v>
      </c>
      <c r="U6" s="6">
        <f t="shared" si="3"/>
        <v>4.8872661635174883E-2</v>
      </c>
      <c r="V6" s="6">
        <v>0.156816283020727</v>
      </c>
      <c r="W6" s="6">
        <v>8.9326261366187695E-2</v>
      </c>
    </row>
    <row r="7" spans="1:23" x14ac:dyDescent="0.25">
      <c r="A7" s="5" t="s">
        <v>13</v>
      </c>
      <c r="B7" s="6">
        <v>1.4480475262282899</v>
      </c>
      <c r="C7" s="6">
        <f t="shared" si="0"/>
        <v>0.16078281603237832</v>
      </c>
      <c r="D7" s="6">
        <v>0.66475177086608195</v>
      </c>
      <c r="E7" s="6">
        <v>0.21234239309632399</v>
      </c>
      <c r="G7" s="5" t="s">
        <v>13</v>
      </c>
      <c r="H7" s="7">
        <v>0.77501210984665403</v>
      </c>
      <c r="I7" s="7">
        <f t="shared" si="1"/>
        <v>-0.11069151143112253</v>
      </c>
      <c r="J7" s="7">
        <v>-0.908415578463458</v>
      </c>
      <c r="K7" s="7">
        <v>-0.17637365181995501</v>
      </c>
      <c r="M7" s="5" t="s">
        <v>13</v>
      </c>
      <c r="N7" s="6">
        <v>1.46809780024647</v>
      </c>
      <c r="O7" s="6">
        <f t="shared" si="2"/>
        <v>0.16675498793195284</v>
      </c>
      <c r="P7" s="6">
        <v>0.61110995616383801</v>
      </c>
      <c r="Q7" s="6">
        <v>0.42964915677977999</v>
      </c>
      <c r="S7" s="5" t="s">
        <v>13</v>
      </c>
      <c r="T7" s="6">
        <v>1.4074954172257299</v>
      </c>
      <c r="U7" s="6">
        <f t="shared" si="3"/>
        <v>0.14844698947235901</v>
      </c>
      <c r="V7" s="6">
        <v>0.25880560171696498</v>
      </c>
      <c r="W7" s="6">
        <v>4.6283799610675601E-2</v>
      </c>
    </row>
    <row r="8" spans="1:23" x14ac:dyDescent="0.25">
      <c r="A8" s="5" t="s">
        <v>14</v>
      </c>
      <c r="B8" s="6">
        <v>1.45242884682964</v>
      </c>
      <c r="C8" s="6">
        <f t="shared" si="0"/>
        <v>0.16209486589117289</v>
      </c>
      <c r="D8" s="6">
        <v>0.238708102284336</v>
      </c>
      <c r="E8" s="6">
        <v>0.14477972148899501</v>
      </c>
      <c r="G8" s="5" t="s">
        <v>14</v>
      </c>
      <c r="H8" s="6">
        <v>1.0770799229366299</v>
      </c>
      <c r="I8" s="6">
        <f t="shared" si="1"/>
        <v>3.2247930598373005E-2</v>
      </c>
      <c r="J8" s="6">
        <v>0.64255712913469198</v>
      </c>
      <c r="K8" s="6">
        <v>0.41389016217674901</v>
      </c>
      <c r="M8" s="5" t="s">
        <v>14</v>
      </c>
      <c r="N8" s="6">
        <v>1.29322320004102</v>
      </c>
      <c r="O8" s="6">
        <f t="shared" si="2"/>
        <v>0.11167348712372607</v>
      </c>
      <c r="P8" s="6">
        <v>0.43470959470339599</v>
      </c>
      <c r="Q8" s="6">
        <v>0.36758406997509402</v>
      </c>
      <c r="S8" s="5" t="s">
        <v>14</v>
      </c>
      <c r="T8" s="6">
        <v>1.41606982531736</v>
      </c>
      <c r="U8" s="6">
        <f t="shared" si="3"/>
        <v>0.15108466860966069</v>
      </c>
      <c r="V8" s="6">
        <v>0.52921681534296305</v>
      </c>
      <c r="W8" s="6">
        <v>3.0850994672477702E-2</v>
      </c>
    </row>
    <row r="9" spans="1:23" x14ac:dyDescent="0.25">
      <c r="A9" s="5" t="s">
        <v>16</v>
      </c>
      <c r="B9" s="6">
        <v>1.48474411958353</v>
      </c>
      <c r="C9" s="6">
        <f t="shared" si="0"/>
        <v>0.1716516139036095</v>
      </c>
      <c r="D9" s="6">
        <v>0.55431906321323399</v>
      </c>
      <c r="E9" s="6">
        <v>0.36516163611226798</v>
      </c>
      <c r="G9" s="5" t="s">
        <v>16</v>
      </c>
      <c r="H9" s="6">
        <v>1.69896635753922</v>
      </c>
      <c r="I9" s="7">
        <f t="shared" si="1"/>
        <v>0.23018477917526556</v>
      </c>
      <c r="J9" s="6">
        <v>1.0004694412552899</v>
      </c>
      <c r="K9" s="6">
        <v>0.39449354239977702</v>
      </c>
      <c r="M9" s="5" t="s">
        <v>16</v>
      </c>
      <c r="N9" s="6">
        <v>1.2870368477726899</v>
      </c>
      <c r="O9" s="6">
        <f t="shared" si="2"/>
        <v>0.10959098090226406</v>
      </c>
      <c r="P9" s="6">
        <v>0.29324836284144801</v>
      </c>
      <c r="Q9" s="6">
        <v>4.3375577562074601E-2</v>
      </c>
      <c r="S9" s="5" t="s">
        <v>15</v>
      </c>
      <c r="T9" s="6">
        <v>1.5689444337549201</v>
      </c>
      <c r="U9" s="6">
        <f t="shared" si="3"/>
        <v>0.19560756274503188</v>
      </c>
      <c r="V9" s="6">
        <v>0.71850105371235795</v>
      </c>
      <c r="W9" s="6">
        <v>0.164262280281398</v>
      </c>
    </row>
    <row r="10" spans="1:23" x14ac:dyDescent="0.25">
      <c r="A10" s="5" t="s">
        <v>18</v>
      </c>
      <c r="B10" s="6">
        <v>1.6588389001163999</v>
      </c>
      <c r="C10" s="6">
        <f t="shared" si="0"/>
        <v>0.21980421110710638</v>
      </c>
      <c r="D10" s="6">
        <v>0.49497785634638802</v>
      </c>
      <c r="E10" s="6">
        <v>4.1333778886518201E-2</v>
      </c>
      <c r="G10" s="5" t="s">
        <v>18</v>
      </c>
      <c r="H10" s="6">
        <v>0.68980819676752303</v>
      </c>
      <c r="I10" s="7">
        <f t="shared" si="1"/>
        <v>-0.16127164935721236</v>
      </c>
      <c r="J10" s="7">
        <v>-0.62247408500113799</v>
      </c>
      <c r="K10" s="7">
        <v>-0.17371472956907899</v>
      </c>
      <c r="M10" s="5" t="s">
        <v>18</v>
      </c>
      <c r="N10" s="6">
        <v>1.3490789487664501</v>
      </c>
      <c r="O10" s="6">
        <f t="shared" si="2"/>
        <v>0.13003736554318393</v>
      </c>
      <c r="P10" s="6">
        <v>0.20911471061197601</v>
      </c>
      <c r="Q10" s="6">
        <v>4.5262412029273197E-2</v>
      </c>
      <c r="S10" s="5" t="s">
        <v>17</v>
      </c>
      <c r="T10" s="6">
        <v>1.15872732148062</v>
      </c>
      <c r="U10" s="6">
        <f t="shared" si="3"/>
        <v>6.3981247258523458E-2</v>
      </c>
      <c r="V10" s="6">
        <v>0.40647074977609499</v>
      </c>
      <c r="W10" s="7">
        <v>-4.45444212598241E-2</v>
      </c>
    </row>
    <row r="11" spans="1:23" x14ac:dyDescent="0.25">
      <c r="A11" s="5" t="s">
        <v>20</v>
      </c>
      <c r="B11" s="7">
        <v>0.665445371933445</v>
      </c>
      <c r="C11" s="7">
        <f t="shared" si="0"/>
        <v>-0.17688759104076174</v>
      </c>
      <c r="D11" s="7">
        <v>-1.0305451800868599</v>
      </c>
      <c r="E11" s="7">
        <v>-4.1760232547360499E-2</v>
      </c>
      <c r="G11" s="5" t="s">
        <v>20</v>
      </c>
      <c r="H11" s="7">
        <v>0.66267278810022201</v>
      </c>
      <c r="I11" s="7">
        <f t="shared" si="1"/>
        <v>-0.17870086284870682</v>
      </c>
      <c r="J11" s="7">
        <v>-1.0273129897173701</v>
      </c>
      <c r="K11" s="7">
        <v>-4.74716361793363E-2</v>
      </c>
      <c r="M11" s="5" t="s">
        <v>20</v>
      </c>
      <c r="N11" s="7">
        <v>0.56520265738304298</v>
      </c>
      <c r="O11" s="7">
        <f t="shared" si="2"/>
        <v>-0.24779580491958866</v>
      </c>
      <c r="P11" s="7">
        <v>-1.0275595596207601</v>
      </c>
      <c r="Q11" s="7">
        <v>-6.6277814143714905E-2</v>
      </c>
      <c r="S11" s="5" t="s">
        <v>19</v>
      </c>
      <c r="T11" s="6">
        <v>1.1637562782531401</v>
      </c>
      <c r="U11" s="6">
        <f t="shared" si="3"/>
        <v>6.5862036935340984E-2</v>
      </c>
      <c r="V11" s="6">
        <v>0.401331670241585</v>
      </c>
      <c r="W11" s="6">
        <v>6.7271555006068101E-2</v>
      </c>
    </row>
    <row r="12" spans="1:23" x14ac:dyDescent="0.25">
      <c r="A12" s="5" t="s">
        <v>19</v>
      </c>
      <c r="B12" s="7">
        <v>0.84619083652769</v>
      </c>
      <c r="C12" s="7">
        <f t="shared" si="0"/>
        <v>-7.2531681991024291E-2</v>
      </c>
      <c r="D12" s="7">
        <v>-0.57708462423306806</v>
      </c>
      <c r="E12" s="7">
        <v>-7.8588218215967606E-2</v>
      </c>
      <c r="G12" s="5" t="s">
        <v>19</v>
      </c>
      <c r="H12" s="6">
        <v>1.6537701478523501</v>
      </c>
      <c r="I12" s="6">
        <f t="shared" si="1"/>
        <v>0.21847514822975025</v>
      </c>
      <c r="J12" s="6">
        <v>0.384403035464087</v>
      </c>
      <c r="K12" s="6">
        <v>5.9760012226563401E-2</v>
      </c>
      <c r="M12" s="5" t="s">
        <v>19</v>
      </c>
      <c r="N12" s="7">
        <v>0.82233612818652901</v>
      </c>
      <c r="O12" s="7">
        <f t="shared" si="2"/>
        <v>-8.4950629201643507E-2</v>
      </c>
      <c r="P12" s="7">
        <v>-0.50591021290758598</v>
      </c>
      <c r="Q12" s="7">
        <v>-0.161754895727207</v>
      </c>
      <c r="S12" s="5" t="s">
        <v>22</v>
      </c>
      <c r="T12" s="8">
        <v>1.39679058575205</v>
      </c>
      <c r="U12" s="6">
        <f t="shared" ref="U12:U37" si="4">LOG10(T12)</f>
        <v>0.14513129926404733</v>
      </c>
      <c r="V12" s="8">
        <v>0.88641107886014003</v>
      </c>
      <c r="W12" s="8">
        <v>0.103368750113241</v>
      </c>
    </row>
    <row r="13" spans="1:23" x14ac:dyDescent="0.25">
      <c r="A13" s="5" t="s">
        <v>21</v>
      </c>
      <c r="B13" s="8">
        <v>1.86943505833322</v>
      </c>
      <c r="C13" s="6">
        <f t="shared" si="0"/>
        <v>0.27171038294442207</v>
      </c>
      <c r="D13" s="8">
        <v>1.9314296164550899</v>
      </c>
      <c r="E13" s="8">
        <v>9.4513218106104094E-2</v>
      </c>
      <c r="G13" s="5" t="s">
        <v>21</v>
      </c>
      <c r="H13" s="14">
        <v>0.96641125607193401</v>
      </c>
      <c r="I13" s="7">
        <f t="shared" si="1"/>
        <v>-1.4838020339809969E-2</v>
      </c>
      <c r="J13" s="12">
        <v>0.28028790761501998</v>
      </c>
      <c r="K13" s="12">
        <v>3.4332675043980999E-2</v>
      </c>
      <c r="S13" s="5" t="s">
        <v>23</v>
      </c>
      <c r="T13" s="8">
        <v>1.2108318271354701</v>
      </c>
      <c r="U13" s="6">
        <f t="shared" si="4"/>
        <v>8.3083828015989958E-2</v>
      </c>
      <c r="V13" s="8">
        <v>0.92629163740877796</v>
      </c>
      <c r="W13" s="8">
        <v>0.11077055296162799</v>
      </c>
    </row>
    <row r="14" spans="1:23" x14ac:dyDescent="0.25">
      <c r="A14" s="5" t="s">
        <v>22</v>
      </c>
      <c r="B14" s="8">
        <v>1.3545954270153699</v>
      </c>
      <c r="C14" s="6">
        <f t="shared" si="0"/>
        <v>0.13180960513617518</v>
      </c>
      <c r="D14" s="8">
        <v>1.0089470650494099</v>
      </c>
      <c r="E14" s="8">
        <v>4.2663094228711902E-2</v>
      </c>
      <c r="G14" s="5" t="s">
        <v>22</v>
      </c>
      <c r="H14" s="14">
        <v>0.998307366622182</v>
      </c>
      <c r="I14" s="7">
        <f t="shared" si="1"/>
        <v>-7.3572416731629124E-4</v>
      </c>
      <c r="J14" s="12">
        <v>1.3951542417579801</v>
      </c>
      <c r="K14" s="12">
        <v>2.8668980226143202E-2</v>
      </c>
      <c r="S14" s="5" t="s">
        <v>24</v>
      </c>
      <c r="T14" s="8">
        <v>1.14568818263897</v>
      </c>
      <c r="U14" s="6">
        <f t="shared" si="4"/>
        <v>5.9066433524895802E-2</v>
      </c>
      <c r="V14" s="8">
        <v>0.723568252950335</v>
      </c>
      <c r="W14" s="8">
        <v>1.0650915621547401E-2</v>
      </c>
    </row>
    <row r="15" spans="1:23" x14ac:dyDescent="0.25">
      <c r="A15" s="5" t="s">
        <v>26</v>
      </c>
      <c r="B15" s="8">
        <v>1.31746197777344</v>
      </c>
      <c r="C15" s="6">
        <f t="shared" si="0"/>
        <v>0.11973809023641387</v>
      </c>
      <c r="D15" s="8">
        <v>0.66698565105034602</v>
      </c>
      <c r="E15" s="8">
        <v>8.8732929175135894E-2</v>
      </c>
      <c r="G15" s="5" t="s">
        <v>26</v>
      </c>
      <c r="H15" s="12">
        <v>1.01982556926034</v>
      </c>
      <c r="I15" s="6">
        <f t="shared" si="1"/>
        <v>8.5258964816829121E-3</v>
      </c>
      <c r="J15" s="12">
        <v>0.38831940167197898</v>
      </c>
      <c r="K15" s="12">
        <v>1.20306787922476E-2</v>
      </c>
      <c r="S15" s="5" t="s">
        <v>25</v>
      </c>
      <c r="T15" s="8">
        <v>1.10273002217056</v>
      </c>
      <c r="U15" s="6">
        <f t="shared" si="4"/>
        <v>4.2469198538698585E-2</v>
      </c>
      <c r="V15" s="8">
        <v>0.92947006080395</v>
      </c>
      <c r="W15" s="10">
        <v>-2.2683422982125001E-2</v>
      </c>
    </row>
    <row r="16" spans="1:23" x14ac:dyDescent="0.25">
      <c r="A16" s="5" t="s">
        <v>27</v>
      </c>
      <c r="B16" s="10">
        <v>0.89735303995633098</v>
      </c>
      <c r="C16" s="7">
        <f t="shared" si="0"/>
        <v>-4.7036661593077796E-2</v>
      </c>
      <c r="D16" s="8">
        <v>0.19762137224995299</v>
      </c>
      <c r="E16" s="10">
        <v>-1.9463558010346702E-2</v>
      </c>
      <c r="G16" s="5" t="s">
        <v>27</v>
      </c>
      <c r="H16" s="12">
        <v>1.0105385292601801</v>
      </c>
      <c r="I16" s="6">
        <f t="shared" si="1"/>
        <v>4.552876709402724E-3</v>
      </c>
      <c r="J16" s="12">
        <v>0.597784224122066</v>
      </c>
      <c r="K16" s="12">
        <v>2.7386597361713599E-2</v>
      </c>
      <c r="S16" s="5" t="s">
        <v>26</v>
      </c>
      <c r="T16" s="8">
        <v>1.2576523908335999</v>
      </c>
      <c r="U16" s="6">
        <f t="shared" si="4"/>
        <v>9.9560620756408508E-2</v>
      </c>
      <c r="V16" s="8">
        <v>0.77855192606860901</v>
      </c>
      <c r="W16" s="8">
        <v>0.15621819275209001</v>
      </c>
    </row>
    <row r="17" spans="1:23" x14ac:dyDescent="0.25">
      <c r="A17" s="5" t="s">
        <v>28</v>
      </c>
      <c r="B17" s="8">
        <v>1.39880081037808</v>
      </c>
      <c r="C17" s="6">
        <f t="shared" si="0"/>
        <v>0.14575587524045741</v>
      </c>
      <c r="D17" s="8">
        <v>0.54807771119966198</v>
      </c>
      <c r="E17" s="8">
        <v>0.10415722716452799</v>
      </c>
      <c r="G17" s="5" t="s">
        <v>28</v>
      </c>
      <c r="H17" s="12">
        <v>1.04413498578157</v>
      </c>
      <c r="I17" s="6">
        <f t="shared" si="1"/>
        <v>1.8756647890840521E-2</v>
      </c>
      <c r="J17" s="12">
        <v>0.92934562720262803</v>
      </c>
      <c r="K17" s="12">
        <v>2.8615745110634201E-2</v>
      </c>
      <c r="S17" s="5" t="s">
        <v>27</v>
      </c>
      <c r="T17" s="8">
        <v>1.24807759229999</v>
      </c>
      <c r="U17" s="6">
        <f t="shared" si="4"/>
        <v>9.6241586035677562E-2</v>
      </c>
      <c r="V17" s="8">
        <v>0.55577143716833499</v>
      </c>
      <c r="W17" s="8">
        <v>0.15071577677020101</v>
      </c>
    </row>
    <row r="18" spans="1:23" x14ac:dyDescent="0.25">
      <c r="A18" s="5" t="s">
        <v>29</v>
      </c>
      <c r="B18" s="8">
        <v>1.2210038373368299</v>
      </c>
      <c r="C18" s="6">
        <f t="shared" si="0"/>
        <v>8.6717028835620949E-2</v>
      </c>
      <c r="D18" s="8">
        <v>0.10106112243990099</v>
      </c>
      <c r="E18" s="8">
        <v>4.66251429291673E-2</v>
      </c>
      <c r="G18" s="5" t="s">
        <v>29</v>
      </c>
      <c r="H18" s="12">
        <v>1.04959681992682</v>
      </c>
      <c r="I18" s="6">
        <f t="shared" si="1"/>
        <v>2.1022506206197909E-2</v>
      </c>
      <c r="J18" s="14">
        <v>-0.33094957948560899</v>
      </c>
      <c r="K18" s="12">
        <v>4.4113621235337297E-2</v>
      </c>
      <c r="S18" s="5" t="s">
        <v>28</v>
      </c>
      <c r="T18" s="8">
        <v>1.42877693896201</v>
      </c>
      <c r="U18" s="6">
        <f t="shared" si="4"/>
        <v>0.15496443191235268</v>
      </c>
      <c r="V18" s="8">
        <v>0.33551375674123601</v>
      </c>
      <c r="W18" s="8">
        <v>5.5397551503622099E-2</v>
      </c>
    </row>
    <row r="19" spans="1:23" x14ac:dyDescent="0.25">
      <c r="A19" s="5" t="s">
        <v>30</v>
      </c>
      <c r="B19" s="8">
        <v>1.5249018262283101</v>
      </c>
      <c r="C19" s="6">
        <f t="shared" si="0"/>
        <v>0.18324188453542448</v>
      </c>
      <c r="D19" s="8">
        <v>0.50902572287082404</v>
      </c>
      <c r="E19" s="8">
        <v>9.0894558490112708E-3</v>
      </c>
      <c r="G19" s="5" t="s">
        <v>30</v>
      </c>
      <c r="H19" s="14">
        <v>0.97400899474341096</v>
      </c>
      <c r="I19" s="7">
        <f t="shared" si="1"/>
        <v>-1.1437032495725058E-2</v>
      </c>
      <c r="J19" s="14">
        <v>-0.27375631737886102</v>
      </c>
      <c r="K19" s="14">
        <v>-8.0536265843332393E-3</v>
      </c>
      <c r="S19" s="5" t="s">
        <v>29</v>
      </c>
      <c r="T19" s="8">
        <v>1.33941755807892</v>
      </c>
      <c r="U19" s="6">
        <f t="shared" si="4"/>
        <v>0.12691598769170023</v>
      </c>
      <c r="V19" s="8">
        <v>0.63731372986403501</v>
      </c>
      <c r="W19" s="8">
        <v>6.9883057908481996E-2</v>
      </c>
    </row>
    <row r="20" spans="1:23" x14ac:dyDescent="0.25">
      <c r="A20" s="5" t="s">
        <v>33</v>
      </c>
      <c r="B20" s="8">
        <v>1.36678278361715</v>
      </c>
      <c r="C20" s="6">
        <f t="shared" si="0"/>
        <v>0.13569949966494516</v>
      </c>
      <c r="D20" s="8">
        <v>0.463447965306029</v>
      </c>
      <c r="E20" s="8">
        <v>2.0373962034653699E-2</v>
      </c>
      <c r="G20" s="5" t="s">
        <v>33</v>
      </c>
      <c r="H20" s="12">
        <v>1.03922347944993</v>
      </c>
      <c r="I20" s="6">
        <f t="shared" si="1"/>
        <v>1.6708950305493162E-2</v>
      </c>
      <c r="J20" s="12">
        <v>0.59399199353963394</v>
      </c>
      <c r="K20" s="12">
        <v>2.7450804091866201E-2</v>
      </c>
      <c r="S20" s="5" t="s">
        <v>30</v>
      </c>
      <c r="T20" s="8">
        <v>1.3769164984553499</v>
      </c>
      <c r="U20" s="6">
        <f t="shared" si="4"/>
        <v>0.13890760375753933</v>
      </c>
      <c r="V20" s="10">
        <v>-0.44248745305980902</v>
      </c>
      <c r="W20" s="8">
        <v>7.8645648239850305E-2</v>
      </c>
    </row>
    <row r="21" spans="1:23" x14ac:dyDescent="0.25">
      <c r="A21" s="5" t="s">
        <v>35</v>
      </c>
      <c r="B21" s="8">
        <v>1.8695993339197901</v>
      </c>
      <c r="C21" s="6">
        <f t="shared" si="0"/>
        <v>0.27174854465855475</v>
      </c>
      <c r="D21" s="8">
        <v>0.44896728093636801</v>
      </c>
      <c r="E21" s="8">
        <v>2.4947102971666898E-2</v>
      </c>
      <c r="G21" s="5" t="s">
        <v>35</v>
      </c>
      <c r="H21" s="12">
        <v>1.0683907677478099</v>
      </c>
      <c r="I21" s="6">
        <f t="shared" si="1"/>
        <v>2.8730126510037885E-2</v>
      </c>
      <c r="J21" s="12">
        <v>0.74870138294766397</v>
      </c>
      <c r="K21" s="12">
        <v>6.5697545304297195E-2</v>
      </c>
      <c r="S21" s="5" t="s">
        <v>31</v>
      </c>
      <c r="T21" s="8">
        <v>1.66488624253968</v>
      </c>
      <c r="U21" s="6">
        <f t="shared" si="4"/>
        <v>0.22138456461405814</v>
      </c>
      <c r="V21" s="8">
        <v>0.73952445342362605</v>
      </c>
      <c r="W21" s="8">
        <v>0.17832892113485599</v>
      </c>
    </row>
    <row r="22" spans="1:23" x14ac:dyDescent="0.25">
      <c r="A22" s="5" t="s">
        <v>36</v>
      </c>
      <c r="B22" s="8">
        <v>1.21795864622288</v>
      </c>
      <c r="C22" s="6">
        <f t="shared" si="0"/>
        <v>8.5632542794309818E-2</v>
      </c>
      <c r="D22" s="8">
        <v>1.5264059910121399</v>
      </c>
      <c r="E22" s="8">
        <v>9.6293174744729593E-3</v>
      </c>
      <c r="G22" s="5" t="s">
        <v>36</v>
      </c>
      <c r="H22" s="12">
        <v>1.13117180110701</v>
      </c>
      <c r="I22" s="6">
        <f t="shared" si="1"/>
        <v>5.3528570094737521E-2</v>
      </c>
      <c r="J22" s="12">
        <v>1.1019405303793299</v>
      </c>
      <c r="K22" s="12">
        <v>0.132436068542756</v>
      </c>
      <c r="S22" s="5" t="s">
        <v>32</v>
      </c>
      <c r="T22" s="8">
        <v>1.1538999764416</v>
      </c>
      <c r="U22" s="6">
        <f t="shared" si="4"/>
        <v>6.2168164485084561E-2</v>
      </c>
      <c r="V22" s="8">
        <v>9.3645385178040705E-2</v>
      </c>
      <c r="W22" s="8">
        <v>2.1496979213356301E-3</v>
      </c>
    </row>
    <row r="23" spans="1:23" x14ac:dyDescent="0.25">
      <c r="A23" s="5" t="s">
        <v>37</v>
      </c>
      <c r="B23" s="8">
        <v>1.0299659938988901</v>
      </c>
      <c r="C23" s="6">
        <f t="shared" si="0"/>
        <v>1.2822885961612207E-2</v>
      </c>
      <c r="D23" s="8">
        <v>0.71671353985517805</v>
      </c>
      <c r="E23" s="8">
        <v>0.14608753400636901</v>
      </c>
      <c r="G23" s="5" t="s">
        <v>37</v>
      </c>
      <c r="H23" s="14">
        <v>0.99421602518435603</v>
      </c>
      <c r="I23" s="7">
        <f t="shared" si="1"/>
        <v>-2.5192410028456592E-3</v>
      </c>
      <c r="J23" s="12">
        <v>0.17884914222762199</v>
      </c>
      <c r="K23" s="14">
        <v>-4.2076076707890497E-3</v>
      </c>
      <c r="S23" s="5" t="s">
        <v>33</v>
      </c>
      <c r="T23" s="8">
        <v>1.5749763159783401</v>
      </c>
      <c r="U23" s="6">
        <f t="shared" si="4"/>
        <v>0.197274027384506</v>
      </c>
      <c r="V23" s="8">
        <v>0.78100360785877099</v>
      </c>
      <c r="W23" s="8">
        <v>0.101236914763633</v>
      </c>
    </row>
    <row r="24" spans="1:23" x14ac:dyDescent="0.25">
      <c r="A24" s="5" t="s">
        <v>40</v>
      </c>
      <c r="B24" s="8">
        <v>1.1534447144942801</v>
      </c>
      <c r="C24" s="6">
        <f t="shared" si="0"/>
        <v>6.1996783282367796E-2</v>
      </c>
      <c r="D24" s="8">
        <v>0.678678630991426</v>
      </c>
      <c r="E24" s="8">
        <v>1.27691539373017E-2</v>
      </c>
      <c r="G24" s="5" t="s">
        <v>40</v>
      </c>
      <c r="H24" s="12">
        <v>1.04764110720538</v>
      </c>
      <c r="I24" s="6">
        <f t="shared" si="1"/>
        <v>2.0212530877868819E-2</v>
      </c>
      <c r="J24" s="12">
        <v>1.10062768451704</v>
      </c>
      <c r="K24" s="12">
        <v>9.2876994447724404E-2</v>
      </c>
      <c r="S24" s="5" t="s">
        <v>34</v>
      </c>
      <c r="T24" s="8">
        <v>1.3735151389442699</v>
      </c>
      <c r="U24" s="6">
        <f t="shared" si="4"/>
        <v>0.13783345059584137</v>
      </c>
      <c r="V24" s="8">
        <v>0.76865077228085099</v>
      </c>
      <c r="W24" s="8">
        <v>0.107400232693555</v>
      </c>
    </row>
    <row r="25" spans="1:23" x14ac:dyDescent="0.25">
      <c r="A25" s="5" t="s">
        <v>41</v>
      </c>
      <c r="B25" s="8">
        <v>1.6625275928143599</v>
      </c>
      <c r="C25" s="6">
        <f t="shared" si="0"/>
        <v>0.22076886197969703</v>
      </c>
      <c r="D25" s="8">
        <v>0.81343884511072295</v>
      </c>
      <c r="E25" s="8">
        <v>6.7576112725014403E-2</v>
      </c>
      <c r="G25" s="5" t="s">
        <v>41</v>
      </c>
      <c r="H25" s="12">
        <v>1.1477045338510801</v>
      </c>
      <c r="I25" s="6">
        <f t="shared" si="1"/>
        <v>5.9830097265812149E-2</v>
      </c>
      <c r="J25" s="12">
        <v>0.97101599927504101</v>
      </c>
      <c r="K25" s="12">
        <v>8.3834633446242604E-2</v>
      </c>
      <c r="S25" s="5" t="s">
        <v>36</v>
      </c>
      <c r="T25" s="8">
        <v>1.4368219825375701</v>
      </c>
      <c r="U25" s="6">
        <f t="shared" si="4"/>
        <v>0.15740296382610611</v>
      </c>
      <c r="V25" s="8">
        <v>0.96854380596042999</v>
      </c>
      <c r="W25" s="8">
        <v>0.198594884621278</v>
      </c>
    </row>
    <row r="26" spans="1:23" x14ac:dyDescent="0.25">
      <c r="A26" s="5" t="s">
        <v>42</v>
      </c>
      <c r="B26" s="10">
        <v>0.83858009935182098</v>
      </c>
      <c r="C26" s="7">
        <f t="shared" si="0"/>
        <v>-7.6455448209867299E-2</v>
      </c>
      <c r="D26" s="10">
        <v>-1.07855599689062</v>
      </c>
      <c r="E26" s="10">
        <v>-0.35416666689988402</v>
      </c>
      <c r="G26" s="5" t="s">
        <v>42</v>
      </c>
      <c r="H26" s="12">
        <v>1.1126612766097499</v>
      </c>
      <c r="I26" s="6">
        <f t="shared" si="1"/>
        <v>4.6362973779066348E-2</v>
      </c>
      <c r="J26" s="12">
        <v>0.95380985457733503</v>
      </c>
      <c r="K26" s="12">
        <v>4.4857179056258203E-2</v>
      </c>
      <c r="S26" s="5" t="s">
        <v>37</v>
      </c>
      <c r="T26" s="8">
        <v>1.1632876834321</v>
      </c>
      <c r="U26" s="6">
        <f t="shared" si="4"/>
        <v>6.5687129927886334E-2</v>
      </c>
      <c r="V26" s="8">
        <v>0.91285830032378401</v>
      </c>
      <c r="W26" s="8">
        <v>6.8212961854365706E-2</v>
      </c>
    </row>
    <row r="27" spans="1:23" x14ac:dyDescent="0.25">
      <c r="A27" s="5" t="s">
        <v>43</v>
      </c>
      <c r="B27" s="8">
        <v>2.31938512736013</v>
      </c>
      <c r="C27" s="6">
        <f t="shared" si="0"/>
        <v>0.36537286799984553</v>
      </c>
      <c r="D27" s="8">
        <v>1.34776836410395</v>
      </c>
      <c r="E27" s="8">
        <v>4.5646344187588998E-2</v>
      </c>
      <c r="G27" s="5" t="s">
        <v>43</v>
      </c>
      <c r="H27" s="12">
        <v>1.2530304455719099</v>
      </c>
      <c r="I27" s="6">
        <f t="shared" si="1"/>
        <v>9.7961623414933932E-2</v>
      </c>
      <c r="J27" s="12">
        <v>1.1029723476739599</v>
      </c>
      <c r="K27" s="12">
        <v>7.6664996000854094E-2</v>
      </c>
      <c r="S27" s="5" t="s">
        <v>38</v>
      </c>
      <c r="T27" s="8">
        <v>1.1661766362910899</v>
      </c>
      <c r="U27" s="6">
        <f t="shared" si="4"/>
        <v>6.6764336320578821E-2</v>
      </c>
      <c r="V27" s="8">
        <v>0.69952356032694896</v>
      </c>
      <c r="W27" s="8">
        <v>4.9611646415268197E-2</v>
      </c>
    </row>
    <row r="28" spans="1:23" x14ac:dyDescent="0.25">
      <c r="A28" s="5" t="s">
        <v>44</v>
      </c>
      <c r="B28" s="8">
        <v>1.66955637894203</v>
      </c>
      <c r="C28" s="6">
        <f t="shared" si="0"/>
        <v>0.22260108924843011</v>
      </c>
      <c r="D28" s="8">
        <v>0.55456789410428697</v>
      </c>
      <c r="E28" s="8">
        <v>1.47909285306715E-2</v>
      </c>
      <c r="G28" s="5" t="s">
        <v>44</v>
      </c>
      <c r="H28" s="12">
        <v>1.0813804129035001</v>
      </c>
      <c r="I28" s="6">
        <f t="shared" si="1"/>
        <v>3.3978498913578563E-2</v>
      </c>
      <c r="J28" s="12">
        <v>0.52079829390269505</v>
      </c>
      <c r="K28" s="12">
        <v>2.1219861817338499E-2</v>
      </c>
      <c r="S28" s="5" t="s">
        <v>39</v>
      </c>
      <c r="T28" s="8">
        <v>1.1611078257792899</v>
      </c>
      <c r="U28" s="6">
        <f t="shared" si="4"/>
        <v>6.4872552181767323E-2</v>
      </c>
      <c r="V28" s="8">
        <v>0.97668665464899096</v>
      </c>
      <c r="W28" s="8">
        <v>0.107447815904682</v>
      </c>
    </row>
    <row r="29" spans="1:23" x14ac:dyDescent="0.25">
      <c r="A29" s="5" t="s">
        <v>45</v>
      </c>
      <c r="B29" s="9"/>
      <c r="C29" s="11"/>
      <c r="D29" s="8">
        <v>0.70468449804027899</v>
      </c>
      <c r="E29" s="8">
        <v>3.5842816756479302E-2</v>
      </c>
      <c r="G29" s="5" t="s">
        <v>45</v>
      </c>
      <c r="H29" s="12">
        <v>1.2134925086481201</v>
      </c>
      <c r="I29" s="6">
        <f t="shared" si="1"/>
        <v>8.4037099610824728E-2</v>
      </c>
      <c r="J29" s="12">
        <v>0.94175163201491896</v>
      </c>
      <c r="K29" s="12">
        <v>8.5275451626537893E-2</v>
      </c>
      <c r="S29" s="5" t="s">
        <v>40</v>
      </c>
      <c r="T29" s="8">
        <v>1.2283054504143001</v>
      </c>
      <c r="U29" s="6">
        <f t="shared" si="4"/>
        <v>8.9306378966329397E-2</v>
      </c>
      <c r="V29" s="8">
        <v>0.33582626900186402</v>
      </c>
      <c r="W29" s="8">
        <v>0.39411883766970102</v>
      </c>
    </row>
    <row r="30" spans="1:23" x14ac:dyDescent="0.25">
      <c r="A30" s="5" t="s">
        <v>46</v>
      </c>
      <c r="B30" s="10">
        <v>0.90805045415642205</v>
      </c>
      <c r="C30" s="7">
        <f t="shared" si="0"/>
        <v>-4.1890020032920458E-2</v>
      </c>
      <c r="D30" s="10">
        <v>-0.373253605455523</v>
      </c>
      <c r="E30" s="10">
        <v>-4.0383997186219003E-2</v>
      </c>
      <c r="G30" s="5" t="s">
        <v>46</v>
      </c>
      <c r="H30" s="12">
        <v>1.08380817355586</v>
      </c>
      <c r="I30" s="6">
        <f t="shared" si="1"/>
        <v>3.4952421927176971E-2</v>
      </c>
      <c r="J30" s="12">
        <v>0.28231733716004298</v>
      </c>
      <c r="K30" s="12">
        <v>3.1629539106965802E-2</v>
      </c>
      <c r="S30" s="5" t="s">
        <v>41</v>
      </c>
      <c r="T30" s="8">
        <v>1.2985932043400299</v>
      </c>
      <c r="U30" s="6">
        <f t="shared" si="4"/>
        <v>0.11347312583894865</v>
      </c>
      <c r="V30" s="8">
        <v>0.52794332050181203</v>
      </c>
      <c r="W30" s="8">
        <v>9.0698601563059603E-2</v>
      </c>
    </row>
    <row r="31" spans="1:23" x14ac:dyDescent="0.25">
      <c r="A31" s="5" t="s">
        <v>47</v>
      </c>
      <c r="B31" s="8">
        <v>1.0862889042163599</v>
      </c>
      <c r="C31" s="6">
        <f t="shared" si="0"/>
        <v>3.5945343504069888E-2</v>
      </c>
      <c r="D31" s="8">
        <v>0.63056904760694898</v>
      </c>
      <c r="E31" s="8">
        <v>3.6679485231980898E-2</v>
      </c>
      <c r="G31" s="5" t="s">
        <v>47</v>
      </c>
      <c r="H31" s="12">
        <v>1.0367372638660399</v>
      </c>
      <c r="I31" s="6">
        <f t="shared" si="1"/>
        <v>1.5668708837912649E-2</v>
      </c>
      <c r="J31" s="12">
        <v>0.55097576187408004</v>
      </c>
      <c r="K31" s="12">
        <v>4.3964016574286002E-2</v>
      </c>
      <c r="S31" s="5" t="s">
        <v>42</v>
      </c>
      <c r="T31" s="8">
        <v>1.25880991704892</v>
      </c>
      <c r="U31" s="6">
        <f t="shared" si="4"/>
        <v>9.9960155676404691E-2</v>
      </c>
      <c r="V31" s="8">
        <v>0.94081849763111403</v>
      </c>
      <c r="W31" s="8">
        <v>9.9852529707758195E-2</v>
      </c>
    </row>
    <row r="32" spans="1:23" x14ac:dyDescent="0.25">
      <c r="A32" s="5" t="s">
        <v>48</v>
      </c>
      <c r="B32" s="10">
        <v>0.39254775269290398</v>
      </c>
      <c r="C32" s="7">
        <f t="shared" si="0"/>
        <v>-0.40610750460138001</v>
      </c>
      <c r="D32" s="10">
        <v>-0.623899602892661</v>
      </c>
      <c r="E32" s="10">
        <v>-0.76160033358371604</v>
      </c>
      <c r="G32" s="5" t="s">
        <v>48</v>
      </c>
      <c r="H32" s="12">
        <v>1.1282134088167699</v>
      </c>
      <c r="I32" s="6">
        <f t="shared" si="1"/>
        <v>5.2391257010121609E-2</v>
      </c>
      <c r="J32" s="12">
        <v>0.99053604379690696</v>
      </c>
      <c r="K32" s="12">
        <v>5.3048699734524599E-2</v>
      </c>
      <c r="S32" s="5" t="s">
        <v>43</v>
      </c>
      <c r="T32" s="8">
        <v>1.2914529576795399</v>
      </c>
      <c r="U32" s="6">
        <f t="shared" si="4"/>
        <v>0.11107859123540517</v>
      </c>
      <c r="V32" s="8">
        <v>0.445945938664987</v>
      </c>
      <c r="W32" s="8">
        <v>5.5815481283492403E-2</v>
      </c>
    </row>
    <row r="33" spans="1:23" x14ac:dyDescent="0.25">
      <c r="S33" s="5" t="s">
        <v>44</v>
      </c>
      <c r="T33" s="8">
        <v>1.2886907903199001</v>
      </c>
      <c r="U33" s="6">
        <f t="shared" si="4"/>
        <v>0.11014872482653605</v>
      </c>
      <c r="V33" s="10">
        <v>-0.136935986249347</v>
      </c>
      <c r="W33" s="8">
        <v>9.5391388976058394E-2</v>
      </c>
    </row>
    <row r="34" spans="1:23" x14ac:dyDescent="0.25">
      <c r="S34" s="5" t="s">
        <v>45</v>
      </c>
      <c r="T34" s="8">
        <v>1.39612401914989</v>
      </c>
      <c r="U34" s="6">
        <f t="shared" si="4"/>
        <v>0.14492399883164073</v>
      </c>
      <c r="V34" s="8">
        <v>0.97165157928161605</v>
      </c>
      <c r="W34" s="8">
        <v>9.9540545016305104E-2</v>
      </c>
    </row>
    <row r="35" spans="1:23" x14ac:dyDescent="0.25">
      <c r="S35" s="5" t="s">
        <v>46</v>
      </c>
      <c r="T35" s="8">
        <v>1.15490049713987</v>
      </c>
      <c r="U35" s="6">
        <f t="shared" si="4"/>
        <v>6.2544568293434938E-2</v>
      </c>
      <c r="V35" s="8">
        <v>0.47813963463856402</v>
      </c>
      <c r="W35" s="8">
        <v>0.115227328160236</v>
      </c>
    </row>
    <row r="36" spans="1:23" x14ac:dyDescent="0.25">
      <c r="S36" s="5" t="s">
        <v>47</v>
      </c>
      <c r="T36" s="8">
        <v>1.6223687074200499</v>
      </c>
      <c r="U36" s="6">
        <f t="shared" si="4"/>
        <v>0.21014956097310067</v>
      </c>
      <c r="V36" s="8">
        <v>0.74242380847501299</v>
      </c>
      <c r="W36" s="8">
        <v>0.157732693122626</v>
      </c>
    </row>
    <row r="37" spans="1:23" ht="34.5" customHeight="1" x14ac:dyDescent="0.25">
      <c r="A37" s="16" t="s">
        <v>59</v>
      </c>
      <c r="B37" s="17" t="s">
        <v>58</v>
      </c>
      <c r="C37" s="21" t="s">
        <v>60</v>
      </c>
      <c r="D37" s="17" t="s">
        <v>49</v>
      </c>
      <c r="E37" s="17" t="s">
        <v>50</v>
      </c>
      <c r="F37" s="17" t="s">
        <v>57</v>
      </c>
      <c r="G37" s="17" t="s">
        <v>51</v>
      </c>
      <c r="H37" s="18" t="s">
        <v>52</v>
      </c>
      <c r="I37" s="17" t="s">
        <v>53</v>
      </c>
      <c r="J37" s="17" t="s">
        <v>54</v>
      </c>
      <c r="K37" s="17" t="s">
        <v>55</v>
      </c>
      <c r="L37" s="17" t="s">
        <v>56</v>
      </c>
      <c r="S37" s="5" t="s">
        <v>48</v>
      </c>
      <c r="T37" s="8">
        <v>1.4572146309152101</v>
      </c>
      <c r="U37" s="6">
        <f t="shared" si="4"/>
        <v>0.16352352305151571</v>
      </c>
      <c r="V37" s="8">
        <v>0.80433038241724497</v>
      </c>
      <c r="W37" s="8">
        <v>0.121156039239802</v>
      </c>
    </row>
    <row r="38" spans="1:23" x14ac:dyDescent="0.25">
      <c r="A38" s="5" t="s">
        <v>9</v>
      </c>
      <c r="B38" s="6">
        <v>0.78479742735639801</v>
      </c>
      <c r="C38" s="6">
        <v>0.57681691180727601</v>
      </c>
      <c r="M38" s="5"/>
    </row>
    <row r="39" spans="1:23" x14ac:dyDescent="0.25">
      <c r="A39" s="5" t="s">
        <v>11</v>
      </c>
      <c r="B39" s="6">
        <v>0.17369777575697301</v>
      </c>
      <c r="C39" s="6">
        <v>0.13984116014494999</v>
      </c>
      <c r="D39" s="13">
        <v>66.912425378311355</v>
      </c>
      <c r="E39" s="15">
        <v>57.726100000000002</v>
      </c>
      <c r="F39" s="5">
        <v>9023.75</v>
      </c>
      <c r="G39" s="5">
        <v>9023.75</v>
      </c>
      <c r="H39" s="13">
        <v>1.0628417845850735</v>
      </c>
      <c r="I39" s="15">
        <v>1.1737788669959504</v>
      </c>
      <c r="J39" s="15">
        <v>4</v>
      </c>
      <c r="K39" s="15">
        <v>28.480729852499898</v>
      </c>
      <c r="L39" s="13">
        <v>0.30708458237534503</v>
      </c>
      <c r="M39" s="5"/>
    </row>
    <row r="40" spans="1:23" x14ac:dyDescent="0.25">
      <c r="A40" s="5" t="s">
        <v>12</v>
      </c>
      <c r="B40" s="6">
        <v>9.9143945152060597E-2</v>
      </c>
      <c r="C40" s="6">
        <v>8.9326261366187695E-2</v>
      </c>
      <c r="D40" s="13">
        <v>72.370164511034233</v>
      </c>
      <c r="E40" s="15">
        <v>49.091801670000002</v>
      </c>
      <c r="F40" s="5">
        <v>118.5</v>
      </c>
      <c r="G40" s="5">
        <v>118.5</v>
      </c>
      <c r="H40" s="13">
        <v>1.0325844789064453</v>
      </c>
      <c r="I40" s="15">
        <v>1.0182769682576838</v>
      </c>
      <c r="J40" s="15">
        <v>1.1385255280790201</v>
      </c>
      <c r="K40" s="15">
        <v>0.666171575153233</v>
      </c>
      <c r="L40" s="13">
        <v>0.49664162355941199</v>
      </c>
      <c r="M40" s="5"/>
      <c r="N40" s="5"/>
      <c r="O40" s="9"/>
    </row>
    <row r="41" spans="1:23" x14ac:dyDescent="0.25">
      <c r="A41" s="5" t="s">
        <v>13</v>
      </c>
      <c r="B41" s="6">
        <v>0.21234239309632399</v>
      </c>
      <c r="C41" s="6">
        <v>4.6283799610675601E-2</v>
      </c>
      <c r="D41" s="13">
        <v>77.803592516854394</v>
      </c>
      <c r="E41" s="15">
        <v>187</v>
      </c>
      <c r="F41" s="5">
        <v>2036.95</v>
      </c>
      <c r="G41" s="5">
        <v>2060.9499999999998</v>
      </c>
      <c r="H41" s="13">
        <v>1.025239233557502</v>
      </c>
      <c r="I41" s="15">
        <v>1</v>
      </c>
      <c r="J41" s="15">
        <v>0</v>
      </c>
      <c r="K41" s="15">
        <v>0</v>
      </c>
      <c r="L41" s="13"/>
      <c r="M41" s="5"/>
      <c r="N41" s="5"/>
      <c r="O41" s="9"/>
    </row>
    <row r="42" spans="1:23" x14ac:dyDescent="0.25">
      <c r="A42" s="5" t="s">
        <v>20</v>
      </c>
      <c r="B42" s="7">
        <v>-4.1760232547360499E-2</v>
      </c>
      <c r="D42" s="13">
        <v>66.341763171136677</v>
      </c>
      <c r="E42" s="15">
        <v>37.6</v>
      </c>
      <c r="F42" s="5">
        <v>413.75</v>
      </c>
      <c r="G42" s="5">
        <v>1130.25</v>
      </c>
      <c r="H42" s="13">
        <v>1.063728040781146</v>
      </c>
      <c r="I42" s="15">
        <v>1.045397189964473</v>
      </c>
      <c r="J42" s="15">
        <v>4.5222851684946201</v>
      </c>
      <c r="K42" s="15">
        <v>5.7971200506894904</v>
      </c>
      <c r="L42" s="13">
        <v>-0.27417249103342101</v>
      </c>
      <c r="M42" s="5"/>
      <c r="N42" s="5"/>
      <c r="O42" s="9"/>
    </row>
    <row r="43" spans="1:23" x14ac:dyDescent="0.25">
      <c r="A43" s="5" t="s">
        <v>26</v>
      </c>
      <c r="B43" s="8">
        <v>8.8732929175135894E-2</v>
      </c>
      <c r="C43" s="8">
        <v>0.15621819275209001</v>
      </c>
      <c r="D43" s="13">
        <v>113.72040256</v>
      </c>
      <c r="E43" s="13">
        <v>9.7677034200000001</v>
      </c>
      <c r="F43" s="5">
        <v>21</v>
      </c>
      <c r="G43" s="5">
        <v>21</v>
      </c>
      <c r="H43" s="9">
        <v>1.0119508062412015</v>
      </c>
      <c r="I43" s="9">
        <v>1.0119508062412015</v>
      </c>
      <c r="J43" s="13">
        <v>8.1761484496582497</v>
      </c>
      <c r="K43" s="13">
        <v>5.4523947827090398</v>
      </c>
      <c r="L43" s="13">
        <v>0.19059894727801999</v>
      </c>
      <c r="M43" s="5"/>
      <c r="N43" s="5"/>
      <c r="O43" s="9"/>
    </row>
    <row r="44" spans="1:23" x14ac:dyDescent="0.25">
      <c r="A44" s="5" t="s">
        <v>28</v>
      </c>
      <c r="B44" s="8">
        <v>0.10415722716452799</v>
      </c>
      <c r="C44" s="8">
        <v>5.5397551503622099E-2</v>
      </c>
      <c r="D44" s="13">
        <v>112.66319882000001</v>
      </c>
      <c r="E44" s="13">
        <v>14.369724039999999</v>
      </c>
      <c r="F44" s="5">
        <v>75</v>
      </c>
      <c r="G44" s="5">
        <v>96.5</v>
      </c>
      <c r="H44" s="9">
        <v>1.0239451393319936</v>
      </c>
      <c r="I44" s="9">
        <v>1.0239451393319936</v>
      </c>
      <c r="J44" s="13">
        <v>19.594840851392899</v>
      </c>
      <c r="K44" s="13">
        <v>33.895949402833203</v>
      </c>
      <c r="L44" s="13">
        <v>0.499861288181496</v>
      </c>
      <c r="M44" s="5"/>
      <c r="N44" s="5"/>
      <c r="O44" s="9"/>
      <c r="P44" s="19"/>
      <c r="Q44" s="19"/>
      <c r="R44" s="19"/>
      <c r="S44" s="19"/>
      <c r="T44" s="19"/>
      <c r="U44" s="20"/>
      <c r="V44" s="20"/>
    </row>
    <row r="45" spans="1:23" x14ac:dyDescent="0.25">
      <c r="A45" s="5" t="s">
        <v>29</v>
      </c>
      <c r="B45" s="8">
        <v>4.66251429291673E-2</v>
      </c>
      <c r="C45" s="8">
        <v>6.9883057908481996E-2</v>
      </c>
      <c r="D45" s="13">
        <v>114.89097618</v>
      </c>
      <c r="E45" s="13">
        <v>19.197853511999998</v>
      </c>
      <c r="F45" s="5">
        <v>47.5</v>
      </c>
      <c r="G45" s="5">
        <v>47.5</v>
      </c>
      <c r="H45" s="9">
        <v>1.0275460447393339</v>
      </c>
      <c r="I45" s="9">
        <v>1.0275460447393339</v>
      </c>
      <c r="J45" s="13">
        <v>17.2552427011953</v>
      </c>
      <c r="K45" s="13">
        <v>32.177431699139497</v>
      </c>
      <c r="L45" s="13">
        <v>0.40695810522245701</v>
      </c>
      <c r="M45" s="5"/>
      <c r="N45" s="5"/>
      <c r="O45" s="9"/>
    </row>
    <row r="46" spans="1:23" x14ac:dyDescent="0.25">
      <c r="A46" s="5" t="s">
        <v>30</v>
      </c>
      <c r="B46" s="8">
        <v>9.0894558490112708E-3</v>
      </c>
      <c r="C46" s="8">
        <v>7.8645648239850305E-2</v>
      </c>
      <c r="D46" s="13">
        <v>116.55531655999999</v>
      </c>
      <c r="E46" s="13">
        <v>45.413344000000002</v>
      </c>
      <c r="F46" s="5">
        <v>23.5</v>
      </c>
      <c r="G46" s="5">
        <v>23.5</v>
      </c>
      <c r="H46" s="9">
        <v>1.0275826446035865</v>
      </c>
      <c r="I46" s="9">
        <v>1.0275826446035865</v>
      </c>
      <c r="J46" s="13">
        <v>17.024424898784201</v>
      </c>
      <c r="K46" s="13">
        <v>31.253302872972</v>
      </c>
      <c r="L46" s="13">
        <v>5.4056282725128302E-2</v>
      </c>
      <c r="M46" s="5"/>
      <c r="N46" s="5"/>
      <c r="O46" s="9"/>
    </row>
    <row r="47" spans="1:23" x14ac:dyDescent="0.25">
      <c r="A47" s="5" t="s">
        <v>33</v>
      </c>
      <c r="B47" s="8">
        <v>2.0373962034653699E-2</v>
      </c>
      <c r="C47" s="8">
        <v>0.101236914763633</v>
      </c>
      <c r="D47" s="13">
        <v>115.75512236</v>
      </c>
      <c r="E47" s="13">
        <v>27.244893999999999</v>
      </c>
      <c r="F47" s="5">
        <v>23.75</v>
      </c>
      <c r="G47" s="5">
        <v>23.75</v>
      </c>
      <c r="H47" s="9">
        <v>1.111235100018195</v>
      </c>
      <c r="I47" s="9">
        <v>1.111235100018195</v>
      </c>
      <c r="J47" s="13">
        <v>21.9579587943592</v>
      </c>
      <c r="K47" s="13">
        <v>175.86248095131899</v>
      </c>
      <c r="L47" s="13">
        <v>0.45125668170602201</v>
      </c>
      <c r="N47" s="5"/>
      <c r="O47" s="9"/>
    </row>
    <row r="48" spans="1:23" x14ac:dyDescent="0.25">
      <c r="N48" s="5"/>
      <c r="O48" s="9"/>
    </row>
    <row r="49" spans="1:22" x14ac:dyDescent="0.25">
      <c r="N49" s="5"/>
      <c r="O49" s="9"/>
    </row>
    <row r="50" spans="1:22" x14ac:dyDescent="0.25">
      <c r="A50" s="5"/>
      <c r="B50" s="9"/>
      <c r="C50" s="9"/>
      <c r="D50" s="13"/>
      <c r="E50" s="9"/>
      <c r="F50" s="5"/>
      <c r="G50" s="5"/>
      <c r="H50" s="9"/>
      <c r="I50" s="9"/>
      <c r="J50" s="13"/>
      <c r="K50" s="13"/>
      <c r="L50" s="13"/>
      <c r="N50" s="5"/>
      <c r="O50" s="9"/>
      <c r="P50" s="5"/>
      <c r="Q50" s="5"/>
      <c r="R50" s="9"/>
      <c r="S50" s="9"/>
      <c r="T50" s="13"/>
      <c r="U50" s="13"/>
      <c r="V50" s="13"/>
    </row>
    <row r="51" spans="1:22" x14ac:dyDescent="0.25">
      <c r="A51" s="5"/>
      <c r="B51" s="9"/>
      <c r="C51" s="9"/>
      <c r="D51" s="13"/>
      <c r="E51" s="9"/>
      <c r="F51" s="5"/>
      <c r="G51" s="5"/>
      <c r="H51" s="9"/>
      <c r="I51" s="9"/>
      <c r="J51" s="13"/>
      <c r="K51" s="13"/>
      <c r="L51" s="13"/>
      <c r="N51" s="5"/>
      <c r="O51" s="9"/>
      <c r="P51" s="5"/>
      <c r="Q51" s="5"/>
      <c r="R51" s="9"/>
      <c r="S51" s="9"/>
      <c r="T51" s="13"/>
      <c r="U51" s="13"/>
      <c r="V51" s="13"/>
    </row>
    <row r="52" spans="1:22" x14ac:dyDescent="0.25">
      <c r="A52" s="5"/>
      <c r="B52" s="9"/>
      <c r="C52" s="9"/>
      <c r="D52" s="13"/>
      <c r="E52" s="9"/>
      <c r="F52" s="5"/>
      <c r="G52" s="5"/>
      <c r="H52" s="9"/>
      <c r="I52" s="9"/>
      <c r="J52" s="13"/>
      <c r="K52" s="13"/>
      <c r="L52" s="13"/>
      <c r="N52" s="5"/>
      <c r="O52" s="9"/>
    </row>
    <row r="53" spans="1:22" x14ac:dyDescent="0.25">
      <c r="A53" s="5"/>
      <c r="B53" s="9"/>
      <c r="C53" s="9"/>
      <c r="D53" s="13"/>
      <c r="E53" s="9"/>
      <c r="F53" s="5"/>
      <c r="G53" s="5"/>
      <c r="H53" s="9"/>
      <c r="I53" s="9"/>
      <c r="J53" s="13"/>
      <c r="K53" s="13"/>
      <c r="L53" s="13"/>
      <c r="N53" s="5"/>
      <c r="O53" s="9"/>
      <c r="P53" s="5"/>
      <c r="Q53" s="5"/>
      <c r="R53" s="9"/>
      <c r="S53" s="9"/>
      <c r="T53" s="13"/>
      <c r="U53" s="13"/>
      <c r="V53" s="13"/>
    </row>
    <row r="54" spans="1:22" x14ac:dyDescent="0.25">
      <c r="A54" s="5"/>
      <c r="B54" s="9"/>
      <c r="C54" s="9"/>
      <c r="D54" s="13"/>
      <c r="E54" s="9"/>
      <c r="F54" s="5"/>
      <c r="G54" s="5"/>
      <c r="H54" s="9"/>
      <c r="I54" s="9"/>
      <c r="J54" s="13"/>
      <c r="K54" s="13"/>
      <c r="L54" s="13"/>
      <c r="N54" s="5"/>
      <c r="O54" s="9"/>
      <c r="P54" s="5"/>
      <c r="Q54" s="15"/>
      <c r="R54" s="9"/>
      <c r="S54" s="9"/>
      <c r="T54" s="13"/>
      <c r="U54" s="13"/>
      <c r="V54" s="13"/>
    </row>
    <row r="55" spans="1:22" x14ac:dyDescent="0.25">
      <c r="A55" s="5"/>
      <c r="B55" s="9"/>
      <c r="C55" s="9"/>
      <c r="D55" s="13"/>
      <c r="E55" s="9"/>
      <c r="F55" s="5"/>
      <c r="G55" s="5"/>
      <c r="H55" s="9"/>
      <c r="I55" s="9"/>
      <c r="J55" s="13"/>
      <c r="K55" s="13"/>
      <c r="L55" s="13"/>
      <c r="N55" s="5"/>
      <c r="O55" s="9"/>
      <c r="P55" s="5"/>
      <c r="Q55" s="5"/>
      <c r="R55" s="9"/>
      <c r="S55" s="9"/>
      <c r="T55" s="13"/>
      <c r="U55" s="13"/>
      <c r="V55" s="13"/>
    </row>
    <row r="56" spans="1:22" x14ac:dyDescent="0.25">
      <c r="A56" s="5"/>
      <c r="B56" s="9"/>
      <c r="C56" s="9"/>
      <c r="D56" s="13"/>
      <c r="E56" s="9"/>
      <c r="F56" s="5"/>
      <c r="G56" s="5"/>
      <c r="H56" s="9"/>
      <c r="I56" s="9"/>
      <c r="J56" s="13"/>
      <c r="K56" s="13"/>
      <c r="L56" s="13"/>
      <c r="N56" s="5"/>
      <c r="O56" s="9"/>
    </row>
    <row r="57" spans="1:22" x14ac:dyDescent="0.25">
      <c r="N57" s="5"/>
      <c r="O57" s="9"/>
      <c r="P57" s="5"/>
      <c r="Q57" s="5"/>
      <c r="R57" s="9"/>
      <c r="S57" s="9"/>
      <c r="T57" s="13"/>
      <c r="U57" s="13"/>
      <c r="V57" s="13"/>
    </row>
    <row r="58" spans="1:22" ht="48" x14ac:dyDescent="0.25">
      <c r="A58" s="16" t="s">
        <v>59</v>
      </c>
      <c r="B58" s="17" t="s">
        <v>58</v>
      </c>
      <c r="C58" s="17" t="s">
        <v>51</v>
      </c>
      <c r="D58" s="17" t="s">
        <v>53</v>
      </c>
      <c r="E58" s="17" t="s">
        <v>54</v>
      </c>
      <c r="H58" s="21" t="s">
        <v>60</v>
      </c>
      <c r="I58" s="17" t="s">
        <v>51</v>
      </c>
      <c r="J58" s="17" t="s">
        <v>53</v>
      </c>
      <c r="K58" s="17" t="s">
        <v>54</v>
      </c>
      <c r="N58" s="5"/>
      <c r="O58" s="9"/>
      <c r="P58" s="5"/>
      <c r="Q58" s="5"/>
      <c r="R58" s="9"/>
      <c r="S58" s="9"/>
      <c r="T58" s="13"/>
      <c r="U58" s="13"/>
      <c r="V58" s="13"/>
    </row>
    <row r="59" spans="1:22" x14ac:dyDescent="0.25">
      <c r="A59" s="5" t="s">
        <v>11</v>
      </c>
      <c r="B59" s="6">
        <v>0.17369777575697301</v>
      </c>
      <c r="C59" s="5">
        <v>2023.75</v>
      </c>
      <c r="D59" s="15">
        <v>1.1737788669959504</v>
      </c>
      <c r="E59" s="15">
        <v>4</v>
      </c>
      <c r="G59" s="5" t="s">
        <v>11</v>
      </c>
      <c r="H59" s="6">
        <v>0.13984116014494999</v>
      </c>
      <c r="I59" s="5">
        <v>9023.75</v>
      </c>
      <c r="J59" s="15">
        <v>1.1737788669959504</v>
      </c>
      <c r="K59" s="15">
        <v>4</v>
      </c>
      <c r="N59" s="5"/>
      <c r="O59" s="9"/>
    </row>
    <row r="60" spans="1:22" x14ac:dyDescent="0.25">
      <c r="A60" s="5" t="s">
        <v>12</v>
      </c>
      <c r="B60" s="6">
        <v>9.9143945152060597E-2</v>
      </c>
      <c r="C60" s="5">
        <v>118.5</v>
      </c>
      <c r="D60" s="15">
        <v>1.0182769682576838</v>
      </c>
      <c r="E60" s="15">
        <v>1.1385255280790201</v>
      </c>
      <c r="G60" s="5" t="s">
        <v>12</v>
      </c>
      <c r="H60" s="6">
        <v>8.9326261366187695E-2</v>
      </c>
      <c r="I60" s="5">
        <v>118.5</v>
      </c>
      <c r="J60" s="15">
        <v>1.0182769682576838</v>
      </c>
      <c r="K60" s="15">
        <v>1.1385255280790201</v>
      </c>
      <c r="N60" s="5"/>
      <c r="O60" s="9"/>
    </row>
    <row r="61" spans="1:22" x14ac:dyDescent="0.25">
      <c r="A61" s="5" t="s">
        <v>13</v>
      </c>
      <c r="B61" s="6">
        <v>0.21234239309632399</v>
      </c>
      <c r="C61" s="5">
        <v>2060.9499999999998</v>
      </c>
      <c r="D61" s="15">
        <v>1</v>
      </c>
      <c r="E61" s="15">
        <v>0</v>
      </c>
      <c r="G61" s="5" t="s">
        <v>13</v>
      </c>
      <c r="H61" s="6">
        <v>4.6283799610675601E-2</v>
      </c>
      <c r="I61" s="5">
        <v>2060.9499999999998</v>
      </c>
      <c r="J61" s="15">
        <v>1</v>
      </c>
      <c r="K61" s="15">
        <v>0</v>
      </c>
      <c r="N61" s="5"/>
      <c r="O61" s="9"/>
    </row>
    <row r="62" spans="1:22" x14ac:dyDescent="0.25">
      <c r="A62" s="5" t="s">
        <v>20</v>
      </c>
      <c r="B62" s="7">
        <v>-4.1760232547360499E-2</v>
      </c>
      <c r="C62" s="5">
        <v>1130.25</v>
      </c>
      <c r="D62" s="15">
        <v>1.045397189964473</v>
      </c>
      <c r="E62" s="15">
        <v>4.5222851684946201</v>
      </c>
      <c r="G62" s="5" t="s">
        <v>26</v>
      </c>
      <c r="H62" s="8">
        <v>0.15621819275209001</v>
      </c>
      <c r="I62" s="5">
        <v>21</v>
      </c>
      <c r="J62" s="9">
        <v>1.0119508062412015</v>
      </c>
      <c r="K62" s="13">
        <v>8.1761484496582497</v>
      </c>
      <c r="N62" s="5"/>
      <c r="O62" s="9"/>
    </row>
    <row r="63" spans="1:22" x14ac:dyDescent="0.25">
      <c r="A63" s="5" t="s">
        <v>26</v>
      </c>
      <c r="B63" s="8">
        <v>8.8732929175135894E-2</v>
      </c>
      <c r="C63" s="5">
        <v>21</v>
      </c>
      <c r="D63" s="9">
        <v>1.0119508062412015</v>
      </c>
      <c r="E63" s="13">
        <v>8.1761484496582497</v>
      </c>
      <c r="G63" s="5" t="s">
        <v>28</v>
      </c>
      <c r="H63" s="8">
        <v>5.5397551503622099E-2</v>
      </c>
      <c r="I63" s="5">
        <v>96.5</v>
      </c>
      <c r="J63" s="9">
        <v>1.0239451393319936</v>
      </c>
      <c r="K63" s="13">
        <v>19.594840851392899</v>
      </c>
      <c r="N63" s="5"/>
      <c r="O63" s="9"/>
    </row>
    <row r="64" spans="1:22" x14ac:dyDescent="0.25">
      <c r="A64" s="5" t="s">
        <v>28</v>
      </c>
      <c r="B64" s="8">
        <v>0.10415722716452799</v>
      </c>
      <c r="C64" s="5">
        <v>96.5</v>
      </c>
      <c r="D64" s="9">
        <v>1.0239451393319936</v>
      </c>
      <c r="E64" s="13">
        <v>19.594840851392899</v>
      </c>
      <c r="G64" s="5" t="s">
        <v>29</v>
      </c>
      <c r="H64" s="8">
        <v>6.9883057908481996E-2</v>
      </c>
      <c r="I64" s="5">
        <v>47.5</v>
      </c>
      <c r="J64" s="9">
        <v>1.0275460447393339</v>
      </c>
      <c r="K64" s="13">
        <v>17.2552427011953</v>
      </c>
      <c r="N64" s="5"/>
      <c r="O64" s="9"/>
    </row>
    <row r="65" spans="1:19" x14ac:dyDescent="0.25">
      <c r="A65" s="5" t="s">
        <v>29</v>
      </c>
      <c r="B65" s="8">
        <v>4.66251429291673E-2</v>
      </c>
      <c r="C65" s="5">
        <v>47.5</v>
      </c>
      <c r="D65" s="9">
        <v>1.0275460447393339</v>
      </c>
      <c r="E65" s="13">
        <v>17.2552427011953</v>
      </c>
      <c r="G65" s="5" t="s">
        <v>30</v>
      </c>
      <c r="H65" s="8">
        <v>7.8645648239850305E-2</v>
      </c>
      <c r="I65" s="5">
        <v>23.5</v>
      </c>
      <c r="J65" s="9">
        <v>1.0275826446035865</v>
      </c>
      <c r="K65" s="13">
        <v>17.024424898784201</v>
      </c>
      <c r="N65" s="5"/>
      <c r="O65" s="9"/>
    </row>
    <row r="66" spans="1:19" x14ac:dyDescent="0.25">
      <c r="A66" s="5" t="s">
        <v>30</v>
      </c>
      <c r="B66" s="8">
        <v>9.0894558490112708E-3</v>
      </c>
      <c r="C66" s="5">
        <v>23.5</v>
      </c>
      <c r="D66" s="9">
        <v>1.0275826446035865</v>
      </c>
      <c r="E66" s="13">
        <v>17.024424898784201</v>
      </c>
      <c r="G66" s="5" t="s">
        <v>33</v>
      </c>
      <c r="H66" s="8">
        <v>0.101236914763633</v>
      </c>
      <c r="I66" s="5">
        <v>23.75</v>
      </c>
      <c r="J66" s="9">
        <v>1.111235100018195</v>
      </c>
      <c r="K66" s="13">
        <v>21.9579587943592</v>
      </c>
    </row>
    <row r="67" spans="1:19" x14ac:dyDescent="0.25">
      <c r="A67" s="5" t="s">
        <v>33</v>
      </c>
      <c r="B67" s="8">
        <v>2.0373962034653699E-2</v>
      </c>
      <c r="C67" s="5">
        <v>23.75</v>
      </c>
      <c r="D67" s="9">
        <v>1.111235100018195</v>
      </c>
      <c r="E67" s="13">
        <v>21.9579587943592</v>
      </c>
      <c r="G67" s="5"/>
      <c r="H67" s="9"/>
      <c r="I67" s="5"/>
      <c r="J67" s="9"/>
      <c r="K67" s="13"/>
    </row>
    <row r="69" spans="1:19" x14ac:dyDescent="0.25">
      <c r="A69" s="47" t="s">
        <v>85</v>
      </c>
      <c r="B69" s="48"/>
      <c r="C69" s="48"/>
      <c r="D69" s="48"/>
      <c r="E69" s="48"/>
      <c r="F69" s="49"/>
      <c r="K69" s="47" t="s">
        <v>86</v>
      </c>
      <c r="L69" s="48"/>
      <c r="M69" s="48"/>
      <c r="N69" s="48"/>
      <c r="O69" s="48"/>
      <c r="P69" s="49"/>
    </row>
    <row r="70" spans="1:19" x14ac:dyDescent="0.25">
      <c r="A70" t="s">
        <v>61</v>
      </c>
      <c r="J70" s="9"/>
      <c r="K70" t="s">
        <v>61</v>
      </c>
    </row>
    <row r="71" spans="1:19" ht="15.75" thickBo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9"/>
      <c r="K71" s="22"/>
      <c r="L71" s="22"/>
      <c r="M71" s="22"/>
      <c r="N71" s="22"/>
      <c r="O71" s="22"/>
      <c r="P71" s="22"/>
      <c r="Q71" s="22"/>
      <c r="R71" s="22"/>
      <c r="S71" s="22"/>
    </row>
    <row r="72" spans="1:19" x14ac:dyDescent="0.25">
      <c r="A72" s="23" t="s">
        <v>62</v>
      </c>
      <c r="B72" s="23"/>
      <c r="C72" s="22"/>
      <c r="D72" s="22"/>
      <c r="E72" s="22"/>
      <c r="F72" s="22"/>
      <c r="G72" s="22"/>
      <c r="H72" s="22"/>
      <c r="I72" s="22"/>
      <c r="J72" s="9"/>
      <c r="K72" s="23" t="s">
        <v>62</v>
      </c>
      <c r="L72" s="23"/>
      <c r="M72" s="22"/>
      <c r="N72" s="22"/>
      <c r="O72" s="22"/>
      <c r="P72" s="22"/>
      <c r="Q72" s="22"/>
      <c r="R72" s="22"/>
      <c r="S72" s="22"/>
    </row>
    <row r="73" spans="1:19" x14ac:dyDescent="0.25">
      <c r="A73" s="22" t="s">
        <v>63</v>
      </c>
      <c r="B73" s="29">
        <v>0.59979188687965501</v>
      </c>
      <c r="C73" s="22"/>
      <c r="D73" s="22"/>
      <c r="E73" s="22"/>
      <c r="F73" s="22"/>
      <c r="G73" s="22"/>
      <c r="H73" s="22"/>
      <c r="I73" s="22"/>
      <c r="J73" s="9"/>
      <c r="K73" s="22" t="s">
        <v>63</v>
      </c>
      <c r="L73" s="29">
        <v>0.48937075406756869</v>
      </c>
      <c r="M73" s="22"/>
      <c r="N73" s="22"/>
      <c r="O73" s="22"/>
      <c r="P73" s="22"/>
      <c r="Q73" s="22"/>
      <c r="R73" s="22"/>
      <c r="S73" s="22"/>
    </row>
    <row r="74" spans="1:19" x14ac:dyDescent="0.25">
      <c r="A74" s="22" t="s">
        <v>64</v>
      </c>
      <c r="B74" s="29">
        <v>0.35975030756665682</v>
      </c>
      <c r="C74" s="22"/>
      <c r="D74" s="22"/>
      <c r="E74" s="22"/>
      <c r="F74" s="22"/>
      <c r="G74" s="22"/>
      <c r="H74" s="22"/>
      <c r="I74" s="22"/>
      <c r="J74" s="9"/>
      <c r="K74" s="22" t="s">
        <v>64</v>
      </c>
      <c r="L74" s="29">
        <v>0.23948373493666078</v>
      </c>
      <c r="M74" s="22"/>
      <c r="N74" s="22"/>
      <c r="O74" s="22"/>
      <c r="P74" s="22"/>
      <c r="Q74" s="22"/>
      <c r="R74" s="22"/>
      <c r="S74" s="22"/>
    </row>
    <row r="75" spans="1:19" x14ac:dyDescent="0.25">
      <c r="A75" s="22" t="s">
        <v>65</v>
      </c>
      <c r="B75" s="29">
        <v>-2.4399507893349083E-2</v>
      </c>
      <c r="C75" s="22"/>
      <c r="D75" s="22"/>
      <c r="E75" s="22"/>
      <c r="F75" s="22"/>
      <c r="G75" s="22"/>
      <c r="H75" s="22"/>
      <c r="I75" s="22"/>
      <c r="K75" s="22" t="s">
        <v>65</v>
      </c>
      <c r="L75" s="29">
        <v>-1.4021686751118959E-2</v>
      </c>
      <c r="M75" s="22"/>
      <c r="N75" s="22"/>
      <c r="O75" s="22"/>
      <c r="P75" s="22"/>
      <c r="Q75" s="22"/>
      <c r="R75" s="22"/>
      <c r="S75" s="22"/>
    </row>
    <row r="76" spans="1:19" x14ac:dyDescent="0.25">
      <c r="A76" s="22" t="s">
        <v>66</v>
      </c>
      <c r="B76" s="29">
        <v>8.1471996782504968E-2</v>
      </c>
      <c r="C76" s="22"/>
      <c r="D76" s="22"/>
      <c r="E76" s="22"/>
      <c r="F76" s="22"/>
      <c r="G76" s="22"/>
      <c r="H76" s="22"/>
      <c r="I76" s="22"/>
      <c r="K76" s="22" t="s">
        <v>66</v>
      </c>
      <c r="L76" s="29">
        <v>8.1058264596785917E-2</v>
      </c>
      <c r="M76" s="22"/>
      <c r="N76" s="22"/>
      <c r="O76" s="22"/>
      <c r="P76" s="22"/>
      <c r="Q76" s="22"/>
      <c r="R76" s="22"/>
      <c r="S76" s="22"/>
    </row>
    <row r="77" spans="1:19" ht="15.75" thickBot="1" x14ac:dyDescent="0.3">
      <c r="A77" s="24" t="s">
        <v>67</v>
      </c>
      <c r="B77" s="37">
        <v>9</v>
      </c>
      <c r="C77" s="22"/>
      <c r="D77" s="22"/>
      <c r="E77" s="22"/>
      <c r="F77" s="22"/>
      <c r="G77" s="22"/>
      <c r="H77" s="22"/>
      <c r="I77" s="22"/>
      <c r="K77" s="24" t="s">
        <v>67</v>
      </c>
      <c r="L77" s="37">
        <v>9</v>
      </c>
      <c r="M77" s="22"/>
      <c r="N77" s="22"/>
      <c r="O77" s="22"/>
      <c r="P77" s="22"/>
      <c r="Q77" s="22"/>
      <c r="R77" s="22"/>
      <c r="S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5.75" thickBot="1" x14ac:dyDescent="0.3">
      <c r="A79" s="22" t="s">
        <v>68</v>
      </c>
      <c r="B79" s="22"/>
      <c r="C79" s="22"/>
      <c r="D79" s="22"/>
      <c r="E79" s="22"/>
      <c r="F79" s="22"/>
      <c r="G79" s="22"/>
      <c r="H79" s="22"/>
      <c r="I79" s="22"/>
      <c r="K79" s="22" t="s">
        <v>68</v>
      </c>
      <c r="L79" s="22"/>
      <c r="M79" s="22"/>
      <c r="N79" s="22"/>
      <c r="O79" s="22"/>
      <c r="P79" s="22"/>
      <c r="Q79" s="22"/>
      <c r="R79" s="22"/>
      <c r="S79" s="22"/>
    </row>
    <row r="80" spans="1:19" x14ac:dyDescent="0.25">
      <c r="A80" s="25"/>
      <c r="B80" s="25" t="s">
        <v>73</v>
      </c>
      <c r="C80" s="25" t="s">
        <v>74</v>
      </c>
      <c r="D80" s="25" t="s">
        <v>75</v>
      </c>
      <c r="E80" s="25" t="s">
        <v>76</v>
      </c>
      <c r="F80" s="25" t="s">
        <v>77</v>
      </c>
      <c r="G80" s="22"/>
      <c r="H80" s="22"/>
      <c r="I80" s="22"/>
      <c r="K80" s="25"/>
      <c r="L80" s="25" t="s">
        <v>73</v>
      </c>
      <c r="M80" s="25" t="s">
        <v>74</v>
      </c>
      <c r="N80" s="25" t="s">
        <v>75</v>
      </c>
      <c r="O80" s="25" t="s">
        <v>76</v>
      </c>
      <c r="P80" s="25" t="s">
        <v>77</v>
      </c>
      <c r="Q80" s="22"/>
      <c r="R80" s="22"/>
      <c r="S80" s="22"/>
    </row>
    <row r="81" spans="1:19" x14ac:dyDescent="0.25">
      <c r="A81" s="22" t="s">
        <v>69</v>
      </c>
      <c r="B81" s="22">
        <v>3</v>
      </c>
      <c r="C81" s="22">
        <v>1.8648268805821461E-2</v>
      </c>
      <c r="D81" s="22">
        <v>6.2160896019404872E-3</v>
      </c>
      <c r="E81" s="22">
        <v>0.93648439512034776</v>
      </c>
      <c r="F81" s="22">
        <v>0.48854006222593682</v>
      </c>
      <c r="G81" s="22"/>
      <c r="H81" s="22"/>
      <c r="I81" s="22"/>
      <c r="K81" s="22" t="s">
        <v>69</v>
      </c>
      <c r="L81" s="22">
        <v>2</v>
      </c>
      <c r="M81" s="22">
        <v>1.2414046547808623E-2</v>
      </c>
      <c r="N81" s="22">
        <v>6.2070232739043114E-3</v>
      </c>
      <c r="O81" s="22">
        <v>0.94468880918693632</v>
      </c>
      <c r="P81" s="22">
        <v>0.43987119192687779</v>
      </c>
      <c r="Q81" s="22"/>
      <c r="R81" s="22"/>
      <c r="S81" s="22"/>
    </row>
    <row r="82" spans="1:19" x14ac:dyDescent="0.25">
      <c r="A82" s="22" t="s">
        <v>70</v>
      </c>
      <c r="B82" s="22">
        <v>5</v>
      </c>
      <c r="C82" s="22">
        <v>3.3188431298642497E-2</v>
      </c>
      <c r="D82" s="22">
        <v>6.6376862597284994E-3</v>
      </c>
      <c r="E82" s="22"/>
      <c r="F82" s="22"/>
      <c r="G82" s="22"/>
      <c r="H82" s="22"/>
      <c r="I82" s="22"/>
      <c r="K82" s="22" t="s">
        <v>70</v>
      </c>
      <c r="L82" s="22">
        <v>6</v>
      </c>
      <c r="M82" s="22">
        <v>3.9422653556655335E-2</v>
      </c>
      <c r="N82" s="22">
        <v>6.5704422594425561E-3</v>
      </c>
      <c r="O82" s="22"/>
      <c r="P82" s="22"/>
      <c r="Q82" s="22"/>
      <c r="R82" s="22"/>
      <c r="S82" s="22"/>
    </row>
    <row r="83" spans="1:19" ht="15.75" thickBot="1" x14ac:dyDescent="0.3">
      <c r="A83" s="24" t="s">
        <v>71</v>
      </c>
      <c r="B83" s="24">
        <v>8</v>
      </c>
      <c r="C83" s="24">
        <v>5.1836700104463958E-2</v>
      </c>
      <c r="D83" s="24"/>
      <c r="E83" s="24"/>
      <c r="F83" s="24"/>
      <c r="G83" s="22"/>
      <c r="H83" s="22"/>
      <c r="I83" s="22"/>
      <c r="K83" s="24" t="s">
        <v>71</v>
      </c>
      <c r="L83" s="24">
        <v>8</v>
      </c>
      <c r="M83" s="24">
        <v>5.1836700104463958E-2</v>
      </c>
      <c r="N83" s="24"/>
      <c r="O83" s="24"/>
      <c r="P83" s="24"/>
      <c r="Q83" s="22"/>
      <c r="R83" s="22"/>
      <c r="S83" s="22"/>
    </row>
    <row r="84" spans="1:19" ht="15.75" thickBot="1" x14ac:dyDescent="0.3">
      <c r="A84" s="22"/>
      <c r="B84" s="22"/>
      <c r="C84" s="22"/>
      <c r="D84" s="22"/>
      <c r="E84" s="22"/>
      <c r="F84" s="22"/>
      <c r="G84" s="22"/>
      <c r="H84" s="22"/>
      <c r="I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x14ac:dyDescent="0.25">
      <c r="A85" s="25"/>
      <c r="B85" s="25" t="s">
        <v>78</v>
      </c>
      <c r="C85" s="25" t="s">
        <v>66</v>
      </c>
      <c r="D85" s="25" t="s">
        <v>79</v>
      </c>
      <c r="E85" s="25" t="s">
        <v>80</v>
      </c>
      <c r="F85" s="25" t="s">
        <v>81</v>
      </c>
      <c r="G85" s="25" t="s">
        <v>82</v>
      </c>
      <c r="H85" s="25" t="s">
        <v>83</v>
      </c>
      <c r="I85" s="25" t="s">
        <v>84</v>
      </c>
      <c r="K85" s="25"/>
      <c r="L85" s="25" t="s">
        <v>78</v>
      </c>
      <c r="M85" s="25" t="s">
        <v>66</v>
      </c>
      <c r="N85" s="25" t="s">
        <v>79</v>
      </c>
      <c r="O85" s="25" t="s">
        <v>80</v>
      </c>
      <c r="P85" s="25" t="s">
        <v>81</v>
      </c>
      <c r="Q85" s="25" t="s">
        <v>82</v>
      </c>
      <c r="R85" s="25" t="s">
        <v>83</v>
      </c>
      <c r="S85" s="25" t="s">
        <v>84</v>
      </c>
    </row>
    <row r="86" spans="1:19" x14ac:dyDescent="0.25">
      <c r="A86" s="22" t="s">
        <v>72</v>
      </c>
      <c r="B86" s="22">
        <v>0.23304301024538054</v>
      </c>
      <c r="C86" s="22">
        <v>0.60200759208584298</v>
      </c>
      <c r="D86" s="22">
        <v>0.38710975294834804</v>
      </c>
      <c r="E86" s="22">
        <v>0.71460360700266301</v>
      </c>
      <c r="F86" s="22">
        <v>-1.3144667708856437</v>
      </c>
      <c r="G86" s="22">
        <v>1.7805527913764045</v>
      </c>
      <c r="H86" s="22">
        <v>-1.3144667708856437</v>
      </c>
      <c r="I86" s="22">
        <v>1.7805527913764045</v>
      </c>
      <c r="K86" s="22" t="s">
        <v>72</v>
      </c>
      <c r="L86" s="22">
        <v>-3.7153468647480391E-2</v>
      </c>
      <c r="M86" s="22">
        <v>0.53084668963576975</v>
      </c>
      <c r="N86" s="22">
        <v>-6.9989074760874043E-2</v>
      </c>
      <c r="O86" s="22">
        <v>0.94647674698858308</v>
      </c>
      <c r="P86" s="22">
        <v>-1.336088524658321</v>
      </c>
      <c r="Q86" s="22">
        <v>1.2617815873633602</v>
      </c>
      <c r="R86" s="22">
        <v>-1.336088524658321</v>
      </c>
      <c r="S86" s="22">
        <v>1.2617815873633602</v>
      </c>
    </row>
    <row r="87" spans="1:19" x14ac:dyDescent="0.25">
      <c r="A87" s="22" t="s">
        <v>51</v>
      </c>
      <c r="B87" s="22">
        <v>5.1179573022165998E-5</v>
      </c>
      <c r="C87" s="22">
        <v>5.2809721619634553E-5</v>
      </c>
      <c r="D87" s="22">
        <v>0.96913165706098958</v>
      </c>
      <c r="E87" s="22">
        <v>0.3769897810847096</v>
      </c>
      <c r="F87" s="22">
        <v>-8.4572138118276977E-5</v>
      </c>
      <c r="G87" s="22">
        <v>1.8693128416260899E-4</v>
      </c>
      <c r="H87" s="22">
        <v>-8.4572138118276977E-5</v>
      </c>
      <c r="I87" s="22">
        <v>1.8693128416260899E-4</v>
      </c>
      <c r="K87" s="22" t="s">
        <v>53</v>
      </c>
      <c r="L87" s="22">
        <v>0.15629388026054086</v>
      </c>
      <c r="M87" s="22">
        <v>0.50694423610723038</v>
      </c>
      <c r="N87" s="22">
        <v>0.30830586310775432</v>
      </c>
      <c r="O87" s="22">
        <v>0.76827290458907793</v>
      </c>
      <c r="P87" s="22">
        <v>-1.0841539789398749</v>
      </c>
      <c r="Q87" s="22">
        <v>1.3967417394609567</v>
      </c>
      <c r="R87" s="22">
        <v>-1.0841539789398749</v>
      </c>
      <c r="S87" s="22">
        <v>1.3967417394609567</v>
      </c>
    </row>
    <row r="88" spans="1:19" ht="15.75" thickBot="1" x14ac:dyDescent="0.3">
      <c r="A88" s="22" t="s">
        <v>53</v>
      </c>
      <c r="B88" s="22">
        <v>-0.16835462199011594</v>
      </c>
      <c r="C88" s="22">
        <v>0.60978707036453628</v>
      </c>
      <c r="D88" s="22">
        <v>-0.27608755608654018</v>
      </c>
      <c r="E88" s="22">
        <v>0.79352868554220279</v>
      </c>
      <c r="F88" s="22">
        <v>-1.7358621886750765</v>
      </c>
      <c r="G88" s="22">
        <v>1.3991529446948445</v>
      </c>
      <c r="H88" s="22">
        <v>-1.7358621886750765</v>
      </c>
      <c r="I88" s="22">
        <v>1.3991529446948445</v>
      </c>
      <c r="K88" s="24" t="s">
        <v>54</v>
      </c>
      <c r="L88" s="24">
        <v>-4.5755113050218923E-3</v>
      </c>
      <c r="M88" s="24">
        <v>3.3660004022408939E-3</v>
      </c>
      <c r="N88" s="24">
        <v>-1.3593317760674579</v>
      </c>
      <c r="O88" s="24">
        <v>0.22290940119196909</v>
      </c>
      <c r="P88" s="24">
        <v>-1.281181758022387E-2</v>
      </c>
      <c r="Q88" s="24">
        <v>3.6607949701800858E-3</v>
      </c>
      <c r="R88" s="24">
        <v>-1.281181758022387E-2</v>
      </c>
      <c r="S88" s="24">
        <v>3.6607949701800858E-3</v>
      </c>
    </row>
    <row r="89" spans="1:19" ht="15.75" thickBot="1" x14ac:dyDescent="0.3">
      <c r="A89" s="24" t="s">
        <v>54</v>
      </c>
      <c r="B89" s="24">
        <v>-8.4970925244239656E-4</v>
      </c>
      <c r="C89" s="24">
        <v>5.1211227449963845E-3</v>
      </c>
      <c r="D89" s="24">
        <v>-0.16592245387451585</v>
      </c>
      <c r="E89" s="24">
        <v>0.87471850048235988</v>
      </c>
      <c r="F89" s="24">
        <v>-1.4013974358794087E-2</v>
      </c>
      <c r="G89" s="24">
        <v>1.2314555853909295E-2</v>
      </c>
      <c r="H89" s="24">
        <v>-1.4013974358794087E-2</v>
      </c>
      <c r="I89" s="24">
        <v>1.2314555853909295E-2</v>
      </c>
    </row>
    <row r="92" spans="1:19" ht="15.75" thickBot="1" x14ac:dyDescent="0.3">
      <c r="A92" s="50" t="s">
        <v>87</v>
      </c>
      <c r="B92" s="51"/>
      <c r="C92" s="51"/>
      <c r="D92" s="51"/>
      <c r="E92" s="51"/>
      <c r="F92" s="52"/>
      <c r="G92" s="31"/>
      <c r="H92" s="31"/>
      <c r="I92" s="31"/>
      <c r="K92" s="53" t="s">
        <v>88</v>
      </c>
      <c r="L92" s="54"/>
      <c r="M92" s="54"/>
      <c r="N92" s="54"/>
      <c r="O92" s="54"/>
      <c r="P92" s="55"/>
      <c r="Q92" s="31"/>
      <c r="R92" s="31"/>
      <c r="S92" s="31"/>
    </row>
    <row r="93" spans="1:19" x14ac:dyDescent="0.25">
      <c r="A93" s="30" t="s">
        <v>62</v>
      </c>
      <c r="B93" s="30"/>
      <c r="C93" s="31"/>
      <c r="D93" s="31"/>
      <c r="E93" s="31"/>
      <c r="F93" s="31"/>
      <c r="G93" s="31"/>
      <c r="H93" s="31"/>
      <c r="I93" s="31"/>
      <c r="K93" s="30" t="s">
        <v>62</v>
      </c>
      <c r="L93" s="30"/>
      <c r="M93" s="31"/>
      <c r="N93" s="31"/>
      <c r="O93" s="31"/>
      <c r="P93" s="31"/>
      <c r="Q93" s="31"/>
      <c r="R93" s="31"/>
      <c r="S93" s="31"/>
    </row>
    <row r="94" spans="1:19" x14ac:dyDescent="0.25">
      <c r="A94" s="31" t="s">
        <v>63</v>
      </c>
      <c r="B94" s="29">
        <v>0.58602891967668835</v>
      </c>
      <c r="C94" s="31"/>
      <c r="D94" s="31"/>
      <c r="E94" s="31"/>
      <c r="F94" s="31"/>
      <c r="G94" s="31"/>
      <c r="H94" s="31"/>
      <c r="I94" s="31"/>
      <c r="K94" s="31" t="s">
        <v>63</v>
      </c>
      <c r="L94" s="29">
        <v>0.53793068253450016</v>
      </c>
      <c r="M94" s="31"/>
      <c r="N94" s="31"/>
      <c r="O94" s="31"/>
      <c r="P94" s="31"/>
      <c r="Q94" s="31"/>
      <c r="R94" s="31"/>
      <c r="S94" s="31"/>
    </row>
    <row r="95" spans="1:19" x14ac:dyDescent="0.25">
      <c r="A95" s="31" t="s">
        <v>64</v>
      </c>
      <c r="B95" s="29">
        <v>0.34342989469742641</v>
      </c>
      <c r="C95" s="31"/>
      <c r="D95" s="31"/>
      <c r="E95" s="31"/>
      <c r="F95" s="31"/>
      <c r="G95" s="31"/>
      <c r="H95" s="31"/>
      <c r="I95" s="31"/>
      <c r="K95" s="31" t="s">
        <v>64</v>
      </c>
      <c r="L95" s="29">
        <v>0.28936941921203319</v>
      </c>
      <c r="M95" s="31"/>
      <c r="N95" s="31"/>
      <c r="O95" s="31"/>
      <c r="P95" s="31"/>
      <c r="Q95" s="31"/>
      <c r="R95" s="31"/>
      <c r="S95" s="31"/>
    </row>
    <row r="96" spans="1:19" x14ac:dyDescent="0.25">
      <c r="A96" s="31" t="s">
        <v>65</v>
      </c>
      <c r="B96" s="29">
        <v>-0.14899768427950377</v>
      </c>
      <c r="C96" s="31"/>
      <c r="D96" s="31"/>
      <c r="E96" s="31"/>
      <c r="F96" s="31"/>
      <c r="G96" s="31"/>
      <c r="H96" s="31"/>
      <c r="I96" s="31"/>
      <c r="K96" s="31" t="s">
        <v>65</v>
      </c>
      <c r="L96" s="29">
        <v>5.1171868968464375E-3</v>
      </c>
      <c r="M96" s="31"/>
      <c r="N96" s="31"/>
      <c r="O96" s="31"/>
      <c r="P96" s="31"/>
      <c r="Q96" s="31"/>
      <c r="R96" s="31"/>
      <c r="S96" s="31"/>
    </row>
    <row r="97" spans="1:19" x14ac:dyDescent="0.25">
      <c r="A97" s="31" t="s">
        <v>66</v>
      </c>
      <c r="B97" s="31">
        <v>4.1716848989799188E-2</v>
      </c>
      <c r="C97" s="31"/>
      <c r="D97" s="31"/>
      <c r="E97" s="31"/>
      <c r="F97" s="31"/>
      <c r="G97" s="31"/>
      <c r="H97" s="31"/>
      <c r="I97" s="31"/>
      <c r="K97" s="31" t="s">
        <v>66</v>
      </c>
      <c r="L97" s="31">
        <v>3.8818422697071461E-2</v>
      </c>
      <c r="M97" s="31"/>
      <c r="N97" s="31"/>
      <c r="O97" s="31"/>
      <c r="P97" s="31"/>
      <c r="Q97" s="31"/>
      <c r="R97" s="31"/>
      <c r="S97" s="31"/>
    </row>
    <row r="98" spans="1:19" ht="15.75" thickBot="1" x14ac:dyDescent="0.3">
      <c r="A98" s="32" t="s">
        <v>67</v>
      </c>
      <c r="B98" s="32">
        <v>8</v>
      </c>
      <c r="C98" s="31"/>
      <c r="D98" s="31"/>
      <c r="E98" s="31"/>
      <c r="F98" s="31"/>
      <c r="G98" s="31"/>
      <c r="H98" s="31"/>
      <c r="I98" s="31"/>
      <c r="K98" s="32" t="s">
        <v>67</v>
      </c>
      <c r="L98" s="32">
        <v>8</v>
      </c>
      <c r="M98" s="31"/>
      <c r="N98" s="31"/>
      <c r="O98" s="31"/>
      <c r="P98" s="31"/>
      <c r="Q98" s="31"/>
      <c r="R98" s="31"/>
      <c r="S98" s="31"/>
    </row>
    <row r="99" spans="1:19" x14ac:dyDescent="0.25">
      <c r="A99" s="31"/>
      <c r="B99" s="31"/>
      <c r="C99" s="31"/>
      <c r="D99" s="31"/>
      <c r="E99" s="31"/>
      <c r="F99" s="31"/>
      <c r="G99" s="31"/>
      <c r="H99" s="31"/>
      <c r="I99" s="31"/>
      <c r="K99" s="31"/>
      <c r="L99" s="31"/>
      <c r="M99" s="31"/>
      <c r="N99" s="31"/>
      <c r="O99" s="31"/>
      <c r="P99" s="31"/>
      <c r="Q99" s="31"/>
      <c r="R99" s="31"/>
      <c r="S99" s="31"/>
    </row>
    <row r="100" spans="1:19" ht="15.75" thickBot="1" x14ac:dyDescent="0.3">
      <c r="A100" s="31" t="s">
        <v>68</v>
      </c>
      <c r="B100" s="31"/>
      <c r="C100" s="31"/>
      <c r="D100" s="31"/>
      <c r="E100" s="31"/>
      <c r="F100" s="31"/>
      <c r="G100" s="31"/>
      <c r="H100" s="31"/>
      <c r="I100" s="31"/>
      <c r="K100" s="31" t="s">
        <v>68</v>
      </c>
      <c r="L100" s="31"/>
      <c r="M100" s="31"/>
      <c r="N100" s="31"/>
      <c r="O100" s="31"/>
      <c r="P100" s="31"/>
      <c r="Q100" s="31"/>
      <c r="R100" s="31"/>
      <c r="S100" s="31"/>
    </row>
    <row r="101" spans="1:19" x14ac:dyDescent="0.25">
      <c r="A101" s="33"/>
      <c r="B101" s="33" t="s">
        <v>73</v>
      </c>
      <c r="C101" s="33" t="s">
        <v>74</v>
      </c>
      <c r="D101" s="33" t="s">
        <v>75</v>
      </c>
      <c r="E101" s="33" t="s">
        <v>76</v>
      </c>
      <c r="F101" s="33" t="s">
        <v>77</v>
      </c>
      <c r="G101" s="31"/>
      <c r="H101" s="31"/>
      <c r="I101" s="31"/>
      <c r="K101" s="33"/>
      <c r="L101" s="33" t="s">
        <v>73</v>
      </c>
      <c r="M101" s="33" t="s">
        <v>74</v>
      </c>
      <c r="N101" s="33" t="s">
        <v>75</v>
      </c>
      <c r="O101" s="33" t="s">
        <v>76</v>
      </c>
      <c r="P101" s="33" t="s">
        <v>77</v>
      </c>
      <c r="Q101" s="31"/>
      <c r="R101" s="31"/>
      <c r="S101" s="31"/>
    </row>
    <row r="102" spans="1:19" x14ac:dyDescent="0.25">
      <c r="A102" s="31" t="s">
        <v>69</v>
      </c>
      <c r="B102" s="31">
        <v>3</v>
      </c>
      <c r="C102" s="31">
        <v>3.641161800830117E-3</v>
      </c>
      <c r="D102" s="31">
        <v>1.2137206002767057E-3</v>
      </c>
      <c r="E102" s="31">
        <v>0.69742213750687543</v>
      </c>
      <c r="F102" s="31">
        <v>0.60052834829269508</v>
      </c>
      <c r="G102" s="31"/>
      <c r="H102" s="31"/>
      <c r="I102" s="31"/>
      <c r="K102" s="31" t="s">
        <v>69</v>
      </c>
      <c r="L102" s="31">
        <v>2</v>
      </c>
      <c r="M102" s="31">
        <v>3.0679940559383912E-3</v>
      </c>
      <c r="N102" s="31">
        <v>1.5339970279691956E-3</v>
      </c>
      <c r="O102" s="31">
        <v>1.0180022751454503</v>
      </c>
      <c r="P102" s="31">
        <v>0.42570596122804999</v>
      </c>
      <c r="Q102" s="31"/>
      <c r="R102" s="31"/>
      <c r="S102" s="31"/>
    </row>
    <row r="103" spans="1:19" x14ac:dyDescent="0.25">
      <c r="A103" s="31" t="s">
        <v>70</v>
      </c>
      <c r="B103" s="31">
        <v>4</v>
      </c>
      <c r="C103" s="31">
        <v>6.9611819585508371E-3</v>
      </c>
      <c r="D103" s="31">
        <v>1.7402954896377093E-3</v>
      </c>
      <c r="E103" s="31"/>
      <c r="F103" s="31"/>
      <c r="G103" s="31"/>
      <c r="H103" s="31"/>
      <c r="I103" s="31"/>
      <c r="K103" s="31" t="s">
        <v>70</v>
      </c>
      <c r="L103" s="31">
        <v>5</v>
      </c>
      <c r="M103" s="31">
        <v>7.534349703442563E-3</v>
      </c>
      <c r="N103" s="31">
        <v>1.5068699406885126E-3</v>
      </c>
      <c r="O103" s="31"/>
      <c r="P103" s="31"/>
      <c r="Q103" s="31"/>
      <c r="R103" s="31"/>
      <c r="S103" s="31"/>
    </row>
    <row r="104" spans="1:19" ht="15.75" thickBot="1" x14ac:dyDescent="0.3">
      <c r="A104" s="32" t="s">
        <v>71</v>
      </c>
      <c r="B104" s="32">
        <v>7</v>
      </c>
      <c r="C104" s="32">
        <v>1.0602343759380954E-2</v>
      </c>
      <c r="D104" s="32"/>
      <c r="E104" s="32"/>
      <c r="F104" s="32"/>
      <c r="G104" s="31"/>
      <c r="H104" s="31"/>
      <c r="I104" s="31"/>
      <c r="K104" s="32" t="s">
        <v>71</v>
      </c>
      <c r="L104" s="32">
        <v>7</v>
      </c>
      <c r="M104" s="32">
        <v>1.0602343759380954E-2</v>
      </c>
      <c r="N104" s="32"/>
      <c r="O104" s="32"/>
      <c r="P104" s="32"/>
      <c r="Q104" s="31"/>
      <c r="R104" s="31"/>
      <c r="S104" s="31"/>
    </row>
    <row r="105" spans="1:19" ht="15.75" thickBot="1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K105" s="31"/>
      <c r="L105" s="31"/>
      <c r="M105" s="31"/>
      <c r="N105" s="31"/>
      <c r="O105" s="31"/>
      <c r="P105" s="31"/>
      <c r="Q105" s="31"/>
      <c r="R105" s="31"/>
      <c r="S105" s="31"/>
    </row>
    <row r="106" spans="1:19" x14ac:dyDescent="0.25">
      <c r="A106" s="33"/>
      <c r="B106" s="33" t="s">
        <v>78</v>
      </c>
      <c r="C106" s="33" t="s">
        <v>66</v>
      </c>
      <c r="D106" s="33" t="s">
        <v>79</v>
      </c>
      <c r="E106" s="33" t="s">
        <v>80</v>
      </c>
      <c r="F106" s="33" t="s">
        <v>81</v>
      </c>
      <c r="G106" s="33" t="s">
        <v>82</v>
      </c>
      <c r="H106" s="33" t="s">
        <v>83</v>
      </c>
      <c r="I106" s="33" t="s">
        <v>84</v>
      </c>
      <c r="K106" s="33"/>
      <c r="L106" s="33" t="s">
        <v>78</v>
      </c>
      <c r="M106" s="33" t="s">
        <v>66</v>
      </c>
      <c r="N106" s="33" t="s">
        <v>79</v>
      </c>
      <c r="O106" s="33" t="s">
        <v>80</v>
      </c>
      <c r="P106" s="33" t="s">
        <v>81</v>
      </c>
      <c r="Q106" s="33" t="s">
        <v>82</v>
      </c>
      <c r="R106" s="33" t="s">
        <v>83</v>
      </c>
      <c r="S106" s="33" t="s">
        <v>84</v>
      </c>
    </row>
    <row r="107" spans="1:19" x14ac:dyDescent="0.25">
      <c r="A107" s="31" t="s">
        <v>72</v>
      </c>
      <c r="B107" s="31">
        <v>-0.52273929170178401</v>
      </c>
      <c r="C107" s="31">
        <v>0.56149137853801545</v>
      </c>
      <c r="D107" s="31">
        <v>-0.93098364762584196</v>
      </c>
      <c r="E107" s="31">
        <v>0.40456260511328612</v>
      </c>
      <c r="F107" s="31">
        <v>-2.0816892812544183</v>
      </c>
      <c r="G107" s="31">
        <v>1.0362106978508505</v>
      </c>
      <c r="H107" s="31">
        <v>-2.0816892812544183</v>
      </c>
      <c r="I107" s="31">
        <v>1.0362106978508505</v>
      </c>
      <c r="K107" s="31" t="s">
        <v>72</v>
      </c>
      <c r="L107" s="31">
        <v>-0.24128781805438276</v>
      </c>
      <c r="M107" s="31">
        <v>0.25441580903240602</v>
      </c>
      <c r="N107" s="31">
        <v>-0.94839946846089629</v>
      </c>
      <c r="O107" s="31">
        <v>0.38647669527285494</v>
      </c>
      <c r="P107" s="31">
        <v>-0.89528447545180323</v>
      </c>
      <c r="Q107" s="31">
        <v>0.41270883934303765</v>
      </c>
      <c r="R107" s="31">
        <v>-0.89528447545180323</v>
      </c>
      <c r="S107" s="31">
        <v>0.41270883934303765</v>
      </c>
    </row>
    <row r="108" spans="1:19" x14ac:dyDescent="0.25">
      <c r="A108" s="31" t="s">
        <v>51</v>
      </c>
      <c r="B108" s="31">
        <v>-7.0329596697052146E-6</v>
      </c>
      <c r="C108" s="31">
        <v>1.2254871254743669E-5</v>
      </c>
      <c r="D108" s="31">
        <v>-0.57389094699651499</v>
      </c>
      <c r="E108" s="31">
        <v>0.59676857268979866</v>
      </c>
      <c r="F108" s="31">
        <v>-4.1057936979767419E-5</v>
      </c>
      <c r="G108" s="31">
        <v>2.6992017640356988E-5</v>
      </c>
      <c r="H108" s="31">
        <v>-4.1057936979767419E-5</v>
      </c>
      <c r="I108" s="31">
        <v>2.6992017640356988E-5</v>
      </c>
      <c r="K108" s="31" t="s">
        <v>53</v>
      </c>
      <c r="L108" s="31">
        <v>0.32767529814205859</v>
      </c>
      <c r="M108" s="31">
        <v>0.24277433597575176</v>
      </c>
      <c r="N108" s="31">
        <v>1.3497114380936324</v>
      </c>
      <c r="O108" s="31">
        <v>0.23499504111640335</v>
      </c>
      <c r="P108" s="31">
        <v>-0.29639600007587691</v>
      </c>
      <c r="Q108" s="31">
        <v>0.95174659635999403</v>
      </c>
      <c r="R108" s="31">
        <v>-0.29639600007587691</v>
      </c>
      <c r="S108" s="31">
        <v>0.95174659635999403</v>
      </c>
    </row>
    <row r="109" spans="1:19" ht="15.75" thickBot="1" x14ac:dyDescent="0.3">
      <c r="A109" s="31" t="s">
        <v>53</v>
      </c>
      <c r="B109" s="31">
        <v>0.61899881646841959</v>
      </c>
      <c r="C109" s="31">
        <v>0.57075076513422307</v>
      </c>
      <c r="D109" s="31">
        <v>1.0845343611985347</v>
      </c>
      <c r="E109" s="31">
        <v>0.33912349577746881</v>
      </c>
      <c r="F109" s="31">
        <v>-0.9656593516763895</v>
      </c>
      <c r="G109" s="31">
        <v>2.2036569846132288</v>
      </c>
      <c r="H109" s="31">
        <v>-0.9656593516763895</v>
      </c>
      <c r="I109" s="31">
        <v>2.2036569846132288</v>
      </c>
      <c r="K109" s="32" t="s">
        <v>54</v>
      </c>
      <c r="L109" s="32">
        <v>-9.3637019975835597E-4</v>
      </c>
      <c r="M109" s="32">
        <v>1.6682246669353755E-3</v>
      </c>
      <c r="N109" s="32">
        <v>-0.56129741893729568</v>
      </c>
      <c r="O109" s="32">
        <v>0.59881877718708076</v>
      </c>
      <c r="P109" s="32">
        <v>-5.2246782263428741E-3</v>
      </c>
      <c r="Q109" s="32">
        <v>3.3519378268261619E-3</v>
      </c>
      <c r="R109" s="32">
        <v>-5.2246782263428741E-3</v>
      </c>
      <c r="S109" s="32">
        <v>3.3519378268261619E-3</v>
      </c>
    </row>
    <row r="110" spans="1:19" ht="15.75" thickBot="1" x14ac:dyDescent="0.3">
      <c r="A110" s="32" t="s">
        <v>54</v>
      </c>
      <c r="B110" s="32">
        <v>-2.2102793307699721E-3</v>
      </c>
      <c r="C110" s="32">
        <v>2.8533280526496785E-3</v>
      </c>
      <c r="D110" s="32">
        <v>-0.774632040195114</v>
      </c>
      <c r="E110" s="32">
        <v>0.48179871001085994</v>
      </c>
      <c r="F110" s="32">
        <v>-1.0132388036072724E-2</v>
      </c>
      <c r="G110" s="32">
        <v>5.7118293745327788E-3</v>
      </c>
      <c r="H110" s="32">
        <v>-1.0132388036072724E-2</v>
      </c>
      <c r="I110" s="32">
        <v>5.7118293745327788E-3</v>
      </c>
    </row>
  </sheetData>
  <mergeCells count="4">
    <mergeCell ref="A69:F69"/>
    <mergeCell ref="K69:P69"/>
    <mergeCell ref="A92:F92"/>
    <mergeCell ref="K92:P9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2E6A-2A1D-489F-AD20-BC7161B95FA9}">
  <dimension ref="A1:W125"/>
  <sheetViews>
    <sheetView topLeftCell="A56" zoomScale="85" zoomScaleNormal="85" workbookViewId="0">
      <selection activeCell="K92" sqref="K92"/>
    </sheetView>
  </sheetViews>
  <sheetFormatPr defaultRowHeight="15" x14ac:dyDescent="0.25"/>
  <cols>
    <col min="1" max="1" width="15.5703125" customWidth="1"/>
    <col min="2" max="2" width="14.28515625" customWidth="1"/>
    <col min="3" max="3" width="13.42578125" customWidth="1"/>
    <col min="4" max="4" width="13.7109375" customWidth="1"/>
    <col min="5" max="5" width="14.140625" customWidth="1"/>
    <col min="6" max="6" width="13.28515625" customWidth="1"/>
    <col min="7" max="7" width="16.42578125" customWidth="1"/>
    <col min="8" max="8" width="17.28515625" customWidth="1"/>
    <col min="9" max="9" width="13" customWidth="1"/>
    <col min="10" max="10" width="14" customWidth="1"/>
    <col min="11" max="11" width="13.5703125" customWidth="1"/>
    <col min="13" max="13" width="13.140625" customWidth="1"/>
    <col min="14" max="14" width="14.5703125" customWidth="1"/>
    <col min="15" max="15" width="12.85546875" customWidth="1"/>
    <col min="16" max="16" width="13.7109375" customWidth="1"/>
    <col min="17" max="17" width="12.140625" customWidth="1"/>
    <col min="19" max="19" width="13.85546875" customWidth="1"/>
    <col min="20" max="20" width="14" customWidth="1"/>
    <col min="21" max="21" width="14.42578125" customWidth="1"/>
    <col min="22" max="22" width="13.28515625" customWidth="1"/>
    <col min="23" max="23" width="12.28515625" customWidth="1"/>
  </cols>
  <sheetData>
    <row r="1" spans="1:23" x14ac:dyDescent="0.25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2" t="s">
        <v>2</v>
      </c>
      <c r="N1" s="2"/>
      <c r="O1" s="2"/>
      <c r="P1" s="2"/>
      <c r="Q1" s="2"/>
    </row>
    <row r="2" spans="1:23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G2" s="4" t="s">
        <v>3</v>
      </c>
      <c r="H2" s="3" t="s">
        <v>4</v>
      </c>
      <c r="I2" s="3" t="s">
        <v>5</v>
      </c>
      <c r="J2" s="3" t="s">
        <v>6</v>
      </c>
      <c r="K2" s="3" t="s">
        <v>7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S2" s="3" t="s">
        <v>8</v>
      </c>
      <c r="T2" s="3" t="s">
        <v>4</v>
      </c>
      <c r="U2" s="3" t="s">
        <v>5</v>
      </c>
      <c r="V2" s="3" t="s">
        <v>6</v>
      </c>
      <c r="W2" s="3" t="s">
        <v>7</v>
      </c>
    </row>
    <row r="3" spans="1:23" x14ac:dyDescent="0.25">
      <c r="A3" s="5" t="s">
        <v>9</v>
      </c>
      <c r="B3" s="6">
        <v>5.5990042925280497</v>
      </c>
      <c r="C3" s="6">
        <f>LOG10(B3)</f>
        <v>0.74811080045096356</v>
      </c>
      <c r="D3" s="6">
        <v>0.90356607367203301</v>
      </c>
      <c r="E3" s="6">
        <v>0.78479742735639801</v>
      </c>
      <c r="G3" s="5" t="s">
        <v>9</v>
      </c>
      <c r="H3" s="7">
        <v>0.72480501026157895</v>
      </c>
      <c r="I3" s="7">
        <f>LOG10(H3)</f>
        <v>-0.13977881323213187</v>
      </c>
      <c r="J3" s="7">
        <v>-0.53321285069034396</v>
      </c>
      <c r="K3" s="7">
        <v>-0.69015600278604705</v>
      </c>
      <c r="M3" s="5" t="s">
        <v>9</v>
      </c>
      <c r="N3" s="6">
        <v>3.62123713456148</v>
      </c>
      <c r="O3" s="6">
        <f>LOG10(N3)</f>
        <v>0.55885696526424988</v>
      </c>
      <c r="P3" s="6">
        <v>0.87884003043687597</v>
      </c>
      <c r="Q3" s="6">
        <v>0.735611704001494</v>
      </c>
      <c r="S3" s="5" t="s">
        <v>9</v>
      </c>
      <c r="T3" s="6">
        <v>1.7878260187067601</v>
      </c>
      <c r="U3" s="6">
        <f>LOG10(T3)</f>
        <v>0.25232525339055556</v>
      </c>
      <c r="V3" s="6">
        <v>0.26654667808256899</v>
      </c>
      <c r="W3" s="6">
        <v>0.57681691180727601</v>
      </c>
    </row>
    <row r="4" spans="1:23" x14ac:dyDescent="0.25">
      <c r="A4" s="5" t="s">
        <v>10</v>
      </c>
      <c r="B4" s="6">
        <v>3.6150481998819401</v>
      </c>
      <c r="C4" s="6">
        <f t="shared" ref="C4:C32" si="0">LOG10(B4)</f>
        <v>0.55811409217085495</v>
      </c>
      <c r="D4" s="6">
        <v>0.84393866538764695</v>
      </c>
      <c r="E4" s="6">
        <v>0.73975142372925395</v>
      </c>
      <c r="G4" s="5" t="s">
        <v>10</v>
      </c>
      <c r="H4" s="7">
        <v>0.72236032128579997</v>
      </c>
      <c r="I4" s="7">
        <f t="shared" ref="I4:I32" si="1">LOG10(H4)</f>
        <v>-0.14124611751168054</v>
      </c>
      <c r="J4" s="7">
        <v>-0.54415401279001296</v>
      </c>
      <c r="K4" s="7">
        <v>-0.77189783394192801</v>
      </c>
      <c r="M4" s="5" t="s">
        <v>10</v>
      </c>
      <c r="N4" s="6">
        <v>3.1649110765038402</v>
      </c>
      <c r="O4" s="6">
        <f t="shared" ref="O4:O12" si="2">LOG10(N4)</f>
        <v>0.50036151229137671</v>
      </c>
      <c r="P4" s="6">
        <v>0.89370073497006797</v>
      </c>
      <c r="Q4" s="6">
        <v>0.76773815613843199</v>
      </c>
      <c r="S4" s="5" t="s">
        <v>10</v>
      </c>
      <c r="T4" s="6">
        <v>2.8770644107042802</v>
      </c>
      <c r="U4" s="6">
        <f t="shared" ref="U4:U11" si="3">LOG10(T4)</f>
        <v>0.45894958483099857</v>
      </c>
      <c r="V4" s="6">
        <v>0.541500872594741</v>
      </c>
      <c r="W4" s="6">
        <v>0.54443871754473905</v>
      </c>
    </row>
    <row r="5" spans="1:23" x14ac:dyDescent="0.25">
      <c r="A5" s="5" t="s">
        <v>11</v>
      </c>
      <c r="B5" s="6">
        <v>2.1746388039620901</v>
      </c>
      <c r="C5" s="6">
        <f t="shared" si="0"/>
        <v>0.33738713325723541</v>
      </c>
      <c r="D5" s="6">
        <v>0.90358482744648005</v>
      </c>
      <c r="E5" s="6">
        <v>0.17369777575697301</v>
      </c>
      <c r="G5" s="5" t="s">
        <v>11</v>
      </c>
      <c r="H5" s="7">
        <v>0.93103098270545204</v>
      </c>
      <c r="I5" s="7">
        <f t="shared" si="1"/>
        <v>-3.1035866393391235E-2</v>
      </c>
      <c r="J5" s="7">
        <v>0.356634245125801</v>
      </c>
      <c r="K5" s="7">
        <v>1.7836570943256701E-2</v>
      </c>
      <c r="M5" s="5" t="s">
        <v>11</v>
      </c>
      <c r="N5" s="6">
        <v>1.5737102771314899</v>
      </c>
      <c r="O5" s="6">
        <f t="shared" si="2"/>
        <v>0.19692478099339403</v>
      </c>
      <c r="P5" s="6">
        <v>0.86635228697468503</v>
      </c>
      <c r="Q5" s="6">
        <v>0.199680501000808</v>
      </c>
      <c r="S5" s="5" t="s">
        <v>11</v>
      </c>
      <c r="T5" s="6">
        <v>1.2050076272027901</v>
      </c>
      <c r="U5" s="6">
        <f t="shared" si="3"/>
        <v>8.0989795825078759E-2</v>
      </c>
      <c r="V5" s="6">
        <v>0.92674759673055396</v>
      </c>
      <c r="W5" s="6">
        <v>0.13984116014494999</v>
      </c>
    </row>
    <row r="6" spans="1:23" x14ac:dyDescent="0.25">
      <c r="A6" s="5" t="s">
        <v>12</v>
      </c>
      <c r="B6" s="6">
        <v>2.2792285281778502</v>
      </c>
      <c r="C6" s="6">
        <f t="shared" si="0"/>
        <v>0.35778787215309504</v>
      </c>
      <c r="D6" s="6">
        <v>0.663434225775831</v>
      </c>
      <c r="E6" s="6">
        <v>9.9143945152060597E-2</v>
      </c>
      <c r="G6" s="5" t="s">
        <v>12</v>
      </c>
      <c r="H6" s="7">
        <v>0.62021758140125105</v>
      </c>
      <c r="I6" s="7">
        <f t="shared" si="1"/>
        <v>-0.20745592691306838</v>
      </c>
      <c r="J6" s="7">
        <v>-0.834312574960141</v>
      </c>
      <c r="K6" s="7">
        <v>-0.54160608613664096</v>
      </c>
      <c r="M6" s="5" t="s">
        <v>12</v>
      </c>
      <c r="N6" s="6">
        <v>1.50347635019633</v>
      </c>
      <c r="O6" s="6">
        <f t="shared" si="2"/>
        <v>0.17709660100320529</v>
      </c>
      <c r="P6" s="6">
        <v>0.96614890517595997</v>
      </c>
      <c r="Q6" s="6">
        <v>0.12535086320927399</v>
      </c>
      <c r="S6" s="5" t="s">
        <v>12</v>
      </c>
      <c r="T6" s="6">
        <v>1.11910970408747</v>
      </c>
      <c r="U6" s="6">
        <f t="shared" si="3"/>
        <v>4.8872661635174883E-2</v>
      </c>
      <c r="V6" s="6">
        <v>0.156816283020727</v>
      </c>
      <c r="W6" s="6">
        <v>8.9326261366187695E-2</v>
      </c>
    </row>
    <row r="7" spans="1:23" x14ac:dyDescent="0.25">
      <c r="A7" s="5" t="s">
        <v>13</v>
      </c>
      <c r="B7" s="6">
        <v>1.4480475262282899</v>
      </c>
      <c r="C7" s="6">
        <f t="shared" si="0"/>
        <v>0.16078281603237832</v>
      </c>
      <c r="D7" s="6">
        <v>0.66475177086608195</v>
      </c>
      <c r="E7" s="6">
        <v>0.21234239309632399</v>
      </c>
      <c r="G7" s="5" t="s">
        <v>13</v>
      </c>
      <c r="H7" s="7">
        <v>0.77501210984665403</v>
      </c>
      <c r="I7" s="7">
        <f t="shared" si="1"/>
        <v>-0.11069151143112253</v>
      </c>
      <c r="J7" s="7">
        <v>-0.908415578463458</v>
      </c>
      <c r="K7" s="7">
        <v>-0.17637365181995501</v>
      </c>
      <c r="M7" s="5" t="s">
        <v>13</v>
      </c>
      <c r="N7" s="6">
        <v>1.46809780024647</v>
      </c>
      <c r="O7" s="6">
        <f t="shared" si="2"/>
        <v>0.16675498793195284</v>
      </c>
      <c r="P7" s="6">
        <v>0.61110995616383801</v>
      </c>
      <c r="Q7" s="6">
        <v>0.42964915677977999</v>
      </c>
      <c r="S7" s="5" t="s">
        <v>13</v>
      </c>
      <c r="T7" s="6">
        <v>1.4074954172257299</v>
      </c>
      <c r="U7" s="6">
        <f t="shared" si="3"/>
        <v>0.14844698947235901</v>
      </c>
      <c r="V7" s="6">
        <v>0.25880560171696498</v>
      </c>
      <c r="W7" s="6">
        <v>4.6283799610675601E-2</v>
      </c>
    </row>
    <row r="8" spans="1:23" x14ac:dyDescent="0.25">
      <c r="A8" s="5" t="s">
        <v>14</v>
      </c>
      <c r="B8" s="6">
        <v>1.45242884682964</v>
      </c>
      <c r="C8" s="6">
        <f t="shared" si="0"/>
        <v>0.16209486589117289</v>
      </c>
      <c r="D8" s="6">
        <v>0.238708102284336</v>
      </c>
      <c r="E8" s="6">
        <v>0.14477972148899501</v>
      </c>
      <c r="G8" s="5" t="s">
        <v>14</v>
      </c>
      <c r="H8" s="6">
        <v>1.0770799229366299</v>
      </c>
      <c r="I8" s="6">
        <f t="shared" si="1"/>
        <v>3.2247930598373005E-2</v>
      </c>
      <c r="J8" s="6">
        <v>0.64255712913469198</v>
      </c>
      <c r="K8" s="6">
        <v>0.41389016217674901</v>
      </c>
      <c r="M8" s="5" t="s">
        <v>14</v>
      </c>
      <c r="N8" s="6">
        <v>1.29322320004102</v>
      </c>
      <c r="O8" s="6">
        <f t="shared" si="2"/>
        <v>0.11167348712372607</v>
      </c>
      <c r="P8" s="6">
        <v>0.43470959470339599</v>
      </c>
      <c r="Q8" s="6">
        <v>0.36758406997509402</v>
      </c>
      <c r="S8" s="5" t="s">
        <v>14</v>
      </c>
      <c r="T8" s="6">
        <v>1.41606982531736</v>
      </c>
      <c r="U8" s="6">
        <f t="shared" si="3"/>
        <v>0.15108466860966069</v>
      </c>
      <c r="V8" s="6">
        <v>0.52921681534296305</v>
      </c>
      <c r="W8" s="6">
        <v>3.0850994672477702E-2</v>
      </c>
    </row>
    <row r="9" spans="1:23" x14ac:dyDescent="0.25">
      <c r="A9" s="5" t="s">
        <v>16</v>
      </c>
      <c r="B9" s="6">
        <v>1.48474411958353</v>
      </c>
      <c r="C9" s="6">
        <f t="shared" si="0"/>
        <v>0.1716516139036095</v>
      </c>
      <c r="D9" s="6">
        <v>0.55431906321323399</v>
      </c>
      <c r="E9" s="6">
        <v>0.36516163611226798</v>
      </c>
      <c r="G9" s="5" t="s">
        <v>16</v>
      </c>
      <c r="H9" s="6">
        <v>1.69896635753922</v>
      </c>
      <c r="I9" s="7">
        <f t="shared" si="1"/>
        <v>0.23018477917526556</v>
      </c>
      <c r="J9" s="6">
        <v>1.0004694412552899</v>
      </c>
      <c r="K9" s="6">
        <v>0.39449354239977702</v>
      </c>
      <c r="M9" s="5" t="s">
        <v>16</v>
      </c>
      <c r="N9" s="6">
        <v>1.2870368477726899</v>
      </c>
      <c r="O9" s="6">
        <f t="shared" si="2"/>
        <v>0.10959098090226406</v>
      </c>
      <c r="P9" s="6">
        <v>0.29324836284144801</v>
      </c>
      <c r="Q9" s="6">
        <v>4.3375577562074601E-2</v>
      </c>
      <c r="S9" s="5" t="s">
        <v>15</v>
      </c>
      <c r="T9" s="6">
        <v>1.5689444337549201</v>
      </c>
      <c r="U9" s="6">
        <f t="shared" si="3"/>
        <v>0.19560756274503188</v>
      </c>
      <c r="V9" s="6">
        <v>0.71850105371235795</v>
      </c>
      <c r="W9" s="6">
        <v>0.164262280281398</v>
      </c>
    </row>
    <row r="10" spans="1:23" x14ac:dyDescent="0.25">
      <c r="A10" s="5" t="s">
        <v>18</v>
      </c>
      <c r="B10" s="6">
        <v>1.6588389001163999</v>
      </c>
      <c r="C10" s="6">
        <f t="shared" si="0"/>
        <v>0.21980421110710638</v>
      </c>
      <c r="D10" s="6">
        <v>0.49497785634638802</v>
      </c>
      <c r="E10" s="6">
        <v>4.1333778886518201E-2</v>
      </c>
      <c r="G10" s="5" t="s">
        <v>18</v>
      </c>
      <c r="H10" s="6">
        <v>0.68980819676752303</v>
      </c>
      <c r="I10" s="7">
        <f t="shared" si="1"/>
        <v>-0.16127164935721236</v>
      </c>
      <c r="J10" s="7">
        <v>-0.62247408500113799</v>
      </c>
      <c r="K10" s="7">
        <v>-0.17371472956907899</v>
      </c>
      <c r="M10" s="5" t="s">
        <v>18</v>
      </c>
      <c r="N10" s="6">
        <v>1.3490789487664501</v>
      </c>
      <c r="O10" s="6">
        <f t="shared" si="2"/>
        <v>0.13003736554318393</v>
      </c>
      <c r="P10" s="6">
        <v>0.20911471061197601</v>
      </c>
      <c r="Q10" s="6">
        <v>4.5262412029273197E-2</v>
      </c>
      <c r="S10" s="5" t="s">
        <v>17</v>
      </c>
      <c r="T10" s="6">
        <v>1.15872732148062</v>
      </c>
      <c r="U10" s="6">
        <f t="shared" si="3"/>
        <v>6.3981247258523458E-2</v>
      </c>
      <c r="V10" s="6">
        <v>0.40647074977609499</v>
      </c>
      <c r="W10" s="7">
        <v>-4.45444212598241E-2</v>
      </c>
    </row>
    <row r="11" spans="1:23" x14ac:dyDescent="0.25">
      <c r="A11" s="5" t="s">
        <v>20</v>
      </c>
      <c r="B11" s="7">
        <v>0.665445371933445</v>
      </c>
      <c r="C11" s="7">
        <f t="shared" si="0"/>
        <v>-0.17688759104076174</v>
      </c>
      <c r="D11" s="7">
        <v>-1.0305451800868599</v>
      </c>
      <c r="E11" s="7">
        <v>-4.1760232547360499E-2</v>
      </c>
      <c r="G11" s="5" t="s">
        <v>20</v>
      </c>
      <c r="H11" s="7">
        <v>0.66267278810022201</v>
      </c>
      <c r="I11" s="7">
        <f t="shared" si="1"/>
        <v>-0.17870086284870682</v>
      </c>
      <c r="J11" s="7">
        <v>-1.0273129897173701</v>
      </c>
      <c r="K11" s="7">
        <v>-4.74716361793363E-2</v>
      </c>
      <c r="M11" s="5" t="s">
        <v>20</v>
      </c>
      <c r="N11" s="7">
        <v>0.56520265738304298</v>
      </c>
      <c r="O11" s="7">
        <f t="shared" si="2"/>
        <v>-0.24779580491958866</v>
      </c>
      <c r="P11" s="7">
        <v>-1.0275595596207601</v>
      </c>
      <c r="Q11" s="7">
        <v>-6.6277814143714905E-2</v>
      </c>
      <c r="S11" s="5" t="s">
        <v>19</v>
      </c>
      <c r="T11" s="6">
        <v>1.1637562782531401</v>
      </c>
      <c r="U11" s="6">
        <f t="shared" si="3"/>
        <v>6.5862036935340984E-2</v>
      </c>
      <c r="V11" s="6">
        <v>0.401331670241585</v>
      </c>
      <c r="W11" s="6">
        <v>6.7271555006068101E-2</v>
      </c>
    </row>
    <row r="12" spans="1:23" x14ac:dyDescent="0.25">
      <c r="A12" s="5" t="s">
        <v>19</v>
      </c>
      <c r="B12" s="7">
        <v>0.84619083652769</v>
      </c>
      <c r="C12" s="7">
        <f t="shared" si="0"/>
        <v>-7.2531681991024291E-2</v>
      </c>
      <c r="D12" s="7">
        <v>-0.57708462423306806</v>
      </c>
      <c r="E12" s="7">
        <v>-7.8588218215967606E-2</v>
      </c>
      <c r="G12" s="5" t="s">
        <v>19</v>
      </c>
      <c r="H12" s="6">
        <v>1.6537701478523501</v>
      </c>
      <c r="I12" s="6">
        <f t="shared" si="1"/>
        <v>0.21847514822975025</v>
      </c>
      <c r="J12" s="6">
        <v>0.384403035464087</v>
      </c>
      <c r="K12" s="6">
        <v>5.9760012226563401E-2</v>
      </c>
      <c r="M12" s="5" t="s">
        <v>19</v>
      </c>
      <c r="N12" s="7">
        <v>0.82233612818652901</v>
      </c>
      <c r="O12" s="7">
        <f t="shared" si="2"/>
        <v>-8.4950629201643507E-2</v>
      </c>
      <c r="P12" s="7">
        <v>-0.50591021290758598</v>
      </c>
      <c r="Q12" s="7">
        <v>-0.161754895727207</v>
      </c>
      <c r="S12" s="5" t="s">
        <v>22</v>
      </c>
      <c r="T12" s="8">
        <v>1.39679058575205</v>
      </c>
      <c r="U12" s="6">
        <f t="shared" ref="U12:U37" si="4">LOG10(T12)</f>
        <v>0.14513129926404733</v>
      </c>
      <c r="V12" s="8">
        <v>0.88641107886014003</v>
      </c>
      <c r="W12" s="8">
        <v>0.103368750113241</v>
      </c>
    </row>
    <row r="13" spans="1:23" x14ac:dyDescent="0.25">
      <c r="A13" s="5" t="s">
        <v>21</v>
      </c>
      <c r="B13" s="8">
        <v>1.86943505833322</v>
      </c>
      <c r="C13" s="6">
        <f t="shared" si="0"/>
        <v>0.27171038294442207</v>
      </c>
      <c r="D13" s="8">
        <v>1.9314296164550899</v>
      </c>
      <c r="E13" s="8">
        <v>9.4513218106104094E-2</v>
      </c>
      <c r="G13" s="5" t="s">
        <v>21</v>
      </c>
      <c r="H13" s="14">
        <v>0.96641125607193401</v>
      </c>
      <c r="I13" s="7">
        <f t="shared" si="1"/>
        <v>-1.4838020339809969E-2</v>
      </c>
      <c r="J13" s="12">
        <v>0.28028790761501998</v>
      </c>
      <c r="K13" s="12">
        <v>3.4332675043980999E-2</v>
      </c>
      <c r="S13" s="5" t="s">
        <v>23</v>
      </c>
      <c r="T13" s="8">
        <v>1.2108318271354701</v>
      </c>
      <c r="U13" s="6">
        <f t="shared" si="4"/>
        <v>8.3083828015989958E-2</v>
      </c>
      <c r="V13" s="8">
        <v>0.92629163740877796</v>
      </c>
      <c r="W13" s="8">
        <v>0.11077055296162799</v>
      </c>
    </row>
    <row r="14" spans="1:23" x14ac:dyDescent="0.25">
      <c r="A14" s="5" t="s">
        <v>22</v>
      </c>
      <c r="B14" s="8">
        <v>1.3545954270153699</v>
      </c>
      <c r="C14" s="6">
        <f t="shared" si="0"/>
        <v>0.13180960513617518</v>
      </c>
      <c r="D14" s="8">
        <v>1.0089470650494099</v>
      </c>
      <c r="E14" s="8">
        <v>4.2663094228711902E-2</v>
      </c>
      <c r="G14" s="5" t="s">
        <v>22</v>
      </c>
      <c r="H14" s="14">
        <v>0.998307366622182</v>
      </c>
      <c r="I14" s="7">
        <f t="shared" si="1"/>
        <v>-7.3572416731629124E-4</v>
      </c>
      <c r="J14" s="12">
        <v>1.3951542417579801</v>
      </c>
      <c r="K14" s="12">
        <v>2.8668980226143202E-2</v>
      </c>
      <c r="S14" s="5" t="s">
        <v>24</v>
      </c>
      <c r="T14" s="8">
        <v>1.14568818263897</v>
      </c>
      <c r="U14" s="6">
        <f t="shared" si="4"/>
        <v>5.9066433524895802E-2</v>
      </c>
      <c r="V14" s="8">
        <v>0.723568252950335</v>
      </c>
      <c r="W14" s="8">
        <v>1.0650915621547401E-2</v>
      </c>
    </row>
    <row r="15" spans="1:23" x14ac:dyDescent="0.25">
      <c r="A15" s="5" t="s">
        <v>26</v>
      </c>
      <c r="B15" s="8">
        <v>1.31746197777344</v>
      </c>
      <c r="C15" s="6">
        <f t="shared" si="0"/>
        <v>0.11973809023641387</v>
      </c>
      <c r="D15" s="8">
        <v>0.66698565105034602</v>
      </c>
      <c r="E15" s="8">
        <v>8.8732929175135894E-2</v>
      </c>
      <c r="G15" s="5" t="s">
        <v>26</v>
      </c>
      <c r="H15" s="12">
        <v>1.01982556926034</v>
      </c>
      <c r="I15" s="6">
        <f t="shared" si="1"/>
        <v>8.5258964816829121E-3</v>
      </c>
      <c r="J15" s="12">
        <v>0.38831940167197898</v>
      </c>
      <c r="K15" s="12">
        <v>1.20306787922476E-2</v>
      </c>
      <c r="S15" s="5" t="s">
        <v>25</v>
      </c>
      <c r="T15" s="8">
        <v>1.10273002217056</v>
      </c>
      <c r="U15" s="6">
        <f t="shared" si="4"/>
        <v>4.2469198538698585E-2</v>
      </c>
      <c r="V15" s="8">
        <v>0.92947006080395</v>
      </c>
      <c r="W15" s="10">
        <v>-2.2683422982125001E-2</v>
      </c>
    </row>
    <row r="16" spans="1:23" x14ac:dyDescent="0.25">
      <c r="A16" s="5" t="s">
        <v>27</v>
      </c>
      <c r="B16" s="10">
        <v>0.89735303995633098</v>
      </c>
      <c r="C16" s="7">
        <f t="shared" si="0"/>
        <v>-4.7036661593077796E-2</v>
      </c>
      <c r="D16" s="8">
        <v>0.19762137224995299</v>
      </c>
      <c r="E16" s="10">
        <v>-1.9463558010346702E-2</v>
      </c>
      <c r="G16" s="5" t="s">
        <v>27</v>
      </c>
      <c r="H16" s="12">
        <v>1.0105385292601801</v>
      </c>
      <c r="I16" s="6">
        <f t="shared" si="1"/>
        <v>4.552876709402724E-3</v>
      </c>
      <c r="J16" s="12">
        <v>0.597784224122066</v>
      </c>
      <c r="K16" s="12">
        <v>2.7386597361713599E-2</v>
      </c>
      <c r="S16" s="5" t="s">
        <v>26</v>
      </c>
      <c r="T16" s="8">
        <v>1.2576523908335999</v>
      </c>
      <c r="U16" s="6">
        <f t="shared" si="4"/>
        <v>9.9560620756408508E-2</v>
      </c>
      <c r="V16" s="8">
        <v>0.77855192606860901</v>
      </c>
      <c r="W16" s="8">
        <v>0.15621819275209001</v>
      </c>
    </row>
    <row r="17" spans="1:23" x14ac:dyDescent="0.25">
      <c r="A17" s="5" t="s">
        <v>28</v>
      </c>
      <c r="B17" s="8">
        <v>1.39880081037808</v>
      </c>
      <c r="C17" s="6">
        <f t="shared" si="0"/>
        <v>0.14575587524045741</v>
      </c>
      <c r="D17" s="8">
        <v>0.54807771119966198</v>
      </c>
      <c r="E17" s="8">
        <v>0.10415722716452799</v>
      </c>
      <c r="G17" s="5" t="s">
        <v>28</v>
      </c>
      <c r="H17" s="12">
        <v>1.04413498578157</v>
      </c>
      <c r="I17" s="6">
        <f t="shared" si="1"/>
        <v>1.8756647890840521E-2</v>
      </c>
      <c r="J17" s="12">
        <v>0.92934562720262803</v>
      </c>
      <c r="K17" s="12">
        <v>2.8615745110634201E-2</v>
      </c>
      <c r="S17" s="5" t="s">
        <v>27</v>
      </c>
      <c r="T17" s="8">
        <v>1.24807759229999</v>
      </c>
      <c r="U17" s="6">
        <f t="shared" si="4"/>
        <v>9.6241586035677562E-2</v>
      </c>
      <c r="V17" s="8">
        <v>0.55577143716833499</v>
      </c>
      <c r="W17" s="8">
        <v>0.15071577677020101</v>
      </c>
    </row>
    <row r="18" spans="1:23" x14ac:dyDescent="0.25">
      <c r="A18" s="5" t="s">
        <v>29</v>
      </c>
      <c r="B18" s="8">
        <v>1.2210038373368299</v>
      </c>
      <c r="C18" s="6">
        <f t="shared" si="0"/>
        <v>8.6717028835620949E-2</v>
      </c>
      <c r="D18" s="8">
        <v>0.10106112243990099</v>
      </c>
      <c r="E18" s="8">
        <v>4.66251429291673E-2</v>
      </c>
      <c r="G18" s="5" t="s">
        <v>29</v>
      </c>
      <c r="H18" s="12">
        <v>1.04959681992682</v>
      </c>
      <c r="I18" s="6">
        <f t="shared" si="1"/>
        <v>2.1022506206197909E-2</v>
      </c>
      <c r="J18" s="14">
        <v>-0.33094957948560899</v>
      </c>
      <c r="K18" s="12">
        <v>4.4113621235337297E-2</v>
      </c>
      <c r="S18" s="5" t="s">
        <v>28</v>
      </c>
      <c r="T18" s="8">
        <v>1.42877693896201</v>
      </c>
      <c r="U18" s="6">
        <f t="shared" si="4"/>
        <v>0.15496443191235268</v>
      </c>
      <c r="V18" s="8">
        <v>0.33551375674123601</v>
      </c>
      <c r="W18" s="8">
        <v>5.5397551503622099E-2</v>
      </c>
    </row>
    <row r="19" spans="1:23" x14ac:dyDescent="0.25">
      <c r="A19" s="5" t="s">
        <v>30</v>
      </c>
      <c r="B19" s="8">
        <v>1.5249018262283101</v>
      </c>
      <c r="C19" s="6">
        <f t="shared" si="0"/>
        <v>0.18324188453542448</v>
      </c>
      <c r="D19" s="8">
        <v>0.50902572287082404</v>
      </c>
      <c r="E19" s="8">
        <v>9.0894558490112708E-3</v>
      </c>
      <c r="G19" s="5" t="s">
        <v>30</v>
      </c>
      <c r="H19" s="14">
        <v>0.97400899474341096</v>
      </c>
      <c r="I19" s="7">
        <f t="shared" si="1"/>
        <v>-1.1437032495725058E-2</v>
      </c>
      <c r="J19" s="14">
        <v>-0.27375631737886102</v>
      </c>
      <c r="K19" s="14">
        <v>-8.0536265843332393E-3</v>
      </c>
      <c r="S19" s="5" t="s">
        <v>29</v>
      </c>
      <c r="T19" s="8">
        <v>1.33941755807892</v>
      </c>
      <c r="U19" s="6">
        <f t="shared" si="4"/>
        <v>0.12691598769170023</v>
      </c>
      <c r="V19" s="8">
        <v>0.63731372986403501</v>
      </c>
      <c r="W19" s="8">
        <v>6.9883057908481996E-2</v>
      </c>
    </row>
    <row r="20" spans="1:23" x14ac:dyDescent="0.25">
      <c r="A20" s="5" t="s">
        <v>33</v>
      </c>
      <c r="B20" s="8">
        <v>1.36678278361715</v>
      </c>
      <c r="C20" s="6">
        <f t="shared" si="0"/>
        <v>0.13569949966494516</v>
      </c>
      <c r="D20" s="8">
        <v>0.463447965306029</v>
      </c>
      <c r="E20" s="8">
        <v>2.0373962034653699E-2</v>
      </c>
      <c r="G20" s="5" t="s">
        <v>33</v>
      </c>
      <c r="H20" s="12">
        <v>1.03922347944993</v>
      </c>
      <c r="I20" s="6">
        <f t="shared" si="1"/>
        <v>1.6708950305493162E-2</v>
      </c>
      <c r="J20" s="12">
        <v>0.59399199353963394</v>
      </c>
      <c r="K20" s="12">
        <v>2.7450804091866201E-2</v>
      </c>
      <c r="S20" s="5" t="s">
        <v>30</v>
      </c>
      <c r="T20" s="8">
        <v>1.3769164984553499</v>
      </c>
      <c r="U20" s="6">
        <f t="shared" si="4"/>
        <v>0.13890760375753933</v>
      </c>
      <c r="V20" s="10">
        <v>-0.44248745305980902</v>
      </c>
      <c r="W20" s="8">
        <v>7.8645648239850305E-2</v>
      </c>
    </row>
    <row r="21" spans="1:23" x14ac:dyDescent="0.25">
      <c r="A21" s="5" t="s">
        <v>35</v>
      </c>
      <c r="B21" s="8">
        <v>1.8695993339197901</v>
      </c>
      <c r="C21" s="6">
        <f t="shared" si="0"/>
        <v>0.27174854465855475</v>
      </c>
      <c r="D21" s="8">
        <v>0.44896728093636801</v>
      </c>
      <c r="E21" s="8">
        <v>2.4947102971666898E-2</v>
      </c>
      <c r="G21" s="5" t="s">
        <v>35</v>
      </c>
      <c r="H21" s="12">
        <v>1.0683907677478099</v>
      </c>
      <c r="I21" s="6">
        <f t="shared" si="1"/>
        <v>2.8730126510037885E-2</v>
      </c>
      <c r="J21" s="12">
        <v>0.74870138294766397</v>
      </c>
      <c r="K21" s="12">
        <v>6.5697545304297195E-2</v>
      </c>
      <c r="S21" s="5" t="s">
        <v>31</v>
      </c>
      <c r="T21" s="8">
        <v>1.66488624253968</v>
      </c>
      <c r="U21" s="6">
        <f t="shared" si="4"/>
        <v>0.22138456461405814</v>
      </c>
      <c r="V21" s="8">
        <v>0.73952445342362605</v>
      </c>
      <c r="W21" s="8">
        <v>0.17832892113485599</v>
      </c>
    </row>
    <row r="22" spans="1:23" x14ac:dyDescent="0.25">
      <c r="A22" s="5" t="s">
        <v>36</v>
      </c>
      <c r="B22" s="8">
        <v>1.21795864622288</v>
      </c>
      <c r="C22" s="6">
        <f t="shared" si="0"/>
        <v>8.5632542794309818E-2</v>
      </c>
      <c r="D22" s="8">
        <v>1.5264059910121399</v>
      </c>
      <c r="E22" s="8">
        <v>9.6293174744729593E-3</v>
      </c>
      <c r="G22" s="5" t="s">
        <v>36</v>
      </c>
      <c r="H22" s="12">
        <v>1.13117180110701</v>
      </c>
      <c r="I22" s="6">
        <f t="shared" si="1"/>
        <v>5.3528570094737521E-2</v>
      </c>
      <c r="J22" s="12">
        <v>1.1019405303793299</v>
      </c>
      <c r="K22" s="12">
        <v>0.132436068542756</v>
      </c>
      <c r="S22" s="5" t="s">
        <v>32</v>
      </c>
      <c r="T22" s="8">
        <v>1.1538999764416</v>
      </c>
      <c r="U22" s="6">
        <f t="shared" si="4"/>
        <v>6.2168164485084561E-2</v>
      </c>
      <c r="V22" s="8">
        <v>9.3645385178040705E-2</v>
      </c>
      <c r="W22" s="8">
        <v>2.1496979213356301E-3</v>
      </c>
    </row>
    <row r="23" spans="1:23" x14ac:dyDescent="0.25">
      <c r="A23" s="5" t="s">
        <v>37</v>
      </c>
      <c r="B23" s="8">
        <v>1.0299659938988901</v>
      </c>
      <c r="C23" s="6">
        <f t="shared" si="0"/>
        <v>1.2822885961612207E-2</v>
      </c>
      <c r="D23" s="8">
        <v>0.71671353985517805</v>
      </c>
      <c r="E23" s="8">
        <v>0.14608753400636901</v>
      </c>
      <c r="G23" s="5" t="s">
        <v>37</v>
      </c>
      <c r="H23" s="14">
        <v>0.99421602518435603</v>
      </c>
      <c r="I23" s="7">
        <f t="shared" si="1"/>
        <v>-2.5192410028456592E-3</v>
      </c>
      <c r="J23" s="12">
        <v>0.17884914222762199</v>
      </c>
      <c r="K23" s="14">
        <v>-4.2076076707890497E-3</v>
      </c>
      <c r="S23" s="5" t="s">
        <v>33</v>
      </c>
      <c r="T23" s="8">
        <v>1.5749763159783401</v>
      </c>
      <c r="U23" s="6">
        <f t="shared" si="4"/>
        <v>0.197274027384506</v>
      </c>
      <c r="V23" s="8">
        <v>0.78100360785877099</v>
      </c>
      <c r="W23" s="8">
        <v>0.101236914763633</v>
      </c>
    </row>
    <row r="24" spans="1:23" x14ac:dyDescent="0.25">
      <c r="A24" s="5" t="s">
        <v>40</v>
      </c>
      <c r="B24" s="8">
        <v>1.1534447144942801</v>
      </c>
      <c r="C24" s="6">
        <f t="shared" si="0"/>
        <v>6.1996783282367796E-2</v>
      </c>
      <c r="D24" s="8">
        <v>0.678678630991426</v>
      </c>
      <c r="E24" s="8">
        <v>1.27691539373017E-2</v>
      </c>
      <c r="G24" s="5" t="s">
        <v>40</v>
      </c>
      <c r="H24" s="12">
        <v>1.04764110720538</v>
      </c>
      <c r="I24" s="6">
        <f t="shared" si="1"/>
        <v>2.0212530877868819E-2</v>
      </c>
      <c r="J24" s="12">
        <v>1.10062768451704</v>
      </c>
      <c r="K24" s="12">
        <v>9.2876994447724404E-2</v>
      </c>
      <c r="S24" s="5" t="s">
        <v>34</v>
      </c>
      <c r="T24" s="8">
        <v>1.3735151389442699</v>
      </c>
      <c r="U24" s="6">
        <f t="shared" si="4"/>
        <v>0.13783345059584137</v>
      </c>
      <c r="V24" s="8">
        <v>0.76865077228085099</v>
      </c>
      <c r="W24" s="8">
        <v>0.107400232693555</v>
      </c>
    </row>
    <row r="25" spans="1:23" x14ac:dyDescent="0.25">
      <c r="A25" s="5" t="s">
        <v>41</v>
      </c>
      <c r="B25" s="8">
        <v>1.6625275928143599</v>
      </c>
      <c r="C25" s="6">
        <f t="shared" si="0"/>
        <v>0.22076886197969703</v>
      </c>
      <c r="D25" s="8">
        <v>0.81343884511072295</v>
      </c>
      <c r="E25" s="8">
        <v>6.7576112725014403E-2</v>
      </c>
      <c r="G25" s="5" t="s">
        <v>41</v>
      </c>
      <c r="H25" s="12">
        <v>1.1477045338510801</v>
      </c>
      <c r="I25" s="6">
        <f t="shared" si="1"/>
        <v>5.9830097265812149E-2</v>
      </c>
      <c r="J25" s="12">
        <v>0.97101599927504101</v>
      </c>
      <c r="K25" s="12">
        <v>8.3834633446242604E-2</v>
      </c>
      <c r="S25" s="5" t="s">
        <v>36</v>
      </c>
      <c r="T25" s="8">
        <v>1.4368219825375701</v>
      </c>
      <c r="U25" s="6">
        <f t="shared" si="4"/>
        <v>0.15740296382610611</v>
      </c>
      <c r="V25" s="8">
        <v>0.96854380596042999</v>
      </c>
      <c r="W25" s="8">
        <v>0.198594884621278</v>
      </c>
    </row>
    <row r="26" spans="1:23" x14ac:dyDescent="0.25">
      <c r="A26" s="5" t="s">
        <v>42</v>
      </c>
      <c r="B26" s="10">
        <v>0.83858009935182098</v>
      </c>
      <c r="C26" s="7">
        <f t="shared" si="0"/>
        <v>-7.6455448209867299E-2</v>
      </c>
      <c r="D26" s="10">
        <v>-1.07855599689062</v>
      </c>
      <c r="E26">
        <v>1.0119527368219401E-2</v>
      </c>
      <c r="G26" s="5" t="s">
        <v>42</v>
      </c>
      <c r="H26" s="12">
        <v>1.1126612766097499</v>
      </c>
      <c r="I26" s="6">
        <f t="shared" si="1"/>
        <v>4.6362973779066348E-2</v>
      </c>
      <c r="J26" s="12">
        <v>0.95380985457733503</v>
      </c>
      <c r="K26" s="12">
        <v>4.4857179056258203E-2</v>
      </c>
      <c r="S26" s="5" t="s">
        <v>37</v>
      </c>
      <c r="T26" s="8">
        <v>1.1632876834321</v>
      </c>
      <c r="U26" s="6">
        <f t="shared" si="4"/>
        <v>6.5687129927886334E-2</v>
      </c>
      <c r="V26" s="8">
        <v>0.91285830032378401</v>
      </c>
      <c r="W26" s="8">
        <v>6.8212961854365706E-2</v>
      </c>
    </row>
    <row r="27" spans="1:23" x14ac:dyDescent="0.25">
      <c r="A27" s="5" t="s">
        <v>43</v>
      </c>
      <c r="B27" s="8">
        <v>2.31938512736013</v>
      </c>
      <c r="C27" s="6">
        <f t="shared" si="0"/>
        <v>0.36537286799984553</v>
      </c>
      <c r="D27" s="8">
        <v>1.34776836410395</v>
      </c>
      <c r="E27" s="8">
        <v>4.5646344187588998E-2</v>
      </c>
      <c r="G27" s="5" t="s">
        <v>43</v>
      </c>
      <c r="H27" s="12">
        <v>1.2530304455719099</v>
      </c>
      <c r="I27" s="6">
        <f t="shared" si="1"/>
        <v>9.7961623414933932E-2</v>
      </c>
      <c r="J27" s="12">
        <v>1.1029723476739599</v>
      </c>
      <c r="K27" s="12">
        <v>7.6664996000854094E-2</v>
      </c>
      <c r="S27" s="5" t="s">
        <v>38</v>
      </c>
      <c r="T27" s="8">
        <v>1.1661766362910899</v>
      </c>
      <c r="U27" s="6">
        <f t="shared" si="4"/>
        <v>6.6764336320578821E-2</v>
      </c>
      <c r="V27" s="8">
        <v>0.69952356032694896</v>
      </c>
      <c r="W27" s="8">
        <v>4.9611646415268197E-2</v>
      </c>
    </row>
    <row r="28" spans="1:23" x14ac:dyDescent="0.25">
      <c r="A28" s="5" t="s">
        <v>44</v>
      </c>
      <c r="B28" s="8">
        <v>1.66955637894203</v>
      </c>
      <c r="C28" s="6">
        <f t="shared" si="0"/>
        <v>0.22260108924843011</v>
      </c>
      <c r="D28" s="8">
        <v>0.55456789410428697</v>
      </c>
      <c r="E28" s="8">
        <v>1.47909285306715E-2</v>
      </c>
      <c r="G28" s="5" t="s">
        <v>44</v>
      </c>
      <c r="H28" s="12">
        <v>1.0813804129035001</v>
      </c>
      <c r="I28" s="6">
        <f t="shared" si="1"/>
        <v>3.3978498913578563E-2</v>
      </c>
      <c r="J28" s="12">
        <v>0.52079829390269505</v>
      </c>
      <c r="K28" s="12">
        <v>2.1219861817338499E-2</v>
      </c>
      <c r="S28" s="5" t="s">
        <v>39</v>
      </c>
      <c r="T28" s="8">
        <v>1.1611078257792899</v>
      </c>
      <c r="U28" s="6">
        <f t="shared" si="4"/>
        <v>6.4872552181767323E-2</v>
      </c>
      <c r="V28" s="8">
        <v>0.97668665464899096</v>
      </c>
      <c r="W28" s="8">
        <v>0.107447815904682</v>
      </c>
    </row>
    <row r="29" spans="1:23" x14ac:dyDescent="0.25">
      <c r="A29" s="5" t="s">
        <v>45</v>
      </c>
      <c r="B29" s="9"/>
      <c r="C29" s="11"/>
      <c r="D29" s="8">
        <v>0.70468449804027899</v>
      </c>
      <c r="E29" s="8">
        <v>3.5842816756479302E-2</v>
      </c>
      <c r="G29" s="5" t="s">
        <v>45</v>
      </c>
      <c r="H29" s="12">
        <v>1.2134925086481201</v>
      </c>
      <c r="I29" s="6">
        <f t="shared" si="1"/>
        <v>8.4037099610824728E-2</v>
      </c>
      <c r="J29" s="12">
        <v>0.94175163201491896</v>
      </c>
      <c r="K29" s="12">
        <v>8.5275451626537893E-2</v>
      </c>
      <c r="S29" s="5" t="s">
        <v>40</v>
      </c>
      <c r="T29" s="8">
        <v>1.2283054504143001</v>
      </c>
      <c r="U29" s="6">
        <f t="shared" si="4"/>
        <v>8.9306378966329397E-2</v>
      </c>
      <c r="V29" s="8">
        <v>0.33582626900186402</v>
      </c>
      <c r="W29" s="8">
        <v>0.39411883766970102</v>
      </c>
    </row>
    <row r="30" spans="1:23" x14ac:dyDescent="0.25">
      <c r="A30" s="5" t="s">
        <v>46</v>
      </c>
      <c r="B30" s="10">
        <v>0.90805045415642205</v>
      </c>
      <c r="C30" s="7">
        <f t="shared" si="0"/>
        <v>-4.1890020032920458E-2</v>
      </c>
      <c r="D30" s="10">
        <v>-0.373253605455523</v>
      </c>
      <c r="E30" s="10">
        <v>-4.0383997186219003E-2</v>
      </c>
      <c r="G30" s="5" t="s">
        <v>46</v>
      </c>
      <c r="H30" s="12">
        <v>1.08380817355586</v>
      </c>
      <c r="I30" s="6">
        <f t="shared" si="1"/>
        <v>3.4952421927176971E-2</v>
      </c>
      <c r="J30" s="12">
        <v>0.28231733716004298</v>
      </c>
      <c r="K30" s="12">
        <v>3.1629539106965802E-2</v>
      </c>
      <c r="S30" s="5" t="s">
        <v>41</v>
      </c>
      <c r="T30" s="8">
        <v>1.2985932043400299</v>
      </c>
      <c r="U30" s="6">
        <f t="shared" si="4"/>
        <v>0.11347312583894865</v>
      </c>
      <c r="V30" s="8">
        <v>0.52794332050181203</v>
      </c>
      <c r="W30" s="8">
        <v>9.0698601563059603E-2</v>
      </c>
    </row>
    <row r="31" spans="1:23" x14ac:dyDescent="0.25">
      <c r="A31" s="5" t="s">
        <v>47</v>
      </c>
      <c r="B31" s="8">
        <v>1.0862889042163599</v>
      </c>
      <c r="C31" s="6">
        <f t="shared" si="0"/>
        <v>3.5945343504069888E-2</v>
      </c>
      <c r="D31" s="8">
        <v>0.63056904760694898</v>
      </c>
      <c r="E31" s="8">
        <v>3.6679485231980898E-2</v>
      </c>
      <c r="G31" s="5" t="s">
        <v>47</v>
      </c>
      <c r="H31" s="12">
        <v>1.0367372638660399</v>
      </c>
      <c r="I31" s="6">
        <f t="shared" si="1"/>
        <v>1.5668708837912649E-2</v>
      </c>
      <c r="J31" s="12">
        <v>0.55097576187408004</v>
      </c>
      <c r="K31" s="12">
        <v>4.3964016574286002E-2</v>
      </c>
      <c r="S31" s="5" t="s">
        <v>42</v>
      </c>
      <c r="T31" s="8">
        <v>1.25880991704892</v>
      </c>
      <c r="U31" s="6">
        <f t="shared" si="4"/>
        <v>9.9960155676404691E-2</v>
      </c>
      <c r="V31" s="8">
        <v>0.94081849763111403</v>
      </c>
      <c r="W31" s="8">
        <v>9.9852529707758195E-2</v>
      </c>
    </row>
    <row r="32" spans="1:23" x14ac:dyDescent="0.25">
      <c r="A32" s="5" t="s">
        <v>48</v>
      </c>
      <c r="B32" s="10">
        <v>0.39254775269290398</v>
      </c>
      <c r="C32" s="7">
        <f t="shared" si="0"/>
        <v>-0.40610750460138001</v>
      </c>
      <c r="D32" s="10">
        <v>-0.623899602892661</v>
      </c>
      <c r="E32" s="10">
        <v>-0.76160033358371604</v>
      </c>
      <c r="G32" s="5" t="s">
        <v>48</v>
      </c>
      <c r="H32" s="12">
        <v>1.1282134088167699</v>
      </c>
      <c r="I32" s="6">
        <f t="shared" si="1"/>
        <v>5.2391257010121609E-2</v>
      </c>
      <c r="J32" s="12">
        <v>0.99053604379690696</v>
      </c>
      <c r="K32" s="12">
        <v>5.3048699734524599E-2</v>
      </c>
      <c r="S32" s="5" t="s">
        <v>43</v>
      </c>
      <c r="T32" s="8">
        <v>1.2914529576795399</v>
      </c>
      <c r="U32" s="6">
        <f t="shared" si="4"/>
        <v>0.11107859123540517</v>
      </c>
      <c r="V32" s="8">
        <v>0.445945938664987</v>
      </c>
      <c r="W32" s="8">
        <v>5.5815481283492403E-2</v>
      </c>
    </row>
    <row r="33" spans="1:23" x14ac:dyDescent="0.25">
      <c r="S33" s="5" t="s">
        <v>44</v>
      </c>
      <c r="T33" s="8">
        <v>1.2886907903199001</v>
      </c>
      <c r="U33" s="6">
        <f t="shared" si="4"/>
        <v>0.11014872482653605</v>
      </c>
      <c r="V33" s="10">
        <v>-0.136935986249347</v>
      </c>
      <c r="W33" s="8">
        <v>9.5391388976058394E-2</v>
      </c>
    </row>
    <row r="34" spans="1:23" x14ac:dyDescent="0.25">
      <c r="S34" s="5" t="s">
        <v>45</v>
      </c>
      <c r="T34" s="8">
        <v>1.39612401914989</v>
      </c>
      <c r="U34" s="6">
        <f t="shared" si="4"/>
        <v>0.14492399883164073</v>
      </c>
      <c r="V34" s="8">
        <v>0.97165157928161605</v>
      </c>
      <c r="W34" s="8">
        <v>9.9540545016305104E-2</v>
      </c>
    </row>
    <row r="35" spans="1:23" x14ac:dyDescent="0.25">
      <c r="S35" s="5" t="s">
        <v>46</v>
      </c>
      <c r="T35" s="8">
        <v>1.15490049713987</v>
      </c>
      <c r="U35" s="6">
        <f t="shared" si="4"/>
        <v>6.2544568293434938E-2</v>
      </c>
      <c r="V35" s="8">
        <v>0.47813963463856402</v>
      </c>
      <c r="W35" s="8">
        <v>0.115227328160236</v>
      </c>
    </row>
    <row r="36" spans="1:23" x14ac:dyDescent="0.25">
      <c r="S36" s="5" t="s">
        <v>47</v>
      </c>
      <c r="T36" s="8">
        <v>1.6223687074200499</v>
      </c>
      <c r="U36" s="6">
        <f t="shared" si="4"/>
        <v>0.21014956097310067</v>
      </c>
      <c r="V36" s="8">
        <v>0.74242380847501299</v>
      </c>
      <c r="W36" s="8">
        <v>0.157732693122626</v>
      </c>
    </row>
    <row r="37" spans="1:23" ht="34.5" customHeight="1" x14ac:dyDescent="0.25">
      <c r="A37" s="16" t="s">
        <v>59</v>
      </c>
      <c r="B37" s="17" t="s">
        <v>58</v>
      </c>
      <c r="C37" s="21" t="s">
        <v>60</v>
      </c>
      <c r="D37" s="17" t="s">
        <v>49</v>
      </c>
      <c r="E37" s="17" t="s">
        <v>50</v>
      </c>
      <c r="F37" s="17" t="s">
        <v>57</v>
      </c>
      <c r="G37" s="17" t="s">
        <v>51</v>
      </c>
      <c r="H37" s="18" t="s">
        <v>52</v>
      </c>
      <c r="I37" s="17" t="s">
        <v>53</v>
      </c>
      <c r="J37" s="17" t="s">
        <v>54</v>
      </c>
      <c r="K37" s="17" t="s">
        <v>55</v>
      </c>
      <c r="L37" s="17" t="s">
        <v>56</v>
      </c>
      <c r="S37" s="5" t="s">
        <v>48</v>
      </c>
      <c r="T37" s="8">
        <v>1.4572146309152101</v>
      </c>
      <c r="U37" s="6">
        <f t="shared" si="4"/>
        <v>0.16352352305151571</v>
      </c>
      <c r="V37" s="8">
        <v>0.80433038241724497</v>
      </c>
      <c r="W37" s="8">
        <v>0.121156039239802</v>
      </c>
    </row>
    <row r="38" spans="1:23" x14ac:dyDescent="0.25">
      <c r="A38" s="5" t="s">
        <v>9</v>
      </c>
      <c r="B38" s="6">
        <v>0.78479742735639801</v>
      </c>
      <c r="C38" s="6">
        <v>0.57681691180727601</v>
      </c>
      <c r="M38" s="5"/>
    </row>
    <row r="39" spans="1:23" x14ac:dyDescent="0.25">
      <c r="A39" s="5" t="s">
        <v>11</v>
      </c>
      <c r="B39" s="6">
        <v>0.17369777575697301</v>
      </c>
      <c r="C39" s="6">
        <v>0.13984116014494999</v>
      </c>
      <c r="D39" s="13">
        <v>66.912425378311355</v>
      </c>
      <c r="E39" s="15">
        <v>57.726100000000002</v>
      </c>
      <c r="F39" s="5">
        <v>9023.75</v>
      </c>
      <c r="G39" s="5">
        <v>9023.75</v>
      </c>
      <c r="H39" s="13">
        <v>1.0628417845850735</v>
      </c>
      <c r="I39" s="15">
        <v>1.1737788669959504</v>
      </c>
      <c r="J39" s="15">
        <v>4</v>
      </c>
      <c r="K39" s="15">
        <v>28.480729852499898</v>
      </c>
      <c r="L39" s="13">
        <v>0.30708458237534503</v>
      </c>
      <c r="M39" s="5"/>
    </row>
    <row r="40" spans="1:23" x14ac:dyDescent="0.25">
      <c r="A40" s="5" t="s">
        <v>12</v>
      </c>
      <c r="B40" s="6">
        <v>9.9143945152060597E-2</v>
      </c>
      <c r="C40" s="6">
        <v>8.9326261366187695E-2</v>
      </c>
      <c r="D40" s="13">
        <v>72.370164511034233</v>
      </c>
      <c r="E40" s="15">
        <v>49.091801670000002</v>
      </c>
      <c r="F40" s="5">
        <v>118.5</v>
      </c>
      <c r="G40" s="5">
        <v>118.5</v>
      </c>
      <c r="H40" s="13">
        <v>1.0325844789064453</v>
      </c>
      <c r="I40" s="15">
        <v>1.0182769682576838</v>
      </c>
      <c r="J40" s="15">
        <v>1.1385255280790201</v>
      </c>
      <c r="K40" s="15">
        <v>0.666171575153233</v>
      </c>
      <c r="L40" s="13">
        <v>0.49664162355941199</v>
      </c>
      <c r="M40" s="5"/>
      <c r="N40" s="5"/>
      <c r="O40" s="9"/>
    </row>
    <row r="41" spans="1:23" x14ac:dyDescent="0.25">
      <c r="A41" s="5" t="s">
        <v>14</v>
      </c>
      <c r="B41" s="6">
        <v>0.14477972148899501</v>
      </c>
      <c r="C41" s="6">
        <v>3.0850994672477702E-2</v>
      </c>
      <c r="D41" s="13">
        <v>77.803592516854394</v>
      </c>
      <c r="E41" s="15">
        <v>105.55555560000001</v>
      </c>
      <c r="F41" s="5">
        <v>2036.95</v>
      </c>
      <c r="G41" s="5">
        <v>2060.9499999999998</v>
      </c>
      <c r="H41" s="13">
        <v>1.025239233557502</v>
      </c>
      <c r="I41" s="15">
        <v>1</v>
      </c>
      <c r="J41" s="15">
        <v>0</v>
      </c>
      <c r="K41" s="15">
        <v>0</v>
      </c>
      <c r="L41" s="13"/>
      <c r="M41" s="5"/>
      <c r="N41" s="5"/>
      <c r="O41" s="9"/>
    </row>
    <row r="42" spans="1:23" x14ac:dyDescent="0.25">
      <c r="A42" s="5" t="s">
        <v>19</v>
      </c>
      <c r="B42" s="7">
        <v>-7.8588218215967606E-2</v>
      </c>
      <c r="C42" s="6">
        <v>6.7271555006068101E-2</v>
      </c>
      <c r="D42" s="13">
        <v>66.341763171136677</v>
      </c>
      <c r="E42" s="15">
        <v>30.76923077</v>
      </c>
      <c r="F42" s="5">
        <v>413.75</v>
      </c>
      <c r="G42" s="5">
        <v>1130.25</v>
      </c>
      <c r="H42" s="13">
        <v>1.063728040781146</v>
      </c>
      <c r="I42" s="15">
        <v>1.045397189964473</v>
      </c>
      <c r="J42" s="15">
        <v>4.5222851684946201</v>
      </c>
      <c r="K42" s="15">
        <v>5.7971200506894904</v>
      </c>
      <c r="L42" s="13">
        <v>-0.27417249103342101</v>
      </c>
      <c r="M42" s="5"/>
      <c r="N42" s="5"/>
      <c r="O42" s="9"/>
    </row>
    <row r="43" spans="1:23" x14ac:dyDescent="0.25">
      <c r="A43" s="5" t="s">
        <v>37</v>
      </c>
      <c r="B43" s="8">
        <v>0.14608753400636901</v>
      </c>
      <c r="C43" s="8">
        <v>6.8212961854365706E-2</v>
      </c>
      <c r="D43" s="13">
        <v>118.22733427999999</v>
      </c>
      <c r="E43" s="9">
        <v>17.163158299999999</v>
      </c>
      <c r="F43" s="5">
        <v>21.75</v>
      </c>
      <c r="G43" s="5">
        <v>6099.3</v>
      </c>
      <c r="H43" s="9">
        <v>1.0078290838208943</v>
      </c>
      <c r="I43" s="9">
        <v>1.0078290838208943</v>
      </c>
      <c r="J43" s="13">
        <v>2.4954469283408098</v>
      </c>
      <c r="K43" s="13">
        <v>1.9432258375425799</v>
      </c>
      <c r="L43" s="13">
        <v>-0.14571780115724001</v>
      </c>
      <c r="M43" s="5"/>
      <c r="N43" s="5"/>
      <c r="O43" s="9"/>
    </row>
    <row r="44" spans="1:23" x14ac:dyDescent="0.25">
      <c r="A44" s="5" t="s">
        <v>42</v>
      </c>
      <c r="B44" s="38">
        <v>1.0119527368219401E-2</v>
      </c>
      <c r="C44" s="8">
        <v>9.9852529707758195E-2</v>
      </c>
      <c r="D44" s="13">
        <v>112.66319882000001</v>
      </c>
      <c r="E44" s="9">
        <v>10.8144344</v>
      </c>
      <c r="F44" s="5">
        <v>75</v>
      </c>
      <c r="G44" s="5">
        <v>96.5</v>
      </c>
      <c r="H44" s="9">
        <v>1.0239451393319936</v>
      </c>
      <c r="I44" s="9">
        <v>1.0239451393319936</v>
      </c>
      <c r="J44" s="13">
        <v>19.594840851392899</v>
      </c>
      <c r="K44" s="13">
        <v>33.895949402833203</v>
      </c>
      <c r="L44" s="13">
        <v>0.499861288181496</v>
      </c>
      <c r="M44" s="5"/>
      <c r="N44" s="5"/>
      <c r="O44" s="9"/>
      <c r="P44" s="19"/>
      <c r="Q44" s="19"/>
      <c r="R44" s="19"/>
      <c r="S44" s="19"/>
      <c r="T44" s="19"/>
      <c r="U44" s="20"/>
      <c r="V44" s="20"/>
    </row>
    <row r="45" spans="1:23" x14ac:dyDescent="0.25">
      <c r="A45" s="5" t="s">
        <v>43</v>
      </c>
      <c r="B45" s="8">
        <v>4.5646344187588998E-2</v>
      </c>
      <c r="C45" s="8">
        <v>5.5815481283492403E-2</v>
      </c>
      <c r="D45" s="13">
        <v>114.89097618</v>
      </c>
      <c r="E45" s="9">
        <v>14.806100799999999</v>
      </c>
      <c r="F45" s="5">
        <v>47.5</v>
      </c>
      <c r="G45" s="5">
        <v>47.5</v>
      </c>
      <c r="H45" s="9">
        <v>1.0275460447393339</v>
      </c>
      <c r="I45" s="9">
        <v>1.0275460447393339</v>
      </c>
      <c r="J45" s="13">
        <v>17.2552427011953</v>
      </c>
      <c r="K45" s="13">
        <v>32.177431699139497</v>
      </c>
      <c r="L45" s="13">
        <v>0.40695810522245701</v>
      </c>
      <c r="M45" s="5"/>
      <c r="N45" s="5"/>
      <c r="O45" s="9"/>
    </row>
    <row r="46" spans="1:23" x14ac:dyDescent="0.25">
      <c r="A46" s="5" t="s">
        <v>44</v>
      </c>
      <c r="B46" s="8">
        <v>1.47909285306715E-2</v>
      </c>
      <c r="C46" s="8">
        <v>9.5391388976058394E-2</v>
      </c>
      <c r="D46" s="13">
        <v>116.55531655999999</v>
      </c>
      <c r="E46" s="9">
        <v>40.336936000000001</v>
      </c>
      <c r="F46" s="5">
        <v>23.5</v>
      </c>
      <c r="G46" s="5">
        <v>23.5</v>
      </c>
      <c r="H46" s="9">
        <v>1.0275826446035865</v>
      </c>
      <c r="I46" s="9">
        <v>1.0275826446035865</v>
      </c>
      <c r="J46" s="13">
        <v>17.024424898784201</v>
      </c>
      <c r="K46" s="13">
        <v>31.253302872972</v>
      </c>
      <c r="L46" s="13">
        <v>5.4056282725128302E-2</v>
      </c>
      <c r="M46" s="5"/>
      <c r="N46" s="5"/>
      <c r="O46" s="9"/>
    </row>
    <row r="47" spans="1:23" x14ac:dyDescent="0.25">
      <c r="A47" s="5" t="s">
        <v>46</v>
      </c>
      <c r="B47" s="8">
        <v>2.0282132481243099E-2</v>
      </c>
      <c r="C47" s="8">
        <v>0.115227328160236</v>
      </c>
      <c r="D47" s="13">
        <v>118.40602251999999</v>
      </c>
      <c r="E47" s="9">
        <v>13.531736435999999</v>
      </c>
      <c r="F47" s="5">
        <v>20</v>
      </c>
      <c r="G47" s="5">
        <v>47.75</v>
      </c>
      <c r="H47" s="9">
        <v>1.0572093304532362</v>
      </c>
      <c r="I47" s="9">
        <v>1.0572093304532362</v>
      </c>
      <c r="J47" s="13">
        <v>15.1069524712688</v>
      </c>
      <c r="K47" s="13">
        <v>42.7547044117564</v>
      </c>
      <c r="L47" s="13">
        <v>0.26690920736687102</v>
      </c>
      <c r="M47" s="5"/>
      <c r="N47" s="5"/>
      <c r="O47" s="9"/>
    </row>
    <row r="48" spans="1:23" x14ac:dyDescent="0.25">
      <c r="A48" s="5" t="s">
        <v>47</v>
      </c>
      <c r="B48" s="8">
        <v>3.6679485231980898E-2</v>
      </c>
      <c r="C48" s="8">
        <v>0.157732693122626</v>
      </c>
      <c r="D48" s="13">
        <v>115.75512236</v>
      </c>
      <c r="E48" s="9">
        <v>27.867789999999999</v>
      </c>
      <c r="F48" s="5">
        <v>23.75</v>
      </c>
      <c r="G48" s="5">
        <v>23.75</v>
      </c>
      <c r="H48" s="9">
        <v>1.111235100018195</v>
      </c>
      <c r="I48" s="9">
        <v>1.111235100018195</v>
      </c>
      <c r="J48" s="13">
        <v>21.9579587943592</v>
      </c>
      <c r="K48" s="13">
        <v>175.86248095131899</v>
      </c>
      <c r="L48" s="13">
        <v>0.45125668170602201</v>
      </c>
      <c r="N48" s="5"/>
      <c r="O48" s="9"/>
    </row>
    <row r="49" spans="1:22" x14ac:dyDescent="0.25">
      <c r="A49" s="5" t="s">
        <v>48</v>
      </c>
      <c r="B49" s="8">
        <v>7.7980025652416296E-2</v>
      </c>
      <c r="C49" s="8">
        <v>0.121156039239802</v>
      </c>
      <c r="D49" s="13">
        <v>121.12197168</v>
      </c>
      <c r="E49" s="9">
        <v>16.916785999999998</v>
      </c>
      <c r="F49" s="5">
        <v>23.5</v>
      </c>
      <c r="G49" s="5">
        <v>23.5</v>
      </c>
      <c r="H49" s="9">
        <v>1.0519758315193652</v>
      </c>
      <c r="I49" s="9">
        <v>1.0519758315193652</v>
      </c>
      <c r="J49" s="13">
        <v>16.640165980770899</v>
      </c>
      <c r="K49" s="13">
        <v>52.638565780695899</v>
      </c>
      <c r="L49" s="13">
        <v>0.51242235468873398</v>
      </c>
      <c r="N49" s="5"/>
      <c r="O49" s="9"/>
    </row>
    <row r="50" spans="1:22" x14ac:dyDescent="0.25">
      <c r="N50" s="5"/>
      <c r="O50" s="9"/>
      <c r="P50" s="5"/>
      <c r="Q50" s="5"/>
      <c r="R50" s="9"/>
      <c r="S50" s="9"/>
      <c r="T50" s="13"/>
      <c r="U50" s="13"/>
      <c r="V50" s="13"/>
    </row>
    <row r="51" spans="1:22" x14ac:dyDescent="0.25">
      <c r="N51" s="5"/>
      <c r="O51" s="9"/>
      <c r="P51" s="5"/>
      <c r="Q51" s="5"/>
      <c r="R51" s="9"/>
      <c r="S51" s="9"/>
      <c r="T51" s="13"/>
      <c r="U51" s="13"/>
      <c r="V51" s="13"/>
    </row>
    <row r="52" spans="1:22" x14ac:dyDescent="0.25">
      <c r="N52" s="5"/>
      <c r="O52" s="9"/>
    </row>
    <row r="53" spans="1:22" x14ac:dyDescent="0.25">
      <c r="N53" s="5"/>
      <c r="O53" s="9"/>
      <c r="P53" s="5"/>
      <c r="Q53" s="5"/>
      <c r="R53" s="9"/>
      <c r="S53" s="9"/>
      <c r="T53" s="13"/>
      <c r="U53" s="13"/>
      <c r="V53" s="13"/>
    </row>
    <row r="54" spans="1:22" x14ac:dyDescent="0.25">
      <c r="N54" s="5"/>
      <c r="O54" s="9"/>
      <c r="P54" s="5"/>
      <c r="Q54" s="15"/>
      <c r="R54" s="9"/>
      <c r="S54" s="9"/>
      <c r="T54" s="13"/>
      <c r="U54" s="13"/>
      <c r="V54" s="13"/>
    </row>
    <row r="55" spans="1:22" x14ac:dyDescent="0.25">
      <c r="N55" s="5"/>
      <c r="O55" s="9"/>
      <c r="P55" s="5"/>
      <c r="Q55" s="5"/>
      <c r="R55" s="9"/>
      <c r="S55" s="9"/>
      <c r="T55" s="13"/>
      <c r="U55" s="13"/>
      <c r="V55" s="13"/>
    </row>
    <row r="56" spans="1:22" x14ac:dyDescent="0.25">
      <c r="N56" s="5"/>
      <c r="O56" s="9"/>
    </row>
    <row r="57" spans="1:22" ht="48" x14ac:dyDescent="0.25">
      <c r="A57" s="16" t="s">
        <v>59</v>
      </c>
      <c r="B57" s="17" t="s">
        <v>58</v>
      </c>
      <c r="C57" s="17" t="s">
        <v>51</v>
      </c>
      <c r="D57" s="17" t="s">
        <v>53</v>
      </c>
      <c r="E57" s="17" t="s">
        <v>54</v>
      </c>
      <c r="H57" s="21" t="s">
        <v>60</v>
      </c>
      <c r="I57" s="17" t="s">
        <v>51</v>
      </c>
      <c r="J57" s="17" t="s">
        <v>53</v>
      </c>
      <c r="K57" s="17" t="s">
        <v>54</v>
      </c>
      <c r="N57" s="5"/>
      <c r="O57" s="9"/>
      <c r="P57" s="5"/>
      <c r="Q57" s="5"/>
      <c r="R57" s="9"/>
      <c r="S57" s="9"/>
      <c r="T57" s="13"/>
      <c r="U57" s="13"/>
      <c r="V57" s="13"/>
    </row>
    <row r="58" spans="1:22" x14ac:dyDescent="0.25">
      <c r="A58" s="5" t="s">
        <v>11</v>
      </c>
      <c r="B58" s="6">
        <v>0.17369777575697301</v>
      </c>
      <c r="C58" s="5">
        <v>2023.75</v>
      </c>
      <c r="D58" s="15">
        <v>1.1737788669959504</v>
      </c>
      <c r="E58" s="15">
        <v>4</v>
      </c>
      <c r="G58" s="5" t="s">
        <v>11</v>
      </c>
      <c r="H58" s="6">
        <v>0.13984116014494999</v>
      </c>
      <c r="I58" s="5">
        <v>9023.75</v>
      </c>
      <c r="J58" s="15">
        <v>1.1737788669959504</v>
      </c>
      <c r="K58" s="15">
        <v>4</v>
      </c>
      <c r="N58" s="5"/>
      <c r="O58" s="9"/>
      <c r="P58" s="5"/>
      <c r="Q58" s="5"/>
      <c r="R58" s="9"/>
      <c r="S58" s="9"/>
      <c r="T58" s="13"/>
      <c r="U58" s="13"/>
      <c r="V58" s="13"/>
    </row>
    <row r="59" spans="1:22" x14ac:dyDescent="0.25">
      <c r="A59" s="5" t="s">
        <v>12</v>
      </c>
      <c r="B59" s="6">
        <v>9.9143945152060597E-2</v>
      </c>
      <c r="C59" s="5">
        <v>118.5</v>
      </c>
      <c r="D59" s="15">
        <v>1.0182769682576838</v>
      </c>
      <c r="E59" s="15">
        <v>1.1385255280790201</v>
      </c>
      <c r="G59" s="5" t="s">
        <v>12</v>
      </c>
      <c r="H59" s="6">
        <v>8.9326261366187695E-2</v>
      </c>
      <c r="I59" s="5">
        <v>118.5</v>
      </c>
      <c r="J59" s="15">
        <v>1.0182769682576838</v>
      </c>
      <c r="K59" s="15">
        <v>1.1385255280790201</v>
      </c>
      <c r="N59" s="5"/>
      <c r="O59" s="9"/>
    </row>
    <row r="60" spans="1:22" x14ac:dyDescent="0.25">
      <c r="A60" s="5" t="s">
        <v>14</v>
      </c>
      <c r="B60" s="6">
        <v>0.14477972148899501</v>
      </c>
      <c r="C60" s="5">
        <v>2060.9499999999998</v>
      </c>
      <c r="D60" s="15">
        <v>1</v>
      </c>
      <c r="E60" s="15">
        <v>0</v>
      </c>
      <c r="G60" s="5" t="s">
        <v>14</v>
      </c>
      <c r="H60" s="6">
        <v>3.0850994672477702E-2</v>
      </c>
      <c r="I60" s="5">
        <v>2060.9499999999998</v>
      </c>
      <c r="J60" s="15">
        <v>1</v>
      </c>
      <c r="K60" s="15">
        <v>0</v>
      </c>
      <c r="N60" s="5"/>
      <c r="O60" s="9"/>
    </row>
    <row r="61" spans="1:22" x14ac:dyDescent="0.25">
      <c r="A61" s="5" t="s">
        <v>19</v>
      </c>
      <c r="B61" s="7">
        <v>-7.8588218215967606E-2</v>
      </c>
      <c r="C61" s="5">
        <v>1130.25</v>
      </c>
      <c r="D61" s="15">
        <v>1.045397189964473</v>
      </c>
      <c r="E61" s="15">
        <v>4.5222851684946201</v>
      </c>
      <c r="G61" s="5" t="s">
        <v>19</v>
      </c>
      <c r="H61" s="6">
        <v>6.7271555006068101E-2</v>
      </c>
      <c r="I61" s="5">
        <v>1130.25</v>
      </c>
      <c r="J61" s="15">
        <v>1.045397189964473</v>
      </c>
      <c r="K61" s="15">
        <v>4.5222851684946201</v>
      </c>
      <c r="N61" s="5"/>
      <c r="O61" s="9"/>
    </row>
    <row r="62" spans="1:22" x14ac:dyDescent="0.25">
      <c r="A62" s="5" t="s">
        <v>37</v>
      </c>
      <c r="B62" s="8">
        <v>0.14608753400636901</v>
      </c>
      <c r="C62" s="5">
        <v>6099.3</v>
      </c>
      <c r="D62" s="9">
        <v>1.0078290838208943</v>
      </c>
      <c r="E62" s="13">
        <v>2.4954469283408098</v>
      </c>
      <c r="G62" s="5" t="s">
        <v>37</v>
      </c>
      <c r="H62" s="8">
        <v>6.8212961854365706E-2</v>
      </c>
      <c r="I62" s="5">
        <v>6099.3</v>
      </c>
      <c r="J62" s="9">
        <v>1.0078290838208943</v>
      </c>
      <c r="K62" s="13">
        <v>2.4954469283408098</v>
      </c>
      <c r="N62" s="5"/>
      <c r="O62" s="9"/>
    </row>
    <row r="63" spans="1:22" x14ac:dyDescent="0.25">
      <c r="A63" s="5" t="s">
        <v>42</v>
      </c>
      <c r="B63" s="38">
        <v>1.0119527368219401E-2</v>
      </c>
      <c r="C63" s="5">
        <v>96.5</v>
      </c>
      <c r="D63" s="9">
        <v>1.0239451393319936</v>
      </c>
      <c r="E63" s="13">
        <v>19.594840851392899</v>
      </c>
      <c r="G63" s="5" t="s">
        <v>42</v>
      </c>
      <c r="H63" s="8">
        <v>9.9852529707758195E-2</v>
      </c>
      <c r="I63" s="5">
        <v>96.5</v>
      </c>
      <c r="J63" s="9">
        <v>1.0239451393319936</v>
      </c>
      <c r="K63" s="13">
        <v>19.594840851392899</v>
      </c>
      <c r="N63" s="5"/>
      <c r="O63" s="9"/>
    </row>
    <row r="64" spans="1:22" x14ac:dyDescent="0.25">
      <c r="A64" s="5" t="s">
        <v>43</v>
      </c>
      <c r="B64" s="8">
        <v>4.5646344187588998E-2</v>
      </c>
      <c r="C64" s="5">
        <v>47.5</v>
      </c>
      <c r="D64" s="9">
        <v>1.0275460447393339</v>
      </c>
      <c r="E64" s="13">
        <v>17.2552427011953</v>
      </c>
      <c r="G64" s="5" t="s">
        <v>43</v>
      </c>
      <c r="H64" s="8">
        <v>5.5815481283492403E-2</v>
      </c>
      <c r="I64" s="5">
        <v>47.5</v>
      </c>
      <c r="J64" s="9">
        <v>1.0275460447393339</v>
      </c>
      <c r="K64" s="13">
        <v>17.2552427011953</v>
      </c>
      <c r="N64" s="5"/>
      <c r="O64" s="9"/>
    </row>
    <row r="65" spans="1:19" x14ac:dyDescent="0.25">
      <c r="A65" s="5" t="s">
        <v>44</v>
      </c>
      <c r="B65" s="8">
        <v>1.47909285306715E-2</v>
      </c>
      <c r="C65" s="5">
        <v>23.5</v>
      </c>
      <c r="D65" s="9">
        <v>1.0275826446035865</v>
      </c>
      <c r="E65" s="13">
        <v>17.024424898784201</v>
      </c>
      <c r="G65" s="5" t="s">
        <v>44</v>
      </c>
      <c r="H65" s="8">
        <v>9.5391388976058394E-2</v>
      </c>
      <c r="I65" s="5">
        <v>23.5</v>
      </c>
      <c r="J65" s="9">
        <v>1.0275826446035865</v>
      </c>
      <c r="K65" s="13">
        <v>17.024424898784201</v>
      </c>
      <c r="N65" s="5"/>
      <c r="O65" s="9"/>
    </row>
    <row r="66" spans="1:19" x14ac:dyDescent="0.25">
      <c r="A66" s="5" t="s">
        <v>46</v>
      </c>
      <c r="B66" s="8">
        <v>2.0282132481243099E-2</v>
      </c>
      <c r="C66" s="5">
        <v>47.75</v>
      </c>
      <c r="D66" s="9">
        <v>1.0572093304532362</v>
      </c>
      <c r="E66" s="13">
        <v>15.1069524712688</v>
      </c>
      <c r="G66" s="5" t="s">
        <v>46</v>
      </c>
      <c r="H66" s="8">
        <v>0.115227328160236</v>
      </c>
      <c r="I66" s="5">
        <v>47.75</v>
      </c>
      <c r="J66" s="9">
        <v>1.0572093304532362</v>
      </c>
      <c r="K66" s="13">
        <v>15.1069524712688</v>
      </c>
    </row>
    <row r="67" spans="1:19" x14ac:dyDescent="0.25">
      <c r="A67" s="5" t="s">
        <v>47</v>
      </c>
      <c r="B67" s="8">
        <v>3.6679485231980898E-2</v>
      </c>
      <c r="C67" s="5">
        <v>23.75</v>
      </c>
      <c r="D67" s="9">
        <v>1.111235100018195</v>
      </c>
      <c r="E67" s="13">
        <v>21.9579587943592</v>
      </c>
      <c r="G67" s="5" t="s">
        <v>47</v>
      </c>
      <c r="H67" s="8">
        <v>0.157732693122626</v>
      </c>
      <c r="I67" s="5">
        <v>23.75</v>
      </c>
      <c r="J67" s="9">
        <v>1.111235100018195</v>
      </c>
      <c r="K67" s="13">
        <v>21.9579587943592</v>
      </c>
    </row>
    <row r="68" spans="1:19" x14ac:dyDescent="0.25">
      <c r="A68" s="5" t="s">
        <v>48</v>
      </c>
      <c r="B68" s="8">
        <v>7.7980025652416296E-2</v>
      </c>
      <c r="C68" s="5">
        <v>23.5</v>
      </c>
      <c r="D68" s="9">
        <v>1.0519758315193652</v>
      </c>
      <c r="E68" s="13">
        <v>16.640165980770899</v>
      </c>
      <c r="G68" s="5" t="s">
        <v>48</v>
      </c>
      <c r="H68" s="8">
        <v>0.121156039239802</v>
      </c>
      <c r="I68" s="5">
        <v>23.5</v>
      </c>
      <c r="J68" s="9">
        <v>1.0519758315193652</v>
      </c>
      <c r="K68" s="13">
        <v>16.640165980770899</v>
      </c>
    </row>
    <row r="69" spans="1:19" x14ac:dyDescent="0.25">
      <c r="A69" s="5"/>
      <c r="B69" s="9"/>
      <c r="C69" s="5"/>
      <c r="D69" s="9"/>
      <c r="E69" s="13"/>
    </row>
    <row r="71" spans="1:19" ht="15.75" thickBot="1" x14ac:dyDescent="0.3">
      <c r="A71" s="47" t="s">
        <v>90</v>
      </c>
      <c r="B71" s="48"/>
      <c r="C71" s="48"/>
      <c r="D71" s="48"/>
      <c r="E71" s="48"/>
      <c r="F71" s="49"/>
      <c r="G71" s="22"/>
      <c r="H71" s="22"/>
      <c r="I71" s="22"/>
      <c r="K71" s="47" t="s">
        <v>91</v>
      </c>
      <c r="L71" s="48"/>
      <c r="M71" s="48"/>
      <c r="N71" s="48"/>
      <c r="O71" s="48"/>
      <c r="P71" s="49"/>
      <c r="Q71" s="22"/>
      <c r="R71" s="22"/>
      <c r="S71" s="22"/>
    </row>
    <row r="72" spans="1:19" x14ac:dyDescent="0.25">
      <c r="A72" s="23" t="s">
        <v>62</v>
      </c>
      <c r="B72" s="23"/>
      <c r="C72" s="22"/>
      <c r="D72" s="22"/>
      <c r="E72" s="22"/>
      <c r="F72" s="22"/>
      <c r="G72" s="22"/>
      <c r="H72" s="22"/>
      <c r="I72" s="22"/>
      <c r="K72" s="23" t="s">
        <v>62</v>
      </c>
      <c r="L72" s="23"/>
      <c r="M72" s="22"/>
      <c r="N72" s="22"/>
      <c r="O72" s="22"/>
      <c r="P72" s="22"/>
      <c r="Q72" s="22"/>
      <c r="R72" s="22"/>
      <c r="S72" s="22"/>
    </row>
    <row r="73" spans="1:19" x14ac:dyDescent="0.25">
      <c r="A73" s="22" t="s">
        <v>63</v>
      </c>
      <c r="B73" s="29">
        <v>0.62903852560850682</v>
      </c>
      <c r="C73" s="22"/>
      <c r="D73" s="22"/>
      <c r="E73" s="22"/>
      <c r="F73" s="22"/>
      <c r="G73" s="22"/>
      <c r="H73" s="22"/>
      <c r="I73" s="22"/>
      <c r="K73" s="22" t="s">
        <v>63</v>
      </c>
      <c r="L73" s="29">
        <v>0.54787777530721982</v>
      </c>
      <c r="M73" s="22"/>
      <c r="N73" s="22"/>
      <c r="O73" s="22"/>
      <c r="P73" s="22"/>
      <c r="Q73" s="22"/>
      <c r="R73" s="22"/>
      <c r="S73" s="22"/>
    </row>
    <row r="74" spans="1:19" x14ac:dyDescent="0.25">
      <c r="A74" s="22" t="s">
        <v>64</v>
      </c>
      <c r="B74" s="29">
        <v>0.3956894666997241</v>
      </c>
      <c r="C74" s="22"/>
      <c r="D74" s="22"/>
      <c r="E74" s="22"/>
      <c r="F74" s="22"/>
      <c r="G74" s="22"/>
      <c r="H74" s="22"/>
      <c r="I74" s="22"/>
      <c r="K74" s="22" t="s">
        <v>64</v>
      </c>
      <c r="L74" s="29">
        <v>0.30017005667558849</v>
      </c>
      <c r="M74" s="22"/>
      <c r="N74" s="22"/>
      <c r="O74" s="22"/>
      <c r="P74" s="22"/>
      <c r="Q74" s="22"/>
      <c r="R74" s="22"/>
      <c r="S74" s="22"/>
    </row>
    <row r="75" spans="1:19" x14ac:dyDescent="0.25">
      <c r="A75" s="22" t="s">
        <v>65</v>
      </c>
      <c r="B75" s="29">
        <v>0.13669923814246301</v>
      </c>
      <c r="C75" s="22"/>
      <c r="D75" s="22"/>
      <c r="E75" s="22"/>
      <c r="F75" s="22"/>
      <c r="G75" s="22"/>
      <c r="H75" s="22"/>
      <c r="I75" s="22"/>
      <c r="K75" s="22" t="s">
        <v>65</v>
      </c>
      <c r="L75" s="29">
        <v>0.12521257084448562</v>
      </c>
      <c r="M75" s="22"/>
      <c r="N75" s="22"/>
      <c r="O75" s="22"/>
      <c r="P75" s="22"/>
      <c r="Q75" s="22"/>
      <c r="R75" s="22"/>
      <c r="S75" s="22"/>
    </row>
    <row r="76" spans="1:19" x14ac:dyDescent="0.25">
      <c r="A76" s="22" t="s">
        <v>66</v>
      </c>
      <c r="B76" s="29">
        <v>6.913333755980805E-2</v>
      </c>
      <c r="C76" s="22"/>
      <c r="D76" s="22"/>
      <c r="E76" s="22"/>
      <c r="F76" s="22"/>
      <c r="G76" s="22"/>
      <c r="H76" s="22"/>
      <c r="I76" s="22"/>
      <c r="K76" s="22" t="s">
        <v>66</v>
      </c>
      <c r="L76" s="29">
        <v>6.9591745332514082E-2</v>
      </c>
      <c r="M76" s="22"/>
      <c r="N76" s="22"/>
      <c r="O76" s="22"/>
      <c r="P76" s="22"/>
      <c r="Q76" s="22"/>
      <c r="R76" s="22"/>
      <c r="S76" s="22"/>
    </row>
    <row r="77" spans="1:19" ht="15.75" thickBot="1" x14ac:dyDescent="0.3">
      <c r="A77" s="24" t="s">
        <v>67</v>
      </c>
      <c r="B77" s="24">
        <v>11</v>
      </c>
      <c r="C77" s="22"/>
      <c r="D77" s="22"/>
      <c r="E77" s="22"/>
      <c r="F77" s="22"/>
      <c r="G77" s="22"/>
      <c r="H77" s="22"/>
      <c r="I77" s="22"/>
      <c r="K77" s="24" t="s">
        <v>67</v>
      </c>
      <c r="L77" s="24">
        <v>11</v>
      </c>
      <c r="M77" s="22"/>
      <c r="N77" s="22"/>
      <c r="O77" s="22"/>
      <c r="P77" s="22"/>
      <c r="Q77" s="22"/>
      <c r="R77" s="22"/>
      <c r="S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5.75" thickBot="1" x14ac:dyDescent="0.3">
      <c r="A79" s="22" t="s">
        <v>68</v>
      </c>
      <c r="B79" s="22"/>
      <c r="C79" s="22"/>
      <c r="D79" s="22"/>
      <c r="E79" s="22"/>
      <c r="F79" s="22"/>
      <c r="G79" s="22"/>
      <c r="H79" s="22"/>
      <c r="I79" s="22"/>
      <c r="K79" s="22" t="s">
        <v>68</v>
      </c>
      <c r="L79" s="22"/>
      <c r="M79" s="22"/>
      <c r="N79" s="22"/>
      <c r="O79" s="22"/>
      <c r="P79" s="22"/>
      <c r="Q79" s="22"/>
      <c r="R79" s="22"/>
      <c r="S79" s="22"/>
    </row>
    <row r="80" spans="1:19" x14ac:dyDescent="0.25">
      <c r="A80" s="25"/>
      <c r="B80" s="25" t="s">
        <v>73</v>
      </c>
      <c r="C80" s="25" t="s">
        <v>74</v>
      </c>
      <c r="D80" s="25" t="s">
        <v>75</v>
      </c>
      <c r="E80" s="25" t="s">
        <v>76</v>
      </c>
      <c r="F80" s="25" t="s">
        <v>77</v>
      </c>
      <c r="G80" s="22"/>
      <c r="H80" s="22"/>
      <c r="I80" s="22"/>
      <c r="K80" s="25"/>
      <c r="L80" s="25" t="s">
        <v>73</v>
      </c>
      <c r="M80" s="25" t="s">
        <v>74</v>
      </c>
      <c r="N80" s="25" t="s">
        <v>75</v>
      </c>
      <c r="O80" s="25" t="s">
        <v>76</v>
      </c>
      <c r="P80" s="25" t="s">
        <v>77</v>
      </c>
      <c r="Q80" s="22"/>
      <c r="R80" s="22"/>
      <c r="S80" s="22"/>
    </row>
    <row r="81" spans="1:19" x14ac:dyDescent="0.25">
      <c r="A81" s="22" t="s">
        <v>69</v>
      </c>
      <c r="B81" s="22">
        <v>3</v>
      </c>
      <c r="C81" s="22">
        <v>2.190621839355443E-2</v>
      </c>
      <c r="D81" s="22">
        <v>7.3020727978514765E-3</v>
      </c>
      <c r="E81" s="22">
        <v>1.5278161994912471</v>
      </c>
      <c r="F81" s="22">
        <v>0.28938760370177652</v>
      </c>
      <c r="G81" s="22"/>
      <c r="H81" s="22"/>
      <c r="I81" s="22"/>
      <c r="K81" s="22" t="s">
        <v>69</v>
      </c>
      <c r="L81" s="22">
        <v>2</v>
      </c>
      <c r="M81" s="22">
        <v>1.6618058781259028E-2</v>
      </c>
      <c r="N81" s="22">
        <v>8.3090293906295139E-3</v>
      </c>
      <c r="O81" s="22">
        <v>1.7156742693785674</v>
      </c>
      <c r="P81" s="22">
        <v>0.23986676724998565</v>
      </c>
      <c r="Q81" s="22"/>
      <c r="R81" s="22"/>
      <c r="S81" s="22"/>
    </row>
    <row r="82" spans="1:19" x14ac:dyDescent="0.25">
      <c r="A82" s="22" t="s">
        <v>70</v>
      </c>
      <c r="B82" s="22">
        <v>7</v>
      </c>
      <c r="C82" s="22">
        <v>3.3455928535108564E-2</v>
      </c>
      <c r="D82" s="22">
        <v>4.7794183621583664E-3</v>
      </c>
      <c r="E82" s="22"/>
      <c r="F82" s="22"/>
      <c r="G82" s="22"/>
      <c r="H82" s="22"/>
      <c r="I82" s="22"/>
      <c r="K82" s="22" t="s">
        <v>70</v>
      </c>
      <c r="L82" s="22">
        <v>8</v>
      </c>
      <c r="M82" s="22">
        <v>3.8744088147403967E-2</v>
      </c>
      <c r="N82" s="22">
        <v>4.8430110184254959E-3</v>
      </c>
      <c r="O82" s="22"/>
      <c r="P82" s="22"/>
      <c r="Q82" s="22"/>
      <c r="R82" s="22"/>
      <c r="S82" s="22"/>
    </row>
    <row r="83" spans="1:19" ht="15.75" thickBot="1" x14ac:dyDescent="0.3">
      <c r="A83" s="24" t="s">
        <v>71</v>
      </c>
      <c r="B83" s="24">
        <v>10</v>
      </c>
      <c r="C83" s="24">
        <v>5.5362146928662995E-2</v>
      </c>
      <c r="D83" s="24"/>
      <c r="E83" s="24"/>
      <c r="F83" s="24"/>
      <c r="G83" s="22"/>
      <c r="H83" s="22"/>
      <c r="I83" s="22"/>
      <c r="K83" s="24" t="s">
        <v>71</v>
      </c>
      <c r="L83" s="24">
        <v>10</v>
      </c>
      <c r="M83" s="24">
        <v>5.5362146928662995E-2</v>
      </c>
      <c r="N83" s="24"/>
      <c r="O83" s="24"/>
      <c r="P83" s="24"/>
      <c r="Q83" s="22"/>
      <c r="R83" s="22"/>
      <c r="S83" s="22"/>
    </row>
    <row r="84" spans="1:19" ht="15.75" thickBot="1" x14ac:dyDescent="0.3">
      <c r="A84" s="22"/>
      <c r="B84" s="22"/>
      <c r="C84" s="22"/>
      <c r="D84" s="22"/>
      <c r="E84" s="22"/>
      <c r="F84" s="22"/>
      <c r="G84" s="22"/>
      <c r="H84" s="22"/>
      <c r="I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x14ac:dyDescent="0.25">
      <c r="A85" s="25"/>
      <c r="B85" s="25" t="s">
        <v>78</v>
      </c>
      <c r="C85" s="25" t="s">
        <v>66</v>
      </c>
      <c r="D85" s="25" t="s">
        <v>79</v>
      </c>
      <c r="E85" s="25" t="s">
        <v>80</v>
      </c>
      <c r="F85" s="25" t="s">
        <v>81</v>
      </c>
      <c r="G85" s="25" t="s">
        <v>82</v>
      </c>
      <c r="H85" s="25" t="s">
        <v>83</v>
      </c>
      <c r="I85" s="25" t="s">
        <v>84</v>
      </c>
      <c r="K85" s="25"/>
      <c r="L85" s="25" t="s">
        <v>78</v>
      </c>
      <c r="M85" s="25" t="s">
        <v>66</v>
      </c>
      <c r="N85" s="25" t="s">
        <v>79</v>
      </c>
      <c r="O85" s="25" t="s">
        <v>80</v>
      </c>
      <c r="P85" s="25" t="s">
        <v>81</v>
      </c>
      <c r="Q85" s="25" t="s">
        <v>82</v>
      </c>
      <c r="R85" s="25" t="s">
        <v>83</v>
      </c>
      <c r="S85" s="25" t="s">
        <v>84</v>
      </c>
    </row>
    <row r="86" spans="1:19" x14ac:dyDescent="0.25">
      <c r="A86" s="22" t="s">
        <v>72</v>
      </c>
      <c r="B86" s="22">
        <v>-0.32418168320501239</v>
      </c>
      <c r="C86" s="22">
        <v>0.45459677432394263</v>
      </c>
      <c r="D86" s="22">
        <v>-0.71311918938959007</v>
      </c>
      <c r="E86" s="22">
        <v>0.49884900211846106</v>
      </c>
      <c r="F86" s="22">
        <v>-1.3991322404672593</v>
      </c>
      <c r="G86" s="22">
        <v>0.75076887405723447</v>
      </c>
      <c r="H86" s="22">
        <v>-1.3991322404672593</v>
      </c>
      <c r="I86" s="22">
        <v>0.75076887405723447</v>
      </c>
      <c r="K86" s="22" t="s">
        <v>72</v>
      </c>
      <c r="L86" s="22">
        <v>-0.26243872291405757</v>
      </c>
      <c r="M86" s="22">
        <v>0.45378038061763559</v>
      </c>
      <c r="N86" s="22">
        <v>-0.5783386283841867</v>
      </c>
      <c r="O86" s="29">
        <v>0.57894807699404538</v>
      </c>
      <c r="P86" s="22">
        <v>-1.3088581570928461</v>
      </c>
      <c r="Q86" s="22">
        <v>0.7839807112647309</v>
      </c>
      <c r="R86" s="22">
        <v>-1.3088581570928461</v>
      </c>
      <c r="S86" s="22">
        <v>0.7839807112647309</v>
      </c>
    </row>
    <row r="87" spans="1:19" x14ac:dyDescent="0.25">
      <c r="A87" s="22" t="s">
        <v>51</v>
      </c>
      <c r="B87" s="22">
        <v>1.5597667993439334E-5</v>
      </c>
      <c r="C87" s="22">
        <v>1.4828421358180836E-5</v>
      </c>
      <c r="D87" s="22">
        <v>1.0518765023381336</v>
      </c>
      <c r="E87" s="22">
        <v>0.32780666676333098</v>
      </c>
      <c r="F87" s="22">
        <v>-1.9465976762951494E-5</v>
      </c>
      <c r="G87" s="22">
        <v>5.0661312749830165E-5</v>
      </c>
      <c r="H87" s="22">
        <v>-1.9465976762951494E-5</v>
      </c>
      <c r="I87" s="22">
        <v>5.0661312749830165E-5</v>
      </c>
      <c r="K87" s="22" t="s">
        <v>53</v>
      </c>
      <c r="L87" s="22">
        <v>0.35832286523509793</v>
      </c>
      <c r="M87" s="22">
        <v>0.43488878444219087</v>
      </c>
      <c r="N87" s="22">
        <v>0.8239413800811165</v>
      </c>
      <c r="O87" s="29">
        <v>0.43384799995522572</v>
      </c>
      <c r="P87" s="22">
        <v>-0.6445324700425078</v>
      </c>
      <c r="Q87" s="22">
        <v>1.3611782005127036</v>
      </c>
      <c r="R87" s="22">
        <v>-0.6445324700425078</v>
      </c>
      <c r="S87" s="22">
        <v>1.3611782005127036</v>
      </c>
    </row>
    <row r="88" spans="1:19" ht="15.75" thickBot="1" x14ac:dyDescent="0.3">
      <c r="A88" s="22" t="s">
        <v>53</v>
      </c>
      <c r="B88" s="22">
        <v>0.3798010942914406</v>
      </c>
      <c r="C88" s="22">
        <v>0.43250639511726457</v>
      </c>
      <c r="D88" s="22">
        <v>0.87813983464560308</v>
      </c>
      <c r="E88" s="22">
        <v>0.40899531385350418</v>
      </c>
      <c r="F88" s="22">
        <v>-0.64291401657181446</v>
      </c>
      <c r="G88" s="22">
        <v>1.4025162051546958</v>
      </c>
      <c r="H88" s="22">
        <v>-0.64291401657181446</v>
      </c>
      <c r="I88" s="22">
        <v>1.4025162051546958</v>
      </c>
      <c r="K88" s="24" t="s">
        <v>54</v>
      </c>
      <c r="L88" s="24">
        <v>-4.6712172158310172E-3</v>
      </c>
      <c r="M88" s="24">
        <v>2.6573879131625913E-3</v>
      </c>
      <c r="N88" s="24">
        <v>-1.7578228578121822</v>
      </c>
      <c r="O88" s="37">
        <v>0.11683346884734204</v>
      </c>
      <c r="P88" s="24">
        <v>-1.0799164732425525E-2</v>
      </c>
      <c r="Q88" s="24">
        <v>1.4567303007634903E-3</v>
      </c>
      <c r="R88" s="24">
        <v>-1.0799164732425525E-2</v>
      </c>
      <c r="S88" s="24">
        <v>1.4567303007634903E-3</v>
      </c>
    </row>
    <row r="89" spans="1:19" ht="15.75" thickBot="1" x14ac:dyDescent="0.3">
      <c r="A89" s="24" t="s">
        <v>54</v>
      </c>
      <c r="B89" s="24">
        <v>-2.5933716678753437E-3</v>
      </c>
      <c r="C89" s="24">
        <v>3.297130898659763E-3</v>
      </c>
      <c r="D89" s="24">
        <v>-0.78655405186658267</v>
      </c>
      <c r="E89" s="24">
        <v>0.45733985852634629</v>
      </c>
      <c r="F89" s="24">
        <v>-1.0389847351522132E-2</v>
      </c>
      <c r="G89" s="24">
        <v>5.203104015771445E-3</v>
      </c>
      <c r="H89" s="24">
        <v>-1.0389847351522132E-2</v>
      </c>
      <c r="I89" s="24">
        <v>5.203104015771445E-3</v>
      </c>
    </row>
    <row r="91" spans="1:19" ht="15.75" thickBot="1" x14ac:dyDescent="0.3">
      <c r="A91" s="53" t="s">
        <v>92</v>
      </c>
      <c r="B91" s="54"/>
      <c r="C91" s="54"/>
      <c r="D91" s="54"/>
      <c r="E91" s="54"/>
      <c r="F91" s="55"/>
      <c r="G91" s="31"/>
      <c r="H91" s="31"/>
      <c r="I91" s="31"/>
      <c r="K91" s="53" t="s">
        <v>93</v>
      </c>
      <c r="L91" s="54"/>
      <c r="M91" s="54"/>
      <c r="N91" s="54"/>
      <c r="O91" s="54"/>
      <c r="P91" s="55"/>
      <c r="Q91" s="31"/>
      <c r="R91" s="31"/>
      <c r="S91" s="31"/>
    </row>
    <row r="92" spans="1:19" x14ac:dyDescent="0.25">
      <c r="A92" s="30" t="s">
        <v>62</v>
      </c>
      <c r="B92" s="30"/>
      <c r="C92" s="31"/>
      <c r="D92" s="31"/>
      <c r="E92" s="31"/>
      <c r="F92" s="31"/>
      <c r="G92" s="31"/>
      <c r="H92" s="31"/>
      <c r="I92" s="31"/>
      <c r="K92" s="30" t="s">
        <v>62</v>
      </c>
      <c r="L92" s="30"/>
      <c r="M92" s="31"/>
      <c r="N92" s="31"/>
      <c r="O92" s="31"/>
      <c r="P92" s="31"/>
      <c r="Q92" s="31"/>
      <c r="R92" s="31"/>
      <c r="S92" s="31"/>
    </row>
    <row r="93" spans="1:19" x14ac:dyDescent="0.25">
      <c r="A93" s="31" t="s">
        <v>63</v>
      </c>
      <c r="B93" s="29">
        <v>0.87529823478646152</v>
      </c>
      <c r="C93" s="31"/>
      <c r="D93" s="31"/>
      <c r="E93" s="31"/>
      <c r="F93" s="31"/>
      <c r="G93" s="31"/>
      <c r="H93" s="31"/>
      <c r="I93" s="31"/>
      <c r="K93" s="31" t="s">
        <v>63</v>
      </c>
      <c r="L93" s="29">
        <v>0.87087761023778332</v>
      </c>
      <c r="M93" s="31"/>
      <c r="N93" s="31"/>
      <c r="O93" s="31"/>
      <c r="P93" s="31"/>
      <c r="Q93" s="31"/>
      <c r="R93" s="31"/>
      <c r="S93" s="31"/>
    </row>
    <row r="94" spans="1:19" x14ac:dyDescent="0.25">
      <c r="A94" s="31" t="s">
        <v>64</v>
      </c>
      <c r="B94" s="29">
        <v>0.76614699982029555</v>
      </c>
      <c r="C94" s="31"/>
      <c r="D94" s="31"/>
      <c r="E94" s="31"/>
      <c r="F94" s="31"/>
      <c r="G94" s="31"/>
      <c r="H94" s="31"/>
      <c r="I94" s="31"/>
      <c r="K94" s="31" t="s">
        <v>64</v>
      </c>
      <c r="L94" s="29">
        <v>0.75842781201347242</v>
      </c>
      <c r="M94" s="31"/>
      <c r="N94" s="31"/>
      <c r="O94" s="31"/>
      <c r="P94" s="31"/>
      <c r="Q94" s="31"/>
      <c r="R94" s="31"/>
      <c r="S94" s="31"/>
    </row>
    <row r="95" spans="1:19" x14ac:dyDescent="0.25">
      <c r="A95" s="31" t="s">
        <v>65</v>
      </c>
      <c r="B95" s="29">
        <v>0.66592428545756499</v>
      </c>
      <c r="C95" s="31"/>
      <c r="D95" s="31"/>
      <c r="E95" s="31"/>
      <c r="F95" s="31"/>
      <c r="G95" s="31"/>
      <c r="H95" s="31"/>
      <c r="I95" s="31"/>
      <c r="K95" s="31" t="s">
        <v>65</v>
      </c>
      <c r="L95" s="29">
        <v>0.69803476501684059</v>
      </c>
      <c r="M95" s="31"/>
      <c r="N95" s="31"/>
      <c r="O95" s="31"/>
      <c r="P95" s="31"/>
      <c r="Q95" s="31"/>
      <c r="R95" s="31"/>
      <c r="S95" s="31"/>
    </row>
    <row r="96" spans="1:19" x14ac:dyDescent="0.25">
      <c r="A96" s="31" t="s">
        <v>66</v>
      </c>
      <c r="B96" s="31">
        <v>2.1803840809058138E-2</v>
      </c>
      <c r="C96" s="31"/>
      <c r="D96" s="31"/>
      <c r="E96" s="31"/>
      <c r="F96" s="31"/>
      <c r="G96" s="31"/>
      <c r="H96" s="31"/>
      <c r="I96" s="31"/>
      <c r="K96" s="31" t="s">
        <v>66</v>
      </c>
      <c r="L96" s="31">
        <v>2.0729509334238633E-2</v>
      </c>
      <c r="M96" s="31"/>
      <c r="N96" s="31"/>
      <c r="O96" s="31"/>
      <c r="P96" s="31"/>
      <c r="Q96" s="31"/>
      <c r="R96" s="31"/>
      <c r="S96" s="31"/>
    </row>
    <row r="97" spans="1:19" ht="15.75" thickBot="1" x14ac:dyDescent="0.3">
      <c r="A97" s="32" t="s">
        <v>67</v>
      </c>
      <c r="B97" s="32">
        <v>11</v>
      </c>
      <c r="C97" s="31"/>
      <c r="D97" s="31"/>
      <c r="E97" s="31"/>
      <c r="F97" s="31"/>
      <c r="G97" s="31"/>
      <c r="H97" s="31"/>
      <c r="I97" s="31"/>
      <c r="K97" s="32" t="s">
        <v>67</v>
      </c>
      <c r="L97" s="32">
        <v>11</v>
      </c>
      <c r="M97" s="31"/>
      <c r="N97" s="31"/>
      <c r="O97" s="31"/>
      <c r="P97" s="31"/>
      <c r="Q97" s="31"/>
      <c r="R97" s="31"/>
      <c r="S97" s="31"/>
    </row>
    <row r="98" spans="1:19" x14ac:dyDescent="0.25">
      <c r="A98" s="31"/>
      <c r="B98" s="31"/>
      <c r="C98" s="31"/>
      <c r="D98" s="31"/>
      <c r="E98" s="31"/>
      <c r="F98" s="31"/>
      <c r="G98" s="31"/>
      <c r="H98" s="31"/>
      <c r="I98" s="31"/>
      <c r="K98" s="31"/>
      <c r="L98" s="31"/>
      <c r="M98" s="31"/>
      <c r="N98" s="31"/>
      <c r="O98" s="31"/>
      <c r="P98" s="31"/>
      <c r="Q98" s="31"/>
      <c r="R98" s="31"/>
      <c r="S98" s="31"/>
    </row>
    <row r="99" spans="1:19" ht="15.75" thickBot="1" x14ac:dyDescent="0.3">
      <c r="A99" s="31" t="s">
        <v>68</v>
      </c>
      <c r="B99" s="31"/>
      <c r="C99" s="31"/>
      <c r="D99" s="31"/>
      <c r="E99" s="31"/>
      <c r="F99" s="31"/>
      <c r="G99" s="31"/>
      <c r="H99" s="31"/>
      <c r="I99" s="31"/>
      <c r="K99" s="31" t="s">
        <v>68</v>
      </c>
      <c r="L99" s="31"/>
      <c r="M99" s="31"/>
      <c r="N99" s="31"/>
      <c r="O99" s="31"/>
      <c r="P99" s="31"/>
      <c r="Q99" s="31"/>
      <c r="R99" s="31"/>
      <c r="S99" s="31"/>
    </row>
    <row r="100" spans="1:19" x14ac:dyDescent="0.25">
      <c r="A100" s="33"/>
      <c r="B100" s="33" t="s">
        <v>73</v>
      </c>
      <c r="C100" s="33" t="s">
        <v>74</v>
      </c>
      <c r="D100" s="33" t="s">
        <v>75</v>
      </c>
      <c r="E100" s="33" t="s">
        <v>76</v>
      </c>
      <c r="F100" s="33" t="s">
        <v>77</v>
      </c>
      <c r="G100" s="31"/>
      <c r="H100" s="31"/>
      <c r="I100" s="31"/>
      <c r="K100" s="33"/>
      <c r="L100" s="33" t="s">
        <v>73</v>
      </c>
      <c r="M100" s="33" t="s">
        <v>74</v>
      </c>
      <c r="N100" s="33" t="s">
        <v>75</v>
      </c>
      <c r="O100" s="33" t="s">
        <v>76</v>
      </c>
      <c r="P100" s="33" t="s">
        <v>77</v>
      </c>
      <c r="Q100" s="31"/>
      <c r="R100" s="31"/>
      <c r="S100" s="31"/>
    </row>
    <row r="101" spans="1:19" x14ac:dyDescent="0.25">
      <c r="A101" s="31" t="s">
        <v>69</v>
      </c>
      <c r="B101" s="31">
        <v>3</v>
      </c>
      <c r="C101" s="31">
        <v>1.0902678466664579E-2</v>
      </c>
      <c r="D101" s="31">
        <v>3.6342261555548597E-3</v>
      </c>
      <c r="E101" s="31">
        <v>7.644444721856388</v>
      </c>
      <c r="F101" s="31">
        <v>1.3019460829080013E-2</v>
      </c>
      <c r="G101" s="31"/>
      <c r="H101" s="31"/>
      <c r="I101" s="31"/>
      <c r="K101" s="31" t="s">
        <v>69</v>
      </c>
      <c r="L101" s="31">
        <v>2</v>
      </c>
      <c r="M101" s="31">
        <v>1.0792830326945529E-2</v>
      </c>
      <c r="N101" s="31">
        <v>5.3964151634727647E-3</v>
      </c>
      <c r="O101" s="31">
        <v>12.558197503361098</v>
      </c>
      <c r="P101" s="31">
        <v>3.4055536891264217E-3</v>
      </c>
      <c r="Q101" s="31"/>
      <c r="R101" s="31"/>
      <c r="S101" s="31"/>
    </row>
    <row r="102" spans="1:19" x14ac:dyDescent="0.25">
      <c r="A102" s="31" t="s">
        <v>70</v>
      </c>
      <c r="B102" s="31">
        <v>7</v>
      </c>
      <c r="C102" s="31">
        <v>3.3278523181872435E-3</v>
      </c>
      <c r="D102" s="31">
        <v>4.7540747402674907E-4</v>
      </c>
      <c r="E102" s="31"/>
      <c r="F102" s="31"/>
      <c r="G102" s="31"/>
      <c r="H102" s="31"/>
      <c r="I102" s="31"/>
      <c r="K102" s="31" t="s">
        <v>70</v>
      </c>
      <c r="L102" s="31">
        <v>8</v>
      </c>
      <c r="M102" s="31">
        <v>3.4377004579062933E-3</v>
      </c>
      <c r="N102" s="31">
        <v>4.2971255723828666E-4</v>
      </c>
      <c r="O102" s="31"/>
      <c r="P102" s="31"/>
      <c r="Q102" s="31"/>
      <c r="R102" s="31"/>
      <c r="S102" s="31"/>
    </row>
    <row r="103" spans="1:19" ht="15.75" thickBot="1" x14ac:dyDescent="0.3">
      <c r="A103" s="32" t="s">
        <v>71</v>
      </c>
      <c r="B103" s="32">
        <v>10</v>
      </c>
      <c r="C103" s="32">
        <v>1.4230530784851822E-2</v>
      </c>
      <c r="D103" s="32"/>
      <c r="E103" s="32"/>
      <c r="F103" s="32"/>
      <c r="G103" s="31"/>
      <c r="H103" s="31"/>
      <c r="I103" s="31"/>
      <c r="K103" s="32" t="s">
        <v>71</v>
      </c>
      <c r="L103" s="32">
        <v>10</v>
      </c>
      <c r="M103" s="32">
        <v>1.4230530784851822E-2</v>
      </c>
      <c r="N103" s="32"/>
      <c r="O103" s="32"/>
      <c r="P103" s="32"/>
      <c r="Q103" s="31"/>
      <c r="R103" s="31"/>
      <c r="S103" s="31"/>
    </row>
    <row r="104" spans="1:19" ht="15.75" thickBot="1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K104" s="31"/>
      <c r="L104" s="31"/>
      <c r="M104" s="31"/>
      <c r="N104" s="31"/>
      <c r="O104" s="31"/>
      <c r="P104" s="31"/>
      <c r="Q104" s="31"/>
      <c r="R104" s="31"/>
      <c r="S104" s="31"/>
    </row>
    <row r="105" spans="1:19" x14ac:dyDescent="0.25">
      <c r="A105" s="33"/>
      <c r="B105" s="33" t="s">
        <v>78</v>
      </c>
      <c r="C105" s="33" t="s">
        <v>66</v>
      </c>
      <c r="D105" s="33" t="s">
        <v>79</v>
      </c>
      <c r="E105" s="33" t="s">
        <v>80</v>
      </c>
      <c r="F105" s="33" t="s">
        <v>81</v>
      </c>
      <c r="G105" s="33" t="s">
        <v>82</v>
      </c>
      <c r="H105" s="33" t="s">
        <v>83</v>
      </c>
      <c r="I105" s="33" t="s">
        <v>84</v>
      </c>
      <c r="K105" s="33"/>
      <c r="L105" s="33" t="s">
        <v>78</v>
      </c>
      <c r="M105" s="33" t="s">
        <v>66</v>
      </c>
      <c r="N105" s="33" t="s">
        <v>79</v>
      </c>
      <c r="O105" s="33" t="s">
        <v>80</v>
      </c>
      <c r="P105" s="33" t="s">
        <v>81</v>
      </c>
      <c r="Q105" s="33" t="s">
        <v>82</v>
      </c>
      <c r="R105" s="33" t="s">
        <v>83</v>
      </c>
      <c r="S105" s="33" t="s">
        <v>84</v>
      </c>
    </row>
    <row r="106" spans="1:19" x14ac:dyDescent="0.25">
      <c r="A106" s="31" t="s">
        <v>72</v>
      </c>
      <c r="B106" s="31">
        <v>-0.54107177191024103</v>
      </c>
      <c r="C106" s="31">
        <v>0.18550073886010476</v>
      </c>
      <c r="D106" s="31">
        <v>-2.9168173411874649</v>
      </c>
      <c r="E106" s="29">
        <v>2.244150936492249E-2</v>
      </c>
      <c r="F106" s="31">
        <v>-0.97971131770722486</v>
      </c>
      <c r="G106" s="31">
        <v>-0.1024322261132572</v>
      </c>
      <c r="H106" s="31">
        <v>-0.97971131770722486</v>
      </c>
      <c r="I106" s="31">
        <v>-0.1024322261132572</v>
      </c>
      <c r="K106" s="31" t="s">
        <v>72</v>
      </c>
      <c r="L106" s="31">
        <v>-0.48379722215845611</v>
      </c>
      <c r="M106" s="31">
        <v>0.13516897141696979</v>
      </c>
      <c r="N106" s="31">
        <v>-3.5792032526905637</v>
      </c>
      <c r="O106" s="29">
        <v>7.1966096705550981E-3</v>
      </c>
      <c r="P106" s="31">
        <v>-0.79549742919728228</v>
      </c>
      <c r="Q106" s="31">
        <v>-0.17209701511962988</v>
      </c>
      <c r="R106" s="31">
        <v>-0.79549742919728228</v>
      </c>
      <c r="S106" s="31">
        <v>-0.17209701511962988</v>
      </c>
    </row>
    <row r="107" spans="1:19" x14ac:dyDescent="0.25">
      <c r="A107" s="31" t="s">
        <v>51</v>
      </c>
      <c r="B107" s="31">
        <v>-1.8091553288930416E-6</v>
      </c>
      <c r="C107" s="31">
        <v>3.7636783863936147E-6</v>
      </c>
      <c r="D107" s="31">
        <v>-0.48068807776813999</v>
      </c>
      <c r="E107" s="29">
        <v>0.64539789637137435</v>
      </c>
      <c r="F107" s="31">
        <v>-1.0708840516554983E-5</v>
      </c>
      <c r="G107" s="31">
        <v>7.0905298587688999E-6</v>
      </c>
      <c r="H107" s="31">
        <v>-1.0708840516554983E-5</v>
      </c>
      <c r="I107" s="31">
        <v>7.0905298587688999E-6</v>
      </c>
      <c r="K107" s="31" t="s">
        <v>53</v>
      </c>
      <c r="L107" s="31">
        <v>0.53251703759177149</v>
      </c>
      <c r="M107" s="31">
        <v>0.12954167298687019</v>
      </c>
      <c r="N107" s="31">
        <v>4.1107778316692363</v>
      </c>
      <c r="O107" s="29">
        <v>3.3869981134703364E-3</v>
      </c>
      <c r="P107" s="31">
        <v>0.23379340400278287</v>
      </c>
      <c r="Q107" s="31">
        <v>0.83124067118076006</v>
      </c>
      <c r="R107" s="31">
        <v>0.23379340400278287</v>
      </c>
      <c r="S107" s="31">
        <v>0.83124067118076006</v>
      </c>
    </row>
    <row r="108" spans="1:19" ht="15.75" thickBot="1" x14ac:dyDescent="0.3">
      <c r="A108" s="31" t="s">
        <v>53</v>
      </c>
      <c r="B108" s="31">
        <v>0.59438038115718372</v>
      </c>
      <c r="C108" s="31">
        <v>0.18742613042426715</v>
      </c>
      <c r="D108" s="31">
        <v>3.1712780913297127</v>
      </c>
      <c r="E108" s="29">
        <v>1.56799082193773E-2</v>
      </c>
      <c r="F108" s="31">
        <v>0.15118800777376934</v>
      </c>
      <c r="G108" s="31">
        <v>1.0375727545405982</v>
      </c>
      <c r="H108" s="31">
        <v>0.15118800777376934</v>
      </c>
      <c r="I108" s="31">
        <v>1.0375727545405982</v>
      </c>
      <c r="K108" s="32" t="s">
        <v>54</v>
      </c>
      <c r="L108" s="32">
        <v>1.7927615473655393E-3</v>
      </c>
      <c r="M108" s="32">
        <v>7.9156439154371761E-4</v>
      </c>
      <c r="N108" s="32">
        <v>2.2648334949343489</v>
      </c>
      <c r="O108" s="37">
        <v>5.3318638135963534E-2</v>
      </c>
      <c r="P108" s="32">
        <v>-3.2589212814643914E-5</v>
      </c>
      <c r="Q108" s="32">
        <v>3.6181123075457225E-3</v>
      </c>
      <c r="R108" s="32">
        <v>-3.2589212814643914E-5</v>
      </c>
      <c r="S108" s="32">
        <v>3.6181123075457225E-3</v>
      </c>
    </row>
    <row r="109" spans="1:19" ht="15.75" thickBot="1" x14ac:dyDescent="0.3">
      <c r="A109" s="32" t="s">
        <v>54</v>
      </c>
      <c r="B109" s="32">
        <v>1.3722041219645321E-3</v>
      </c>
      <c r="C109" s="32">
        <v>1.2077522602081756E-3</v>
      </c>
      <c r="D109" s="32">
        <v>1.136163571929901</v>
      </c>
      <c r="E109" s="37">
        <v>0.29328453543567817</v>
      </c>
      <c r="F109" s="32">
        <v>-1.4836761624397196E-3</v>
      </c>
      <c r="G109" s="32">
        <v>4.2280844063687841E-3</v>
      </c>
      <c r="H109" s="32">
        <v>-1.4836761624397196E-3</v>
      </c>
      <c r="I109" s="32">
        <v>4.2280844063687841E-3</v>
      </c>
    </row>
    <row r="112" spans="1:19" x14ac:dyDescent="0.25">
      <c r="K112" s="40"/>
      <c r="L112" s="40"/>
    </row>
    <row r="115" spans="1:19" x14ac:dyDescent="0.25">
      <c r="A115" s="39"/>
      <c r="B115" s="39"/>
      <c r="C115" s="39"/>
      <c r="D115" s="39"/>
      <c r="E115" s="39"/>
      <c r="F115" s="39"/>
    </row>
    <row r="120" spans="1:19" x14ac:dyDescent="0.25">
      <c r="A120" s="39"/>
      <c r="B120" s="39"/>
      <c r="C120" s="39"/>
      <c r="D120" s="39"/>
      <c r="E120" s="39"/>
      <c r="F120" s="39"/>
      <c r="G120" s="39"/>
      <c r="H120" s="39"/>
      <c r="I120" s="39"/>
      <c r="K120" s="39"/>
      <c r="L120" s="39"/>
      <c r="M120" s="39"/>
      <c r="N120" s="39"/>
      <c r="O120" s="39"/>
      <c r="P120" s="39"/>
    </row>
    <row r="125" spans="1:19" x14ac:dyDescent="0.25">
      <c r="K125" s="39"/>
      <c r="L125" s="39"/>
      <c r="M125" s="39"/>
      <c r="N125" s="39"/>
      <c r="O125" s="39"/>
      <c r="P125" s="39"/>
      <c r="Q125" s="39"/>
      <c r="R125" s="39"/>
      <c r="S125" s="39"/>
    </row>
  </sheetData>
  <mergeCells count="4">
    <mergeCell ref="A71:F71"/>
    <mergeCell ref="K71:P71"/>
    <mergeCell ref="A91:F91"/>
    <mergeCell ref="K91:P9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F5C9-FAB3-4A4D-A615-B2B86CCB896C}">
  <dimension ref="B2:M60"/>
  <sheetViews>
    <sheetView zoomScale="85" zoomScaleNormal="85" workbookViewId="0">
      <selection activeCell="W28" sqref="W28"/>
    </sheetView>
  </sheetViews>
  <sheetFormatPr defaultRowHeight="15" x14ac:dyDescent="0.25"/>
  <cols>
    <col min="2" max="2" width="24.140625" customWidth="1"/>
    <col min="12" max="12" width="21" customWidth="1"/>
    <col min="13" max="13" width="16.42578125" customWidth="1"/>
    <col min="14" max="14" width="13" customWidth="1"/>
    <col min="17" max="17" width="12.7109375" customWidth="1"/>
  </cols>
  <sheetData>
    <row r="2" spans="2:13" x14ac:dyDescent="0.25">
      <c r="B2" s="16" t="s">
        <v>59</v>
      </c>
      <c r="C2" s="17" t="s">
        <v>58</v>
      </c>
      <c r="D2" s="17" t="s">
        <v>94</v>
      </c>
      <c r="E2" s="17" t="s">
        <v>95</v>
      </c>
      <c r="F2" s="17" t="s">
        <v>96</v>
      </c>
      <c r="G2" s="16" t="s">
        <v>97</v>
      </c>
    </row>
    <row r="3" spans="2:13" x14ac:dyDescent="0.25">
      <c r="B3" s="5" t="s">
        <v>11</v>
      </c>
      <c r="C3" s="6">
        <v>0.17369777575697301</v>
      </c>
      <c r="D3" s="6">
        <v>0.199680501000808</v>
      </c>
      <c r="E3" s="6">
        <v>0.13984116014494999</v>
      </c>
      <c r="F3" s="7">
        <v>1.7836570943256701E-2</v>
      </c>
      <c r="G3" s="13">
        <v>66.912425378311355</v>
      </c>
      <c r="L3" s="5"/>
    </row>
    <row r="4" spans="2:13" x14ac:dyDescent="0.25">
      <c r="B4" s="5" t="s">
        <v>12</v>
      </c>
      <c r="C4" s="6">
        <v>9.9143945152060597E-2</v>
      </c>
      <c r="D4" s="6">
        <v>0.12535086320927399</v>
      </c>
      <c r="E4" s="6">
        <v>8.9326261366187695E-2</v>
      </c>
      <c r="F4" s="7">
        <v>-0.54160608613664096</v>
      </c>
      <c r="G4" s="13">
        <v>72.370164511034233</v>
      </c>
      <c r="L4" s="5"/>
      <c r="M4" s="13"/>
    </row>
    <row r="5" spans="2:13" x14ac:dyDescent="0.25">
      <c r="B5" s="5" t="s">
        <v>13</v>
      </c>
      <c r="C5" s="6">
        <v>0.21234239309632399</v>
      </c>
      <c r="D5" s="6">
        <v>0.42964915677977999</v>
      </c>
      <c r="E5" s="6">
        <v>4.6283799610675601E-2</v>
      </c>
      <c r="F5" s="7">
        <v>-0.17637365181995501</v>
      </c>
      <c r="G5" s="13">
        <v>77.803592516854394</v>
      </c>
      <c r="L5" s="5"/>
    </row>
    <row r="6" spans="2:13" x14ac:dyDescent="0.25">
      <c r="B6" s="5" t="s">
        <v>14</v>
      </c>
      <c r="C6" s="6">
        <v>0.14477972148899501</v>
      </c>
      <c r="D6" s="6">
        <v>0.36758406997509402</v>
      </c>
      <c r="E6" s="6">
        <v>3.0850994672477702E-2</v>
      </c>
      <c r="F6" s="6">
        <v>0.41389016217674901</v>
      </c>
      <c r="G6" s="13">
        <v>77.803592516854394</v>
      </c>
      <c r="L6" s="5"/>
      <c r="M6" s="13"/>
    </row>
    <row r="7" spans="2:13" x14ac:dyDescent="0.25">
      <c r="B7" s="5"/>
      <c r="C7" s="7"/>
      <c r="D7" s="7"/>
      <c r="F7" s="7"/>
      <c r="G7" s="13"/>
      <c r="L7" s="5"/>
      <c r="M7" s="13"/>
    </row>
    <row r="8" spans="2:13" x14ac:dyDescent="0.25">
      <c r="B8" s="5"/>
      <c r="C8" s="7"/>
      <c r="D8" s="7"/>
      <c r="E8" s="6"/>
      <c r="F8" s="6"/>
      <c r="G8" s="13"/>
      <c r="L8" s="5"/>
      <c r="M8" s="13"/>
    </row>
    <row r="9" spans="2:13" x14ac:dyDescent="0.25">
      <c r="B9" s="5" t="s">
        <v>23</v>
      </c>
      <c r="E9" s="8">
        <v>0.11077055296162799</v>
      </c>
      <c r="G9" s="13">
        <v>118.22733427999999</v>
      </c>
      <c r="L9" s="5"/>
      <c r="M9" s="13"/>
    </row>
    <row r="10" spans="2:13" x14ac:dyDescent="0.25">
      <c r="B10" s="5" t="s">
        <v>26</v>
      </c>
      <c r="C10" s="8">
        <v>8.8732929175135894E-2</v>
      </c>
      <c r="E10" s="8">
        <v>0.15621819275209001</v>
      </c>
      <c r="F10" s="12">
        <v>1.20306787922476E-2</v>
      </c>
      <c r="G10" s="13">
        <v>113.72040256</v>
      </c>
      <c r="L10" s="5"/>
      <c r="M10" s="13"/>
    </row>
    <row r="11" spans="2:13" x14ac:dyDescent="0.25">
      <c r="B11" s="5" t="s">
        <v>28</v>
      </c>
      <c r="C11" s="8">
        <v>0.10415722716452799</v>
      </c>
      <c r="E11" s="8">
        <v>5.5397551503622099E-2</v>
      </c>
      <c r="F11" s="12">
        <v>2.8615745110634201E-2</v>
      </c>
      <c r="G11" s="13">
        <v>112.66319882000001</v>
      </c>
      <c r="L11" s="5"/>
      <c r="M11" s="13"/>
    </row>
    <row r="12" spans="2:13" x14ac:dyDescent="0.25">
      <c r="B12" s="5" t="s">
        <v>29</v>
      </c>
      <c r="C12" s="8">
        <v>4.66251429291673E-2</v>
      </c>
      <c r="E12" s="8">
        <v>6.9883057908481996E-2</v>
      </c>
      <c r="F12" s="12">
        <v>4.4113621235337297E-2</v>
      </c>
      <c r="G12" s="13">
        <v>114.89097618</v>
      </c>
      <c r="L12" s="5"/>
      <c r="M12" s="13"/>
    </row>
    <row r="13" spans="2:13" x14ac:dyDescent="0.25">
      <c r="B13" s="5" t="s">
        <v>30</v>
      </c>
      <c r="C13" s="8">
        <v>9.0894558490112708E-3</v>
      </c>
      <c r="E13" s="8">
        <v>7.8645648239850305E-2</v>
      </c>
      <c r="F13" s="14">
        <v>-8.0536265843332393E-3</v>
      </c>
      <c r="G13" s="13">
        <v>116.55531655999999</v>
      </c>
      <c r="L13" s="5"/>
      <c r="M13" s="13"/>
    </row>
    <row r="14" spans="2:13" x14ac:dyDescent="0.25">
      <c r="B14" s="5" t="s">
        <v>33</v>
      </c>
      <c r="C14" s="8">
        <v>2.0373962034653699E-2</v>
      </c>
      <c r="E14" s="8">
        <v>0.101236914763633</v>
      </c>
      <c r="F14" s="12">
        <v>2.7450804091866201E-2</v>
      </c>
      <c r="G14" s="13">
        <v>115.75512236</v>
      </c>
      <c r="L14" s="5"/>
      <c r="M14" s="13"/>
    </row>
    <row r="15" spans="2:13" x14ac:dyDescent="0.25">
      <c r="B15" s="5" t="s">
        <v>37</v>
      </c>
      <c r="C15" s="8">
        <v>0.14608753400636901</v>
      </c>
      <c r="E15" s="8">
        <v>6.8212961854365706E-2</v>
      </c>
      <c r="F15" s="14">
        <v>-4.2076076707890497E-3</v>
      </c>
      <c r="G15" s="13">
        <v>118.22733427999999</v>
      </c>
      <c r="L15" s="5"/>
      <c r="M15" s="13"/>
    </row>
    <row r="16" spans="2:13" x14ac:dyDescent="0.25">
      <c r="B16" s="5" t="s">
        <v>42</v>
      </c>
      <c r="C16" s="38">
        <v>1.0119527368219401E-2</v>
      </c>
      <c r="E16" s="8">
        <v>9.9852529707758195E-2</v>
      </c>
      <c r="F16" s="12">
        <v>4.4857179056258203E-2</v>
      </c>
      <c r="G16" s="13">
        <v>112.66319882000001</v>
      </c>
      <c r="L16" s="5"/>
      <c r="M16" s="13"/>
    </row>
    <row r="17" spans="2:13" x14ac:dyDescent="0.25">
      <c r="B17" s="5" t="s">
        <v>43</v>
      </c>
      <c r="C17" s="8">
        <v>4.5646344187588998E-2</v>
      </c>
      <c r="E17" s="8">
        <v>5.5815481283492403E-2</v>
      </c>
      <c r="F17" s="12">
        <v>7.6664996000854094E-2</v>
      </c>
      <c r="G17" s="13">
        <v>114.89097618</v>
      </c>
      <c r="L17" s="5"/>
      <c r="M17" s="13"/>
    </row>
    <row r="18" spans="2:13" x14ac:dyDescent="0.25">
      <c r="B18" s="5" t="s">
        <v>44</v>
      </c>
      <c r="C18" s="8">
        <v>1.47909285306715E-2</v>
      </c>
      <c r="E18" s="8">
        <v>9.5391388976058394E-2</v>
      </c>
      <c r="F18" s="12">
        <v>2.1219861817338499E-2</v>
      </c>
      <c r="G18" s="13">
        <v>116.55531655999999</v>
      </c>
      <c r="L18" s="5"/>
      <c r="M18" s="13"/>
    </row>
    <row r="19" spans="2:13" x14ac:dyDescent="0.25">
      <c r="B19" s="5" t="s">
        <v>46</v>
      </c>
      <c r="C19" s="8">
        <v>2.0282132481243099E-2</v>
      </c>
      <c r="E19" s="8">
        <v>0.115227328160236</v>
      </c>
      <c r="F19" s="12">
        <v>3.1629539106965802E-2</v>
      </c>
      <c r="G19" s="13">
        <v>118.40602251999999</v>
      </c>
      <c r="L19" s="5"/>
      <c r="M19" s="13"/>
    </row>
    <row r="20" spans="2:13" x14ac:dyDescent="0.25">
      <c r="B20" s="5" t="s">
        <v>47</v>
      </c>
      <c r="C20" s="8">
        <v>3.6679485231980898E-2</v>
      </c>
      <c r="E20" s="8">
        <v>0.157732693122626</v>
      </c>
      <c r="F20" s="12">
        <v>4.3964016574286002E-2</v>
      </c>
      <c r="G20" s="13">
        <v>115.75512236</v>
      </c>
      <c r="L20" s="5"/>
      <c r="M20" s="13"/>
    </row>
    <row r="21" spans="2:13" x14ac:dyDescent="0.25">
      <c r="B21" s="5" t="s">
        <v>48</v>
      </c>
      <c r="C21" s="8">
        <v>7.7980025652416296E-2</v>
      </c>
      <c r="E21" s="8">
        <v>0.121156039239802</v>
      </c>
      <c r="F21" s="12">
        <v>5.3048699734524599E-2</v>
      </c>
      <c r="G21" s="13">
        <v>121.12197168</v>
      </c>
      <c r="L21" s="5"/>
      <c r="M21" s="13"/>
    </row>
    <row r="23" spans="2:13" x14ac:dyDescent="0.25">
      <c r="B23" s="5" t="s">
        <v>98</v>
      </c>
    </row>
    <row r="24" spans="2:13" x14ac:dyDescent="0.25">
      <c r="B24" s="5" t="s">
        <v>11</v>
      </c>
      <c r="C24" s="6">
        <v>0.17369777575697301</v>
      </c>
      <c r="D24" s="6">
        <v>0.199680501000808</v>
      </c>
      <c r="E24" s="6">
        <v>0.13984116014494999</v>
      </c>
      <c r="F24" s="7">
        <v>1.7836570943256701E-2</v>
      </c>
      <c r="G24" s="13">
        <v>66.912425378311355</v>
      </c>
    </row>
    <row r="25" spans="2:13" x14ac:dyDescent="0.25">
      <c r="B25" s="5" t="s">
        <v>12</v>
      </c>
      <c r="C25" s="6">
        <v>9.9143945152060597E-2</v>
      </c>
      <c r="D25" s="6">
        <v>0.12535086320927399</v>
      </c>
      <c r="E25" s="6">
        <v>8.9326261366187695E-2</v>
      </c>
      <c r="F25" s="7">
        <v>-0.54160608613664096</v>
      </c>
      <c r="G25" s="13">
        <v>72.370164511034233</v>
      </c>
    </row>
    <row r="26" spans="2:13" x14ac:dyDescent="0.25">
      <c r="B26" s="5" t="s">
        <v>13</v>
      </c>
      <c r="C26" s="6">
        <v>0.21234239309632399</v>
      </c>
      <c r="D26" s="6">
        <v>0.42964915677977999</v>
      </c>
      <c r="E26" s="6">
        <v>4.6283799610675601E-2</v>
      </c>
      <c r="F26" s="7">
        <v>-0.17637365181995501</v>
      </c>
      <c r="G26" s="13">
        <v>77.803592516854394</v>
      </c>
    </row>
    <row r="27" spans="2:13" x14ac:dyDescent="0.25">
      <c r="B27" s="5" t="s">
        <v>20</v>
      </c>
      <c r="C27" s="7"/>
      <c r="D27" s="7"/>
      <c r="F27" s="7">
        <v>-4.74716361793363E-2</v>
      </c>
      <c r="G27" s="13">
        <v>66.341763171136677</v>
      </c>
    </row>
    <row r="28" spans="2:13" x14ac:dyDescent="0.25">
      <c r="B28" s="5" t="s">
        <v>23</v>
      </c>
      <c r="C28" s="42"/>
      <c r="E28" s="8">
        <v>0.11077055296162799</v>
      </c>
      <c r="G28" s="13">
        <v>118.22733427999999</v>
      </c>
    </row>
    <row r="29" spans="2:13" x14ac:dyDescent="0.25">
      <c r="B29" s="5" t="s">
        <v>26</v>
      </c>
      <c r="C29" s="8">
        <v>8.8732929175135894E-2</v>
      </c>
      <c r="E29" s="8">
        <v>0.15621819275209001</v>
      </c>
      <c r="F29" s="12">
        <v>1.20306787922476E-2</v>
      </c>
      <c r="G29" s="13">
        <v>113.72040256</v>
      </c>
    </row>
    <row r="30" spans="2:13" x14ac:dyDescent="0.25">
      <c r="B30" s="5" t="s">
        <v>28</v>
      </c>
      <c r="C30" s="8">
        <v>0.10415722716452799</v>
      </c>
      <c r="E30" s="8">
        <v>5.5397551503622099E-2</v>
      </c>
      <c r="F30" s="12">
        <v>2.8615745110634201E-2</v>
      </c>
      <c r="G30" s="13">
        <v>112.66319882000001</v>
      </c>
    </row>
    <row r="31" spans="2:13" x14ac:dyDescent="0.25">
      <c r="B31" s="5" t="s">
        <v>29</v>
      </c>
      <c r="C31" s="8">
        <v>4.66251429291673E-2</v>
      </c>
      <c r="E31" s="8">
        <v>6.9883057908481996E-2</v>
      </c>
      <c r="F31" s="12">
        <v>4.4113621235337297E-2</v>
      </c>
      <c r="G31" s="13">
        <v>114.89097618</v>
      </c>
    </row>
    <row r="32" spans="2:13" x14ac:dyDescent="0.25">
      <c r="B32" s="5" t="s">
        <v>30</v>
      </c>
      <c r="C32" s="8">
        <v>9.0894558490112708E-3</v>
      </c>
      <c r="E32" s="8">
        <v>7.8645648239850305E-2</v>
      </c>
      <c r="F32" s="14">
        <v>-8.0536265843332393E-3</v>
      </c>
      <c r="G32" s="13">
        <v>116.55531655999999</v>
      </c>
    </row>
    <row r="33" spans="2:7" x14ac:dyDescent="0.25">
      <c r="B33" s="5" t="s">
        <v>33</v>
      </c>
      <c r="C33" s="8">
        <v>2.0373962034653699E-2</v>
      </c>
      <c r="E33" s="8">
        <v>0.101236914763633</v>
      </c>
      <c r="F33" s="12">
        <v>2.7450804091866201E-2</v>
      </c>
      <c r="G33" s="13">
        <v>115.75512236</v>
      </c>
    </row>
    <row r="35" spans="2:7" x14ac:dyDescent="0.25">
      <c r="B35" s="5" t="s">
        <v>99</v>
      </c>
    </row>
    <row r="36" spans="2:7" x14ac:dyDescent="0.25">
      <c r="B36" s="5" t="s">
        <v>11</v>
      </c>
      <c r="C36" s="6">
        <v>0.17369777575697301</v>
      </c>
      <c r="D36" s="6">
        <v>0.199680501000808</v>
      </c>
      <c r="E36" s="6">
        <v>0.13984116014494999</v>
      </c>
      <c r="F36" s="7">
        <v>1.7836570943256701E-2</v>
      </c>
      <c r="G36" s="13">
        <v>66.912425378311355</v>
      </c>
    </row>
    <row r="37" spans="2:7" x14ac:dyDescent="0.25">
      <c r="B37" s="5" t="s">
        <v>12</v>
      </c>
      <c r="C37" s="6">
        <v>9.9143945152060597E-2</v>
      </c>
      <c r="D37" s="6">
        <v>0.12535086320927399</v>
      </c>
      <c r="E37" s="6">
        <v>8.9326261366187695E-2</v>
      </c>
      <c r="F37" s="7">
        <v>-0.54160608613664096</v>
      </c>
      <c r="G37" s="13">
        <v>72.370164511034233</v>
      </c>
    </row>
    <row r="38" spans="2:7" x14ac:dyDescent="0.25">
      <c r="B38" s="5" t="s">
        <v>14</v>
      </c>
      <c r="C38" s="6">
        <v>0.14477972148899501</v>
      </c>
      <c r="D38" s="6">
        <v>0.36758406997509402</v>
      </c>
      <c r="E38" s="6">
        <v>3.0850994672477702E-2</v>
      </c>
      <c r="F38" s="6">
        <v>0.41389016217674901</v>
      </c>
      <c r="G38" s="13">
        <v>77.803592516854394</v>
      </c>
    </row>
    <row r="39" spans="2:7" x14ac:dyDescent="0.25">
      <c r="B39" s="5" t="s">
        <v>19</v>
      </c>
      <c r="C39" s="7">
        <v>-7.8588218215967606E-2</v>
      </c>
      <c r="D39" s="7">
        <v>-0.161754895727207</v>
      </c>
      <c r="E39" s="6">
        <v>6.7271555006068101E-2</v>
      </c>
      <c r="F39" s="6">
        <v>5.9760012226563401E-2</v>
      </c>
      <c r="G39" s="13">
        <v>66.341763171136677</v>
      </c>
    </row>
    <row r="40" spans="2:7" x14ac:dyDescent="0.25">
      <c r="B40" s="5" t="s">
        <v>37</v>
      </c>
      <c r="C40" s="8">
        <v>0.14608753400636901</v>
      </c>
      <c r="E40" s="8">
        <v>6.8212961854365706E-2</v>
      </c>
      <c r="F40" s="14">
        <v>-4.2076076707890497E-3</v>
      </c>
      <c r="G40" s="13">
        <v>118.22733427999999</v>
      </c>
    </row>
    <row r="41" spans="2:7" x14ac:dyDescent="0.25">
      <c r="B41" s="5" t="s">
        <v>42</v>
      </c>
      <c r="C41" s="38">
        <v>1.0119527368219401E-2</v>
      </c>
      <c r="E41" s="8">
        <v>9.9852529707758195E-2</v>
      </c>
      <c r="F41" s="12">
        <v>4.4857179056258203E-2</v>
      </c>
      <c r="G41" s="13">
        <v>112.66319882000001</v>
      </c>
    </row>
    <row r="42" spans="2:7" x14ac:dyDescent="0.25">
      <c r="B42" s="5" t="s">
        <v>43</v>
      </c>
      <c r="C42" s="8">
        <v>4.5646344187588998E-2</v>
      </c>
      <c r="E42" s="8">
        <v>5.5815481283492403E-2</v>
      </c>
      <c r="F42" s="12">
        <v>7.6664996000854094E-2</v>
      </c>
      <c r="G42" s="13">
        <v>114.89097618</v>
      </c>
    </row>
    <row r="43" spans="2:7" x14ac:dyDescent="0.25">
      <c r="B43" s="5" t="s">
        <v>44</v>
      </c>
      <c r="C43" s="8">
        <v>1.47909285306715E-2</v>
      </c>
      <c r="E43" s="8">
        <v>9.5391388976058394E-2</v>
      </c>
      <c r="F43" s="12">
        <v>2.1219861817338499E-2</v>
      </c>
      <c r="G43" s="13">
        <v>116.55531655999999</v>
      </c>
    </row>
    <row r="44" spans="2:7" x14ac:dyDescent="0.25">
      <c r="B44" s="5" t="s">
        <v>46</v>
      </c>
      <c r="C44" s="8">
        <v>2.0282132481243099E-2</v>
      </c>
      <c r="E44" s="8">
        <v>0.115227328160236</v>
      </c>
      <c r="F44" s="12">
        <v>3.1629539106965802E-2</v>
      </c>
      <c r="G44" s="13">
        <v>118.40602251999999</v>
      </c>
    </row>
    <row r="45" spans="2:7" x14ac:dyDescent="0.25">
      <c r="B45" s="5" t="s">
        <v>47</v>
      </c>
      <c r="C45" s="8">
        <v>3.6679485231980898E-2</v>
      </c>
      <c r="E45" s="8">
        <v>0.157732693122626</v>
      </c>
      <c r="F45" s="12">
        <v>4.3964016574286002E-2</v>
      </c>
      <c r="G45" s="13">
        <v>115.75512236</v>
      </c>
    </row>
    <row r="46" spans="2:7" x14ac:dyDescent="0.25">
      <c r="B46" s="5" t="s">
        <v>48</v>
      </c>
      <c r="C46" s="8">
        <v>7.7980025652416296E-2</v>
      </c>
      <c r="E46" s="8">
        <v>0.121156039239802</v>
      </c>
      <c r="F46" s="12">
        <v>5.3048699734524599E-2</v>
      </c>
      <c r="G46" s="13">
        <v>121.12197168</v>
      </c>
    </row>
    <row r="49" spans="2:7" x14ac:dyDescent="0.25">
      <c r="B49" s="5" t="s">
        <v>100</v>
      </c>
    </row>
    <row r="50" spans="2:7" x14ac:dyDescent="0.25">
      <c r="B50" s="5" t="s">
        <v>11</v>
      </c>
      <c r="C50" s="6">
        <v>0.17369777575697301</v>
      </c>
      <c r="D50" s="6">
        <v>0.199680501000808</v>
      </c>
      <c r="E50" s="6">
        <v>0.13984116014494999</v>
      </c>
      <c r="F50" s="7">
        <v>1.7836570943256701E-2</v>
      </c>
      <c r="G50" s="13">
        <v>66.912425378311355</v>
      </c>
    </row>
    <row r="51" spans="2:7" x14ac:dyDescent="0.25">
      <c r="B51" s="5" t="s">
        <v>12</v>
      </c>
      <c r="C51" s="6">
        <v>9.9143945152060597E-2</v>
      </c>
      <c r="D51" s="6">
        <v>0.12535086320927399</v>
      </c>
      <c r="E51" s="6">
        <v>8.9326261366187695E-2</v>
      </c>
      <c r="F51" s="7">
        <v>-0.54160608613664096</v>
      </c>
      <c r="G51" s="13">
        <v>72.370164511034233</v>
      </c>
    </row>
    <row r="52" spans="2:7" x14ac:dyDescent="0.25">
      <c r="B52" s="5" t="s">
        <v>13</v>
      </c>
      <c r="C52" s="6">
        <v>0.21234239309632399</v>
      </c>
      <c r="D52" s="6">
        <v>0.42964915677977999</v>
      </c>
      <c r="E52" s="6">
        <v>4.6283799610675601E-2</v>
      </c>
      <c r="F52" s="7">
        <v>-0.17637365181995501</v>
      </c>
      <c r="G52" s="13">
        <v>77.803592516854394</v>
      </c>
    </row>
    <row r="53" spans="2:7" x14ac:dyDescent="0.25">
      <c r="B53" s="5" t="s">
        <v>20</v>
      </c>
      <c r="C53" s="7">
        <v>-4.1760232547360499E-2</v>
      </c>
      <c r="D53" s="7">
        <v>-6.6277814143714905E-2</v>
      </c>
      <c r="F53" s="7">
        <v>-4.74716361793363E-2</v>
      </c>
      <c r="G53" s="13">
        <v>66.341763171136677</v>
      </c>
    </row>
    <row r="54" spans="2:7" x14ac:dyDescent="0.25">
      <c r="B54" s="5" t="s">
        <v>37</v>
      </c>
      <c r="C54" s="8">
        <v>0.14608753400636901</v>
      </c>
      <c r="E54" s="8">
        <v>6.8212961854365706E-2</v>
      </c>
      <c r="F54" s="14">
        <v>-4.2076076707890497E-3</v>
      </c>
      <c r="G54" s="13">
        <v>118.22733427999999</v>
      </c>
    </row>
    <row r="55" spans="2:7" x14ac:dyDescent="0.25">
      <c r="B55" s="5" t="s">
        <v>42</v>
      </c>
      <c r="C55" s="38">
        <v>1.0119527368219401E-2</v>
      </c>
      <c r="E55" s="8">
        <v>9.9852529707758195E-2</v>
      </c>
      <c r="F55" s="12">
        <v>4.4857179056258203E-2</v>
      </c>
      <c r="G55" s="13">
        <v>112.66319882000001</v>
      </c>
    </row>
    <row r="56" spans="2:7" x14ac:dyDescent="0.25">
      <c r="B56" s="5" t="s">
        <v>43</v>
      </c>
      <c r="C56" s="8">
        <v>4.5646344187588998E-2</v>
      </c>
      <c r="E56" s="8">
        <v>5.5815481283492403E-2</v>
      </c>
      <c r="F56" s="12">
        <v>7.6664996000854094E-2</v>
      </c>
      <c r="G56" s="13">
        <v>114.89097618</v>
      </c>
    </row>
    <row r="57" spans="2:7" x14ac:dyDescent="0.25">
      <c r="B57" s="5" t="s">
        <v>44</v>
      </c>
      <c r="C57" s="8">
        <v>1.47909285306715E-2</v>
      </c>
      <c r="E57" s="8">
        <v>9.5391388976058394E-2</v>
      </c>
      <c r="F57" s="12">
        <v>2.1219861817338499E-2</v>
      </c>
      <c r="G57" s="13">
        <v>116.55531655999999</v>
      </c>
    </row>
    <row r="58" spans="2:7" x14ac:dyDescent="0.25">
      <c r="B58" s="5" t="s">
        <v>46</v>
      </c>
      <c r="C58" s="8">
        <v>2.0282132481243099E-2</v>
      </c>
      <c r="E58" s="8">
        <v>0.115227328160236</v>
      </c>
      <c r="F58" s="12">
        <v>3.1629539106965802E-2</v>
      </c>
      <c r="G58" s="13">
        <v>118.40602251999999</v>
      </c>
    </row>
    <row r="59" spans="2:7" x14ac:dyDescent="0.25">
      <c r="B59" s="5" t="s">
        <v>47</v>
      </c>
      <c r="C59" s="8">
        <v>3.6679485231980898E-2</v>
      </c>
      <c r="E59" s="8">
        <v>0.157732693122626</v>
      </c>
      <c r="F59" s="12">
        <v>4.3964016574286002E-2</v>
      </c>
      <c r="G59" s="13">
        <v>115.75512236</v>
      </c>
    </row>
    <row r="60" spans="2:7" x14ac:dyDescent="0.25">
      <c r="B60" s="5" t="s">
        <v>48</v>
      </c>
      <c r="C60" s="8">
        <v>7.7980025652416296E-2</v>
      </c>
      <c r="E60" s="8">
        <v>0.121156039239802</v>
      </c>
      <c r="F60" s="12">
        <v>5.3048699734524599E-2</v>
      </c>
      <c r="G60" s="13">
        <v>121.12197168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72C5-45D4-4B29-A3CC-D3C31201CD8F}">
  <dimension ref="A1:BK74"/>
  <sheetViews>
    <sheetView zoomScale="70" zoomScaleNormal="70" workbookViewId="0">
      <selection activeCell="H34" sqref="H34"/>
    </sheetView>
  </sheetViews>
  <sheetFormatPr defaultRowHeight="15" x14ac:dyDescent="0.25"/>
  <cols>
    <col min="1" max="1" width="22.85546875" customWidth="1"/>
    <col min="6" max="6" width="13" customWidth="1"/>
    <col min="7" max="7" width="11.140625" customWidth="1"/>
    <col min="8" max="8" width="11.42578125" customWidth="1"/>
    <col min="44" max="44" width="16.140625" customWidth="1"/>
    <col min="46" max="46" width="14.85546875" customWidth="1"/>
    <col min="47" max="47" width="10" customWidth="1"/>
    <col min="48" max="49" width="11.28515625" customWidth="1"/>
    <col min="50" max="50" width="10.28515625" customWidth="1"/>
    <col min="51" max="51" width="10.7109375" customWidth="1"/>
    <col min="52" max="52" width="11.5703125" customWidth="1"/>
    <col min="54" max="54" width="13.85546875" customWidth="1"/>
    <col min="56" max="56" width="14.28515625" customWidth="1"/>
  </cols>
  <sheetData>
    <row r="1" spans="1:63" ht="48" x14ac:dyDescent="0.25">
      <c r="A1" s="16" t="s">
        <v>59</v>
      </c>
      <c r="B1" s="17" t="s">
        <v>58</v>
      </c>
      <c r="C1" s="17" t="s">
        <v>94</v>
      </c>
      <c r="D1" s="17" t="s">
        <v>95</v>
      </c>
      <c r="E1" s="17" t="s">
        <v>96</v>
      </c>
      <c r="F1" s="17" t="s">
        <v>53</v>
      </c>
      <c r="G1" s="46" t="s">
        <v>110</v>
      </c>
      <c r="H1" s="46" t="s">
        <v>113</v>
      </c>
      <c r="I1" s="46" t="s">
        <v>114</v>
      </c>
      <c r="J1" s="46" t="s">
        <v>120</v>
      </c>
      <c r="K1" s="62" t="s">
        <v>125</v>
      </c>
      <c r="AL1" s="46" t="s">
        <v>119</v>
      </c>
      <c r="AM1" s="46" t="s">
        <v>110</v>
      </c>
      <c r="AN1" s="46" t="s">
        <v>111</v>
      </c>
      <c r="AO1" s="46" t="s">
        <v>112</v>
      </c>
      <c r="AR1" s="16" t="s">
        <v>59</v>
      </c>
      <c r="AS1" s="17" t="s">
        <v>58</v>
      </c>
      <c r="AT1" s="17" t="s">
        <v>53</v>
      </c>
      <c r="AU1" s="46" t="s">
        <v>120</v>
      </c>
      <c r="AV1" s="46" t="s">
        <v>113</v>
      </c>
      <c r="AW1" s="46" t="s">
        <v>114</v>
      </c>
      <c r="AX1" s="62" t="s">
        <v>126</v>
      </c>
      <c r="AY1" s="46" t="s">
        <v>110</v>
      </c>
      <c r="AZ1" s="62" t="s">
        <v>125</v>
      </c>
      <c r="BB1" s="16" t="s">
        <v>59</v>
      </c>
      <c r="BC1" s="17" t="s">
        <v>95</v>
      </c>
      <c r="BD1" s="17" t="s">
        <v>53</v>
      </c>
      <c r="BE1" s="46" t="s">
        <v>120</v>
      </c>
      <c r="BF1" s="62" t="s">
        <v>125</v>
      </c>
      <c r="BG1" s="46" t="s">
        <v>113</v>
      </c>
      <c r="BH1" s="46" t="s">
        <v>114</v>
      </c>
      <c r="BJ1" s="62" t="s">
        <v>126</v>
      </c>
      <c r="BK1" s="46" t="s">
        <v>110</v>
      </c>
    </row>
    <row r="2" spans="1:63" x14ac:dyDescent="0.25">
      <c r="A2" s="5" t="s">
        <v>11</v>
      </c>
      <c r="B2" s="42">
        <v>0.17369777575697301</v>
      </c>
      <c r="C2" s="42">
        <v>0.199680501000808</v>
      </c>
      <c r="D2" s="42">
        <v>0.13984116014494999</v>
      </c>
      <c r="E2" s="43">
        <v>1.7836570943256701E-2</v>
      </c>
      <c r="F2" s="15">
        <v>1.1737788669959504</v>
      </c>
      <c r="G2" s="15">
        <v>4</v>
      </c>
      <c r="H2" s="15">
        <v>1.25</v>
      </c>
      <c r="I2" s="15">
        <v>2.75</v>
      </c>
      <c r="J2" s="15">
        <f>H2-I2</f>
        <v>-1.5</v>
      </c>
      <c r="K2" s="15">
        <f>H2/G2</f>
        <v>0.3125</v>
      </c>
      <c r="AK2" s="5" t="s">
        <v>101</v>
      </c>
      <c r="AL2" s="9">
        <v>1.0078290838208943</v>
      </c>
      <c r="AM2" s="13">
        <v>2.4954469283408098</v>
      </c>
      <c r="AN2">
        <v>1.8447691432308699</v>
      </c>
      <c r="AO2">
        <v>0.650677785109948</v>
      </c>
      <c r="AR2" s="5" t="s">
        <v>11</v>
      </c>
      <c r="AS2" s="42">
        <v>0.17369777575697301</v>
      </c>
      <c r="AT2" s="15">
        <v>1.1737788669959504</v>
      </c>
      <c r="AU2" s="15">
        <v>-1.5</v>
      </c>
      <c r="AV2" s="15">
        <v>1.25</v>
      </c>
      <c r="AW2" s="15">
        <v>2.75</v>
      </c>
      <c r="AX2" s="13">
        <f>AW2/AY2</f>
        <v>0.6875</v>
      </c>
      <c r="AY2" s="15">
        <v>4</v>
      </c>
      <c r="AZ2" s="13">
        <f>AV2/AY2</f>
        <v>0.3125</v>
      </c>
      <c r="BB2" s="5" t="s">
        <v>11</v>
      </c>
      <c r="BC2" s="42">
        <v>0.13984116014494999</v>
      </c>
      <c r="BD2" s="15">
        <v>1.1737788669959504</v>
      </c>
      <c r="BE2" s="15">
        <v>-1.5</v>
      </c>
      <c r="BF2" s="13">
        <v>0.3125</v>
      </c>
      <c r="BG2" s="15">
        <v>1.25</v>
      </c>
      <c r="BH2" s="15">
        <v>2.75</v>
      </c>
      <c r="BJ2" s="13">
        <v>0.6875</v>
      </c>
      <c r="BK2" s="15">
        <v>4</v>
      </c>
    </row>
    <row r="3" spans="1:63" x14ac:dyDescent="0.25">
      <c r="A3" s="5" t="s">
        <v>12</v>
      </c>
      <c r="B3" s="42">
        <v>9.9143945152060597E-2</v>
      </c>
      <c r="C3" s="42">
        <v>0.12535086320927399</v>
      </c>
      <c r="D3" s="42">
        <v>8.9326261366187695E-2</v>
      </c>
      <c r="E3" s="43">
        <v>-0.54160608613664096</v>
      </c>
      <c r="F3" s="15">
        <v>1.0182769682576838</v>
      </c>
      <c r="G3" s="15">
        <v>1.1385255280790201</v>
      </c>
      <c r="H3" s="15">
        <v>0.25</v>
      </c>
      <c r="I3" s="15">
        <v>0.88852552807902296</v>
      </c>
      <c r="J3" s="15">
        <f t="shared" ref="J3:J20" si="0">H3-I3</f>
        <v>-0.63852552807902296</v>
      </c>
      <c r="K3" s="15">
        <f t="shared" ref="K3:K66" si="1">H3/G3</f>
        <v>0.2195822525137518</v>
      </c>
      <c r="AK3" s="5" t="s">
        <v>102</v>
      </c>
      <c r="AL3" s="9">
        <v>1.008246697022094</v>
      </c>
      <c r="AM3" s="13">
        <v>4.9705418000804897</v>
      </c>
      <c r="AN3">
        <v>1.7381901583192201</v>
      </c>
      <c r="AO3">
        <v>3.2323516417612699</v>
      </c>
      <c r="AR3" s="5" t="s">
        <v>12</v>
      </c>
      <c r="AS3" s="42">
        <v>9.9143945152060597E-2</v>
      </c>
      <c r="AT3" s="15">
        <v>1.0182769682576838</v>
      </c>
      <c r="AU3" s="15">
        <v>-0.63852552807902296</v>
      </c>
      <c r="AV3" s="15">
        <v>0.25</v>
      </c>
      <c r="AW3" s="15">
        <v>0.88852552807902296</v>
      </c>
      <c r="AX3" s="13">
        <f>AW3/AY3</f>
        <v>0.7804177474862507</v>
      </c>
      <c r="AY3" s="15">
        <v>1.1385255280790201</v>
      </c>
      <c r="AZ3" s="13">
        <f>AV3/AY3</f>
        <v>0.2195822525137518</v>
      </c>
      <c r="BB3" s="5" t="s">
        <v>12</v>
      </c>
      <c r="BC3" s="42">
        <v>8.9326261366187695E-2</v>
      </c>
      <c r="BD3" s="15">
        <v>1.0182769682576838</v>
      </c>
      <c r="BE3" s="15">
        <v>-0.63852552807902296</v>
      </c>
      <c r="BF3" s="13">
        <v>0.2195822525137518</v>
      </c>
      <c r="BG3" s="15">
        <v>0.25</v>
      </c>
      <c r="BH3" s="15">
        <v>0.88852552807902296</v>
      </c>
      <c r="BJ3" s="13">
        <v>0.7804177474862507</v>
      </c>
      <c r="BK3" s="15">
        <v>1.1385255280790201</v>
      </c>
    </row>
    <row r="4" spans="1:63" x14ac:dyDescent="0.25">
      <c r="A4" s="5" t="s">
        <v>13</v>
      </c>
      <c r="B4" s="42">
        <v>0.21234239309632399</v>
      </c>
      <c r="C4" s="42">
        <v>0.42964915677977999</v>
      </c>
      <c r="D4" s="42">
        <v>4.6283799610675601E-2</v>
      </c>
      <c r="E4" s="43">
        <v>-0.17637365181995501</v>
      </c>
      <c r="F4" s="15">
        <v>1</v>
      </c>
      <c r="G4" s="15">
        <v>0</v>
      </c>
      <c r="H4" s="15">
        <v>0</v>
      </c>
      <c r="I4" s="15">
        <v>0</v>
      </c>
      <c r="J4" s="15">
        <f t="shared" si="0"/>
        <v>0</v>
      </c>
      <c r="K4" s="15">
        <v>0</v>
      </c>
      <c r="AK4" s="5" t="s">
        <v>103</v>
      </c>
      <c r="AL4" s="9">
        <v>1.0490052443540898</v>
      </c>
      <c r="AM4" s="13">
        <v>18.738059749368901</v>
      </c>
      <c r="AN4">
        <v>7.75</v>
      </c>
      <c r="AO4">
        <v>10.988059749368899</v>
      </c>
      <c r="AR4" s="5" t="s">
        <v>13</v>
      </c>
      <c r="AS4" s="42">
        <v>0.21234239309632399</v>
      </c>
      <c r="AT4" s="15">
        <v>1</v>
      </c>
      <c r="AU4" s="15">
        <v>0</v>
      </c>
      <c r="AV4" s="15">
        <v>0</v>
      </c>
      <c r="AW4" s="15">
        <v>0</v>
      </c>
      <c r="AX4" s="13">
        <v>0</v>
      </c>
      <c r="AY4" s="15">
        <v>0</v>
      </c>
      <c r="AZ4" s="13">
        <v>0</v>
      </c>
      <c r="BB4" s="5" t="s">
        <v>13</v>
      </c>
      <c r="BC4" s="42">
        <v>4.6283799610675601E-2</v>
      </c>
      <c r="BD4" s="15">
        <v>1</v>
      </c>
      <c r="BE4" s="15">
        <v>0</v>
      </c>
      <c r="BF4" s="13">
        <v>0</v>
      </c>
      <c r="BG4" s="15">
        <v>0</v>
      </c>
      <c r="BH4" s="15">
        <v>0</v>
      </c>
      <c r="BJ4" s="13">
        <v>0</v>
      </c>
      <c r="BK4" s="15">
        <v>0</v>
      </c>
    </row>
    <row r="5" spans="1:63" x14ac:dyDescent="0.25">
      <c r="A5" s="5" t="s">
        <v>14</v>
      </c>
      <c r="B5" s="42">
        <v>0.14477972148899501</v>
      </c>
      <c r="C5" s="42">
        <v>0.36758406997509402</v>
      </c>
      <c r="D5" s="42">
        <v>3.0850994672477702E-2</v>
      </c>
      <c r="E5" s="42">
        <v>0.41389016217674901</v>
      </c>
      <c r="F5" s="15">
        <v>1</v>
      </c>
      <c r="G5" s="15">
        <v>0</v>
      </c>
      <c r="H5" s="15">
        <v>0</v>
      </c>
      <c r="I5" s="15">
        <v>0</v>
      </c>
      <c r="J5" s="15">
        <f t="shared" si="0"/>
        <v>0</v>
      </c>
      <c r="K5" s="15">
        <v>0</v>
      </c>
      <c r="AK5" s="5" t="s">
        <v>89</v>
      </c>
      <c r="AL5" s="9">
        <v>1.0119508062412015</v>
      </c>
      <c r="AM5" s="13">
        <v>8.1761484496582497</v>
      </c>
      <c r="AN5">
        <v>3.1258759015031101</v>
      </c>
      <c r="AO5">
        <v>5.0502725481551298</v>
      </c>
      <c r="AR5" s="5" t="s">
        <v>20</v>
      </c>
      <c r="AS5" s="43">
        <v>-4.1760232547360499E-2</v>
      </c>
      <c r="AT5" s="15">
        <v>1.045397189964473</v>
      </c>
      <c r="AU5" s="15">
        <v>-0.25523545319733998</v>
      </c>
      <c r="AV5" s="15">
        <v>2.1335248576486401</v>
      </c>
      <c r="AW5" s="15">
        <v>2.3887603108459801</v>
      </c>
      <c r="AX5" s="13">
        <f>AW5/AY5</f>
        <v>0.52821974330317423</v>
      </c>
      <c r="AY5" s="15">
        <v>4.5222851684946201</v>
      </c>
      <c r="AZ5" s="13">
        <f>AV5/AY5</f>
        <v>0.47178025669682583</v>
      </c>
      <c r="BB5" s="5" t="s">
        <v>23</v>
      </c>
      <c r="BC5" s="42">
        <v>0.11077055296162799</v>
      </c>
      <c r="BD5" s="15">
        <v>1.0078290838208943</v>
      </c>
      <c r="BE5" s="15">
        <v>1.194091358120922</v>
      </c>
      <c r="BF5" s="13">
        <v>0.73925400788123874</v>
      </c>
      <c r="BG5" s="15">
        <v>1.8447691432308699</v>
      </c>
      <c r="BH5" s="15">
        <v>0.650677785109948</v>
      </c>
      <c r="BJ5" s="13">
        <v>0.26074599211876454</v>
      </c>
      <c r="BK5" s="15">
        <v>2.4954469283408098</v>
      </c>
    </row>
    <row r="6" spans="1:63" x14ac:dyDescent="0.25">
      <c r="A6" s="5" t="s">
        <v>20</v>
      </c>
      <c r="B6" s="43">
        <v>-4.1760232547360499E-2</v>
      </c>
      <c r="C6" s="43">
        <v>-6.6277814143714905E-2</v>
      </c>
      <c r="D6" s="44"/>
      <c r="E6" s="43">
        <v>-4.74716361793363E-2</v>
      </c>
      <c r="F6" s="15">
        <v>1.045397189964473</v>
      </c>
      <c r="G6" s="15">
        <v>4.5222851684946201</v>
      </c>
      <c r="H6" s="15">
        <v>2.1335248576486401</v>
      </c>
      <c r="I6" s="15">
        <v>2.3887603108459801</v>
      </c>
      <c r="J6" s="15">
        <f t="shared" si="0"/>
        <v>-0.25523545319733998</v>
      </c>
      <c r="K6" s="15">
        <f t="shared" si="1"/>
        <v>0.47178025669682583</v>
      </c>
      <c r="AK6" s="5" t="s">
        <v>104</v>
      </c>
      <c r="AL6" s="9">
        <v>1.0239451393319936</v>
      </c>
      <c r="AM6" s="13">
        <v>19.594840851392899</v>
      </c>
      <c r="AN6">
        <v>5.5209579590505999</v>
      </c>
      <c r="AO6">
        <v>14.073882892342301</v>
      </c>
      <c r="AR6" s="5" t="s">
        <v>26</v>
      </c>
      <c r="AS6" s="42">
        <v>8.8732929175135894E-2</v>
      </c>
      <c r="AT6" s="15">
        <v>1.0119508062412015</v>
      </c>
      <c r="AU6" s="15">
        <v>-1.9243966466520197</v>
      </c>
      <c r="AV6" s="15">
        <v>3.1258759015031101</v>
      </c>
      <c r="AW6" s="15">
        <v>5.0502725481551298</v>
      </c>
      <c r="AX6" s="13">
        <f>AW6/AY6</f>
        <v>0.61768356815564218</v>
      </c>
      <c r="AY6" s="15">
        <v>8.1761484496582497</v>
      </c>
      <c r="AZ6" s="13">
        <f>AV6/AY6</f>
        <v>0.3823164318443566</v>
      </c>
      <c r="BB6" s="5" t="s">
        <v>28</v>
      </c>
      <c r="BC6" s="42">
        <v>5.5397551503622099E-2</v>
      </c>
      <c r="BD6" s="15">
        <v>1.0239451393319936</v>
      </c>
      <c r="BE6" s="15">
        <v>-8.5529249332917008</v>
      </c>
      <c r="BF6" s="13">
        <v>0.28175569278268175</v>
      </c>
      <c r="BG6" s="15">
        <v>5.5209579590505999</v>
      </c>
      <c r="BH6" s="15">
        <v>14.073882892342301</v>
      </c>
      <c r="BJ6" s="13">
        <v>0.71824430721731836</v>
      </c>
      <c r="BK6" s="15">
        <v>19.594840851392899</v>
      </c>
    </row>
    <row r="7" spans="1:63" x14ac:dyDescent="0.25">
      <c r="A7" s="5" t="s">
        <v>19</v>
      </c>
      <c r="B7" s="43">
        <v>-7.8588218215967606E-2</v>
      </c>
      <c r="C7" s="43">
        <v>-0.161754895727207</v>
      </c>
      <c r="D7" s="42">
        <v>6.7271555006068101E-2</v>
      </c>
      <c r="E7" s="42">
        <v>5.9760012226563401E-2</v>
      </c>
      <c r="F7" s="15">
        <v>1.045397189964473</v>
      </c>
      <c r="G7" s="15">
        <v>4.5222851684946201</v>
      </c>
      <c r="H7" s="15">
        <v>2.1335248576486401</v>
      </c>
      <c r="I7" s="15">
        <v>2.3887603108459801</v>
      </c>
      <c r="J7" s="15">
        <f t="shared" si="0"/>
        <v>-0.25523545319733998</v>
      </c>
      <c r="K7" s="15">
        <f t="shared" si="1"/>
        <v>0.47178025669682583</v>
      </c>
      <c r="AK7" s="5" t="s">
        <v>105</v>
      </c>
      <c r="AL7" s="9">
        <v>1.0275460447393339</v>
      </c>
      <c r="AM7" s="13">
        <v>17.2552427011953</v>
      </c>
      <c r="AN7">
        <v>5.1821136906510699</v>
      </c>
      <c r="AO7">
        <v>12.0731290105442</v>
      </c>
      <c r="AR7" s="5" t="s">
        <v>28</v>
      </c>
      <c r="AS7" s="42">
        <v>0.10415722716452799</v>
      </c>
      <c r="AT7" s="15">
        <v>1.0239451393319936</v>
      </c>
      <c r="AU7" s="15">
        <v>-8.5529249332917008</v>
      </c>
      <c r="AV7" s="15">
        <v>5.5209579590505999</v>
      </c>
      <c r="AW7" s="15">
        <v>14.073882892342301</v>
      </c>
      <c r="AX7" s="13">
        <f>AW7/AY7</f>
        <v>0.71824430721731836</v>
      </c>
      <c r="AY7" s="15">
        <v>19.594840851392899</v>
      </c>
      <c r="AZ7" s="13">
        <f>AV7/AY7</f>
        <v>0.28175569278268175</v>
      </c>
      <c r="BB7" s="5" t="s">
        <v>29</v>
      </c>
      <c r="BC7" s="42">
        <v>6.9883057908481996E-2</v>
      </c>
      <c r="BD7" s="15">
        <v>1.0275460447393339</v>
      </c>
      <c r="BE7" s="15">
        <v>-6.8910153198931301</v>
      </c>
      <c r="BF7" s="13">
        <v>0.30032111285760682</v>
      </c>
      <c r="BG7" s="15">
        <v>5.1821136906510699</v>
      </c>
      <c r="BH7" s="15">
        <v>12.0731290105442</v>
      </c>
      <c r="BJ7" s="13">
        <v>0.69967888714239146</v>
      </c>
      <c r="BK7" s="15">
        <v>17.2552427011953</v>
      </c>
    </row>
    <row r="8" spans="1:63" x14ac:dyDescent="0.25">
      <c r="A8" s="5" t="s">
        <v>23</v>
      </c>
      <c r="B8" s="44"/>
      <c r="C8" s="44"/>
      <c r="D8" s="42">
        <v>0.11077055296162799</v>
      </c>
      <c r="E8" s="44"/>
      <c r="F8" s="15">
        <v>1.0078290838208943</v>
      </c>
      <c r="G8" s="15">
        <v>2.4954469283408098</v>
      </c>
      <c r="H8" s="15">
        <v>1.8447691432308699</v>
      </c>
      <c r="I8" s="15">
        <v>0.650677785109948</v>
      </c>
      <c r="J8" s="15">
        <f t="shared" si="0"/>
        <v>1.194091358120922</v>
      </c>
      <c r="K8" s="15">
        <f t="shared" si="1"/>
        <v>0.73925400788123874</v>
      </c>
      <c r="AK8" s="5" t="s">
        <v>106</v>
      </c>
      <c r="AL8" s="9">
        <v>1.0275826446035865</v>
      </c>
      <c r="AM8" s="13">
        <v>17.024424898784201</v>
      </c>
      <c r="AN8">
        <v>6.3491431999578403</v>
      </c>
      <c r="AO8">
        <v>10.675281698826399</v>
      </c>
      <c r="AR8" s="5" t="s">
        <v>29</v>
      </c>
      <c r="AS8" s="42">
        <v>4.66251429291673E-2</v>
      </c>
      <c r="AT8" s="15">
        <v>1.0275460447393339</v>
      </c>
      <c r="AU8" s="15">
        <v>-6.8910153198931301</v>
      </c>
      <c r="AV8" s="15">
        <v>5.1821136906510699</v>
      </c>
      <c r="AW8" s="15">
        <v>12.0731290105442</v>
      </c>
      <c r="AX8" s="13">
        <f>AW8/AY8</f>
        <v>0.69967888714239146</v>
      </c>
      <c r="AY8" s="15">
        <v>17.2552427011953</v>
      </c>
      <c r="AZ8" s="13">
        <f>AV8/AY8</f>
        <v>0.30032111285760682</v>
      </c>
      <c r="BB8" s="5" t="s">
        <v>30</v>
      </c>
      <c r="BC8" s="42">
        <v>7.8645648239850305E-2</v>
      </c>
      <c r="BD8" s="15">
        <v>1.0275826446035865</v>
      </c>
      <c r="BE8" s="15">
        <v>-4.3261384988685592</v>
      </c>
      <c r="BF8" s="13">
        <v>0.37294318238093693</v>
      </c>
      <c r="BG8" s="15">
        <v>6.3491431999578403</v>
      </c>
      <c r="BH8" s="15">
        <v>10.675281698826399</v>
      </c>
      <c r="BJ8" s="13">
        <v>0.62705681761906529</v>
      </c>
      <c r="BK8" s="15">
        <v>17.024424898784201</v>
      </c>
    </row>
    <row r="9" spans="1:63" x14ac:dyDescent="0.25">
      <c r="A9" s="5" t="s">
        <v>26</v>
      </c>
      <c r="B9" s="42">
        <v>8.8732929175135894E-2</v>
      </c>
      <c r="C9" s="44"/>
      <c r="D9" s="42">
        <v>0.15621819275209001</v>
      </c>
      <c r="E9" s="42">
        <v>1.20306787922476E-2</v>
      </c>
      <c r="F9" s="15">
        <v>1.0119508062412015</v>
      </c>
      <c r="G9" s="15">
        <v>8.1761484496582497</v>
      </c>
      <c r="H9" s="15">
        <v>3.1258759015031101</v>
      </c>
      <c r="I9" s="15">
        <v>5.0502725481551298</v>
      </c>
      <c r="J9" s="15">
        <f t="shared" si="0"/>
        <v>-1.9243966466520197</v>
      </c>
      <c r="K9" s="15">
        <f t="shared" si="1"/>
        <v>0.3823164318443566</v>
      </c>
      <c r="AK9" s="5" t="s">
        <v>107</v>
      </c>
      <c r="AL9" s="9">
        <v>1.0572093304532362</v>
      </c>
      <c r="AM9" s="13">
        <v>15.1069524712688</v>
      </c>
      <c r="AN9">
        <v>3.20845082384478</v>
      </c>
      <c r="AO9">
        <v>11.898501647424</v>
      </c>
      <c r="AR9" s="5" t="s">
        <v>30</v>
      </c>
      <c r="AS9" s="42">
        <v>9.0894558490112708E-3</v>
      </c>
      <c r="AT9" s="15">
        <v>1.0275826446035865</v>
      </c>
      <c r="AU9" s="15">
        <v>-4.3261384988685592</v>
      </c>
      <c r="AV9" s="15">
        <v>6.3491431999578403</v>
      </c>
      <c r="AW9" s="15">
        <v>10.675281698826399</v>
      </c>
      <c r="AX9" s="13">
        <f>AW9/AY9</f>
        <v>0.62705681761906529</v>
      </c>
      <c r="AY9" s="15">
        <v>17.024424898784201</v>
      </c>
      <c r="AZ9" s="13">
        <f>AV9/AY9</f>
        <v>0.37294318238093693</v>
      </c>
      <c r="BB9" s="5" t="s">
        <v>33</v>
      </c>
      <c r="BC9" s="42">
        <v>0.101236914763633</v>
      </c>
      <c r="BD9" s="15">
        <v>1.111235100018195</v>
      </c>
      <c r="BE9" s="15">
        <v>-7.4420412056407592</v>
      </c>
      <c r="BF9" s="13">
        <v>0.33053886576304825</v>
      </c>
      <c r="BG9" s="15">
        <v>7.2579587943592401</v>
      </c>
      <c r="BH9" s="15">
        <v>14.7</v>
      </c>
      <c r="BJ9" s="13">
        <v>0.66946113423695353</v>
      </c>
      <c r="BK9" s="15">
        <v>21.9579587943592</v>
      </c>
    </row>
    <row r="10" spans="1:63" x14ac:dyDescent="0.25">
      <c r="A10" s="5" t="s">
        <v>28</v>
      </c>
      <c r="B10" s="42">
        <v>0.10415722716452799</v>
      </c>
      <c r="C10" s="44"/>
      <c r="D10" s="42">
        <v>5.5397551503622099E-2</v>
      </c>
      <c r="E10" s="42">
        <v>2.8615745110634201E-2</v>
      </c>
      <c r="F10" s="15">
        <v>1.0239451393319936</v>
      </c>
      <c r="G10" s="15">
        <v>19.594840851392899</v>
      </c>
      <c r="H10" s="15">
        <v>5.5209579590505999</v>
      </c>
      <c r="I10" s="15">
        <v>14.073882892342301</v>
      </c>
      <c r="J10" s="15">
        <f t="shared" si="0"/>
        <v>-8.5529249332917008</v>
      </c>
      <c r="K10" s="15">
        <f t="shared" si="1"/>
        <v>0.28175569278268175</v>
      </c>
      <c r="AK10" s="5" t="s">
        <v>108</v>
      </c>
      <c r="AL10" s="9">
        <v>1.111235100018195</v>
      </c>
      <c r="AM10" s="13">
        <v>21.9579587943592</v>
      </c>
      <c r="AN10">
        <v>7.2579587943592401</v>
      </c>
      <c r="AO10">
        <v>14.7</v>
      </c>
      <c r="AR10" s="5" t="s">
        <v>33</v>
      </c>
      <c r="AS10" s="42">
        <v>2.0373962034653699E-2</v>
      </c>
      <c r="AT10" s="15">
        <v>1.111235100018195</v>
      </c>
      <c r="AU10" s="15">
        <v>-7.4420412056407592</v>
      </c>
      <c r="AV10" s="15">
        <v>7.2579587943592401</v>
      </c>
      <c r="AW10" s="15">
        <v>14.7</v>
      </c>
      <c r="AX10" s="13">
        <f>AW10/AY10</f>
        <v>0.66946113423695353</v>
      </c>
      <c r="AY10" s="15">
        <v>21.9579587943592</v>
      </c>
      <c r="AZ10" s="13">
        <f>AV10/AY10</f>
        <v>0.33053886576304825</v>
      </c>
    </row>
    <row r="11" spans="1:63" x14ac:dyDescent="0.25">
      <c r="A11" s="5" t="s">
        <v>29</v>
      </c>
      <c r="B11" s="42">
        <v>4.66251429291673E-2</v>
      </c>
      <c r="C11" s="44"/>
      <c r="D11" s="42">
        <v>6.9883057908481996E-2</v>
      </c>
      <c r="E11" s="42">
        <v>4.4113621235337297E-2</v>
      </c>
      <c r="F11" s="15">
        <v>1.0275460447393339</v>
      </c>
      <c r="G11" s="15">
        <v>17.2552427011953</v>
      </c>
      <c r="H11" s="15">
        <v>5.1821136906510699</v>
      </c>
      <c r="I11" s="15">
        <v>12.0731290105442</v>
      </c>
      <c r="J11" s="15">
        <f t="shared" si="0"/>
        <v>-6.8910153198931301</v>
      </c>
      <c r="K11" s="15">
        <f t="shared" si="1"/>
        <v>0.30032111285760682</v>
      </c>
      <c r="AK11" s="5" t="s">
        <v>109</v>
      </c>
      <c r="AL11" s="9">
        <v>1.0519758315193652</v>
      </c>
      <c r="AM11" s="13">
        <v>16.640165980770899</v>
      </c>
      <c r="AN11">
        <v>4.2170406154913396</v>
      </c>
      <c r="AO11">
        <v>12.423125365279599</v>
      </c>
    </row>
    <row r="12" spans="1:63" ht="15.75" thickBot="1" x14ac:dyDescent="0.3">
      <c r="A12" s="5" t="s">
        <v>30</v>
      </c>
      <c r="B12" s="42">
        <v>9.0894558490112708E-3</v>
      </c>
      <c r="C12" s="44"/>
      <c r="D12" s="42">
        <v>7.8645648239850305E-2</v>
      </c>
      <c r="E12" s="43">
        <v>-8.0536265843332393E-3</v>
      </c>
      <c r="F12" s="15">
        <v>1.0275826446035865</v>
      </c>
      <c r="G12" s="15">
        <v>17.024424898784201</v>
      </c>
      <c r="H12" s="15">
        <v>6.3491431999578403</v>
      </c>
      <c r="I12" s="15">
        <v>10.675281698826399</v>
      </c>
      <c r="J12" s="15">
        <f t="shared" si="0"/>
        <v>-4.3261384988685592</v>
      </c>
      <c r="K12" s="15">
        <f t="shared" si="1"/>
        <v>0.37294318238093693</v>
      </c>
      <c r="AK12" t="s">
        <v>115</v>
      </c>
      <c r="AL12">
        <v>1.1737788669959499</v>
      </c>
      <c r="AM12">
        <v>4</v>
      </c>
      <c r="AN12">
        <v>1.25</v>
      </c>
      <c r="AO12">
        <v>2.75</v>
      </c>
    </row>
    <row r="13" spans="1:63" x14ac:dyDescent="0.25">
      <c r="A13" s="5" t="s">
        <v>33</v>
      </c>
      <c r="B13" s="42">
        <v>2.0373962034653699E-2</v>
      </c>
      <c r="C13" s="44"/>
      <c r="D13" s="42">
        <v>0.101236914763633</v>
      </c>
      <c r="E13" s="42">
        <v>2.7450804091866201E-2</v>
      </c>
      <c r="F13" s="15">
        <v>1.111235100018195</v>
      </c>
      <c r="G13" s="15">
        <v>21.9579587943592</v>
      </c>
      <c r="H13" s="15">
        <v>7.2579587943592401</v>
      </c>
      <c r="I13" s="15">
        <v>14.7</v>
      </c>
      <c r="J13" s="15">
        <f t="shared" si="0"/>
        <v>-7.4420412056407592</v>
      </c>
      <c r="K13" s="15">
        <f t="shared" si="1"/>
        <v>0.33053886576304825</v>
      </c>
      <c r="AK13" t="s">
        <v>116</v>
      </c>
      <c r="AL13">
        <v>1.01827696825768</v>
      </c>
      <c r="AM13">
        <v>1.1385255280790201</v>
      </c>
      <c r="AN13">
        <v>0.25</v>
      </c>
      <c r="AO13">
        <v>0.88852552807902296</v>
      </c>
      <c r="AR13" s="60" t="s">
        <v>62</v>
      </c>
      <c r="AS13" s="60"/>
      <c r="BB13" s="60" t="s">
        <v>62</v>
      </c>
      <c r="BC13" s="60"/>
    </row>
    <row r="14" spans="1:63" x14ac:dyDescent="0.25">
      <c r="A14" s="5" t="s">
        <v>37</v>
      </c>
      <c r="B14" s="42">
        <v>0.14608753400636901</v>
      </c>
      <c r="C14" s="44"/>
      <c r="D14" s="42">
        <v>6.8212961854365706E-2</v>
      </c>
      <c r="E14" s="43">
        <v>-4.2076076707890497E-3</v>
      </c>
      <c r="F14" s="15">
        <v>1.0078290838208943</v>
      </c>
      <c r="G14" s="15">
        <v>2.4954469283408098</v>
      </c>
      <c r="H14" s="15">
        <v>1.8447691432308699</v>
      </c>
      <c r="I14" s="15">
        <v>0.650677785109948</v>
      </c>
      <c r="J14" s="15">
        <f t="shared" si="0"/>
        <v>1.194091358120922</v>
      </c>
      <c r="K14" s="15">
        <f t="shared" si="1"/>
        <v>0.73925400788123874</v>
      </c>
      <c r="AK14" t="s">
        <v>117</v>
      </c>
      <c r="AL14">
        <v>1</v>
      </c>
      <c r="AM14">
        <v>0</v>
      </c>
      <c r="AN14">
        <v>0</v>
      </c>
      <c r="AO14">
        <v>0</v>
      </c>
      <c r="AR14" s="57" t="s">
        <v>63</v>
      </c>
      <c r="AS14" s="57">
        <v>0.29567049836309817</v>
      </c>
      <c r="BB14" s="57" t="s">
        <v>63</v>
      </c>
      <c r="BC14" s="57">
        <v>0.85582878233347637</v>
      </c>
    </row>
    <row r="15" spans="1:63" x14ac:dyDescent="0.25">
      <c r="A15" s="5" t="s">
        <v>42</v>
      </c>
      <c r="B15" s="45">
        <v>1.0119527368219401E-2</v>
      </c>
      <c r="C15" s="44"/>
      <c r="D15" s="42">
        <v>9.9852529707758195E-2</v>
      </c>
      <c r="E15" s="42">
        <v>4.4857179056258203E-2</v>
      </c>
      <c r="F15" s="15">
        <v>1.0239451393319936</v>
      </c>
      <c r="G15" s="15">
        <v>19.594840851392899</v>
      </c>
      <c r="H15" s="15">
        <v>5.5209579590505999</v>
      </c>
      <c r="I15" s="15">
        <v>14.073882892342301</v>
      </c>
      <c r="J15" s="15">
        <f>H15-I15</f>
        <v>-8.5529249332917008</v>
      </c>
      <c r="K15" s="15">
        <f t="shared" si="1"/>
        <v>0.28175569278268175</v>
      </c>
      <c r="AK15" t="s">
        <v>118</v>
      </c>
      <c r="AL15">
        <v>1.0453971899644701</v>
      </c>
      <c r="AM15">
        <v>4.5222851684946201</v>
      </c>
      <c r="AN15">
        <v>2.1335248576486401</v>
      </c>
      <c r="AO15">
        <v>2.3887603108459801</v>
      </c>
      <c r="AR15" s="57" t="s">
        <v>64</v>
      </c>
      <c r="AS15" s="57">
        <v>8.7421043602282839E-2</v>
      </c>
      <c r="BB15" s="57" t="s">
        <v>64</v>
      </c>
      <c r="BC15" s="57">
        <v>0.73244290467040096</v>
      </c>
    </row>
    <row r="16" spans="1:63" x14ac:dyDescent="0.25">
      <c r="A16" s="5" t="s">
        <v>43</v>
      </c>
      <c r="B16" s="42">
        <v>4.5646344187588998E-2</v>
      </c>
      <c r="C16" s="44"/>
      <c r="D16" s="42">
        <v>5.5815481283492403E-2</v>
      </c>
      <c r="E16" s="42">
        <v>7.6664996000854094E-2</v>
      </c>
      <c r="F16" s="15">
        <v>1.0275460447393339</v>
      </c>
      <c r="G16" s="15">
        <v>17.2552427011953</v>
      </c>
      <c r="H16" s="15">
        <v>5.1821136906510699</v>
      </c>
      <c r="I16" s="15">
        <v>12.0731290105442</v>
      </c>
      <c r="J16" s="15">
        <f t="shared" si="0"/>
        <v>-6.8910153198931301</v>
      </c>
      <c r="K16" s="15">
        <f t="shared" si="1"/>
        <v>0.30032111285760682</v>
      </c>
      <c r="AR16" s="57" t="s">
        <v>65</v>
      </c>
      <c r="AS16" s="57">
        <v>-0.21677194186362289</v>
      </c>
      <c r="BB16" s="57" t="s">
        <v>65</v>
      </c>
      <c r="BC16" s="57">
        <v>0.62542006653856141</v>
      </c>
    </row>
    <row r="17" spans="1:62" x14ac:dyDescent="0.25">
      <c r="A17" s="5" t="s">
        <v>44</v>
      </c>
      <c r="B17" s="42">
        <v>1.47909285306715E-2</v>
      </c>
      <c r="C17" s="44"/>
      <c r="D17" s="42">
        <v>9.5391388976058394E-2</v>
      </c>
      <c r="E17" s="42">
        <v>2.1219861817338499E-2</v>
      </c>
      <c r="F17" s="15">
        <v>1.0275826446035865</v>
      </c>
      <c r="G17" s="15">
        <v>17.024424898784201</v>
      </c>
      <c r="H17" s="15">
        <v>6.3491431999578403</v>
      </c>
      <c r="I17" s="15">
        <v>10.675281698826399</v>
      </c>
      <c r="J17" s="15">
        <f t="shared" si="0"/>
        <v>-4.3261384988685592</v>
      </c>
      <c r="K17" s="15">
        <f t="shared" si="1"/>
        <v>0.37294318238093693</v>
      </c>
      <c r="AR17" s="57" t="s">
        <v>66</v>
      </c>
      <c r="AS17" s="57">
        <v>8.8792906702837807E-2</v>
      </c>
      <c r="BB17" s="57" t="s">
        <v>66</v>
      </c>
      <c r="BC17" s="57">
        <v>1.8767280512430116E-2</v>
      </c>
    </row>
    <row r="18" spans="1:62" ht="15.75" thickBot="1" x14ac:dyDescent="0.3">
      <c r="A18" s="5" t="s">
        <v>46</v>
      </c>
      <c r="B18" s="42">
        <v>2.0282132481243099E-2</v>
      </c>
      <c r="C18" s="44"/>
      <c r="D18" s="42">
        <v>0.115227328160236</v>
      </c>
      <c r="E18" s="42">
        <v>3.1629539106965802E-2</v>
      </c>
      <c r="F18" s="15">
        <v>1.0572093304532362</v>
      </c>
      <c r="G18" s="15">
        <v>15.1069524712688</v>
      </c>
      <c r="H18" s="15">
        <v>3.20845082384478</v>
      </c>
      <c r="I18" s="15">
        <v>11.898501647424</v>
      </c>
      <c r="J18" s="15">
        <f t="shared" si="0"/>
        <v>-8.6900508235792202</v>
      </c>
      <c r="K18" s="15">
        <f>H18/G18</f>
        <v>0.21238240008676676</v>
      </c>
      <c r="AR18" s="58" t="s">
        <v>67</v>
      </c>
      <c r="AS18" s="58">
        <v>9</v>
      </c>
      <c r="BB18" s="58" t="s">
        <v>67</v>
      </c>
      <c r="BC18" s="58">
        <v>8</v>
      </c>
    </row>
    <row r="19" spans="1:62" x14ac:dyDescent="0.25">
      <c r="A19" s="5" t="s">
        <v>47</v>
      </c>
      <c r="B19" s="42">
        <v>3.6679485231980898E-2</v>
      </c>
      <c r="C19" s="44"/>
      <c r="D19" s="42">
        <v>0.157732693122626</v>
      </c>
      <c r="E19" s="42">
        <v>4.3964016574286002E-2</v>
      </c>
      <c r="F19" s="15">
        <v>1.111235100018195</v>
      </c>
      <c r="G19" s="15">
        <v>21.9579587943592</v>
      </c>
      <c r="H19" s="15">
        <v>7.2579587943592401</v>
      </c>
      <c r="I19" s="15">
        <v>14.7</v>
      </c>
      <c r="J19" s="15">
        <f t="shared" si="0"/>
        <v>-7.4420412056407592</v>
      </c>
      <c r="K19" s="15">
        <f t="shared" si="1"/>
        <v>0.33053886576304825</v>
      </c>
    </row>
    <row r="20" spans="1:62" ht="15.75" thickBot="1" x14ac:dyDescent="0.3">
      <c r="A20" s="5" t="s">
        <v>48</v>
      </c>
      <c r="B20" s="42">
        <v>7.7980025652416296E-2</v>
      </c>
      <c r="C20" s="44"/>
      <c r="D20" s="42">
        <v>0.121156039239802</v>
      </c>
      <c r="E20" s="42">
        <v>5.3048699734524599E-2</v>
      </c>
      <c r="F20" s="15">
        <v>1.0519758315193652</v>
      </c>
      <c r="G20" s="15">
        <v>16.640165980770899</v>
      </c>
      <c r="H20" s="15">
        <v>4.2170406154913396</v>
      </c>
      <c r="I20" s="15">
        <v>12.423125365279599</v>
      </c>
      <c r="J20" s="15">
        <f t="shared" si="0"/>
        <v>-8.2060847497882605</v>
      </c>
      <c r="K20" s="15">
        <f t="shared" si="1"/>
        <v>0.25342539373492318</v>
      </c>
      <c r="AR20" t="s">
        <v>68</v>
      </c>
      <c r="BB20" t="s">
        <v>68</v>
      </c>
    </row>
    <row r="21" spans="1:62" x14ac:dyDescent="0.25">
      <c r="K21" s="15"/>
      <c r="AR21" s="59"/>
      <c r="AS21" s="59" t="s">
        <v>73</v>
      </c>
      <c r="AT21" s="59" t="s">
        <v>74</v>
      </c>
      <c r="AU21" s="59" t="s">
        <v>75</v>
      </c>
      <c r="AV21" s="59" t="s">
        <v>76</v>
      </c>
      <c r="AW21" s="59" t="s">
        <v>77</v>
      </c>
      <c r="BB21" s="59"/>
      <c r="BC21" s="59" t="s">
        <v>73</v>
      </c>
      <c r="BD21" s="59" t="s">
        <v>74</v>
      </c>
      <c r="BE21" s="59" t="s">
        <v>75</v>
      </c>
      <c r="BF21" s="59" t="s">
        <v>76</v>
      </c>
      <c r="BG21" s="59" t="s">
        <v>77</v>
      </c>
    </row>
    <row r="22" spans="1:62" x14ac:dyDescent="0.25">
      <c r="A22" s="5" t="s">
        <v>99</v>
      </c>
      <c r="K22" s="15"/>
      <c r="AR22" s="57" t="s">
        <v>69</v>
      </c>
      <c r="AS22" s="57">
        <v>2</v>
      </c>
      <c r="AT22" s="57">
        <v>4.531618420030803E-3</v>
      </c>
      <c r="AU22" s="57">
        <v>2.2658092100154015E-3</v>
      </c>
      <c r="AV22" s="57">
        <v>0.28738678332239548</v>
      </c>
      <c r="AW22" s="57">
        <v>0.75999607580548589</v>
      </c>
      <c r="BB22" s="57" t="s">
        <v>69</v>
      </c>
      <c r="BC22" s="57">
        <v>2</v>
      </c>
      <c r="BD22" s="57">
        <v>4.8209208234898174E-3</v>
      </c>
      <c r="BE22" s="57">
        <v>2.4104604117449087E-3</v>
      </c>
      <c r="BF22" s="57">
        <v>6.8438000473143603</v>
      </c>
      <c r="BG22" s="57">
        <v>3.7028931578258539E-2</v>
      </c>
    </row>
    <row r="23" spans="1:62" ht="25.5" x14ac:dyDescent="0.25">
      <c r="A23" s="16" t="s">
        <v>59</v>
      </c>
      <c r="B23" s="17" t="s">
        <v>58</v>
      </c>
      <c r="C23" s="17" t="s">
        <v>94</v>
      </c>
      <c r="D23" s="17" t="s">
        <v>95</v>
      </c>
      <c r="E23" s="17" t="s">
        <v>96</v>
      </c>
      <c r="F23" s="17" t="s">
        <v>53</v>
      </c>
      <c r="G23" s="46" t="s">
        <v>110</v>
      </c>
      <c r="H23" s="46" t="s">
        <v>113</v>
      </c>
      <c r="I23" s="46" t="s">
        <v>114</v>
      </c>
      <c r="J23" s="46" t="s">
        <v>120</v>
      </c>
      <c r="K23" s="62" t="s">
        <v>125</v>
      </c>
      <c r="AR23" s="57" t="s">
        <v>70</v>
      </c>
      <c r="AS23" s="57">
        <v>6</v>
      </c>
      <c r="AT23" s="57">
        <v>4.7305081684433155E-2</v>
      </c>
      <c r="AU23" s="57">
        <v>7.8841802807388586E-3</v>
      </c>
      <c r="AV23" s="57"/>
      <c r="AW23" s="57"/>
      <c r="BB23" s="57" t="s">
        <v>70</v>
      </c>
      <c r="BC23" s="57">
        <v>5</v>
      </c>
      <c r="BD23" s="57">
        <v>1.7610540891611962E-3</v>
      </c>
      <c r="BE23" s="57">
        <v>3.5221081783223926E-4</v>
      </c>
      <c r="BF23" s="57"/>
      <c r="BG23" s="57"/>
    </row>
    <row r="24" spans="1:62" ht="15.75" thickBot="1" x14ac:dyDescent="0.3">
      <c r="A24" s="5" t="s">
        <v>11</v>
      </c>
      <c r="B24" s="42">
        <v>0.17369777575697301</v>
      </c>
      <c r="C24" s="42">
        <v>0.199680501000808</v>
      </c>
      <c r="D24" s="42">
        <v>0.13984116014494999</v>
      </c>
      <c r="E24" s="43">
        <v>1.7836570943256701E-2</v>
      </c>
      <c r="F24" s="15">
        <v>1.1737788669959504</v>
      </c>
      <c r="G24" s="15">
        <v>4</v>
      </c>
      <c r="H24" s="15">
        <v>1.25</v>
      </c>
      <c r="I24" s="15">
        <v>2.75</v>
      </c>
      <c r="J24" s="15">
        <f>H24-I24</f>
        <v>-1.5</v>
      </c>
      <c r="K24" s="15">
        <f t="shared" si="1"/>
        <v>0.3125</v>
      </c>
      <c r="AR24" s="58" t="s">
        <v>71</v>
      </c>
      <c r="AS24" s="58">
        <v>8</v>
      </c>
      <c r="AT24" s="58">
        <v>5.1836700104463958E-2</v>
      </c>
      <c r="AU24" s="58"/>
      <c r="AV24" s="58"/>
      <c r="AW24" s="58"/>
      <c r="BB24" s="58" t="s">
        <v>71</v>
      </c>
      <c r="BC24" s="58">
        <v>7</v>
      </c>
      <c r="BD24" s="58">
        <v>6.5819749126510138E-3</v>
      </c>
      <c r="BE24" s="58"/>
      <c r="BF24" s="58"/>
      <c r="BG24" s="58"/>
    </row>
    <row r="25" spans="1:62" ht="15.75" thickBot="1" x14ac:dyDescent="0.3">
      <c r="A25" s="5" t="s">
        <v>12</v>
      </c>
      <c r="B25" s="42">
        <v>9.9143945152060597E-2</v>
      </c>
      <c r="C25" s="42">
        <v>0.12535086320927399</v>
      </c>
      <c r="D25" s="42">
        <v>8.9326261366187695E-2</v>
      </c>
      <c r="E25" s="43">
        <v>-0.54160608613664096</v>
      </c>
      <c r="F25" s="15">
        <v>1.0182769682576838</v>
      </c>
      <c r="G25" s="15">
        <v>1.1385255280790201</v>
      </c>
      <c r="H25" s="15">
        <v>0.25</v>
      </c>
      <c r="I25" s="15">
        <v>0.88852552807902296</v>
      </c>
      <c r="J25" s="15">
        <f t="shared" ref="J25" si="2">H25-I25</f>
        <v>-0.63852552807902296</v>
      </c>
      <c r="K25" s="15">
        <f t="shared" si="1"/>
        <v>0.2195822525137518</v>
      </c>
    </row>
    <row r="26" spans="1:62" x14ac:dyDescent="0.25">
      <c r="A26" s="5" t="s">
        <v>14</v>
      </c>
      <c r="B26" s="42">
        <v>0.14477972148899501</v>
      </c>
      <c r="C26" s="42">
        <v>0.36758406997509402</v>
      </c>
      <c r="D26" s="42">
        <v>3.0850994672477702E-2</v>
      </c>
      <c r="E26" s="42">
        <v>0.41389016217674901</v>
      </c>
      <c r="F26" s="15">
        <v>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AR26" s="59"/>
      <c r="AS26" s="59" t="s">
        <v>78</v>
      </c>
      <c r="AT26" s="59" t="s">
        <v>66</v>
      </c>
      <c r="AU26" s="59" t="s">
        <v>79</v>
      </c>
      <c r="AV26" s="59" t="s">
        <v>80</v>
      </c>
      <c r="AW26" s="59" t="s">
        <v>81</v>
      </c>
      <c r="AX26" s="59" t="s">
        <v>82</v>
      </c>
      <c r="AY26" s="59" t="s">
        <v>83</v>
      </c>
      <c r="AZ26" s="59" t="s">
        <v>84</v>
      </c>
      <c r="BB26" s="59"/>
      <c r="BC26" s="59" t="s">
        <v>78</v>
      </c>
      <c r="BD26" s="59" t="s">
        <v>66</v>
      </c>
      <c r="BE26" s="59" t="s">
        <v>79</v>
      </c>
      <c r="BF26" s="59" t="s">
        <v>80</v>
      </c>
      <c r="BG26" s="59" t="s">
        <v>81</v>
      </c>
      <c r="BH26" s="59" t="s">
        <v>82</v>
      </c>
      <c r="BI26" s="59" t="s">
        <v>83</v>
      </c>
      <c r="BJ26" s="59" t="s">
        <v>84</v>
      </c>
    </row>
    <row r="27" spans="1:62" x14ac:dyDescent="0.25">
      <c r="A27" s="5" t="s">
        <v>19</v>
      </c>
      <c r="B27" s="43">
        <v>-7.8588218215967606E-2</v>
      </c>
      <c r="C27" s="43">
        <v>-0.161754895727207</v>
      </c>
      <c r="D27" s="42">
        <v>6.7271555006068101E-2</v>
      </c>
      <c r="E27" s="42">
        <v>5.9760012226563401E-2</v>
      </c>
      <c r="F27" s="15">
        <v>1.045397189964473</v>
      </c>
      <c r="G27" s="15">
        <v>4.5222851684946201</v>
      </c>
      <c r="H27" s="15">
        <v>2.1335248576486401</v>
      </c>
      <c r="I27" s="15">
        <v>2.3887603108459801</v>
      </c>
      <c r="J27" s="15">
        <v>-0.25523545319733998</v>
      </c>
      <c r="K27" s="15">
        <f t="shared" si="1"/>
        <v>0.47178025669682583</v>
      </c>
      <c r="AR27" s="57" t="s">
        <v>72</v>
      </c>
      <c r="AS27" s="57">
        <v>-3.5209775220444675E-2</v>
      </c>
      <c r="AT27" s="57">
        <v>0.58152516562206868</v>
      </c>
      <c r="AU27" s="57">
        <v>-6.054729408447887E-2</v>
      </c>
      <c r="AV27" s="57">
        <v>0.95368614269457308</v>
      </c>
      <c r="AW27" s="57">
        <v>-1.4581505947201259</v>
      </c>
      <c r="AX27" s="57">
        <v>1.3877310442792363</v>
      </c>
      <c r="AY27" s="57">
        <v>-1.4581505947201259</v>
      </c>
      <c r="AZ27" s="57">
        <v>1.3877310442792363</v>
      </c>
      <c r="BB27" s="57" t="s">
        <v>72</v>
      </c>
      <c r="BC27" s="57">
        <v>-0.32689409363662331</v>
      </c>
      <c r="BD27" s="57">
        <v>0.12267471559175999</v>
      </c>
      <c r="BE27" s="57">
        <v>-2.6647226533988446</v>
      </c>
      <c r="BF27" s="57">
        <v>4.4630178982072201E-2</v>
      </c>
      <c r="BG27" s="57">
        <v>-0.64223948922865259</v>
      </c>
      <c r="BH27" s="57">
        <v>-1.1548698044594019E-2</v>
      </c>
      <c r="BI27" s="57">
        <v>-0.64223948922865259</v>
      </c>
      <c r="BJ27" s="57">
        <v>-1.1548698044594019E-2</v>
      </c>
    </row>
    <row r="28" spans="1:62" x14ac:dyDescent="0.25">
      <c r="A28" s="5" t="s">
        <v>37</v>
      </c>
      <c r="B28" s="42">
        <v>0.14608753400636901</v>
      </c>
      <c r="C28" s="44"/>
      <c r="D28" s="42">
        <v>6.8212961854365706E-2</v>
      </c>
      <c r="E28" s="43">
        <v>-4.2076076707890497E-3</v>
      </c>
      <c r="F28" s="15">
        <v>1.0078290838208943</v>
      </c>
      <c r="G28" s="15">
        <v>2.4954469283408098</v>
      </c>
      <c r="H28" s="15">
        <v>1.8447691432308699</v>
      </c>
      <c r="I28" s="15">
        <v>0.650677785109948</v>
      </c>
      <c r="J28" s="15">
        <f t="shared" ref="J28" si="3">H28-I28</f>
        <v>1.194091358120922</v>
      </c>
      <c r="K28" s="15">
        <f t="shared" si="1"/>
        <v>0.73925400788123874</v>
      </c>
      <c r="AR28" s="57" t="s">
        <v>53</v>
      </c>
      <c r="AS28" s="57">
        <v>0.1319824964770793</v>
      </c>
      <c r="AT28" s="57">
        <v>0.55505397347871666</v>
      </c>
      <c r="AU28" s="57">
        <v>0.23778317566109652</v>
      </c>
      <c r="AV28" s="57">
        <v>0.81996110574341941</v>
      </c>
      <c r="AW28" s="57">
        <v>-1.2261856492530983</v>
      </c>
      <c r="AX28" s="57">
        <v>1.4901506422072568</v>
      </c>
      <c r="AY28" s="57">
        <v>-1.2261856492530983</v>
      </c>
      <c r="AZ28" s="57">
        <v>1.4901506422072568</v>
      </c>
      <c r="BB28" s="57" t="s">
        <v>53</v>
      </c>
      <c r="BC28" s="57">
        <v>0.40566234813340601</v>
      </c>
      <c r="BD28" s="57">
        <v>0.11754346848379646</v>
      </c>
      <c r="BE28" s="57">
        <v>3.4511687749738913</v>
      </c>
      <c r="BF28" s="57">
        <v>1.8214687571889758E-2</v>
      </c>
      <c r="BG28" s="57">
        <v>0.10350724315126919</v>
      </c>
      <c r="BH28" s="57">
        <v>0.70781745311554278</v>
      </c>
      <c r="BI28" s="57">
        <v>0.10350724315126919</v>
      </c>
      <c r="BJ28" s="57">
        <v>0.70781745311554278</v>
      </c>
    </row>
    <row r="29" spans="1:62" ht="15.75" thickBot="1" x14ac:dyDescent="0.3">
      <c r="A29" s="5" t="s">
        <v>42</v>
      </c>
      <c r="B29" s="45">
        <v>1.0119527368219401E-2</v>
      </c>
      <c r="C29" s="44"/>
      <c r="D29" s="42">
        <v>9.9852529707758195E-2</v>
      </c>
      <c r="E29" s="42">
        <v>4.4857179056258203E-2</v>
      </c>
      <c r="F29" s="15">
        <v>1.0239451393319936</v>
      </c>
      <c r="G29" s="15">
        <v>19.594840851392899</v>
      </c>
      <c r="H29" s="15">
        <v>5.5209579590505999</v>
      </c>
      <c r="I29" s="15">
        <v>14.073882892342301</v>
      </c>
      <c r="J29" s="15">
        <f>H29-I29</f>
        <v>-8.5529249332917008</v>
      </c>
      <c r="K29" s="15">
        <f t="shared" si="1"/>
        <v>0.28175569278268175</v>
      </c>
      <c r="AR29" s="58" t="s">
        <v>120</v>
      </c>
      <c r="AS29" s="58">
        <v>6.869152354552148E-3</v>
      </c>
      <c r="AT29" s="58">
        <v>9.3467826473072908E-3</v>
      </c>
      <c r="AU29" s="58">
        <v>0.7349215889310402</v>
      </c>
      <c r="AV29" s="58">
        <v>0.49010327425155475</v>
      </c>
      <c r="AW29" s="58">
        <v>-1.6001600875220214E-2</v>
      </c>
      <c r="AX29" s="58">
        <v>2.9739905584324509E-2</v>
      </c>
      <c r="AY29" s="58">
        <v>-1.6001600875220214E-2</v>
      </c>
      <c r="AZ29" s="58">
        <v>2.9739905584324509E-2</v>
      </c>
      <c r="BB29" s="58" t="s">
        <v>120</v>
      </c>
      <c r="BC29" s="58">
        <v>3.4467300774050262E-3</v>
      </c>
      <c r="BD29" s="58">
        <v>1.8990316718521831E-3</v>
      </c>
      <c r="BE29" s="58">
        <v>1.8149934666667913</v>
      </c>
      <c r="BF29" s="58">
        <v>0.12923914396194949</v>
      </c>
      <c r="BG29" s="58">
        <v>-1.4348862435562592E-3</v>
      </c>
      <c r="BH29" s="58">
        <v>8.3283463983663125E-3</v>
      </c>
      <c r="BI29" s="58">
        <v>-1.4348862435562592E-3</v>
      </c>
      <c r="BJ29" s="58">
        <v>8.3283463983663125E-3</v>
      </c>
    </row>
    <row r="30" spans="1:62" x14ac:dyDescent="0.25">
      <c r="A30" s="5" t="s">
        <v>43</v>
      </c>
      <c r="B30" s="42">
        <v>4.5646344187588998E-2</v>
      </c>
      <c r="C30" s="44"/>
      <c r="D30" s="42">
        <v>5.5815481283492403E-2</v>
      </c>
      <c r="E30" s="42">
        <v>7.6664996000854094E-2</v>
      </c>
      <c r="F30" s="15">
        <v>1.0275460447393339</v>
      </c>
      <c r="G30" s="15">
        <v>17.2552427011953</v>
      </c>
      <c r="H30" s="15">
        <v>5.1821136906510699</v>
      </c>
      <c r="I30" s="15">
        <v>12.0731290105442</v>
      </c>
      <c r="J30" s="15">
        <f t="shared" ref="J30:J34" si="4">H30-I30</f>
        <v>-6.8910153198931301</v>
      </c>
      <c r="K30" s="15">
        <f t="shared" si="1"/>
        <v>0.30032111285760682</v>
      </c>
    </row>
    <row r="31" spans="1:62" x14ac:dyDescent="0.25">
      <c r="A31" s="5" t="s">
        <v>44</v>
      </c>
      <c r="B31" s="42">
        <v>1.47909285306715E-2</v>
      </c>
      <c r="C31" s="44"/>
      <c r="D31" s="42">
        <v>9.5391388976058394E-2</v>
      </c>
      <c r="E31" s="42">
        <v>2.1219861817338499E-2</v>
      </c>
      <c r="F31" s="15">
        <v>1.0275826446035865</v>
      </c>
      <c r="G31" s="15">
        <v>17.024424898784201</v>
      </c>
      <c r="H31" s="15">
        <v>6.3491431999578403</v>
      </c>
      <c r="I31" s="15">
        <v>10.675281698826399</v>
      </c>
      <c r="J31" s="15">
        <f t="shared" si="4"/>
        <v>-4.3261384988685592</v>
      </c>
      <c r="K31" s="15">
        <f t="shared" si="1"/>
        <v>0.37294318238093693</v>
      </c>
    </row>
    <row r="32" spans="1:62" x14ac:dyDescent="0.25">
      <c r="A32" s="5" t="s">
        <v>46</v>
      </c>
      <c r="B32" s="42">
        <v>2.0282132481243099E-2</v>
      </c>
      <c r="C32" s="44"/>
      <c r="D32" s="42">
        <v>0.115227328160236</v>
      </c>
      <c r="E32" s="42">
        <v>3.1629539106965802E-2</v>
      </c>
      <c r="F32" s="15">
        <v>1.0572093304532362</v>
      </c>
      <c r="G32" s="15">
        <v>15.1069524712688</v>
      </c>
      <c r="H32" s="15">
        <v>3.20845082384478</v>
      </c>
      <c r="I32" s="15">
        <v>11.898501647424</v>
      </c>
      <c r="J32" s="15">
        <f t="shared" si="4"/>
        <v>-8.6900508235792202</v>
      </c>
      <c r="K32" s="15">
        <f t="shared" si="1"/>
        <v>0.21238240008676676</v>
      </c>
    </row>
    <row r="33" spans="1:62" x14ac:dyDescent="0.25">
      <c r="A33" s="5" t="s">
        <v>47</v>
      </c>
      <c r="B33" s="42">
        <v>3.6679485231980898E-2</v>
      </c>
      <c r="C33" s="44"/>
      <c r="D33" s="42">
        <v>0.157732693122626</v>
      </c>
      <c r="E33" s="42">
        <v>4.3964016574286002E-2</v>
      </c>
      <c r="F33" s="15">
        <v>1.111235100018195</v>
      </c>
      <c r="G33" s="15">
        <v>21.9579587943592</v>
      </c>
      <c r="H33" s="15">
        <v>7.2579587943592401</v>
      </c>
      <c r="I33" s="15">
        <v>14.7</v>
      </c>
      <c r="J33" s="15">
        <f t="shared" si="4"/>
        <v>-7.4420412056407592</v>
      </c>
      <c r="K33" s="15">
        <f t="shared" si="1"/>
        <v>0.33053886576304825</v>
      </c>
    </row>
    <row r="34" spans="1:62" ht="15.75" thickBot="1" x14ac:dyDescent="0.3">
      <c r="A34" s="5" t="s">
        <v>48</v>
      </c>
      <c r="B34" s="42">
        <v>7.7980025652416296E-2</v>
      </c>
      <c r="C34" s="44"/>
      <c r="D34" s="42">
        <v>0.121156039239802</v>
      </c>
      <c r="E34" s="42">
        <v>5.3048699734524599E-2</v>
      </c>
      <c r="F34" s="15">
        <v>1.0519758315193652</v>
      </c>
      <c r="G34" s="15">
        <v>16.640165980770899</v>
      </c>
      <c r="H34" s="15">
        <v>4.2170406154913396</v>
      </c>
      <c r="I34" s="15">
        <v>12.423125365279599</v>
      </c>
      <c r="J34" s="15">
        <f t="shared" si="4"/>
        <v>-8.2060847497882605</v>
      </c>
      <c r="K34" s="15">
        <f t="shared" si="1"/>
        <v>0.25342539373492318</v>
      </c>
    </row>
    <row r="35" spans="1:62" x14ac:dyDescent="0.25">
      <c r="K35" s="15"/>
      <c r="AR35" s="60" t="s">
        <v>62</v>
      </c>
      <c r="AS35" s="60"/>
      <c r="BB35" s="60" t="s">
        <v>62</v>
      </c>
      <c r="BC35" s="60"/>
    </row>
    <row r="36" spans="1:62" x14ac:dyDescent="0.25">
      <c r="A36" s="5" t="s">
        <v>98</v>
      </c>
      <c r="K36" s="15"/>
      <c r="AR36" s="57" t="s">
        <v>63</v>
      </c>
      <c r="AS36" s="57">
        <v>0.48937075406756869</v>
      </c>
      <c r="BB36" s="57" t="s">
        <v>63</v>
      </c>
      <c r="BC36" s="57">
        <v>0.80843962775308564</v>
      </c>
    </row>
    <row r="37" spans="1:62" ht="25.5" x14ac:dyDescent="0.25">
      <c r="A37" s="16" t="s">
        <v>59</v>
      </c>
      <c r="B37" s="17" t="s">
        <v>58</v>
      </c>
      <c r="C37" s="17" t="s">
        <v>94</v>
      </c>
      <c r="D37" s="17" t="s">
        <v>95</v>
      </c>
      <c r="E37" s="17" t="s">
        <v>96</v>
      </c>
      <c r="F37" s="17" t="s">
        <v>53</v>
      </c>
      <c r="G37" s="46" t="s">
        <v>110</v>
      </c>
      <c r="H37" s="46" t="s">
        <v>113</v>
      </c>
      <c r="I37" s="46" t="s">
        <v>114</v>
      </c>
      <c r="J37" s="46" t="s">
        <v>120</v>
      </c>
      <c r="K37" s="62" t="s">
        <v>125</v>
      </c>
      <c r="AR37" s="57" t="s">
        <v>64</v>
      </c>
      <c r="AS37" s="57">
        <v>0.23948373493666078</v>
      </c>
      <c r="BB37" s="57" t="s">
        <v>64</v>
      </c>
      <c r="BC37" s="57">
        <v>0.65357463172154762</v>
      </c>
    </row>
    <row r="38" spans="1:62" x14ac:dyDescent="0.25">
      <c r="A38" s="5" t="s">
        <v>11</v>
      </c>
      <c r="B38" s="42">
        <v>0.17369777575697301</v>
      </c>
      <c r="C38" s="42">
        <v>0.199680501000808</v>
      </c>
      <c r="D38" s="42">
        <v>0.13984116014494999</v>
      </c>
      <c r="E38" s="43">
        <v>1.7836570943256701E-2</v>
      </c>
      <c r="F38" s="15">
        <v>1.1737788669959504</v>
      </c>
      <c r="G38" s="15">
        <v>4</v>
      </c>
      <c r="H38" s="15">
        <v>1.25</v>
      </c>
      <c r="I38" s="15">
        <v>2.75</v>
      </c>
      <c r="J38" s="15">
        <v>-1.5</v>
      </c>
      <c r="K38" s="15">
        <f t="shared" si="1"/>
        <v>0.3125</v>
      </c>
      <c r="AR38" s="57" t="s">
        <v>65</v>
      </c>
      <c r="AS38" s="57">
        <v>-1.4021686751118959E-2</v>
      </c>
      <c r="BB38" s="57" t="s">
        <v>65</v>
      </c>
      <c r="BC38" s="57">
        <v>0.51500448441016666</v>
      </c>
    </row>
    <row r="39" spans="1:62" x14ac:dyDescent="0.25">
      <c r="A39" s="5" t="s">
        <v>12</v>
      </c>
      <c r="B39" s="42">
        <v>9.9143945152060597E-2</v>
      </c>
      <c r="C39" s="42">
        <v>0.12535086320927399</v>
      </c>
      <c r="D39" s="42">
        <v>8.9326261366187695E-2</v>
      </c>
      <c r="E39" s="43">
        <v>-0.54160608613664096</v>
      </c>
      <c r="F39" s="15">
        <v>1.0182769682576838</v>
      </c>
      <c r="G39" s="15">
        <v>1.1385255280790201</v>
      </c>
      <c r="H39" s="15">
        <v>0.25</v>
      </c>
      <c r="I39" s="15">
        <v>0.88852552807902296</v>
      </c>
      <c r="J39" s="15">
        <v>-0.63852552807902296</v>
      </c>
      <c r="K39" s="15">
        <f t="shared" si="1"/>
        <v>0.2195822525137518</v>
      </c>
      <c r="AR39" s="57" t="s">
        <v>66</v>
      </c>
      <c r="AS39" s="57">
        <v>8.1058264596785917E-2</v>
      </c>
      <c r="BB39" s="57" t="s">
        <v>66</v>
      </c>
      <c r="BC39" s="57">
        <v>2.1354920197063074E-2</v>
      </c>
    </row>
    <row r="40" spans="1:62" ht="15.75" thickBot="1" x14ac:dyDescent="0.3">
      <c r="A40" s="5" t="s">
        <v>13</v>
      </c>
      <c r="B40" s="42">
        <v>0.21234239309632399</v>
      </c>
      <c r="C40" s="42">
        <v>0.42964915677977999</v>
      </c>
      <c r="D40" s="42">
        <v>4.6283799610675601E-2</v>
      </c>
      <c r="E40" s="43">
        <v>-0.17637365181995501</v>
      </c>
      <c r="F40" s="15">
        <v>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AR40" s="58" t="s">
        <v>67</v>
      </c>
      <c r="AS40" s="58">
        <v>9</v>
      </c>
      <c r="BB40" s="58" t="s">
        <v>67</v>
      </c>
      <c r="BC40" s="58">
        <v>8</v>
      </c>
    </row>
    <row r="41" spans="1:62" x14ac:dyDescent="0.25">
      <c r="A41" s="5" t="s">
        <v>20</v>
      </c>
      <c r="B41" s="43">
        <v>-4.1760232547360499E-2</v>
      </c>
      <c r="C41" s="43">
        <v>-6.6277814143714905E-2</v>
      </c>
      <c r="D41" s="44"/>
      <c r="E41" s="43">
        <v>-4.74716361793363E-2</v>
      </c>
      <c r="F41" s="15">
        <v>1.045397189964473</v>
      </c>
      <c r="G41" s="15">
        <v>4.5222851684946201</v>
      </c>
      <c r="H41" s="15">
        <v>2.1335248576486401</v>
      </c>
      <c r="I41" s="15">
        <v>2.3887603108459801</v>
      </c>
      <c r="J41" s="15">
        <v>-0.25523545319733998</v>
      </c>
      <c r="K41" s="15">
        <f t="shared" si="1"/>
        <v>0.47178025669682583</v>
      </c>
    </row>
    <row r="42" spans="1:62" ht="15.75" thickBot="1" x14ac:dyDescent="0.3">
      <c r="A42" s="5" t="s">
        <v>23</v>
      </c>
      <c r="B42" s="44"/>
      <c r="C42" s="44"/>
      <c r="D42" s="42">
        <v>0.11077055296162799</v>
      </c>
      <c r="E42" s="44"/>
      <c r="F42" s="15">
        <v>1.0078290838208943</v>
      </c>
      <c r="G42" s="15">
        <v>2.4954469283408098</v>
      </c>
      <c r="H42" s="15">
        <v>1.8447691432308699</v>
      </c>
      <c r="I42" s="15">
        <v>0.650677785109948</v>
      </c>
      <c r="J42" s="15">
        <v>1.194091358120922</v>
      </c>
      <c r="K42" s="15">
        <f t="shared" si="1"/>
        <v>0.73925400788123874</v>
      </c>
      <c r="AR42" t="s">
        <v>68</v>
      </c>
      <c r="BB42" t="s">
        <v>68</v>
      </c>
    </row>
    <row r="43" spans="1:62" x14ac:dyDescent="0.25">
      <c r="A43" s="5" t="s">
        <v>26</v>
      </c>
      <c r="B43" s="42">
        <v>8.8732929175135894E-2</v>
      </c>
      <c r="C43" s="44"/>
      <c r="D43" s="42">
        <v>0.15621819275209001</v>
      </c>
      <c r="E43" s="42">
        <v>1.20306787922476E-2</v>
      </c>
      <c r="F43" s="15">
        <v>1.0119508062412015</v>
      </c>
      <c r="G43" s="15">
        <v>8.1761484496582497</v>
      </c>
      <c r="H43" s="15">
        <v>3.1258759015031101</v>
      </c>
      <c r="I43" s="15">
        <v>5.0502725481551298</v>
      </c>
      <c r="J43" s="15">
        <v>-1.9243966466520197</v>
      </c>
      <c r="K43" s="15">
        <f t="shared" si="1"/>
        <v>0.3823164318443566</v>
      </c>
      <c r="AR43" s="59"/>
      <c r="AS43" s="59" t="s">
        <v>73</v>
      </c>
      <c r="AT43" s="59" t="s">
        <v>74</v>
      </c>
      <c r="AU43" s="59" t="s">
        <v>75</v>
      </c>
      <c r="AV43" s="59" t="s">
        <v>76</v>
      </c>
      <c r="AW43" s="59" t="s">
        <v>77</v>
      </c>
      <c r="BB43" s="59"/>
      <c r="BC43" s="59" t="s">
        <v>73</v>
      </c>
      <c r="BD43" s="59" t="s">
        <v>74</v>
      </c>
      <c r="BE43" s="59" t="s">
        <v>75</v>
      </c>
      <c r="BF43" s="59" t="s">
        <v>76</v>
      </c>
      <c r="BG43" s="59" t="s">
        <v>77</v>
      </c>
    </row>
    <row r="44" spans="1:62" x14ac:dyDescent="0.25">
      <c r="A44" s="5" t="s">
        <v>28</v>
      </c>
      <c r="B44" s="42">
        <v>0.10415722716452799</v>
      </c>
      <c r="C44" s="44"/>
      <c r="D44" s="42">
        <v>5.5397551503622099E-2</v>
      </c>
      <c r="E44" s="42">
        <v>2.8615745110634201E-2</v>
      </c>
      <c r="F44" s="15">
        <v>1.0239451393319936</v>
      </c>
      <c r="G44" s="15">
        <v>19.594840851392899</v>
      </c>
      <c r="H44" s="15">
        <v>5.5209579590505999</v>
      </c>
      <c r="I44" s="15">
        <v>14.073882892342301</v>
      </c>
      <c r="J44" s="15">
        <v>-8.5529249332917008</v>
      </c>
      <c r="K44" s="15">
        <f t="shared" si="1"/>
        <v>0.28175569278268175</v>
      </c>
      <c r="AR44" s="57" t="s">
        <v>69</v>
      </c>
      <c r="AS44" s="57">
        <v>2</v>
      </c>
      <c r="AT44" s="57">
        <v>1.2414046547808623E-2</v>
      </c>
      <c r="AU44" s="57">
        <v>6.2070232739043114E-3</v>
      </c>
      <c r="AV44" s="57">
        <v>0.94468880918693632</v>
      </c>
      <c r="AW44" s="57">
        <v>0.43987119192687779</v>
      </c>
      <c r="BB44" s="57" t="s">
        <v>69</v>
      </c>
      <c r="BC44" s="57">
        <v>2</v>
      </c>
      <c r="BD44" s="57">
        <v>4.3018118295363519E-3</v>
      </c>
      <c r="BE44" s="57">
        <v>2.150905914768176E-3</v>
      </c>
      <c r="BF44" s="57">
        <v>4.7165615711795423</v>
      </c>
      <c r="BG44" s="57">
        <v>7.0635694298182949E-2</v>
      </c>
    </row>
    <row r="45" spans="1:62" x14ac:dyDescent="0.25">
      <c r="A45" s="5" t="s">
        <v>29</v>
      </c>
      <c r="B45" s="42">
        <v>4.66251429291673E-2</v>
      </c>
      <c r="C45" s="44"/>
      <c r="D45" s="42">
        <v>6.9883057908481996E-2</v>
      </c>
      <c r="E45" s="42">
        <v>4.4113621235337297E-2</v>
      </c>
      <c r="F45" s="15">
        <v>1.0275460447393339</v>
      </c>
      <c r="G45" s="15">
        <v>17.2552427011953</v>
      </c>
      <c r="H45" s="15">
        <v>5.1821136906510699</v>
      </c>
      <c r="I45" s="15">
        <v>12.0731290105442</v>
      </c>
      <c r="J45" s="15">
        <v>-6.8910153198931301</v>
      </c>
      <c r="K45" s="15">
        <f t="shared" si="1"/>
        <v>0.30032111285760682</v>
      </c>
      <c r="AR45" s="57" t="s">
        <v>70</v>
      </c>
      <c r="AS45" s="57">
        <v>6</v>
      </c>
      <c r="AT45" s="57">
        <v>3.9422653556655335E-2</v>
      </c>
      <c r="AU45" s="57">
        <v>6.5704422594425561E-3</v>
      </c>
      <c r="AV45" s="57"/>
      <c r="AW45" s="57"/>
      <c r="BB45" s="57" t="s">
        <v>70</v>
      </c>
      <c r="BC45" s="57">
        <v>5</v>
      </c>
      <c r="BD45" s="57">
        <v>2.2801630831146623E-3</v>
      </c>
      <c r="BE45" s="57">
        <v>4.5603261662293244E-4</v>
      </c>
      <c r="BF45" s="57"/>
      <c r="BG45" s="57"/>
    </row>
    <row r="46" spans="1:62" ht="15.75" thickBot="1" x14ac:dyDescent="0.3">
      <c r="A46" s="5" t="s">
        <v>30</v>
      </c>
      <c r="B46" s="42">
        <v>9.0894558490112708E-3</v>
      </c>
      <c r="C46" s="44"/>
      <c r="D46" s="42">
        <v>7.8645648239850305E-2</v>
      </c>
      <c r="E46" s="43">
        <v>-8.0536265843332393E-3</v>
      </c>
      <c r="F46" s="15">
        <v>1.0275826446035865</v>
      </c>
      <c r="G46" s="15">
        <v>17.024424898784201</v>
      </c>
      <c r="H46" s="15">
        <v>6.3491431999578403</v>
      </c>
      <c r="I46" s="15">
        <v>10.675281698826399</v>
      </c>
      <c r="J46" s="15">
        <v>-4.3261384988685592</v>
      </c>
      <c r="K46" s="15">
        <f t="shared" si="1"/>
        <v>0.37294318238093693</v>
      </c>
      <c r="AR46" s="58" t="s">
        <v>71</v>
      </c>
      <c r="AS46" s="58">
        <v>8</v>
      </c>
      <c r="AT46" s="58">
        <v>5.1836700104463958E-2</v>
      </c>
      <c r="AU46" s="58"/>
      <c r="AV46" s="58"/>
      <c r="AW46" s="58"/>
      <c r="BB46" s="58" t="s">
        <v>71</v>
      </c>
      <c r="BC46" s="58">
        <v>7</v>
      </c>
      <c r="BD46" s="58">
        <v>6.5819749126510146E-3</v>
      </c>
      <c r="BE46" s="58"/>
      <c r="BF46" s="58"/>
      <c r="BG46" s="58"/>
    </row>
    <row r="47" spans="1:62" ht="15.75" thickBot="1" x14ac:dyDescent="0.3">
      <c r="A47" s="5" t="s">
        <v>33</v>
      </c>
      <c r="B47" s="42">
        <v>2.0373962034653699E-2</v>
      </c>
      <c r="C47" s="44"/>
      <c r="D47" s="42">
        <v>0.101236914763633</v>
      </c>
      <c r="E47" s="42">
        <v>2.7450804091866201E-2</v>
      </c>
      <c r="F47" s="15">
        <v>1.111235100018195</v>
      </c>
      <c r="G47" s="15">
        <v>21.9579587943592</v>
      </c>
      <c r="H47" s="15">
        <v>7.2579587943592401</v>
      </c>
      <c r="I47" s="15">
        <v>14.7</v>
      </c>
      <c r="J47" s="15">
        <v>-7.4420412056407592</v>
      </c>
      <c r="K47" s="15">
        <f t="shared" si="1"/>
        <v>0.33053886576304825</v>
      </c>
    </row>
    <row r="48" spans="1:62" x14ac:dyDescent="0.25">
      <c r="K48" s="15"/>
      <c r="AR48" s="59"/>
      <c r="AS48" s="59" t="s">
        <v>78</v>
      </c>
      <c r="AT48" s="59" t="s">
        <v>66</v>
      </c>
      <c r="AU48" s="59" t="s">
        <v>79</v>
      </c>
      <c r="AV48" s="59" t="s">
        <v>80</v>
      </c>
      <c r="AW48" s="59" t="s">
        <v>81</v>
      </c>
      <c r="AX48" s="59" t="s">
        <v>82</v>
      </c>
      <c r="AY48" s="59" t="s">
        <v>83</v>
      </c>
      <c r="AZ48" s="59" t="s">
        <v>84</v>
      </c>
      <c r="BB48" s="59"/>
      <c r="BC48" s="59" t="s">
        <v>78</v>
      </c>
      <c r="BD48" s="59" t="s">
        <v>66</v>
      </c>
      <c r="BE48" s="59" t="s">
        <v>79</v>
      </c>
      <c r="BF48" s="59" t="s">
        <v>80</v>
      </c>
      <c r="BG48" s="59" t="s">
        <v>81</v>
      </c>
      <c r="BH48" s="59" t="s">
        <v>82</v>
      </c>
      <c r="BI48" s="59" t="s">
        <v>83</v>
      </c>
      <c r="BJ48" s="59" t="s">
        <v>84</v>
      </c>
    </row>
    <row r="49" spans="1:62" x14ac:dyDescent="0.25">
      <c r="A49" s="5" t="s">
        <v>121</v>
      </c>
      <c r="K49" s="15"/>
      <c r="AR49" s="57" t="s">
        <v>72</v>
      </c>
      <c r="AS49" s="57">
        <v>-3.7153468647480391E-2</v>
      </c>
      <c r="AT49" s="57">
        <v>0.53084668963576975</v>
      </c>
      <c r="AU49" s="57">
        <v>-6.9989074760874043E-2</v>
      </c>
      <c r="AV49" s="57">
        <v>0.94647674698858308</v>
      </c>
      <c r="AW49" s="57">
        <v>-1.336088524658321</v>
      </c>
      <c r="AX49" s="57">
        <v>1.2617815873633602</v>
      </c>
      <c r="AY49" s="57">
        <v>-1.336088524658321</v>
      </c>
      <c r="AZ49" s="57">
        <v>1.2617815873633602</v>
      </c>
      <c r="BB49" s="57" t="s">
        <v>72</v>
      </c>
      <c r="BC49" s="57">
        <v>-0.31783730190634446</v>
      </c>
      <c r="BD49" s="57">
        <v>0.13933086421503724</v>
      </c>
      <c r="BE49" s="57">
        <v>-2.2811693855268715</v>
      </c>
      <c r="BF49" s="57">
        <v>7.1433539506165974E-2</v>
      </c>
      <c r="BG49" s="57">
        <v>-0.67599869060102902</v>
      </c>
      <c r="BH49" s="57">
        <v>4.0324086788340097E-2</v>
      </c>
      <c r="BI49" s="57">
        <v>-0.67599869060102902</v>
      </c>
      <c r="BJ49" s="57">
        <v>4.0324086788340097E-2</v>
      </c>
    </row>
    <row r="50" spans="1:62" ht="25.5" x14ac:dyDescent="0.25">
      <c r="A50" s="16" t="s">
        <v>59</v>
      </c>
      <c r="B50" s="17" t="s">
        <v>58</v>
      </c>
      <c r="C50" s="17" t="s">
        <v>94</v>
      </c>
      <c r="D50" s="17" t="s">
        <v>95</v>
      </c>
      <c r="E50" s="17" t="s">
        <v>96</v>
      </c>
      <c r="F50" s="17" t="s">
        <v>53</v>
      </c>
      <c r="G50" s="46" t="s">
        <v>110</v>
      </c>
      <c r="H50" s="46" t="s">
        <v>113</v>
      </c>
      <c r="I50" s="46" t="s">
        <v>114</v>
      </c>
      <c r="J50" s="46" t="s">
        <v>120</v>
      </c>
      <c r="K50" s="62" t="s">
        <v>125</v>
      </c>
      <c r="AR50" s="57" t="s">
        <v>53</v>
      </c>
      <c r="AS50" s="57">
        <v>0.15629388026054086</v>
      </c>
      <c r="AT50" s="57">
        <v>0.50694423610723038</v>
      </c>
      <c r="AU50" s="57">
        <v>0.30830586310775432</v>
      </c>
      <c r="AV50" s="57">
        <v>0.76827290458907793</v>
      </c>
      <c r="AW50" s="57">
        <v>-1.0841539789398749</v>
      </c>
      <c r="AX50" s="57">
        <v>1.3967417394609567</v>
      </c>
      <c r="AY50" s="57">
        <v>-1.0841539789398749</v>
      </c>
      <c r="AZ50" s="57">
        <v>1.3967417394609567</v>
      </c>
      <c r="BB50" s="57" t="s">
        <v>53</v>
      </c>
      <c r="BC50" s="57">
        <v>0.39577834821354096</v>
      </c>
      <c r="BD50" s="57">
        <v>0.13351643930761767</v>
      </c>
      <c r="BE50" s="57">
        <v>2.9642667993989873</v>
      </c>
      <c r="BF50" s="57">
        <v>3.13639480730745E-2</v>
      </c>
      <c r="BG50" s="57">
        <v>5.2563414570540479E-2</v>
      </c>
      <c r="BH50" s="57">
        <v>0.73899328185654145</v>
      </c>
      <c r="BI50" s="57">
        <v>5.2563414570540479E-2</v>
      </c>
      <c r="BJ50" s="57">
        <v>0.73899328185654145</v>
      </c>
    </row>
    <row r="51" spans="1:62" ht="15.75" thickBot="1" x14ac:dyDescent="0.3">
      <c r="A51" s="5" t="s">
        <v>11</v>
      </c>
      <c r="B51" s="42">
        <v>0.17369777575697301</v>
      </c>
      <c r="C51" s="42">
        <v>0.199680501000808</v>
      </c>
      <c r="D51" s="42">
        <v>0.13984116014494999</v>
      </c>
      <c r="E51" s="43">
        <v>1.7836570943256701E-2</v>
      </c>
      <c r="F51" s="15">
        <v>1.1737788669959504</v>
      </c>
      <c r="G51" s="15">
        <v>4</v>
      </c>
      <c r="H51" s="15">
        <v>1.25</v>
      </c>
      <c r="I51" s="15">
        <v>2.75</v>
      </c>
      <c r="J51" s="15">
        <v>-1.5</v>
      </c>
      <c r="K51" s="15">
        <f t="shared" si="1"/>
        <v>0.3125</v>
      </c>
      <c r="AR51" s="58" t="s">
        <v>110</v>
      </c>
      <c r="AS51" s="58">
        <v>-4.5755113050218923E-3</v>
      </c>
      <c r="AT51" s="58">
        <v>3.3660004022408939E-3</v>
      </c>
      <c r="AU51" s="58">
        <v>-1.3593317760674579</v>
      </c>
      <c r="AV51" s="58">
        <v>0.22290940119196909</v>
      </c>
      <c r="AW51" s="58">
        <v>-1.281181758022387E-2</v>
      </c>
      <c r="AX51" s="58">
        <v>3.6607949701800858E-3</v>
      </c>
      <c r="AY51" s="58">
        <v>-1.281181758022387E-2</v>
      </c>
      <c r="AZ51" s="58">
        <v>3.6607949701800858E-3</v>
      </c>
      <c r="BB51" s="58" t="s">
        <v>110</v>
      </c>
      <c r="BC51" s="58">
        <v>-1.0372276668328196E-3</v>
      </c>
      <c r="BD51" s="58">
        <v>8.7477052432087445E-4</v>
      </c>
      <c r="BE51" s="58">
        <v>-1.1857140106979123</v>
      </c>
      <c r="BF51" s="58">
        <v>0.28900777821946655</v>
      </c>
      <c r="BG51" s="58">
        <v>-3.2858968870021149E-3</v>
      </c>
      <c r="BH51" s="58">
        <v>1.2114415533364755E-3</v>
      </c>
      <c r="BI51" s="58">
        <v>-3.2858968870021149E-3</v>
      </c>
      <c r="BJ51" s="58">
        <v>1.2114415533364755E-3</v>
      </c>
    </row>
    <row r="52" spans="1:62" x14ac:dyDescent="0.25">
      <c r="A52" s="5" t="s">
        <v>12</v>
      </c>
      <c r="B52" s="42">
        <v>9.9143945152060597E-2</v>
      </c>
      <c r="C52" s="42">
        <v>0.12535086320927399</v>
      </c>
      <c r="D52" s="42">
        <v>8.9326261366187695E-2</v>
      </c>
      <c r="E52" s="43">
        <v>-0.54160608613664096</v>
      </c>
      <c r="F52" s="15">
        <v>1.0182769682576838</v>
      </c>
      <c r="G52" s="15">
        <v>1.1385255280790201</v>
      </c>
      <c r="H52" s="15">
        <v>0.25</v>
      </c>
      <c r="I52" s="15">
        <v>0.88852552807902296</v>
      </c>
      <c r="J52" s="15">
        <v>-0.63852552807902296</v>
      </c>
      <c r="K52" s="15">
        <f t="shared" si="1"/>
        <v>0.2195822525137518</v>
      </c>
      <c r="AR52" t="s">
        <v>61</v>
      </c>
      <c r="BB52" t="s">
        <v>61</v>
      </c>
    </row>
    <row r="53" spans="1:62" ht="15.75" thickBot="1" x14ac:dyDescent="0.3">
      <c r="A53" s="5" t="s">
        <v>13</v>
      </c>
      <c r="B53" s="42">
        <v>0.21234239309632399</v>
      </c>
      <c r="C53" s="42">
        <v>0.42964915677977999</v>
      </c>
      <c r="D53" s="42">
        <v>4.6283799610675601E-2</v>
      </c>
      <c r="E53" s="43">
        <v>-0.17637365181995501</v>
      </c>
      <c r="F53" s="15">
        <v>1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</row>
    <row r="54" spans="1:62" x14ac:dyDescent="0.25">
      <c r="A54" s="5" t="s">
        <v>20</v>
      </c>
      <c r="B54" s="43">
        <v>-4.1760232547360499E-2</v>
      </c>
      <c r="C54" s="43">
        <v>-6.6277814143714905E-2</v>
      </c>
      <c r="D54" s="44"/>
      <c r="E54" s="43">
        <v>-4.74716361793363E-2</v>
      </c>
      <c r="F54" s="15">
        <v>1.045397189964473</v>
      </c>
      <c r="G54" s="15">
        <v>4.5222851684946201</v>
      </c>
      <c r="H54" s="15">
        <v>2.1335248576486401</v>
      </c>
      <c r="I54" s="15">
        <v>2.3887603108459801</v>
      </c>
      <c r="J54" s="15">
        <v>-0.25523545319733998</v>
      </c>
      <c r="K54" s="15">
        <f t="shared" si="1"/>
        <v>0.47178025669682583</v>
      </c>
      <c r="AR54" s="60" t="s">
        <v>62</v>
      </c>
      <c r="AS54" s="60"/>
      <c r="BB54" s="60" t="s">
        <v>62</v>
      </c>
      <c r="BC54" s="60"/>
    </row>
    <row r="55" spans="1:62" x14ac:dyDescent="0.25">
      <c r="A55" s="5" t="s">
        <v>37</v>
      </c>
      <c r="B55" s="42">
        <v>0.14608753400636901</v>
      </c>
      <c r="C55" s="44"/>
      <c r="D55" s="42">
        <v>6.8212961854365706E-2</v>
      </c>
      <c r="E55" s="43">
        <v>-4.2076076707890497E-3</v>
      </c>
      <c r="F55" s="15">
        <v>1.0078290838208943</v>
      </c>
      <c r="G55" s="15">
        <v>2.4954469283408098</v>
      </c>
      <c r="H55" s="15">
        <v>1.8447691432308699</v>
      </c>
      <c r="I55" s="15">
        <v>0.650677785109948</v>
      </c>
      <c r="J55" s="15">
        <f t="shared" ref="J55" si="5">H55-I55</f>
        <v>1.194091358120922</v>
      </c>
      <c r="K55" s="15">
        <f t="shared" si="1"/>
        <v>0.73925400788123874</v>
      </c>
      <c r="AR55" s="57" t="s">
        <v>63</v>
      </c>
      <c r="AS55" s="57">
        <v>0.84932579024205879</v>
      </c>
      <c r="BB55" s="57" t="s">
        <v>63</v>
      </c>
      <c r="BC55" s="57">
        <v>0.91216011160202104</v>
      </c>
    </row>
    <row r="56" spans="1:62" x14ac:dyDescent="0.25">
      <c r="A56" s="5" t="s">
        <v>42</v>
      </c>
      <c r="B56" s="45">
        <v>1.0119527368219401E-2</v>
      </c>
      <c r="C56" s="44"/>
      <c r="D56" s="42">
        <v>9.9852529707758195E-2</v>
      </c>
      <c r="E56" s="42">
        <v>4.4857179056258203E-2</v>
      </c>
      <c r="F56" s="15">
        <v>1.0239451393319936</v>
      </c>
      <c r="G56" s="15">
        <v>19.594840851392899</v>
      </c>
      <c r="H56" s="15">
        <v>5.5209579590505999</v>
      </c>
      <c r="I56" s="15">
        <v>14.073882892342301</v>
      </c>
      <c r="J56" s="15">
        <f>H56-I56</f>
        <v>-8.5529249332917008</v>
      </c>
      <c r="K56" s="15">
        <f t="shared" si="1"/>
        <v>0.28175569278268175</v>
      </c>
      <c r="AR56" s="57" t="s">
        <v>64</v>
      </c>
      <c r="AS56" s="57">
        <v>0.7213542979702976</v>
      </c>
      <c r="BB56" s="57" t="s">
        <v>64</v>
      </c>
      <c r="BC56" s="57">
        <v>0.83203606919781148</v>
      </c>
    </row>
    <row r="57" spans="1:62" x14ac:dyDescent="0.25">
      <c r="A57" s="5" t="s">
        <v>43</v>
      </c>
      <c r="B57" s="42">
        <v>4.5646344187588998E-2</v>
      </c>
      <c r="C57" s="44"/>
      <c r="D57" s="42">
        <v>5.5815481283492403E-2</v>
      </c>
      <c r="E57" s="42">
        <v>7.6664996000854094E-2</v>
      </c>
      <c r="F57" s="15">
        <v>1.0275460447393339</v>
      </c>
      <c r="G57" s="15">
        <v>17.2552427011953</v>
      </c>
      <c r="H57" s="15">
        <v>5.1821136906510699</v>
      </c>
      <c r="I57" s="15">
        <v>12.0731290105442</v>
      </c>
      <c r="J57" s="15">
        <f t="shared" ref="J57:J61" si="6">H57-I57</f>
        <v>-6.8910153198931301</v>
      </c>
      <c r="K57" s="15">
        <f t="shared" si="1"/>
        <v>0.30032111285760682</v>
      </c>
      <c r="AR57" s="57" t="s">
        <v>65</v>
      </c>
      <c r="AS57" s="57">
        <v>0.62847239729373017</v>
      </c>
      <c r="BB57" s="57" t="s">
        <v>65</v>
      </c>
      <c r="BC57" s="57">
        <v>0.76485049687693607</v>
      </c>
    </row>
    <row r="58" spans="1:62" x14ac:dyDescent="0.25">
      <c r="A58" s="5" t="s">
        <v>44</v>
      </c>
      <c r="B58" s="42">
        <v>1.47909285306715E-2</v>
      </c>
      <c r="C58" s="44"/>
      <c r="D58" s="42">
        <v>9.5391388976058394E-2</v>
      </c>
      <c r="E58" s="42">
        <v>2.1219861817338499E-2</v>
      </c>
      <c r="F58" s="15">
        <v>1.0275826446035865</v>
      </c>
      <c r="G58" s="15">
        <v>17.024424898784201</v>
      </c>
      <c r="H58" s="15">
        <v>6.3491431999578403</v>
      </c>
      <c r="I58" s="15">
        <v>10.675281698826399</v>
      </c>
      <c r="J58" s="15">
        <f t="shared" si="6"/>
        <v>-4.3261384988685592</v>
      </c>
      <c r="K58" s="15">
        <f t="shared" si="1"/>
        <v>0.37294318238093693</v>
      </c>
      <c r="AR58" s="57" t="s">
        <v>66</v>
      </c>
      <c r="AS58" s="57">
        <v>4.9064708449678154E-2</v>
      </c>
      <c r="BB58" s="57" t="s">
        <v>66</v>
      </c>
      <c r="BC58" s="57">
        <v>1.4869662933437701E-2</v>
      </c>
    </row>
    <row r="59" spans="1:62" ht="15.75" thickBot="1" x14ac:dyDescent="0.3">
      <c r="A59" s="5" t="s">
        <v>46</v>
      </c>
      <c r="B59" s="42">
        <v>2.0282132481243099E-2</v>
      </c>
      <c r="C59" s="44"/>
      <c r="D59" s="42">
        <v>0.115227328160236</v>
      </c>
      <c r="E59" s="42">
        <v>3.1629539106965802E-2</v>
      </c>
      <c r="F59" s="15">
        <v>1.0572093304532362</v>
      </c>
      <c r="G59" s="15">
        <v>15.1069524712688</v>
      </c>
      <c r="H59" s="15">
        <v>3.20845082384478</v>
      </c>
      <c r="I59" s="15">
        <v>11.898501647424</v>
      </c>
      <c r="J59" s="15">
        <f t="shared" si="6"/>
        <v>-8.6900508235792202</v>
      </c>
      <c r="K59" s="15">
        <f t="shared" si="1"/>
        <v>0.21238240008676676</v>
      </c>
      <c r="AR59" s="58" t="s">
        <v>67</v>
      </c>
      <c r="AS59" s="58">
        <v>9</v>
      </c>
      <c r="BB59" s="58" t="s">
        <v>67</v>
      </c>
      <c r="BC59" s="58">
        <v>8</v>
      </c>
    </row>
    <row r="60" spans="1:62" x14ac:dyDescent="0.25">
      <c r="A60" s="5" t="s">
        <v>47</v>
      </c>
      <c r="B60" s="42">
        <v>3.6679485231980898E-2</v>
      </c>
      <c r="C60" s="44"/>
      <c r="D60" s="42">
        <v>0.157732693122626</v>
      </c>
      <c r="E60" s="42">
        <v>4.3964016574286002E-2</v>
      </c>
      <c r="F60" s="15">
        <v>1.111235100018195</v>
      </c>
      <c r="G60" s="15">
        <v>21.9579587943592</v>
      </c>
      <c r="H60" s="15">
        <v>7.2579587943592401</v>
      </c>
      <c r="I60" s="15">
        <v>14.7</v>
      </c>
      <c r="J60" s="15">
        <f t="shared" si="6"/>
        <v>-7.4420412056407592</v>
      </c>
      <c r="K60" s="15">
        <f t="shared" si="1"/>
        <v>0.33053886576304825</v>
      </c>
    </row>
    <row r="61" spans="1:62" ht="15.75" thickBot="1" x14ac:dyDescent="0.3">
      <c r="A61" s="5" t="s">
        <v>48</v>
      </c>
      <c r="B61" s="42">
        <v>7.7980025652416296E-2</v>
      </c>
      <c r="C61" s="44"/>
      <c r="D61" s="42">
        <v>0.121156039239802</v>
      </c>
      <c r="E61" s="42">
        <v>5.3048699734524599E-2</v>
      </c>
      <c r="F61" s="15">
        <v>1.0519758315193652</v>
      </c>
      <c r="G61" s="15">
        <v>16.640165980770899</v>
      </c>
      <c r="H61" s="15">
        <v>4.2170406154913396</v>
      </c>
      <c r="I61" s="15">
        <v>12.423125365279599</v>
      </c>
      <c r="J61" s="15">
        <f t="shared" si="6"/>
        <v>-8.2060847497882605</v>
      </c>
      <c r="K61" s="15">
        <f t="shared" si="1"/>
        <v>0.25342539373492318</v>
      </c>
      <c r="AR61" t="s">
        <v>68</v>
      </c>
      <c r="BB61" t="s">
        <v>68</v>
      </c>
    </row>
    <row r="62" spans="1:62" x14ac:dyDescent="0.25">
      <c r="K62" s="15"/>
      <c r="AR62" s="59"/>
      <c r="AS62" s="59" t="s">
        <v>73</v>
      </c>
      <c r="AT62" s="59" t="s">
        <v>74</v>
      </c>
      <c r="AU62" s="59" t="s">
        <v>75</v>
      </c>
      <c r="AV62" s="59" t="s">
        <v>76</v>
      </c>
      <c r="AW62" s="59" t="s">
        <v>77</v>
      </c>
      <c r="BB62" s="59"/>
      <c r="BC62" s="59" t="s">
        <v>73</v>
      </c>
      <c r="BD62" s="59" t="s">
        <v>74</v>
      </c>
      <c r="BE62" s="59" t="s">
        <v>75</v>
      </c>
      <c r="BF62" s="59" t="s">
        <v>76</v>
      </c>
      <c r="BG62" s="59" t="s">
        <v>77</v>
      </c>
    </row>
    <row r="63" spans="1:62" x14ac:dyDescent="0.25">
      <c r="A63" s="5" t="s">
        <v>122</v>
      </c>
      <c r="K63" s="15"/>
      <c r="AR63" s="57" t="s">
        <v>69</v>
      </c>
      <c r="AS63" s="57">
        <v>2</v>
      </c>
      <c r="AT63" s="57">
        <v>3.7392626412952448E-2</v>
      </c>
      <c r="AU63" s="57">
        <v>1.8696313206476224E-2</v>
      </c>
      <c r="AV63" s="57">
        <v>7.7663602135166334</v>
      </c>
      <c r="AW63" s="57">
        <v>2.1635007296750559E-2</v>
      </c>
      <c r="BB63" s="57" t="s">
        <v>69</v>
      </c>
      <c r="BC63" s="57">
        <v>2</v>
      </c>
      <c r="BD63" s="57">
        <v>5.4764405338807581E-3</v>
      </c>
      <c r="BE63" s="57">
        <v>2.7382202669403791E-3</v>
      </c>
      <c r="BF63" s="57">
        <v>12.384147971889607</v>
      </c>
      <c r="BG63" s="57">
        <v>1.1562189268396628E-2</v>
      </c>
    </row>
    <row r="64" spans="1:62" ht="25.5" x14ac:dyDescent="0.25">
      <c r="A64" s="16" t="s">
        <v>59</v>
      </c>
      <c r="B64" s="17" t="s">
        <v>58</v>
      </c>
      <c r="C64" s="17" t="s">
        <v>94</v>
      </c>
      <c r="D64" s="17" t="s">
        <v>95</v>
      </c>
      <c r="E64" s="17" t="s">
        <v>96</v>
      </c>
      <c r="F64" s="17" t="s">
        <v>53</v>
      </c>
      <c r="G64" s="46" t="s">
        <v>110</v>
      </c>
      <c r="H64" s="46" t="s">
        <v>113</v>
      </c>
      <c r="I64" s="46" t="s">
        <v>114</v>
      </c>
      <c r="J64" s="46" t="s">
        <v>120</v>
      </c>
      <c r="K64" s="62" t="s">
        <v>125</v>
      </c>
      <c r="AR64" s="57" t="s">
        <v>70</v>
      </c>
      <c r="AS64" s="57">
        <v>6</v>
      </c>
      <c r="AT64" s="57">
        <v>1.4444073691511513E-2</v>
      </c>
      <c r="AU64" s="57">
        <v>2.4073456152519188E-3</v>
      </c>
      <c r="AV64" s="57"/>
      <c r="AW64" s="57"/>
      <c r="BB64" s="57" t="s">
        <v>70</v>
      </c>
      <c r="BC64" s="57">
        <v>5</v>
      </c>
      <c r="BD64" s="57">
        <v>1.1055343787702554E-3</v>
      </c>
      <c r="BE64" s="57">
        <v>2.2110687575405109E-4</v>
      </c>
      <c r="BF64" s="57"/>
      <c r="BG64" s="57"/>
    </row>
    <row r="65" spans="1:62" ht="15.75" thickBot="1" x14ac:dyDescent="0.3">
      <c r="A65" s="5" t="s">
        <v>11</v>
      </c>
      <c r="B65" s="42">
        <v>0.17369777575697301</v>
      </c>
      <c r="C65" s="42">
        <v>0.199680501000808</v>
      </c>
      <c r="D65" s="42">
        <v>0.13984116014494999</v>
      </c>
      <c r="E65" s="43">
        <v>1.7836570943256701E-2</v>
      </c>
      <c r="F65" s="15">
        <v>1.1737788669959504</v>
      </c>
      <c r="G65" s="15">
        <v>4</v>
      </c>
      <c r="H65" s="15">
        <v>1.25</v>
      </c>
      <c r="I65" s="15">
        <v>2.75</v>
      </c>
      <c r="J65" s="15">
        <f>H65-I65</f>
        <v>-1.5</v>
      </c>
      <c r="K65" s="15">
        <f t="shared" si="1"/>
        <v>0.3125</v>
      </c>
      <c r="AR65" s="58" t="s">
        <v>71</v>
      </c>
      <c r="AS65" s="58">
        <v>8</v>
      </c>
      <c r="AT65" s="58">
        <v>5.1836700104463965E-2</v>
      </c>
      <c r="AU65" s="58"/>
      <c r="AV65" s="58"/>
      <c r="AW65" s="58"/>
      <c r="BB65" s="58" t="s">
        <v>71</v>
      </c>
      <c r="BC65" s="58">
        <v>7</v>
      </c>
      <c r="BD65" s="58">
        <v>6.5819749126510138E-3</v>
      </c>
      <c r="BE65" s="58"/>
      <c r="BF65" s="58"/>
      <c r="BG65" s="58"/>
    </row>
    <row r="66" spans="1:62" ht="15.75" thickBot="1" x14ac:dyDescent="0.3">
      <c r="A66" s="5" t="s">
        <v>12</v>
      </c>
      <c r="B66" s="42">
        <v>9.9143945152060597E-2</v>
      </c>
      <c r="C66" s="42">
        <v>0.12535086320927399</v>
      </c>
      <c r="D66" s="42">
        <v>8.9326261366187695E-2</v>
      </c>
      <c r="E66" s="43">
        <v>-0.54160608613664096</v>
      </c>
      <c r="F66" s="15">
        <v>1.0182769682576838</v>
      </c>
      <c r="G66" s="15">
        <v>1.1385255280790201</v>
      </c>
      <c r="H66" s="15">
        <v>0.25</v>
      </c>
      <c r="I66" s="15">
        <v>0.88852552807902296</v>
      </c>
      <c r="J66" s="15">
        <f t="shared" ref="J66" si="7">H66-I66</f>
        <v>-0.63852552807902296</v>
      </c>
      <c r="K66" s="15">
        <f t="shared" si="1"/>
        <v>0.2195822525137518</v>
      </c>
    </row>
    <row r="67" spans="1:62" x14ac:dyDescent="0.25">
      <c r="A67" s="5" t="s">
        <v>14</v>
      </c>
      <c r="B67" s="42">
        <v>0.14477972148899501</v>
      </c>
      <c r="C67" s="42">
        <v>0.36758406997509402</v>
      </c>
      <c r="D67" s="42">
        <v>3.0850994672477702E-2</v>
      </c>
      <c r="E67" s="42">
        <v>0.41389016217674901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AR67" s="59"/>
      <c r="AS67" s="59" t="s">
        <v>78</v>
      </c>
      <c r="AT67" s="59" t="s">
        <v>66</v>
      </c>
      <c r="AU67" s="59" t="s">
        <v>79</v>
      </c>
      <c r="AV67" s="59" t="s">
        <v>80</v>
      </c>
      <c r="AW67" s="59" t="s">
        <v>81</v>
      </c>
      <c r="AX67" s="59" t="s">
        <v>82</v>
      </c>
      <c r="AY67" s="59" t="s">
        <v>83</v>
      </c>
      <c r="AZ67" s="59" t="s">
        <v>84</v>
      </c>
      <c r="BB67" s="59"/>
      <c r="BC67" s="59" t="s">
        <v>78</v>
      </c>
      <c r="BD67" s="59" t="s">
        <v>66</v>
      </c>
      <c r="BE67" s="59" t="s">
        <v>79</v>
      </c>
      <c r="BF67" s="59" t="s">
        <v>80</v>
      </c>
      <c r="BG67" s="59" t="s">
        <v>81</v>
      </c>
      <c r="BH67" s="59" t="s">
        <v>82</v>
      </c>
      <c r="BI67" s="59" t="s">
        <v>83</v>
      </c>
      <c r="BJ67" s="59" t="s">
        <v>84</v>
      </c>
    </row>
    <row r="68" spans="1:62" x14ac:dyDescent="0.25">
      <c r="A68" s="5" t="s">
        <v>19</v>
      </c>
      <c r="B68" s="43">
        <v>-7.8588218215967606E-2</v>
      </c>
      <c r="C68" s="43">
        <v>-0.161754895727207</v>
      </c>
      <c r="D68" s="42">
        <v>6.7271555006068101E-2</v>
      </c>
      <c r="E68" s="42">
        <v>5.9760012226563401E-2</v>
      </c>
      <c r="F68" s="15">
        <v>1.045397189964473</v>
      </c>
      <c r="G68" s="15">
        <v>4.5222851684946201</v>
      </c>
      <c r="H68" s="15">
        <v>2.1335248576486401</v>
      </c>
      <c r="I68" s="15">
        <v>2.3887603108459801</v>
      </c>
      <c r="J68" s="15">
        <v>-0.25523545319733998</v>
      </c>
      <c r="K68" s="15">
        <f t="shared" ref="K68:K74" si="8">H68/G68</f>
        <v>0.47178025669682583</v>
      </c>
      <c r="AR68" s="57" t="s">
        <v>72</v>
      </c>
      <c r="AS68" s="57">
        <v>-0.21589435791032491</v>
      </c>
      <c r="AT68" s="57">
        <v>0.32480924299683162</v>
      </c>
      <c r="AU68" s="57">
        <v>-0.66468046265675662</v>
      </c>
      <c r="AV68" s="57">
        <v>0.5309563140617849</v>
      </c>
      <c r="AW68" s="57">
        <v>-1.0106739439606984</v>
      </c>
      <c r="AX68" s="57">
        <v>0.57888522814004872</v>
      </c>
      <c r="AY68" s="57">
        <v>-1.0106739439606984</v>
      </c>
      <c r="AZ68" s="57">
        <v>0.57888522814004872</v>
      </c>
      <c r="BB68" s="57" t="s">
        <v>72</v>
      </c>
      <c r="BC68" s="57">
        <v>-0.32738206045642781</v>
      </c>
      <c r="BD68" s="57">
        <v>9.706802832371221E-2</v>
      </c>
      <c r="BE68" s="57">
        <v>-3.3727074311702432</v>
      </c>
      <c r="BF68" s="57">
        <v>1.9831094741875301E-2</v>
      </c>
      <c r="BG68" s="57">
        <v>-0.57690337088639376</v>
      </c>
      <c r="BH68" s="57">
        <v>-7.7860750026461867E-2</v>
      </c>
      <c r="BI68" s="57">
        <v>-0.57690337088639376</v>
      </c>
      <c r="BJ68" s="57">
        <v>-7.7860750026461867E-2</v>
      </c>
    </row>
    <row r="69" spans="1:62" x14ac:dyDescent="0.25">
      <c r="A69" s="5" t="s">
        <v>23</v>
      </c>
      <c r="B69" s="44"/>
      <c r="C69" s="44"/>
      <c r="D69" s="42">
        <v>0.11077055296162799</v>
      </c>
      <c r="E69" s="44"/>
      <c r="F69" s="15">
        <v>1.0078290838208943</v>
      </c>
      <c r="G69" s="15">
        <v>2.4954469283408098</v>
      </c>
      <c r="H69" s="15">
        <v>1.8447691432308699</v>
      </c>
      <c r="I69" s="15">
        <v>0.650677785109948</v>
      </c>
      <c r="J69" s="15">
        <v>1.194091358120922</v>
      </c>
      <c r="K69" s="15">
        <f t="shared" si="8"/>
        <v>0.73925400788123874</v>
      </c>
      <c r="AR69" s="57" t="s">
        <v>53</v>
      </c>
      <c r="AS69" s="57">
        <v>0.43275382393399581</v>
      </c>
      <c r="AT69" s="57">
        <v>0.3172485846531849</v>
      </c>
      <c r="AU69" s="57">
        <v>1.3640843328176888</v>
      </c>
      <c r="AV69" s="57">
        <v>0.22149192279350693</v>
      </c>
      <c r="AW69" s="57">
        <v>-0.34352549761285051</v>
      </c>
      <c r="AX69" s="57">
        <v>1.2090331454808421</v>
      </c>
      <c r="AY69" s="57">
        <v>-0.34352549761285051</v>
      </c>
      <c r="AZ69" s="57">
        <v>1.2090331454808421</v>
      </c>
      <c r="BB69" s="57" t="s">
        <v>53</v>
      </c>
      <c r="BC69" s="57">
        <v>0.37057009676235214</v>
      </c>
      <c r="BD69" s="57">
        <v>9.2178985676072869E-2</v>
      </c>
      <c r="BE69" s="57">
        <v>4.0201147153492922</v>
      </c>
      <c r="BF69" s="57">
        <v>1.0119639985013064E-2</v>
      </c>
      <c r="BG69" s="57">
        <v>0.13361647055605916</v>
      </c>
      <c r="BH69" s="57">
        <v>0.6075237229686451</v>
      </c>
      <c r="BI69" s="57">
        <v>0.13361647055605916</v>
      </c>
      <c r="BJ69" s="57">
        <v>0.6075237229686451</v>
      </c>
    </row>
    <row r="70" spans="1:62" ht="15.75" thickBot="1" x14ac:dyDescent="0.3">
      <c r="A70" s="5" t="s">
        <v>26</v>
      </c>
      <c r="B70" s="42">
        <v>8.8732929175135894E-2</v>
      </c>
      <c r="C70" s="44"/>
      <c r="D70" s="42">
        <v>0.15621819275209001</v>
      </c>
      <c r="E70" s="42">
        <v>1.20306787922476E-2</v>
      </c>
      <c r="F70" s="15">
        <v>1.0119508062412015</v>
      </c>
      <c r="G70" s="15">
        <v>8.1761484496582497</v>
      </c>
      <c r="H70" s="15">
        <v>3.1258759015031101</v>
      </c>
      <c r="I70" s="15">
        <v>5.0502725481551298</v>
      </c>
      <c r="J70" s="15">
        <v>-1.9243966466520197</v>
      </c>
      <c r="K70" s="15">
        <f t="shared" si="8"/>
        <v>0.3823164318443566</v>
      </c>
      <c r="AR70" s="58" t="s">
        <v>125</v>
      </c>
      <c r="AS70" s="58">
        <v>-0.535089924150702</v>
      </c>
      <c r="AT70" s="58">
        <v>0.13626864204884859</v>
      </c>
      <c r="AU70" s="58">
        <v>-3.9267282340634675</v>
      </c>
      <c r="AV70" s="58">
        <v>7.741818907155102E-3</v>
      </c>
      <c r="AW70" s="58">
        <v>-0.86852727931946139</v>
      </c>
      <c r="AX70" s="58">
        <v>-0.20165256898194267</v>
      </c>
      <c r="AY70" s="58">
        <v>-0.86852727931946139</v>
      </c>
      <c r="AZ70" s="58">
        <v>-0.20165256898194267</v>
      </c>
      <c r="BB70" s="58" t="s">
        <v>125</v>
      </c>
      <c r="BC70" s="58">
        <v>7.8723011754401689E-2</v>
      </c>
      <c r="BD70" s="58">
        <v>2.7470846564143551E-2</v>
      </c>
      <c r="BE70" s="58">
        <v>2.8656929654710845</v>
      </c>
      <c r="BF70" s="58">
        <v>3.5171350932203846E-2</v>
      </c>
      <c r="BG70" s="58">
        <v>8.1069525670619952E-3</v>
      </c>
      <c r="BH70" s="58">
        <v>0.14933907094174137</v>
      </c>
      <c r="BI70" s="58">
        <v>8.1069525670619952E-3</v>
      </c>
      <c r="BJ70" s="58">
        <v>0.14933907094174137</v>
      </c>
    </row>
    <row r="71" spans="1:62" x14ac:dyDescent="0.25">
      <c r="A71" s="5" t="s">
        <v>28</v>
      </c>
      <c r="B71" s="42">
        <v>0.10415722716452799</v>
      </c>
      <c r="C71" s="44"/>
      <c r="D71" s="42">
        <v>5.5397551503622099E-2</v>
      </c>
      <c r="E71" s="42">
        <v>2.8615745110634201E-2</v>
      </c>
      <c r="F71" s="15">
        <v>1.0239451393319936</v>
      </c>
      <c r="G71" s="15">
        <v>19.594840851392899</v>
      </c>
      <c r="H71" s="15">
        <v>5.5209579590505999</v>
      </c>
      <c r="I71" s="15">
        <v>14.073882892342301</v>
      </c>
      <c r="J71" s="15">
        <v>-8.5529249332917008</v>
      </c>
      <c r="K71" s="15">
        <f t="shared" si="8"/>
        <v>0.28175569278268175</v>
      </c>
    </row>
    <row r="72" spans="1:62" x14ac:dyDescent="0.25">
      <c r="A72" s="5" t="s">
        <v>29</v>
      </c>
      <c r="B72" s="42">
        <v>4.66251429291673E-2</v>
      </c>
      <c r="C72" s="44"/>
      <c r="D72" s="42">
        <v>6.9883057908481996E-2</v>
      </c>
      <c r="E72" s="42">
        <v>4.4113621235337297E-2</v>
      </c>
      <c r="F72" s="15">
        <v>1.0275460447393339</v>
      </c>
      <c r="G72" s="15">
        <v>17.2552427011953</v>
      </c>
      <c r="H72" s="15">
        <v>5.1821136906510699</v>
      </c>
      <c r="I72" s="15">
        <v>12.0731290105442</v>
      </c>
      <c r="J72" s="15">
        <v>-6.8910153198931301</v>
      </c>
      <c r="K72" s="15">
        <f t="shared" si="8"/>
        <v>0.30032111285760682</v>
      </c>
    </row>
    <row r="73" spans="1:62" x14ac:dyDescent="0.25">
      <c r="A73" s="5" t="s">
        <v>30</v>
      </c>
      <c r="B73" s="42">
        <v>9.0894558490112708E-3</v>
      </c>
      <c r="C73" s="44"/>
      <c r="D73" s="42">
        <v>7.8645648239850305E-2</v>
      </c>
      <c r="E73" s="43">
        <v>-8.0536265843332393E-3</v>
      </c>
      <c r="F73" s="15">
        <v>1.0275826446035865</v>
      </c>
      <c r="G73" s="15">
        <v>17.024424898784201</v>
      </c>
      <c r="H73" s="15">
        <v>6.3491431999578403</v>
      </c>
      <c r="I73" s="15">
        <v>10.675281698826399</v>
      </c>
      <c r="J73" s="15">
        <v>-4.3261384988685592</v>
      </c>
      <c r="K73" s="15">
        <f t="shared" si="8"/>
        <v>0.37294318238093693</v>
      </c>
    </row>
    <row r="74" spans="1:62" x14ac:dyDescent="0.25">
      <c r="A74" s="5" t="s">
        <v>33</v>
      </c>
      <c r="B74" s="42">
        <v>2.0373962034653699E-2</v>
      </c>
      <c r="C74" s="44"/>
      <c r="D74" s="42">
        <v>0.101236914763633</v>
      </c>
      <c r="E74" s="42">
        <v>2.7450804091866201E-2</v>
      </c>
      <c r="F74" s="15">
        <v>1.111235100018195</v>
      </c>
      <c r="G74" s="15">
        <v>21.9579587943592</v>
      </c>
      <c r="H74" s="15">
        <v>7.2579587943592401</v>
      </c>
      <c r="I74" s="15">
        <v>14.7</v>
      </c>
      <c r="J74" s="15">
        <v>-7.4420412056407592</v>
      </c>
      <c r="K74" s="15">
        <f t="shared" si="8"/>
        <v>0.33053886576304825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0387-104B-4B51-A441-811704C24959}">
  <dimension ref="A1:BQ74"/>
  <sheetViews>
    <sheetView tabSelected="1" topLeftCell="AW1" zoomScaleNormal="100" workbookViewId="0">
      <selection activeCell="BL13" sqref="BL13"/>
    </sheetView>
  </sheetViews>
  <sheetFormatPr defaultRowHeight="15" x14ac:dyDescent="0.25"/>
  <cols>
    <col min="1" max="1" width="22.85546875" customWidth="1"/>
    <col min="6" max="6" width="13" customWidth="1"/>
    <col min="7" max="7" width="11.140625" customWidth="1"/>
    <col min="8" max="8" width="11.42578125" customWidth="1"/>
    <col min="48" max="48" width="16.140625" customWidth="1"/>
    <col min="50" max="50" width="14.85546875" customWidth="1"/>
    <col min="51" max="51" width="10" customWidth="1"/>
    <col min="52" max="53" width="11.28515625" customWidth="1"/>
    <col min="54" max="54" width="10.28515625" customWidth="1"/>
    <col min="55" max="55" width="10.7109375" customWidth="1"/>
    <col min="56" max="58" width="11.5703125" customWidth="1"/>
    <col min="60" max="60" width="13.85546875" customWidth="1"/>
  </cols>
  <sheetData>
    <row r="1" spans="1:69" ht="48" x14ac:dyDescent="0.25">
      <c r="A1" s="16" t="s">
        <v>59</v>
      </c>
      <c r="B1" s="17" t="s">
        <v>58</v>
      </c>
      <c r="C1" s="17" t="s">
        <v>94</v>
      </c>
      <c r="D1" s="17" t="s">
        <v>95</v>
      </c>
      <c r="E1" s="17" t="s">
        <v>96</v>
      </c>
      <c r="F1" s="17" t="s">
        <v>53</v>
      </c>
      <c r="G1" s="46" t="s">
        <v>110</v>
      </c>
      <c r="H1" s="46" t="s">
        <v>113</v>
      </c>
      <c r="I1" s="46" t="s">
        <v>114</v>
      </c>
      <c r="J1" s="46" t="s">
        <v>120</v>
      </c>
      <c r="K1" s="62" t="s">
        <v>125</v>
      </c>
      <c r="L1" s="61" t="s">
        <v>128</v>
      </c>
      <c r="M1" s="61"/>
      <c r="AP1" s="46" t="s">
        <v>119</v>
      </c>
      <c r="AQ1" s="46" t="s">
        <v>110</v>
      </c>
      <c r="AR1" s="46" t="s">
        <v>111</v>
      </c>
      <c r="AS1" s="46" t="s">
        <v>112</v>
      </c>
      <c r="AV1" s="16" t="s">
        <v>59</v>
      </c>
      <c r="AW1" s="17" t="s">
        <v>58</v>
      </c>
      <c r="AX1" s="17" t="s">
        <v>53</v>
      </c>
      <c r="AY1" s="46" t="s">
        <v>120</v>
      </c>
      <c r="AZ1" s="46" t="s">
        <v>113</v>
      </c>
      <c r="BA1" s="46" t="s">
        <v>114</v>
      </c>
      <c r="BB1" s="62" t="s">
        <v>125</v>
      </c>
      <c r="BC1" s="62" t="s">
        <v>126</v>
      </c>
      <c r="BD1" s="46" t="s">
        <v>110</v>
      </c>
      <c r="BE1" s="56" t="s">
        <v>127</v>
      </c>
      <c r="BF1" s="56"/>
      <c r="BH1" s="16" t="s">
        <v>59</v>
      </c>
      <c r="BI1" s="17" t="s">
        <v>95</v>
      </c>
      <c r="BJ1" s="17" t="s">
        <v>53</v>
      </c>
      <c r="BK1" s="46" t="s">
        <v>120</v>
      </c>
      <c r="BL1" s="46" t="s">
        <v>113</v>
      </c>
      <c r="BM1" s="46" t="s">
        <v>114</v>
      </c>
      <c r="BN1" s="62" t="s">
        <v>125</v>
      </c>
      <c r="BO1" s="62" t="s">
        <v>126</v>
      </c>
      <c r="BP1" s="46" t="s">
        <v>110</v>
      </c>
      <c r="BQ1" s="46" t="s">
        <v>127</v>
      </c>
    </row>
    <row r="2" spans="1:69" x14ac:dyDescent="0.25">
      <c r="A2" s="5" t="s">
        <v>11</v>
      </c>
      <c r="B2" s="42">
        <v>0.17369777575697301</v>
      </c>
      <c r="C2" s="42">
        <v>0.199680501000808</v>
      </c>
      <c r="D2" s="42">
        <v>0.13984116014494999</v>
      </c>
      <c r="E2" s="43">
        <v>1.7836570943256701E-2</v>
      </c>
      <c r="F2" s="15">
        <v>1.1737788669959504</v>
      </c>
      <c r="G2" s="15">
        <v>4</v>
      </c>
      <c r="H2" s="15">
        <v>1.25</v>
      </c>
      <c r="I2" s="15">
        <v>2.75</v>
      </c>
      <c r="J2" s="15">
        <f>H2-I2</f>
        <v>-1.5</v>
      </c>
      <c r="K2" s="15">
        <f>H2/G2</f>
        <v>0.3125</v>
      </c>
      <c r="L2" s="15">
        <v>9.8673684099999903</v>
      </c>
      <c r="M2" s="15"/>
      <c r="AO2" s="5" t="s">
        <v>101</v>
      </c>
      <c r="AP2" s="9">
        <v>1.0078290838208943</v>
      </c>
      <c r="AQ2" s="13">
        <v>2.4954469283408098</v>
      </c>
      <c r="AR2">
        <v>1.8447691432308699</v>
      </c>
      <c r="AS2">
        <v>0.650677785109948</v>
      </c>
      <c r="AV2" s="5" t="s">
        <v>11</v>
      </c>
      <c r="AW2" s="42">
        <v>0.17369777575697301</v>
      </c>
      <c r="AX2" s="15">
        <v>1.1737788669959504</v>
      </c>
      <c r="AY2" s="15">
        <v>-1.5</v>
      </c>
      <c r="AZ2" s="15">
        <v>1.25</v>
      </c>
      <c r="BA2" s="15">
        <v>2.75</v>
      </c>
      <c r="BB2" s="13">
        <f>AZ2/BD2</f>
        <v>0.3125</v>
      </c>
      <c r="BC2" s="13">
        <f>BA2/BD2</f>
        <v>0.6875</v>
      </c>
      <c r="BD2" s="15">
        <v>4</v>
      </c>
      <c r="BE2" s="13">
        <v>0.30708458237534503</v>
      </c>
      <c r="BF2" s="15"/>
      <c r="BH2" s="5" t="s">
        <v>11</v>
      </c>
      <c r="BI2" s="42">
        <v>0.13984116014494999</v>
      </c>
      <c r="BJ2" s="15">
        <v>1.1737788669959504</v>
      </c>
      <c r="BK2" s="15">
        <v>-1.5</v>
      </c>
      <c r="BL2" s="15">
        <v>1.25</v>
      </c>
      <c r="BM2" s="15">
        <v>2.75</v>
      </c>
      <c r="BN2" s="13">
        <v>0.3125</v>
      </c>
      <c r="BO2" s="13">
        <v>0.6875</v>
      </c>
      <c r="BP2" s="15">
        <v>4</v>
      </c>
      <c r="BQ2" s="13">
        <v>0.30708458237534503</v>
      </c>
    </row>
    <row r="3" spans="1:69" x14ac:dyDescent="0.25">
      <c r="A3" s="5" t="s">
        <v>12</v>
      </c>
      <c r="B3" s="42">
        <v>9.9143945152060597E-2</v>
      </c>
      <c r="C3" s="42">
        <v>0.12535086320927399</v>
      </c>
      <c r="D3" s="42">
        <v>8.9326261366187695E-2</v>
      </c>
      <c r="E3" s="43">
        <v>-0.54160608613664096</v>
      </c>
      <c r="F3" s="15">
        <v>1.0182769682576838</v>
      </c>
      <c r="G3" s="15">
        <v>1.1385255280790201</v>
      </c>
      <c r="H3" s="15">
        <v>0.25</v>
      </c>
      <c r="I3" s="15">
        <v>0.88852552807902296</v>
      </c>
      <c r="J3" s="15">
        <f>H3-I3</f>
        <v>-0.63852552807902296</v>
      </c>
      <c r="K3" s="15">
        <f t="shared" ref="K3:K66" si="0">H3/G3</f>
        <v>0.2195822525137518</v>
      </c>
      <c r="L3" s="15">
        <v>0.16766152125</v>
      </c>
      <c r="M3" s="15"/>
      <c r="AO3" s="5" t="s">
        <v>102</v>
      </c>
      <c r="AP3" s="9">
        <v>1.008246697022094</v>
      </c>
      <c r="AQ3" s="13">
        <v>4.9705418000804897</v>
      </c>
      <c r="AR3">
        <v>1.7381901583192201</v>
      </c>
      <c r="AS3">
        <v>3.2323516417612699</v>
      </c>
      <c r="AV3" s="5" t="s">
        <v>12</v>
      </c>
      <c r="AW3" s="42">
        <v>9.9143945152060597E-2</v>
      </c>
      <c r="AX3" s="15">
        <v>1.0182769682576838</v>
      </c>
      <c r="AY3" s="15">
        <v>-0.63852552807902296</v>
      </c>
      <c r="AZ3" s="15">
        <v>0.25</v>
      </c>
      <c r="BA3" s="15">
        <v>0.88852552807902296</v>
      </c>
      <c r="BB3" s="13">
        <f>AZ3/BD3</f>
        <v>0.2195822525137518</v>
      </c>
      <c r="BC3" s="13">
        <f>BA3/BD3</f>
        <v>0.7804177474862507</v>
      </c>
      <c r="BD3" s="15">
        <v>1.1385255280790201</v>
      </c>
      <c r="BE3" s="13">
        <v>0.49664162355941199</v>
      </c>
      <c r="BF3" s="15"/>
      <c r="BH3" s="5" t="s">
        <v>12</v>
      </c>
      <c r="BI3" s="42">
        <v>8.9326261366187695E-2</v>
      </c>
      <c r="BJ3" s="15">
        <v>1.0182769682576838</v>
      </c>
      <c r="BK3" s="15">
        <v>-0.63852552807902296</v>
      </c>
      <c r="BL3" s="15">
        <v>0.25</v>
      </c>
      <c r="BM3" s="15">
        <v>0.88852552807902296</v>
      </c>
      <c r="BN3" s="13">
        <v>0.2195822525137518</v>
      </c>
      <c r="BO3" s="13">
        <v>0.7804177474862507</v>
      </c>
      <c r="BP3" s="15">
        <v>1.1385255280790201</v>
      </c>
      <c r="BQ3" s="13">
        <v>0.49664162355941199</v>
      </c>
    </row>
    <row r="4" spans="1:69" x14ac:dyDescent="0.25">
      <c r="A4" s="5" t="s">
        <v>13</v>
      </c>
      <c r="B4" s="42">
        <v>0.21234239309632399</v>
      </c>
      <c r="C4" s="42">
        <v>0.42964915677977999</v>
      </c>
      <c r="D4" s="42">
        <v>4.6283799610675601E-2</v>
      </c>
      <c r="E4" s="43">
        <v>-0.17637365181995501</v>
      </c>
      <c r="F4" s="15">
        <v>1</v>
      </c>
      <c r="G4" s="15">
        <v>0</v>
      </c>
      <c r="H4" s="15">
        <v>0</v>
      </c>
      <c r="I4" s="15">
        <v>0</v>
      </c>
      <c r="J4" s="15">
        <f t="shared" ref="J4:J20" si="1">H4-I4</f>
        <v>0</v>
      </c>
      <c r="K4" s="15">
        <v>0</v>
      </c>
      <c r="L4" s="15">
        <v>0</v>
      </c>
      <c r="M4" s="15"/>
      <c r="AO4" s="5" t="s">
        <v>103</v>
      </c>
      <c r="AP4" s="9">
        <v>1.0490052443540898</v>
      </c>
      <c r="AQ4" s="13">
        <v>18.738059749368901</v>
      </c>
      <c r="AR4">
        <v>7.75</v>
      </c>
      <c r="AS4">
        <v>10.988059749368899</v>
      </c>
      <c r="AV4" s="5" t="s">
        <v>13</v>
      </c>
      <c r="AW4" s="42">
        <v>0.21234239309632399</v>
      </c>
      <c r="AX4" s="15">
        <v>1</v>
      </c>
      <c r="AY4" s="15">
        <v>0</v>
      </c>
      <c r="AZ4" s="15">
        <v>0</v>
      </c>
      <c r="BA4" s="15">
        <v>0</v>
      </c>
      <c r="BB4" s="13">
        <v>0</v>
      </c>
      <c r="BC4" s="13">
        <v>0</v>
      </c>
      <c r="BD4" s="15">
        <v>0</v>
      </c>
      <c r="BE4" s="15"/>
      <c r="BF4" s="15"/>
      <c r="BH4" s="5" t="s">
        <v>13</v>
      </c>
      <c r="BI4" s="42">
        <v>4.6283799610675601E-2</v>
      </c>
      <c r="BJ4" s="15">
        <v>1</v>
      </c>
      <c r="BK4" s="15">
        <v>0</v>
      </c>
      <c r="BL4" s="15">
        <v>0</v>
      </c>
      <c r="BM4" s="15">
        <v>0</v>
      </c>
      <c r="BN4" s="13">
        <v>0</v>
      </c>
      <c r="BO4" s="13">
        <v>0</v>
      </c>
      <c r="BP4" s="15">
        <v>0</v>
      </c>
      <c r="BQ4" s="15"/>
    </row>
    <row r="5" spans="1:69" x14ac:dyDescent="0.25">
      <c r="A5" s="5" t="s">
        <v>14</v>
      </c>
      <c r="B5" s="42">
        <v>0.14477972148899501</v>
      </c>
      <c r="C5" s="42">
        <v>0.36758406997509402</v>
      </c>
      <c r="D5" s="42">
        <v>3.0850994672477702E-2</v>
      </c>
      <c r="E5" s="42">
        <v>0.41389016217674901</v>
      </c>
      <c r="F5" s="15">
        <v>1</v>
      </c>
      <c r="G5" s="15">
        <v>0</v>
      </c>
      <c r="H5" s="15">
        <v>0</v>
      </c>
      <c r="I5" s="15">
        <v>0</v>
      </c>
      <c r="J5" s="15">
        <f t="shared" si="1"/>
        <v>0</v>
      </c>
      <c r="K5" s="15">
        <v>0</v>
      </c>
      <c r="L5" s="15">
        <v>0</v>
      </c>
      <c r="M5" s="15"/>
      <c r="AO5" s="5" t="s">
        <v>89</v>
      </c>
      <c r="AP5" s="9">
        <v>1.0119508062412015</v>
      </c>
      <c r="AQ5" s="13">
        <v>8.1761484496582497</v>
      </c>
      <c r="AR5">
        <v>3.1258759015031101</v>
      </c>
      <c r="AS5">
        <v>5.0502725481551298</v>
      </c>
      <c r="AV5" s="5" t="s">
        <v>26</v>
      </c>
      <c r="AW5" s="42">
        <v>8.8732929175135894E-2</v>
      </c>
      <c r="AX5" s="15">
        <v>1.0119508062412015</v>
      </c>
      <c r="AY5" s="15">
        <v>-1.9243966466520197</v>
      </c>
      <c r="AZ5" s="15">
        <v>3.1258759015031101</v>
      </c>
      <c r="BA5" s="15">
        <v>5.0502725481551298</v>
      </c>
      <c r="BB5" s="13">
        <f>AZ5/BD5</f>
        <v>0.3823164318443566</v>
      </c>
      <c r="BC5" s="13">
        <f>BA5/BD5</f>
        <v>0.61768356815564218</v>
      </c>
      <c r="BD5" s="15">
        <v>8.1761484496582497</v>
      </c>
      <c r="BE5" s="13">
        <v>0.19059894727801999</v>
      </c>
      <c r="BF5" s="15"/>
      <c r="BH5" s="5" t="s">
        <v>23</v>
      </c>
      <c r="BI5" s="42">
        <v>0.11077055296162799</v>
      </c>
      <c r="BJ5" s="15">
        <v>1.0078290838208943</v>
      </c>
      <c r="BK5" s="15">
        <v>1.194091358120922</v>
      </c>
      <c r="BL5" s="15">
        <v>1.8447691432308699</v>
      </c>
      <c r="BM5" s="15">
        <v>0.650677785109948</v>
      </c>
      <c r="BN5" s="13">
        <v>0.73925400788123874</v>
      </c>
      <c r="BO5" s="13">
        <v>0.26074599211876454</v>
      </c>
      <c r="BP5" s="15">
        <v>2.4954469283408098</v>
      </c>
      <c r="BQ5" s="13"/>
    </row>
    <row r="6" spans="1:69" x14ac:dyDescent="0.25">
      <c r="A6" s="5"/>
      <c r="B6" s="43"/>
      <c r="C6" s="43"/>
      <c r="D6" s="44"/>
      <c r="E6" s="43"/>
      <c r="F6" s="15"/>
      <c r="G6" s="15"/>
      <c r="H6" s="15"/>
      <c r="I6" s="15"/>
      <c r="J6" s="15"/>
      <c r="K6" s="15"/>
      <c r="L6" s="15"/>
      <c r="M6" s="15"/>
      <c r="AO6" s="5" t="s">
        <v>104</v>
      </c>
      <c r="AP6" s="9">
        <v>1.0239451393319936</v>
      </c>
      <c r="AQ6" s="13">
        <v>19.594840851392899</v>
      </c>
      <c r="AR6">
        <v>5.5209579590505999</v>
      </c>
      <c r="AS6">
        <v>14.073882892342301</v>
      </c>
      <c r="AV6" s="5" t="s">
        <v>28</v>
      </c>
      <c r="AW6" s="42">
        <v>0.10415722716452799</v>
      </c>
      <c r="AX6" s="15">
        <v>1.0239451393319936</v>
      </c>
      <c r="AY6" s="15">
        <v>-8.5529249332917008</v>
      </c>
      <c r="AZ6" s="15">
        <v>5.5209579590505999</v>
      </c>
      <c r="BA6" s="15">
        <v>14.073882892342301</v>
      </c>
      <c r="BB6" s="13">
        <f>AZ6/BD6</f>
        <v>0.28175569278268175</v>
      </c>
      <c r="BC6" s="13">
        <f>BA6/BD6</f>
        <v>0.71824430721731836</v>
      </c>
      <c r="BD6" s="15">
        <v>19.594840851392899</v>
      </c>
      <c r="BE6" s="13">
        <v>0.499861288181496</v>
      </c>
      <c r="BF6" s="15"/>
      <c r="BH6" s="5" t="s">
        <v>28</v>
      </c>
      <c r="BI6" s="42">
        <v>5.5397551503622099E-2</v>
      </c>
      <c r="BJ6" s="15">
        <v>1.0239451393319936</v>
      </c>
      <c r="BK6" s="15">
        <v>-8.5529249332917008</v>
      </c>
      <c r="BL6" s="15">
        <v>5.5209579590505999</v>
      </c>
      <c r="BM6" s="15">
        <v>14.073882892342301</v>
      </c>
      <c r="BN6" s="13">
        <v>0.28175569278268175</v>
      </c>
      <c r="BO6" s="13">
        <v>0.71824430721731836</v>
      </c>
      <c r="BP6" s="15">
        <v>19.594840851392899</v>
      </c>
      <c r="BQ6" s="13">
        <v>0.499861288181496</v>
      </c>
    </row>
    <row r="7" spans="1:69" x14ac:dyDescent="0.25">
      <c r="A7" s="5"/>
      <c r="B7" s="43"/>
      <c r="C7" s="43"/>
      <c r="D7" s="42"/>
      <c r="E7" s="42"/>
      <c r="F7" s="15"/>
      <c r="G7" s="15"/>
      <c r="H7" s="15"/>
      <c r="I7" s="15"/>
      <c r="J7" s="15"/>
      <c r="K7" s="15"/>
      <c r="L7" s="15"/>
      <c r="M7" s="15"/>
      <c r="AO7" s="5" t="s">
        <v>105</v>
      </c>
      <c r="AP7" s="9">
        <v>1.0275460447393339</v>
      </c>
      <c r="AQ7" s="13">
        <v>17.2552427011953</v>
      </c>
      <c r="AR7">
        <v>5.1821136906510699</v>
      </c>
      <c r="AS7">
        <v>12.0731290105442</v>
      </c>
      <c r="AV7" s="5" t="s">
        <v>29</v>
      </c>
      <c r="AW7" s="42">
        <v>4.66251429291673E-2</v>
      </c>
      <c r="AX7" s="15">
        <v>1.0275460447393339</v>
      </c>
      <c r="AY7" s="15">
        <v>-6.8910153198931301</v>
      </c>
      <c r="AZ7" s="15">
        <v>5.1821136906510699</v>
      </c>
      <c r="BA7" s="15">
        <v>12.0731290105442</v>
      </c>
      <c r="BB7" s="13">
        <f>AZ7/BD7</f>
        <v>0.30032111285760682</v>
      </c>
      <c r="BC7" s="13">
        <f>BA7/BD7</f>
        <v>0.69967888714239146</v>
      </c>
      <c r="BD7" s="15">
        <v>17.2552427011953</v>
      </c>
      <c r="BE7" s="13">
        <v>0.40695810522245701</v>
      </c>
      <c r="BF7" s="15"/>
      <c r="BH7" s="5" t="s">
        <v>29</v>
      </c>
      <c r="BI7" s="42">
        <v>6.9883057908481996E-2</v>
      </c>
      <c r="BJ7" s="15">
        <v>1.0275460447393339</v>
      </c>
      <c r="BK7" s="15">
        <v>-6.8910153198931301</v>
      </c>
      <c r="BL7" s="15">
        <v>5.1821136906510699</v>
      </c>
      <c r="BM7" s="15">
        <v>12.0731290105442</v>
      </c>
      <c r="BN7" s="13">
        <v>0.30032111285760682</v>
      </c>
      <c r="BO7" s="13">
        <v>0.69967888714239146</v>
      </c>
      <c r="BP7" s="15">
        <v>17.2552427011953</v>
      </c>
      <c r="BQ7" s="13">
        <v>0.40695810522245701</v>
      </c>
    </row>
    <row r="8" spans="1:69" x14ac:dyDescent="0.25">
      <c r="A8" s="5" t="s">
        <v>23</v>
      </c>
      <c r="B8" s="44"/>
      <c r="C8" s="44"/>
      <c r="D8" s="42">
        <v>0.11077055296162799</v>
      </c>
      <c r="E8" s="44"/>
      <c r="F8" s="15">
        <v>1.0078290838208943</v>
      </c>
      <c r="G8" s="15">
        <v>2.4954469283408098</v>
      </c>
      <c r="H8" s="15">
        <v>1.8447691432308699</v>
      </c>
      <c r="I8" s="15">
        <v>0.650677785109948</v>
      </c>
      <c r="J8" s="15">
        <f t="shared" si="1"/>
        <v>1.194091358120922</v>
      </c>
      <c r="K8" s="15">
        <f t="shared" si="0"/>
        <v>0.73925400788123874</v>
      </c>
      <c r="L8" s="15">
        <v>1.1131942168706099</v>
      </c>
      <c r="M8" s="15"/>
      <c r="AO8" s="5" t="s">
        <v>106</v>
      </c>
      <c r="AP8" s="9">
        <v>1.0275826446035865</v>
      </c>
      <c r="AQ8" s="13">
        <v>17.024424898784201</v>
      </c>
      <c r="AR8">
        <v>6.3491431999578403</v>
      </c>
      <c r="AS8">
        <v>10.675281698826399</v>
      </c>
      <c r="AV8" s="5" t="s">
        <v>30</v>
      </c>
      <c r="AW8" s="42">
        <v>9.0894558490112708E-3</v>
      </c>
      <c r="AX8" s="15">
        <v>1.0275826446035865</v>
      </c>
      <c r="AY8" s="15">
        <v>-4.3261384988685592</v>
      </c>
      <c r="AZ8" s="15">
        <v>6.3491431999578403</v>
      </c>
      <c r="BA8" s="15">
        <v>10.675281698826399</v>
      </c>
      <c r="BB8" s="13">
        <f>AZ8/BD8</f>
        <v>0.37294318238093693</v>
      </c>
      <c r="BC8" s="13">
        <f>BA8/BD8</f>
        <v>0.62705681761906529</v>
      </c>
      <c r="BD8" s="15">
        <v>17.024424898784201</v>
      </c>
      <c r="BE8" s="13">
        <v>5.4056282725128302E-2</v>
      </c>
      <c r="BF8" s="15"/>
      <c r="BH8" s="5" t="s">
        <v>30</v>
      </c>
      <c r="BI8" s="42">
        <v>7.8645648239850305E-2</v>
      </c>
      <c r="BJ8" s="15">
        <v>1.0275826446035865</v>
      </c>
      <c r="BK8" s="15">
        <v>-4.3261384988685592</v>
      </c>
      <c r="BL8" s="15">
        <v>6.3491431999578403</v>
      </c>
      <c r="BM8" s="15">
        <v>10.675281698826399</v>
      </c>
      <c r="BN8" s="13">
        <v>0.37294318238093693</v>
      </c>
      <c r="BO8" s="13">
        <v>0.62705681761906529</v>
      </c>
      <c r="BP8" s="15">
        <v>17.024424898784201</v>
      </c>
      <c r="BQ8" s="13">
        <v>5.4056282725128302E-2</v>
      </c>
    </row>
    <row r="9" spans="1:69" x14ac:dyDescent="0.25">
      <c r="A9" s="5" t="s">
        <v>26</v>
      </c>
      <c r="B9" s="42">
        <v>8.8732929175135894E-2</v>
      </c>
      <c r="C9" s="44"/>
      <c r="D9" s="42">
        <v>0.15621819275209001</v>
      </c>
      <c r="E9" s="42">
        <v>1.20306787922476E-2</v>
      </c>
      <c r="F9" s="15">
        <v>1.0119508062412015</v>
      </c>
      <c r="G9" s="15">
        <v>8.1761484496582497</v>
      </c>
      <c r="H9" s="15">
        <v>3.1258759015031101</v>
      </c>
      <c r="I9" s="15">
        <v>5.0502725481551298</v>
      </c>
      <c r="J9" s="15">
        <f t="shared" si="1"/>
        <v>-1.9243966466520197</v>
      </c>
      <c r="K9" s="15">
        <f t="shared" si="0"/>
        <v>0.3823164318443566</v>
      </c>
      <c r="L9" s="15">
        <v>2.2065870384902602</v>
      </c>
      <c r="M9" s="15"/>
      <c r="AO9" s="5" t="s">
        <v>107</v>
      </c>
      <c r="AP9" s="9">
        <v>1.0572093304532362</v>
      </c>
      <c r="AQ9" s="13">
        <v>15.1069524712688</v>
      </c>
      <c r="AR9">
        <v>3.20845082384478</v>
      </c>
      <c r="AS9">
        <v>11.898501647424</v>
      </c>
      <c r="AV9" s="5" t="s">
        <v>33</v>
      </c>
      <c r="AW9" s="42">
        <v>2.0373962034653699E-2</v>
      </c>
      <c r="AX9" s="15">
        <v>1.111235100018195</v>
      </c>
      <c r="AY9" s="15">
        <v>-7.4420412056407592</v>
      </c>
      <c r="AZ9" s="15">
        <v>7.2579587943592401</v>
      </c>
      <c r="BA9" s="15">
        <v>14.7</v>
      </c>
      <c r="BB9" s="13">
        <f>AZ9/BD9</f>
        <v>0.33053886576304825</v>
      </c>
      <c r="BC9" s="13">
        <f>BA9/BD9</f>
        <v>0.66946113423695353</v>
      </c>
      <c r="BD9" s="15">
        <v>21.9579587943592</v>
      </c>
      <c r="BE9" s="13">
        <v>0.45125668170602201</v>
      </c>
      <c r="BF9" s="15"/>
      <c r="BH9" s="5" t="s">
        <v>33</v>
      </c>
      <c r="BI9" s="42">
        <v>0.101236914763633</v>
      </c>
      <c r="BJ9" s="15">
        <v>1.111235100018195</v>
      </c>
      <c r="BK9" s="15">
        <v>-7.4420412056407592</v>
      </c>
      <c r="BL9" s="15">
        <v>7.2579587943592401</v>
      </c>
      <c r="BM9" s="15">
        <v>14.7</v>
      </c>
      <c r="BN9" s="13">
        <v>0.33053886576304825</v>
      </c>
      <c r="BO9" s="13">
        <v>0.66946113423695353</v>
      </c>
      <c r="BP9" s="15">
        <v>21.9579587943592</v>
      </c>
      <c r="BQ9" s="13">
        <v>0.45125668170602201</v>
      </c>
    </row>
    <row r="10" spans="1:69" x14ac:dyDescent="0.25">
      <c r="A10" s="5" t="s">
        <v>28</v>
      </c>
      <c r="B10" s="42">
        <v>0.10415722716452799</v>
      </c>
      <c r="C10" s="44"/>
      <c r="D10" s="42">
        <v>5.5397551503622099E-2</v>
      </c>
      <c r="E10" s="42">
        <v>2.8615745110634201E-2</v>
      </c>
      <c r="F10" s="15">
        <v>1.0239451393319936</v>
      </c>
      <c r="G10" s="15">
        <v>19.594840851392899</v>
      </c>
      <c r="H10" s="15">
        <v>5.5209579590505999</v>
      </c>
      <c r="I10" s="15">
        <v>14.073882892342301</v>
      </c>
      <c r="J10" s="15">
        <f t="shared" si="1"/>
        <v>-8.5529249332917008</v>
      </c>
      <c r="K10" s="15">
        <f t="shared" si="0"/>
        <v>0.28175569278268175</v>
      </c>
      <c r="L10" s="15">
        <v>8.4763382350991101</v>
      </c>
      <c r="AO10" s="5" t="s">
        <v>108</v>
      </c>
      <c r="AP10" s="9">
        <v>1.111235100018195</v>
      </c>
      <c r="AQ10" s="13">
        <v>21.9579587943592</v>
      </c>
      <c r="AR10">
        <v>7.2579587943592401</v>
      </c>
      <c r="AS10">
        <v>14.7</v>
      </c>
    </row>
    <row r="11" spans="1:69" x14ac:dyDescent="0.25">
      <c r="A11" s="5" t="s">
        <v>29</v>
      </c>
      <c r="B11" s="42">
        <v>4.66251429291673E-2</v>
      </c>
      <c r="C11" s="44"/>
      <c r="D11" s="42">
        <v>6.9883057908481996E-2</v>
      </c>
      <c r="E11" s="42">
        <v>4.4113621235337297E-2</v>
      </c>
      <c r="F11" s="15">
        <v>1.0275460447393339</v>
      </c>
      <c r="G11" s="15">
        <v>17.2552427011953</v>
      </c>
      <c r="H11" s="15">
        <v>5.1821136906510699</v>
      </c>
      <c r="I11" s="15">
        <v>12.0731290105442</v>
      </c>
      <c r="J11" s="15">
        <f t="shared" si="1"/>
        <v>-6.8910153198931301</v>
      </c>
      <c r="K11" s="15">
        <f t="shared" si="0"/>
        <v>0.30032111285760682</v>
      </c>
      <c r="L11" s="15">
        <v>9.5412825319663295</v>
      </c>
      <c r="AO11" s="5" t="s">
        <v>109</v>
      </c>
      <c r="AP11" s="9">
        <v>1.0519758315193652</v>
      </c>
      <c r="AQ11" s="13">
        <v>16.640165980770899</v>
      </c>
      <c r="AR11">
        <v>4.2170406154913396</v>
      </c>
      <c r="AS11">
        <v>12.423125365279599</v>
      </c>
    </row>
    <row r="12" spans="1:69" ht="15.75" thickBot="1" x14ac:dyDescent="0.3">
      <c r="A12" s="5" t="s">
        <v>30</v>
      </c>
      <c r="B12" s="42">
        <v>9.0894558490112708E-3</v>
      </c>
      <c r="C12" s="44"/>
      <c r="D12" s="42">
        <v>7.8645648239850305E-2</v>
      </c>
      <c r="E12" s="43">
        <v>-8.0536265843332393E-3</v>
      </c>
      <c r="F12" s="15">
        <v>1.0275826446035865</v>
      </c>
      <c r="G12" s="15">
        <v>17.024424898784201</v>
      </c>
      <c r="H12" s="15">
        <v>6.3491431999578403</v>
      </c>
      <c r="I12" s="15">
        <v>10.675281698826399</v>
      </c>
      <c r="J12" s="15">
        <f t="shared" si="1"/>
        <v>-4.3261384988685592</v>
      </c>
      <c r="K12" s="15">
        <f t="shared" si="0"/>
        <v>0.37294318238093693</v>
      </c>
      <c r="L12" s="15">
        <v>14.7819327483883</v>
      </c>
      <c r="AO12" t="s">
        <v>115</v>
      </c>
      <c r="AP12">
        <v>1.1737788669959499</v>
      </c>
      <c r="AQ12">
        <v>4</v>
      </c>
      <c r="AR12">
        <v>1.25</v>
      </c>
      <c r="AS12">
        <v>2.75</v>
      </c>
    </row>
    <row r="13" spans="1:69" x14ac:dyDescent="0.25">
      <c r="A13" s="5" t="s">
        <v>33</v>
      </c>
      <c r="B13" s="42">
        <v>2.0373962034653699E-2</v>
      </c>
      <c r="C13" s="44"/>
      <c r="D13" s="42">
        <v>0.101236914763633</v>
      </c>
      <c r="E13" s="42">
        <v>2.7450804091866201E-2</v>
      </c>
      <c r="F13" s="15">
        <v>1.111235100018195</v>
      </c>
      <c r="G13" s="15">
        <v>21.9579587943592</v>
      </c>
      <c r="H13" s="15">
        <v>7.2579587943592401</v>
      </c>
      <c r="I13" s="15">
        <v>14.7</v>
      </c>
      <c r="J13" s="15">
        <f t="shared" si="1"/>
        <v>-7.4420412056407592</v>
      </c>
      <c r="K13" s="15">
        <f t="shared" si="0"/>
        <v>0.33053886576304825</v>
      </c>
      <c r="L13" s="15">
        <v>48.251680680319097</v>
      </c>
      <c r="AO13" t="s">
        <v>116</v>
      </c>
      <c r="AP13">
        <v>1.01827696825768</v>
      </c>
      <c r="AQ13">
        <v>1.1385255280790201</v>
      </c>
      <c r="AR13">
        <v>0.25</v>
      </c>
      <c r="AS13">
        <v>0.88852552807902296</v>
      </c>
      <c r="AV13" s="60" t="s">
        <v>62</v>
      </c>
      <c r="AW13" s="60"/>
      <c r="BH13" s="60" t="s">
        <v>62</v>
      </c>
      <c r="BI13" s="60"/>
    </row>
    <row r="14" spans="1:69" x14ac:dyDescent="0.25">
      <c r="A14" s="5" t="s">
        <v>37</v>
      </c>
      <c r="B14" s="42">
        <v>0.14608753400636901</v>
      </c>
      <c r="C14" s="44"/>
      <c r="D14" s="42">
        <v>6.8212961854365706E-2</v>
      </c>
      <c r="E14" s="43">
        <v>-4.2076076707890497E-3</v>
      </c>
      <c r="F14" s="15">
        <v>1.0078290838208943</v>
      </c>
      <c r="G14" s="15">
        <v>2.4954469283408098</v>
      </c>
      <c r="H14" s="15">
        <v>1.8447691432308699</v>
      </c>
      <c r="I14" s="15">
        <v>0.650677785109948</v>
      </c>
      <c r="J14" s="15">
        <f t="shared" si="1"/>
        <v>1.194091358120922</v>
      </c>
      <c r="K14" s="15">
        <f t="shared" si="0"/>
        <v>0.73925400788123874</v>
      </c>
      <c r="L14" s="15">
        <v>1.1131942168706099</v>
      </c>
      <c r="AO14" t="s">
        <v>117</v>
      </c>
      <c r="AP14">
        <v>1</v>
      </c>
      <c r="AQ14">
        <v>0</v>
      </c>
      <c r="AR14">
        <v>0</v>
      </c>
      <c r="AS14">
        <v>0</v>
      </c>
      <c r="AV14" s="57" t="s">
        <v>63</v>
      </c>
      <c r="AW14" s="57">
        <v>0.63939641425597205</v>
      </c>
      <c r="BH14" s="57" t="s">
        <v>63</v>
      </c>
      <c r="BI14" s="57">
        <v>0.85582878233347637</v>
      </c>
    </row>
    <row r="15" spans="1:69" x14ac:dyDescent="0.25">
      <c r="A15" s="5" t="s">
        <v>42</v>
      </c>
      <c r="B15" s="45">
        <v>1.0119527368219401E-2</v>
      </c>
      <c r="C15" s="44"/>
      <c r="D15" s="42">
        <v>9.9852529707758195E-2</v>
      </c>
      <c r="E15" s="42">
        <v>4.4857179056258203E-2</v>
      </c>
      <c r="F15" s="15">
        <v>1.0239451393319936</v>
      </c>
      <c r="G15" s="15">
        <v>19.594840851392899</v>
      </c>
      <c r="H15" s="15">
        <v>5.5209579590505999</v>
      </c>
      <c r="I15" s="15">
        <v>14.073882892342301</v>
      </c>
      <c r="J15" s="15">
        <f>H15-I15</f>
        <v>-8.5529249332917008</v>
      </c>
      <c r="K15" s="15">
        <f t="shared" si="0"/>
        <v>0.28175569278268175</v>
      </c>
      <c r="L15" s="15">
        <v>8.4763382350991101</v>
      </c>
      <c r="AO15" t="s">
        <v>118</v>
      </c>
      <c r="AP15">
        <v>1.0453971899644701</v>
      </c>
      <c r="AQ15">
        <v>4.5222851684946201</v>
      </c>
      <c r="AR15">
        <v>2.1335248576486401</v>
      </c>
      <c r="AS15">
        <v>2.3887603108459801</v>
      </c>
      <c r="AV15" s="57" t="s">
        <v>64</v>
      </c>
      <c r="AW15" s="57">
        <v>0.40882777456339459</v>
      </c>
      <c r="BH15" s="57" t="s">
        <v>64</v>
      </c>
      <c r="BI15" s="57">
        <v>0.73244290467040096</v>
      </c>
    </row>
    <row r="16" spans="1:69" x14ac:dyDescent="0.25">
      <c r="A16" s="5" t="s">
        <v>43</v>
      </c>
      <c r="B16" s="42">
        <v>4.5646344187588998E-2</v>
      </c>
      <c r="C16" s="44"/>
      <c r="D16" s="42">
        <v>5.5815481283492403E-2</v>
      </c>
      <c r="E16" s="42">
        <v>7.6664996000854094E-2</v>
      </c>
      <c r="F16" s="15">
        <v>1.0275460447393339</v>
      </c>
      <c r="G16" s="15">
        <v>17.2552427011953</v>
      </c>
      <c r="H16" s="15">
        <v>5.1821136906510699</v>
      </c>
      <c r="I16" s="15">
        <v>12.0731290105442</v>
      </c>
      <c r="J16" s="15">
        <f t="shared" si="1"/>
        <v>-6.8910153198931301</v>
      </c>
      <c r="K16" s="15">
        <f t="shared" si="0"/>
        <v>0.30032111285760682</v>
      </c>
      <c r="L16" s="15">
        <v>9.5412825319663295</v>
      </c>
      <c r="AV16" s="57" t="s">
        <v>65</v>
      </c>
      <c r="AW16" s="57">
        <v>0.17235888438875246</v>
      </c>
      <c r="BH16" s="57" t="s">
        <v>65</v>
      </c>
      <c r="BI16" s="57">
        <v>0.62542006653856141</v>
      </c>
    </row>
    <row r="17" spans="1:68" x14ac:dyDescent="0.25">
      <c r="A17" s="5" t="s">
        <v>44</v>
      </c>
      <c r="B17" s="42">
        <v>1.47909285306715E-2</v>
      </c>
      <c r="C17" s="44"/>
      <c r="D17" s="42">
        <v>9.5391388976058394E-2</v>
      </c>
      <c r="E17" s="42">
        <v>2.1219861817338499E-2</v>
      </c>
      <c r="F17" s="15">
        <v>1.0275826446035865</v>
      </c>
      <c r="G17" s="15">
        <v>17.024424898784201</v>
      </c>
      <c r="H17" s="15">
        <v>6.3491431999578403</v>
      </c>
      <c r="I17" s="15">
        <v>10.675281698826399</v>
      </c>
      <c r="J17" s="15">
        <f t="shared" si="1"/>
        <v>-4.3261384988685592</v>
      </c>
      <c r="K17" s="15">
        <f t="shared" si="0"/>
        <v>0.37294318238093693</v>
      </c>
      <c r="L17" s="15">
        <v>14.7819327483883</v>
      </c>
      <c r="AV17" s="57" t="s">
        <v>66</v>
      </c>
      <c r="AW17" s="57">
        <v>6.4684848620225263E-2</v>
      </c>
      <c r="BH17" s="57" t="s">
        <v>66</v>
      </c>
      <c r="BI17" s="57">
        <v>1.8767280512430116E-2</v>
      </c>
    </row>
    <row r="18" spans="1:68" ht="15.75" thickBot="1" x14ac:dyDescent="0.3">
      <c r="A18" s="5" t="s">
        <v>46</v>
      </c>
      <c r="B18" s="42">
        <v>2.0282132481243099E-2</v>
      </c>
      <c r="C18" s="44"/>
      <c r="D18" s="42">
        <v>0.115227328160236</v>
      </c>
      <c r="E18" s="42">
        <v>3.1629539106965802E-2</v>
      </c>
      <c r="F18" s="15">
        <v>1.0572093304532362</v>
      </c>
      <c r="G18" s="15">
        <v>15.1069524712688</v>
      </c>
      <c r="H18" s="15">
        <v>3.20845082384478</v>
      </c>
      <c r="I18" s="15">
        <v>11.898501647424</v>
      </c>
      <c r="J18" s="15">
        <f t="shared" si="1"/>
        <v>-8.6900508235792202</v>
      </c>
      <c r="K18" s="15">
        <f>H18/G18</f>
        <v>0.21238240008676676</v>
      </c>
      <c r="L18" s="15">
        <v>15.671540073004801</v>
      </c>
      <c r="AV18" s="58" t="s">
        <v>67</v>
      </c>
      <c r="AW18" s="58">
        <v>8</v>
      </c>
      <c r="BH18" s="58" t="s">
        <v>67</v>
      </c>
      <c r="BI18" s="58">
        <v>8</v>
      </c>
    </row>
    <row r="19" spans="1:68" x14ac:dyDescent="0.25">
      <c r="A19" s="5" t="s">
        <v>47</v>
      </c>
      <c r="B19" s="42">
        <v>3.6679485231980898E-2</v>
      </c>
      <c r="C19" s="44"/>
      <c r="D19" s="42">
        <v>0.157732693122626</v>
      </c>
      <c r="E19" s="42">
        <v>4.3964016574286002E-2</v>
      </c>
      <c r="F19" s="15">
        <v>1.111235100018195</v>
      </c>
      <c r="G19" s="15">
        <v>21.9579587943592</v>
      </c>
      <c r="H19" s="15">
        <v>7.2579587943592401</v>
      </c>
      <c r="I19" s="15">
        <v>14.7</v>
      </c>
      <c r="J19" s="15">
        <f t="shared" si="1"/>
        <v>-7.4420412056407592</v>
      </c>
      <c r="K19" s="15">
        <f t="shared" si="0"/>
        <v>0.33053886576304825</v>
      </c>
      <c r="L19" s="15">
        <v>48.251680680319097</v>
      </c>
    </row>
    <row r="20" spans="1:68" ht="15.75" thickBot="1" x14ac:dyDescent="0.3">
      <c r="A20" s="5" t="s">
        <v>48</v>
      </c>
      <c r="B20" s="42">
        <v>7.7980025652416296E-2</v>
      </c>
      <c r="C20" s="44"/>
      <c r="D20" s="42">
        <v>0.121156039239802</v>
      </c>
      <c r="E20" s="42">
        <v>5.3048699734524599E-2</v>
      </c>
      <c r="F20" s="15">
        <v>1.0519758315193652</v>
      </c>
      <c r="G20" s="15">
        <v>16.640165980770899</v>
      </c>
      <c r="H20" s="15">
        <v>4.2170406154913396</v>
      </c>
      <c r="I20" s="15">
        <v>12.423125365279599</v>
      </c>
      <c r="J20" s="15">
        <f t="shared" si="1"/>
        <v>-8.2060847497882605</v>
      </c>
      <c r="K20" s="15">
        <f t="shared" si="0"/>
        <v>0.25342539373492318</v>
      </c>
      <c r="L20" s="15">
        <v>12.8326939779569</v>
      </c>
      <c r="AV20" t="s">
        <v>68</v>
      </c>
      <c r="BH20" t="s">
        <v>68</v>
      </c>
    </row>
    <row r="21" spans="1:68" x14ac:dyDescent="0.25">
      <c r="K21" s="15"/>
      <c r="AV21" s="59"/>
      <c r="AW21" s="59" t="s">
        <v>73</v>
      </c>
      <c r="AX21" s="59" t="s">
        <v>74</v>
      </c>
      <c r="AY21" s="59" t="s">
        <v>75</v>
      </c>
      <c r="AZ21" s="59" t="s">
        <v>76</v>
      </c>
      <c r="BA21" s="59" t="s">
        <v>77</v>
      </c>
      <c r="BH21" s="59"/>
      <c r="BI21" s="59" t="s">
        <v>73</v>
      </c>
      <c r="BJ21" s="59" t="s">
        <v>74</v>
      </c>
      <c r="BK21" s="59" t="s">
        <v>75</v>
      </c>
      <c r="BL21" s="59" t="s">
        <v>76</v>
      </c>
      <c r="BM21" s="59" t="s">
        <v>77</v>
      </c>
    </row>
    <row r="22" spans="1:68" x14ac:dyDescent="0.25">
      <c r="A22" s="5" t="s">
        <v>99</v>
      </c>
      <c r="K22" s="15"/>
      <c r="M22" s="15"/>
      <c r="AV22" s="57" t="s">
        <v>69</v>
      </c>
      <c r="AW22" s="57">
        <v>2</v>
      </c>
      <c r="AX22" s="57">
        <v>1.4467767056885978E-2</v>
      </c>
      <c r="AY22" s="57">
        <v>7.233883528442989E-3</v>
      </c>
      <c r="AZ22" s="57">
        <v>1.7288860884045176</v>
      </c>
      <c r="BA22" s="57">
        <v>0.26871075823374896</v>
      </c>
      <c r="BH22" s="57" t="s">
        <v>69</v>
      </c>
      <c r="BI22" s="57">
        <v>2</v>
      </c>
      <c r="BJ22" s="57">
        <v>4.8209208234898174E-3</v>
      </c>
      <c r="BK22" s="57">
        <v>2.4104604117449087E-3</v>
      </c>
      <c r="BL22" s="57">
        <v>6.8438000473143603</v>
      </c>
      <c r="BM22" s="57">
        <v>3.7028931578258539E-2</v>
      </c>
    </row>
    <row r="23" spans="1:68" ht="38.25" x14ac:dyDescent="0.25">
      <c r="A23" s="16" t="s">
        <v>59</v>
      </c>
      <c r="B23" s="17" t="s">
        <v>58</v>
      </c>
      <c r="C23" s="17" t="s">
        <v>94</v>
      </c>
      <c r="D23" s="17" t="s">
        <v>95</v>
      </c>
      <c r="E23" s="17" t="s">
        <v>96</v>
      </c>
      <c r="F23" s="17" t="s">
        <v>53</v>
      </c>
      <c r="G23" s="46" t="s">
        <v>110</v>
      </c>
      <c r="H23" s="46" t="s">
        <v>113</v>
      </c>
      <c r="I23" s="46" t="s">
        <v>114</v>
      </c>
      <c r="J23" s="46" t="s">
        <v>120</v>
      </c>
      <c r="K23" s="62" t="s">
        <v>125</v>
      </c>
      <c r="L23" s="61" t="s">
        <v>128</v>
      </c>
      <c r="M23" s="61"/>
      <c r="AV23" s="57" t="s">
        <v>70</v>
      </c>
      <c r="AW23" s="57">
        <v>5</v>
      </c>
      <c r="AX23" s="57">
        <v>2.0920648205107296E-2</v>
      </c>
      <c r="AY23" s="57">
        <v>4.184129641021459E-3</v>
      </c>
      <c r="AZ23" s="57"/>
      <c r="BA23" s="57"/>
      <c r="BH23" s="57" t="s">
        <v>70</v>
      </c>
      <c r="BI23" s="57">
        <v>5</v>
      </c>
      <c r="BJ23" s="57">
        <v>1.7610540891611962E-3</v>
      </c>
      <c r="BK23" s="57">
        <v>3.5221081783223926E-4</v>
      </c>
      <c r="BL23" s="57"/>
      <c r="BM23" s="57"/>
    </row>
    <row r="24" spans="1:68" ht="15.75" thickBot="1" x14ac:dyDescent="0.3">
      <c r="A24" s="5" t="s">
        <v>11</v>
      </c>
      <c r="B24" s="42">
        <v>0.17369777575697301</v>
      </c>
      <c r="C24" s="42">
        <v>0.199680501000808</v>
      </c>
      <c r="D24" s="42">
        <v>0.13984116014494999</v>
      </c>
      <c r="E24" s="43">
        <v>1.7836570943256701E-2</v>
      </c>
      <c r="F24" s="15">
        <v>1.1737788669959504</v>
      </c>
      <c r="G24" s="15">
        <v>4</v>
      </c>
      <c r="H24" s="15">
        <v>1.25</v>
      </c>
      <c r="I24" s="15">
        <v>2.75</v>
      </c>
      <c r="J24" s="15">
        <f>H24-I24</f>
        <v>-1.5</v>
      </c>
      <c r="K24" s="15">
        <f t="shared" si="0"/>
        <v>0.3125</v>
      </c>
      <c r="L24" s="15">
        <v>9.8673684099999903</v>
      </c>
      <c r="M24" s="15"/>
      <c r="AV24" s="58" t="s">
        <v>71</v>
      </c>
      <c r="AW24" s="58">
        <v>7</v>
      </c>
      <c r="AX24" s="58">
        <v>3.5388415261993274E-2</v>
      </c>
      <c r="AY24" s="58"/>
      <c r="AZ24" s="58"/>
      <c r="BA24" s="58"/>
      <c r="BH24" s="58" t="s">
        <v>71</v>
      </c>
      <c r="BI24" s="58">
        <v>7</v>
      </c>
      <c r="BJ24" s="58">
        <v>6.5819749126510138E-3</v>
      </c>
      <c r="BK24" s="58"/>
      <c r="BL24" s="58"/>
      <c r="BM24" s="58"/>
    </row>
    <row r="25" spans="1:68" ht="15.75" thickBot="1" x14ac:dyDescent="0.3">
      <c r="A25" s="5" t="s">
        <v>12</v>
      </c>
      <c r="B25" s="42">
        <v>9.9143945152060597E-2</v>
      </c>
      <c r="C25" s="42">
        <v>0.12535086320927399</v>
      </c>
      <c r="D25" s="42">
        <v>8.9326261366187695E-2</v>
      </c>
      <c r="E25" s="43">
        <v>-0.54160608613664096</v>
      </c>
      <c r="F25" s="15">
        <v>1.0182769682576838</v>
      </c>
      <c r="G25" s="15">
        <v>1.1385255280790201</v>
      </c>
      <c r="H25" s="15">
        <v>0.25</v>
      </c>
      <c r="I25" s="15">
        <v>0.88852552807902296</v>
      </c>
      <c r="J25" s="15">
        <f t="shared" ref="J25" si="2">H25-I25</f>
        <v>-0.63852552807902296</v>
      </c>
      <c r="K25" s="15">
        <f t="shared" si="0"/>
        <v>0.2195822525137518</v>
      </c>
      <c r="L25" s="15">
        <v>0.16766152125</v>
      </c>
      <c r="M25" s="15"/>
    </row>
    <row r="26" spans="1:68" x14ac:dyDescent="0.25">
      <c r="A26" s="5" t="s">
        <v>14</v>
      </c>
      <c r="B26" s="42">
        <v>0.14477972148899501</v>
      </c>
      <c r="C26" s="42">
        <v>0.36758406997509402</v>
      </c>
      <c r="D26" s="42">
        <v>3.0850994672477702E-2</v>
      </c>
      <c r="E26" s="42">
        <v>0.41389016217674901</v>
      </c>
      <c r="F26" s="15">
        <v>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/>
      <c r="AV26" s="59"/>
      <c r="AW26" s="59" t="s">
        <v>78</v>
      </c>
      <c r="AX26" s="59" t="s">
        <v>66</v>
      </c>
      <c r="AY26" s="59" t="s">
        <v>79</v>
      </c>
      <c r="AZ26" s="59" t="s">
        <v>80</v>
      </c>
      <c r="BA26" s="59" t="s">
        <v>81</v>
      </c>
      <c r="BB26" s="59" t="s">
        <v>82</v>
      </c>
      <c r="BC26" s="59" t="s">
        <v>83</v>
      </c>
      <c r="BD26" s="59" t="s">
        <v>84</v>
      </c>
      <c r="BE26" s="63"/>
      <c r="BF26" s="63"/>
      <c r="BH26" s="59"/>
      <c r="BI26" s="59" t="s">
        <v>78</v>
      </c>
      <c r="BJ26" s="59" t="s">
        <v>66</v>
      </c>
      <c r="BK26" s="59" t="s">
        <v>79</v>
      </c>
      <c r="BL26" s="59" t="s">
        <v>80</v>
      </c>
      <c r="BM26" s="59" t="s">
        <v>81</v>
      </c>
      <c r="BN26" s="59" t="s">
        <v>82</v>
      </c>
      <c r="BO26" s="59" t="s">
        <v>83</v>
      </c>
      <c r="BP26" s="59" t="s">
        <v>84</v>
      </c>
    </row>
    <row r="27" spans="1:68" x14ac:dyDescent="0.25">
      <c r="A27" s="5"/>
      <c r="B27" s="43"/>
      <c r="C27" s="43"/>
      <c r="D27" s="42"/>
      <c r="E27" s="42"/>
      <c r="F27" s="15"/>
      <c r="G27" s="15"/>
      <c r="H27" s="15"/>
      <c r="I27" s="15"/>
      <c r="J27" s="15"/>
      <c r="K27" s="15"/>
      <c r="L27" s="15"/>
      <c r="M27" s="15"/>
      <c r="AV27" s="57" t="s">
        <v>72</v>
      </c>
      <c r="AW27" s="57">
        <v>5.3747127857290411E-3</v>
      </c>
      <c r="AX27" s="57">
        <v>0.42394412367598661</v>
      </c>
      <c r="AY27" s="57">
        <v>1.2677880139310161E-2</v>
      </c>
      <c r="AZ27" s="57">
        <v>0.99037509317035732</v>
      </c>
      <c r="BA27" s="57">
        <v>-1.0844083508605176</v>
      </c>
      <c r="BB27" s="57">
        <v>1.0951577764319758</v>
      </c>
      <c r="BC27" s="57">
        <v>-1.0844083508605176</v>
      </c>
      <c r="BD27" s="57">
        <v>1.0951577764319758</v>
      </c>
      <c r="BE27" s="57"/>
      <c r="BF27" s="57"/>
      <c r="BH27" s="57" t="s">
        <v>72</v>
      </c>
      <c r="BI27" s="57">
        <v>-0.32689409363662331</v>
      </c>
      <c r="BJ27" s="57">
        <v>0.12267471559175999</v>
      </c>
      <c r="BK27" s="57">
        <v>-2.6647226533988446</v>
      </c>
      <c r="BL27" s="57">
        <v>4.4630178982072201E-2</v>
      </c>
      <c r="BM27" s="57">
        <v>-0.64223948922865259</v>
      </c>
      <c r="BN27" s="57">
        <v>-1.1548698044594019E-2</v>
      </c>
      <c r="BO27" s="57">
        <v>-0.64223948922865259</v>
      </c>
      <c r="BP27" s="57">
        <v>-1.1548698044594019E-2</v>
      </c>
    </row>
    <row r="28" spans="1:68" x14ac:dyDescent="0.25">
      <c r="A28" s="5" t="s">
        <v>37</v>
      </c>
      <c r="B28" s="42">
        <v>0.14608753400636901</v>
      </c>
      <c r="C28" s="44"/>
      <c r="D28" s="42">
        <v>6.8212961854365706E-2</v>
      </c>
      <c r="E28" s="43">
        <v>-4.2076076707890497E-3</v>
      </c>
      <c r="F28" s="15">
        <v>1.0078290838208943</v>
      </c>
      <c r="G28" s="15">
        <v>2.4954469283408098</v>
      </c>
      <c r="H28" s="15">
        <v>1.8447691432308699</v>
      </c>
      <c r="I28" s="15">
        <v>0.650677785109948</v>
      </c>
      <c r="J28" s="15">
        <f t="shared" ref="J28" si="3">H28-I28</f>
        <v>1.194091358120922</v>
      </c>
      <c r="K28" s="15">
        <f t="shared" si="0"/>
        <v>0.73925400788123874</v>
      </c>
      <c r="L28" s="15">
        <v>1.1131942168706099</v>
      </c>
      <c r="M28" s="15"/>
      <c r="AV28" s="57" t="s">
        <v>53</v>
      </c>
      <c r="AW28" s="57">
        <v>0.13498255527153569</v>
      </c>
      <c r="AX28" s="57">
        <v>0.40435368428213525</v>
      </c>
      <c r="AY28" s="57">
        <v>0.3338229884344332</v>
      </c>
      <c r="AZ28" s="57">
        <v>0.75205857744634208</v>
      </c>
      <c r="BA28" s="57">
        <v>-0.90444168071674247</v>
      </c>
      <c r="BB28" s="57">
        <v>1.174406791259814</v>
      </c>
      <c r="BC28" s="57">
        <v>-0.90444168071674247</v>
      </c>
      <c r="BD28" s="57">
        <v>1.174406791259814</v>
      </c>
      <c r="BE28" s="57"/>
      <c r="BF28" s="57"/>
      <c r="BH28" s="57" t="s">
        <v>53</v>
      </c>
      <c r="BI28" s="57">
        <v>0.40566234813340601</v>
      </c>
      <c r="BJ28" s="57">
        <v>0.11754346848379646</v>
      </c>
      <c r="BK28" s="57">
        <v>3.4511687749738913</v>
      </c>
      <c r="BL28" s="57">
        <v>1.8214687571889758E-2</v>
      </c>
      <c r="BM28" s="57">
        <v>0.10350724315126919</v>
      </c>
      <c r="BN28" s="57">
        <v>0.70781745311554278</v>
      </c>
      <c r="BO28" s="57">
        <v>0.10350724315126919</v>
      </c>
      <c r="BP28" s="57">
        <v>0.70781745311554278</v>
      </c>
    </row>
    <row r="29" spans="1:68" ht="15.75" thickBot="1" x14ac:dyDescent="0.3">
      <c r="A29" s="5" t="s">
        <v>42</v>
      </c>
      <c r="B29" s="45">
        <v>1.0119527368219401E-2</v>
      </c>
      <c r="C29" s="44"/>
      <c r="D29" s="42">
        <v>9.9852529707758195E-2</v>
      </c>
      <c r="E29" s="42">
        <v>4.4857179056258203E-2</v>
      </c>
      <c r="F29" s="15">
        <v>1.0239451393319936</v>
      </c>
      <c r="G29" s="15">
        <v>19.594840851392899</v>
      </c>
      <c r="H29" s="15">
        <v>5.5209579590505999</v>
      </c>
      <c r="I29" s="15">
        <v>14.073882892342301</v>
      </c>
      <c r="J29" s="15">
        <f>H29-I29</f>
        <v>-8.5529249332917008</v>
      </c>
      <c r="K29" s="15">
        <f t="shared" si="0"/>
        <v>0.28175569278268175</v>
      </c>
      <c r="L29" s="15">
        <v>8.4763382350991101</v>
      </c>
      <c r="M29" s="15"/>
      <c r="AV29" s="58" t="s">
        <v>120</v>
      </c>
      <c r="AW29" s="58">
        <v>1.349066245094353E-2</v>
      </c>
      <c r="AX29" s="58">
        <v>7.3017895684816016E-3</v>
      </c>
      <c r="AY29" s="58">
        <v>1.8475830239173678</v>
      </c>
      <c r="AZ29" s="58">
        <v>0.12393324186321493</v>
      </c>
      <c r="BA29" s="58">
        <v>-5.279185181434002E-3</v>
      </c>
      <c r="BB29" s="58">
        <v>3.2260510083321065E-2</v>
      </c>
      <c r="BC29" s="58">
        <v>-5.279185181434002E-3</v>
      </c>
      <c r="BD29" s="58">
        <v>3.2260510083321065E-2</v>
      </c>
      <c r="BE29" s="57"/>
      <c r="BF29" s="57"/>
      <c r="BH29" s="58" t="s">
        <v>120</v>
      </c>
      <c r="BI29" s="58">
        <v>3.4467300774050262E-3</v>
      </c>
      <c r="BJ29" s="58">
        <v>1.8990316718521831E-3</v>
      </c>
      <c r="BK29" s="58">
        <v>1.8149934666667913</v>
      </c>
      <c r="BL29" s="58">
        <v>0.12923914396194949</v>
      </c>
      <c r="BM29" s="58">
        <v>-1.4348862435562592E-3</v>
      </c>
      <c r="BN29" s="58">
        <v>8.3283463983663125E-3</v>
      </c>
      <c r="BO29" s="58">
        <v>-1.4348862435562592E-3</v>
      </c>
      <c r="BP29" s="58">
        <v>8.3283463983663125E-3</v>
      </c>
    </row>
    <row r="30" spans="1:68" x14ac:dyDescent="0.25">
      <c r="A30" s="5" t="s">
        <v>43</v>
      </c>
      <c r="B30" s="42">
        <v>4.5646344187588998E-2</v>
      </c>
      <c r="C30" s="44"/>
      <c r="D30" s="42">
        <v>5.5815481283492403E-2</v>
      </c>
      <c r="E30" s="42">
        <v>7.6664996000854094E-2</v>
      </c>
      <c r="F30" s="15">
        <v>1.0275460447393339</v>
      </c>
      <c r="G30" s="15">
        <v>17.2552427011953</v>
      </c>
      <c r="H30" s="15">
        <v>5.1821136906510699</v>
      </c>
      <c r="I30" s="15">
        <v>12.0731290105442</v>
      </c>
      <c r="J30" s="15">
        <f t="shared" ref="J30:J34" si="4">H30-I30</f>
        <v>-6.8910153198931301</v>
      </c>
      <c r="K30" s="15">
        <f t="shared" si="0"/>
        <v>0.30032111285760682</v>
      </c>
      <c r="L30" s="15">
        <v>9.5412825319663295</v>
      </c>
      <c r="M30" s="15"/>
    </row>
    <row r="31" spans="1:68" x14ac:dyDescent="0.25">
      <c r="A31" s="5" t="s">
        <v>44</v>
      </c>
      <c r="B31" s="42">
        <v>1.47909285306715E-2</v>
      </c>
      <c r="C31" s="44"/>
      <c r="D31" s="42">
        <v>9.5391388976058394E-2</v>
      </c>
      <c r="E31" s="42">
        <v>2.1219861817338499E-2</v>
      </c>
      <c r="F31" s="15">
        <v>1.0275826446035865</v>
      </c>
      <c r="G31" s="15">
        <v>17.024424898784201</v>
      </c>
      <c r="H31" s="15">
        <v>6.3491431999578403</v>
      </c>
      <c r="I31" s="15">
        <v>10.675281698826399</v>
      </c>
      <c r="J31" s="15">
        <f t="shared" si="4"/>
        <v>-4.3261384988685592</v>
      </c>
      <c r="K31" s="15">
        <f t="shared" si="0"/>
        <v>0.37294318238093693</v>
      </c>
      <c r="L31" s="15">
        <v>14.7819327483883</v>
      </c>
      <c r="M31" s="15"/>
    </row>
    <row r="32" spans="1:68" ht="15.75" thickBot="1" x14ac:dyDescent="0.3">
      <c r="A32" s="5" t="s">
        <v>46</v>
      </c>
      <c r="B32" s="42">
        <v>2.0282132481243099E-2</v>
      </c>
      <c r="C32" s="44"/>
      <c r="D32" s="42">
        <v>0.115227328160236</v>
      </c>
      <c r="E32" s="42">
        <v>3.1629539106965802E-2</v>
      </c>
      <c r="F32" s="15">
        <v>1.0572093304532362</v>
      </c>
      <c r="G32" s="15">
        <v>15.1069524712688</v>
      </c>
      <c r="H32" s="15">
        <v>3.20845082384478</v>
      </c>
      <c r="I32" s="15">
        <v>11.898501647424</v>
      </c>
      <c r="J32" s="15">
        <f t="shared" si="4"/>
        <v>-8.6900508235792202</v>
      </c>
      <c r="K32" s="15">
        <f t="shared" si="0"/>
        <v>0.21238240008676676</v>
      </c>
      <c r="L32" s="15">
        <v>15.671540073004801</v>
      </c>
      <c r="M32" s="15"/>
    </row>
    <row r="33" spans="1:68" x14ac:dyDescent="0.25">
      <c r="A33" s="5" t="s">
        <v>47</v>
      </c>
      <c r="B33" s="42">
        <v>3.6679485231980898E-2</v>
      </c>
      <c r="C33" s="44"/>
      <c r="D33" s="42">
        <v>0.157732693122626</v>
      </c>
      <c r="E33" s="42">
        <v>4.3964016574286002E-2</v>
      </c>
      <c r="F33" s="15">
        <v>1.111235100018195</v>
      </c>
      <c r="G33" s="15">
        <v>21.9579587943592</v>
      </c>
      <c r="H33" s="15">
        <v>7.2579587943592401</v>
      </c>
      <c r="I33" s="15">
        <v>14.7</v>
      </c>
      <c r="J33" s="15">
        <f t="shared" si="4"/>
        <v>-7.4420412056407592</v>
      </c>
      <c r="K33" s="15">
        <f t="shared" si="0"/>
        <v>0.33053886576304825</v>
      </c>
      <c r="L33" s="15">
        <v>48.251680680319097</v>
      </c>
      <c r="M33" s="15"/>
      <c r="AV33" s="60" t="s">
        <v>62</v>
      </c>
      <c r="AW33" s="60"/>
      <c r="BH33" s="60" t="s">
        <v>62</v>
      </c>
      <c r="BI33" s="60"/>
    </row>
    <row r="34" spans="1:68" x14ac:dyDescent="0.25">
      <c r="A34" s="5" t="s">
        <v>48</v>
      </c>
      <c r="B34" s="42">
        <v>7.7980025652416296E-2</v>
      </c>
      <c r="C34" s="44"/>
      <c r="D34" s="42">
        <v>0.121156039239802</v>
      </c>
      <c r="E34" s="42">
        <v>5.3048699734524599E-2</v>
      </c>
      <c r="F34" s="15">
        <v>1.0519758315193652</v>
      </c>
      <c r="G34" s="15">
        <v>16.640165980770899</v>
      </c>
      <c r="H34" s="15">
        <v>4.2170406154913396</v>
      </c>
      <c r="I34" s="15">
        <v>12.423125365279599</v>
      </c>
      <c r="J34" s="15">
        <f t="shared" si="4"/>
        <v>-8.2060847497882605</v>
      </c>
      <c r="K34" s="15">
        <f t="shared" si="0"/>
        <v>0.25342539373492318</v>
      </c>
      <c r="L34" s="15">
        <v>12.8326939779569</v>
      </c>
      <c r="M34" s="15"/>
      <c r="AV34" s="57" t="s">
        <v>63</v>
      </c>
      <c r="AW34" s="57">
        <v>0.48937075406756869</v>
      </c>
      <c r="BH34" s="57" t="s">
        <v>63</v>
      </c>
      <c r="BI34" s="57">
        <v>0.80843962775308564</v>
      </c>
    </row>
    <row r="35" spans="1:68" x14ac:dyDescent="0.25">
      <c r="K35" s="15"/>
      <c r="L35" s="15"/>
      <c r="M35" s="15"/>
      <c r="AV35" s="57" t="s">
        <v>64</v>
      </c>
      <c r="AW35" s="57">
        <v>0.23948373493666078</v>
      </c>
      <c r="BH35" s="57" t="s">
        <v>64</v>
      </c>
      <c r="BI35" s="57">
        <v>0.65357463172154762</v>
      </c>
    </row>
    <row r="36" spans="1:68" x14ac:dyDescent="0.25">
      <c r="A36" s="5" t="s">
        <v>98</v>
      </c>
      <c r="K36" s="15"/>
      <c r="L36" s="15"/>
      <c r="M36" s="15"/>
      <c r="AV36" s="57" t="s">
        <v>65</v>
      </c>
      <c r="AW36" s="57">
        <v>-1.4021686751118959E-2</v>
      </c>
      <c r="BH36" s="57" t="s">
        <v>65</v>
      </c>
      <c r="BI36" s="57">
        <v>0.51500448441016666</v>
      </c>
    </row>
    <row r="37" spans="1:68" ht="38.25" x14ac:dyDescent="0.25">
      <c r="A37" s="16" t="s">
        <v>59</v>
      </c>
      <c r="B37" s="17" t="s">
        <v>58</v>
      </c>
      <c r="C37" s="17" t="s">
        <v>94</v>
      </c>
      <c r="D37" s="17" t="s">
        <v>95</v>
      </c>
      <c r="E37" s="17" t="s">
        <v>96</v>
      </c>
      <c r="F37" s="17" t="s">
        <v>53</v>
      </c>
      <c r="G37" s="46" t="s">
        <v>110</v>
      </c>
      <c r="H37" s="46" t="s">
        <v>113</v>
      </c>
      <c r="I37" s="46" t="s">
        <v>114</v>
      </c>
      <c r="J37" s="46" t="s">
        <v>120</v>
      </c>
      <c r="K37" s="62" t="s">
        <v>125</v>
      </c>
      <c r="L37" s="61" t="s">
        <v>128</v>
      </c>
      <c r="M37" s="61"/>
      <c r="AV37" s="57" t="s">
        <v>66</v>
      </c>
      <c r="AW37" s="57">
        <v>8.1058264596785917E-2</v>
      </c>
      <c r="BH37" s="57" t="s">
        <v>66</v>
      </c>
      <c r="BI37" s="57">
        <v>2.1354920197063074E-2</v>
      </c>
    </row>
    <row r="38" spans="1:68" ht="15.75" thickBot="1" x14ac:dyDescent="0.3">
      <c r="A38" s="5" t="s">
        <v>11</v>
      </c>
      <c r="B38" s="42">
        <v>0.17369777575697301</v>
      </c>
      <c r="C38" s="42">
        <v>0.199680501000808</v>
      </c>
      <c r="D38" s="42">
        <v>0.13984116014494999</v>
      </c>
      <c r="E38" s="43">
        <v>1.7836570943256701E-2</v>
      </c>
      <c r="F38" s="15">
        <v>1.1737788669959504</v>
      </c>
      <c r="G38" s="15">
        <v>4</v>
      </c>
      <c r="H38" s="15">
        <v>1.25</v>
      </c>
      <c r="I38" s="15">
        <v>2.75</v>
      </c>
      <c r="J38" s="15">
        <v>-1.5</v>
      </c>
      <c r="K38" s="15">
        <f t="shared" si="0"/>
        <v>0.3125</v>
      </c>
      <c r="L38" s="15">
        <v>9.8673684099999903</v>
      </c>
      <c r="M38" s="15"/>
      <c r="AV38" s="58" t="s">
        <v>67</v>
      </c>
      <c r="AW38" s="58">
        <v>9</v>
      </c>
      <c r="BH38" s="58" t="s">
        <v>67</v>
      </c>
      <c r="BI38" s="58">
        <v>8</v>
      </c>
    </row>
    <row r="39" spans="1:68" x14ac:dyDescent="0.25">
      <c r="A39" s="5" t="s">
        <v>12</v>
      </c>
      <c r="B39" s="42">
        <v>9.9143945152060597E-2</v>
      </c>
      <c r="C39" s="42">
        <v>0.12535086320927399</v>
      </c>
      <c r="D39" s="42">
        <v>8.9326261366187695E-2</v>
      </c>
      <c r="E39" s="43">
        <v>-0.54160608613664096</v>
      </c>
      <c r="F39" s="15">
        <v>1.0182769682576838</v>
      </c>
      <c r="G39" s="15">
        <v>1.1385255280790201</v>
      </c>
      <c r="H39" s="15">
        <v>0.25</v>
      </c>
      <c r="I39" s="15">
        <v>0.88852552807902296</v>
      </c>
      <c r="J39" s="15">
        <v>-0.63852552807902296</v>
      </c>
      <c r="K39" s="15">
        <f t="shared" si="0"/>
        <v>0.2195822525137518</v>
      </c>
      <c r="L39" s="15">
        <v>0.16766152125</v>
      </c>
      <c r="M39" s="15"/>
    </row>
    <row r="40" spans="1:68" ht="15.75" thickBot="1" x14ac:dyDescent="0.3">
      <c r="A40" s="5" t="s">
        <v>13</v>
      </c>
      <c r="B40" s="42">
        <v>0.21234239309632399</v>
      </c>
      <c r="C40" s="42">
        <v>0.42964915677977999</v>
      </c>
      <c r="D40" s="42">
        <v>4.6283799610675601E-2</v>
      </c>
      <c r="E40" s="43">
        <v>-0.17637365181995501</v>
      </c>
      <c r="F40" s="15">
        <v>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/>
      <c r="AV40" t="s">
        <v>68</v>
      </c>
      <c r="BH40" t="s">
        <v>68</v>
      </c>
    </row>
    <row r="41" spans="1:68" x14ac:dyDescent="0.25">
      <c r="A41" s="5"/>
      <c r="B41" s="43"/>
      <c r="C41" s="43"/>
      <c r="D41" s="44"/>
      <c r="E41" s="43"/>
      <c r="F41" s="15"/>
      <c r="G41" s="15"/>
      <c r="H41" s="15"/>
      <c r="I41" s="15"/>
      <c r="J41" s="15"/>
      <c r="K41" s="15"/>
      <c r="L41" s="15"/>
      <c r="M41" s="15"/>
      <c r="AV41" s="59"/>
      <c r="AW41" s="59" t="s">
        <v>73</v>
      </c>
      <c r="AX41" s="59" t="s">
        <v>74</v>
      </c>
      <c r="AY41" s="59" t="s">
        <v>75</v>
      </c>
      <c r="AZ41" s="59" t="s">
        <v>76</v>
      </c>
      <c r="BA41" s="59" t="s">
        <v>77</v>
      </c>
      <c r="BH41" s="59"/>
      <c r="BI41" s="59" t="s">
        <v>73</v>
      </c>
      <c r="BJ41" s="59" t="s">
        <v>74</v>
      </c>
      <c r="BK41" s="59" t="s">
        <v>75</v>
      </c>
      <c r="BL41" s="59" t="s">
        <v>76</v>
      </c>
      <c r="BM41" s="59" t="s">
        <v>77</v>
      </c>
    </row>
    <row r="42" spans="1:68" x14ac:dyDescent="0.25">
      <c r="A42" s="5" t="s">
        <v>23</v>
      </c>
      <c r="B42" s="44"/>
      <c r="C42" s="44"/>
      <c r="D42" s="42">
        <v>0.11077055296162799</v>
      </c>
      <c r="E42" s="44"/>
      <c r="F42" s="15">
        <v>1.0078290838208943</v>
      </c>
      <c r="G42" s="15">
        <v>2.4954469283408098</v>
      </c>
      <c r="H42" s="15">
        <v>1.8447691432308699</v>
      </c>
      <c r="I42" s="15">
        <v>0.650677785109948</v>
      </c>
      <c r="J42" s="15">
        <v>1.194091358120922</v>
      </c>
      <c r="K42" s="15">
        <f t="shared" si="0"/>
        <v>0.73925400788123874</v>
      </c>
      <c r="L42" s="15">
        <v>1.1131942168706099</v>
      </c>
      <c r="M42" s="15"/>
      <c r="AV42" s="57" t="s">
        <v>69</v>
      </c>
      <c r="AW42" s="57">
        <v>2</v>
      </c>
      <c r="AX42" s="57">
        <v>1.2414046547808623E-2</v>
      </c>
      <c r="AY42" s="57">
        <v>6.2070232739043114E-3</v>
      </c>
      <c r="AZ42" s="57">
        <v>0.94468880918693632</v>
      </c>
      <c r="BA42" s="57">
        <v>0.43987119192687779</v>
      </c>
      <c r="BH42" s="57" t="s">
        <v>69</v>
      </c>
      <c r="BI42" s="57">
        <v>2</v>
      </c>
      <c r="BJ42" s="57">
        <v>4.3018118295363519E-3</v>
      </c>
      <c r="BK42" s="57">
        <v>2.150905914768176E-3</v>
      </c>
      <c r="BL42" s="57">
        <v>4.7165615711795423</v>
      </c>
      <c r="BM42" s="57">
        <v>7.0635694298182949E-2</v>
      </c>
    </row>
    <row r="43" spans="1:68" x14ac:dyDescent="0.25">
      <c r="A43" s="5" t="s">
        <v>26</v>
      </c>
      <c r="B43" s="42">
        <v>8.8732929175135894E-2</v>
      </c>
      <c r="C43" s="44"/>
      <c r="D43" s="42">
        <v>0.15621819275209001</v>
      </c>
      <c r="E43" s="42">
        <v>1.20306787922476E-2</v>
      </c>
      <c r="F43" s="15">
        <v>1.0119508062412015</v>
      </c>
      <c r="G43" s="15">
        <v>8.1761484496582497</v>
      </c>
      <c r="H43" s="15">
        <v>3.1258759015031101</v>
      </c>
      <c r="I43" s="15">
        <v>5.0502725481551298</v>
      </c>
      <c r="J43" s="15">
        <v>-1.9243966466520197</v>
      </c>
      <c r="K43" s="15">
        <f t="shared" si="0"/>
        <v>0.3823164318443566</v>
      </c>
      <c r="L43" s="15">
        <v>2.2065870384902602</v>
      </c>
      <c r="M43" s="15"/>
      <c r="AV43" s="57" t="s">
        <v>70</v>
      </c>
      <c r="AW43" s="57">
        <v>6</v>
      </c>
      <c r="AX43" s="57">
        <v>3.9422653556655335E-2</v>
      </c>
      <c r="AY43" s="57">
        <v>6.5704422594425561E-3</v>
      </c>
      <c r="AZ43" s="57"/>
      <c r="BA43" s="57"/>
      <c r="BH43" s="57" t="s">
        <v>70</v>
      </c>
      <c r="BI43" s="57">
        <v>5</v>
      </c>
      <c r="BJ43" s="57">
        <v>2.2801630831146623E-3</v>
      </c>
      <c r="BK43" s="57">
        <v>4.5603261662293244E-4</v>
      </c>
      <c r="BL43" s="57"/>
      <c r="BM43" s="57"/>
    </row>
    <row r="44" spans="1:68" ht="15.75" thickBot="1" x14ac:dyDescent="0.3">
      <c r="A44" s="5" t="s">
        <v>28</v>
      </c>
      <c r="B44" s="42">
        <v>0.10415722716452799</v>
      </c>
      <c r="C44" s="44"/>
      <c r="D44" s="42">
        <v>5.5397551503622099E-2</v>
      </c>
      <c r="E44" s="42">
        <v>2.8615745110634201E-2</v>
      </c>
      <c r="F44" s="15">
        <v>1.0239451393319936</v>
      </c>
      <c r="G44" s="15">
        <v>19.594840851392899</v>
      </c>
      <c r="H44" s="15">
        <v>5.5209579590505999</v>
      </c>
      <c r="I44" s="15">
        <v>14.073882892342301</v>
      </c>
      <c r="J44" s="15">
        <v>-8.5529249332917008</v>
      </c>
      <c r="K44" s="15">
        <f t="shared" si="0"/>
        <v>0.28175569278268175</v>
      </c>
      <c r="L44" s="15">
        <v>8.4763382350991101</v>
      </c>
      <c r="M44" s="15"/>
      <c r="AV44" s="58" t="s">
        <v>71</v>
      </c>
      <c r="AW44" s="58">
        <v>8</v>
      </c>
      <c r="AX44" s="58">
        <v>5.1836700104463958E-2</v>
      </c>
      <c r="AY44" s="58"/>
      <c r="AZ44" s="58"/>
      <c r="BA44" s="58"/>
      <c r="BH44" s="58" t="s">
        <v>71</v>
      </c>
      <c r="BI44" s="58">
        <v>7</v>
      </c>
      <c r="BJ44" s="58">
        <v>6.5819749126510146E-3</v>
      </c>
      <c r="BK44" s="58"/>
      <c r="BL44" s="58"/>
      <c r="BM44" s="58"/>
    </row>
    <row r="45" spans="1:68" ht="15.75" thickBot="1" x14ac:dyDescent="0.3">
      <c r="A45" s="5" t="s">
        <v>29</v>
      </c>
      <c r="B45" s="42">
        <v>4.66251429291673E-2</v>
      </c>
      <c r="C45" s="44"/>
      <c r="D45" s="42">
        <v>6.9883057908481996E-2</v>
      </c>
      <c r="E45" s="42">
        <v>4.4113621235337297E-2</v>
      </c>
      <c r="F45" s="15">
        <v>1.0275460447393339</v>
      </c>
      <c r="G45" s="15">
        <v>17.2552427011953</v>
      </c>
      <c r="H45" s="15">
        <v>5.1821136906510699</v>
      </c>
      <c r="I45" s="15">
        <v>12.0731290105442</v>
      </c>
      <c r="J45" s="15">
        <v>-6.8910153198931301</v>
      </c>
      <c r="K45" s="15">
        <f t="shared" si="0"/>
        <v>0.30032111285760682</v>
      </c>
      <c r="L45" s="15">
        <v>9.5412825319663295</v>
      </c>
      <c r="M45" s="15"/>
    </row>
    <row r="46" spans="1:68" x14ac:dyDescent="0.25">
      <c r="A46" s="5" t="s">
        <v>30</v>
      </c>
      <c r="B46" s="42">
        <v>9.0894558490112708E-3</v>
      </c>
      <c r="C46" s="44"/>
      <c r="D46" s="42">
        <v>7.8645648239850305E-2</v>
      </c>
      <c r="E46" s="43">
        <v>-8.0536265843332393E-3</v>
      </c>
      <c r="F46" s="15">
        <v>1.0275826446035865</v>
      </c>
      <c r="G46" s="15">
        <v>17.024424898784201</v>
      </c>
      <c r="H46" s="15">
        <v>6.3491431999578403</v>
      </c>
      <c r="I46" s="15">
        <v>10.675281698826399</v>
      </c>
      <c r="J46" s="15">
        <v>-4.3261384988685592</v>
      </c>
      <c r="K46" s="15">
        <f t="shared" si="0"/>
        <v>0.37294318238093693</v>
      </c>
      <c r="L46" s="15">
        <v>14.7819327483883</v>
      </c>
      <c r="M46" s="15"/>
      <c r="AV46" s="59"/>
      <c r="AW46" s="59" t="s">
        <v>78</v>
      </c>
      <c r="AX46" s="59" t="s">
        <v>66</v>
      </c>
      <c r="AY46" s="59" t="s">
        <v>79</v>
      </c>
      <c r="AZ46" s="59" t="s">
        <v>80</v>
      </c>
      <c r="BA46" s="59" t="s">
        <v>81</v>
      </c>
      <c r="BB46" s="59" t="s">
        <v>82</v>
      </c>
      <c r="BC46" s="59" t="s">
        <v>83</v>
      </c>
      <c r="BD46" s="59" t="s">
        <v>84</v>
      </c>
      <c r="BE46" s="63"/>
      <c r="BF46" s="63"/>
      <c r="BH46" s="59"/>
      <c r="BI46" s="59" t="s">
        <v>78</v>
      </c>
      <c r="BJ46" s="59" t="s">
        <v>66</v>
      </c>
      <c r="BK46" s="59" t="s">
        <v>79</v>
      </c>
      <c r="BL46" s="59" t="s">
        <v>80</v>
      </c>
      <c r="BM46" s="59" t="s">
        <v>81</v>
      </c>
      <c r="BN46" s="59" t="s">
        <v>82</v>
      </c>
      <c r="BO46" s="59" t="s">
        <v>83</v>
      </c>
      <c r="BP46" s="59" t="s">
        <v>84</v>
      </c>
    </row>
    <row r="47" spans="1:68" x14ac:dyDescent="0.25">
      <c r="A47" s="5" t="s">
        <v>33</v>
      </c>
      <c r="B47" s="42">
        <v>2.0373962034653699E-2</v>
      </c>
      <c r="C47" s="44"/>
      <c r="D47" s="42">
        <v>0.101236914763633</v>
      </c>
      <c r="E47" s="42">
        <v>2.7450804091866201E-2</v>
      </c>
      <c r="F47" s="15">
        <v>1.111235100018195</v>
      </c>
      <c r="G47" s="15">
        <v>21.9579587943592</v>
      </c>
      <c r="H47" s="15">
        <v>7.2579587943592401</v>
      </c>
      <c r="I47" s="15">
        <v>14.7</v>
      </c>
      <c r="J47" s="15">
        <v>-7.4420412056407592</v>
      </c>
      <c r="K47" s="15">
        <f t="shared" si="0"/>
        <v>0.33053886576304825</v>
      </c>
      <c r="L47" s="15">
        <v>48.251680680319097</v>
      </c>
      <c r="M47" s="15"/>
      <c r="AV47" s="57" t="s">
        <v>72</v>
      </c>
      <c r="AW47" s="57">
        <v>-3.7153468647480391E-2</v>
      </c>
      <c r="AX47" s="57">
        <v>0.53084668963576975</v>
      </c>
      <c r="AY47" s="57">
        <v>-6.9989074760874043E-2</v>
      </c>
      <c r="AZ47" s="57">
        <v>0.94647674698858308</v>
      </c>
      <c r="BA47" s="57">
        <v>-1.336088524658321</v>
      </c>
      <c r="BB47" s="57">
        <v>1.2617815873633602</v>
      </c>
      <c r="BC47" s="57">
        <v>-1.336088524658321</v>
      </c>
      <c r="BD47" s="57">
        <v>1.2617815873633602</v>
      </c>
      <c r="BE47" s="57"/>
      <c r="BF47" s="57"/>
      <c r="BH47" s="57" t="s">
        <v>72</v>
      </c>
      <c r="BI47" s="57">
        <v>-0.31783730190634446</v>
      </c>
      <c r="BJ47" s="57">
        <v>0.13933086421503724</v>
      </c>
      <c r="BK47" s="57">
        <v>-2.2811693855268715</v>
      </c>
      <c r="BL47" s="57">
        <v>7.1433539506165974E-2</v>
      </c>
      <c r="BM47" s="57">
        <v>-0.67599869060102902</v>
      </c>
      <c r="BN47" s="57">
        <v>4.0324086788340097E-2</v>
      </c>
      <c r="BO47" s="57">
        <v>-0.67599869060102902</v>
      </c>
      <c r="BP47" s="57">
        <v>4.0324086788340097E-2</v>
      </c>
    </row>
    <row r="48" spans="1:68" x14ac:dyDescent="0.25">
      <c r="K48" s="15"/>
      <c r="L48" s="15"/>
      <c r="M48" s="15"/>
      <c r="AV48" s="57" t="s">
        <v>53</v>
      </c>
      <c r="AW48" s="57">
        <v>0.15629388026054086</v>
      </c>
      <c r="AX48" s="57">
        <v>0.50694423610723038</v>
      </c>
      <c r="AY48" s="57">
        <v>0.30830586310775432</v>
      </c>
      <c r="AZ48" s="57">
        <v>0.76827290458907793</v>
      </c>
      <c r="BA48" s="57">
        <v>-1.0841539789398749</v>
      </c>
      <c r="BB48" s="57">
        <v>1.3967417394609567</v>
      </c>
      <c r="BC48" s="57">
        <v>-1.0841539789398749</v>
      </c>
      <c r="BD48" s="57">
        <v>1.3967417394609567</v>
      </c>
      <c r="BE48" s="57"/>
      <c r="BF48" s="57"/>
      <c r="BH48" s="57" t="s">
        <v>53</v>
      </c>
      <c r="BI48" s="57">
        <v>0.39577834821354096</v>
      </c>
      <c r="BJ48" s="57">
        <v>0.13351643930761767</v>
      </c>
      <c r="BK48" s="57">
        <v>2.9642667993989873</v>
      </c>
      <c r="BL48" s="57">
        <v>3.13639480730745E-2</v>
      </c>
      <c r="BM48" s="57">
        <v>5.2563414570540479E-2</v>
      </c>
      <c r="BN48" s="57">
        <v>0.73899328185654145</v>
      </c>
      <c r="BO48" s="57">
        <v>5.2563414570540479E-2</v>
      </c>
      <c r="BP48" s="57">
        <v>0.73899328185654145</v>
      </c>
    </row>
    <row r="49" spans="1:68" ht="15.75" thickBot="1" x14ac:dyDescent="0.3">
      <c r="A49" s="5" t="s">
        <v>121</v>
      </c>
      <c r="K49" s="15"/>
      <c r="L49" s="15"/>
      <c r="M49" s="15"/>
      <c r="AV49" s="58" t="s">
        <v>110</v>
      </c>
      <c r="AW49" s="58">
        <v>-4.5755113050218923E-3</v>
      </c>
      <c r="AX49" s="58">
        <v>3.3660004022408939E-3</v>
      </c>
      <c r="AY49" s="58">
        <v>-1.3593317760674579</v>
      </c>
      <c r="AZ49" s="58">
        <v>0.22290940119196909</v>
      </c>
      <c r="BA49" s="58">
        <v>-1.281181758022387E-2</v>
      </c>
      <c r="BB49" s="58">
        <v>3.6607949701800858E-3</v>
      </c>
      <c r="BC49" s="58">
        <v>-1.281181758022387E-2</v>
      </c>
      <c r="BD49" s="58">
        <v>3.6607949701800858E-3</v>
      </c>
      <c r="BE49" s="57"/>
      <c r="BF49" s="57"/>
      <c r="BH49" s="58" t="s">
        <v>110</v>
      </c>
      <c r="BI49" s="58">
        <v>-1.0372276668328196E-3</v>
      </c>
      <c r="BJ49" s="58">
        <v>8.7477052432087445E-4</v>
      </c>
      <c r="BK49" s="58">
        <v>-1.1857140106979123</v>
      </c>
      <c r="BL49" s="58">
        <v>0.28900777821946655</v>
      </c>
      <c r="BM49" s="58">
        <v>-3.2858968870021149E-3</v>
      </c>
      <c r="BN49" s="58">
        <v>1.2114415533364755E-3</v>
      </c>
      <c r="BO49" s="58">
        <v>-3.2858968870021149E-3</v>
      </c>
      <c r="BP49" s="58">
        <v>1.2114415533364755E-3</v>
      </c>
    </row>
    <row r="50" spans="1:68" ht="38.25" x14ac:dyDescent="0.25">
      <c r="A50" s="16" t="s">
        <v>59</v>
      </c>
      <c r="B50" s="17" t="s">
        <v>58</v>
      </c>
      <c r="C50" s="17" t="s">
        <v>94</v>
      </c>
      <c r="D50" s="17" t="s">
        <v>95</v>
      </c>
      <c r="E50" s="17" t="s">
        <v>96</v>
      </c>
      <c r="F50" s="17" t="s">
        <v>53</v>
      </c>
      <c r="G50" s="46" t="s">
        <v>110</v>
      </c>
      <c r="H50" s="46" t="s">
        <v>113</v>
      </c>
      <c r="I50" s="46" t="s">
        <v>114</v>
      </c>
      <c r="J50" s="46" t="s">
        <v>120</v>
      </c>
      <c r="K50" s="62" t="s">
        <v>125</v>
      </c>
      <c r="L50" s="61" t="s">
        <v>128</v>
      </c>
      <c r="M50" s="61"/>
      <c r="AV50" t="s">
        <v>61</v>
      </c>
      <c r="BH50" t="s">
        <v>61</v>
      </c>
    </row>
    <row r="51" spans="1:68" ht="15.75" thickBot="1" x14ac:dyDescent="0.3">
      <c r="A51" s="5" t="s">
        <v>11</v>
      </c>
      <c r="B51" s="42">
        <v>0.17369777575697301</v>
      </c>
      <c r="C51" s="42">
        <v>0.199680501000808</v>
      </c>
      <c r="D51" s="42">
        <v>0.13984116014494999</v>
      </c>
      <c r="E51" s="43">
        <v>1.7836570943256701E-2</v>
      </c>
      <c r="F51" s="15">
        <v>1.1737788669959504</v>
      </c>
      <c r="G51" s="15">
        <v>4</v>
      </c>
      <c r="H51" s="15">
        <v>1.25</v>
      </c>
      <c r="I51" s="15">
        <v>2.75</v>
      </c>
      <c r="J51" s="15">
        <v>-1.5</v>
      </c>
      <c r="K51" s="15">
        <f t="shared" si="0"/>
        <v>0.3125</v>
      </c>
      <c r="L51" s="15">
        <v>9.8673684099999903</v>
      </c>
      <c r="M51" s="15"/>
    </row>
    <row r="52" spans="1:68" x14ac:dyDescent="0.25">
      <c r="A52" s="5" t="s">
        <v>12</v>
      </c>
      <c r="B52" s="42">
        <v>9.9143945152060597E-2</v>
      </c>
      <c r="C52" s="42">
        <v>0.12535086320927399</v>
      </c>
      <c r="D52" s="42">
        <v>8.9326261366187695E-2</v>
      </c>
      <c r="E52" s="43">
        <v>-0.54160608613664096</v>
      </c>
      <c r="F52" s="15">
        <v>1.0182769682576838</v>
      </c>
      <c r="G52" s="15">
        <v>1.1385255280790201</v>
      </c>
      <c r="H52" s="15">
        <v>0.25</v>
      </c>
      <c r="I52" s="15">
        <v>0.88852552807902296</v>
      </c>
      <c r="J52" s="15">
        <v>-0.63852552807902296</v>
      </c>
      <c r="K52" s="15">
        <f t="shared" si="0"/>
        <v>0.2195822525137518</v>
      </c>
      <c r="L52" s="15">
        <v>0.16766152125</v>
      </c>
      <c r="M52" s="15"/>
      <c r="AV52" s="60" t="s">
        <v>62</v>
      </c>
      <c r="AW52" s="60"/>
      <c r="BH52" s="60" t="s">
        <v>62</v>
      </c>
      <c r="BI52" s="60"/>
    </row>
    <row r="53" spans="1:68" x14ac:dyDescent="0.25">
      <c r="A53" s="5" t="s">
        <v>13</v>
      </c>
      <c r="B53" s="42">
        <v>0.21234239309632399</v>
      </c>
      <c r="C53" s="42">
        <v>0.42964915677977999</v>
      </c>
      <c r="D53" s="42">
        <v>4.6283799610675601E-2</v>
      </c>
      <c r="E53" s="43">
        <v>-0.17637365181995501</v>
      </c>
      <c r="F53" s="15">
        <v>1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/>
      <c r="AV53" s="57" t="s">
        <v>63</v>
      </c>
      <c r="AW53" s="57">
        <v>0.84932579024205879</v>
      </c>
      <c r="BH53" s="57" t="s">
        <v>63</v>
      </c>
      <c r="BI53" s="57">
        <v>0.91216011160202104</v>
      </c>
    </row>
    <row r="54" spans="1:68" x14ac:dyDescent="0.25">
      <c r="A54" s="5"/>
      <c r="B54" s="43"/>
      <c r="C54" s="43"/>
      <c r="D54" s="44"/>
      <c r="E54" s="43"/>
      <c r="F54" s="15"/>
      <c r="G54" s="15"/>
      <c r="H54" s="15"/>
      <c r="I54" s="15"/>
      <c r="J54" s="15"/>
      <c r="K54" s="15"/>
      <c r="L54" s="15"/>
      <c r="M54" s="15"/>
      <c r="AV54" s="57" t="s">
        <v>64</v>
      </c>
      <c r="AW54" s="57">
        <v>0.7213542979702976</v>
      </c>
      <c r="BH54" s="57" t="s">
        <v>64</v>
      </c>
      <c r="BI54" s="57">
        <v>0.83203606919781148</v>
      </c>
    </row>
    <row r="55" spans="1:68" x14ac:dyDescent="0.25">
      <c r="A55" s="5" t="s">
        <v>37</v>
      </c>
      <c r="B55" s="42">
        <v>0.14608753400636901</v>
      </c>
      <c r="C55" s="44"/>
      <c r="D55" s="42">
        <v>6.8212961854365706E-2</v>
      </c>
      <c r="E55" s="43">
        <v>-4.2076076707890497E-3</v>
      </c>
      <c r="F55" s="15">
        <v>1.0078290838208943</v>
      </c>
      <c r="G55" s="15">
        <v>2.4954469283408098</v>
      </c>
      <c r="H55" s="15">
        <v>1.8447691432308699</v>
      </c>
      <c r="I55" s="15">
        <v>0.650677785109948</v>
      </c>
      <c r="J55" s="15">
        <f t="shared" ref="J55" si="5">H55-I55</f>
        <v>1.194091358120922</v>
      </c>
      <c r="K55" s="15">
        <f t="shared" si="0"/>
        <v>0.73925400788123874</v>
      </c>
      <c r="L55" s="15">
        <v>1.1131942168706099</v>
      </c>
      <c r="M55" s="15"/>
      <c r="AV55" s="57" t="s">
        <v>65</v>
      </c>
      <c r="AW55" s="57">
        <v>0.62847239729373017</v>
      </c>
      <c r="BH55" s="57" t="s">
        <v>65</v>
      </c>
      <c r="BI55" s="57">
        <v>0.76485049687693607</v>
      </c>
    </row>
    <row r="56" spans="1:68" x14ac:dyDescent="0.25">
      <c r="A56" s="5" t="s">
        <v>42</v>
      </c>
      <c r="B56" s="45">
        <v>1.0119527368219401E-2</v>
      </c>
      <c r="C56" s="44"/>
      <c r="D56" s="42">
        <v>9.9852529707758195E-2</v>
      </c>
      <c r="E56" s="42">
        <v>4.4857179056258203E-2</v>
      </c>
      <c r="F56" s="15">
        <v>1.0239451393319936</v>
      </c>
      <c r="G56" s="15">
        <v>19.594840851392899</v>
      </c>
      <c r="H56" s="15">
        <v>5.5209579590505999</v>
      </c>
      <c r="I56" s="15">
        <v>14.073882892342301</v>
      </c>
      <c r="J56" s="15">
        <f>H56-I56</f>
        <v>-8.5529249332917008</v>
      </c>
      <c r="K56" s="15">
        <f t="shared" si="0"/>
        <v>0.28175569278268175</v>
      </c>
      <c r="L56" s="15">
        <v>8.4763382350991101</v>
      </c>
      <c r="M56" s="15"/>
      <c r="AV56" s="57" t="s">
        <v>66</v>
      </c>
      <c r="AW56" s="57">
        <v>4.9064708449678154E-2</v>
      </c>
      <c r="BH56" s="57" t="s">
        <v>66</v>
      </c>
      <c r="BI56" s="57">
        <v>1.4869662933437701E-2</v>
      </c>
    </row>
    <row r="57" spans="1:68" ht="15.75" thickBot="1" x14ac:dyDescent="0.3">
      <c r="A57" s="5" t="s">
        <v>43</v>
      </c>
      <c r="B57" s="42">
        <v>4.5646344187588998E-2</v>
      </c>
      <c r="C57" s="44"/>
      <c r="D57" s="42">
        <v>5.5815481283492403E-2</v>
      </c>
      <c r="E57" s="42">
        <v>7.6664996000854094E-2</v>
      </c>
      <c r="F57" s="15">
        <v>1.0275460447393339</v>
      </c>
      <c r="G57" s="15">
        <v>17.2552427011953</v>
      </c>
      <c r="H57" s="15">
        <v>5.1821136906510699</v>
      </c>
      <c r="I57" s="15">
        <v>12.0731290105442</v>
      </c>
      <c r="J57" s="15">
        <f t="shared" ref="J57:J61" si="6">H57-I57</f>
        <v>-6.8910153198931301</v>
      </c>
      <c r="K57" s="15">
        <f t="shared" si="0"/>
        <v>0.30032111285760682</v>
      </c>
      <c r="L57" s="15">
        <v>9.5412825319663295</v>
      </c>
      <c r="M57" s="15"/>
      <c r="AV57" s="58" t="s">
        <v>67</v>
      </c>
      <c r="AW57" s="58">
        <v>9</v>
      </c>
      <c r="BH57" s="58" t="s">
        <v>67</v>
      </c>
      <c r="BI57" s="58">
        <v>8</v>
      </c>
    </row>
    <row r="58" spans="1:68" x14ac:dyDescent="0.25">
      <c r="A58" s="5" t="s">
        <v>44</v>
      </c>
      <c r="B58" s="42">
        <v>1.47909285306715E-2</v>
      </c>
      <c r="C58" s="44"/>
      <c r="D58" s="42">
        <v>9.5391388976058394E-2</v>
      </c>
      <c r="E58" s="42">
        <v>2.1219861817338499E-2</v>
      </c>
      <c r="F58" s="15">
        <v>1.0275826446035865</v>
      </c>
      <c r="G58" s="15">
        <v>17.024424898784201</v>
      </c>
      <c r="H58" s="15">
        <v>6.3491431999578403</v>
      </c>
      <c r="I58" s="15">
        <v>10.675281698826399</v>
      </c>
      <c r="J58" s="15">
        <f t="shared" si="6"/>
        <v>-4.3261384988685592</v>
      </c>
      <c r="K58" s="15">
        <f t="shared" si="0"/>
        <v>0.37294318238093693</v>
      </c>
      <c r="L58" s="15">
        <v>14.7819327483883</v>
      </c>
      <c r="M58" s="15"/>
    </row>
    <row r="59" spans="1:68" ht="15.75" thickBot="1" x14ac:dyDescent="0.3">
      <c r="A59" s="5" t="s">
        <v>46</v>
      </c>
      <c r="B59" s="42">
        <v>2.0282132481243099E-2</v>
      </c>
      <c r="C59" s="44"/>
      <c r="D59" s="42">
        <v>0.115227328160236</v>
      </c>
      <c r="E59" s="42">
        <v>3.1629539106965802E-2</v>
      </c>
      <c r="F59" s="15">
        <v>1.0572093304532362</v>
      </c>
      <c r="G59" s="15">
        <v>15.1069524712688</v>
      </c>
      <c r="H59" s="15">
        <v>3.20845082384478</v>
      </c>
      <c r="I59" s="15">
        <v>11.898501647424</v>
      </c>
      <c r="J59" s="15">
        <f t="shared" si="6"/>
        <v>-8.6900508235792202</v>
      </c>
      <c r="K59" s="15">
        <f t="shared" si="0"/>
        <v>0.21238240008676676</v>
      </c>
      <c r="L59" s="15">
        <v>15.671540073004801</v>
      </c>
      <c r="M59" s="15"/>
      <c r="AV59" t="s">
        <v>68</v>
      </c>
      <c r="BH59" t="s">
        <v>68</v>
      </c>
    </row>
    <row r="60" spans="1:68" x14ac:dyDescent="0.25">
      <c r="A60" s="5" t="s">
        <v>47</v>
      </c>
      <c r="B60" s="42">
        <v>3.6679485231980898E-2</v>
      </c>
      <c r="C60" s="44"/>
      <c r="D60" s="42">
        <v>0.157732693122626</v>
      </c>
      <c r="E60" s="42">
        <v>4.3964016574286002E-2</v>
      </c>
      <c r="F60" s="15">
        <v>1.111235100018195</v>
      </c>
      <c r="G60" s="15">
        <v>21.9579587943592</v>
      </c>
      <c r="H60" s="15">
        <v>7.2579587943592401</v>
      </c>
      <c r="I60" s="15">
        <v>14.7</v>
      </c>
      <c r="J60" s="15">
        <f t="shared" si="6"/>
        <v>-7.4420412056407592</v>
      </c>
      <c r="K60" s="15">
        <f t="shared" si="0"/>
        <v>0.33053886576304825</v>
      </c>
      <c r="L60" s="15">
        <v>48.251680680319097</v>
      </c>
      <c r="M60" s="15"/>
      <c r="AV60" s="59"/>
      <c r="AW60" s="59" t="s">
        <v>73</v>
      </c>
      <c r="AX60" s="59" t="s">
        <v>74</v>
      </c>
      <c r="AY60" s="59" t="s">
        <v>75</v>
      </c>
      <c r="AZ60" s="59" t="s">
        <v>76</v>
      </c>
      <c r="BA60" s="59" t="s">
        <v>77</v>
      </c>
      <c r="BH60" s="59"/>
      <c r="BI60" s="59" t="s">
        <v>73</v>
      </c>
      <c r="BJ60" s="59" t="s">
        <v>74</v>
      </c>
      <c r="BK60" s="59" t="s">
        <v>75</v>
      </c>
      <c r="BL60" s="59" t="s">
        <v>76</v>
      </c>
      <c r="BM60" s="59" t="s">
        <v>77</v>
      </c>
    </row>
    <row r="61" spans="1:68" x14ac:dyDescent="0.25">
      <c r="A61" s="5" t="s">
        <v>48</v>
      </c>
      <c r="B61" s="42">
        <v>7.7980025652416296E-2</v>
      </c>
      <c r="C61" s="44"/>
      <c r="D61" s="42">
        <v>0.121156039239802</v>
      </c>
      <c r="E61" s="42">
        <v>5.3048699734524599E-2</v>
      </c>
      <c r="F61" s="15">
        <v>1.0519758315193652</v>
      </c>
      <c r="G61" s="15">
        <v>16.640165980770899</v>
      </c>
      <c r="H61" s="15">
        <v>4.2170406154913396</v>
      </c>
      <c r="I61" s="15">
        <v>12.423125365279599</v>
      </c>
      <c r="J61" s="15">
        <f t="shared" si="6"/>
        <v>-8.2060847497882605</v>
      </c>
      <c r="K61" s="15">
        <f t="shared" si="0"/>
        <v>0.25342539373492318</v>
      </c>
      <c r="L61" s="15">
        <v>12.8326939779569</v>
      </c>
      <c r="M61" s="15"/>
      <c r="AV61" s="57" t="s">
        <v>69</v>
      </c>
      <c r="AW61" s="57">
        <v>2</v>
      </c>
      <c r="AX61" s="57">
        <v>3.7392626412952448E-2</v>
      </c>
      <c r="AY61" s="57">
        <v>1.8696313206476224E-2</v>
      </c>
      <c r="AZ61" s="57">
        <v>7.7663602135166334</v>
      </c>
      <c r="BA61" s="57">
        <v>2.1635007296750559E-2</v>
      </c>
      <c r="BH61" s="57" t="s">
        <v>69</v>
      </c>
      <c r="BI61" s="57">
        <v>2</v>
      </c>
      <c r="BJ61" s="57">
        <v>5.4764405338807581E-3</v>
      </c>
      <c r="BK61" s="57">
        <v>2.7382202669403791E-3</v>
      </c>
      <c r="BL61" s="57">
        <v>12.384147971889607</v>
      </c>
      <c r="BM61" s="57">
        <v>1.1562189268396628E-2</v>
      </c>
    </row>
    <row r="62" spans="1:68" x14ac:dyDescent="0.25">
      <c r="K62" s="15"/>
      <c r="L62" s="15"/>
      <c r="M62" s="15"/>
      <c r="AV62" s="57" t="s">
        <v>70</v>
      </c>
      <c r="AW62" s="57">
        <v>6</v>
      </c>
      <c r="AX62" s="57">
        <v>1.4444073691511513E-2</v>
      </c>
      <c r="AY62" s="57">
        <v>2.4073456152519188E-3</v>
      </c>
      <c r="AZ62" s="57"/>
      <c r="BA62" s="57"/>
      <c r="BH62" s="57" t="s">
        <v>70</v>
      </c>
      <c r="BI62" s="57">
        <v>5</v>
      </c>
      <c r="BJ62" s="57">
        <v>1.1055343787702554E-3</v>
      </c>
      <c r="BK62" s="57">
        <v>2.2110687575405109E-4</v>
      </c>
      <c r="BL62" s="57"/>
      <c r="BM62" s="57"/>
    </row>
    <row r="63" spans="1:68" ht="15.75" thickBot="1" x14ac:dyDescent="0.3">
      <c r="A63" s="5" t="s">
        <v>122</v>
      </c>
      <c r="K63" s="15"/>
      <c r="L63" s="15"/>
      <c r="M63" s="15"/>
      <c r="AV63" s="58" t="s">
        <v>71</v>
      </c>
      <c r="AW63" s="58">
        <v>8</v>
      </c>
      <c r="AX63" s="58">
        <v>5.1836700104463965E-2</v>
      </c>
      <c r="AY63" s="58"/>
      <c r="AZ63" s="58"/>
      <c r="BA63" s="58"/>
      <c r="BH63" s="58" t="s">
        <v>71</v>
      </c>
      <c r="BI63" s="58">
        <v>7</v>
      </c>
      <c r="BJ63" s="58">
        <v>6.5819749126510138E-3</v>
      </c>
      <c r="BK63" s="58"/>
      <c r="BL63" s="58"/>
      <c r="BM63" s="58"/>
    </row>
    <row r="64" spans="1:68" ht="39" thickBot="1" x14ac:dyDescent="0.3">
      <c r="A64" s="16" t="s">
        <v>59</v>
      </c>
      <c r="B64" s="17" t="s">
        <v>58</v>
      </c>
      <c r="C64" s="17" t="s">
        <v>94</v>
      </c>
      <c r="D64" s="17" t="s">
        <v>95</v>
      </c>
      <c r="E64" s="17" t="s">
        <v>96</v>
      </c>
      <c r="F64" s="17" t="s">
        <v>53</v>
      </c>
      <c r="G64" s="46" t="s">
        <v>110</v>
      </c>
      <c r="H64" s="46" t="s">
        <v>113</v>
      </c>
      <c r="I64" s="46" t="s">
        <v>114</v>
      </c>
      <c r="J64" s="46" t="s">
        <v>120</v>
      </c>
      <c r="K64" s="62" t="s">
        <v>125</v>
      </c>
      <c r="L64" s="61" t="s">
        <v>128</v>
      </c>
      <c r="M64" s="61"/>
    </row>
    <row r="65" spans="1:68" x14ac:dyDescent="0.25">
      <c r="A65" s="5" t="s">
        <v>11</v>
      </c>
      <c r="B65" s="42">
        <v>0.17369777575697301</v>
      </c>
      <c r="C65" s="42">
        <v>0.199680501000808</v>
      </c>
      <c r="D65" s="42">
        <v>0.13984116014494999</v>
      </c>
      <c r="E65" s="43">
        <v>1.7836570943256701E-2</v>
      </c>
      <c r="F65" s="15">
        <v>1.1737788669959504</v>
      </c>
      <c r="G65" s="15">
        <v>4</v>
      </c>
      <c r="H65" s="15">
        <v>1.25</v>
      </c>
      <c r="I65" s="15">
        <v>2.75</v>
      </c>
      <c r="J65" s="15">
        <f>H65-I65</f>
        <v>-1.5</v>
      </c>
      <c r="K65" s="15">
        <f t="shared" si="0"/>
        <v>0.3125</v>
      </c>
      <c r="L65" s="15">
        <v>9.8673684099999903</v>
      </c>
      <c r="M65" s="15"/>
      <c r="AV65" s="59"/>
      <c r="AW65" s="59" t="s">
        <v>78</v>
      </c>
      <c r="AX65" s="59" t="s">
        <v>66</v>
      </c>
      <c r="AY65" s="59" t="s">
        <v>79</v>
      </c>
      <c r="AZ65" s="59" t="s">
        <v>80</v>
      </c>
      <c r="BA65" s="59" t="s">
        <v>81</v>
      </c>
      <c r="BB65" s="59" t="s">
        <v>82</v>
      </c>
      <c r="BC65" s="59" t="s">
        <v>83</v>
      </c>
      <c r="BD65" s="59" t="s">
        <v>84</v>
      </c>
      <c r="BE65" s="63"/>
      <c r="BF65" s="63"/>
      <c r="BH65" s="59"/>
      <c r="BI65" s="59" t="s">
        <v>78</v>
      </c>
      <c r="BJ65" s="59" t="s">
        <v>66</v>
      </c>
      <c r="BK65" s="59" t="s">
        <v>79</v>
      </c>
      <c r="BL65" s="59" t="s">
        <v>80</v>
      </c>
      <c r="BM65" s="59" t="s">
        <v>81</v>
      </c>
      <c r="BN65" s="59" t="s">
        <v>82</v>
      </c>
      <c r="BO65" s="59" t="s">
        <v>83</v>
      </c>
      <c r="BP65" s="59" t="s">
        <v>84</v>
      </c>
    </row>
    <row r="66" spans="1:68" x14ac:dyDescent="0.25">
      <c r="A66" s="5" t="s">
        <v>12</v>
      </c>
      <c r="B66" s="42">
        <v>9.9143945152060597E-2</v>
      </c>
      <c r="C66" s="42">
        <v>0.12535086320927399</v>
      </c>
      <c r="D66" s="42">
        <v>8.9326261366187695E-2</v>
      </c>
      <c r="E66" s="43">
        <v>-0.54160608613664096</v>
      </c>
      <c r="F66" s="15">
        <v>1.0182769682576838</v>
      </c>
      <c r="G66" s="15">
        <v>1.1385255280790201</v>
      </c>
      <c r="H66" s="15">
        <v>0.25</v>
      </c>
      <c r="I66" s="15">
        <v>0.88852552807902296</v>
      </c>
      <c r="J66" s="15">
        <f t="shared" ref="J66" si="7">H66-I66</f>
        <v>-0.63852552807902296</v>
      </c>
      <c r="K66" s="15">
        <f t="shared" si="0"/>
        <v>0.2195822525137518</v>
      </c>
      <c r="L66" s="15">
        <v>0.16766152125</v>
      </c>
      <c r="M66" s="15"/>
      <c r="AV66" s="57" t="s">
        <v>72</v>
      </c>
      <c r="AW66" s="57">
        <v>-0.21589435791032491</v>
      </c>
      <c r="AX66" s="57">
        <v>0.32480924299683162</v>
      </c>
      <c r="AY66" s="57">
        <v>-0.66468046265675662</v>
      </c>
      <c r="AZ66" s="57">
        <v>0.5309563140617849</v>
      </c>
      <c r="BA66" s="57">
        <v>-1.0106739439606984</v>
      </c>
      <c r="BB66" s="57">
        <v>0.57888522814004872</v>
      </c>
      <c r="BC66" s="57">
        <v>-1.0106739439606984</v>
      </c>
      <c r="BD66" s="57">
        <v>0.57888522814004872</v>
      </c>
      <c r="BE66" s="57"/>
      <c r="BF66" s="57"/>
      <c r="BH66" s="57" t="s">
        <v>72</v>
      </c>
      <c r="BI66" s="57">
        <v>-0.32738206045642781</v>
      </c>
      <c r="BJ66" s="57">
        <v>9.706802832371221E-2</v>
      </c>
      <c r="BK66" s="57">
        <v>-3.3727074311702432</v>
      </c>
      <c r="BL66" s="57">
        <v>1.9831094741875301E-2</v>
      </c>
      <c r="BM66" s="57">
        <v>-0.57690337088639376</v>
      </c>
      <c r="BN66" s="57">
        <v>-7.7860750026461867E-2</v>
      </c>
      <c r="BO66" s="57">
        <v>-0.57690337088639376</v>
      </c>
      <c r="BP66" s="57">
        <v>-7.7860750026461867E-2</v>
      </c>
    </row>
    <row r="67" spans="1:68" x14ac:dyDescent="0.25">
      <c r="A67" s="5" t="s">
        <v>14</v>
      </c>
      <c r="B67" s="42">
        <v>0.14477972148899501</v>
      </c>
      <c r="C67" s="42">
        <v>0.36758406997509402</v>
      </c>
      <c r="D67" s="42">
        <v>3.0850994672477702E-2</v>
      </c>
      <c r="E67" s="42">
        <v>0.41389016217674901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/>
      <c r="AV67" s="57" t="s">
        <v>53</v>
      </c>
      <c r="AW67" s="57">
        <v>0.43275382393399581</v>
      </c>
      <c r="AX67" s="57">
        <v>0.3172485846531849</v>
      </c>
      <c r="AY67" s="57">
        <v>1.3640843328176888</v>
      </c>
      <c r="AZ67" s="57">
        <v>0.22149192279350693</v>
      </c>
      <c r="BA67" s="57">
        <v>-0.34352549761285051</v>
      </c>
      <c r="BB67" s="57">
        <v>1.2090331454808421</v>
      </c>
      <c r="BC67" s="57">
        <v>-0.34352549761285051</v>
      </c>
      <c r="BD67" s="57">
        <v>1.2090331454808421</v>
      </c>
      <c r="BE67" s="57"/>
      <c r="BF67" s="57"/>
      <c r="BH67" s="57" t="s">
        <v>53</v>
      </c>
      <c r="BI67" s="57">
        <v>0.37057009676235214</v>
      </c>
      <c r="BJ67" s="57">
        <v>9.2178985676072869E-2</v>
      </c>
      <c r="BK67" s="57">
        <v>4.0201147153492922</v>
      </c>
      <c r="BL67" s="57">
        <v>1.0119639985013064E-2</v>
      </c>
      <c r="BM67" s="57">
        <v>0.13361647055605916</v>
      </c>
      <c r="BN67" s="57">
        <v>0.6075237229686451</v>
      </c>
      <c r="BO67" s="57">
        <v>0.13361647055605916</v>
      </c>
      <c r="BP67" s="57">
        <v>0.6075237229686451</v>
      </c>
    </row>
    <row r="68" spans="1:68" ht="15.75" thickBot="1" x14ac:dyDescent="0.3">
      <c r="A68" s="5"/>
      <c r="B68" s="43"/>
      <c r="C68" s="43"/>
      <c r="D68" s="42"/>
      <c r="E68" s="42"/>
      <c r="F68" s="15"/>
      <c r="G68" s="15"/>
      <c r="H68" s="15"/>
      <c r="I68" s="15"/>
      <c r="J68" s="15"/>
      <c r="K68" s="15"/>
      <c r="L68" s="15"/>
      <c r="M68" s="15"/>
      <c r="AV68" s="58" t="s">
        <v>125</v>
      </c>
      <c r="AW68" s="58">
        <v>-0.535089924150702</v>
      </c>
      <c r="AX68" s="58">
        <v>0.13626864204884859</v>
      </c>
      <c r="AY68" s="58">
        <v>-3.9267282340634675</v>
      </c>
      <c r="AZ68" s="58">
        <v>7.741818907155102E-3</v>
      </c>
      <c r="BA68" s="58">
        <v>-0.86852727931946139</v>
      </c>
      <c r="BB68" s="58">
        <v>-0.20165256898194267</v>
      </c>
      <c r="BC68" s="58">
        <v>-0.86852727931946139</v>
      </c>
      <c r="BD68" s="58">
        <v>-0.20165256898194267</v>
      </c>
      <c r="BE68" s="57"/>
      <c r="BF68" s="57"/>
      <c r="BH68" s="58" t="s">
        <v>125</v>
      </c>
      <c r="BI68" s="58">
        <v>7.8723011754401689E-2</v>
      </c>
      <c r="BJ68" s="58">
        <v>2.7470846564143551E-2</v>
      </c>
      <c r="BK68" s="58">
        <v>2.8656929654710845</v>
      </c>
      <c r="BL68" s="58">
        <v>3.5171350932203846E-2</v>
      </c>
      <c r="BM68" s="58">
        <v>8.1069525670619952E-3</v>
      </c>
      <c r="BN68" s="58">
        <v>0.14933907094174137</v>
      </c>
      <c r="BO68" s="58">
        <v>8.1069525670619952E-3</v>
      </c>
      <c r="BP68" s="58">
        <v>0.14933907094174137</v>
      </c>
    </row>
    <row r="69" spans="1:68" x14ac:dyDescent="0.25">
      <c r="A69" s="5" t="s">
        <v>23</v>
      </c>
      <c r="B69" s="44"/>
      <c r="C69" s="44"/>
      <c r="D69" s="42">
        <v>0.11077055296162799</v>
      </c>
      <c r="E69" s="44"/>
      <c r="F69" s="15">
        <v>1.0078290838208943</v>
      </c>
      <c r="G69" s="15">
        <v>2.4954469283408098</v>
      </c>
      <c r="H69" s="15">
        <v>1.8447691432308699</v>
      </c>
      <c r="I69" s="15">
        <v>0.650677785109948</v>
      </c>
      <c r="J69" s="15">
        <v>1.194091358120922</v>
      </c>
      <c r="K69" s="15">
        <f t="shared" ref="K68:K74" si="8">H69/G69</f>
        <v>0.73925400788123874</v>
      </c>
      <c r="L69" s="15">
        <v>1.1131942168706099</v>
      </c>
      <c r="M69" s="15"/>
    </row>
    <row r="70" spans="1:68" x14ac:dyDescent="0.25">
      <c r="A70" s="5" t="s">
        <v>26</v>
      </c>
      <c r="B70" s="42">
        <v>8.8732929175135894E-2</v>
      </c>
      <c r="C70" s="44"/>
      <c r="D70" s="42">
        <v>0.15621819275209001</v>
      </c>
      <c r="E70" s="42">
        <v>1.20306787922476E-2</v>
      </c>
      <c r="F70" s="15">
        <v>1.0119508062412015</v>
      </c>
      <c r="G70" s="15">
        <v>8.1761484496582497</v>
      </c>
      <c r="H70" s="15">
        <v>3.1258759015031101</v>
      </c>
      <c r="I70" s="15">
        <v>5.0502725481551298</v>
      </c>
      <c r="J70" s="15">
        <v>-1.9243966466520197</v>
      </c>
      <c r="K70" s="15">
        <f t="shared" si="8"/>
        <v>0.3823164318443566</v>
      </c>
      <c r="L70" s="15">
        <v>2.2065870384902602</v>
      </c>
      <c r="M70" s="15"/>
    </row>
    <row r="71" spans="1:68" x14ac:dyDescent="0.25">
      <c r="A71" s="5" t="s">
        <v>28</v>
      </c>
      <c r="B71" s="42">
        <v>0.10415722716452799</v>
      </c>
      <c r="C71" s="44"/>
      <c r="D71" s="42">
        <v>5.5397551503622099E-2</v>
      </c>
      <c r="E71" s="42">
        <v>2.8615745110634201E-2</v>
      </c>
      <c r="F71" s="15">
        <v>1.0239451393319936</v>
      </c>
      <c r="G71" s="15">
        <v>19.594840851392899</v>
      </c>
      <c r="H71" s="15">
        <v>5.5209579590505999</v>
      </c>
      <c r="I71" s="15">
        <v>14.073882892342301</v>
      </c>
      <c r="J71" s="15">
        <v>-8.5529249332917008</v>
      </c>
      <c r="K71" s="15">
        <f t="shared" si="8"/>
        <v>0.28175569278268175</v>
      </c>
      <c r="L71" s="15">
        <v>8.4763382350991101</v>
      </c>
      <c r="M71" s="15"/>
    </row>
    <row r="72" spans="1:68" x14ac:dyDescent="0.25">
      <c r="A72" s="5" t="s">
        <v>29</v>
      </c>
      <c r="B72" s="42">
        <v>4.66251429291673E-2</v>
      </c>
      <c r="C72" s="44"/>
      <c r="D72" s="42">
        <v>6.9883057908481996E-2</v>
      </c>
      <c r="E72" s="42">
        <v>4.4113621235337297E-2</v>
      </c>
      <c r="F72" s="15">
        <v>1.0275460447393339</v>
      </c>
      <c r="G72" s="15">
        <v>17.2552427011953</v>
      </c>
      <c r="H72" s="15">
        <v>5.1821136906510699</v>
      </c>
      <c r="I72" s="15">
        <v>12.0731290105442</v>
      </c>
      <c r="J72" s="15">
        <v>-6.8910153198931301</v>
      </c>
      <c r="K72" s="15">
        <f t="shared" si="8"/>
        <v>0.30032111285760682</v>
      </c>
      <c r="L72" s="15">
        <v>9.5412825319663295</v>
      </c>
      <c r="M72" s="15"/>
    </row>
    <row r="73" spans="1:68" x14ac:dyDescent="0.25">
      <c r="A73" s="5" t="s">
        <v>30</v>
      </c>
      <c r="B73" s="42">
        <v>9.0894558490112708E-3</v>
      </c>
      <c r="C73" s="44"/>
      <c r="D73" s="42">
        <v>7.8645648239850305E-2</v>
      </c>
      <c r="E73" s="43">
        <v>-8.0536265843332393E-3</v>
      </c>
      <c r="F73" s="15">
        <v>1.0275826446035865</v>
      </c>
      <c r="G73" s="15">
        <v>17.024424898784201</v>
      </c>
      <c r="H73" s="15">
        <v>6.3491431999578403</v>
      </c>
      <c r="I73" s="15">
        <v>10.675281698826399</v>
      </c>
      <c r="J73" s="15">
        <v>-4.3261384988685592</v>
      </c>
      <c r="K73" s="15">
        <f t="shared" si="8"/>
        <v>0.37294318238093693</v>
      </c>
      <c r="L73" s="15">
        <v>14.7819327483883</v>
      </c>
      <c r="M73" s="15"/>
    </row>
    <row r="74" spans="1:68" x14ac:dyDescent="0.25">
      <c r="A74" s="5" t="s">
        <v>33</v>
      </c>
      <c r="B74" s="42">
        <v>2.0373962034653699E-2</v>
      </c>
      <c r="C74" s="44"/>
      <c r="D74" s="42">
        <v>0.101236914763633</v>
      </c>
      <c r="E74" s="42">
        <v>2.7450804091866201E-2</v>
      </c>
      <c r="F74" s="15">
        <v>1.111235100018195</v>
      </c>
      <c r="G74" s="15">
        <v>21.9579587943592</v>
      </c>
      <c r="H74" s="15">
        <v>7.2579587943592401</v>
      </c>
      <c r="I74" s="15">
        <v>14.7</v>
      </c>
      <c r="J74" s="15">
        <v>-7.4420412056407592</v>
      </c>
      <c r="K74" s="15">
        <f t="shared" si="8"/>
        <v>0.33053886576304825</v>
      </c>
      <c r="L74" s="15">
        <v>48.251680680319097</v>
      </c>
      <c r="M74" s="1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D9AD-D618-47D2-AD14-18F4C1668EBC}">
  <dimension ref="A1:BN89"/>
  <sheetViews>
    <sheetView zoomScale="85" zoomScaleNormal="85" workbookViewId="0">
      <selection activeCell="J29" sqref="J29"/>
    </sheetView>
  </sheetViews>
  <sheetFormatPr defaultRowHeight="15" x14ac:dyDescent="0.25"/>
  <cols>
    <col min="1" max="1" width="22.85546875" customWidth="1"/>
    <col min="6" max="6" width="13" customWidth="1"/>
    <col min="7" max="7" width="11.140625" customWidth="1"/>
    <col min="8" max="8" width="11.42578125" customWidth="1"/>
    <col min="47" max="47" width="23.5703125" customWidth="1"/>
    <col min="57" max="57" width="15" customWidth="1"/>
  </cols>
  <sheetData>
    <row r="1" spans="1:66" ht="48" x14ac:dyDescent="0.25">
      <c r="A1" s="16" t="s">
        <v>59</v>
      </c>
      <c r="B1" s="17" t="s">
        <v>58</v>
      </c>
      <c r="C1" s="17" t="s">
        <v>94</v>
      </c>
      <c r="D1" s="17" t="s">
        <v>95</v>
      </c>
      <c r="E1" s="17" t="s">
        <v>96</v>
      </c>
      <c r="F1" s="17" t="s">
        <v>53</v>
      </c>
      <c r="G1" s="46" t="s">
        <v>110</v>
      </c>
      <c r="H1" s="46" t="s">
        <v>113</v>
      </c>
      <c r="I1" s="46" t="s">
        <v>114</v>
      </c>
      <c r="J1" s="46" t="s">
        <v>120</v>
      </c>
      <c r="K1" s="46" t="s">
        <v>123</v>
      </c>
      <c r="L1" s="46" t="s">
        <v>124</v>
      </c>
      <c r="AO1" s="46" t="s">
        <v>119</v>
      </c>
      <c r="AP1" s="46" t="s">
        <v>110</v>
      </c>
      <c r="AQ1" s="46" t="s">
        <v>111</v>
      </c>
      <c r="AR1" s="46" t="s">
        <v>112</v>
      </c>
      <c r="AU1" s="16" t="s">
        <v>59</v>
      </c>
      <c r="AV1" s="17" t="s">
        <v>58</v>
      </c>
      <c r="AW1" s="17" t="s">
        <v>53</v>
      </c>
      <c r="AX1" s="46" t="s">
        <v>120</v>
      </c>
      <c r="AY1" s="46" t="s">
        <v>124</v>
      </c>
      <c r="AZ1" s="46" t="s">
        <v>123</v>
      </c>
      <c r="BA1" s="46" t="s">
        <v>113</v>
      </c>
      <c r="BB1" s="46" t="s">
        <v>114</v>
      </c>
      <c r="BC1" s="46" t="s">
        <v>110</v>
      </c>
      <c r="BF1" s="17" t="s">
        <v>95</v>
      </c>
      <c r="BG1" s="17" t="s">
        <v>53</v>
      </c>
      <c r="BH1" s="46" t="s">
        <v>120</v>
      </c>
      <c r="BI1" s="46" t="s">
        <v>124</v>
      </c>
      <c r="BJ1" s="46" t="s">
        <v>114</v>
      </c>
      <c r="BL1" s="46" t="s">
        <v>123</v>
      </c>
      <c r="BM1" s="46" t="s">
        <v>110</v>
      </c>
      <c r="BN1" s="46" t="s">
        <v>113</v>
      </c>
    </row>
    <row r="2" spans="1:66" x14ac:dyDescent="0.25">
      <c r="A2" s="5" t="s">
        <v>11</v>
      </c>
      <c r="B2" s="42">
        <v>0.17369777575697301</v>
      </c>
      <c r="C2" s="42">
        <v>0.199680501000808</v>
      </c>
      <c r="D2" s="42">
        <v>0.13984116014494999</v>
      </c>
      <c r="E2" s="43">
        <v>1.7836570943256701E-2</v>
      </c>
      <c r="F2" s="15">
        <v>1.1737788669959504</v>
      </c>
      <c r="G2" s="15">
        <v>4</v>
      </c>
      <c r="H2" s="15">
        <v>1.25</v>
      </c>
      <c r="I2" s="15">
        <v>2.75</v>
      </c>
      <c r="J2" s="15">
        <f>H2-I2</f>
        <v>-1.5</v>
      </c>
      <c r="K2" s="15">
        <f>H2/G2</f>
        <v>0.3125</v>
      </c>
      <c r="L2" s="15">
        <f>I2/G2</f>
        <v>0.6875</v>
      </c>
      <c r="AN2" s="5" t="s">
        <v>101</v>
      </c>
      <c r="AO2" s="9">
        <v>1.0078290838208943</v>
      </c>
      <c r="AP2" s="13">
        <v>2.4954469283408098</v>
      </c>
      <c r="AQ2">
        <v>1.8447691432308699</v>
      </c>
      <c r="AR2">
        <v>0.650677785109948</v>
      </c>
      <c r="AU2" s="5" t="s">
        <v>11</v>
      </c>
      <c r="AV2" s="42">
        <v>0.17369777575697301</v>
      </c>
      <c r="AW2" s="15">
        <v>1.1737788669959504</v>
      </c>
      <c r="AX2" s="15">
        <v>-1.5</v>
      </c>
      <c r="AY2" s="15">
        <f>BB2/BC2</f>
        <v>0.6875</v>
      </c>
      <c r="AZ2" s="15">
        <f>BA2/BC2</f>
        <v>0.3125</v>
      </c>
      <c r="BA2" s="15">
        <v>1.25</v>
      </c>
      <c r="BB2" s="15">
        <v>2.75</v>
      </c>
      <c r="BC2" s="15">
        <v>4</v>
      </c>
      <c r="BE2" s="5" t="s">
        <v>11</v>
      </c>
      <c r="BF2" s="42">
        <v>0.13984116014494999</v>
      </c>
      <c r="BG2" s="15">
        <v>1.1737788669959504</v>
      </c>
      <c r="BH2" s="15">
        <v>-1.5</v>
      </c>
      <c r="BI2" s="15">
        <v>0.6875</v>
      </c>
      <c r="BJ2" s="15">
        <v>2.75</v>
      </c>
      <c r="BL2" s="15">
        <v>0.3125</v>
      </c>
      <c r="BM2" s="15">
        <v>4</v>
      </c>
      <c r="BN2" s="15">
        <v>1.25</v>
      </c>
    </row>
    <row r="3" spans="1:66" x14ac:dyDescent="0.25">
      <c r="A3" s="5" t="s">
        <v>12</v>
      </c>
      <c r="B3" s="42">
        <v>9.9143945152060597E-2</v>
      </c>
      <c r="C3" s="42">
        <v>0.12535086320927399</v>
      </c>
      <c r="D3" s="42">
        <v>8.9326261366187695E-2</v>
      </c>
      <c r="E3" s="43">
        <v>-0.54160608613664096</v>
      </c>
      <c r="F3" s="15">
        <v>1.0182769682576838</v>
      </c>
      <c r="G3" s="15">
        <v>1.1385255280790201</v>
      </c>
      <c r="H3" s="15">
        <v>0.25</v>
      </c>
      <c r="I3" s="15">
        <v>0.88852552807902296</v>
      </c>
      <c r="J3" s="15">
        <f t="shared" ref="J3:J20" si="0">H3-I3</f>
        <v>-0.63852552807902296</v>
      </c>
      <c r="K3" s="15">
        <f t="shared" ref="K3:K66" si="1">H3/G3</f>
        <v>0.2195822525137518</v>
      </c>
      <c r="L3" s="15">
        <f t="shared" ref="L3:L66" si="2">I3/G3</f>
        <v>0.7804177474862507</v>
      </c>
      <c r="AN3" s="5" t="s">
        <v>102</v>
      </c>
      <c r="AO3" s="9">
        <v>1.008246697022094</v>
      </c>
      <c r="AP3" s="13">
        <v>4.9705418000804897</v>
      </c>
      <c r="AQ3">
        <v>1.7381901583192201</v>
      </c>
      <c r="AR3">
        <v>3.2323516417612699</v>
      </c>
      <c r="AU3" s="5" t="s">
        <v>12</v>
      </c>
      <c r="AV3" s="42">
        <v>9.9143945152060597E-2</v>
      </c>
      <c r="AW3" s="15">
        <v>1.0182769682576838</v>
      </c>
      <c r="AX3" s="15">
        <v>-0.63852552807902296</v>
      </c>
      <c r="AY3" s="15">
        <f>BB3/BC3</f>
        <v>0.7804177474862507</v>
      </c>
      <c r="AZ3" s="15">
        <f>BA3/BC3</f>
        <v>0.2195822525137518</v>
      </c>
      <c r="BA3" s="15">
        <v>0.25</v>
      </c>
      <c r="BB3" s="15">
        <v>0.88852552807902296</v>
      </c>
      <c r="BC3" s="15">
        <v>1.1385255280790201</v>
      </c>
      <c r="BE3" s="5" t="s">
        <v>12</v>
      </c>
      <c r="BF3" s="42">
        <v>8.9326261366187695E-2</v>
      </c>
      <c r="BG3" s="15">
        <v>1.0182769682576838</v>
      </c>
      <c r="BH3" s="15">
        <v>-0.63852552807902296</v>
      </c>
      <c r="BI3" s="15">
        <v>0.7804177474862507</v>
      </c>
      <c r="BJ3" s="15">
        <v>0.88852552807902296</v>
      </c>
      <c r="BL3" s="15">
        <v>0.2195822525137518</v>
      </c>
      <c r="BM3" s="15">
        <v>1.1385255280790201</v>
      </c>
      <c r="BN3" s="15">
        <v>0.25</v>
      </c>
    </row>
    <row r="4" spans="1:66" x14ac:dyDescent="0.25">
      <c r="A4" s="5"/>
      <c r="B4" s="42"/>
      <c r="C4" s="42"/>
      <c r="D4" s="42"/>
      <c r="E4" s="43"/>
      <c r="F4" s="15"/>
      <c r="G4" s="15"/>
      <c r="H4" s="15"/>
      <c r="I4" s="15"/>
      <c r="J4" s="15"/>
      <c r="K4" s="15"/>
      <c r="L4" s="15"/>
      <c r="AN4" s="5" t="s">
        <v>103</v>
      </c>
      <c r="AO4" s="9">
        <v>1.0490052443540898</v>
      </c>
      <c r="AP4" s="13">
        <v>18.738059749368901</v>
      </c>
      <c r="AQ4">
        <v>7.75</v>
      </c>
      <c r="AR4">
        <v>10.988059749368899</v>
      </c>
      <c r="AU4" s="5" t="s">
        <v>20</v>
      </c>
      <c r="AV4" s="43">
        <v>-4.1760232547360499E-2</v>
      </c>
      <c r="AW4" s="15">
        <v>1.045397189964473</v>
      </c>
      <c r="AX4" s="15">
        <v>-0.25523545319733998</v>
      </c>
      <c r="AY4" s="15">
        <f>BB4/BC4</f>
        <v>0.52821974330317423</v>
      </c>
      <c r="AZ4" s="15">
        <f>BA4/BC4</f>
        <v>0.47178025669682583</v>
      </c>
      <c r="BA4" s="15">
        <v>2.1335248576486401</v>
      </c>
      <c r="BB4" s="15">
        <v>2.3887603108459801</v>
      </c>
      <c r="BC4" s="15">
        <v>4.5222851684946201</v>
      </c>
      <c r="BE4" s="5" t="s">
        <v>23</v>
      </c>
      <c r="BF4" s="42">
        <v>0.11077055296162799</v>
      </c>
      <c r="BG4" s="15">
        <v>1.0078290838208943</v>
      </c>
      <c r="BH4" s="15">
        <v>1.194091358120922</v>
      </c>
      <c r="BI4" s="15">
        <v>0.26074599211876454</v>
      </c>
      <c r="BJ4" s="15">
        <v>0.650677785109948</v>
      </c>
      <c r="BL4" s="15">
        <v>0.73925400788123874</v>
      </c>
      <c r="BM4" s="15">
        <v>2.4954469283408098</v>
      </c>
      <c r="BN4" s="15">
        <v>1.8447691432308699</v>
      </c>
    </row>
    <row r="5" spans="1:66" x14ac:dyDescent="0.25">
      <c r="A5" s="5"/>
      <c r="B5" s="42"/>
      <c r="C5" s="42"/>
      <c r="D5" s="42"/>
      <c r="E5" s="42"/>
      <c r="F5" s="15"/>
      <c r="G5" s="15"/>
      <c r="H5" s="15"/>
      <c r="I5" s="15"/>
      <c r="J5" s="15"/>
      <c r="K5" s="15"/>
      <c r="L5" s="15"/>
      <c r="AN5" s="5" t="s">
        <v>89</v>
      </c>
      <c r="AO5" s="9">
        <v>1.0119508062412015</v>
      </c>
      <c r="AP5" s="13">
        <v>8.1761484496582497</v>
      </c>
      <c r="AQ5">
        <v>3.1258759015031101</v>
      </c>
      <c r="AR5">
        <v>5.0502725481551298</v>
      </c>
      <c r="AU5" s="5" t="s">
        <v>26</v>
      </c>
      <c r="AV5" s="42">
        <v>8.8732929175135894E-2</v>
      </c>
      <c r="AW5" s="15">
        <v>1.0119508062412015</v>
      </c>
      <c r="AX5" s="15">
        <v>-1.9243966466520197</v>
      </c>
      <c r="AY5" s="15">
        <f>BB5/BC5</f>
        <v>0.61768356815564218</v>
      </c>
      <c r="AZ5" s="15">
        <f>BA5/BC5</f>
        <v>0.3823164318443566</v>
      </c>
      <c r="BA5" s="15">
        <v>3.1258759015031101</v>
      </c>
      <c r="BB5" s="15">
        <v>5.0502725481551298</v>
      </c>
      <c r="BC5" s="15">
        <v>8.1761484496582497</v>
      </c>
      <c r="BE5" s="5" t="s">
        <v>26</v>
      </c>
      <c r="BF5" s="42">
        <v>0.15621819275209001</v>
      </c>
      <c r="BG5" s="15">
        <v>1.0119508062412015</v>
      </c>
      <c r="BH5" s="15">
        <v>-1.9243966466520197</v>
      </c>
      <c r="BI5" s="15">
        <v>0.61768356815564218</v>
      </c>
      <c r="BJ5" s="15">
        <v>5.0502725481551298</v>
      </c>
      <c r="BL5" s="15">
        <v>0.3823164318443566</v>
      </c>
      <c r="BM5" s="15">
        <v>8.1761484496582497</v>
      </c>
      <c r="BN5" s="15">
        <v>3.1258759015031101</v>
      </c>
    </row>
    <row r="6" spans="1:66" x14ac:dyDescent="0.25">
      <c r="A6" s="5" t="s">
        <v>20</v>
      </c>
      <c r="B6" s="43">
        <v>-4.1760232547360499E-2</v>
      </c>
      <c r="C6" s="43">
        <v>-6.6277814143714905E-2</v>
      </c>
      <c r="D6" s="44"/>
      <c r="E6" s="43">
        <v>-4.74716361793363E-2</v>
      </c>
      <c r="F6" s="15">
        <v>1.045397189964473</v>
      </c>
      <c r="G6" s="15">
        <v>4.5222851684946201</v>
      </c>
      <c r="H6" s="15">
        <v>2.1335248576486401</v>
      </c>
      <c r="I6" s="15">
        <v>2.3887603108459801</v>
      </c>
      <c r="J6" s="15">
        <f t="shared" si="0"/>
        <v>-0.25523545319733998</v>
      </c>
      <c r="K6" s="15">
        <f t="shared" si="1"/>
        <v>0.47178025669682583</v>
      </c>
      <c r="L6" s="15">
        <f t="shared" si="2"/>
        <v>0.52821974330317423</v>
      </c>
      <c r="AN6" s="5" t="s">
        <v>104</v>
      </c>
      <c r="AO6" s="9">
        <v>1.0239451393319936</v>
      </c>
      <c r="AP6" s="13">
        <v>19.594840851392899</v>
      </c>
      <c r="AQ6">
        <v>5.5209579590505999</v>
      </c>
      <c r="AR6">
        <v>14.073882892342301</v>
      </c>
      <c r="AU6" s="5" t="s">
        <v>28</v>
      </c>
      <c r="AV6" s="42">
        <v>0.10415722716452799</v>
      </c>
      <c r="AW6" s="15">
        <v>1.0239451393319936</v>
      </c>
      <c r="AX6" s="15">
        <v>-8.5529249332917008</v>
      </c>
      <c r="AY6" s="15">
        <f>BB6/BC6</f>
        <v>0.71824430721731836</v>
      </c>
      <c r="AZ6" s="15">
        <f>BA6/BC6</f>
        <v>0.28175569278268175</v>
      </c>
      <c r="BA6" s="15">
        <v>5.5209579590505999</v>
      </c>
      <c r="BB6" s="15">
        <v>14.073882892342301</v>
      </c>
      <c r="BC6" s="15">
        <v>19.594840851392899</v>
      </c>
      <c r="BE6" s="5" t="s">
        <v>28</v>
      </c>
      <c r="BF6" s="42">
        <v>5.5397551503622099E-2</v>
      </c>
      <c r="BG6" s="15">
        <v>1.0239451393319936</v>
      </c>
      <c r="BH6" s="15">
        <v>-8.5529249332917008</v>
      </c>
      <c r="BI6" s="15">
        <v>0.71824430721731836</v>
      </c>
      <c r="BJ6" s="15">
        <v>14.073882892342301</v>
      </c>
      <c r="BL6" s="15">
        <v>0.28175569278268175</v>
      </c>
      <c r="BM6" s="15">
        <v>19.594840851392899</v>
      </c>
      <c r="BN6" s="15">
        <v>5.5209579590505999</v>
      </c>
    </row>
    <row r="7" spans="1:66" x14ac:dyDescent="0.25">
      <c r="A7" s="5" t="s">
        <v>19</v>
      </c>
      <c r="B7" s="43">
        <v>-7.8588218215967606E-2</v>
      </c>
      <c r="C7" s="43">
        <v>-0.161754895727207</v>
      </c>
      <c r="D7" s="42">
        <v>6.7271555006068101E-2</v>
      </c>
      <c r="E7" s="42">
        <v>5.9760012226563401E-2</v>
      </c>
      <c r="F7" s="15">
        <v>1.045397189964473</v>
      </c>
      <c r="G7" s="15">
        <v>4.5222851684946201</v>
      </c>
      <c r="H7" s="15">
        <v>2.1335248576486401</v>
      </c>
      <c r="I7" s="15">
        <v>2.3887603108459801</v>
      </c>
      <c r="J7" s="15">
        <f t="shared" si="0"/>
        <v>-0.25523545319733998</v>
      </c>
      <c r="K7" s="15">
        <f t="shared" si="1"/>
        <v>0.47178025669682583</v>
      </c>
      <c r="L7" s="15">
        <f t="shared" si="2"/>
        <v>0.52821974330317423</v>
      </c>
      <c r="AN7" s="5" t="s">
        <v>105</v>
      </c>
      <c r="AO7" s="9">
        <v>1.0275460447393339</v>
      </c>
      <c r="AP7" s="13">
        <v>17.2552427011953</v>
      </c>
      <c r="AQ7">
        <v>5.1821136906510699</v>
      </c>
      <c r="AR7">
        <v>12.0731290105442</v>
      </c>
      <c r="AU7" s="5" t="s">
        <v>29</v>
      </c>
      <c r="AV7" s="42">
        <v>4.66251429291673E-2</v>
      </c>
      <c r="AW7" s="15">
        <v>1.0275460447393339</v>
      </c>
      <c r="AX7" s="15">
        <v>-6.8910153198931301</v>
      </c>
      <c r="AY7" s="15">
        <f>BB7/BC7</f>
        <v>0.69967888714239146</v>
      </c>
      <c r="AZ7" s="15">
        <f>BA7/BC7</f>
        <v>0.30032111285760682</v>
      </c>
      <c r="BA7" s="15">
        <v>5.1821136906510699</v>
      </c>
      <c r="BB7" s="15">
        <v>12.0731290105442</v>
      </c>
      <c r="BC7" s="15">
        <v>17.2552427011953</v>
      </c>
      <c r="BE7" s="5" t="s">
        <v>29</v>
      </c>
      <c r="BF7" s="42">
        <v>6.9883057908481996E-2</v>
      </c>
      <c r="BG7" s="15">
        <v>1.0275460447393339</v>
      </c>
      <c r="BH7" s="15">
        <v>-6.8910153198931301</v>
      </c>
      <c r="BI7" s="15">
        <v>0.69967888714239146</v>
      </c>
      <c r="BJ7" s="15">
        <v>12.0731290105442</v>
      </c>
      <c r="BL7" s="15">
        <v>0.30032111285760682</v>
      </c>
      <c r="BM7" s="15">
        <v>17.2552427011953</v>
      </c>
      <c r="BN7" s="15">
        <v>5.1821136906510699</v>
      </c>
    </row>
    <row r="8" spans="1:66" x14ac:dyDescent="0.25">
      <c r="A8" s="5" t="s">
        <v>23</v>
      </c>
      <c r="B8" s="44"/>
      <c r="C8" s="44"/>
      <c r="D8" s="42">
        <v>0.11077055296162799</v>
      </c>
      <c r="E8" s="44"/>
      <c r="F8" s="15">
        <v>1.0078290838208943</v>
      </c>
      <c r="G8" s="15">
        <v>2.4954469283408098</v>
      </c>
      <c r="H8" s="15">
        <v>1.8447691432308699</v>
      </c>
      <c r="I8" s="15">
        <v>0.650677785109948</v>
      </c>
      <c r="J8" s="15">
        <f t="shared" si="0"/>
        <v>1.194091358120922</v>
      </c>
      <c r="K8" s="15">
        <f t="shared" si="1"/>
        <v>0.73925400788123874</v>
      </c>
      <c r="L8" s="15">
        <f t="shared" si="2"/>
        <v>0.26074599211876454</v>
      </c>
      <c r="AN8" s="5" t="s">
        <v>106</v>
      </c>
      <c r="AO8" s="9">
        <v>1.0275826446035865</v>
      </c>
      <c r="AP8" s="13">
        <v>17.024424898784201</v>
      </c>
      <c r="AQ8">
        <v>6.3491431999578403</v>
      </c>
      <c r="AR8">
        <v>10.675281698826399</v>
      </c>
      <c r="AU8" s="5" t="s">
        <v>30</v>
      </c>
      <c r="AV8" s="42">
        <v>9.0894558490112708E-3</v>
      </c>
      <c r="AW8" s="15">
        <v>1.0275826446035865</v>
      </c>
      <c r="AX8" s="15">
        <v>-4.3261384988685592</v>
      </c>
      <c r="AY8" s="15">
        <f>BB8/BC8</f>
        <v>0.62705681761906529</v>
      </c>
      <c r="AZ8" s="15">
        <f>BA8/BC8</f>
        <v>0.37294318238093693</v>
      </c>
      <c r="BA8" s="15">
        <v>6.3491431999578403</v>
      </c>
      <c r="BB8" s="15">
        <v>10.675281698826399</v>
      </c>
      <c r="BC8" s="15">
        <v>17.024424898784201</v>
      </c>
      <c r="BE8" s="5" t="s">
        <v>30</v>
      </c>
      <c r="BF8" s="42">
        <v>7.8645648239850305E-2</v>
      </c>
      <c r="BG8" s="15">
        <v>1.0275826446035865</v>
      </c>
      <c r="BH8" s="15">
        <v>-4.3261384988685592</v>
      </c>
      <c r="BI8" s="15">
        <v>0.62705681761906529</v>
      </c>
      <c r="BJ8" s="15">
        <v>10.675281698826399</v>
      </c>
      <c r="BL8" s="15">
        <v>0.37294318238093693</v>
      </c>
      <c r="BM8" s="15">
        <v>17.024424898784201</v>
      </c>
      <c r="BN8" s="15">
        <v>6.3491431999578403</v>
      </c>
    </row>
    <row r="9" spans="1:66" x14ac:dyDescent="0.25">
      <c r="A9" s="5" t="s">
        <v>26</v>
      </c>
      <c r="B9" s="42">
        <v>8.8732929175135894E-2</v>
      </c>
      <c r="C9" s="44"/>
      <c r="D9" s="42">
        <v>0.15621819275209001</v>
      </c>
      <c r="E9" s="42">
        <v>1.20306787922476E-2</v>
      </c>
      <c r="F9" s="15">
        <v>1.0119508062412015</v>
      </c>
      <c r="G9" s="15">
        <v>8.1761484496582497</v>
      </c>
      <c r="H9" s="15">
        <v>3.1258759015031101</v>
      </c>
      <c r="I9" s="15">
        <v>5.0502725481551298</v>
      </c>
      <c r="J9" s="15">
        <f t="shared" si="0"/>
        <v>-1.9243966466520197</v>
      </c>
      <c r="K9" s="15">
        <f t="shared" si="1"/>
        <v>0.3823164318443566</v>
      </c>
      <c r="L9" s="15">
        <f t="shared" si="2"/>
        <v>0.61768356815564218</v>
      </c>
      <c r="AN9" s="5" t="s">
        <v>107</v>
      </c>
      <c r="AO9" s="9">
        <v>1.0572093304532362</v>
      </c>
      <c r="AP9" s="13">
        <v>15.1069524712688</v>
      </c>
      <c r="AQ9">
        <v>3.20845082384478</v>
      </c>
      <c r="AR9">
        <v>11.898501647424</v>
      </c>
      <c r="AU9" s="5" t="s">
        <v>33</v>
      </c>
      <c r="AV9" s="42">
        <v>2.0373962034653699E-2</v>
      </c>
      <c r="AW9" s="15">
        <v>1.111235100018195</v>
      </c>
      <c r="AX9" s="15">
        <v>-7.4420412056407592</v>
      </c>
      <c r="AY9" s="15">
        <f>BB9/BC9</f>
        <v>0.66946113423695353</v>
      </c>
      <c r="AZ9" s="15">
        <f>BA9/BC9</f>
        <v>0.33053886576304825</v>
      </c>
      <c r="BA9" s="15">
        <v>7.2579587943592401</v>
      </c>
      <c r="BB9" s="15">
        <v>14.7</v>
      </c>
      <c r="BC9" s="15">
        <v>21.9579587943592</v>
      </c>
      <c r="BE9" s="5" t="s">
        <v>33</v>
      </c>
      <c r="BF9" s="42">
        <v>0.101236914763633</v>
      </c>
      <c r="BG9" s="15">
        <v>1.111235100018195</v>
      </c>
      <c r="BH9" s="15">
        <v>-7.4420412056407592</v>
      </c>
      <c r="BI9" s="15">
        <v>0.66946113423695353</v>
      </c>
      <c r="BJ9" s="15">
        <v>14.7</v>
      </c>
      <c r="BL9" s="15">
        <v>0.33053886576304825</v>
      </c>
      <c r="BM9" s="15">
        <v>21.9579587943592</v>
      </c>
      <c r="BN9" s="15">
        <v>7.2579587943592401</v>
      </c>
    </row>
    <row r="10" spans="1:66" x14ac:dyDescent="0.25">
      <c r="A10" s="5" t="s">
        <v>28</v>
      </c>
      <c r="B10" s="42">
        <v>0.10415722716452799</v>
      </c>
      <c r="C10" s="44"/>
      <c r="D10" s="42">
        <v>5.5397551503622099E-2</v>
      </c>
      <c r="E10" s="42">
        <v>2.8615745110634201E-2</v>
      </c>
      <c r="F10" s="15">
        <v>1.0239451393319936</v>
      </c>
      <c r="G10" s="15">
        <v>19.594840851392899</v>
      </c>
      <c r="H10" s="15">
        <v>5.5209579590505999</v>
      </c>
      <c r="I10" s="15">
        <v>14.073882892342301</v>
      </c>
      <c r="J10" s="15">
        <f t="shared" si="0"/>
        <v>-8.5529249332917008</v>
      </c>
      <c r="K10" s="15">
        <f t="shared" si="1"/>
        <v>0.28175569278268175</v>
      </c>
      <c r="L10" s="15">
        <f t="shared" si="2"/>
        <v>0.71824430721731836</v>
      </c>
      <c r="P10" s="5"/>
      <c r="AN10" s="5" t="s">
        <v>108</v>
      </c>
      <c r="AO10" s="9">
        <v>1.111235100018195</v>
      </c>
      <c r="AP10" s="13">
        <v>21.9579587943592</v>
      </c>
      <c r="AQ10">
        <v>7.2579587943592401</v>
      </c>
      <c r="AR10">
        <v>14.7</v>
      </c>
    </row>
    <row r="11" spans="1:66" ht="15.75" thickBot="1" x14ac:dyDescent="0.3">
      <c r="A11" s="5" t="s">
        <v>29</v>
      </c>
      <c r="B11" s="42">
        <v>4.66251429291673E-2</v>
      </c>
      <c r="C11" s="44"/>
      <c r="D11" s="42">
        <v>6.9883057908481996E-2</v>
      </c>
      <c r="E11" s="42">
        <v>4.4113621235337297E-2</v>
      </c>
      <c r="F11" s="15">
        <v>1.0275460447393339</v>
      </c>
      <c r="G11" s="15">
        <v>17.2552427011953</v>
      </c>
      <c r="H11" s="15">
        <v>5.1821136906510699</v>
      </c>
      <c r="I11" s="15">
        <v>12.0731290105442</v>
      </c>
      <c r="J11" s="15">
        <f t="shared" si="0"/>
        <v>-6.8910153198931301</v>
      </c>
      <c r="K11" s="15">
        <f t="shared" si="1"/>
        <v>0.30032111285760682</v>
      </c>
      <c r="L11" s="15">
        <f t="shared" si="2"/>
        <v>0.69967888714239146</v>
      </c>
      <c r="AN11" s="5" t="s">
        <v>109</v>
      </c>
      <c r="AO11" s="9">
        <v>1.0519758315193652</v>
      </c>
      <c r="AP11" s="13">
        <v>16.640165980770899</v>
      </c>
      <c r="AQ11">
        <v>4.2170406154913396</v>
      </c>
      <c r="AR11">
        <v>12.423125365279599</v>
      </c>
    </row>
    <row r="12" spans="1:66" x14ac:dyDescent="0.25">
      <c r="A12" s="5" t="s">
        <v>30</v>
      </c>
      <c r="B12" s="42">
        <v>9.0894558490112708E-3</v>
      </c>
      <c r="C12" s="44"/>
      <c r="D12" s="42">
        <v>7.8645648239850305E-2</v>
      </c>
      <c r="E12" s="43">
        <v>-8.0536265843332393E-3</v>
      </c>
      <c r="F12" s="15">
        <v>1.0275826446035865</v>
      </c>
      <c r="G12" s="15">
        <v>17.024424898784201</v>
      </c>
      <c r="H12" s="15">
        <v>6.3491431999578403</v>
      </c>
      <c r="I12" s="15">
        <v>10.675281698826399</v>
      </c>
      <c r="J12" s="15">
        <f t="shared" si="0"/>
        <v>-4.3261384988685592</v>
      </c>
      <c r="K12" s="15">
        <f t="shared" si="1"/>
        <v>0.37294318238093693</v>
      </c>
      <c r="L12" s="15">
        <f t="shared" si="2"/>
        <v>0.62705681761906529</v>
      </c>
      <c r="AN12" t="s">
        <v>115</v>
      </c>
      <c r="AO12">
        <v>1.1737788669959499</v>
      </c>
      <c r="AP12">
        <v>4</v>
      </c>
      <c r="AQ12">
        <v>1.25</v>
      </c>
      <c r="AR12">
        <v>2.75</v>
      </c>
      <c r="AU12" s="60" t="s">
        <v>62</v>
      </c>
      <c r="AV12" s="60"/>
      <c r="BE12" s="60" t="s">
        <v>62</v>
      </c>
      <c r="BF12" s="60"/>
    </row>
    <row r="13" spans="1:66" x14ac:dyDescent="0.25">
      <c r="A13" s="5" t="s">
        <v>33</v>
      </c>
      <c r="B13" s="42">
        <v>2.0373962034653699E-2</v>
      </c>
      <c r="C13" s="44"/>
      <c r="D13" s="42">
        <v>0.101236914763633</v>
      </c>
      <c r="E13" s="42">
        <v>2.7450804091866201E-2</v>
      </c>
      <c r="F13" s="15">
        <v>1.111235100018195</v>
      </c>
      <c r="G13" s="15">
        <v>21.9579587943592</v>
      </c>
      <c r="H13" s="15">
        <v>7.2579587943592401</v>
      </c>
      <c r="I13" s="15">
        <v>14.7</v>
      </c>
      <c r="J13" s="15">
        <f t="shared" si="0"/>
        <v>-7.4420412056407592</v>
      </c>
      <c r="K13" s="15">
        <f t="shared" si="1"/>
        <v>0.33053886576304825</v>
      </c>
      <c r="L13" s="15">
        <f t="shared" si="2"/>
        <v>0.66946113423695353</v>
      </c>
      <c r="AN13" t="s">
        <v>116</v>
      </c>
      <c r="AO13">
        <v>1.01827696825768</v>
      </c>
      <c r="AP13">
        <v>1.1385255280790201</v>
      </c>
      <c r="AQ13">
        <v>0.25</v>
      </c>
      <c r="AR13">
        <v>0.88852552807902296</v>
      </c>
      <c r="AU13" s="57" t="s">
        <v>63</v>
      </c>
      <c r="AV13" s="57">
        <v>0.36921733648735411</v>
      </c>
      <c r="BE13" s="57" t="s">
        <v>63</v>
      </c>
      <c r="BF13" s="57">
        <v>0.73172460729315714</v>
      </c>
    </row>
    <row r="14" spans="1:66" x14ac:dyDescent="0.25">
      <c r="A14" s="5" t="s">
        <v>37</v>
      </c>
      <c r="B14" s="42">
        <v>0.14608753400636901</v>
      </c>
      <c r="C14" s="44"/>
      <c r="D14" s="42">
        <v>6.8212961854365706E-2</v>
      </c>
      <c r="E14" s="43">
        <v>-4.2076076707890497E-3</v>
      </c>
      <c r="F14" s="15">
        <v>1.0078290838208943</v>
      </c>
      <c r="G14" s="15">
        <v>2.4954469283408098</v>
      </c>
      <c r="H14" s="15">
        <v>1.8447691432308699</v>
      </c>
      <c r="I14" s="15">
        <v>0.650677785109948</v>
      </c>
      <c r="J14" s="15">
        <f t="shared" si="0"/>
        <v>1.194091358120922</v>
      </c>
      <c r="K14" s="15">
        <f t="shared" si="1"/>
        <v>0.73925400788123874</v>
      </c>
      <c r="L14" s="15">
        <f t="shared" si="2"/>
        <v>0.26074599211876454</v>
      </c>
      <c r="AN14" t="s">
        <v>117</v>
      </c>
      <c r="AO14">
        <v>1</v>
      </c>
      <c r="AP14">
        <v>0</v>
      </c>
      <c r="AQ14">
        <v>0</v>
      </c>
      <c r="AR14">
        <v>0</v>
      </c>
      <c r="AU14" s="57" t="s">
        <v>64</v>
      </c>
      <c r="AV14" s="57">
        <v>0.13632144156281609</v>
      </c>
      <c r="BE14" s="57" t="s">
        <v>64</v>
      </c>
      <c r="BF14" s="57">
        <v>0.53542090091832506</v>
      </c>
    </row>
    <row r="15" spans="1:66" x14ac:dyDescent="0.25">
      <c r="A15" s="5" t="s">
        <v>42</v>
      </c>
      <c r="B15" s="45">
        <v>1.0119527368219401E-2</v>
      </c>
      <c r="C15" s="44"/>
      <c r="D15" s="42">
        <v>9.9852529707758195E-2</v>
      </c>
      <c r="E15" s="42">
        <v>4.4857179056258203E-2</v>
      </c>
      <c r="F15" s="15">
        <v>1.0239451393319936</v>
      </c>
      <c r="G15" s="15">
        <v>19.594840851392899</v>
      </c>
      <c r="H15" s="15">
        <v>5.5209579590505999</v>
      </c>
      <c r="I15" s="15">
        <v>14.073882892342301</v>
      </c>
      <c r="J15" s="15">
        <f>H15-I15</f>
        <v>-8.5529249332917008</v>
      </c>
      <c r="K15" s="15">
        <f t="shared" si="1"/>
        <v>0.28175569278268175</v>
      </c>
      <c r="L15" s="15">
        <f t="shared" si="2"/>
        <v>0.71824430721731836</v>
      </c>
      <c r="AN15" t="s">
        <v>118</v>
      </c>
      <c r="AO15">
        <v>1.0453971899644701</v>
      </c>
      <c r="AP15">
        <v>4.5222851684946201</v>
      </c>
      <c r="AQ15">
        <v>2.1335248576486401</v>
      </c>
      <c r="AR15">
        <v>2.3887603108459801</v>
      </c>
      <c r="AU15" s="57" t="s">
        <v>65</v>
      </c>
      <c r="AV15" s="57">
        <v>-0.20914998181205746</v>
      </c>
      <c r="BE15" s="57" t="s">
        <v>65</v>
      </c>
      <c r="BF15" s="57">
        <v>0.3495892612856551</v>
      </c>
    </row>
    <row r="16" spans="1:66" x14ac:dyDescent="0.25">
      <c r="A16" s="5" t="s">
        <v>43</v>
      </c>
      <c r="B16" s="42">
        <v>4.5646344187588998E-2</v>
      </c>
      <c r="C16" s="44"/>
      <c r="D16" s="42">
        <v>5.5815481283492403E-2</v>
      </c>
      <c r="E16" s="42">
        <v>7.6664996000854094E-2</v>
      </c>
      <c r="F16" s="15">
        <v>1.0275460447393339</v>
      </c>
      <c r="G16" s="15">
        <v>17.2552427011953</v>
      </c>
      <c r="H16" s="15">
        <v>5.1821136906510699</v>
      </c>
      <c r="I16" s="15">
        <v>12.0731290105442</v>
      </c>
      <c r="J16" s="15">
        <f t="shared" si="0"/>
        <v>-6.8910153198931301</v>
      </c>
      <c r="K16" s="15">
        <f t="shared" si="1"/>
        <v>0.30032111285760682</v>
      </c>
      <c r="L16" s="15">
        <f t="shared" si="2"/>
        <v>0.69967888714239146</v>
      </c>
      <c r="AU16" s="57" t="s">
        <v>66</v>
      </c>
      <c r="AV16" s="57">
        <v>7.4208741684001892E-2</v>
      </c>
      <c r="BE16" s="57" t="s">
        <v>66</v>
      </c>
      <c r="BF16" s="57">
        <v>2.7823101920624101E-2</v>
      </c>
    </row>
    <row r="17" spans="1:65" ht="15.75" thickBot="1" x14ac:dyDescent="0.3">
      <c r="A17" s="5" t="s">
        <v>44</v>
      </c>
      <c r="B17" s="42">
        <v>1.47909285306715E-2</v>
      </c>
      <c r="C17" s="44"/>
      <c r="D17" s="42">
        <v>9.5391388976058394E-2</v>
      </c>
      <c r="E17" s="42">
        <v>2.1219861817338499E-2</v>
      </c>
      <c r="F17" s="15">
        <v>1.0275826446035865</v>
      </c>
      <c r="G17" s="15">
        <v>17.024424898784201</v>
      </c>
      <c r="H17" s="15">
        <v>6.3491431999578403</v>
      </c>
      <c r="I17" s="15">
        <v>10.675281698826399</v>
      </c>
      <c r="J17" s="15">
        <f t="shared" si="0"/>
        <v>-4.3261384988685592</v>
      </c>
      <c r="K17" s="15">
        <f t="shared" si="1"/>
        <v>0.37294318238093693</v>
      </c>
      <c r="L17" s="15">
        <f t="shared" si="2"/>
        <v>0.62705681761906529</v>
      </c>
      <c r="AU17" s="58" t="s">
        <v>67</v>
      </c>
      <c r="AV17" s="58">
        <v>8</v>
      </c>
      <c r="BE17" s="58" t="s">
        <v>67</v>
      </c>
      <c r="BF17" s="58">
        <v>8</v>
      </c>
    </row>
    <row r="18" spans="1:65" x14ac:dyDescent="0.25">
      <c r="A18" s="5" t="s">
        <v>46</v>
      </c>
      <c r="B18" s="42">
        <v>2.0282132481243099E-2</v>
      </c>
      <c r="C18" s="44"/>
      <c r="D18" s="42">
        <v>0.115227328160236</v>
      </c>
      <c r="E18" s="42">
        <v>3.1629539106965802E-2</v>
      </c>
      <c r="F18" s="15">
        <v>1.0572093304532362</v>
      </c>
      <c r="G18" s="15">
        <v>15.1069524712688</v>
      </c>
      <c r="H18" s="15">
        <v>3.20845082384478</v>
      </c>
      <c r="I18" s="15">
        <v>11.898501647424</v>
      </c>
      <c r="J18" s="15">
        <f t="shared" si="0"/>
        <v>-8.6900508235792202</v>
      </c>
      <c r="K18" s="15">
        <f t="shared" si="1"/>
        <v>0.21238240008676676</v>
      </c>
      <c r="L18" s="15">
        <f t="shared" si="2"/>
        <v>0.78761759991323199</v>
      </c>
    </row>
    <row r="19" spans="1:65" ht="15.75" thickBot="1" x14ac:dyDescent="0.3">
      <c r="A19" s="5" t="s">
        <v>47</v>
      </c>
      <c r="B19" s="42">
        <v>3.6679485231980898E-2</v>
      </c>
      <c r="C19" s="44"/>
      <c r="D19" s="42">
        <v>0.157732693122626</v>
      </c>
      <c r="E19" s="42">
        <v>4.3964016574286002E-2</v>
      </c>
      <c r="F19" s="15">
        <v>1.111235100018195</v>
      </c>
      <c r="G19" s="15">
        <v>21.9579587943592</v>
      </c>
      <c r="H19" s="15">
        <v>7.2579587943592401</v>
      </c>
      <c r="I19" s="15">
        <v>14.7</v>
      </c>
      <c r="J19" s="15">
        <f t="shared" si="0"/>
        <v>-7.4420412056407592</v>
      </c>
      <c r="K19" s="15">
        <f t="shared" si="1"/>
        <v>0.33053886576304825</v>
      </c>
      <c r="L19" s="15">
        <f t="shared" si="2"/>
        <v>0.66946113423695353</v>
      </c>
      <c r="AU19" t="s">
        <v>68</v>
      </c>
      <c r="BE19" t="s">
        <v>68</v>
      </c>
    </row>
    <row r="20" spans="1:65" x14ac:dyDescent="0.25">
      <c r="A20" s="5" t="s">
        <v>48</v>
      </c>
      <c r="B20" s="42">
        <v>7.7980025652416296E-2</v>
      </c>
      <c r="C20" s="44"/>
      <c r="D20" s="42">
        <v>0.121156039239802</v>
      </c>
      <c r="E20" s="42">
        <v>5.3048699734524599E-2</v>
      </c>
      <c r="F20" s="15">
        <v>1.0519758315193652</v>
      </c>
      <c r="G20" s="15">
        <v>16.640165980770899</v>
      </c>
      <c r="H20" s="15">
        <v>4.2170406154913396</v>
      </c>
      <c r="I20" s="15">
        <v>12.423125365279599</v>
      </c>
      <c r="J20" s="15">
        <f t="shared" si="0"/>
        <v>-8.2060847497882605</v>
      </c>
      <c r="K20" s="15">
        <f t="shared" si="1"/>
        <v>0.25342539373492318</v>
      </c>
      <c r="L20" s="15">
        <f t="shared" si="2"/>
        <v>0.74657460626507921</v>
      </c>
      <c r="AU20" s="59"/>
      <c r="AV20" s="59" t="s">
        <v>73</v>
      </c>
      <c r="AW20" s="59" t="s">
        <v>74</v>
      </c>
      <c r="AX20" s="59" t="s">
        <v>75</v>
      </c>
      <c r="AY20" s="59" t="s">
        <v>76</v>
      </c>
      <c r="AZ20" s="59" t="s">
        <v>77</v>
      </c>
      <c r="BE20" s="59"/>
      <c r="BF20" s="59" t="s">
        <v>73</v>
      </c>
      <c r="BG20" s="59" t="s">
        <v>74</v>
      </c>
      <c r="BH20" s="59" t="s">
        <v>75</v>
      </c>
      <c r="BI20" s="59" t="s">
        <v>76</v>
      </c>
      <c r="BJ20" s="59" t="s">
        <v>77</v>
      </c>
    </row>
    <row r="21" spans="1:65" x14ac:dyDescent="0.25">
      <c r="K21" s="15"/>
      <c r="L21" s="15"/>
      <c r="AU21" s="57" t="s">
        <v>69</v>
      </c>
      <c r="AV21" s="57">
        <v>2</v>
      </c>
      <c r="AW21" s="57">
        <v>4.3460245120590414E-3</v>
      </c>
      <c r="AX21" s="57">
        <v>2.1730122560295207E-3</v>
      </c>
      <c r="AY21" s="57">
        <v>0.39459542045795404</v>
      </c>
      <c r="AZ21" s="57">
        <v>0.69323478254432025</v>
      </c>
      <c r="BE21" s="57" t="s">
        <v>69</v>
      </c>
      <c r="BF21" s="57">
        <v>2</v>
      </c>
      <c r="BG21" s="57">
        <v>4.4608410710104233E-3</v>
      </c>
      <c r="BH21" s="57">
        <v>2.2304205355052117E-3</v>
      </c>
      <c r="BI21" s="57">
        <v>2.8812149641292617</v>
      </c>
      <c r="BJ21" s="57">
        <v>0.14711236206139133</v>
      </c>
    </row>
    <row r="22" spans="1:65" x14ac:dyDescent="0.25">
      <c r="A22" s="5" t="s">
        <v>99</v>
      </c>
      <c r="K22" s="15"/>
      <c r="L22" s="15"/>
      <c r="AU22" s="57" t="s">
        <v>70</v>
      </c>
      <c r="AV22" s="57">
        <v>5</v>
      </c>
      <c r="AW22" s="57">
        <v>2.75346867116146E-2</v>
      </c>
      <c r="AX22" s="57">
        <v>5.50693734232292E-3</v>
      </c>
      <c r="AY22" s="57"/>
      <c r="AZ22" s="57"/>
      <c r="BE22" s="57" t="s">
        <v>70</v>
      </c>
      <c r="BF22" s="57">
        <v>5</v>
      </c>
      <c r="BG22" s="57">
        <v>3.8706250024271825E-3</v>
      </c>
      <c r="BH22" s="57">
        <v>7.7412500048543653E-4</v>
      </c>
      <c r="BI22" s="57"/>
      <c r="BJ22" s="57"/>
    </row>
    <row r="23" spans="1:65" ht="26.25" thickBot="1" x14ac:dyDescent="0.3">
      <c r="A23" s="16" t="s">
        <v>59</v>
      </c>
      <c r="B23" s="17" t="s">
        <v>58</v>
      </c>
      <c r="C23" s="17" t="s">
        <v>94</v>
      </c>
      <c r="D23" s="17" t="s">
        <v>95</v>
      </c>
      <c r="E23" s="17" t="s">
        <v>96</v>
      </c>
      <c r="F23" s="17" t="s">
        <v>53</v>
      </c>
      <c r="G23" s="46" t="s">
        <v>110</v>
      </c>
      <c r="H23" s="46" t="s">
        <v>113</v>
      </c>
      <c r="I23" s="46" t="s">
        <v>114</v>
      </c>
      <c r="J23" s="46" t="s">
        <v>120</v>
      </c>
      <c r="K23" s="46" t="s">
        <v>123</v>
      </c>
      <c r="L23" s="46" t="s">
        <v>124</v>
      </c>
      <c r="AU23" s="58" t="s">
        <v>71</v>
      </c>
      <c r="AV23" s="58">
        <v>7</v>
      </c>
      <c r="AW23" s="58">
        <v>3.1880711223673641E-2</v>
      </c>
      <c r="AX23" s="58"/>
      <c r="AY23" s="58"/>
      <c r="AZ23" s="58"/>
      <c r="BE23" s="58" t="s">
        <v>71</v>
      </c>
      <c r="BF23" s="58">
        <v>7</v>
      </c>
      <c r="BG23" s="58">
        <v>8.3314660734376059E-3</v>
      </c>
      <c r="BH23" s="58"/>
      <c r="BI23" s="58"/>
      <c r="BJ23" s="58"/>
    </row>
    <row r="24" spans="1:65" ht="15.75" thickBot="1" x14ac:dyDescent="0.3">
      <c r="A24" s="5" t="s">
        <v>11</v>
      </c>
      <c r="B24" s="42">
        <v>0.17369777575697301</v>
      </c>
      <c r="C24" s="42">
        <v>0.199680501000808</v>
      </c>
      <c r="D24" s="42">
        <v>0.13984116014494999</v>
      </c>
      <c r="E24" s="43">
        <v>1.7836570943256701E-2</v>
      </c>
      <c r="F24" s="15">
        <v>1.1737788669959504</v>
      </c>
      <c r="G24" s="15">
        <v>4</v>
      </c>
      <c r="H24" s="15">
        <v>1.25</v>
      </c>
      <c r="I24" s="15">
        <v>2.75</v>
      </c>
      <c r="J24" s="15">
        <f>H24-I24</f>
        <v>-1.5</v>
      </c>
      <c r="K24" s="15">
        <f t="shared" si="1"/>
        <v>0.3125</v>
      </c>
      <c r="L24" s="15">
        <f t="shared" si="2"/>
        <v>0.6875</v>
      </c>
    </row>
    <row r="25" spans="1:65" x14ac:dyDescent="0.25">
      <c r="A25" s="5" t="s">
        <v>12</v>
      </c>
      <c r="B25" s="42">
        <v>9.9143945152060597E-2</v>
      </c>
      <c r="C25" s="42">
        <v>0.12535086320927399</v>
      </c>
      <c r="D25" s="42">
        <v>8.9326261366187695E-2</v>
      </c>
      <c r="E25" s="43">
        <v>-0.54160608613664096</v>
      </c>
      <c r="F25" s="15">
        <v>1.0182769682576838</v>
      </c>
      <c r="G25" s="15">
        <v>1.1385255280790201</v>
      </c>
      <c r="H25" s="15">
        <v>0.25</v>
      </c>
      <c r="I25" s="15">
        <v>0.88852552807902296</v>
      </c>
      <c r="J25" s="15">
        <f t="shared" ref="J25" si="3">H25-I25</f>
        <v>-0.63852552807902296</v>
      </c>
      <c r="K25" s="15">
        <f t="shared" si="1"/>
        <v>0.2195822525137518</v>
      </c>
      <c r="L25" s="15">
        <f t="shared" si="2"/>
        <v>0.7804177474862507</v>
      </c>
      <c r="AV25" t="s">
        <v>78</v>
      </c>
      <c r="AW25" t="s">
        <v>66</v>
      </c>
      <c r="AX25" t="s">
        <v>79</v>
      </c>
      <c r="AY25" t="s">
        <v>80</v>
      </c>
      <c r="AZ25" t="s">
        <v>81</v>
      </c>
      <c r="BA25" t="s">
        <v>82</v>
      </c>
      <c r="BB25" t="s">
        <v>83</v>
      </c>
      <c r="BC25" t="s">
        <v>84</v>
      </c>
      <c r="BE25" s="59"/>
      <c r="BF25" s="59" t="s">
        <v>78</v>
      </c>
      <c r="BG25" s="59" t="s">
        <v>66</v>
      </c>
      <c r="BH25" s="59" t="s">
        <v>79</v>
      </c>
      <c r="BI25" s="59" t="s">
        <v>80</v>
      </c>
      <c r="BJ25" s="59" t="s">
        <v>81</v>
      </c>
      <c r="BK25" s="59" t="s">
        <v>82</v>
      </c>
      <c r="BL25" s="59" t="s">
        <v>83</v>
      </c>
      <c r="BM25" s="59" t="s">
        <v>84</v>
      </c>
    </row>
    <row r="26" spans="1:65" x14ac:dyDescent="0.25">
      <c r="A26" s="5"/>
      <c r="B26" s="42"/>
      <c r="C26" s="42"/>
      <c r="D26" s="42"/>
      <c r="E26" s="42"/>
      <c r="F26" s="15"/>
      <c r="G26" s="15"/>
      <c r="H26" s="15"/>
      <c r="I26" s="15"/>
      <c r="J26" s="15"/>
      <c r="K26" s="15"/>
      <c r="L26" s="15"/>
      <c r="AU26" t="s">
        <v>72</v>
      </c>
      <c r="AV26">
        <v>-0.38936544710673093</v>
      </c>
      <c r="AW26">
        <v>0.52071358482019736</v>
      </c>
      <c r="AX26">
        <v>-0.74775357981332291</v>
      </c>
      <c r="AY26">
        <v>0.48826404100316051</v>
      </c>
      <c r="AZ26">
        <v>-1.7279023298145999</v>
      </c>
      <c r="BA26">
        <v>0.94917143560113804</v>
      </c>
      <c r="BB26">
        <v>-1.7279023298145999</v>
      </c>
      <c r="BC26">
        <v>0.94917143560113804</v>
      </c>
      <c r="BE26" s="57" t="s">
        <v>72</v>
      </c>
      <c r="BF26" s="57">
        <v>-0.11973559709792161</v>
      </c>
      <c r="BG26" s="57">
        <v>0.18514718971262359</v>
      </c>
      <c r="BH26" s="57">
        <v>-0.64670491236604433</v>
      </c>
      <c r="BI26" s="57">
        <v>0.54633347819834066</v>
      </c>
      <c r="BJ26" s="57">
        <v>-0.59567159989230267</v>
      </c>
      <c r="BK26" s="57">
        <v>0.35620040569645939</v>
      </c>
      <c r="BL26" s="57">
        <v>-0.59567159989230267</v>
      </c>
      <c r="BM26" s="57">
        <v>0.35620040569645939</v>
      </c>
    </row>
    <row r="27" spans="1:65" x14ac:dyDescent="0.25">
      <c r="A27" s="5" t="s">
        <v>19</v>
      </c>
      <c r="B27" s="43">
        <v>-7.8588218215967606E-2</v>
      </c>
      <c r="C27" s="43">
        <v>-0.161754895727207</v>
      </c>
      <c r="D27" s="42">
        <v>6.7271555006068101E-2</v>
      </c>
      <c r="E27" s="42">
        <v>5.9760012226563401E-2</v>
      </c>
      <c r="F27" s="15">
        <v>1.045397189964473</v>
      </c>
      <c r="G27" s="15">
        <v>4.5222851684946201</v>
      </c>
      <c r="H27" s="15">
        <v>2.1335248576486401</v>
      </c>
      <c r="I27" s="15">
        <v>2.3887603108459801</v>
      </c>
      <c r="J27" s="15">
        <v>-0.25523545319733998</v>
      </c>
      <c r="K27" s="15">
        <f t="shared" si="1"/>
        <v>0.47178025669682583</v>
      </c>
      <c r="L27" s="15">
        <f t="shared" si="2"/>
        <v>0.52821974330317423</v>
      </c>
      <c r="AU27" t="s">
        <v>53</v>
      </c>
      <c r="AV27">
        <v>0.4306387815295758</v>
      </c>
      <c r="AW27">
        <v>0.48993459534768236</v>
      </c>
      <c r="AX27">
        <v>0.87897198038030511</v>
      </c>
      <c r="AY27">
        <v>0.41964593512390114</v>
      </c>
      <c r="AZ27">
        <v>-0.82877818992100472</v>
      </c>
      <c r="BA27">
        <v>1.6900557529801563</v>
      </c>
      <c r="BB27">
        <v>-0.82877818992100472</v>
      </c>
      <c r="BC27">
        <v>1.6900557529801563</v>
      </c>
      <c r="BE27" s="57" t="s">
        <v>53</v>
      </c>
      <c r="BF27" s="57">
        <v>0.2316239378104295</v>
      </c>
      <c r="BG27" s="57">
        <v>0.17653858516126517</v>
      </c>
      <c r="BH27" s="57">
        <v>1.3120301015148883</v>
      </c>
      <c r="BI27" s="57">
        <v>0.24651430803099381</v>
      </c>
      <c r="BJ27" s="57">
        <v>-0.22218294249405346</v>
      </c>
      <c r="BK27" s="57">
        <v>0.68543081811491247</v>
      </c>
      <c r="BL27" s="57">
        <v>-0.22218294249405346</v>
      </c>
      <c r="BM27" s="57">
        <v>0.68543081811491247</v>
      </c>
    </row>
    <row r="28" spans="1:65" ht="15.75" thickBot="1" x14ac:dyDescent="0.3">
      <c r="A28" s="5" t="s">
        <v>37</v>
      </c>
      <c r="B28" s="42">
        <v>0.14608753400636901</v>
      </c>
      <c r="C28" s="44"/>
      <c r="D28" s="42">
        <v>6.8212961854365706E-2</v>
      </c>
      <c r="E28" s="43">
        <v>-4.2076076707890497E-3</v>
      </c>
      <c r="F28" s="15">
        <v>1.0078290838208943</v>
      </c>
      <c r="G28" s="15">
        <v>2.4954469283408098</v>
      </c>
      <c r="H28" s="15">
        <v>1.8447691432308699</v>
      </c>
      <c r="I28" s="15">
        <v>0.650677785109948</v>
      </c>
      <c r="J28" s="15">
        <f t="shared" ref="J28" si="4">H28-I28</f>
        <v>1.194091358120922</v>
      </c>
      <c r="K28" s="15">
        <f t="shared" si="1"/>
        <v>0.73925400788123874</v>
      </c>
      <c r="L28" s="15">
        <f t="shared" si="2"/>
        <v>0.26074599211876454</v>
      </c>
      <c r="AU28" t="s">
        <v>120</v>
      </c>
      <c r="AV28">
        <v>6.1794055160865067E-4</v>
      </c>
      <c r="AW28">
        <v>8.479720885687235E-3</v>
      </c>
      <c r="AX28">
        <v>7.2872746631514856E-2</v>
      </c>
      <c r="AY28">
        <v>0.94473272196100821</v>
      </c>
      <c r="AZ28">
        <v>-2.117987592840484E-2</v>
      </c>
      <c r="BA28">
        <v>2.2415757031622144E-2</v>
      </c>
      <c r="BB28">
        <v>-2.117987592840484E-2</v>
      </c>
      <c r="BC28">
        <v>2.2415757031622144E-2</v>
      </c>
      <c r="BE28" s="58" t="s">
        <v>120</v>
      </c>
      <c r="BF28" s="58">
        <v>6.2143552507071039E-3</v>
      </c>
      <c r="BG28" s="58">
        <v>2.9512026729110953E-3</v>
      </c>
      <c r="BH28" s="58">
        <v>2.1057026370124565</v>
      </c>
      <c r="BI28" s="58">
        <v>8.9106221124018947E-2</v>
      </c>
      <c r="BJ28" s="58">
        <v>-1.3719527335594988E-3</v>
      </c>
      <c r="BK28" s="58">
        <v>1.3800663234973707E-2</v>
      </c>
      <c r="BL28" s="58">
        <v>-1.3719527335594988E-3</v>
      </c>
      <c r="BM28" s="58">
        <v>1.3800663234973707E-2</v>
      </c>
    </row>
    <row r="29" spans="1:65" x14ac:dyDescent="0.25">
      <c r="A29" s="5" t="s">
        <v>42</v>
      </c>
      <c r="B29" s="45">
        <v>1.0119527368219401E-2</v>
      </c>
      <c r="C29" s="44"/>
      <c r="D29" s="42">
        <v>9.9852529707758195E-2</v>
      </c>
      <c r="E29" s="42">
        <v>4.4857179056258203E-2</v>
      </c>
      <c r="F29" s="15">
        <v>1.0239451393319936</v>
      </c>
      <c r="G29" s="15">
        <v>19.594840851392899</v>
      </c>
      <c r="H29" s="15">
        <v>5.5209579590505999</v>
      </c>
      <c r="I29" s="15">
        <v>14.073882892342301</v>
      </c>
      <c r="J29" s="15">
        <f>H29-I29</f>
        <v>-8.5529249332917008</v>
      </c>
      <c r="K29" s="15">
        <f t="shared" si="1"/>
        <v>0.28175569278268175</v>
      </c>
      <c r="L29" s="15">
        <f t="shared" si="2"/>
        <v>0.71824430721731836</v>
      </c>
    </row>
    <row r="30" spans="1:65" x14ac:dyDescent="0.25">
      <c r="A30" s="5" t="s">
        <v>43</v>
      </c>
      <c r="B30" s="42">
        <v>4.5646344187588998E-2</v>
      </c>
      <c r="C30" s="44"/>
      <c r="D30" s="42">
        <v>5.5815481283492403E-2</v>
      </c>
      <c r="E30" s="42">
        <v>7.6664996000854094E-2</v>
      </c>
      <c r="F30" s="15">
        <v>1.0275460447393339</v>
      </c>
      <c r="G30" s="15">
        <v>17.2552427011953</v>
      </c>
      <c r="H30" s="15">
        <v>5.1821136906510699</v>
      </c>
      <c r="I30" s="15">
        <v>12.0731290105442</v>
      </c>
      <c r="J30" s="15">
        <f t="shared" ref="J30:J34" si="5">H30-I30</f>
        <v>-6.8910153198931301</v>
      </c>
      <c r="K30" s="15">
        <f t="shared" si="1"/>
        <v>0.30032111285760682</v>
      </c>
      <c r="L30" s="15">
        <f t="shared" si="2"/>
        <v>0.69967888714239146</v>
      </c>
    </row>
    <row r="31" spans="1:65" ht="15.75" thickBot="1" x14ac:dyDescent="0.3">
      <c r="A31" s="5" t="s">
        <v>44</v>
      </c>
      <c r="B31" s="42">
        <v>1.47909285306715E-2</v>
      </c>
      <c r="C31" s="44"/>
      <c r="D31" s="42">
        <v>9.5391388976058394E-2</v>
      </c>
      <c r="E31" s="42">
        <v>2.1219861817338499E-2</v>
      </c>
      <c r="F31" s="15">
        <v>1.0275826446035865</v>
      </c>
      <c r="G31" s="15">
        <v>17.024424898784201</v>
      </c>
      <c r="H31" s="15">
        <v>6.3491431999578403</v>
      </c>
      <c r="I31" s="15">
        <v>10.675281698826399</v>
      </c>
      <c r="J31" s="15">
        <f t="shared" si="5"/>
        <v>-4.3261384988685592</v>
      </c>
      <c r="K31" s="15">
        <f t="shared" si="1"/>
        <v>0.37294318238093693</v>
      </c>
      <c r="L31" s="15">
        <f t="shared" si="2"/>
        <v>0.62705681761906529</v>
      </c>
    </row>
    <row r="32" spans="1:65" x14ac:dyDescent="0.25">
      <c r="A32" s="5" t="s">
        <v>46</v>
      </c>
      <c r="B32" s="42">
        <v>2.0282132481243099E-2</v>
      </c>
      <c r="C32" s="44"/>
      <c r="D32" s="42">
        <v>0.115227328160236</v>
      </c>
      <c r="E32" s="42">
        <v>3.1629539106965802E-2</v>
      </c>
      <c r="F32" s="15">
        <v>1.0572093304532362</v>
      </c>
      <c r="G32" s="15">
        <v>15.1069524712688</v>
      </c>
      <c r="H32" s="15">
        <v>3.20845082384478</v>
      </c>
      <c r="I32" s="15">
        <v>11.898501647424</v>
      </c>
      <c r="J32" s="15">
        <f t="shared" si="5"/>
        <v>-8.6900508235792202</v>
      </c>
      <c r="K32" s="15">
        <f t="shared" si="1"/>
        <v>0.21238240008676676</v>
      </c>
      <c r="L32" s="15">
        <f t="shared" si="2"/>
        <v>0.78761759991323199</v>
      </c>
      <c r="AU32" s="60" t="s">
        <v>62</v>
      </c>
      <c r="AV32" s="60"/>
      <c r="BE32" s="60" t="s">
        <v>62</v>
      </c>
      <c r="BF32" s="60"/>
    </row>
    <row r="33" spans="1:65" x14ac:dyDescent="0.25">
      <c r="A33" s="5" t="s">
        <v>47</v>
      </c>
      <c r="B33" s="42">
        <v>3.6679485231980898E-2</v>
      </c>
      <c r="C33" s="44"/>
      <c r="D33" s="42">
        <v>0.157732693122626</v>
      </c>
      <c r="E33" s="42">
        <v>4.3964016574286002E-2</v>
      </c>
      <c r="F33" s="15">
        <v>1.111235100018195</v>
      </c>
      <c r="G33" s="15">
        <v>21.9579587943592</v>
      </c>
      <c r="H33" s="15">
        <v>7.2579587943592401</v>
      </c>
      <c r="I33" s="15">
        <v>14.7</v>
      </c>
      <c r="J33" s="15">
        <f t="shared" si="5"/>
        <v>-7.4420412056407592</v>
      </c>
      <c r="K33" s="15">
        <f t="shared" si="1"/>
        <v>0.33053886576304825</v>
      </c>
      <c r="L33" s="15">
        <f t="shared" si="2"/>
        <v>0.66946113423695353</v>
      </c>
      <c r="AU33" s="57" t="s">
        <v>63</v>
      </c>
      <c r="AV33" s="57">
        <v>0.74129815678969202</v>
      </c>
      <c r="BE33" s="57" t="s">
        <v>63</v>
      </c>
      <c r="BF33" s="57">
        <v>0.50322327975350545</v>
      </c>
    </row>
    <row r="34" spans="1:65" x14ac:dyDescent="0.25">
      <c r="A34" s="5" t="s">
        <v>48</v>
      </c>
      <c r="B34" s="42">
        <v>7.7980025652416296E-2</v>
      </c>
      <c r="C34" s="44"/>
      <c r="D34" s="42">
        <v>0.121156039239802</v>
      </c>
      <c r="E34" s="42">
        <v>5.3048699734524599E-2</v>
      </c>
      <c r="F34" s="15">
        <v>1.0519758315193652</v>
      </c>
      <c r="G34" s="15">
        <v>16.640165980770899</v>
      </c>
      <c r="H34" s="15">
        <v>4.2170406154913396</v>
      </c>
      <c r="I34" s="15">
        <v>12.423125365279599</v>
      </c>
      <c r="J34" s="15">
        <f t="shared" si="5"/>
        <v>-8.2060847497882605</v>
      </c>
      <c r="K34" s="15">
        <f t="shared" si="1"/>
        <v>0.25342539373492318</v>
      </c>
      <c r="L34" s="15">
        <f t="shared" si="2"/>
        <v>0.74657460626507921</v>
      </c>
      <c r="AU34" s="57" t="s">
        <v>64</v>
      </c>
      <c r="AV34" s="57">
        <v>0.54952295725979483</v>
      </c>
      <c r="BE34" s="57" t="s">
        <v>64</v>
      </c>
      <c r="BF34" s="57">
        <v>0.25323366928587482</v>
      </c>
    </row>
    <row r="35" spans="1:65" x14ac:dyDescent="0.25">
      <c r="K35" s="15"/>
      <c r="L35" s="15"/>
      <c r="AU35" s="57" t="s">
        <v>65</v>
      </c>
      <c r="AV35" s="57">
        <v>0.3693321401637128</v>
      </c>
      <c r="BE35" s="57" t="s">
        <v>65</v>
      </c>
      <c r="BF35" s="57">
        <v>-4.5472862999775245E-2</v>
      </c>
    </row>
    <row r="36" spans="1:65" x14ac:dyDescent="0.25">
      <c r="A36" s="5" t="s">
        <v>98</v>
      </c>
      <c r="K36" s="15"/>
      <c r="L36" s="15"/>
      <c r="AU36" s="57" t="s">
        <v>66</v>
      </c>
      <c r="AV36" s="57">
        <v>5.359389613098673E-2</v>
      </c>
      <c r="BE36" s="57" t="s">
        <v>66</v>
      </c>
      <c r="BF36" s="57">
        <v>3.5275085681342355E-2</v>
      </c>
    </row>
    <row r="37" spans="1:65" ht="26.25" thickBot="1" x14ac:dyDescent="0.3">
      <c r="A37" s="16" t="s">
        <v>59</v>
      </c>
      <c r="B37" s="17" t="s">
        <v>58</v>
      </c>
      <c r="C37" s="17" t="s">
        <v>94</v>
      </c>
      <c r="D37" s="17" t="s">
        <v>95</v>
      </c>
      <c r="E37" s="17" t="s">
        <v>96</v>
      </c>
      <c r="F37" s="17" t="s">
        <v>53</v>
      </c>
      <c r="G37" s="46" t="s">
        <v>110</v>
      </c>
      <c r="H37" s="46" t="s">
        <v>113</v>
      </c>
      <c r="I37" s="46" t="s">
        <v>114</v>
      </c>
      <c r="J37" s="46" t="s">
        <v>120</v>
      </c>
      <c r="K37" s="46" t="s">
        <v>123</v>
      </c>
      <c r="L37" s="46" t="s">
        <v>124</v>
      </c>
      <c r="AU37" s="58" t="s">
        <v>67</v>
      </c>
      <c r="AV37" s="58">
        <v>8</v>
      </c>
      <c r="BE37" s="58" t="s">
        <v>67</v>
      </c>
      <c r="BF37" s="58">
        <v>8</v>
      </c>
    </row>
    <row r="38" spans="1:65" x14ac:dyDescent="0.25">
      <c r="A38" s="5" t="s">
        <v>11</v>
      </c>
      <c r="B38" s="42">
        <v>0.17369777575697301</v>
      </c>
      <c r="C38" s="42">
        <v>0.199680501000808</v>
      </c>
      <c r="D38" s="42">
        <v>0.13984116014494999</v>
      </c>
      <c r="E38" s="43">
        <v>1.7836570943256701E-2</v>
      </c>
      <c r="F38" s="15">
        <v>1.1737788669959504</v>
      </c>
      <c r="G38" s="15">
        <v>4</v>
      </c>
      <c r="H38" s="15">
        <v>1.25</v>
      </c>
      <c r="I38" s="15">
        <v>2.75</v>
      </c>
      <c r="J38" s="15">
        <v>-1.5</v>
      </c>
      <c r="K38" s="15">
        <f t="shared" si="1"/>
        <v>0.3125</v>
      </c>
      <c r="L38" s="15">
        <f t="shared" si="2"/>
        <v>0.6875</v>
      </c>
    </row>
    <row r="39" spans="1:65" ht="15.75" thickBot="1" x14ac:dyDescent="0.3">
      <c r="A39" s="5" t="s">
        <v>12</v>
      </c>
      <c r="B39" s="42">
        <v>9.9143945152060597E-2</v>
      </c>
      <c r="C39" s="42">
        <v>0.12535086320927399</v>
      </c>
      <c r="D39" s="42">
        <v>8.9326261366187695E-2</v>
      </c>
      <c r="E39" s="43">
        <v>-0.54160608613664096</v>
      </c>
      <c r="F39" s="15">
        <v>1.0182769682576838</v>
      </c>
      <c r="G39" s="15">
        <v>1.1385255280790201</v>
      </c>
      <c r="H39" s="15">
        <v>0.25</v>
      </c>
      <c r="I39" s="15">
        <v>0.88852552807902296</v>
      </c>
      <c r="J39" s="15">
        <v>-0.63852552807902296</v>
      </c>
      <c r="K39" s="15">
        <f t="shared" si="1"/>
        <v>0.2195822525137518</v>
      </c>
      <c r="L39" s="15">
        <f t="shared" si="2"/>
        <v>0.7804177474862507</v>
      </c>
      <c r="AU39" t="s">
        <v>68</v>
      </c>
      <c r="BE39" t="s">
        <v>68</v>
      </c>
    </row>
    <row r="40" spans="1:65" x14ac:dyDescent="0.25">
      <c r="A40" s="5"/>
      <c r="B40" s="42"/>
      <c r="C40" s="42"/>
      <c r="D40" s="42"/>
      <c r="E40" s="43"/>
      <c r="F40" s="15"/>
      <c r="G40" s="15"/>
      <c r="H40" s="15"/>
      <c r="I40" s="15"/>
      <c r="J40" s="15"/>
      <c r="K40" s="15"/>
      <c r="L40" s="15"/>
      <c r="AU40" s="59"/>
      <c r="AV40" s="59" t="s">
        <v>73</v>
      </c>
      <c r="AW40" s="59" t="s">
        <v>74</v>
      </c>
      <c r="AX40" s="59" t="s">
        <v>75</v>
      </c>
      <c r="AY40" s="59" t="s">
        <v>76</v>
      </c>
      <c r="AZ40" s="59" t="s">
        <v>77</v>
      </c>
      <c r="BE40" s="59"/>
      <c r="BF40" s="59" t="s">
        <v>73</v>
      </c>
      <c r="BG40" s="59" t="s">
        <v>74</v>
      </c>
      <c r="BH40" s="59" t="s">
        <v>75</v>
      </c>
      <c r="BI40" s="59" t="s">
        <v>76</v>
      </c>
      <c r="BJ40" s="59" t="s">
        <v>77</v>
      </c>
    </row>
    <row r="41" spans="1:65" x14ac:dyDescent="0.25">
      <c r="A41" s="5" t="s">
        <v>20</v>
      </c>
      <c r="B41" s="43">
        <v>-4.1760232547360499E-2</v>
      </c>
      <c r="C41" s="43">
        <v>-6.6277814143714905E-2</v>
      </c>
      <c r="D41" s="44"/>
      <c r="E41" s="43">
        <v>-4.74716361793363E-2</v>
      </c>
      <c r="F41" s="15">
        <v>1.045397189964473</v>
      </c>
      <c r="G41" s="15">
        <v>4.5222851684946201</v>
      </c>
      <c r="H41" s="15">
        <v>2.1335248576486401</v>
      </c>
      <c r="I41" s="15">
        <v>2.3887603108459801</v>
      </c>
      <c r="J41" s="15">
        <v>-0.25523545319733998</v>
      </c>
      <c r="K41" s="15">
        <f t="shared" si="1"/>
        <v>0.47178025669682583</v>
      </c>
      <c r="L41" s="15">
        <f t="shared" si="2"/>
        <v>0.52821974330317423</v>
      </c>
      <c r="AU41" s="57" t="s">
        <v>69</v>
      </c>
      <c r="AV41" s="57">
        <v>2</v>
      </c>
      <c r="AW41" s="57">
        <v>1.7519182711178673E-2</v>
      </c>
      <c r="AX41" s="57">
        <v>8.7595913555893364E-3</v>
      </c>
      <c r="AY41" s="57">
        <v>3.0496723757391919</v>
      </c>
      <c r="AZ41" s="57">
        <v>0.13620142716666969</v>
      </c>
      <c r="BE41" s="57" t="s">
        <v>69</v>
      </c>
      <c r="BF41" s="57">
        <v>2</v>
      </c>
      <c r="BG41" s="57">
        <v>2.1098077243073849E-3</v>
      </c>
      <c r="BH41" s="57">
        <v>1.0549038621536925E-3</v>
      </c>
      <c r="BI41" s="57">
        <v>0.84776743028743007</v>
      </c>
      <c r="BJ41" s="57">
        <v>0.48190543232148159</v>
      </c>
    </row>
    <row r="42" spans="1:65" x14ac:dyDescent="0.25">
      <c r="A42" s="5" t="s">
        <v>23</v>
      </c>
      <c r="B42" s="44"/>
      <c r="C42" s="44"/>
      <c r="D42" s="42">
        <v>0.11077055296162799</v>
      </c>
      <c r="E42" s="44"/>
      <c r="F42" s="15">
        <v>1.0078290838208943</v>
      </c>
      <c r="G42" s="15">
        <v>2.4954469283408098</v>
      </c>
      <c r="H42" s="15">
        <v>1.8447691432308699</v>
      </c>
      <c r="I42" s="15">
        <v>0.650677785109948</v>
      </c>
      <c r="J42" s="15">
        <v>1.194091358120922</v>
      </c>
      <c r="K42" s="15">
        <f t="shared" si="1"/>
        <v>0.73925400788123874</v>
      </c>
      <c r="L42" s="15">
        <f t="shared" si="2"/>
        <v>0.26074599211876454</v>
      </c>
      <c r="AU42" s="57" t="s">
        <v>70</v>
      </c>
      <c r="AV42" s="57">
        <v>5</v>
      </c>
      <c r="AW42" s="57">
        <v>1.436152851249497E-2</v>
      </c>
      <c r="AX42" s="57">
        <v>2.8723057024989942E-3</v>
      </c>
      <c r="AY42" s="57"/>
      <c r="AZ42" s="57"/>
      <c r="BE42" s="57" t="s">
        <v>70</v>
      </c>
      <c r="BF42" s="57">
        <v>5</v>
      </c>
      <c r="BG42" s="57">
        <v>6.221658349130221E-3</v>
      </c>
      <c r="BH42" s="57">
        <v>1.2443316698260442E-3</v>
      </c>
      <c r="BI42" s="57"/>
      <c r="BJ42" s="57"/>
    </row>
    <row r="43" spans="1:65" ht="15.75" thickBot="1" x14ac:dyDescent="0.3">
      <c r="A43" s="5" t="s">
        <v>26</v>
      </c>
      <c r="B43" s="42">
        <v>8.8732929175135894E-2</v>
      </c>
      <c r="C43" s="44"/>
      <c r="D43" s="42">
        <v>0.15621819275209001</v>
      </c>
      <c r="E43" s="42">
        <v>1.20306787922476E-2</v>
      </c>
      <c r="F43" s="15">
        <v>1.0119508062412015</v>
      </c>
      <c r="G43" s="15">
        <v>8.1761484496582497</v>
      </c>
      <c r="H43" s="15">
        <v>3.1258759015031101</v>
      </c>
      <c r="I43" s="15">
        <v>5.0502725481551298</v>
      </c>
      <c r="J43" s="15">
        <v>-1.9243966466520197</v>
      </c>
      <c r="K43" s="15">
        <f t="shared" si="1"/>
        <v>0.3823164318443566</v>
      </c>
      <c r="L43" s="15">
        <f t="shared" si="2"/>
        <v>0.61768356815564218</v>
      </c>
      <c r="AU43" s="58" t="s">
        <v>71</v>
      </c>
      <c r="AV43" s="58">
        <v>7</v>
      </c>
      <c r="AW43" s="58">
        <v>3.1880711223673641E-2</v>
      </c>
      <c r="AX43" s="58"/>
      <c r="AY43" s="58"/>
      <c r="AZ43" s="58"/>
      <c r="BE43" s="58" t="s">
        <v>71</v>
      </c>
      <c r="BF43" s="58">
        <v>7</v>
      </c>
      <c r="BG43" s="58">
        <v>8.3314660734376059E-3</v>
      </c>
      <c r="BH43" s="58"/>
      <c r="BI43" s="58"/>
      <c r="BJ43" s="58"/>
    </row>
    <row r="44" spans="1:65" ht="15.75" thickBot="1" x14ac:dyDescent="0.3">
      <c r="A44" s="5" t="s">
        <v>28</v>
      </c>
      <c r="B44" s="42">
        <v>0.10415722716452799</v>
      </c>
      <c r="C44" s="44"/>
      <c r="D44" s="42">
        <v>5.5397551503622099E-2</v>
      </c>
      <c r="E44" s="42">
        <v>2.8615745110634201E-2</v>
      </c>
      <c r="F44" s="15">
        <v>1.0239451393319936</v>
      </c>
      <c r="G44" s="15">
        <v>19.594840851392899</v>
      </c>
      <c r="H44" s="15">
        <v>5.5209579590505999</v>
      </c>
      <c r="I44" s="15">
        <v>14.073882892342301</v>
      </c>
      <c r="J44" s="15">
        <v>-8.5529249332917008</v>
      </c>
      <c r="K44" s="15">
        <f t="shared" si="1"/>
        <v>0.28175569278268175</v>
      </c>
      <c r="L44" s="15">
        <f t="shared" si="2"/>
        <v>0.71824430721731836</v>
      </c>
    </row>
    <row r="45" spans="1:65" x14ac:dyDescent="0.25">
      <c r="A45" s="5" t="s">
        <v>29</v>
      </c>
      <c r="B45" s="42">
        <v>4.66251429291673E-2</v>
      </c>
      <c r="C45" s="44"/>
      <c r="D45" s="42">
        <v>6.9883057908481996E-2</v>
      </c>
      <c r="E45" s="42">
        <v>4.4113621235337297E-2</v>
      </c>
      <c r="F45" s="15">
        <v>1.0275460447393339</v>
      </c>
      <c r="G45" s="15">
        <v>17.2552427011953</v>
      </c>
      <c r="H45" s="15">
        <v>5.1821136906510699</v>
      </c>
      <c r="I45" s="15">
        <v>12.0731290105442</v>
      </c>
      <c r="J45" s="15">
        <v>-6.8910153198931301</v>
      </c>
      <c r="K45" s="15">
        <f t="shared" si="1"/>
        <v>0.30032111285760682</v>
      </c>
      <c r="L45" s="15">
        <f t="shared" si="2"/>
        <v>0.69967888714239146</v>
      </c>
      <c r="AU45" s="59"/>
      <c r="AV45" s="59" t="s">
        <v>78</v>
      </c>
      <c r="AW45" s="59" t="s">
        <v>66</v>
      </c>
      <c r="AX45" s="59" t="s">
        <v>79</v>
      </c>
      <c r="AY45" s="59" t="s">
        <v>80</v>
      </c>
      <c r="AZ45" s="59" t="s">
        <v>81</v>
      </c>
      <c r="BA45" s="59" t="s">
        <v>82</v>
      </c>
      <c r="BB45" s="59" t="s">
        <v>83</v>
      </c>
      <c r="BC45" s="59" t="s">
        <v>84</v>
      </c>
      <c r="BE45" s="59"/>
      <c r="BF45" s="59" t="s">
        <v>78</v>
      </c>
      <c r="BG45" s="59" t="s">
        <v>66</v>
      </c>
      <c r="BH45" s="59" t="s">
        <v>79</v>
      </c>
      <c r="BI45" s="59" t="s">
        <v>80</v>
      </c>
      <c r="BJ45" s="59" t="s">
        <v>81</v>
      </c>
      <c r="BK45" s="59" t="s">
        <v>82</v>
      </c>
      <c r="BL45" s="59" t="s">
        <v>83</v>
      </c>
      <c r="BM45" s="59" t="s">
        <v>84</v>
      </c>
    </row>
    <row r="46" spans="1:65" x14ac:dyDescent="0.25">
      <c r="A46" s="5" t="s">
        <v>30</v>
      </c>
      <c r="B46" s="42">
        <v>9.0894558490112708E-3</v>
      </c>
      <c r="C46" s="44"/>
      <c r="D46" s="42">
        <v>7.8645648239850305E-2</v>
      </c>
      <c r="E46" s="43">
        <v>-8.0536265843332393E-3</v>
      </c>
      <c r="F46" s="15">
        <v>1.0275826446035865</v>
      </c>
      <c r="G46" s="15">
        <v>17.024424898784201</v>
      </c>
      <c r="H46" s="15">
        <v>6.3491431999578403</v>
      </c>
      <c r="I46" s="15">
        <v>10.675281698826399</v>
      </c>
      <c r="J46" s="15">
        <v>-4.3261384988685592</v>
      </c>
      <c r="K46" s="15">
        <f t="shared" si="1"/>
        <v>0.37294318238093693</v>
      </c>
      <c r="L46" s="15">
        <f t="shared" si="2"/>
        <v>0.62705681761906529</v>
      </c>
      <c r="AU46" s="57" t="s">
        <v>72</v>
      </c>
      <c r="AV46" s="57">
        <v>-0.19059119457266774</v>
      </c>
      <c r="AW46" s="57">
        <v>0.3849108806597053</v>
      </c>
      <c r="AX46" s="57">
        <v>-0.49515668210264735</v>
      </c>
      <c r="AY46" s="57">
        <v>0.64147968576164005</v>
      </c>
      <c r="AZ46" s="57">
        <v>-1.1800361127352836</v>
      </c>
      <c r="BA46" s="57">
        <v>0.79885372358994811</v>
      </c>
      <c r="BB46" s="57">
        <v>-1.1800361127352836</v>
      </c>
      <c r="BC46" s="57">
        <v>0.79885372358994811</v>
      </c>
      <c r="BE46" s="57" t="s">
        <v>72</v>
      </c>
      <c r="BF46" s="57">
        <v>-0.20047802225831629</v>
      </c>
      <c r="BG46" s="57">
        <v>0.25280369511671708</v>
      </c>
      <c r="BH46" s="57">
        <v>-0.79301855997697135</v>
      </c>
      <c r="BI46" s="57">
        <v>0.46371805435853919</v>
      </c>
      <c r="BJ46" s="57">
        <v>-0.85033060890709011</v>
      </c>
      <c r="BK46" s="57">
        <v>0.44937456439045759</v>
      </c>
      <c r="BL46" s="57">
        <v>-0.85033060890709011</v>
      </c>
      <c r="BM46" s="57">
        <v>0.44937456439045759</v>
      </c>
    </row>
    <row r="47" spans="1:65" x14ac:dyDescent="0.25">
      <c r="A47" s="5" t="s">
        <v>33</v>
      </c>
      <c r="B47" s="42">
        <v>2.0373962034653699E-2</v>
      </c>
      <c r="C47" s="44"/>
      <c r="D47" s="42">
        <v>0.101236914763633</v>
      </c>
      <c r="E47" s="42">
        <v>2.7450804091866201E-2</v>
      </c>
      <c r="F47" s="15">
        <v>1.111235100018195</v>
      </c>
      <c r="G47" s="15">
        <v>21.9579587943592</v>
      </c>
      <c r="H47" s="15">
        <v>7.2579587943592401</v>
      </c>
      <c r="I47" s="15">
        <v>14.7</v>
      </c>
      <c r="J47" s="15">
        <v>-7.4420412056407592</v>
      </c>
      <c r="K47" s="15">
        <f t="shared" si="1"/>
        <v>0.33053886576304825</v>
      </c>
      <c r="L47" s="15">
        <f t="shared" si="2"/>
        <v>0.66946113423695353</v>
      </c>
      <c r="AU47" s="57" t="s">
        <v>53</v>
      </c>
      <c r="AV47" s="57">
        <v>0.42120762936462108</v>
      </c>
      <c r="AW47" s="57">
        <v>0.35316384733732203</v>
      </c>
      <c r="AX47" s="57">
        <v>1.1926691606185484</v>
      </c>
      <c r="AY47" s="57">
        <v>0.28650652164891255</v>
      </c>
      <c r="AZ47" s="57">
        <v>-0.4866289416041355</v>
      </c>
      <c r="BA47" s="57">
        <v>1.3290442003333776</v>
      </c>
      <c r="BB47" s="57">
        <v>-0.4866289416041355</v>
      </c>
      <c r="BC47" s="57">
        <v>1.3290442003333776</v>
      </c>
      <c r="BE47" s="57" t="s">
        <v>53</v>
      </c>
      <c r="BF47" s="57">
        <v>0.25793517811422467</v>
      </c>
      <c r="BG47" s="57">
        <v>0.23083727426570047</v>
      </c>
      <c r="BH47" s="57">
        <v>1.1173896370710639</v>
      </c>
      <c r="BI47" s="57">
        <v>0.31462319488145307</v>
      </c>
      <c r="BJ47" s="57">
        <v>-0.3354509261009832</v>
      </c>
      <c r="BK47" s="57">
        <v>0.85132128232943249</v>
      </c>
      <c r="BL47" s="57">
        <v>-0.3354509261009832</v>
      </c>
      <c r="BM47" s="57">
        <v>0.85132128232943249</v>
      </c>
    </row>
    <row r="48" spans="1:65" ht="15.75" thickBot="1" x14ac:dyDescent="0.3">
      <c r="K48" s="15"/>
      <c r="L48" s="15"/>
      <c r="AU48" s="58" t="s">
        <v>123</v>
      </c>
      <c r="AV48" s="58">
        <v>-0.57269154371442199</v>
      </c>
      <c r="AW48" s="58">
        <v>0.26712197503185131</v>
      </c>
      <c r="AX48" s="58">
        <v>-2.1439327245395474</v>
      </c>
      <c r="AY48" s="58">
        <v>8.4893915003553588E-2</v>
      </c>
      <c r="AZ48" s="58">
        <v>-1.2593504406305962</v>
      </c>
      <c r="BA48" s="58">
        <v>0.11396735320175222</v>
      </c>
      <c r="BB48" s="58">
        <v>-1.2593504406305962</v>
      </c>
      <c r="BC48" s="58">
        <v>0.11396735320175222</v>
      </c>
      <c r="BE48" s="58" t="s">
        <v>123</v>
      </c>
      <c r="BF48" s="58">
        <v>8.095192744993765E-2</v>
      </c>
      <c r="BG48" s="58">
        <v>8.6835483692363089E-2</v>
      </c>
      <c r="BH48" s="58">
        <v>0.93224479219498058</v>
      </c>
      <c r="BI48" s="58">
        <v>0.39400174817870653</v>
      </c>
      <c r="BJ48" s="58">
        <v>-0.14226578961834435</v>
      </c>
      <c r="BK48" s="58">
        <v>0.30416964451821965</v>
      </c>
      <c r="BL48" s="58">
        <v>-0.14226578961834435</v>
      </c>
      <c r="BM48" s="58">
        <v>0.30416964451821965</v>
      </c>
    </row>
    <row r="49" spans="1:62" x14ac:dyDescent="0.25">
      <c r="A49" s="5" t="s">
        <v>121</v>
      </c>
      <c r="K49" s="15"/>
      <c r="L49" s="15"/>
    </row>
    <row r="50" spans="1:62" ht="25.5" x14ac:dyDescent="0.25">
      <c r="A50" s="16" t="s">
        <v>59</v>
      </c>
      <c r="B50" s="17" t="s">
        <v>58</v>
      </c>
      <c r="C50" s="17" t="s">
        <v>94</v>
      </c>
      <c r="D50" s="17" t="s">
        <v>95</v>
      </c>
      <c r="E50" s="17" t="s">
        <v>96</v>
      </c>
      <c r="F50" s="17" t="s">
        <v>53</v>
      </c>
      <c r="G50" s="46" t="s">
        <v>110</v>
      </c>
      <c r="H50" s="46" t="s">
        <v>113</v>
      </c>
      <c r="I50" s="46" t="s">
        <v>114</v>
      </c>
      <c r="J50" s="46" t="s">
        <v>120</v>
      </c>
      <c r="K50" s="46" t="s">
        <v>123</v>
      </c>
      <c r="L50" s="46" t="s">
        <v>124</v>
      </c>
      <c r="AU50" t="s">
        <v>61</v>
      </c>
      <c r="BE50" t="s">
        <v>61</v>
      </c>
    </row>
    <row r="51" spans="1:62" ht="15.75" thickBot="1" x14ac:dyDescent="0.3">
      <c r="A51" s="5" t="s">
        <v>11</v>
      </c>
      <c r="B51" s="42">
        <v>0.17369777575697301</v>
      </c>
      <c r="C51" s="42">
        <v>0.199680501000808</v>
      </c>
      <c r="D51" s="42">
        <v>0.13984116014494999</v>
      </c>
      <c r="E51" s="43">
        <v>1.7836570943256701E-2</v>
      </c>
      <c r="F51" s="15">
        <v>1.1737788669959504</v>
      </c>
      <c r="G51" s="15">
        <v>4</v>
      </c>
      <c r="H51" s="15">
        <v>1.25</v>
      </c>
      <c r="I51" s="15">
        <v>2.75</v>
      </c>
      <c r="J51" s="15">
        <v>-1.5</v>
      </c>
      <c r="K51" s="15">
        <f t="shared" si="1"/>
        <v>0.3125</v>
      </c>
      <c r="L51" s="15">
        <f t="shared" si="2"/>
        <v>0.6875</v>
      </c>
    </row>
    <row r="52" spans="1:62" x14ac:dyDescent="0.25">
      <c r="A52" s="5" t="s">
        <v>12</v>
      </c>
      <c r="B52" s="42">
        <v>9.9143945152060597E-2</v>
      </c>
      <c r="C52" s="42">
        <v>0.12535086320927399</v>
      </c>
      <c r="D52" s="42">
        <v>8.9326261366187695E-2</v>
      </c>
      <c r="E52" s="43">
        <v>-0.54160608613664096</v>
      </c>
      <c r="F52" s="15">
        <v>1.0182769682576838</v>
      </c>
      <c r="G52" s="15">
        <v>1.1385255280790201</v>
      </c>
      <c r="H52" s="15">
        <v>0.25</v>
      </c>
      <c r="I52" s="15">
        <v>0.88852552807902296</v>
      </c>
      <c r="J52" s="15">
        <v>-0.63852552807902296</v>
      </c>
      <c r="K52" s="15">
        <f t="shared" si="1"/>
        <v>0.2195822525137518</v>
      </c>
      <c r="L52" s="15">
        <f t="shared" si="2"/>
        <v>0.7804177474862507</v>
      </c>
      <c r="AU52" s="60" t="s">
        <v>62</v>
      </c>
      <c r="AV52" s="60"/>
      <c r="BE52" s="60" t="s">
        <v>62</v>
      </c>
      <c r="BF52" s="60"/>
    </row>
    <row r="53" spans="1:62" x14ac:dyDescent="0.25">
      <c r="A53" s="5"/>
      <c r="B53" s="42"/>
      <c r="C53" s="42"/>
      <c r="D53" s="42"/>
      <c r="E53" s="43"/>
      <c r="F53" s="15"/>
      <c r="G53" s="15"/>
      <c r="H53" s="15"/>
      <c r="I53" s="15"/>
      <c r="J53" s="15"/>
      <c r="K53" s="15"/>
      <c r="L53" s="15"/>
      <c r="AU53" s="57" t="s">
        <v>63</v>
      </c>
      <c r="AV53" s="57">
        <v>0.44330981587229684</v>
      </c>
      <c r="BE53" s="57" t="s">
        <v>63</v>
      </c>
      <c r="BF53" s="57">
        <v>0.65782859483624112</v>
      </c>
    </row>
    <row r="54" spans="1:62" x14ac:dyDescent="0.25">
      <c r="A54" s="5" t="s">
        <v>20</v>
      </c>
      <c r="B54" s="43">
        <v>-4.1760232547360499E-2</v>
      </c>
      <c r="C54" s="43">
        <v>-6.6277814143714905E-2</v>
      </c>
      <c r="D54" s="44"/>
      <c r="E54" s="43">
        <v>-4.74716361793363E-2</v>
      </c>
      <c r="F54" s="15">
        <v>1.045397189964473</v>
      </c>
      <c r="G54" s="15">
        <v>4.5222851684946201</v>
      </c>
      <c r="H54" s="15">
        <v>2.1335248576486401</v>
      </c>
      <c r="I54" s="15">
        <v>2.3887603108459801</v>
      </c>
      <c r="J54" s="15">
        <v>-0.25523545319733998</v>
      </c>
      <c r="K54" s="15">
        <f t="shared" si="1"/>
        <v>0.47178025669682583</v>
      </c>
      <c r="L54" s="15">
        <f t="shared" si="2"/>
        <v>0.52821974330317423</v>
      </c>
      <c r="AU54" s="57" t="s">
        <v>64</v>
      </c>
      <c r="AV54" s="57">
        <v>0.19652359284872975</v>
      </c>
      <c r="BE54" s="57" t="s">
        <v>64</v>
      </c>
      <c r="BF54" s="57">
        <v>0.43273846018422346</v>
      </c>
    </row>
    <row r="55" spans="1:62" x14ac:dyDescent="0.25">
      <c r="A55" s="5" t="s">
        <v>37</v>
      </c>
      <c r="B55" s="42">
        <v>0.14608753400636901</v>
      </c>
      <c r="C55" s="44"/>
      <c r="D55" s="42">
        <v>6.8212961854365706E-2</v>
      </c>
      <c r="E55" s="43">
        <v>-4.2076076707890497E-3</v>
      </c>
      <c r="F55" s="15">
        <v>1.0078290838208943</v>
      </c>
      <c r="G55" s="15">
        <v>2.4954469283408098</v>
      </c>
      <c r="H55" s="15">
        <v>1.8447691432308699</v>
      </c>
      <c r="I55" s="15">
        <v>0.650677785109948</v>
      </c>
      <c r="J55" s="15">
        <f t="shared" ref="J55" si="6">H55-I55</f>
        <v>1.194091358120922</v>
      </c>
      <c r="K55" s="15">
        <f t="shared" si="1"/>
        <v>0.73925400788123874</v>
      </c>
      <c r="L55" s="15">
        <f t="shared" si="2"/>
        <v>0.26074599211876454</v>
      </c>
      <c r="AU55" s="57" t="s">
        <v>65</v>
      </c>
      <c r="AV55" s="57">
        <v>-0.12486697001177834</v>
      </c>
      <c r="BE55" s="57" t="s">
        <v>65</v>
      </c>
      <c r="BF55" s="57">
        <v>0.20583384425791279</v>
      </c>
    </row>
    <row r="56" spans="1:62" x14ac:dyDescent="0.25">
      <c r="A56" s="5" t="s">
        <v>42</v>
      </c>
      <c r="B56" s="45">
        <v>1.0119527368219401E-2</v>
      </c>
      <c r="C56" s="44"/>
      <c r="D56" s="42">
        <v>9.9852529707758195E-2</v>
      </c>
      <c r="E56" s="42">
        <v>4.4857179056258203E-2</v>
      </c>
      <c r="F56" s="15">
        <v>1.0239451393319936</v>
      </c>
      <c r="G56" s="15">
        <v>19.594840851392899</v>
      </c>
      <c r="H56" s="15">
        <v>5.5209579590505999</v>
      </c>
      <c r="I56" s="15">
        <v>14.073882892342301</v>
      </c>
      <c r="J56" s="15">
        <f>H56-I56</f>
        <v>-8.5529249332917008</v>
      </c>
      <c r="K56" s="15">
        <f t="shared" si="1"/>
        <v>0.28175569278268175</v>
      </c>
      <c r="L56" s="15">
        <f t="shared" si="2"/>
        <v>0.71824430721731836</v>
      </c>
      <c r="AU56" s="57" t="s">
        <v>66</v>
      </c>
      <c r="AV56" s="57">
        <v>7.1575693236495402E-2</v>
      </c>
      <c r="BE56" s="57" t="s">
        <v>66</v>
      </c>
      <c r="BF56" s="57">
        <v>3.074449633264828E-2</v>
      </c>
    </row>
    <row r="57" spans="1:62" ht="15.75" thickBot="1" x14ac:dyDescent="0.3">
      <c r="A57" s="5" t="s">
        <v>43</v>
      </c>
      <c r="B57" s="42">
        <v>4.5646344187588998E-2</v>
      </c>
      <c r="C57" s="44"/>
      <c r="D57" s="42">
        <v>5.5815481283492403E-2</v>
      </c>
      <c r="E57" s="42">
        <v>7.6664996000854094E-2</v>
      </c>
      <c r="F57" s="15">
        <v>1.0275460447393339</v>
      </c>
      <c r="G57" s="15">
        <v>17.2552427011953</v>
      </c>
      <c r="H57" s="15">
        <v>5.1821136906510699</v>
      </c>
      <c r="I57" s="15">
        <v>12.0731290105442</v>
      </c>
      <c r="J57" s="15">
        <f t="shared" ref="J57:J61" si="7">H57-I57</f>
        <v>-6.8910153198931301</v>
      </c>
      <c r="K57" s="15">
        <f t="shared" si="1"/>
        <v>0.30032111285760682</v>
      </c>
      <c r="L57" s="15">
        <f t="shared" si="2"/>
        <v>0.69967888714239146</v>
      </c>
      <c r="AU57" s="58" t="s">
        <v>67</v>
      </c>
      <c r="AV57" s="58">
        <v>8</v>
      </c>
      <c r="BE57" s="58" t="s">
        <v>67</v>
      </c>
      <c r="BF57" s="58">
        <v>8</v>
      </c>
    </row>
    <row r="58" spans="1:62" x14ac:dyDescent="0.25">
      <c r="A58" s="5" t="s">
        <v>44</v>
      </c>
      <c r="B58" s="42">
        <v>1.47909285306715E-2</v>
      </c>
      <c r="C58" s="44"/>
      <c r="D58" s="42">
        <v>9.5391388976058394E-2</v>
      </c>
      <c r="E58" s="42">
        <v>2.1219861817338499E-2</v>
      </c>
      <c r="F58" s="15">
        <v>1.0275826446035865</v>
      </c>
      <c r="G58" s="15">
        <v>17.024424898784201</v>
      </c>
      <c r="H58" s="15">
        <v>6.3491431999578403</v>
      </c>
      <c r="I58" s="15">
        <v>10.675281698826399</v>
      </c>
      <c r="J58" s="15">
        <f t="shared" si="7"/>
        <v>-4.3261384988685592</v>
      </c>
      <c r="K58" s="15">
        <f t="shared" si="1"/>
        <v>0.37294318238093693</v>
      </c>
      <c r="L58" s="15">
        <f t="shared" si="2"/>
        <v>0.62705681761906529</v>
      </c>
    </row>
    <row r="59" spans="1:62" ht="15.75" thickBot="1" x14ac:dyDescent="0.3">
      <c r="A59" s="5" t="s">
        <v>46</v>
      </c>
      <c r="B59" s="42">
        <v>2.0282132481243099E-2</v>
      </c>
      <c r="C59" s="44"/>
      <c r="D59" s="42">
        <v>0.115227328160236</v>
      </c>
      <c r="E59" s="42">
        <v>3.1629539106965802E-2</v>
      </c>
      <c r="F59" s="15">
        <v>1.0572093304532362</v>
      </c>
      <c r="G59" s="15">
        <v>15.1069524712688</v>
      </c>
      <c r="H59" s="15">
        <v>3.20845082384478</v>
      </c>
      <c r="I59" s="15">
        <v>11.898501647424</v>
      </c>
      <c r="J59" s="15">
        <f t="shared" si="7"/>
        <v>-8.6900508235792202</v>
      </c>
      <c r="K59" s="15">
        <f t="shared" si="1"/>
        <v>0.21238240008676676</v>
      </c>
      <c r="L59" s="15">
        <f t="shared" si="2"/>
        <v>0.78761759991323199</v>
      </c>
      <c r="AU59" t="s">
        <v>68</v>
      </c>
      <c r="BE59" t="s">
        <v>68</v>
      </c>
    </row>
    <row r="60" spans="1:62" x14ac:dyDescent="0.25">
      <c r="A60" s="5" t="s">
        <v>47</v>
      </c>
      <c r="B60" s="42">
        <v>3.6679485231980898E-2</v>
      </c>
      <c r="C60" s="44"/>
      <c r="D60" s="42">
        <v>0.157732693122626</v>
      </c>
      <c r="E60" s="42">
        <v>4.3964016574286002E-2</v>
      </c>
      <c r="F60" s="15">
        <v>1.111235100018195</v>
      </c>
      <c r="G60" s="15">
        <v>21.9579587943592</v>
      </c>
      <c r="H60" s="15">
        <v>7.2579587943592401</v>
      </c>
      <c r="I60" s="15">
        <v>14.7</v>
      </c>
      <c r="J60" s="15">
        <f t="shared" si="7"/>
        <v>-7.4420412056407592</v>
      </c>
      <c r="K60" s="15">
        <f t="shared" si="1"/>
        <v>0.33053886576304825</v>
      </c>
      <c r="L60" s="15">
        <f t="shared" si="2"/>
        <v>0.66946113423695353</v>
      </c>
      <c r="AU60" s="59"/>
      <c r="AV60" s="59" t="s">
        <v>73</v>
      </c>
      <c r="AW60" s="59" t="s">
        <v>74</v>
      </c>
      <c r="AX60" s="59" t="s">
        <v>75</v>
      </c>
      <c r="AY60" s="59" t="s">
        <v>76</v>
      </c>
      <c r="AZ60" s="59" t="s">
        <v>77</v>
      </c>
      <c r="BE60" s="59"/>
      <c r="BF60" s="59" t="s">
        <v>73</v>
      </c>
      <c r="BG60" s="59" t="s">
        <v>74</v>
      </c>
      <c r="BH60" s="59" t="s">
        <v>75</v>
      </c>
      <c r="BI60" s="59" t="s">
        <v>76</v>
      </c>
      <c r="BJ60" s="59" t="s">
        <v>77</v>
      </c>
    </row>
    <row r="61" spans="1:62" x14ac:dyDescent="0.25">
      <c r="A61" s="5" t="s">
        <v>48</v>
      </c>
      <c r="B61" s="42">
        <v>7.7980025652416296E-2</v>
      </c>
      <c r="C61" s="44"/>
      <c r="D61" s="42">
        <v>0.121156039239802</v>
      </c>
      <c r="E61" s="42">
        <v>5.3048699734524599E-2</v>
      </c>
      <c r="F61" s="15">
        <v>1.0519758315193652</v>
      </c>
      <c r="G61" s="15">
        <v>16.640165980770899</v>
      </c>
      <c r="H61" s="15">
        <v>4.2170406154913396</v>
      </c>
      <c r="I61" s="15">
        <v>12.423125365279599</v>
      </c>
      <c r="J61" s="15">
        <f t="shared" si="7"/>
        <v>-8.2060847497882605</v>
      </c>
      <c r="K61" s="15">
        <f t="shared" si="1"/>
        <v>0.25342539373492318</v>
      </c>
      <c r="L61" s="15">
        <f t="shared" si="2"/>
        <v>0.74657460626507921</v>
      </c>
      <c r="AU61" s="57" t="s">
        <v>69</v>
      </c>
      <c r="AV61" s="57">
        <v>2</v>
      </c>
      <c r="AW61" s="57">
        <v>6.2653119122491677E-3</v>
      </c>
      <c r="AX61" s="57">
        <v>3.1326559561245838E-3</v>
      </c>
      <c r="AY61" s="57">
        <v>0.61147904001781828</v>
      </c>
      <c r="AZ61" s="57">
        <v>0.57867247092032048</v>
      </c>
      <c r="BE61" s="57" t="s">
        <v>69</v>
      </c>
      <c r="BF61" s="57">
        <v>2</v>
      </c>
      <c r="BG61" s="57">
        <v>3.6053457996964881E-3</v>
      </c>
      <c r="BH61" s="57">
        <v>1.8026728998482441E-3</v>
      </c>
      <c r="BI61" s="57">
        <v>1.9071381973329238</v>
      </c>
      <c r="BJ61" s="57">
        <v>0.24235855182579283</v>
      </c>
    </row>
    <row r="62" spans="1:62" x14ac:dyDescent="0.25">
      <c r="K62" s="15"/>
      <c r="L62" s="15"/>
      <c r="AU62" s="57" t="s">
        <v>70</v>
      </c>
      <c r="AV62" s="57">
        <v>5</v>
      </c>
      <c r="AW62" s="57">
        <v>2.5615399311424474E-2</v>
      </c>
      <c r="AX62" s="57">
        <v>5.1230798622848945E-3</v>
      </c>
      <c r="AY62" s="57"/>
      <c r="AZ62" s="57"/>
      <c r="BE62" s="57" t="s">
        <v>70</v>
      </c>
      <c r="BF62" s="57">
        <v>5</v>
      </c>
      <c r="BG62" s="57">
        <v>4.7261202737411178E-3</v>
      </c>
      <c r="BH62" s="57">
        <v>9.4522405474822358E-4</v>
      </c>
      <c r="BI62" s="57"/>
      <c r="BJ62" s="57"/>
    </row>
    <row r="63" spans="1:62" ht="15.75" thickBot="1" x14ac:dyDescent="0.3">
      <c r="A63" s="5" t="s">
        <v>122</v>
      </c>
      <c r="K63" s="15"/>
      <c r="L63" s="15"/>
      <c r="AU63" s="58" t="s">
        <v>71</v>
      </c>
      <c r="AV63" s="58">
        <v>7</v>
      </c>
      <c r="AW63" s="58">
        <v>3.1880711223673641E-2</v>
      </c>
      <c r="AX63" s="58"/>
      <c r="AY63" s="58"/>
      <c r="AZ63" s="58"/>
      <c r="BE63" s="58" t="s">
        <v>71</v>
      </c>
      <c r="BF63" s="58">
        <v>7</v>
      </c>
      <c r="BG63" s="58">
        <v>8.3314660734376059E-3</v>
      </c>
      <c r="BH63" s="58"/>
      <c r="BI63" s="58"/>
      <c r="BJ63" s="58"/>
    </row>
    <row r="64" spans="1:62" ht="26.25" thickBot="1" x14ac:dyDescent="0.3">
      <c r="A64" s="16" t="s">
        <v>59</v>
      </c>
      <c r="B64" s="17" t="s">
        <v>58</v>
      </c>
      <c r="C64" s="17" t="s">
        <v>94</v>
      </c>
      <c r="D64" s="17" t="s">
        <v>95</v>
      </c>
      <c r="E64" s="17" t="s">
        <v>96</v>
      </c>
      <c r="F64" s="17" t="s">
        <v>53</v>
      </c>
      <c r="G64" s="46" t="s">
        <v>110</v>
      </c>
      <c r="H64" s="46" t="s">
        <v>113</v>
      </c>
      <c r="I64" s="46" t="s">
        <v>114</v>
      </c>
      <c r="J64" s="46" t="s">
        <v>120</v>
      </c>
      <c r="K64" s="46" t="s">
        <v>123</v>
      </c>
      <c r="L64" s="46" t="s">
        <v>124</v>
      </c>
    </row>
    <row r="65" spans="1:65" x14ac:dyDescent="0.25">
      <c r="A65" s="5" t="s">
        <v>11</v>
      </c>
      <c r="B65" s="42">
        <v>0.17369777575697301</v>
      </c>
      <c r="C65" s="42">
        <v>0.199680501000808</v>
      </c>
      <c r="D65" s="42">
        <v>0.13984116014494999</v>
      </c>
      <c r="E65" s="43">
        <v>1.7836570943256701E-2</v>
      </c>
      <c r="F65" s="15">
        <v>1.1737788669959504</v>
      </c>
      <c r="G65" s="15">
        <v>4</v>
      </c>
      <c r="H65" s="15">
        <v>1.25</v>
      </c>
      <c r="I65" s="15">
        <v>2.75</v>
      </c>
      <c r="J65" s="15">
        <f>H65-I65</f>
        <v>-1.5</v>
      </c>
      <c r="K65" s="15">
        <f t="shared" si="1"/>
        <v>0.3125</v>
      </c>
      <c r="L65" s="15">
        <f t="shared" si="2"/>
        <v>0.6875</v>
      </c>
      <c r="AU65" s="59"/>
      <c r="AV65" s="59" t="s">
        <v>78</v>
      </c>
      <c r="AW65" s="59" t="s">
        <v>66</v>
      </c>
      <c r="AX65" s="59" t="s">
        <v>79</v>
      </c>
      <c r="AY65" s="59" t="s">
        <v>80</v>
      </c>
      <c r="AZ65" s="59" t="s">
        <v>81</v>
      </c>
      <c r="BA65" s="59" t="s">
        <v>82</v>
      </c>
      <c r="BB65" s="59" t="s">
        <v>83</v>
      </c>
      <c r="BC65" s="59" t="s">
        <v>84</v>
      </c>
      <c r="BE65" s="59"/>
      <c r="BF65" s="59" t="s">
        <v>78</v>
      </c>
      <c r="BG65" s="59" t="s">
        <v>66</v>
      </c>
      <c r="BH65" s="59" t="s">
        <v>79</v>
      </c>
      <c r="BI65" s="59" t="s">
        <v>80</v>
      </c>
      <c r="BJ65" s="59" t="s">
        <v>81</v>
      </c>
      <c r="BK65" s="59" t="s">
        <v>82</v>
      </c>
      <c r="BL65" s="59" t="s">
        <v>83</v>
      </c>
      <c r="BM65" s="59" t="s">
        <v>84</v>
      </c>
    </row>
    <row r="66" spans="1:65" x14ac:dyDescent="0.25">
      <c r="A66" s="5" t="s">
        <v>12</v>
      </c>
      <c r="B66" s="42">
        <v>9.9143945152060597E-2</v>
      </c>
      <c r="C66" s="42">
        <v>0.12535086320927399</v>
      </c>
      <c r="D66" s="42">
        <v>8.9326261366187695E-2</v>
      </c>
      <c r="E66" s="43">
        <v>-0.54160608613664096</v>
      </c>
      <c r="F66" s="15">
        <v>1.0182769682576838</v>
      </c>
      <c r="G66" s="15">
        <v>1.1385255280790201</v>
      </c>
      <c r="H66" s="15">
        <v>0.25</v>
      </c>
      <c r="I66" s="15">
        <v>0.88852552807902296</v>
      </c>
      <c r="J66" s="15">
        <f t="shared" ref="J66" si="8">H66-I66</f>
        <v>-0.63852552807902296</v>
      </c>
      <c r="K66" s="15">
        <f t="shared" si="1"/>
        <v>0.2195822525137518</v>
      </c>
      <c r="L66" s="15">
        <f t="shared" si="2"/>
        <v>0.7804177474862507</v>
      </c>
      <c r="AU66" s="57" t="s">
        <v>72</v>
      </c>
      <c r="AV66" s="57">
        <v>-0.34427100381066833</v>
      </c>
      <c r="AW66" s="57">
        <v>0.50469772012275127</v>
      </c>
      <c r="AX66" s="57">
        <v>-0.68213306714945265</v>
      </c>
      <c r="AY66" s="57">
        <v>0.52546604369753491</v>
      </c>
      <c r="AZ66" s="57">
        <v>-1.6416377956452735</v>
      </c>
      <c r="BA66" s="57">
        <v>0.95309578802393691</v>
      </c>
      <c r="BB66" s="57">
        <v>-1.6416377956452735</v>
      </c>
      <c r="BC66" s="57">
        <v>0.95309578802393691</v>
      </c>
      <c r="BE66" s="57" t="s">
        <v>72</v>
      </c>
      <c r="BF66" s="57">
        <v>-9.4708211457584887E-2</v>
      </c>
      <c r="BG66" s="57">
        <v>0.20485241003291796</v>
      </c>
      <c r="BH66" s="57">
        <v>-0.46232412614704471</v>
      </c>
      <c r="BI66" s="57">
        <v>0.66326983313502086</v>
      </c>
      <c r="BJ66" s="57">
        <v>-0.62129809567452621</v>
      </c>
      <c r="BK66" s="57">
        <v>0.43188167275935641</v>
      </c>
      <c r="BL66" s="57">
        <v>-0.62129809567452621</v>
      </c>
      <c r="BM66" s="57">
        <v>0.43188167275935641</v>
      </c>
    </row>
    <row r="67" spans="1:65" x14ac:dyDescent="0.25">
      <c r="A67" s="5"/>
      <c r="B67" s="42"/>
      <c r="C67" s="42"/>
      <c r="D67" s="42"/>
      <c r="E67" s="42"/>
      <c r="F67" s="15"/>
      <c r="G67" s="15"/>
      <c r="H67" s="15"/>
      <c r="I67" s="15"/>
      <c r="J67" s="15"/>
      <c r="K67" s="15"/>
      <c r="L67" s="15"/>
      <c r="AU67" s="57" t="s">
        <v>53</v>
      </c>
      <c r="AV67" s="57">
        <v>0.40847004173905255</v>
      </c>
      <c r="AW67" s="57">
        <v>0.47326188601700947</v>
      </c>
      <c r="AX67" s="57">
        <v>0.86309515684170635</v>
      </c>
      <c r="AY67" s="57">
        <v>0.42753570788814504</v>
      </c>
      <c r="AZ67" s="57">
        <v>-0.80808836595525624</v>
      </c>
      <c r="BA67" s="57">
        <v>1.6250284494333613</v>
      </c>
      <c r="BB67" s="57">
        <v>-0.80808836595525624</v>
      </c>
      <c r="BC67" s="57">
        <v>1.6250284494333613</v>
      </c>
      <c r="BE67" s="57" t="s">
        <v>53</v>
      </c>
      <c r="BF67" s="57">
        <v>0.21045782740290936</v>
      </c>
      <c r="BG67" s="57">
        <v>0.19454465740517926</v>
      </c>
      <c r="BH67" s="57">
        <v>1.0817970033717639</v>
      </c>
      <c r="BI67" s="57">
        <v>0.32873424179523353</v>
      </c>
      <c r="BJ67" s="57">
        <v>-0.28963513514293443</v>
      </c>
      <c r="BK67" s="57">
        <v>0.71055078994875309</v>
      </c>
      <c r="BL67" s="57">
        <v>-0.28963513514293443</v>
      </c>
      <c r="BM67" s="57">
        <v>0.71055078994875309</v>
      </c>
    </row>
    <row r="68" spans="1:65" ht="15.75" thickBot="1" x14ac:dyDescent="0.3">
      <c r="A68" s="5" t="s">
        <v>19</v>
      </c>
      <c r="B68" s="43">
        <v>-7.8588218215967606E-2</v>
      </c>
      <c r="C68" s="43">
        <v>-0.161754895727207</v>
      </c>
      <c r="D68" s="42">
        <v>6.7271555006068101E-2</v>
      </c>
      <c r="E68" s="42">
        <v>5.9760012226563401E-2</v>
      </c>
      <c r="F68" s="15">
        <v>1.045397189964473</v>
      </c>
      <c r="G68" s="15">
        <v>4.5222851684946201</v>
      </c>
      <c r="H68" s="15">
        <v>2.1335248576486401</v>
      </c>
      <c r="I68" s="15">
        <v>2.3887603108459801</v>
      </c>
      <c r="J68" s="15">
        <v>-0.25523545319733998</v>
      </c>
      <c r="K68" s="15">
        <f t="shared" ref="K68:K74" si="9">H68/G68</f>
        <v>0.47178025669682583</v>
      </c>
      <c r="L68" s="15">
        <f t="shared" ref="L68:L74" si="10">I68/G68</f>
        <v>0.52821974330317423</v>
      </c>
      <c r="AU68" s="58" t="s">
        <v>110</v>
      </c>
      <c r="AV68" s="58">
        <v>-2.0619490782120059E-3</v>
      </c>
      <c r="AW68" s="58">
        <v>3.3434110009903208E-3</v>
      </c>
      <c r="AX68" s="58">
        <v>-0.61672019312051529</v>
      </c>
      <c r="AY68" s="58">
        <v>0.56441403584072081</v>
      </c>
      <c r="AZ68" s="58">
        <v>-1.0656460666424353E-2</v>
      </c>
      <c r="BA68" s="58">
        <v>6.5325625100003419E-3</v>
      </c>
      <c r="BB68" s="58">
        <v>-1.0656460666424353E-2</v>
      </c>
      <c r="BC68" s="58">
        <v>6.5325625100003419E-3</v>
      </c>
      <c r="BE68" s="58" t="s">
        <v>110</v>
      </c>
      <c r="BF68" s="58">
        <v>-2.2840044386329785E-3</v>
      </c>
      <c r="BG68" s="58">
        <v>1.3832806289765121E-3</v>
      </c>
      <c r="BH68" s="58">
        <v>-1.6511504540643434</v>
      </c>
      <c r="BI68" s="58">
        <v>0.15961887275832759</v>
      </c>
      <c r="BJ68" s="58">
        <v>-5.839840497067577E-3</v>
      </c>
      <c r="BK68" s="58">
        <v>1.2718316198016204E-3</v>
      </c>
      <c r="BL68" s="58">
        <v>-5.839840497067577E-3</v>
      </c>
      <c r="BM68" s="58">
        <v>1.2718316198016204E-3</v>
      </c>
    </row>
    <row r="69" spans="1:65" x14ac:dyDescent="0.25">
      <c r="A69" s="5" t="s">
        <v>23</v>
      </c>
      <c r="B69" s="44"/>
      <c r="C69" s="44"/>
      <c r="D69" s="42">
        <v>0.11077055296162799</v>
      </c>
      <c r="E69" s="44"/>
      <c r="F69" s="15">
        <v>1.0078290838208943</v>
      </c>
      <c r="G69" s="15">
        <v>2.4954469283408098</v>
      </c>
      <c r="H69" s="15">
        <v>1.8447691432308699</v>
      </c>
      <c r="I69" s="15">
        <v>0.650677785109948</v>
      </c>
      <c r="J69" s="15">
        <v>1.194091358120922</v>
      </c>
      <c r="K69" s="15">
        <f t="shared" si="9"/>
        <v>0.73925400788123874</v>
      </c>
      <c r="L69" s="15">
        <f t="shared" si="10"/>
        <v>0.26074599211876454</v>
      </c>
    </row>
    <row r="70" spans="1:65" x14ac:dyDescent="0.25">
      <c r="A70" s="5" t="s">
        <v>26</v>
      </c>
      <c r="B70" s="42">
        <v>8.8732929175135894E-2</v>
      </c>
      <c r="C70" s="44"/>
      <c r="D70" s="42">
        <v>0.15621819275209001</v>
      </c>
      <c r="E70" s="42">
        <v>1.20306787922476E-2</v>
      </c>
      <c r="F70" s="15">
        <v>1.0119508062412015</v>
      </c>
      <c r="G70" s="15">
        <v>8.1761484496582497</v>
      </c>
      <c r="H70" s="15">
        <v>3.1258759015031101</v>
      </c>
      <c r="I70" s="15">
        <v>5.0502725481551298</v>
      </c>
      <c r="J70" s="15">
        <v>-1.9243966466520197</v>
      </c>
      <c r="K70" s="15">
        <f t="shared" si="9"/>
        <v>0.3823164318443566</v>
      </c>
      <c r="L70" s="15">
        <f t="shared" si="10"/>
        <v>0.61768356815564218</v>
      </c>
      <c r="AU70" t="s">
        <v>61</v>
      </c>
      <c r="BE70" t="s">
        <v>61</v>
      </c>
    </row>
    <row r="71" spans="1:65" ht="15.75" thickBot="1" x14ac:dyDescent="0.3">
      <c r="A71" s="5" t="s">
        <v>28</v>
      </c>
      <c r="B71" s="42">
        <v>0.10415722716452799</v>
      </c>
      <c r="C71" s="44"/>
      <c r="D71" s="42">
        <v>5.5397551503622099E-2</v>
      </c>
      <c r="E71" s="42">
        <v>2.8615745110634201E-2</v>
      </c>
      <c r="F71" s="15">
        <v>1.0239451393319936</v>
      </c>
      <c r="G71" s="15">
        <v>19.594840851392899</v>
      </c>
      <c r="H71" s="15">
        <v>5.5209579590505999</v>
      </c>
      <c r="I71" s="15">
        <v>14.073882892342301</v>
      </c>
      <c r="J71" s="15">
        <v>-8.5529249332917008</v>
      </c>
      <c r="K71" s="15">
        <f t="shared" si="9"/>
        <v>0.28175569278268175</v>
      </c>
      <c r="L71" s="15">
        <f t="shared" si="10"/>
        <v>0.71824430721731836</v>
      </c>
    </row>
    <row r="72" spans="1:65" x14ac:dyDescent="0.25">
      <c r="A72" s="5" t="s">
        <v>29</v>
      </c>
      <c r="B72" s="42">
        <v>4.66251429291673E-2</v>
      </c>
      <c r="C72" s="44"/>
      <c r="D72" s="42">
        <v>6.9883057908481996E-2</v>
      </c>
      <c r="E72" s="42">
        <v>4.4113621235337297E-2</v>
      </c>
      <c r="F72" s="15">
        <v>1.0275460447393339</v>
      </c>
      <c r="G72" s="15">
        <v>17.2552427011953</v>
      </c>
      <c r="H72" s="15">
        <v>5.1821136906510699</v>
      </c>
      <c r="I72" s="15">
        <v>12.0731290105442</v>
      </c>
      <c r="J72" s="15">
        <v>-6.8910153198931301</v>
      </c>
      <c r="K72" s="15">
        <f t="shared" si="9"/>
        <v>0.30032111285760682</v>
      </c>
      <c r="L72" s="15">
        <f t="shared" si="10"/>
        <v>0.69967888714239146</v>
      </c>
      <c r="AU72" s="60" t="s">
        <v>62</v>
      </c>
      <c r="AV72" s="60"/>
      <c r="BE72" s="60" t="s">
        <v>62</v>
      </c>
      <c r="BF72" s="60"/>
    </row>
    <row r="73" spans="1:65" x14ac:dyDescent="0.25">
      <c r="A73" s="5" t="s">
        <v>30</v>
      </c>
      <c r="B73" s="42">
        <v>9.0894558490112708E-3</v>
      </c>
      <c r="C73" s="44"/>
      <c r="D73" s="42">
        <v>7.8645648239850305E-2</v>
      </c>
      <c r="E73" s="43">
        <v>-8.0536265843332393E-3</v>
      </c>
      <c r="F73" s="15">
        <v>1.0275826446035865</v>
      </c>
      <c r="G73" s="15">
        <v>17.024424898784201</v>
      </c>
      <c r="H73" s="15">
        <v>6.3491431999578403</v>
      </c>
      <c r="I73" s="15">
        <v>10.675281698826399</v>
      </c>
      <c r="J73" s="15">
        <v>-4.3261384988685592</v>
      </c>
      <c r="K73" s="15">
        <f t="shared" si="9"/>
        <v>0.37294318238093693</v>
      </c>
      <c r="L73" s="15">
        <f t="shared" si="10"/>
        <v>0.62705681761906529</v>
      </c>
      <c r="AU73" s="57" t="s">
        <v>63</v>
      </c>
      <c r="AV73" s="57">
        <v>0.79253099186279474</v>
      </c>
      <c r="BE73" s="57" t="s">
        <v>63</v>
      </c>
      <c r="BF73" s="57">
        <v>0.68631917576320489</v>
      </c>
    </row>
    <row r="74" spans="1:65" x14ac:dyDescent="0.25">
      <c r="A74" s="5" t="s">
        <v>33</v>
      </c>
      <c r="B74" s="42">
        <v>2.0373962034653699E-2</v>
      </c>
      <c r="C74" s="44"/>
      <c r="D74" s="42">
        <v>0.101236914763633</v>
      </c>
      <c r="E74" s="42">
        <v>2.7450804091866201E-2</v>
      </c>
      <c r="F74" s="15">
        <v>1.111235100018195</v>
      </c>
      <c r="G74" s="15">
        <v>21.9579587943592</v>
      </c>
      <c r="H74" s="15">
        <v>7.2579587943592401</v>
      </c>
      <c r="I74" s="15">
        <v>14.7</v>
      </c>
      <c r="J74" s="15">
        <v>-7.4420412056407592</v>
      </c>
      <c r="K74" s="15">
        <f t="shared" si="9"/>
        <v>0.33053886576304825</v>
      </c>
      <c r="L74" s="15">
        <f t="shared" si="10"/>
        <v>0.66946113423695353</v>
      </c>
      <c r="AU74" s="57" t="s">
        <v>64</v>
      </c>
      <c r="AV74" s="57">
        <v>0.62810537306302516</v>
      </c>
      <c r="BE74" s="57" t="s">
        <v>64</v>
      </c>
      <c r="BF74" s="57">
        <v>0.47103401102028486</v>
      </c>
    </row>
    <row r="75" spans="1:65" x14ac:dyDescent="0.25">
      <c r="AU75" s="57" t="s">
        <v>65</v>
      </c>
      <c r="AV75" s="57">
        <v>0.34918440286029395</v>
      </c>
      <c r="BE75" s="57" t="s">
        <v>65</v>
      </c>
      <c r="BF75" s="57">
        <v>7.430951928549856E-2</v>
      </c>
    </row>
    <row r="76" spans="1:65" x14ac:dyDescent="0.25">
      <c r="AU76" s="57" t="s">
        <v>66</v>
      </c>
      <c r="AV76" s="57">
        <v>5.4443239265802176E-2</v>
      </c>
      <c r="BE76" s="57" t="s">
        <v>66</v>
      </c>
      <c r="BF76" s="57">
        <v>3.3192853866408002E-2</v>
      </c>
    </row>
    <row r="77" spans="1:65" ht="15.75" thickBot="1" x14ac:dyDescent="0.3">
      <c r="AU77" s="58" t="s">
        <v>67</v>
      </c>
      <c r="AV77" s="58">
        <v>8</v>
      </c>
      <c r="BE77" s="58" t="s">
        <v>67</v>
      </c>
      <c r="BF77" s="58">
        <v>8</v>
      </c>
    </row>
    <row r="79" spans="1:65" ht="15.75" thickBot="1" x14ac:dyDescent="0.3">
      <c r="AU79" t="s">
        <v>68</v>
      </c>
      <c r="BE79" t="s">
        <v>68</v>
      </c>
    </row>
    <row r="80" spans="1:65" x14ac:dyDescent="0.25">
      <c r="AU80" s="59"/>
      <c r="AV80" s="59" t="s">
        <v>73</v>
      </c>
      <c r="AW80" s="59" t="s">
        <v>74</v>
      </c>
      <c r="AX80" s="59" t="s">
        <v>75</v>
      </c>
      <c r="AY80" s="59" t="s">
        <v>76</v>
      </c>
      <c r="AZ80" s="59" t="s">
        <v>77</v>
      </c>
      <c r="BE80" s="59"/>
      <c r="BF80" s="59" t="s">
        <v>73</v>
      </c>
      <c r="BG80" s="59" t="s">
        <v>74</v>
      </c>
      <c r="BH80" s="59" t="s">
        <v>75</v>
      </c>
      <c r="BI80" s="59" t="s">
        <v>76</v>
      </c>
      <c r="BJ80" s="59" t="s">
        <v>77</v>
      </c>
    </row>
    <row r="81" spans="47:65" x14ac:dyDescent="0.25">
      <c r="AU81" s="57" t="s">
        <v>69</v>
      </c>
      <c r="AV81" s="57">
        <v>3</v>
      </c>
      <c r="AW81" s="57">
        <v>2.0024446016660105E-2</v>
      </c>
      <c r="AX81" s="57">
        <v>6.6748153388867014E-3</v>
      </c>
      <c r="AY81" s="57">
        <v>2.2519116171383335</v>
      </c>
      <c r="AZ81" s="57">
        <v>0.22451722698383442</v>
      </c>
      <c r="BE81" s="57" t="s">
        <v>69</v>
      </c>
      <c r="BF81" s="57">
        <v>3</v>
      </c>
      <c r="BG81" s="57">
        <v>3.9244038822507385E-3</v>
      </c>
      <c r="BH81" s="57">
        <v>1.3081346274169128E-3</v>
      </c>
      <c r="BI81" s="57">
        <v>1.1873076173355464</v>
      </c>
      <c r="BJ81" s="57">
        <v>0.42021439692985374</v>
      </c>
    </row>
    <row r="82" spans="47:65" x14ac:dyDescent="0.25">
      <c r="AU82" s="57" t="s">
        <v>70</v>
      </c>
      <c r="AV82" s="57">
        <v>4</v>
      </c>
      <c r="AW82" s="57">
        <v>1.1856265207013534E-2</v>
      </c>
      <c r="AX82" s="57">
        <v>2.9640663017533836E-3</v>
      </c>
      <c r="AY82" s="57"/>
      <c r="AZ82" s="57"/>
      <c r="BE82" s="57" t="s">
        <v>70</v>
      </c>
      <c r="BF82" s="57">
        <v>4</v>
      </c>
      <c r="BG82" s="57">
        <v>4.4070621911868673E-3</v>
      </c>
      <c r="BH82" s="57">
        <v>1.1017655477967168E-3</v>
      </c>
      <c r="BI82" s="57"/>
      <c r="BJ82" s="57"/>
    </row>
    <row r="83" spans="47:65" ht="15.75" thickBot="1" x14ac:dyDescent="0.3">
      <c r="AU83" s="58" t="s">
        <v>71</v>
      </c>
      <c r="AV83" s="58">
        <v>7</v>
      </c>
      <c r="AW83" s="58">
        <v>3.1880711223673641E-2</v>
      </c>
      <c r="AX83" s="58"/>
      <c r="AY83" s="58"/>
      <c r="AZ83" s="58"/>
      <c r="BE83" s="58" t="s">
        <v>71</v>
      </c>
      <c r="BF83" s="58">
        <v>7</v>
      </c>
      <c r="BG83" s="58">
        <v>8.3314660734376059E-3</v>
      </c>
      <c r="BH83" s="58"/>
      <c r="BI83" s="58"/>
      <c r="BJ83" s="58"/>
    </row>
    <row r="84" spans="47:65" ht="15.75" thickBot="1" x14ac:dyDescent="0.3"/>
    <row r="85" spans="47:65" x14ac:dyDescent="0.25">
      <c r="AU85" s="59"/>
      <c r="AV85" s="59" t="s">
        <v>78</v>
      </c>
      <c r="AW85" s="59" t="s">
        <v>66</v>
      </c>
      <c r="AX85" s="59" t="s">
        <v>79</v>
      </c>
      <c r="AY85" s="59" t="s">
        <v>80</v>
      </c>
      <c r="AZ85" s="59" t="s">
        <v>81</v>
      </c>
      <c r="BA85" s="59" t="s">
        <v>82</v>
      </c>
      <c r="BB85" s="59" t="s">
        <v>83</v>
      </c>
      <c r="BC85" s="59" t="s">
        <v>84</v>
      </c>
      <c r="BE85" s="59"/>
      <c r="BF85" s="59" t="s">
        <v>78</v>
      </c>
      <c r="BG85" s="59" t="s">
        <v>66</v>
      </c>
      <c r="BH85" s="59" t="s">
        <v>79</v>
      </c>
      <c r="BI85" s="59" t="s">
        <v>80</v>
      </c>
      <c r="BJ85" s="59" t="s">
        <v>81</v>
      </c>
      <c r="BK85" s="59" t="s">
        <v>82</v>
      </c>
      <c r="BL85" s="59" t="s">
        <v>83</v>
      </c>
      <c r="BM85" s="59" t="s">
        <v>84</v>
      </c>
    </row>
    <row r="86" spans="47:65" x14ac:dyDescent="0.25">
      <c r="AU86" s="57" t="s">
        <v>72</v>
      </c>
      <c r="AV86" s="57">
        <v>-0.7147990862614696</v>
      </c>
      <c r="AW86" s="57">
        <v>0.4206536587330521</v>
      </c>
      <c r="AX86" s="57">
        <v>-1.6992579796270901</v>
      </c>
      <c r="AY86" s="57">
        <v>0.16449792209734038</v>
      </c>
      <c r="AZ86" s="57">
        <v>-1.8827208780343949</v>
      </c>
      <c r="BA86" s="57">
        <v>0.45312270551145584</v>
      </c>
      <c r="BB86" s="57">
        <v>-1.8827208780343949</v>
      </c>
      <c r="BC86" s="57">
        <v>0.45312270551145584</v>
      </c>
      <c r="BE86" s="57" t="s">
        <v>72</v>
      </c>
      <c r="BF86" s="57">
        <v>-0.10061421919316009</v>
      </c>
      <c r="BG86" s="57">
        <v>0.22143810189152974</v>
      </c>
      <c r="BH86" s="57">
        <v>-0.45436724002649476</v>
      </c>
      <c r="BI86" s="57">
        <v>0.67312876006507094</v>
      </c>
      <c r="BJ86" s="57">
        <v>-0.71542495329418798</v>
      </c>
      <c r="BK86" s="57">
        <v>0.51419651490786789</v>
      </c>
      <c r="BL86" s="57">
        <v>-0.71542495329418798</v>
      </c>
      <c r="BM86" s="57">
        <v>0.51419651490786789</v>
      </c>
    </row>
    <row r="87" spans="47:65" x14ac:dyDescent="0.25">
      <c r="AU87" s="57" t="s">
        <v>53</v>
      </c>
      <c r="AV87" s="57">
        <v>0.39320951449480096</v>
      </c>
      <c r="AW87" s="57">
        <v>0.36005096209178516</v>
      </c>
      <c r="AX87" s="57">
        <v>1.0920940530484207</v>
      </c>
      <c r="AY87" s="57">
        <v>0.33615891114700291</v>
      </c>
      <c r="AZ87" s="57">
        <v>-0.60645221682669215</v>
      </c>
      <c r="BA87" s="57">
        <v>1.3928712458162942</v>
      </c>
      <c r="BB87" s="57">
        <v>-0.60645221682669215</v>
      </c>
      <c r="BC87" s="57">
        <v>1.3928712458162942</v>
      </c>
      <c r="BE87" s="57" t="s">
        <v>53</v>
      </c>
      <c r="BF87" s="57">
        <v>0.24107765911760196</v>
      </c>
      <c r="BG87" s="57">
        <v>0.21760813416568786</v>
      </c>
      <c r="BH87" s="57">
        <v>1.1078522411025513</v>
      </c>
      <c r="BI87" s="57">
        <v>0.33005457808252447</v>
      </c>
      <c r="BJ87" s="57">
        <v>-0.36309937983794682</v>
      </c>
      <c r="BK87" s="57">
        <v>0.84525469807315068</v>
      </c>
      <c r="BL87" s="57">
        <v>-0.36309937983794682</v>
      </c>
      <c r="BM87" s="57">
        <v>0.84525469807315068</v>
      </c>
    </row>
    <row r="88" spans="47:65" x14ac:dyDescent="0.25">
      <c r="AU88" s="57" t="s">
        <v>110</v>
      </c>
      <c r="AV88" s="57">
        <v>-2.3410659806415608E-3</v>
      </c>
      <c r="AW88" s="57">
        <v>2.5464251930443142E-3</v>
      </c>
      <c r="AX88" s="57">
        <v>-0.91935391899055108</v>
      </c>
      <c r="AY88" s="57">
        <v>0.40993414420873503</v>
      </c>
      <c r="AZ88" s="57">
        <v>-9.411075743621794E-3</v>
      </c>
      <c r="BA88" s="57">
        <v>4.7289437823386715E-3</v>
      </c>
      <c r="BB88" s="57">
        <v>-9.411075743621794E-3</v>
      </c>
      <c r="BC88" s="57">
        <v>4.7289437823386715E-3</v>
      </c>
      <c r="BE88" s="57" t="s">
        <v>110</v>
      </c>
      <c r="BF88" s="57">
        <v>-2.0184934472748783E-3</v>
      </c>
      <c r="BG88" s="57">
        <v>1.5728305796367025E-3</v>
      </c>
      <c r="BH88" s="57">
        <v>-1.2833508410938428</v>
      </c>
      <c r="BI88" s="57">
        <v>0.26867498275780705</v>
      </c>
      <c r="BJ88" s="57">
        <v>-6.3853712114126087E-3</v>
      </c>
      <c r="BK88" s="57">
        <v>2.3483843168628522E-3</v>
      </c>
      <c r="BL88" s="57">
        <v>-6.3853712114126087E-3</v>
      </c>
      <c r="BM88" s="57">
        <v>2.3483843168628522E-3</v>
      </c>
    </row>
    <row r="89" spans="47:65" ht="15.75" thickBot="1" x14ac:dyDescent="0.3">
      <c r="AU89" s="58" t="s">
        <v>124</v>
      </c>
      <c r="AV89" s="58">
        <v>0.58539984072895723</v>
      </c>
      <c r="AW89" s="58">
        <v>0.27170711124774211</v>
      </c>
      <c r="AX89" s="58">
        <v>2.1545252829072647</v>
      </c>
      <c r="AY89" s="58">
        <v>9.7485525768702716E-2</v>
      </c>
      <c r="AZ89" s="58">
        <v>-0.16898003834226871</v>
      </c>
      <c r="BA89" s="58">
        <v>1.3397797198001831</v>
      </c>
      <c r="BB89" s="58">
        <v>-0.16898003834226871</v>
      </c>
      <c r="BC89" s="58">
        <v>1.3397797198001831</v>
      </c>
      <c r="BE89" s="58" t="s">
        <v>124</v>
      </c>
      <c r="BF89" s="58">
        <v>-4.6308260071673685E-2</v>
      </c>
      <c r="BG89" s="58">
        <v>8.6053429330613676E-2</v>
      </c>
      <c r="BH89" s="58">
        <v>-0.5381338132819703</v>
      </c>
      <c r="BI89" s="58">
        <v>0.61903146598019998</v>
      </c>
      <c r="BJ89" s="58">
        <v>-0.28523088272214026</v>
      </c>
      <c r="BK89" s="58">
        <v>0.19261436257879289</v>
      </c>
      <c r="BL89" s="58">
        <v>-0.28523088272214026</v>
      </c>
      <c r="BM89" s="58">
        <v>0.19261436257879289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6A5A-9443-48B0-BD3E-47595BBA5AF3}">
  <dimension ref="A1:BN90"/>
  <sheetViews>
    <sheetView topLeftCell="AM1" zoomScale="85" zoomScaleNormal="85" workbookViewId="0">
      <selection activeCell="AZ15" sqref="AZ15"/>
    </sheetView>
  </sheetViews>
  <sheetFormatPr defaultRowHeight="15" x14ac:dyDescent="0.25"/>
  <cols>
    <col min="1" max="1" width="22.85546875" customWidth="1"/>
    <col min="6" max="6" width="13" customWidth="1"/>
    <col min="7" max="7" width="11.140625" customWidth="1"/>
    <col min="8" max="8" width="11.42578125" customWidth="1"/>
    <col min="47" max="47" width="23.5703125" customWidth="1"/>
    <col min="57" max="57" width="15" customWidth="1"/>
  </cols>
  <sheetData>
    <row r="1" spans="1:66" ht="48" x14ac:dyDescent="0.25">
      <c r="A1" s="16" t="s">
        <v>59</v>
      </c>
      <c r="B1" s="17" t="s">
        <v>58</v>
      </c>
      <c r="C1" s="17" t="s">
        <v>94</v>
      </c>
      <c r="D1" s="17" t="s">
        <v>95</v>
      </c>
      <c r="E1" s="17" t="s">
        <v>96</v>
      </c>
      <c r="F1" s="17" t="s">
        <v>53</v>
      </c>
      <c r="G1" s="46" t="s">
        <v>110</v>
      </c>
      <c r="H1" s="46" t="s">
        <v>113</v>
      </c>
      <c r="I1" s="46" t="s">
        <v>114</v>
      </c>
      <c r="J1" s="46" t="s">
        <v>120</v>
      </c>
      <c r="K1" s="46" t="s">
        <v>123</v>
      </c>
      <c r="L1" s="46" t="s">
        <v>124</v>
      </c>
      <c r="AO1" s="46" t="s">
        <v>119</v>
      </c>
      <c r="AP1" s="46" t="s">
        <v>110</v>
      </c>
      <c r="AQ1" s="46" t="s">
        <v>111</v>
      </c>
      <c r="AR1" s="46" t="s">
        <v>112</v>
      </c>
      <c r="AU1" s="16" t="s">
        <v>59</v>
      </c>
      <c r="AV1" s="17" t="s">
        <v>58</v>
      </c>
      <c r="AW1" s="17" t="s">
        <v>53</v>
      </c>
      <c r="AX1" s="46" t="s">
        <v>120</v>
      </c>
      <c r="AY1" s="46" t="s">
        <v>124</v>
      </c>
      <c r="AZ1" s="46" t="s">
        <v>123</v>
      </c>
      <c r="BA1" s="46" t="s">
        <v>113</v>
      </c>
      <c r="BB1" s="46" t="s">
        <v>114</v>
      </c>
      <c r="BC1" s="46" t="s">
        <v>110</v>
      </c>
      <c r="BF1" s="17" t="s">
        <v>95</v>
      </c>
      <c r="BG1" s="17" t="s">
        <v>53</v>
      </c>
      <c r="BH1" s="46" t="s">
        <v>120</v>
      </c>
      <c r="BI1" s="46" t="s">
        <v>124</v>
      </c>
      <c r="BJ1" s="46" t="s">
        <v>114</v>
      </c>
      <c r="BL1" s="46" t="s">
        <v>123</v>
      </c>
      <c r="BM1" s="46" t="s">
        <v>110</v>
      </c>
      <c r="BN1" s="46" t="s">
        <v>113</v>
      </c>
    </row>
    <row r="2" spans="1:66" x14ac:dyDescent="0.25">
      <c r="A2" s="5" t="s">
        <v>11</v>
      </c>
      <c r="B2" s="42">
        <v>0.17369777575697301</v>
      </c>
      <c r="C2" s="42">
        <v>0.199680501000808</v>
      </c>
      <c r="D2" s="42">
        <v>0.13984116014494999</v>
      </c>
      <c r="E2" s="43">
        <v>1.7836570943256701E-2</v>
      </c>
      <c r="F2" s="15">
        <v>1.1737788669959504</v>
      </c>
      <c r="G2" s="15">
        <v>4</v>
      </c>
      <c r="H2" s="15">
        <v>1.25</v>
      </c>
      <c r="I2" s="15">
        <v>2.75</v>
      </c>
      <c r="J2" s="15">
        <f>H2-I2</f>
        <v>-1.5</v>
      </c>
      <c r="K2" s="15">
        <f>H2/G2</f>
        <v>0.3125</v>
      </c>
      <c r="L2" s="15">
        <f>I2/G2</f>
        <v>0.6875</v>
      </c>
      <c r="AN2" s="5" t="s">
        <v>101</v>
      </c>
      <c r="AO2" s="9">
        <v>1.0078290838208943</v>
      </c>
      <c r="AP2" s="13">
        <v>2.4954469283408098</v>
      </c>
      <c r="AQ2">
        <v>1.8447691432308699</v>
      </c>
      <c r="AR2">
        <v>0.650677785109948</v>
      </c>
      <c r="AU2" s="5" t="s">
        <v>11</v>
      </c>
      <c r="AV2" s="42">
        <v>0.17369777575697301</v>
      </c>
      <c r="AW2" s="15">
        <v>1.1737788669959504</v>
      </c>
      <c r="AX2" s="15">
        <v>-1.5</v>
      </c>
      <c r="AY2" s="15">
        <f>BB2/BC2</f>
        <v>0.6875</v>
      </c>
      <c r="AZ2" s="15">
        <f>BA2/BC2</f>
        <v>0.3125</v>
      </c>
      <c r="BA2" s="15">
        <v>1.25</v>
      </c>
      <c r="BB2" s="15">
        <v>2.75</v>
      </c>
      <c r="BC2" s="15">
        <v>4</v>
      </c>
      <c r="BE2" s="5" t="s">
        <v>11</v>
      </c>
      <c r="BF2" s="42">
        <v>0.13984116014494999</v>
      </c>
      <c r="BG2" s="15">
        <v>1.1737788669959504</v>
      </c>
      <c r="BH2" s="15">
        <v>-1.5</v>
      </c>
      <c r="BI2" s="15">
        <v>0.6875</v>
      </c>
      <c r="BJ2" s="15">
        <v>2.75</v>
      </c>
      <c r="BL2" s="15">
        <v>0.3125</v>
      </c>
      <c r="BM2" s="15">
        <v>4</v>
      </c>
      <c r="BN2" s="15">
        <v>1.25</v>
      </c>
    </row>
    <row r="3" spans="1:66" x14ac:dyDescent="0.25">
      <c r="A3" s="5" t="s">
        <v>12</v>
      </c>
      <c r="B3" s="42">
        <v>9.9143945152060597E-2</v>
      </c>
      <c r="C3" s="42">
        <v>0.12535086320927399</v>
      </c>
      <c r="D3" s="42">
        <v>8.9326261366187695E-2</v>
      </c>
      <c r="E3" s="43">
        <v>-0.54160608613664096</v>
      </c>
      <c r="F3" s="15">
        <v>1.0182769682576838</v>
      </c>
      <c r="G3" s="15">
        <v>1.1385255280790201</v>
      </c>
      <c r="H3" s="15">
        <v>0.25</v>
      </c>
      <c r="I3" s="15">
        <v>0.88852552807902296</v>
      </c>
      <c r="J3" s="15">
        <f t="shared" ref="J3:J20" si="0">H3-I3</f>
        <v>-0.63852552807902296</v>
      </c>
      <c r="K3" s="15">
        <f t="shared" ref="K3:K66" si="1">H3/G3</f>
        <v>0.2195822525137518</v>
      </c>
      <c r="L3" s="15">
        <f t="shared" ref="L3:L66" si="2">I3/G3</f>
        <v>0.7804177474862507</v>
      </c>
      <c r="AN3" s="5" t="s">
        <v>102</v>
      </c>
      <c r="AO3" s="9">
        <v>1.008246697022094</v>
      </c>
      <c r="AP3" s="13">
        <v>4.9705418000804897</v>
      </c>
      <c r="AQ3">
        <v>1.7381901583192201</v>
      </c>
      <c r="AR3">
        <v>3.2323516417612699</v>
      </c>
      <c r="AU3" s="5" t="s">
        <v>12</v>
      </c>
      <c r="AV3" s="42">
        <v>9.9143945152060597E-2</v>
      </c>
      <c r="AW3" s="15">
        <v>1.0182769682576838</v>
      </c>
      <c r="AX3" s="15">
        <v>-0.63852552807902296</v>
      </c>
      <c r="AY3" s="15">
        <f>BB3/BC3</f>
        <v>0.7804177474862507</v>
      </c>
      <c r="AZ3" s="15">
        <f>BA3/BC3</f>
        <v>0.2195822525137518</v>
      </c>
      <c r="BA3" s="15">
        <v>0.25</v>
      </c>
      <c r="BB3" s="15">
        <v>0.88852552807902296</v>
      </c>
      <c r="BC3" s="15">
        <v>1.1385255280790201</v>
      </c>
      <c r="BE3" s="5" t="s">
        <v>12</v>
      </c>
      <c r="BF3" s="42">
        <v>8.9326261366187695E-2</v>
      </c>
      <c r="BG3" s="15">
        <v>1.0182769682576838</v>
      </c>
      <c r="BH3" s="15">
        <v>-0.63852552807902296</v>
      </c>
      <c r="BI3" s="15">
        <v>0.7804177474862507</v>
      </c>
      <c r="BJ3" s="15">
        <v>0.88852552807902296</v>
      </c>
      <c r="BL3" s="15">
        <v>0.2195822525137518</v>
      </c>
      <c r="BM3" s="15">
        <v>1.1385255280790201</v>
      </c>
      <c r="BN3" s="15">
        <v>0.25</v>
      </c>
    </row>
    <row r="4" spans="1:66" x14ac:dyDescent="0.25">
      <c r="A4" s="5"/>
      <c r="B4" s="42"/>
      <c r="C4" s="42"/>
      <c r="D4" s="42"/>
      <c r="E4" s="43"/>
      <c r="F4" s="15"/>
      <c r="G4" s="15"/>
      <c r="H4" s="15"/>
      <c r="I4" s="15"/>
      <c r="J4" s="15"/>
      <c r="K4" s="15"/>
      <c r="L4" s="15"/>
      <c r="AN4" s="5" t="s">
        <v>103</v>
      </c>
      <c r="AO4" s="9">
        <v>1.0490052443540898</v>
      </c>
      <c r="AP4" s="13">
        <v>18.738059749368901</v>
      </c>
      <c r="AQ4">
        <v>7.75</v>
      </c>
      <c r="AR4">
        <v>10.988059749368899</v>
      </c>
      <c r="AU4" s="5" t="s">
        <v>20</v>
      </c>
      <c r="AV4" s="43">
        <v>-4.1760232547360499E-2</v>
      </c>
      <c r="AW4" s="15">
        <v>1.045397189964473</v>
      </c>
      <c r="AX4" s="15">
        <v>-0.25523545319733998</v>
      </c>
      <c r="AY4" s="15">
        <f>BB4/BC4</f>
        <v>0.52821974330317423</v>
      </c>
      <c r="AZ4" s="15">
        <f>BA4/BC4</f>
        <v>0.47178025669682583</v>
      </c>
      <c r="BA4" s="15">
        <v>2.1335248576486401</v>
      </c>
      <c r="BB4" s="15">
        <v>2.3887603108459801</v>
      </c>
      <c r="BC4" s="15">
        <v>4.5222851684946201</v>
      </c>
      <c r="BE4" s="5" t="s">
        <v>23</v>
      </c>
      <c r="BF4" s="42">
        <v>0.11077055296162799</v>
      </c>
      <c r="BG4" s="15">
        <v>1.0078290838208943</v>
      </c>
      <c r="BH4" s="15">
        <v>1.194091358120922</v>
      </c>
      <c r="BI4" s="15">
        <v>0.26074599211876454</v>
      </c>
      <c r="BJ4" s="15">
        <v>0.650677785109948</v>
      </c>
      <c r="BL4" s="15">
        <v>0.73925400788123874</v>
      </c>
      <c r="BM4" s="15">
        <v>2.4954469283408098</v>
      </c>
      <c r="BN4" s="15">
        <v>1.8447691432308699</v>
      </c>
    </row>
    <row r="5" spans="1:66" x14ac:dyDescent="0.25">
      <c r="A5" s="5"/>
      <c r="B5" s="42"/>
      <c r="C5" s="42"/>
      <c r="D5" s="42"/>
      <c r="E5" s="42"/>
      <c r="F5" s="15"/>
      <c r="G5" s="15"/>
      <c r="H5" s="15"/>
      <c r="I5" s="15"/>
      <c r="J5" s="15"/>
      <c r="K5" s="15"/>
      <c r="L5" s="15"/>
      <c r="AN5" s="5" t="s">
        <v>89</v>
      </c>
      <c r="AO5" s="9">
        <v>1.0119508062412015</v>
      </c>
      <c r="AP5" s="13">
        <v>8.1761484496582497</v>
      </c>
      <c r="AQ5">
        <v>3.1258759015031101</v>
      </c>
      <c r="AR5">
        <v>5.0502725481551298</v>
      </c>
      <c r="AU5" s="5" t="s">
        <v>26</v>
      </c>
      <c r="AV5" s="42">
        <v>8.8732929175135894E-2</v>
      </c>
      <c r="AW5" s="15">
        <v>1.0119508062412015</v>
      </c>
      <c r="AX5" s="15">
        <v>-1.9243966466520197</v>
      </c>
      <c r="AY5" s="15">
        <f>BB5/BC5</f>
        <v>0.61768356815564218</v>
      </c>
      <c r="AZ5" s="15">
        <f>BA5/BC5</f>
        <v>0.3823164318443566</v>
      </c>
      <c r="BA5" s="15">
        <v>3.1258759015031101</v>
      </c>
      <c r="BB5" s="15">
        <v>5.0502725481551298</v>
      </c>
      <c r="BC5" s="15">
        <v>8.1761484496582497</v>
      </c>
      <c r="BE5" s="5" t="s">
        <v>26</v>
      </c>
      <c r="BF5" s="42">
        <v>0.15621819275209001</v>
      </c>
      <c r="BG5" s="15">
        <v>1.0119508062412015</v>
      </c>
      <c r="BH5" s="15">
        <v>-1.9243966466520197</v>
      </c>
      <c r="BI5" s="15">
        <v>0.61768356815564218</v>
      </c>
      <c r="BJ5" s="15">
        <v>5.0502725481551298</v>
      </c>
      <c r="BL5" s="15">
        <v>0.3823164318443566</v>
      </c>
      <c r="BM5" s="15">
        <v>8.1761484496582497</v>
      </c>
      <c r="BN5" s="15">
        <v>3.1258759015031101</v>
      </c>
    </row>
    <row r="6" spans="1:66" x14ac:dyDescent="0.25">
      <c r="A6" s="5"/>
      <c r="B6" s="43"/>
      <c r="C6" s="43"/>
      <c r="D6" s="44"/>
      <c r="E6" s="43"/>
      <c r="F6" s="15"/>
      <c r="G6" s="15"/>
      <c r="H6" s="15"/>
      <c r="I6" s="15"/>
      <c r="J6" s="15"/>
      <c r="K6" s="15"/>
      <c r="L6" s="15"/>
      <c r="AN6" s="5" t="s">
        <v>104</v>
      </c>
      <c r="AO6" s="9">
        <v>1.0239451393319936</v>
      </c>
      <c r="AP6" s="13">
        <v>19.594840851392899</v>
      </c>
      <c r="AQ6">
        <v>5.5209579590505999</v>
      </c>
      <c r="AR6">
        <v>14.073882892342301</v>
      </c>
      <c r="AU6" s="5" t="s">
        <v>28</v>
      </c>
      <c r="AV6" s="42">
        <v>0.10415722716452799</v>
      </c>
      <c r="AW6" s="15">
        <v>1.0239451393319936</v>
      </c>
      <c r="AX6" s="15">
        <v>-8.5529249332917008</v>
      </c>
      <c r="AY6" s="15">
        <f>BB6/BC6</f>
        <v>0.71824430721731836</v>
      </c>
      <c r="AZ6" s="15">
        <f>BA6/BC6</f>
        <v>0.28175569278268175</v>
      </c>
      <c r="BA6" s="15">
        <v>5.5209579590505999</v>
      </c>
      <c r="BB6" s="15">
        <v>14.073882892342301</v>
      </c>
      <c r="BC6" s="15">
        <v>19.594840851392899</v>
      </c>
      <c r="BE6" s="5" t="s">
        <v>28</v>
      </c>
      <c r="BF6" s="42">
        <v>5.5397551503622099E-2</v>
      </c>
      <c r="BG6" s="15">
        <v>1.0239451393319936</v>
      </c>
      <c r="BH6" s="15">
        <v>-8.5529249332917008</v>
      </c>
      <c r="BI6" s="15">
        <v>0.71824430721731836</v>
      </c>
      <c r="BJ6" s="15">
        <v>14.073882892342301</v>
      </c>
      <c r="BL6" s="15">
        <v>0.28175569278268175</v>
      </c>
      <c r="BM6" s="15">
        <v>19.594840851392899</v>
      </c>
      <c r="BN6" s="15">
        <v>5.5209579590505999</v>
      </c>
    </row>
    <row r="7" spans="1:66" x14ac:dyDescent="0.25">
      <c r="A7" s="5"/>
      <c r="B7" s="43"/>
      <c r="C7" s="43"/>
      <c r="D7" s="42"/>
      <c r="E7" s="42"/>
      <c r="F7" s="15"/>
      <c r="G7" s="15"/>
      <c r="H7" s="15"/>
      <c r="I7" s="15"/>
      <c r="J7" s="15"/>
      <c r="K7" s="15"/>
      <c r="L7" s="15"/>
      <c r="AN7" s="5" t="s">
        <v>105</v>
      </c>
      <c r="AO7" s="9">
        <v>1.0275460447393339</v>
      </c>
      <c r="AP7" s="13">
        <v>17.2552427011953</v>
      </c>
      <c r="AQ7">
        <v>5.1821136906510699</v>
      </c>
      <c r="AR7">
        <v>12.0731290105442</v>
      </c>
      <c r="AU7" s="5" t="s">
        <v>29</v>
      </c>
      <c r="AV7" s="42">
        <v>4.66251429291673E-2</v>
      </c>
      <c r="AW7" s="15">
        <v>1.0275460447393339</v>
      </c>
      <c r="AX7" s="15">
        <v>-6.8910153198931301</v>
      </c>
      <c r="AY7" s="15">
        <f>BB7/BC7</f>
        <v>0.69967888714239146</v>
      </c>
      <c r="AZ7" s="15">
        <f>BA7/BC7</f>
        <v>0.30032111285760682</v>
      </c>
      <c r="BA7" s="15">
        <v>5.1821136906510699</v>
      </c>
      <c r="BB7" s="15">
        <v>12.0731290105442</v>
      </c>
      <c r="BC7" s="15">
        <v>17.2552427011953</v>
      </c>
      <c r="BE7" s="5" t="s">
        <v>29</v>
      </c>
      <c r="BF7" s="42">
        <v>6.9883057908481996E-2</v>
      </c>
      <c r="BG7" s="15">
        <v>1.0275460447393339</v>
      </c>
      <c r="BH7" s="15">
        <v>-6.8910153198931301</v>
      </c>
      <c r="BI7" s="15">
        <v>0.69967888714239146</v>
      </c>
      <c r="BJ7" s="15">
        <v>12.0731290105442</v>
      </c>
      <c r="BL7" s="15">
        <v>0.30032111285760682</v>
      </c>
      <c r="BM7" s="15">
        <v>17.2552427011953</v>
      </c>
      <c r="BN7" s="15">
        <v>5.1821136906510699</v>
      </c>
    </row>
    <row r="8" spans="1:66" x14ac:dyDescent="0.25">
      <c r="A8" s="5" t="s">
        <v>23</v>
      </c>
      <c r="B8" s="44"/>
      <c r="C8" s="44"/>
      <c r="D8" s="42">
        <v>0.11077055296162799</v>
      </c>
      <c r="E8" s="44"/>
      <c r="F8" s="15">
        <v>1.0078290838208943</v>
      </c>
      <c r="G8" s="15">
        <v>2.4954469283408098</v>
      </c>
      <c r="H8" s="15">
        <v>1.8447691432308699</v>
      </c>
      <c r="I8" s="15">
        <v>0.650677785109948</v>
      </c>
      <c r="J8" s="15">
        <f t="shared" si="0"/>
        <v>1.194091358120922</v>
      </c>
      <c r="K8" s="15">
        <f t="shared" si="1"/>
        <v>0.73925400788123874</v>
      </c>
      <c r="L8" s="15">
        <f t="shared" si="2"/>
        <v>0.26074599211876454</v>
      </c>
      <c r="AN8" s="5" t="s">
        <v>106</v>
      </c>
      <c r="AO8" s="9">
        <v>1.0275826446035865</v>
      </c>
      <c r="AP8" s="13">
        <v>17.024424898784201</v>
      </c>
      <c r="AQ8">
        <v>6.3491431999578403</v>
      </c>
      <c r="AR8">
        <v>10.675281698826399</v>
      </c>
      <c r="AU8" s="5" t="s">
        <v>30</v>
      </c>
      <c r="AV8" s="42">
        <v>9.0894558490112708E-3</v>
      </c>
      <c r="AW8" s="15">
        <v>1.0275826446035865</v>
      </c>
      <c r="AX8" s="15">
        <v>-4.3261384988685592</v>
      </c>
      <c r="AY8" s="15">
        <f>BB8/BC8</f>
        <v>0.62705681761906529</v>
      </c>
      <c r="AZ8" s="15">
        <f>BA8/BC8</f>
        <v>0.37294318238093693</v>
      </c>
      <c r="BA8" s="15">
        <v>6.3491431999578403</v>
      </c>
      <c r="BB8" s="15">
        <v>10.675281698826399</v>
      </c>
      <c r="BC8" s="15">
        <v>17.024424898784201</v>
      </c>
      <c r="BE8" s="5" t="s">
        <v>30</v>
      </c>
      <c r="BF8" s="42">
        <v>7.8645648239850305E-2</v>
      </c>
      <c r="BG8" s="15">
        <v>1.0275826446035865</v>
      </c>
      <c r="BH8" s="15">
        <v>-4.3261384988685592</v>
      </c>
      <c r="BI8" s="15">
        <v>0.62705681761906529</v>
      </c>
      <c r="BJ8" s="15">
        <v>10.675281698826399</v>
      </c>
      <c r="BL8" s="15">
        <v>0.37294318238093693</v>
      </c>
      <c r="BM8" s="15">
        <v>17.024424898784201</v>
      </c>
      <c r="BN8" s="15">
        <v>6.3491431999578403</v>
      </c>
    </row>
    <row r="9" spans="1:66" x14ac:dyDescent="0.25">
      <c r="A9" s="5" t="s">
        <v>26</v>
      </c>
      <c r="B9" s="42">
        <v>8.8732929175135894E-2</v>
      </c>
      <c r="C9" s="44"/>
      <c r="D9" s="42">
        <v>0.15621819275209001</v>
      </c>
      <c r="E9" s="42">
        <v>1.20306787922476E-2</v>
      </c>
      <c r="F9" s="15">
        <v>1.0119508062412015</v>
      </c>
      <c r="G9" s="15">
        <v>8.1761484496582497</v>
      </c>
      <c r="H9" s="15">
        <v>3.1258759015031101</v>
      </c>
      <c r="I9" s="15">
        <v>5.0502725481551298</v>
      </c>
      <c r="J9" s="15">
        <f t="shared" si="0"/>
        <v>-1.9243966466520197</v>
      </c>
      <c r="K9" s="15">
        <f t="shared" si="1"/>
        <v>0.3823164318443566</v>
      </c>
      <c r="L9" s="15">
        <f t="shared" si="2"/>
        <v>0.61768356815564218</v>
      </c>
      <c r="AN9" s="5" t="s">
        <v>107</v>
      </c>
      <c r="AO9" s="9">
        <v>1.0572093304532362</v>
      </c>
      <c r="AP9" s="13">
        <v>15.1069524712688</v>
      </c>
      <c r="AQ9">
        <v>3.20845082384478</v>
      </c>
      <c r="AR9">
        <v>11.898501647424</v>
      </c>
      <c r="AU9" s="5" t="s">
        <v>33</v>
      </c>
      <c r="AV9" s="42">
        <v>2.0373962034653699E-2</v>
      </c>
      <c r="AW9" s="15">
        <v>1.111235100018195</v>
      </c>
      <c r="AX9" s="15">
        <v>-7.4420412056407592</v>
      </c>
      <c r="AY9" s="15">
        <f>BB9/BC9</f>
        <v>0.66946113423695353</v>
      </c>
      <c r="AZ9" s="15">
        <f>BA9/BC9</f>
        <v>0.33053886576304825</v>
      </c>
      <c r="BA9" s="15">
        <v>7.2579587943592401</v>
      </c>
      <c r="BB9" s="15">
        <v>14.7</v>
      </c>
      <c r="BC9" s="15">
        <v>21.9579587943592</v>
      </c>
      <c r="BE9" s="5" t="s">
        <v>33</v>
      </c>
      <c r="BF9" s="42">
        <v>0.101236914763633</v>
      </c>
      <c r="BG9" s="15">
        <v>1.111235100018195</v>
      </c>
      <c r="BH9" s="15">
        <v>-7.4420412056407592</v>
      </c>
      <c r="BI9" s="15">
        <v>0.66946113423695353</v>
      </c>
      <c r="BJ9" s="15">
        <v>14.7</v>
      </c>
      <c r="BL9" s="15">
        <v>0.33053886576304825</v>
      </c>
      <c r="BM9" s="15">
        <v>21.9579587943592</v>
      </c>
      <c r="BN9" s="15">
        <v>7.2579587943592401</v>
      </c>
    </row>
    <row r="10" spans="1:66" x14ac:dyDescent="0.25">
      <c r="A10" s="5" t="s">
        <v>28</v>
      </c>
      <c r="B10" s="42">
        <v>0.10415722716452799</v>
      </c>
      <c r="C10" s="44"/>
      <c r="D10" s="42">
        <v>5.5397551503622099E-2</v>
      </c>
      <c r="E10" s="42">
        <v>2.8615745110634201E-2</v>
      </c>
      <c r="F10" s="15">
        <v>1.0239451393319936</v>
      </c>
      <c r="G10" s="15">
        <v>19.594840851392899</v>
      </c>
      <c r="H10" s="15">
        <v>5.5209579590505999</v>
      </c>
      <c r="I10" s="15">
        <v>14.073882892342301</v>
      </c>
      <c r="J10" s="15">
        <f t="shared" si="0"/>
        <v>-8.5529249332917008</v>
      </c>
      <c r="K10" s="15">
        <f t="shared" si="1"/>
        <v>0.28175569278268175</v>
      </c>
      <c r="L10" s="15">
        <f t="shared" si="2"/>
        <v>0.71824430721731836</v>
      </c>
      <c r="P10" s="5"/>
      <c r="AN10" s="5" t="s">
        <v>108</v>
      </c>
      <c r="AO10" s="9">
        <v>1.111235100018195</v>
      </c>
      <c r="AP10" s="13">
        <v>21.9579587943592</v>
      </c>
      <c r="AQ10">
        <v>7.2579587943592401</v>
      </c>
      <c r="AR10">
        <v>14.7</v>
      </c>
      <c r="BD10" s="15"/>
      <c r="BE10" t="s">
        <v>61</v>
      </c>
    </row>
    <row r="11" spans="1:66" ht="15.75" thickBot="1" x14ac:dyDescent="0.3">
      <c r="A11" s="5" t="s">
        <v>29</v>
      </c>
      <c r="B11" s="42">
        <v>4.66251429291673E-2</v>
      </c>
      <c r="C11" s="44"/>
      <c r="D11" s="42">
        <v>6.9883057908481996E-2</v>
      </c>
      <c r="E11" s="42">
        <v>4.4113621235337297E-2</v>
      </c>
      <c r="F11" s="15">
        <v>1.0275460447393339</v>
      </c>
      <c r="G11" s="15">
        <v>17.2552427011953</v>
      </c>
      <c r="H11" s="15">
        <v>5.1821136906510699</v>
      </c>
      <c r="I11" s="15">
        <v>12.0731290105442</v>
      </c>
      <c r="J11" s="15">
        <f t="shared" si="0"/>
        <v>-6.8910153198931301</v>
      </c>
      <c r="K11" s="15">
        <f t="shared" si="1"/>
        <v>0.30032111285760682</v>
      </c>
      <c r="L11" s="15">
        <f t="shared" si="2"/>
        <v>0.69967888714239146</v>
      </c>
      <c r="AN11" s="5" t="s">
        <v>109</v>
      </c>
      <c r="AO11" s="9">
        <v>1.0519758315193652</v>
      </c>
      <c r="AP11" s="13">
        <v>16.640165980770899</v>
      </c>
      <c r="AQ11">
        <v>4.2170406154913396</v>
      </c>
      <c r="AR11">
        <v>12.423125365279599</v>
      </c>
    </row>
    <row r="12" spans="1:66" x14ac:dyDescent="0.25">
      <c r="A12" s="5" t="s">
        <v>30</v>
      </c>
      <c r="B12" s="42">
        <v>9.0894558490112708E-3</v>
      </c>
      <c r="C12" s="44"/>
      <c r="D12" s="42">
        <v>7.8645648239850305E-2</v>
      </c>
      <c r="E12" s="43">
        <v>-8.0536265843332393E-3</v>
      </c>
      <c r="F12" s="15">
        <v>1.0275826446035865</v>
      </c>
      <c r="G12" s="15">
        <v>17.024424898784201</v>
      </c>
      <c r="H12" s="15">
        <v>6.3491431999578403</v>
      </c>
      <c r="I12" s="15">
        <v>10.675281698826399</v>
      </c>
      <c r="J12" s="15">
        <f t="shared" si="0"/>
        <v>-4.3261384988685592</v>
      </c>
      <c r="K12" s="15">
        <f t="shared" si="1"/>
        <v>0.37294318238093693</v>
      </c>
      <c r="L12" s="15">
        <f t="shared" si="2"/>
        <v>0.62705681761906529</v>
      </c>
      <c r="AN12" t="s">
        <v>115</v>
      </c>
      <c r="AO12">
        <v>1.1737788669959499</v>
      </c>
      <c r="AP12">
        <v>4</v>
      </c>
      <c r="AQ12">
        <v>1.25</v>
      </c>
      <c r="AR12">
        <v>2.75</v>
      </c>
      <c r="AU12" s="60" t="s">
        <v>62</v>
      </c>
      <c r="AV12" s="60"/>
      <c r="BE12" s="60" t="s">
        <v>62</v>
      </c>
      <c r="BF12" s="60"/>
    </row>
    <row r="13" spans="1:66" x14ac:dyDescent="0.25">
      <c r="A13" s="5" t="s">
        <v>33</v>
      </c>
      <c r="B13" s="42">
        <v>2.0373962034653699E-2</v>
      </c>
      <c r="C13" s="44"/>
      <c r="D13" s="42">
        <v>0.101236914763633</v>
      </c>
      <c r="E13" s="42">
        <v>2.7450804091866201E-2</v>
      </c>
      <c r="F13" s="15">
        <v>1.111235100018195</v>
      </c>
      <c r="G13" s="15">
        <v>21.9579587943592</v>
      </c>
      <c r="H13" s="15">
        <v>7.2579587943592401</v>
      </c>
      <c r="I13" s="15">
        <v>14.7</v>
      </c>
      <c r="J13" s="15">
        <f t="shared" si="0"/>
        <v>-7.4420412056407592</v>
      </c>
      <c r="K13" s="15">
        <f t="shared" si="1"/>
        <v>0.33053886576304825</v>
      </c>
      <c r="L13" s="15">
        <f t="shared" si="2"/>
        <v>0.66946113423695353</v>
      </c>
      <c r="AN13" t="s">
        <v>116</v>
      </c>
      <c r="AO13">
        <v>1.01827696825768</v>
      </c>
      <c r="AP13">
        <v>1.1385255280790201</v>
      </c>
      <c r="AQ13">
        <v>0.25</v>
      </c>
      <c r="AR13">
        <v>0.88852552807902296</v>
      </c>
      <c r="AU13" s="57" t="s">
        <v>63</v>
      </c>
      <c r="AV13" s="57">
        <v>0.36921733648735411</v>
      </c>
      <c r="BE13" s="57" t="s">
        <v>63</v>
      </c>
      <c r="BF13" s="57">
        <v>0.73172460729315714</v>
      </c>
    </row>
    <row r="14" spans="1:66" x14ac:dyDescent="0.25">
      <c r="A14" s="5" t="s">
        <v>37</v>
      </c>
      <c r="B14" s="42">
        <v>0.14608753400636901</v>
      </c>
      <c r="C14" s="44"/>
      <c r="D14" s="42">
        <v>6.8212961854365706E-2</v>
      </c>
      <c r="E14" s="43">
        <v>-4.2076076707890497E-3</v>
      </c>
      <c r="F14" s="15">
        <v>1.0078290838208943</v>
      </c>
      <c r="G14" s="15">
        <v>2.4954469283408098</v>
      </c>
      <c r="H14" s="15">
        <v>1.8447691432308699</v>
      </c>
      <c r="I14" s="15">
        <v>0.650677785109948</v>
      </c>
      <c r="J14" s="15">
        <f t="shared" si="0"/>
        <v>1.194091358120922</v>
      </c>
      <c r="K14" s="15">
        <f t="shared" si="1"/>
        <v>0.73925400788123874</v>
      </c>
      <c r="L14" s="15">
        <f t="shared" si="2"/>
        <v>0.26074599211876454</v>
      </c>
      <c r="AN14" t="s">
        <v>117</v>
      </c>
      <c r="AO14">
        <v>1</v>
      </c>
      <c r="AP14">
        <v>0</v>
      </c>
      <c r="AQ14">
        <v>0</v>
      </c>
      <c r="AR14">
        <v>0</v>
      </c>
      <c r="AU14" s="57" t="s">
        <v>64</v>
      </c>
      <c r="AV14" s="57">
        <v>0.13632144156281609</v>
      </c>
      <c r="BE14" s="57" t="s">
        <v>64</v>
      </c>
      <c r="BF14" s="57">
        <v>0.53542090091832506</v>
      </c>
    </row>
    <row r="15" spans="1:66" x14ac:dyDescent="0.25">
      <c r="A15" s="5" t="s">
        <v>42</v>
      </c>
      <c r="B15" s="45">
        <v>1.0119527368219401E-2</v>
      </c>
      <c r="C15" s="44"/>
      <c r="D15" s="42">
        <v>9.9852529707758195E-2</v>
      </c>
      <c r="E15" s="42">
        <v>4.4857179056258203E-2</v>
      </c>
      <c r="F15" s="15">
        <v>1.0239451393319936</v>
      </c>
      <c r="G15" s="15">
        <v>19.594840851392899</v>
      </c>
      <c r="H15" s="15">
        <v>5.5209579590505999</v>
      </c>
      <c r="I15" s="15">
        <v>14.073882892342301</v>
      </c>
      <c r="J15" s="15">
        <f>H15-I15</f>
        <v>-8.5529249332917008</v>
      </c>
      <c r="K15" s="15">
        <f t="shared" si="1"/>
        <v>0.28175569278268175</v>
      </c>
      <c r="L15" s="15">
        <f t="shared" si="2"/>
        <v>0.71824430721731836</v>
      </c>
      <c r="AN15" t="s">
        <v>118</v>
      </c>
      <c r="AO15">
        <v>1.0453971899644701</v>
      </c>
      <c r="AP15">
        <v>4.5222851684946201</v>
      </c>
      <c r="AQ15">
        <v>2.1335248576486401</v>
      </c>
      <c r="AR15">
        <v>2.3887603108459801</v>
      </c>
      <c r="AU15" s="57" t="s">
        <v>65</v>
      </c>
      <c r="AV15" s="57">
        <v>-0.20914998181205746</v>
      </c>
      <c r="BE15" s="57" t="s">
        <v>65</v>
      </c>
      <c r="BF15" s="57">
        <v>0.3495892612856551</v>
      </c>
    </row>
    <row r="16" spans="1:66" x14ac:dyDescent="0.25">
      <c r="A16" s="5" t="s">
        <v>43</v>
      </c>
      <c r="B16" s="42">
        <v>4.5646344187588998E-2</v>
      </c>
      <c r="C16" s="44"/>
      <c r="D16" s="42">
        <v>5.5815481283492403E-2</v>
      </c>
      <c r="E16" s="42">
        <v>7.6664996000854094E-2</v>
      </c>
      <c r="F16" s="15">
        <v>1.0275460447393339</v>
      </c>
      <c r="G16" s="15">
        <v>17.2552427011953</v>
      </c>
      <c r="H16" s="15">
        <v>5.1821136906510699</v>
      </c>
      <c r="I16" s="15">
        <v>12.0731290105442</v>
      </c>
      <c r="J16" s="15">
        <f t="shared" si="0"/>
        <v>-6.8910153198931301</v>
      </c>
      <c r="K16" s="15">
        <f t="shared" si="1"/>
        <v>0.30032111285760682</v>
      </c>
      <c r="L16" s="15">
        <f t="shared" si="2"/>
        <v>0.69967888714239146</v>
      </c>
      <c r="AU16" s="57" t="s">
        <v>66</v>
      </c>
      <c r="AV16" s="57">
        <v>7.4208741684001892E-2</v>
      </c>
      <c r="BE16" s="57" t="s">
        <v>66</v>
      </c>
      <c r="BF16" s="57">
        <v>2.7823101920624101E-2</v>
      </c>
    </row>
    <row r="17" spans="1:65" ht="15.75" thickBot="1" x14ac:dyDescent="0.3">
      <c r="A17" s="5" t="s">
        <v>44</v>
      </c>
      <c r="B17" s="42">
        <v>1.47909285306715E-2</v>
      </c>
      <c r="C17" s="44"/>
      <c r="D17" s="42">
        <v>9.5391388976058394E-2</v>
      </c>
      <c r="E17" s="42">
        <v>2.1219861817338499E-2</v>
      </c>
      <c r="F17" s="15">
        <v>1.0275826446035865</v>
      </c>
      <c r="G17" s="15">
        <v>17.024424898784201</v>
      </c>
      <c r="H17" s="15">
        <v>6.3491431999578403</v>
      </c>
      <c r="I17" s="15">
        <v>10.675281698826399</v>
      </c>
      <c r="J17" s="15">
        <f t="shared" si="0"/>
        <v>-4.3261384988685592</v>
      </c>
      <c r="K17" s="15">
        <f t="shared" si="1"/>
        <v>0.37294318238093693</v>
      </c>
      <c r="L17" s="15">
        <f t="shared" si="2"/>
        <v>0.62705681761906529</v>
      </c>
      <c r="AU17" s="58" t="s">
        <v>67</v>
      </c>
      <c r="AV17" s="58">
        <v>8</v>
      </c>
      <c r="BE17" s="58" t="s">
        <v>67</v>
      </c>
      <c r="BF17" s="58">
        <v>8</v>
      </c>
    </row>
    <row r="18" spans="1:65" x14ac:dyDescent="0.25">
      <c r="A18" s="5" t="s">
        <v>46</v>
      </c>
      <c r="B18" s="42">
        <v>2.0282132481243099E-2</v>
      </c>
      <c r="C18" s="44"/>
      <c r="D18" s="42">
        <v>0.115227328160236</v>
      </c>
      <c r="E18" s="42">
        <v>3.1629539106965802E-2</v>
      </c>
      <c r="F18" s="15">
        <v>1.0572093304532362</v>
      </c>
      <c r="G18" s="15">
        <v>15.1069524712688</v>
      </c>
      <c r="H18" s="15">
        <v>3.20845082384478</v>
      </c>
      <c r="I18" s="15">
        <v>11.898501647424</v>
      </c>
      <c r="J18" s="15">
        <f t="shared" si="0"/>
        <v>-8.6900508235792202</v>
      </c>
      <c r="K18" s="15">
        <f t="shared" si="1"/>
        <v>0.21238240008676676</v>
      </c>
      <c r="L18" s="15">
        <f t="shared" si="2"/>
        <v>0.78761759991323199</v>
      </c>
    </row>
    <row r="19" spans="1:65" ht="15.75" thickBot="1" x14ac:dyDescent="0.3">
      <c r="A19" s="5" t="s">
        <v>47</v>
      </c>
      <c r="B19" s="42">
        <v>3.6679485231980898E-2</v>
      </c>
      <c r="C19" s="44"/>
      <c r="D19" s="42">
        <v>0.157732693122626</v>
      </c>
      <c r="E19" s="42">
        <v>4.3964016574286002E-2</v>
      </c>
      <c r="F19" s="15">
        <v>1.111235100018195</v>
      </c>
      <c r="G19" s="15">
        <v>21.9579587943592</v>
      </c>
      <c r="H19" s="15">
        <v>7.2579587943592401</v>
      </c>
      <c r="I19" s="15">
        <v>14.7</v>
      </c>
      <c r="J19" s="15">
        <f t="shared" si="0"/>
        <v>-7.4420412056407592</v>
      </c>
      <c r="K19" s="15">
        <f t="shared" si="1"/>
        <v>0.33053886576304825</v>
      </c>
      <c r="L19" s="15">
        <f t="shared" si="2"/>
        <v>0.66946113423695353</v>
      </c>
      <c r="AU19" t="s">
        <v>68</v>
      </c>
      <c r="BE19" t="s">
        <v>68</v>
      </c>
    </row>
    <row r="20" spans="1:65" x14ac:dyDescent="0.25">
      <c r="A20" s="5" t="s">
        <v>48</v>
      </c>
      <c r="B20" s="42">
        <v>7.7980025652416296E-2</v>
      </c>
      <c r="C20" s="44"/>
      <c r="D20" s="42">
        <v>0.121156039239802</v>
      </c>
      <c r="E20" s="42">
        <v>5.3048699734524599E-2</v>
      </c>
      <c r="F20" s="15">
        <v>1.0519758315193652</v>
      </c>
      <c r="G20" s="15">
        <v>16.640165980770899</v>
      </c>
      <c r="H20" s="15">
        <v>4.2170406154913396</v>
      </c>
      <c r="I20" s="15">
        <v>12.423125365279599</v>
      </c>
      <c r="J20" s="15">
        <f t="shared" si="0"/>
        <v>-8.2060847497882605</v>
      </c>
      <c r="K20" s="15">
        <f t="shared" si="1"/>
        <v>0.25342539373492318</v>
      </c>
      <c r="L20" s="15">
        <f t="shared" si="2"/>
        <v>0.74657460626507921</v>
      </c>
      <c r="AU20" s="59"/>
      <c r="AV20" s="59" t="s">
        <v>73</v>
      </c>
      <c r="AW20" s="59" t="s">
        <v>74</v>
      </c>
      <c r="AX20" s="59" t="s">
        <v>75</v>
      </c>
      <c r="AY20" s="59" t="s">
        <v>76</v>
      </c>
      <c r="AZ20" s="59" t="s">
        <v>77</v>
      </c>
      <c r="BE20" s="59"/>
      <c r="BF20" s="59" t="s">
        <v>73</v>
      </c>
      <c r="BG20" s="59" t="s">
        <v>74</v>
      </c>
      <c r="BH20" s="59" t="s">
        <v>75</v>
      </c>
      <c r="BI20" s="59" t="s">
        <v>76</v>
      </c>
      <c r="BJ20" s="59" t="s">
        <v>77</v>
      </c>
    </row>
    <row r="21" spans="1:65" x14ac:dyDescent="0.25">
      <c r="K21" s="15"/>
      <c r="L21" s="15"/>
      <c r="AU21" s="57" t="s">
        <v>69</v>
      </c>
      <c r="AV21" s="57">
        <v>2</v>
      </c>
      <c r="AW21" s="57">
        <v>4.3460245120590414E-3</v>
      </c>
      <c r="AX21" s="57">
        <v>2.1730122560295207E-3</v>
      </c>
      <c r="AY21" s="57">
        <v>0.39459542045795404</v>
      </c>
      <c r="AZ21" s="57">
        <v>0.69323478254432025</v>
      </c>
      <c r="BE21" s="57" t="s">
        <v>69</v>
      </c>
      <c r="BF21" s="57">
        <v>2</v>
      </c>
      <c r="BG21" s="57">
        <v>4.4608410710104233E-3</v>
      </c>
      <c r="BH21" s="57">
        <v>2.2304205355052117E-3</v>
      </c>
      <c r="BI21" s="57">
        <v>2.8812149641292617</v>
      </c>
      <c r="BJ21" s="57">
        <v>0.14711236206139133</v>
      </c>
    </row>
    <row r="22" spans="1:65" x14ac:dyDescent="0.25">
      <c r="A22" s="5" t="s">
        <v>99</v>
      </c>
      <c r="K22" s="15"/>
      <c r="L22" s="15"/>
      <c r="AU22" s="57" t="s">
        <v>70</v>
      </c>
      <c r="AV22" s="57">
        <v>5</v>
      </c>
      <c r="AW22" s="57">
        <v>2.75346867116146E-2</v>
      </c>
      <c r="AX22" s="57">
        <v>5.50693734232292E-3</v>
      </c>
      <c r="AY22" s="57"/>
      <c r="AZ22" s="57"/>
      <c r="BE22" s="57" t="s">
        <v>70</v>
      </c>
      <c r="BF22" s="57">
        <v>5</v>
      </c>
      <c r="BG22" s="57">
        <v>3.8706250024271825E-3</v>
      </c>
      <c r="BH22" s="57">
        <v>7.7412500048543653E-4</v>
      </c>
      <c r="BI22" s="57"/>
      <c r="BJ22" s="57"/>
    </row>
    <row r="23" spans="1:65" ht="26.25" thickBot="1" x14ac:dyDescent="0.3">
      <c r="A23" s="16" t="s">
        <v>59</v>
      </c>
      <c r="B23" s="17" t="s">
        <v>58</v>
      </c>
      <c r="C23" s="17" t="s">
        <v>94</v>
      </c>
      <c r="D23" s="17" t="s">
        <v>95</v>
      </c>
      <c r="E23" s="17" t="s">
        <v>96</v>
      </c>
      <c r="F23" s="17" t="s">
        <v>53</v>
      </c>
      <c r="G23" s="46" t="s">
        <v>110</v>
      </c>
      <c r="H23" s="46" t="s">
        <v>113</v>
      </c>
      <c r="I23" s="46" t="s">
        <v>114</v>
      </c>
      <c r="J23" s="46" t="s">
        <v>120</v>
      </c>
      <c r="K23" s="46" t="s">
        <v>123</v>
      </c>
      <c r="L23" s="46" t="s">
        <v>124</v>
      </c>
      <c r="AU23" s="58" t="s">
        <v>71</v>
      </c>
      <c r="AV23" s="58">
        <v>7</v>
      </c>
      <c r="AW23" s="58">
        <v>3.1880711223673641E-2</v>
      </c>
      <c r="AX23" s="58"/>
      <c r="AY23" s="58"/>
      <c r="AZ23" s="58"/>
      <c r="BE23" s="58" t="s">
        <v>71</v>
      </c>
      <c r="BF23" s="58">
        <v>7</v>
      </c>
      <c r="BG23" s="58">
        <v>8.3314660734376059E-3</v>
      </c>
      <c r="BH23" s="58"/>
      <c r="BI23" s="58"/>
      <c r="BJ23" s="58"/>
    </row>
    <row r="24" spans="1:65" ht="15.75" thickBot="1" x14ac:dyDescent="0.3">
      <c r="A24" s="5" t="s">
        <v>11</v>
      </c>
      <c r="B24" s="42">
        <v>0.17369777575697301</v>
      </c>
      <c r="C24" s="42">
        <v>0.199680501000808</v>
      </c>
      <c r="D24" s="42">
        <v>0.13984116014494999</v>
      </c>
      <c r="E24" s="43">
        <v>1.7836570943256701E-2</v>
      </c>
      <c r="F24" s="15">
        <v>1.1737788669959504</v>
      </c>
      <c r="G24" s="15">
        <v>4</v>
      </c>
      <c r="H24" s="15">
        <v>1.25</v>
      </c>
      <c r="I24" s="15">
        <v>2.75</v>
      </c>
      <c r="J24" s="15">
        <f>H24-I24</f>
        <v>-1.5</v>
      </c>
      <c r="K24" s="15">
        <f t="shared" si="1"/>
        <v>0.3125</v>
      </c>
      <c r="L24" s="15">
        <f t="shared" si="2"/>
        <v>0.6875</v>
      </c>
    </row>
    <row r="25" spans="1:65" x14ac:dyDescent="0.25">
      <c r="A25" s="5" t="s">
        <v>12</v>
      </c>
      <c r="B25" s="42">
        <v>9.9143945152060597E-2</v>
      </c>
      <c r="C25" s="42">
        <v>0.12535086320927399</v>
      </c>
      <c r="D25" s="42">
        <v>8.9326261366187695E-2</v>
      </c>
      <c r="E25" s="43">
        <v>-0.54160608613664096</v>
      </c>
      <c r="F25" s="15">
        <v>1.0182769682576838</v>
      </c>
      <c r="G25" s="15">
        <v>1.1385255280790201</v>
      </c>
      <c r="H25" s="15">
        <v>0.25</v>
      </c>
      <c r="I25" s="15">
        <v>0.88852552807902296</v>
      </c>
      <c r="J25" s="15">
        <f t="shared" ref="J25" si="3">H25-I25</f>
        <v>-0.63852552807902296</v>
      </c>
      <c r="K25" s="15">
        <f t="shared" si="1"/>
        <v>0.2195822525137518</v>
      </c>
      <c r="L25" s="15">
        <f t="shared" si="2"/>
        <v>0.7804177474862507</v>
      </c>
      <c r="AU25" s="59"/>
      <c r="AV25" s="59" t="s">
        <v>78</v>
      </c>
      <c r="AW25" s="59" t="s">
        <v>66</v>
      </c>
      <c r="AX25" s="59" t="s">
        <v>79</v>
      </c>
      <c r="AY25" s="59" t="s">
        <v>80</v>
      </c>
      <c r="AZ25" s="59" t="s">
        <v>81</v>
      </c>
      <c r="BA25" s="59" t="s">
        <v>82</v>
      </c>
      <c r="BB25" s="59" t="s">
        <v>83</v>
      </c>
      <c r="BC25" s="59" t="s">
        <v>84</v>
      </c>
      <c r="BE25" s="59"/>
      <c r="BF25" s="59" t="s">
        <v>78</v>
      </c>
      <c r="BG25" s="59" t="s">
        <v>66</v>
      </c>
      <c r="BH25" s="59" t="s">
        <v>79</v>
      </c>
      <c r="BI25" s="59" t="s">
        <v>80</v>
      </c>
      <c r="BJ25" s="59" t="s">
        <v>81</v>
      </c>
      <c r="BK25" s="59" t="s">
        <v>82</v>
      </c>
      <c r="BL25" s="59" t="s">
        <v>83</v>
      </c>
      <c r="BM25" s="59" t="s">
        <v>84</v>
      </c>
    </row>
    <row r="26" spans="1:65" x14ac:dyDescent="0.25">
      <c r="A26" s="5"/>
      <c r="B26" s="42"/>
      <c r="C26" s="42"/>
      <c r="D26" s="42"/>
      <c r="E26" s="42"/>
      <c r="F26" s="15"/>
      <c r="G26" s="15"/>
      <c r="H26" s="15"/>
      <c r="I26" s="15"/>
      <c r="J26" s="15"/>
      <c r="K26" s="15"/>
      <c r="L26" s="15"/>
      <c r="AU26" s="57" t="s">
        <v>72</v>
      </c>
      <c r="AV26" s="57">
        <v>-0.38936544710673093</v>
      </c>
      <c r="AW26" s="57">
        <v>0.52071358482019736</v>
      </c>
      <c r="AX26" s="57">
        <v>-0.74775357981332291</v>
      </c>
      <c r="AY26" s="57">
        <v>0.48826404100316051</v>
      </c>
      <c r="AZ26" s="57">
        <v>-1.7279023298145999</v>
      </c>
      <c r="BA26" s="57">
        <v>0.94917143560113804</v>
      </c>
      <c r="BB26" s="57">
        <v>-1.7279023298145999</v>
      </c>
      <c r="BC26" s="57">
        <v>0.94917143560113804</v>
      </c>
      <c r="BE26" s="57" t="s">
        <v>72</v>
      </c>
      <c r="BF26" s="57">
        <v>-0.11973559709792161</v>
      </c>
      <c r="BG26" s="57">
        <v>0.18514718971262359</v>
      </c>
      <c r="BH26" s="57">
        <v>-0.64670491236604433</v>
      </c>
      <c r="BI26" s="57">
        <v>0.54633347819834066</v>
      </c>
      <c r="BJ26" s="57">
        <v>-0.59567159989230267</v>
      </c>
      <c r="BK26" s="57">
        <v>0.35620040569645939</v>
      </c>
      <c r="BL26" s="57">
        <v>-0.59567159989230267</v>
      </c>
      <c r="BM26" s="57">
        <v>0.35620040569645939</v>
      </c>
    </row>
    <row r="27" spans="1:65" x14ac:dyDescent="0.25">
      <c r="A27" s="5"/>
      <c r="B27" s="43"/>
      <c r="C27" s="43"/>
      <c r="D27" s="42"/>
      <c r="E27" s="42"/>
      <c r="F27" s="15"/>
      <c r="G27" s="15"/>
      <c r="H27" s="15"/>
      <c r="I27" s="15"/>
      <c r="J27" s="15"/>
      <c r="K27" s="15"/>
      <c r="L27" s="15"/>
      <c r="AU27" s="57" t="s">
        <v>53</v>
      </c>
      <c r="AV27" s="57">
        <v>0.4306387815295758</v>
      </c>
      <c r="AW27" s="57">
        <v>0.48993459534768236</v>
      </c>
      <c r="AX27" s="57">
        <v>0.87897198038030511</v>
      </c>
      <c r="AY27" s="57">
        <v>0.41964593512390114</v>
      </c>
      <c r="AZ27" s="57">
        <v>-0.82877818992100472</v>
      </c>
      <c r="BA27" s="57">
        <v>1.6900557529801563</v>
      </c>
      <c r="BB27" s="57">
        <v>-0.82877818992100472</v>
      </c>
      <c r="BC27" s="57">
        <v>1.6900557529801563</v>
      </c>
      <c r="BE27" s="57" t="s">
        <v>53</v>
      </c>
      <c r="BF27" s="57">
        <v>0.2316239378104295</v>
      </c>
      <c r="BG27" s="57">
        <v>0.17653858516126517</v>
      </c>
      <c r="BH27" s="57">
        <v>1.3120301015148883</v>
      </c>
      <c r="BI27" s="57">
        <v>0.24651430803099381</v>
      </c>
      <c r="BJ27" s="57">
        <v>-0.22218294249405346</v>
      </c>
      <c r="BK27" s="57">
        <v>0.68543081811491247</v>
      </c>
      <c r="BL27" s="57">
        <v>-0.22218294249405346</v>
      </c>
      <c r="BM27" s="57">
        <v>0.68543081811491247</v>
      </c>
    </row>
    <row r="28" spans="1:65" ht="15.75" thickBot="1" x14ac:dyDescent="0.3">
      <c r="A28" s="5" t="s">
        <v>37</v>
      </c>
      <c r="B28" s="42">
        <v>0.14608753400636901</v>
      </c>
      <c r="C28" s="44"/>
      <c r="D28" s="42">
        <v>6.8212961854365706E-2</v>
      </c>
      <c r="E28" s="43">
        <v>-4.2076076707890497E-3</v>
      </c>
      <c r="F28" s="15">
        <v>1.0078290838208943</v>
      </c>
      <c r="G28" s="15">
        <v>2.4954469283408098</v>
      </c>
      <c r="H28" s="15">
        <v>1.8447691432308699</v>
      </c>
      <c r="I28" s="15">
        <v>0.650677785109948</v>
      </c>
      <c r="J28" s="15">
        <f t="shared" ref="J28" si="4">H28-I28</f>
        <v>1.194091358120922</v>
      </c>
      <c r="K28" s="15">
        <f t="shared" si="1"/>
        <v>0.73925400788123874</v>
      </c>
      <c r="L28" s="15">
        <f t="shared" si="2"/>
        <v>0.26074599211876454</v>
      </c>
      <c r="AU28" s="58" t="s">
        <v>120</v>
      </c>
      <c r="AV28" s="58">
        <v>6.1794055160865067E-4</v>
      </c>
      <c r="AW28" s="58">
        <v>8.479720885687235E-3</v>
      </c>
      <c r="AX28" s="58">
        <v>7.2872746631514856E-2</v>
      </c>
      <c r="AY28" s="58">
        <v>0.94473272196100821</v>
      </c>
      <c r="AZ28" s="58">
        <v>-2.117987592840484E-2</v>
      </c>
      <c r="BA28" s="58">
        <v>2.2415757031622144E-2</v>
      </c>
      <c r="BB28" s="58">
        <v>-2.117987592840484E-2</v>
      </c>
      <c r="BC28" s="58">
        <v>2.2415757031622144E-2</v>
      </c>
      <c r="BE28" s="58" t="s">
        <v>120</v>
      </c>
      <c r="BF28" s="58">
        <v>6.2143552507071039E-3</v>
      </c>
      <c r="BG28" s="58">
        <v>2.9512026729110953E-3</v>
      </c>
      <c r="BH28" s="58">
        <v>2.1057026370124565</v>
      </c>
      <c r="BI28" s="58">
        <v>8.9106221124018947E-2</v>
      </c>
      <c r="BJ28" s="58">
        <v>-1.3719527335594988E-3</v>
      </c>
      <c r="BK28" s="58">
        <v>1.3800663234973707E-2</v>
      </c>
      <c r="BL28" s="58">
        <v>-1.3719527335594988E-3</v>
      </c>
      <c r="BM28" s="58">
        <v>1.3800663234973707E-2</v>
      </c>
    </row>
    <row r="29" spans="1:65" x14ac:dyDescent="0.25">
      <c r="A29" s="5" t="s">
        <v>42</v>
      </c>
      <c r="B29" s="45">
        <v>1.0119527368219401E-2</v>
      </c>
      <c r="C29" s="44"/>
      <c r="D29" s="42">
        <v>9.9852529707758195E-2</v>
      </c>
      <c r="E29" s="42">
        <v>4.4857179056258203E-2</v>
      </c>
      <c r="F29" s="15">
        <v>1.0239451393319936</v>
      </c>
      <c r="G29" s="15">
        <v>19.594840851392899</v>
      </c>
      <c r="H29" s="15">
        <v>5.5209579590505999</v>
      </c>
      <c r="I29" s="15">
        <v>14.073882892342301</v>
      </c>
      <c r="J29" s="15">
        <f>H29-I29</f>
        <v>-8.5529249332917008</v>
      </c>
      <c r="K29" s="15">
        <f t="shared" si="1"/>
        <v>0.28175569278268175</v>
      </c>
      <c r="L29" s="15">
        <f t="shared" si="2"/>
        <v>0.71824430721731836</v>
      </c>
    </row>
    <row r="30" spans="1:65" x14ac:dyDescent="0.25">
      <c r="A30" s="5" t="s">
        <v>43</v>
      </c>
      <c r="B30" s="42">
        <v>4.5646344187588998E-2</v>
      </c>
      <c r="C30" s="44"/>
      <c r="D30" s="42">
        <v>5.5815481283492403E-2</v>
      </c>
      <c r="E30" s="42">
        <v>7.6664996000854094E-2</v>
      </c>
      <c r="F30" s="15">
        <v>1.0275460447393339</v>
      </c>
      <c r="G30" s="15">
        <v>17.2552427011953</v>
      </c>
      <c r="H30" s="15">
        <v>5.1821136906510699</v>
      </c>
      <c r="I30" s="15">
        <v>12.0731290105442</v>
      </c>
      <c r="J30" s="15">
        <f t="shared" ref="J30:J34" si="5">H30-I30</f>
        <v>-6.8910153198931301</v>
      </c>
      <c r="K30" s="15">
        <f t="shared" si="1"/>
        <v>0.30032111285760682</v>
      </c>
      <c r="L30" s="15">
        <f t="shared" si="2"/>
        <v>0.69967888714239146</v>
      </c>
    </row>
    <row r="31" spans="1:65" x14ac:dyDescent="0.25">
      <c r="A31" s="5" t="s">
        <v>44</v>
      </c>
      <c r="B31" s="42">
        <v>1.47909285306715E-2</v>
      </c>
      <c r="C31" s="44"/>
      <c r="D31" s="42">
        <v>9.5391388976058394E-2</v>
      </c>
      <c r="E31" s="42">
        <v>2.1219861817338499E-2</v>
      </c>
      <c r="F31" s="15">
        <v>1.0275826446035865</v>
      </c>
      <c r="G31" s="15">
        <v>17.024424898784201</v>
      </c>
      <c r="H31" s="15">
        <v>6.3491431999578403</v>
      </c>
      <c r="I31" s="15">
        <v>10.675281698826399</v>
      </c>
      <c r="J31" s="15">
        <f t="shared" si="5"/>
        <v>-4.3261384988685592</v>
      </c>
      <c r="K31" s="15">
        <f t="shared" si="1"/>
        <v>0.37294318238093693</v>
      </c>
      <c r="L31" s="15">
        <f t="shared" si="2"/>
        <v>0.62705681761906529</v>
      </c>
    </row>
    <row r="32" spans="1:65" ht="15.75" thickBot="1" x14ac:dyDescent="0.3">
      <c r="A32" s="5" t="s">
        <v>46</v>
      </c>
      <c r="B32" s="42">
        <v>2.0282132481243099E-2</v>
      </c>
      <c r="C32" s="44"/>
      <c r="D32" s="42">
        <v>0.115227328160236</v>
      </c>
      <c r="E32" s="42">
        <v>3.1629539106965802E-2</v>
      </c>
      <c r="F32" s="15">
        <v>1.0572093304532362</v>
      </c>
      <c r="G32" s="15">
        <v>15.1069524712688</v>
      </c>
      <c r="H32" s="15">
        <v>3.20845082384478</v>
      </c>
      <c r="I32" s="15">
        <v>11.898501647424</v>
      </c>
      <c r="J32" s="15">
        <f t="shared" si="5"/>
        <v>-8.6900508235792202</v>
      </c>
      <c r="K32" s="15">
        <f t="shared" si="1"/>
        <v>0.21238240008676676</v>
      </c>
      <c r="L32" s="15">
        <f t="shared" si="2"/>
        <v>0.78761759991323199</v>
      </c>
    </row>
    <row r="33" spans="1:65" x14ac:dyDescent="0.25">
      <c r="A33" s="5" t="s">
        <v>47</v>
      </c>
      <c r="B33" s="42">
        <v>3.6679485231980898E-2</v>
      </c>
      <c r="C33" s="44"/>
      <c r="D33" s="42">
        <v>0.157732693122626</v>
      </c>
      <c r="E33" s="42">
        <v>4.3964016574286002E-2</v>
      </c>
      <c r="F33" s="15">
        <v>1.111235100018195</v>
      </c>
      <c r="G33" s="15">
        <v>21.9579587943592</v>
      </c>
      <c r="H33" s="15">
        <v>7.2579587943592401</v>
      </c>
      <c r="I33" s="15">
        <v>14.7</v>
      </c>
      <c r="J33" s="15">
        <f t="shared" si="5"/>
        <v>-7.4420412056407592</v>
      </c>
      <c r="K33" s="15">
        <f t="shared" si="1"/>
        <v>0.33053886576304825</v>
      </c>
      <c r="L33" s="15">
        <f t="shared" si="2"/>
        <v>0.66946113423695353</v>
      </c>
      <c r="AU33" s="60" t="s">
        <v>62</v>
      </c>
      <c r="AV33" s="60"/>
      <c r="BE33" s="60" t="s">
        <v>62</v>
      </c>
      <c r="BF33" s="60"/>
    </row>
    <row r="34" spans="1:65" x14ac:dyDescent="0.25">
      <c r="A34" s="5" t="s">
        <v>48</v>
      </c>
      <c r="B34" s="42">
        <v>7.7980025652416296E-2</v>
      </c>
      <c r="C34" s="44"/>
      <c r="D34" s="42">
        <v>0.121156039239802</v>
      </c>
      <c r="E34" s="42">
        <v>5.3048699734524599E-2</v>
      </c>
      <c r="F34" s="15">
        <v>1.0519758315193652</v>
      </c>
      <c r="G34" s="15">
        <v>16.640165980770899</v>
      </c>
      <c r="H34" s="15">
        <v>4.2170406154913396</v>
      </c>
      <c r="I34" s="15">
        <v>12.423125365279599</v>
      </c>
      <c r="J34" s="15">
        <f t="shared" si="5"/>
        <v>-8.2060847497882605</v>
      </c>
      <c r="K34" s="15">
        <f t="shared" si="1"/>
        <v>0.25342539373492318</v>
      </c>
      <c r="L34" s="15">
        <f t="shared" si="2"/>
        <v>0.74657460626507921</v>
      </c>
      <c r="AU34" s="57" t="s">
        <v>63</v>
      </c>
      <c r="AV34" s="57">
        <v>0.74129815678969202</v>
      </c>
      <c r="BE34" s="57" t="s">
        <v>63</v>
      </c>
      <c r="BF34" s="57">
        <v>0.50322327975350545</v>
      </c>
    </row>
    <row r="35" spans="1:65" x14ac:dyDescent="0.25">
      <c r="K35" s="15"/>
      <c r="L35" s="15"/>
      <c r="AU35" s="57" t="s">
        <v>64</v>
      </c>
      <c r="AV35" s="57">
        <v>0.54952295725979483</v>
      </c>
      <c r="BE35" s="57" t="s">
        <v>64</v>
      </c>
      <c r="BF35" s="57">
        <v>0.25323366928587482</v>
      </c>
    </row>
    <row r="36" spans="1:65" x14ac:dyDescent="0.25">
      <c r="A36" s="5" t="s">
        <v>98</v>
      </c>
      <c r="K36" s="15"/>
      <c r="L36" s="15"/>
      <c r="AU36" s="57" t="s">
        <v>65</v>
      </c>
      <c r="AV36" s="57">
        <v>0.3693321401637128</v>
      </c>
      <c r="BE36" s="57" t="s">
        <v>65</v>
      </c>
      <c r="BF36" s="57">
        <v>-4.5472862999775245E-2</v>
      </c>
    </row>
    <row r="37" spans="1:65" ht="25.5" x14ac:dyDescent="0.25">
      <c r="A37" s="16" t="s">
        <v>59</v>
      </c>
      <c r="B37" s="17" t="s">
        <v>58</v>
      </c>
      <c r="C37" s="17" t="s">
        <v>94</v>
      </c>
      <c r="D37" s="17" t="s">
        <v>95</v>
      </c>
      <c r="E37" s="17" t="s">
        <v>96</v>
      </c>
      <c r="F37" s="17" t="s">
        <v>53</v>
      </c>
      <c r="G37" s="46" t="s">
        <v>110</v>
      </c>
      <c r="H37" s="46" t="s">
        <v>113</v>
      </c>
      <c r="I37" s="46" t="s">
        <v>114</v>
      </c>
      <c r="J37" s="46" t="s">
        <v>120</v>
      </c>
      <c r="K37" s="46" t="s">
        <v>123</v>
      </c>
      <c r="L37" s="46" t="s">
        <v>124</v>
      </c>
      <c r="AU37" s="57" t="s">
        <v>66</v>
      </c>
      <c r="AV37" s="57">
        <v>5.359389613098673E-2</v>
      </c>
      <c r="BE37" s="57" t="s">
        <v>66</v>
      </c>
      <c r="BF37" s="57">
        <v>3.5275085681342355E-2</v>
      </c>
    </row>
    <row r="38" spans="1:65" ht="15.75" thickBot="1" x14ac:dyDescent="0.3">
      <c r="A38" s="5" t="s">
        <v>11</v>
      </c>
      <c r="B38" s="42">
        <v>0.17369777575697301</v>
      </c>
      <c r="C38" s="42">
        <v>0.199680501000808</v>
      </c>
      <c r="D38" s="42">
        <v>0.13984116014494999</v>
      </c>
      <c r="E38" s="43">
        <v>1.7836570943256701E-2</v>
      </c>
      <c r="F38" s="15">
        <v>1.1737788669959504</v>
      </c>
      <c r="G38" s="15">
        <v>4</v>
      </c>
      <c r="H38" s="15">
        <v>1.25</v>
      </c>
      <c r="I38" s="15">
        <v>2.75</v>
      </c>
      <c r="J38" s="15">
        <v>-1.5</v>
      </c>
      <c r="K38" s="15">
        <f t="shared" si="1"/>
        <v>0.3125</v>
      </c>
      <c r="L38" s="15">
        <f t="shared" si="2"/>
        <v>0.6875</v>
      </c>
      <c r="AU38" s="58" t="s">
        <v>67</v>
      </c>
      <c r="AV38" s="58">
        <v>8</v>
      </c>
      <c r="BE38" s="58" t="s">
        <v>67</v>
      </c>
      <c r="BF38" s="58">
        <v>8</v>
      </c>
    </row>
    <row r="39" spans="1:65" x14ac:dyDescent="0.25">
      <c r="A39" s="5" t="s">
        <v>12</v>
      </c>
      <c r="B39" s="42">
        <v>9.9143945152060597E-2</v>
      </c>
      <c r="C39" s="42">
        <v>0.12535086320927399</v>
      </c>
      <c r="D39" s="42">
        <v>8.9326261366187695E-2</v>
      </c>
      <c r="E39" s="43">
        <v>-0.54160608613664096</v>
      </c>
      <c r="F39" s="15">
        <v>1.0182769682576838</v>
      </c>
      <c r="G39" s="15">
        <v>1.1385255280790201</v>
      </c>
      <c r="H39" s="15">
        <v>0.25</v>
      </c>
      <c r="I39" s="15">
        <v>0.88852552807902296</v>
      </c>
      <c r="J39" s="15">
        <v>-0.63852552807902296</v>
      </c>
      <c r="K39" s="15">
        <f t="shared" si="1"/>
        <v>0.2195822525137518</v>
      </c>
      <c r="L39" s="15">
        <f t="shared" si="2"/>
        <v>0.7804177474862507</v>
      </c>
    </row>
    <row r="40" spans="1:65" ht="15.75" thickBot="1" x14ac:dyDescent="0.3">
      <c r="A40" s="5"/>
      <c r="B40" s="42"/>
      <c r="C40" s="42"/>
      <c r="D40" s="42"/>
      <c r="E40" s="43"/>
      <c r="F40" s="15"/>
      <c r="G40" s="15"/>
      <c r="H40" s="15"/>
      <c r="I40" s="15"/>
      <c r="J40" s="15"/>
      <c r="K40" s="15"/>
      <c r="L40" s="15"/>
      <c r="AU40" t="s">
        <v>68</v>
      </c>
      <c r="BE40" t="s">
        <v>68</v>
      </c>
    </row>
    <row r="41" spans="1:65" x14ac:dyDescent="0.25">
      <c r="A41" s="5"/>
      <c r="B41" s="43"/>
      <c r="C41" s="43"/>
      <c r="D41" s="44"/>
      <c r="E41" s="43"/>
      <c r="F41" s="15"/>
      <c r="G41" s="15"/>
      <c r="H41" s="15"/>
      <c r="I41" s="15"/>
      <c r="J41" s="15"/>
      <c r="K41" s="15"/>
      <c r="L41" s="15"/>
      <c r="AU41" s="59"/>
      <c r="AV41" s="59" t="s">
        <v>73</v>
      </c>
      <c r="AW41" s="59" t="s">
        <v>74</v>
      </c>
      <c r="AX41" s="59" t="s">
        <v>75</v>
      </c>
      <c r="AY41" s="59" t="s">
        <v>76</v>
      </c>
      <c r="AZ41" s="59" t="s">
        <v>77</v>
      </c>
      <c r="BE41" s="59"/>
      <c r="BF41" s="59" t="s">
        <v>73</v>
      </c>
      <c r="BG41" s="59" t="s">
        <v>74</v>
      </c>
      <c r="BH41" s="59" t="s">
        <v>75</v>
      </c>
      <c r="BI41" s="59" t="s">
        <v>76</v>
      </c>
      <c r="BJ41" s="59" t="s">
        <v>77</v>
      </c>
    </row>
    <row r="42" spans="1:65" x14ac:dyDescent="0.25">
      <c r="A42" s="5" t="s">
        <v>23</v>
      </c>
      <c r="B42" s="44"/>
      <c r="C42" s="44"/>
      <c r="D42" s="42">
        <v>0.11077055296162799</v>
      </c>
      <c r="E42" s="44"/>
      <c r="F42" s="15">
        <v>1.0078290838208943</v>
      </c>
      <c r="G42" s="15">
        <v>2.4954469283408098</v>
      </c>
      <c r="H42" s="15">
        <v>1.8447691432308699</v>
      </c>
      <c r="I42" s="15">
        <v>0.650677785109948</v>
      </c>
      <c r="J42" s="15">
        <v>1.194091358120922</v>
      </c>
      <c r="K42" s="15">
        <f t="shared" si="1"/>
        <v>0.73925400788123874</v>
      </c>
      <c r="L42" s="15">
        <f t="shared" si="2"/>
        <v>0.26074599211876454</v>
      </c>
      <c r="AU42" s="57" t="s">
        <v>69</v>
      </c>
      <c r="AV42" s="57">
        <v>2</v>
      </c>
      <c r="AW42" s="57">
        <v>1.7519182711178673E-2</v>
      </c>
      <c r="AX42" s="57">
        <v>8.7595913555893364E-3</v>
      </c>
      <c r="AY42" s="57">
        <v>3.0496723757391919</v>
      </c>
      <c r="AZ42" s="57">
        <v>0.13620142716666969</v>
      </c>
      <c r="BE42" s="57" t="s">
        <v>69</v>
      </c>
      <c r="BF42" s="57">
        <v>2</v>
      </c>
      <c r="BG42" s="57">
        <v>2.1098077243073849E-3</v>
      </c>
      <c r="BH42" s="57">
        <v>1.0549038621536925E-3</v>
      </c>
      <c r="BI42" s="57">
        <v>0.84776743028743007</v>
      </c>
      <c r="BJ42" s="57">
        <v>0.48190543232148159</v>
      </c>
    </row>
    <row r="43" spans="1:65" x14ac:dyDescent="0.25">
      <c r="A43" s="5" t="s">
        <v>26</v>
      </c>
      <c r="B43" s="42">
        <v>8.8732929175135894E-2</v>
      </c>
      <c r="C43" s="44"/>
      <c r="D43" s="42">
        <v>0.15621819275209001</v>
      </c>
      <c r="E43" s="42">
        <v>1.20306787922476E-2</v>
      </c>
      <c r="F43" s="15">
        <v>1.0119508062412015</v>
      </c>
      <c r="G43" s="15">
        <v>8.1761484496582497</v>
      </c>
      <c r="H43" s="15">
        <v>3.1258759015031101</v>
      </c>
      <c r="I43" s="15">
        <v>5.0502725481551298</v>
      </c>
      <c r="J43" s="15">
        <v>-1.9243966466520197</v>
      </c>
      <c r="K43" s="15">
        <f t="shared" si="1"/>
        <v>0.3823164318443566</v>
      </c>
      <c r="L43" s="15">
        <f t="shared" si="2"/>
        <v>0.61768356815564218</v>
      </c>
      <c r="AU43" s="57" t="s">
        <v>70</v>
      </c>
      <c r="AV43" s="57">
        <v>5</v>
      </c>
      <c r="AW43" s="57">
        <v>1.436152851249497E-2</v>
      </c>
      <c r="AX43" s="57">
        <v>2.8723057024989942E-3</v>
      </c>
      <c r="AY43" s="57"/>
      <c r="AZ43" s="57"/>
      <c r="BE43" s="57" t="s">
        <v>70</v>
      </c>
      <c r="BF43" s="57">
        <v>5</v>
      </c>
      <c r="BG43" s="57">
        <v>6.221658349130221E-3</v>
      </c>
      <c r="BH43" s="57">
        <v>1.2443316698260442E-3</v>
      </c>
      <c r="BI43" s="57"/>
      <c r="BJ43" s="57"/>
    </row>
    <row r="44" spans="1:65" ht="15.75" thickBot="1" x14ac:dyDescent="0.3">
      <c r="A44" s="5" t="s">
        <v>28</v>
      </c>
      <c r="B44" s="42">
        <v>0.10415722716452799</v>
      </c>
      <c r="C44" s="44"/>
      <c r="D44" s="42">
        <v>5.5397551503622099E-2</v>
      </c>
      <c r="E44" s="42">
        <v>2.8615745110634201E-2</v>
      </c>
      <c r="F44" s="15">
        <v>1.0239451393319936</v>
      </c>
      <c r="G44" s="15">
        <v>19.594840851392899</v>
      </c>
      <c r="H44" s="15">
        <v>5.5209579590505999</v>
      </c>
      <c r="I44" s="15">
        <v>14.073882892342301</v>
      </c>
      <c r="J44" s="15">
        <v>-8.5529249332917008</v>
      </c>
      <c r="K44" s="15">
        <f t="shared" si="1"/>
        <v>0.28175569278268175</v>
      </c>
      <c r="L44" s="15">
        <f t="shared" si="2"/>
        <v>0.71824430721731836</v>
      </c>
      <c r="AU44" s="58" t="s">
        <v>71</v>
      </c>
      <c r="AV44" s="58">
        <v>7</v>
      </c>
      <c r="AW44" s="58">
        <v>3.1880711223673641E-2</v>
      </c>
      <c r="AX44" s="58"/>
      <c r="AY44" s="58"/>
      <c r="AZ44" s="58"/>
      <c r="BE44" s="58" t="s">
        <v>71</v>
      </c>
      <c r="BF44" s="58">
        <v>7</v>
      </c>
      <c r="BG44" s="58">
        <v>8.3314660734376059E-3</v>
      </c>
      <c r="BH44" s="58"/>
      <c r="BI44" s="58"/>
      <c r="BJ44" s="58"/>
    </row>
    <row r="45" spans="1:65" ht="15.75" thickBot="1" x14ac:dyDescent="0.3">
      <c r="A45" s="5" t="s">
        <v>29</v>
      </c>
      <c r="B45" s="42">
        <v>4.66251429291673E-2</v>
      </c>
      <c r="C45" s="44"/>
      <c r="D45" s="42">
        <v>6.9883057908481996E-2</v>
      </c>
      <c r="E45" s="42">
        <v>4.4113621235337297E-2</v>
      </c>
      <c r="F45" s="15">
        <v>1.0275460447393339</v>
      </c>
      <c r="G45" s="15">
        <v>17.2552427011953</v>
      </c>
      <c r="H45" s="15">
        <v>5.1821136906510699</v>
      </c>
      <c r="I45" s="15">
        <v>12.0731290105442</v>
      </c>
      <c r="J45" s="15">
        <v>-6.8910153198931301</v>
      </c>
      <c r="K45" s="15">
        <f t="shared" si="1"/>
        <v>0.30032111285760682</v>
      </c>
      <c r="L45" s="15">
        <f t="shared" si="2"/>
        <v>0.69967888714239146</v>
      </c>
    </row>
    <row r="46" spans="1:65" x14ac:dyDescent="0.25">
      <c r="A46" s="5" t="s">
        <v>30</v>
      </c>
      <c r="B46" s="42">
        <v>9.0894558490112708E-3</v>
      </c>
      <c r="C46" s="44"/>
      <c r="D46" s="42">
        <v>7.8645648239850305E-2</v>
      </c>
      <c r="E46" s="43">
        <v>-8.0536265843332393E-3</v>
      </c>
      <c r="F46" s="15">
        <v>1.0275826446035865</v>
      </c>
      <c r="G46" s="15">
        <v>17.024424898784201</v>
      </c>
      <c r="H46" s="15">
        <v>6.3491431999578403</v>
      </c>
      <c r="I46" s="15">
        <v>10.675281698826399</v>
      </c>
      <c r="J46" s="15">
        <v>-4.3261384988685592</v>
      </c>
      <c r="K46" s="15">
        <f t="shared" si="1"/>
        <v>0.37294318238093693</v>
      </c>
      <c r="L46" s="15">
        <f t="shared" si="2"/>
        <v>0.62705681761906529</v>
      </c>
      <c r="AU46" s="59"/>
      <c r="AV46" s="59" t="s">
        <v>78</v>
      </c>
      <c r="AW46" s="59" t="s">
        <v>66</v>
      </c>
      <c r="AX46" s="59" t="s">
        <v>79</v>
      </c>
      <c r="AY46" s="59" t="s">
        <v>80</v>
      </c>
      <c r="AZ46" s="59" t="s">
        <v>81</v>
      </c>
      <c r="BA46" s="59" t="s">
        <v>82</v>
      </c>
      <c r="BB46" s="59" t="s">
        <v>83</v>
      </c>
      <c r="BC46" s="59" t="s">
        <v>84</v>
      </c>
      <c r="BE46" s="59"/>
      <c r="BF46" s="59" t="s">
        <v>78</v>
      </c>
      <c r="BG46" s="59" t="s">
        <v>66</v>
      </c>
      <c r="BH46" s="59" t="s">
        <v>79</v>
      </c>
      <c r="BI46" s="59" t="s">
        <v>80</v>
      </c>
      <c r="BJ46" s="59" t="s">
        <v>81</v>
      </c>
      <c r="BK46" s="59" t="s">
        <v>82</v>
      </c>
      <c r="BL46" s="59" t="s">
        <v>83</v>
      </c>
      <c r="BM46" s="59" t="s">
        <v>84</v>
      </c>
    </row>
    <row r="47" spans="1:65" x14ac:dyDescent="0.25">
      <c r="A47" s="5" t="s">
        <v>33</v>
      </c>
      <c r="B47" s="42">
        <v>2.0373962034653699E-2</v>
      </c>
      <c r="C47" s="44"/>
      <c r="D47" s="42">
        <v>0.101236914763633</v>
      </c>
      <c r="E47" s="42">
        <v>2.7450804091866201E-2</v>
      </c>
      <c r="F47" s="15">
        <v>1.111235100018195</v>
      </c>
      <c r="G47" s="15">
        <v>21.9579587943592</v>
      </c>
      <c r="H47" s="15">
        <v>7.2579587943592401</v>
      </c>
      <c r="I47" s="15">
        <v>14.7</v>
      </c>
      <c r="J47" s="15">
        <v>-7.4420412056407592</v>
      </c>
      <c r="K47" s="15">
        <f t="shared" si="1"/>
        <v>0.33053886576304825</v>
      </c>
      <c r="L47" s="15">
        <f t="shared" si="2"/>
        <v>0.66946113423695353</v>
      </c>
      <c r="AU47" s="57" t="s">
        <v>72</v>
      </c>
      <c r="AV47" s="57">
        <v>-0.19059119457266774</v>
      </c>
      <c r="AW47" s="57">
        <v>0.3849108806597053</v>
      </c>
      <c r="AX47" s="57">
        <v>-0.49515668210264735</v>
      </c>
      <c r="AY47" s="57">
        <v>0.64147968576164005</v>
      </c>
      <c r="AZ47" s="57">
        <v>-1.1800361127352836</v>
      </c>
      <c r="BA47" s="57">
        <v>0.79885372358994811</v>
      </c>
      <c r="BB47" s="57">
        <v>-1.1800361127352836</v>
      </c>
      <c r="BC47" s="57">
        <v>0.79885372358994811</v>
      </c>
      <c r="BE47" s="57" t="s">
        <v>72</v>
      </c>
      <c r="BF47" s="57">
        <v>-0.20047802225831629</v>
      </c>
      <c r="BG47" s="57">
        <v>0.25280369511671708</v>
      </c>
      <c r="BH47" s="57">
        <v>-0.79301855997697135</v>
      </c>
      <c r="BI47" s="57">
        <v>0.46371805435853919</v>
      </c>
      <c r="BJ47" s="57">
        <v>-0.85033060890709011</v>
      </c>
      <c r="BK47" s="57">
        <v>0.44937456439045759</v>
      </c>
      <c r="BL47" s="57">
        <v>-0.85033060890709011</v>
      </c>
      <c r="BM47" s="57">
        <v>0.44937456439045759</v>
      </c>
    </row>
    <row r="48" spans="1:65" x14ac:dyDescent="0.25">
      <c r="K48" s="15"/>
      <c r="L48" s="15"/>
      <c r="AU48" s="57" t="s">
        <v>53</v>
      </c>
      <c r="AV48" s="57">
        <v>0.42120762936462108</v>
      </c>
      <c r="AW48" s="57">
        <v>0.35316384733732203</v>
      </c>
      <c r="AX48" s="57">
        <v>1.1926691606185484</v>
      </c>
      <c r="AY48" s="57">
        <v>0.28650652164891255</v>
      </c>
      <c r="AZ48" s="57">
        <v>-0.4866289416041355</v>
      </c>
      <c r="BA48" s="57">
        <v>1.3290442003333776</v>
      </c>
      <c r="BB48" s="57">
        <v>-0.4866289416041355</v>
      </c>
      <c r="BC48" s="57">
        <v>1.3290442003333776</v>
      </c>
      <c r="BE48" s="57" t="s">
        <v>53</v>
      </c>
      <c r="BF48" s="57">
        <v>0.25793517811422467</v>
      </c>
      <c r="BG48" s="57">
        <v>0.23083727426570047</v>
      </c>
      <c r="BH48" s="57">
        <v>1.1173896370710639</v>
      </c>
      <c r="BI48" s="57">
        <v>0.31462319488145307</v>
      </c>
      <c r="BJ48" s="57">
        <v>-0.3354509261009832</v>
      </c>
      <c r="BK48" s="57">
        <v>0.85132128232943249</v>
      </c>
      <c r="BL48" s="57">
        <v>-0.3354509261009832</v>
      </c>
      <c r="BM48" s="57">
        <v>0.85132128232943249</v>
      </c>
    </row>
    <row r="49" spans="1:65" ht="15.75" thickBot="1" x14ac:dyDescent="0.3">
      <c r="A49" s="5" t="s">
        <v>121</v>
      </c>
      <c r="K49" s="15"/>
      <c r="L49" s="15"/>
      <c r="AU49" s="58" t="s">
        <v>123</v>
      </c>
      <c r="AV49" s="58">
        <v>-0.57269154371442199</v>
      </c>
      <c r="AW49" s="58">
        <v>0.26712197503185131</v>
      </c>
      <c r="AX49" s="58">
        <v>-2.1439327245395474</v>
      </c>
      <c r="AY49" s="58">
        <v>8.4893915003553588E-2</v>
      </c>
      <c r="AZ49" s="58">
        <v>-1.2593504406305962</v>
      </c>
      <c r="BA49" s="58">
        <v>0.11396735320175222</v>
      </c>
      <c r="BB49" s="58">
        <v>-1.2593504406305962</v>
      </c>
      <c r="BC49" s="58">
        <v>0.11396735320175222</v>
      </c>
      <c r="BE49" s="58" t="s">
        <v>123</v>
      </c>
      <c r="BF49" s="58">
        <v>8.095192744993765E-2</v>
      </c>
      <c r="BG49" s="58">
        <v>8.6835483692363089E-2</v>
      </c>
      <c r="BH49" s="58">
        <v>0.93224479219498058</v>
      </c>
      <c r="BI49" s="58">
        <v>0.39400174817870653</v>
      </c>
      <c r="BJ49" s="58">
        <v>-0.14226578961834435</v>
      </c>
      <c r="BK49" s="58">
        <v>0.30416964451821965</v>
      </c>
      <c r="BL49" s="58">
        <v>-0.14226578961834435</v>
      </c>
      <c r="BM49" s="58">
        <v>0.30416964451821965</v>
      </c>
    </row>
    <row r="50" spans="1:65" ht="25.5" x14ac:dyDescent="0.25">
      <c r="A50" s="16" t="s">
        <v>59</v>
      </c>
      <c r="B50" s="17" t="s">
        <v>58</v>
      </c>
      <c r="C50" s="17" t="s">
        <v>94</v>
      </c>
      <c r="D50" s="17" t="s">
        <v>95</v>
      </c>
      <c r="E50" s="17" t="s">
        <v>96</v>
      </c>
      <c r="F50" s="17" t="s">
        <v>53</v>
      </c>
      <c r="G50" s="46" t="s">
        <v>110</v>
      </c>
      <c r="H50" s="46" t="s">
        <v>113</v>
      </c>
      <c r="I50" s="46" t="s">
        <v>114</v>
      </c>
      <c r="J50" s="46" t="s">
        <v>120</v>
      </c>
      <c r="K50" s="46" t="s">
        <v>123</v>
      </c>
      <c r="L50" s="46" t="s">
        <v>124</v>
      </c>
    </row>
    <row r="51" spans="1:65" x14ac:dyDescent="0.25">
      <c r="A51" s="5" t="s">
        <v>11</v>
      </c>
      <c r="B51" s="42">
        <v>0.17369777575697301</v>
      </c>
      <c r="C51" s="42">
        <v>0.199680501000808</v>
      </c>
      <c r="D51" s="42">
        <v>0.13984116014494999</v>
      </c>
      <c r="E51" s="43">
        <v>1.7836570943256701E-2</v>
      </c>
      <c r="F51" s="15">
        <v>1.1737788669959504</v>
      </c>
      <c r="G51" s="15">
        <v>4</v>
      </c>
      <c r="H51" s="15">
        <v>1.25</v>
      </c>
      <c r="I51" s="15">
        <v>2.75</v>
      </c>
      <c r="J51" s="15">
        <v>-1.5</v>
      </c>
      <c r="K51" s="15">
        <f t="shared" si="1"/>
        <v>0.3125</v>
      </c>
      <c r="L51" s="15">
        <f t="shared" si="2"/>
        <v>0.6875</v>
      </c>
      <c r="AU51" t="s">
        <v>61</v>
      </c>
      <c r="BE51" t="s">
        <v>61</v>
      </c>
    </row>
    <row r="52" spans="1:65" ht="15.75" thickBot="1" x14ac:dyDescent="0.3">
      <c r="A52" s="5" t="s">
        <v>12</v>
      </c>
      <c r="B52" s="42">
        <v>9.9143945152060597E-2</v>
      </c>
      <c r="C52" s="42">
        <v>0.12535086320927399</v>
      </c>
      <c r="D52" s="42">
        <v>8.9326261366187695E-2</v>
      </c>
      <c r="E52" s="43">
        <v>-0.54160608613664096</v>
      </c>
      <c r="F52" s="15">
        <v>1.0182769682576838</v>
      </c>
      <c r="G52" s="15">
        <v>1.1385255280790201</v>
      </c>
      <c r="H52" s="15">
        <v>0.25</v>
      </c>
      <c r="I52" s="15">
        <v>0.88852552807902296</v>
      </c>
      <c r="J52" s="15">
        <v>-0.63852552807902296</v>
      </c>
      <c r="K52" s="15">
        <f t="shared" si="1"/>
        <v>0.2195822525137518</v>
      </c>
      <c r="L52" s="15">
        <f t="shared" si="2"/>
        <v>0.7804177474862507</v>
      </c>
    </row>
    <row r="53" spans="1:65" x14ac:dyDescent="0.25">
      <c r="A53" s="5"/>
      <c r="B53" s="42"/>
      <c r="C53" s="42"/>
      <c r="D53" s="42"/>
      <c r="E53" s="43"/>
      <c r="F53" s="15"/>
      <c r="G53" s="15"/>
      <c r="H53" s="15"/>
      <c r="I53" s="15"/>
      <c r="J53" s="15"/>
      <c r="K53" s="15"/>
      <c r="L53" s="15"/>
      <c r="AU53" s="60" t="s">
        <v>62</v>
      </c>
      <c r="AV53" s="60"/>
      <c r="BE53" s="60" t="s">
        <v>62</v>
      </c>
      <c r="BF53" s="60"/>
    </row>
    <row r="54" spans="1:65" x14ac:dyDescent="0.25">
      <c r="A54" s="5"/>
      <c r="B54" s="43"/>
      <c r="C54" s="43"/>
      <c r="D54" s="44"/>
      <c r="E54" s="43"/>
      <c r="F54" s="15"/>
      <c r="G54" s="15"/>
      <c r="H54" s="15"/>
      <c r="I54" s="15"/>
      <c r="J54" s="15"/>
      <c r="K54" s="15"/>
      <c r="L54" s="15"/>
      <c r="AU54" s="57" t="s">
        <v>63</v>
      </c>
      <c r="AV54" s="57">
        <v>0.44330981587229684</v>
      </c>
      <c r="BE54" s="57" t="s">
        <v>63</v>
      </c>
      <c r="BF54" s="57">
        <v>0.65782859483624112</v>
      </c>
    </row>
    <row r="55" spans="1:65" x14ac:dyDescent="0.25">
      <c r="A55" s="5" t="s">
        <v>37</v>
      </c>
      <c r="B55" s="42">
        <v>0.14608753400636901</v>
      </c>
      <c r="C55" s="44"/>
      <c r="D55" s="42">
        <v>6.8212961854365706E-2</v>
      </c>
      <c r="E55" s="43">
        <v>-4.2076076707890497E-3</v>
      </c>
      <c r="F55" s="15">
        <v>1.0078290838208943</v>
      </c>
      <c r="G55" s="15">
        <v>2.4954469283408098</v>
      </c>
      <c r="H55" s="15">
        <v>1.8447691432308699</v>
      </c>
      <c r="I55" s="15">
        <v>0.650677785109948</v>
      </c>
      <c r="J55" s="15">
        <f t="shared" ref="J55" si="6">H55-I55</f>
        <v>1.194091358120922</v>
      </c>
      <c r="K55" s="15">
        <f t="shared" si="1"/>
        <v>0.73925400788123874</v>
      </c>
      <c r="L55" s="15">
        <f t="shared" si="2"/>
        <v>0.26074599211876454</v>
      </c>
      <c r="AU55" s="57" t="s">
        <v>64</v>
      </c>
      <c r="AV55" s="57">
        <v>0.19652359284872975</v>
      </c>
      <c r="BE55" s="57" t="s">
        <v>64</v>
      </c>
      <c r="BF55" s="57">
        <v>0.43273846018422346</v>
      </c>
    </row>
    <row r="56" spans="1:65" x14ac:dyDescent="0.25">
      <c r="A56" s="5" t="s">
        <v>42</v>
      </c>
      <c r="B56" s="45">
        <v>1.0119527368219401E-2</v>
      </c>
      <c r="C56" s="44"/>
      <c r="D56" s="42">
        <v>9.9852529707758195E-2</v>
      </c>
      <c r="E56" s="42">
        <v>4.4857179056258203E-2</v>
      </c>
      <c r="F56" s="15">
        <v>1.0239451393319936</v>
      </c>
      <c r="G56" s="15">
        <v>19.594840851392899</v>
      </c>
      <c r="H56" s="15">
        <v>5.5209579590505999</v>
      </c>
      <c r="I56" s="15">
        <v>14.073882892342301</v>
      </c>
      <c r="J56" s="15">
        <f>H56-I56</f>
        <v>-8.5529249332917008</v>
      </c>
      <c r="K56" s="15">
        <f t="shared" si="1"/>
        <v>0.28175569278268175</v>
      </c>
      <c r="L56" s="15">
        <f t="shared" si="2"/>
        <v>0.71824430721731836</v>
      </c>
      <c r="AU56" s="57" t="s">
        <v>65</v>
      </c>
      <c r="AV56" s="57">
        <v>-0.12486697001177834</v>
      </c>
      <c r="BE56" s="57" t="s">
        <v>65</v>
      </c>
      <c r="BF56" s="57">
        <v>0.20583384425791279</v>
      </c>
    </row>
    <row r="57" spans="1:65" x14ac:dyDescent="0.25">
      <c r="A57" s="5" t="s">
        <v>43</v>
      </c>
      <c r="B57" s="42">
        <v>4.5646344187588998E-2</v>
      </c>
      <c r="C57" s="44"/>
      <c r="D57" s="42">
        <v>5.5815481283492403E-2</v>
      </c>
      <c r="E57" s="42">
        <v>7.6664996000854094E-2</v>
      </c>
      <c r="F57" s="15">
        <v>1.0275460447393339</v>
      </c>
      <c r="G57" s="15">
        <v>17.2552427011953</v>
      </c>
      <c r="H57" s="15">
        <v>5.1821136906510699</v>
      </c>
      <c r="I57" s="15">
        <v>12.0731290105442</v>
      </c>
      <c r="J57" s="15">
        <f t="shared" ref="J57:J61" si="7">H57-I57</f>
        <v>-6.8910153198931301</v>
      </c>
      <c r="K57" s="15">
        <f t="shared" si="1"/>
        <v>0.30032111285760682</v>
      </c>
      <c r="L57" s="15">
        <f t="shared" si="2"/>
        <v>0.69967888714239146</v>
      </c>
      <c r="AU57" s="57" t="s">
        <v>66</v>
      </c>
      <c r="AV57" s="57">
        <v>7.1575693236495402E-2</v>
      </c>
      <c r="BE57" s="57" t="s">
        <v>66</v>
      </c>
      <c r="BF57" s="57">
        <v>3.074449633264828E-2</v>
      </c>
    </row>
    <row r="58" spans="1:65" ht="15.75" thickBot="1" x14ac:dyDescent="0.3">
      <c r="A58" s="5" t="s">
        <v>44</v>
      </c>
      <c r="B58" s="42">
        <v>1.47909285306715E-2</v>
      </c>
      <c r="C58" s="44"/>
      <c r="D58" s="42">
        <v>9.5391388976058394E-2</v>
      </c>
      <c r="E58" s="42">
        <v>2.1219861817338499E-2</v>
      </c>
      <c r="F58" s="15">
        <v>1.0275826446035865</v>
      </c>
      <c r="G58" s="15">
        <v>17.024424898784201</v>
      </c>
      <c r="H58" s="15">
        <v>6.3491431999578403</v>
      </c>
      <c r="I58" s="15">
        <v>10.675281698826399</v>
      </c>
      <c r="J58" s="15">
        <f t="shared" si="7"/>
        <v>-4.3261384988685592</v>
      </c>
      <c r="K58" s="15">
        <f t="shared" si="1"/>
        <v>0.37294318238093693</v>
      </c>
      <c r="L58" s="15">
        <f t="shared" si="2"/>
        <v>0.62705681761906529</v>
      </c>
      <c r="AU58" s="58" t="s">
        <v>67</v>
      </c>
      <c r="AV58" s="58">
        <v>8</v>
      </c>
      <c r="BE58" s="58" t="s">
        <v>67</v>
      </c>
      <c r="BF58" s="58">
        <v>8</v>
      </c>
    </row>
    <row r="59" spans="1:65" x14ac:dyDescent="0.25">
      <c r="A59" s="5" t="s">
        <v>46</v>
      </c>
      <c r="B59" s="42">
        <v>2.0282132481243099E-2</v>
      </c>
      <c r="C59" s="44"/>
      <c r="D59" s="42">
        <v>0.115227328160236</v>
      </c>
      <c r="E59" s="42">
        <v>3.1629539106965802E-2</v>
      </c>
      <c r="F59" s="15">
        <v>1.0572093304532362</v>
      </c>
      <c r="G59" s="15">
        <v>15.1069524712688</v>
      </c>
      <c r="H59" s="15">
        <v>3.20845082384478</v>
      </c>
      <c r="I59" s="15">
        <v>11.898501647424</v>
      </c>
      <c r="J59" s="15">
        <f t="shared" si="7"/>
        <v>-8.6900508235792202</v>
      </c>
      <c r="K59" s="15">
        <f t="shared" si="1"/>
        <v>0.21238240008676676</v>
      </c>
      <c r="L59" s="15">
        <f t="shared" si="2"/>
        <v>0.78761759991323199</v>
      </c>
    </row>
    <row r="60" spans="1:65" ht="15.75" thickBot="1" x14ac:dyDescent="0.3">
      <c r="A60" s="5" t="s">
        <v>47</v>
      </c>
      <c r="B60" s="42">
        <v>3.6679485231980898E-2</v>
      </c>
      <c r="C60" s="44"/>
      <c r="D60" s="42">
        <v>0.157732693122626</v>
      </c>
      <c r="E60" s="42">
        <v>4.3964016574286002E-2</v>
      </c>
      <c r="F60" s="15">
        <v>1.111235100018195</v>
      </c>
      <c r="G60" s="15">
        <v>21.9579587943592</v>
      </c>
      <c r="H60" s="15">
        <v>7.2579587943592401</v>
      </c>
      <c r="I60" s="15">
        <v>14.7</v>
      </c>
      <c r="J60" s="15">
        <f t="shared" si="7"/>
        <v>-7.4420412056407592</v>
      </c>
      <c r="K60" s="15">
        <f t="shared" si="1"/>
        <v>0.33053886576304825</v>
      </c>
      <c r="L60" s="15">
        <f t="shared" si="2"/>
        <v>0.66946113423695353</v>
      </c>
      <c r="AU60" t="s">
        <v>68</v>
      </c>
      <c r="BE60" t="s">
        <v>68</v>
      </c>
    </row>
    <row r="61" spans="1:65" x14ac:dyDescent="0.25">
      <c r="A61" s="5" t="s">
        <v>48</v>
      </c>
      <c r="B61" s="42">
        <v>7.7980025652416296E-2</v>
      </c>
      <c r="C61" s="44"/>
      <c r="D61" s="42">
        <v>0.121156039239802</v>
      </c>
      <c r="E61" s="42">
        <v>5.3048699734524599E-2</v>
      </c>
      <c r="F61" s="15">
        <v>1.0519758315193652</v>
      </c>
      <c r="G61" s="15">
        <v>16.640165980770899</v>
      </c>
      <c r="H61" s="15">
        <v>4.2170406154913396</v>
      </c>
      <c r="I61" s="15">
        <v>12.423125365279599</v>
      </c>
      <c r="J61" s="15">
        <f t="shared" si="7"/>
        <v>-8.2060847497882605</v>
      </c>
      <c r="K61" s="15">
        <f t="shared" si="1"/>
        <v>0.25342539373492318</v>
      </c>
      <c r="L61" s="15">
        <f t="shared" si="2"/>
        <v>0.74657460626507921</v>
      </c>
      <c r="AU61" s="59"/>
      <c r="AV61" s="59" t="s">
        <v>73</v>
      </c>
      <c r="AW61" s="59" t="s">
        <v>74</v>
      </c>
      <c r="AX61" s="59" t="s">
        <v>75</v>
      </c>
      <c r="AY61" s="59" t="s">
        <v>76</v>
      </c>
      <c r="AZ61" s="59" t="s">
        <v>77</v>
      </c>
      <c r="BE61" s="59"/>
      <c r="BF61" s="59" t="s">
        <v>73</v>
      </c>
      <c r="BG61" s="59" t="s">
        <v>74</v>
      </c>
      <c r="BH61" s="59" t="s">
        <v>75</v>
      </c>
      <c r="BI61" s="59" t="s">
        <v>76</v>
      </c>
      <c r="BJ61" s="59" t="s">
        <v>77</v>
      </c>
    </row>
    <row r="62" spans="1:65" x14ac:dyDescent="0.25">
      <c r="K62" s="15"/>
      <c r="L62" s="15"/>
      <c r="AU62" s="57" t="s">
        <v>69</v>
      </c>
      <c r="AV62" s="57">
        <v>2</v>
      </c>
      <c r="AW62" s="57">
        <v>6.2653119122491677E-3</v>
      </c>
      <c r="AX62" s="57">
        <v>3.1326559561245838E-3</v>
      </c>
      <c r="AY62" s="57">
        <v>0.61147904001781828</v>
      </c>
      <c r="AZ62" s="57">
        <v>0.57867247092032048</v>
      </c>
      <c r="BE62" s="57" t="s">
        <v>69</v>
      </c>
      <c r="BF62" s="57">
        <v>2</v>
      </c>
      <c r="BG62" s="57">
        <v>3.6053457996964881E-3</v>
      </c>
      <c r="BH62" s="57">
        <v>1.8026728998482441E-3</v>
      </c>
      <c r="BI62" s="57">
        <v>1.9071381973329238</v>
      </c>
      <c r="BJ62" s="57">
        <v>0.24235855182579283</v>
      </c>
    </row>
    <row r="63" spans="1:65" x14ac:dyDescent="0.25">
      <c r="A63" s="5" t="s">
        <v>122</v>
      </c>
      <c r="K63" s="15"/>
      <c r="L63" s="15"/>
      <c r="AU63" s="57" t="s">
        <v>70</v>
      </c>
      <c r="AV63" s="57">
        <v>5</v>
      </c>
      <c r="AW63" s="57">
        <v>2.5615399311424474E-2</v>
      </c>
      <c r="AX63" s="57">
        <v>5.1230798622848945E-3</v>
      </c>
      <c r="AY63" s="57"/>
      <c r="AZ63" s="57"/>
      <c r="BE63" s="57" t="s">
        <v>70</v>
      </c>
      <c r="BF63" s="57">
        <v>5</v>
      </c>
      <c r="BG63" s="57">
        <v>4.7261202737411178E-3</v>
      </c>
      <c r="BH63" s="57">
        <v>9.4522405474822358E-4</v>
      </c>
      <c r="BI63" s="57"/>
      <c r="BJ63" s="57"/>
    </row>
    <row r="64" spans="1:65" ht="26.25" thickBot="1" x14ac:dyDescent="0.3">
      <c r="A64" s="16" t="s">
        <v>59</v>
      </c>
      <c r="B64" s="17" t="s">
        <v>58</v>
      </c>
      <c r="C64" s="17" t="s">
        <v>94</v>
      </c>
      <c r="D64" s="17" t="s">
        <v>95</v>
      </c>
      <c r="E64" s="17" t="s">
        <v>96</v>
      </c>
      <c r="F64" s="17" t="s">
        <v>53</v>
      </c>
      <c r="G64" s="46" t="s">
        <v>110</v>
      </c>
      <c r="H64" s="46" t="s">
        <v>113</v>
      </c>
      <c r="I64" s="46" t="s">
        <v>114</v>
      </c>
      <c r="J64" s="46" t="s">
        <v>120</v>
      </c>
      <c r="K64" s="46" t="s">
        <v>123</v>
      </c>
      <c r="L64" s="46" t="s">
        <v>124</v>
      </c>
      <c r="AU64" s="58" t="s">
        <v>71</v>
      </c>
      <c r="AV64" s="58">
        <v>7</v>
      </c>
      <c r="AW64" s="58">
        <v>3.1880711223673641E-2</v>
      </c>
      <c r="AX64" s="58"/>
      <c r="AY64" s="58"/>
      <c r="AZ64" s="58"/>
      <c r="BE64" s="58" t="s">
        <v>71</v>
      </c>
      <c r="BF64" s="58">
        <v>7</v>
      </c>
      <c r="BG64" s="58">
        <v>8.3314660734376059E-3</v>
      </c>
      <c r="BH64" s="58"/>
      <c r="BI64" s="58"/>
      <c r="BJ64" s="58"/>
    </row>
    <row r="65" spans="1:65" ht="15.75" thickBot="1" x14ac:dyDescent="0.3">
      <c r="A65" s="5" t="s">
        <v>11</v>
      </c>
      <c r="B65" s="42">
        <v>0.17369777575697301</v>
      </c>
      <c r="C65" s="42">
        <v>0.199680501000808</v>
      </c>
      <c r="D65" s="42">
        <v>0.13984116014494999</v>
      </c>
      <c r="E65" s="43">
        <v>1.7836570943256701E-2</v>
      </c>
      <c r="F65" s="15">
        <v>1.1737788669959504</v>
      </c>
      <c r="G65" s="15">
        <v>4</v>
      </c>
      <c r="H65" s="15">
        <v>1.25</v>
      </c>
      <c r="I65" s="15">
        <v>2.75</v>
      </c>
      <c r="J65" s="15">
        <f>H65-I65</f>
        <v>-1.5</v>
      </c>
      <c r="K65" s="15">
        <f t="shared" si="1"/>
        <v>0.3125</v>
      </c>
      <c r="L65" s="15">
        <f t="shared" si="2"/>
        <v>0.6875</v>
      </c>
    </row>
    <row r="66" spans="1:65" x14ac:dyDescent="0.25">
      <c r="A66" s="5" t="s">
        <v>12</v>
      </c>
      <c r="B66" s="42">
        <v>9.9143945152060597E-2</v>
      </c>
      <c r="C66" s="42">
        <v>0.12535086320927399</v>
      </c>
      <c r="D66" s="42">
        <v>8.9326261366187695E-2</v>
      </c>
      <c r="E66" s="43">
        <v>-0.54160608613664096</v>
      </c>
      <c r="F66" s="15">
        <v>1.0182769682576838</v>
      </c>
      <c r="G66" s="15">
        <v>1.1385255280790201</v>
      </c>
      <c r="H66" s="15">
        <v>0.25</v>
      </c>
      <c r="I66" s="15">
        <v>0.88852552807902296</v>
      </c>
      <c r="J66" s="15">
        <f t="shared" ref="J66" si="8">H66-I66</f>
        <v>-0.63852552807902296</v>
      </c>
      <c r="K66" s="15">
        <f t="shared" si="1"/>
        <v>0.2195822525137518</v>
      </c>
      <c r="L66" s="15">
        <f t="shared" si="2"/>
        <v>0.7804177474862507</v>
      </c>
      <c r="AU66" s="59"/>
      <c r="AV66" s="59" t="s">
        <v>78</v>
      </c>
      <c r="AW66" s="59" t="s">
        <v>66</v>
      </c>
      <c r="AX66" s="59" t="s">
        <v>79</v>
      </c>
      <c r="AY66" s="59" t="s">
        <v>80</v>
      </c>
      <c r="AZ66" s="59" t="s">
        <v>81</v>
      </c>
      <c r="BA66" s="59" t="s">
        <v>82</v>
      </c>
      <c r="BB66" s="59" t="s">
        <v>83</v>
      </c>
      <c r="BC66" s="59" t="s">
        <v>84</v>
      </c>
      <c r="BE66" s="59"/>
      <c r="BF66" s="59" t="s">
        <v>78</v>
      </c>
      <c r="BG66" s="59" t="s">
        <v>66</v>
      </c>
      <c r="BH66" s="59" t="s">
        <v>79</v>
      </c>
      <c r="BI66" s="59" t="s">
        <v>80</v>
      </c>
      <c r="BJ66" s="59" t="s">
        <v>81</v>
      </c>
      <c r="BK66" s="59" t="s">
        <v>82</v>
      </c>
      <c r="BL66" s="59" t="s">
        <v>83</v>
      </c>
      <c r="BM66" s="59" t="s">
        <v>84</v>
      </c>
    </row>
    <row r="67" spans="1:65" x14ac:dyDescent="0.25">
      <c r="A67" s="5"/>
      <c r="B67" s="42"/>
      <c r="C67" s="42"/>
      <c r="D67" s="42"/>
      <c r="E67" s="42"/>
      <c r="F67" s="15"/>
      <c r="G67" s="15"/>
      <c r="H67" s="15"/>
      <c r="I67" s="15"/>
      <c r="J67" s="15"/>
      <c r="K67" s="15"/>
      <c r="L67" s="15"/>
      <c r="AU67" s="57" t="s">
        <v>72</v>
      </c>
      <c r="AV67" s="57">
        <v>-0.34427100381066833</v>
      </c>
      <c r="AW67" s="57">
        <v>0.50469772012275127</v>
      </c>
      <c r="AX67" s="57">
        <v>-0.68213306714945265</v>
      </c>
      <c r="AY67" s="57">
        <v>0.52546604369753491</v>
      </c>
      <c r="AZ67" s="57">
        <v>-1.6416377956452735</v>
      </c>
      <c r="BA67" s="57">
        <v>0.95309578802393691</v>
      </c>
      <c r="BB67" s="57">
        <v>-1.6416377956452735</v>
      </c>
      <c r="BC67" s="57">
        <v>0.95309578802393691</v>
      </c>
      <c r="BE67" s="57" t="s">
        <v>72</v>
      </c>
      <c r="BF67" s="57">
        <v>-9.4708211457584887E-2</v>
      </c>
      <c r="BG67" s="57">
        <v>0.20485241003291796</v>
      </c>
      <c r="BH67" s="57">
        <v>-0.46232412614704471</v>
      </c>
      <c r="BI67" s="57">
        <v>0.66326983313502086</v>
      </c>
      <c r="BJ67" s="57">
        <v>-0.62129809567452621</v>
      </c>
      <c r="BK67" s="57">
        <v>0.43188167275935641</v>
      </c>
      <c r="BL67" s="57">
        <v>-0.62129809567452621</v>
      </c>
      <c r="BM67" s="57">
        <v>0.43188167275935641</v>
      </c>
    </row>
    <row r="68" spans="1:65" x14ac:dyDescent="0.25">
      <c r="A68" s="5"/>
      <c r="B68" s="43"/>
      <c r="C68" s="43"/>
      <c r="D68" s="42"/>
      <c r="E68" s="42"/>
      <c r="F68" s="15"/>
      <c r="G68" s="15"/>
      <c r="H68" s="15"/>
      <c r="I68" s="15"/>
      <c r="J68" s="15"/>
      <c r="K68" s="15"/>
      <c r="L68" s="15"/>
      <c r="AU68" s="57" t="s">
        <v>53</v>
      </c>
      <c r="AV68" s="57">
        <v>0.40847004173905255</v>
      </c>
      <c r="AW68" s="57">
        <v>0.47326188601700947</v>
      </c>
      <c r="AX68" s="57">
        <v>0.86309515684170635</v>
      </c>
      <c r="AY68" s="57">
        <v>0.42753570788814504</v>
      </c>
      <c r="AZ68" s="57">
        <v>-0.80808836595525624</v>
      </c>
      <c r="BA68" s="57">
        <v>1.6250284494333613</v>
      </c>
      <c r="BB68" s="57">
        <v>-0.80808836595525624</v>
      </c>
      <c r="BC68" s="57">
        <v>1.6250284494333613</v>
      </c>
      <c r="BE68" s="57" t="s">
        <v>53</v>
      </c>
      <c r="BF68" s="57">
        <v>0.21045782740290936</v>
      </c>
      <c r="BG68" s="57">
        <v>0.19454465740517926</v>
      </c>
      <c r="BH68" s="57">
        <v>1.0817970033717639</v>
      </c>
      <c r="BI68" s="57">
        <v>0.32873424179523353</v>
      </c>
      <c r="BJ68" s="57">
        <v>-0.28963513514293443</v>
      </c>
      <c r="BK68" s="57">
        <v>0.71055078994875309</v>
      </c>
      <c r="BL68" s="57">
        <v>-0.28963513514293443</v>
      </c>
      <c r="BM68" s="57">
        <v>0.71055078994875309</v>
      </c>
    </row>
    <row r="69" spans="1:65" ht="15.75" thickBot="1" x14ac:dyDescent="0.3">
      <c r="A69" s="5" t="s">
        <v>23</v>
      </c>
      <c r="B69" s="44"/>
      <c r="C69" s="44"/>
      <c r="D69" s="42">
        <v>0.11077055296162799</v>
      </c>
      <c r="E69" s="44"/>
      <c r="F69" s="15">
        <v>1.0078290838208943</v>
      </c>
      <c r="G69" s="15">
        <v>2.4954469283408098</v>
      </c>
      <c r="H69" s="15">
        <v>1.8447691432308699</v>
      </c>
      <c r="I69" s="15">
        <v>0.650677785109948</v>
      </c>
      <c r="J69" s="15">
        <v>1.194091358120922</v>
      </c>
      <c r="K69" s="15">
        <f t="shared" ref="K68:K74" si="9">H69/G69</f>
        <v>0.73925400788123874</v>
      </c>
      <c r="L69" s="15">
        <f t="shared" ref="L68:L74" si="10">I69/G69</f>
        <v>0.26074599211876454</v>
      </c>
      <c r="AU69" s="58" t="s">
        <v>110</v>
      </c>
      <c r="AV69" s="58">
        <v>-2.0619490782120059E-3</v>
      </c>
      <c r="AW69" s="58">
        <v>3.3434110009903208E-3</v>
      </c>
      <c r="AX69" s="58">
        <v>-0.61672019312051529</v>
      </c>
      <c r="AY69" s="58">
        <v>0.56441403584072081</v>
      </c>
      <c r="AZ69" s="58">
        <v>-1.0656460666424353E-2</v>
      </c>
      <c r="BA69" s="58">
        <v>6.5325625100003419E-3</v>
      </c>
      <c r="BB69" s="58">
        <v>-1.0656460666424353E-2</v>
      </c>
      <c r="BC69" s="58">
        <v>6.5325625100003419E-3</v>
      </c>
      <c r="BE69" s="58" t="s">
        <v>110</v>
      </c>
      <c r="BF69" s="58">
        <v>-2.2840044386329785E-3</v>
      </c>
      <c r="BG69" s="58">
        <v>1.3832806289765121E-3</v>
      </c>
      <c r="BH69" s="58">
        <v>-1.6511504540643434</v>
      </c>
      <c r="BI69" s="58">
        <v>0.15961887275832759</v>
      </c>
      <c r="BJ69" s="58">
        <v>-5.839840497067577E-3</v>
      </c>
      <c r="BK69" s="58">
        <v>1.2718316198016204E-3</v>
      </c>
      <c r="BL69" s="58">
        <v>-5.839840497067577E-3</v>
      </c>
      <c r="BM69" s="58">
        <v>1.2718316198016204E-3</v>
      </c>
    </row>
    <row r="70" spans="1:65" x14ac:dyDescent="0.25">
      <c r="A70" s="5" t="s">
        <v>26</v>
      </c>
      <c r="B70" s="42">
        <v>8.8732929175135894E-2</v>
      </c>
      <c r="C70" s="44"/>
      <c r="D70" s="42">
        <v>0.15621819275209001</v>
      </c>
      <c r="E70" s="42">
        <v>1.20306787922476E-2</v>
      </c>
      <c r="F70" s="15">
        <v>1.0119508062412015</v>
      </c>
      <c r="G70" s="15">
        <v>8.1761484496582497</v>
      </c>
      <c r="H70" s="15">
        <v>3.1258759015031101</v>
      </c>
      <c r="I70" s="15">
        <v>5.0502725481551298</v>
      </c>
      <c r="J70" s="15">
        <v>-1.9243966466520197</v>
      </c>
      <c r="K70" s="15">
        <f t="shared" si="9"/>
        <v>0.3823164318443566</v>
      </c>
      <c r="L70" s="15">
        <f t="shared" si="10"/>
        <v>0.61768356815564218</v>
      </c>
    </row>
    <row r="71" spans="1:65" x14ac:dyDescent="0.25">
      <c r="A71" s="5" t="s">
        <v>28</v>
      </c>
      <c r="B71" s="42">
        <v>0.10415722716452799</v>
      </c>
      <c r="C71" s="44"/>
      <c r="D71" s="42">
        <v>5.5397551503622099E-2</v>
      </c>
      <c r="E71" s="42">
        <v>2.8615745110634201E-2</v>
      </c>
      <c r="F71" s="15">
        <v>1.0239451393319936</v>
      </c>
      <c r="G71" s="15">
        <v>19.594840851392899</v>
      </c>
      <c r="H71" s="15">
        <v>5.5209579590505999</v>
      </c>
      <c r="I71" s="15">
        <v>14.073882892342301</v>
      </c>
      <c r="J71" s="15">
        <v>-8.5529249332917008</v>
      </c>
      <c r="K71" s="15">
        <f t="shared" si="9"/>
        <v>0.28175569278268175</v>
      </c>
      <c r="L71" s="15">
        <f t="shared" si="10"/>
        <v>0.71824430721731836</v>
      </c>
      <c r="AU71" t="s">
        <v>61</v>
      </c>
      <c r="BE71" t="s">
        <v>61</v>
      </c>
    </row>
    <row r="72" spans="1:65" ht="15.75" thickBot="1" x14ac:dyDescent="0.3">
      <c r="A72" s="5" t="s">
        <v>29</v>
      </c>
      <c r="B72" s="42">
        <v>4.66251429291673E-2</v>
      </c>
      <c r="C72" s="44"/>
      <c r="D72" s="42">
        <v>6.9883057908481996E-2</v>
      </c>
      <c r="E72" s="42">
        <v>4.4113621235337297E-2</v>
      </c>
      <c r="F72" s="15">
        <v>1.0275460447393339</v>
      </c>
      <c r="G72" s="15">
        <v>17.2552427011953</v>
      </c>
      <c r="H72" s="15">
        <v>5.1821136906510699</v>
      </c>
      <c r="I72" s="15">
        <v>12.0731290105442</v>
      </c>
      <c r="J72" s="15">
        <v>-6.8910153198931301</v>
      </c>
      <c r="K72" s="15">
        <f t="shared" si="9"/>
        <v>0.30032111285760682</v>
      </c>
      <c r="L72" s="15">
        <f t="shared" si="10"/>
        <v>0.69967888714239146</v>
      </c>
    </row>
    <row r="73" spans="1:65" x14ac:dyDescent="0.25">
      <c r="A73" s="5" t="s">
        <v>30</v>
      </c>
      <c r="B73" s="42">
        <v>9.0894558490112708E-3</v>
      </c>
      <c r="C73" s="44"/>
      <c r="D73" s="42">
        <v>7.8645648239850305E-2</v>
      </c>
      <c r="E73" s="43">
        <v>-8.0536265843332393E-3</v>
      </c>
      <c r="F73" s="15">
        <v>1.0275826446035865</v>
      </c>
      <c r="G73" s="15">
        <v>17.024424898784201</v>
      </c>
      <c r="H73" s="15">
        <v>6.3491431999578403</v>
      </c>
      <c r="I73" s="15">
        <v>10.675281698826399</v>
      </c>
      <c r="J73" s="15">
        <v>-4.3261384988685592</v>
      </c>
      <c r="K73" s="15">
        <f t="shared" si="9"/>
        <v>0.37294318238093693</v>
      </c>
      <c r="L73" s="15">
        <f t="shared" si="10"/>
        <v>0.62705681761906529</v>
      </c>
      <c r="AU73" s="60" t="s">
        <v>62</v>
      </c>
      <c r="AV73" s="60"/>
      <c r="BE73" s="60" t="s">
        <v>62</v>
      </c>
      <c r="BF73" s="60"/>
    </row>
    <row r="74" spans="1:65" x14ac:dyDescent="0.25">
      <c r="A74" s="5" t="s">
        <v>33</v>
      </c>
      <c r="B74" s="42">
        <v>2.0373962034653699E-2</v>
      </c>
      <c r="C74" s="44"/>
      <c r="D74" s="42">
        <v>0.101236914763633</v>
      </c>
      <c r="E74" s="42">
        <v>2.7450804091866201E-2</v>
      </c>
      <c r="F74" s="15">
        <v>1.111235100018195</v>
      </c>
      <c r="G74" s="15">
        <v>21.9579587943592</v>
      </c>
      <c r="H74" s="15">
        <v>7.2579587943592401</v>
      </c>
      <c r="I74" s="15">
        <v>14.7</v>
      </c>
      <c r="J74" s="15">
        <v>-7.4420412056407592</v>
      </c>
      <c r="K74" s="15">
        <f t="shared" si="9"/>
        <v>0.33053886576304825</v>
      </c>
      <c r="L74" s="15">
        <f t="shared" si="10"/>
        <v>0.66946113423695353</v>
      </c>
      <c r="AU74" s="57" t="s">
        <v>63</v>
      </c>
      <c r="AV74" s="57">
        <v>0.79253099186279474</v>
      </c>
      <c r="BE74" s="57" t="s">
        <v>63</v>
      </c>
      <c r="BF74" s="57">
        <v>0.68631917576320489</v>
      </c>
    </row>
    <row r="75" spans="1:65" x14ac:dyDescent="0.25">
      <c r="AU75" s="57" t="s">
        <v>64</v>
      </c>
      <c r="AV75" s="57">
        <v>0.62810537306302516</v>
      </c>
      <c r="BE75" s="57" t="s">
        <v>64</v>
      </c>
      <c r="BF75" s="57">
        <v>0.47103401102028486</v>
      </c>
    </row>
    <row r="76" spans="1:65" x14ac:dyDescent="0.25">
      <c r="AU76" s="57" t="s">
        <v>65</v>
      </c>
      <c r="AV76" s="57">
        <v>0.34918440286029395</v>
      </c>
      <c r="BE76" s="57" t="s">
        <v>65</v>
      </c>
      <c r="BF76" s="57">
        <v>7.430951928549856E-2</v>
      </c>
    </row>
    <row r="77" spans="1:65" x14ac:dyDescent="0.25">
      <c r="AU77" s="57" t="s">
        <v>66</v>
      </c>
      <c r="AV77" s="57">
        <v>5.4443239265802176E-2</v>
      </c>
      <c r="BE77" s="57" t="s">
        <v>66</v>
      </c>
      <c r="BF77" s="57">
        <v>3.3192853866408002E-2</v>
      </c>
    </row>
    <row r="78" spans="1:65" ht="15.75" thickBot="1" x14ac:dyDescent="0.3">
      <c r="AU78" s="58" t="s">
        <v>67</v>
      </c>
      <c r="AV78" s="58">
        <v>8</v>
      </c>
      <c r="BE78" s="58" t="s">
        <v>67</v>
      </c>
      <c r="BF78" s="58">
        <v>8</v>
      </c>
    </row>
    <row r="80" spans="1:65" ht="15.75" thickBot="1" x14ac:dyDescent="0.3">
      <c r="AU80" t="s">
        <v>68</v>
      </c>
      <c r="BE80" t="s">
        <v>68</v>
      </c>
    </row>
    <row r="81" spans="47:65" x14ac:dyDescent="0.25">
      <c r="AU81" s="59"/>
      <c r="AV81" s="59" t="s">
        <v>73</v>
      </c>
      <c r="AW81" s="59" t="s">
        <v>74</v>
      </c>
      <c r="AX81" s="59" t="s">
        <v>75</v>
      </c>
      <c r="AY81" s="59" t="s">
        <v>76</v>
      </c>
      <c r="AZ81" s="59" t="s">
        <v>77</v>
      </c>
      <c r="BE81" s="59"/>
      <c r="BF81" s="59" t="s">
        <v>73</v>
      </c>
      <c r="BG81" s="59" t="s">
        <v>74</v>
      </c>
      <c r="BH81" s="59" t="s">
        <v>75</v>
      </c>
      <c r="BI81" s="59" t="s">
        <v>76</v>
      </c>
      <c r="BJ81" s="59" t="s">
        <v>77</v>
      </c>
    </row>
    <row r="82" spans="47:65" x14ac:dyDescent="0.25">
      <c r="AU82" s="57" t="s">
        <v>69</v>
      </c>
      <c r="AV82" s="57">
        <v>3</v>
      </c>
      <c r="AW82" s="57">
        <v>2.0024446016660105E-2</v>
      </c>
      <c r="AX82" s="57">
        <v>6.6748153388867014E-3</v>
      </c>
      <c r="AY82" s="57">
        <v>2.2519116171383335</v>
      </c>
      <c r="AZ82" s="57">
        <v>0.22451722698383442</v>
      </c>
      <c r="BE82" s="57" t="s">
        <v>69</v>
      </c>
      <c r="BF82" s="57">
        <v>3</v>
      </c>
      <c r="BG82" s="57">
        <v>3.9244038822507385E-3</v>
      </c>
      <c r="BH82" s="57">
        <v>1.3081346274169128E-3</v>
      </c>
      <c r="BI82" s="57">
        <v>1.1873076173355464</v>
      </c>
      <c r="BJ82" s="57">
        <v>0.42021439692985374</v>
      </c>
    </row>
    <row r="83" spans="47:65" x14ac:dyDescent="0.25">
      <c r="AU83" s="57" t="s">
        <v>70</v>
      </c>
      <c r="AV83" s="57">
        <v>4</v>
      </c>
      <c r="AW83" s="57">
        <v>1.1856265207013534E-2</v>
      </c>
      <c r="AX83" s="57">
        <v>2.9640663017533836E-3</v>
      </c>
      <c r="AY83" s="57"/>
      <c r="AZ83" s="57"/>
      <c r="BE83" s="57" t="s">
        <v>70</v>
      </c>
      <c r="BF83" s="57">
        <v>4</v>
      </c>
      <c r="BG83" s="57">
        <v>4.4070621911868673E-3</v>
      </c>
      <c r="BH83" s="57">
        <v>1.1017655477967168E-3</v>
      </c>
      <c r="BI83" s="57"/>
      <c r="BJ83" s="57"/>
    </row>
    <row r="84" spans="47:65" ht="15.75" thickBot="1" x14ac:dyDescent="0.3">
      <c r="AU84" s="58" t="s">
        <v>71</v>
      </c>
      <c r="AV84" s="58">
        <v>7</v>
      </c>
      <c r="AW84" s="58">
        <v>3.1880711223673641E-2</v>
      </c>
      <c r="AX84" s="58"/>
      <c r="AY84" s="58"/>
      <c r="AZ84" s="58"/>
      <c r="BE84" s="58" t="s">
        <v>71</v>
      </c>
      <c r="BF84" s="58">
        <v>7</v>
      </c>
      <c r="BG84" s="58">
        <v>8.3314660734376059E-3</v>
      </c>
      <c r="BH84" s="58"/>
      <c r="BI84" s="58"/>
      <c r="BJ84" s="58"/>
    </row>
    <row r="85" spans="47:65" ht="15.75" thickBot="1" x14ac:dyDescent="0.3"/>
    <row r="86" spans="47:65" x14ac:dyDescent="0.25">
      <c r="AU86" s="59"/>
      <c r="AV86" s="59" t="s">
        <v>78</v>
      </c>
      <c r="AW86" s="59" t="s">
        <v>66</v>
      </c>
      <c r="AX86" s="59" t="s">
        <v>79</v>
      </c>
      <c r="AY86" s="59" t="s">
        <v>80</v>
      </c>
      <c r="AZ86" s="59" t="s">
        <v>81</v>
      </c>
      <c r="BA86" s="59" t="s">
        <v>82</v>
      </c>
      <c r="BB86" s="59" t="s">
        <v>83</v>
      </c>
      <c r="BC86" s="59" t="s">
        <v>84</v>
      </c>
      <c r="BE86" s="59"/>
      <c r="BF86" s="59" t="s">
        <v>78</v>
      </c>
      <c r="BG86" s="59" t="s">
        <v>66</v>
      </c>
      <c r="BH86" s="59" t="s">
        <v>79</v>
      </c>
      <c r="BI86" s="59" t="s">
        <v>80</v>
      </c>
      <c r="BJ86" s="59" t="s">
        <v>81</v>
      </c>
      <c r="BK86" s="59" t="s">
        <v>82</v>
      </c>
      <c r="BL86" s="59" t="s">
        <v>83</v>
      </c>
      <c r="BM86" s="59" t="s">
        <v>84</v>
      </c>
    </row>
    <row r="87" spans="47:65" x14ac:dyDescent="0.25">
      <c r="AU87" s="57" t="s">
        <v>72</v>
      </c>
      <c r="AV87" s="57">
        <v>-0.7147990862614696</v>
      </c>
      <c r="AW87" s="57">
        <v>0.4206536587330521</v>
      </c>
      <c r="AX87" s="57">
        <v>-1.6992579796270901</v>
      </c>
      <c r="AY87" s="57">
        <v>0.16449792209734038</v>
      </c>
      <c r="AZ87" s="57">
        <v>-1.8827208780343949</v>
      </c>
      <c r="BA87" s="57">
        <v>0.45312270551145584</v>
      </c>
      <c r="BB87" s="57">
        <v>-1.8827208780343949</v>
      </c>
      <c r="BC87" s="57">
        <v>0.45312270551145584</v>
      </c>
      <c r="BE87" s="57" t="s">
        <v>72</v>
      </c>
      <c r="BF87" s="57">
        <v>-0.10061421919316009</v>
      </c>
      <c r="BG87" s="57">
        <v>0.22143810189152974</v>
      </c>
      <c r="BH87" s="57">
        <v>-0.45436724002649476</v>
      </c>
      <c r="BI87" s="57">
        <v>0.67312876006507094</v>
      </c>
      <c r="BJ87" s="57">
        <v>-0.71542495329418798</v>
      </c>
      <c r="BK87" s="57">
        <v>0.51419651490786789</v>
      </c>
      <c r="BL87" s="57">
        <v>-0.71542495329418798</v>
      </c>
      <c r="BM87" s="57">
        <v>0.51419651490786789</v>
      </c>
    </row>
    <row r="88" spans="47:65" x14ac:dyDescent="0.25">
      <c r="AU88" s="57" t="s">
        <v>53</v>
      </c>
      <c r="AV88" s="57">
        <v>0.39320951449480096</v>
      </c>
      <c r="AW88" s="57">
        <v>0.36005096209178516</v>
      </c>
      <c r="AX88" s="57">
        <v>1.0920940530484207</v>
      </c>
      <c r="AY88" s="57">
        <v>0.33615891114700291</v>
      </c>
      <c r="AZ88" s="57">
        <v>-0.60645221682669215</v>
      </c>
      <c r="BA88" s="57">
        <v>1.3928712458162942</v>
      </c>
      <c r="BB88" s="57">
        <v>-0.60645221682669215</v>
      </c>
      <c r="BC88" s="57">
        <v>1.3928712458162942</v>
      </c>
      <c r="BE88" s="57" t="s">
        <v>53</v>
      </c>
      <c r="BF88" s="57">
        <v>0.24107765911760196</v>
      </c>
      <c r="BG88" s="57">
        <v>0.21760813416568786</v>
      </c>
      <c r="BH88" s="57">
        <v>1.1078522411025513</v>
      </c>
      <c r="BI88" s="57">
        <v>0.33005457808252447</v>
      </c>
      <c r="BJ88" s="57">
        <v>-0.36309937983794682</v>
      </c>
      <c r="BK88" s="57">
        <v>0.84525469807315068</v>
      </c>
      <c r="BL88" s="57">
        <v>-0.36309937983794682</v>
      </c>
      <c r="BM88" s="57">
        <v>0.84525469807315068</v>
      </c>
    </row>
    <row r="89" spans="47:65" x14ac:dyDescent="0.25">
      <c r="AU89" s="57" t="s">
        <v>110</v>
      </c>
      <c r="AV89" s="57">
        <v>-2.3410659806415608E-3</v>
      </c>
      <c r="AW89" s="57">
        <v>2.5464251930443142E-3</v>
      </c>
      <c r="AX89" s="57">
        <v>-0.91935391899055108</v>
      </c>
      <c r="AY89" s="57">
        <v>0.40993414420873503</v>
      </c>
      <c r="AZ89" s="57">
        <v>-9.411075743621794E-3</v>
      </c>
      <c r="BA89" s="57">
        <v>4.7289437823386715E-3</v>
      </c>
      <c r="BB89" s="57">
        <v>-9.411075743621794E-3</v>
      </c>
      <c r="BC89" s="57">
        <v>4.7289437823386715E-3</v>
      </c>
      <c r="BE89" s="57" t="s">
        <v>110</v>
      </c>
      <c r="BF89" s="57">
        <v>-2.0184934472748783E-3</v>
      </c>
      <c r="BG89" s="57">
        <v>1.5728305796367025E-3</v>
      </c>
      <c r="BH89" s="57">
        <v>-1.2833508410938428</v>
      </c>
      <c r="BI89" s="57">
        <v>0.26867498275780705</v>
      </c>
      <c r="BJ89" s="57">
        <v>-6.3853712114126087E-3</v>
      </c>
      <c r="BK89" s="57">
        <v>2.3483843168628522E-3</v>
      </c>
      <c r="BL89" s="57">
        <v>-6.3853712114126087E-3</v>
      </c>
      <c r="BM89" s="57">
        <v>2.3483843168628522E-3</v>
      </c>
    </row>
    <row r="90" spans="47:65" ht="15.75" thickBot="1" x14ac:dyDescent="0.3">
      <c r="AU90" s="58" t="s">
        <v>124</v>
      </c>
      <c r="AV90" s="58">
        <v>0.58539984072895723</v>
      </c>
      <c r="AW90" s="58">
        <v>0.27170711124774211</v>
      </c>
      <c r="AX90" s="58">
        <v>2.1545252829072647</v>
      </c>
      <c r="AY90" s="58">
        <v>9.7485525768702716E-2</v>
      </c>
      <c r="AZ90" s="58">
        <v>-0.16898003834226871</v>
      </c>
      <c r="BA90" s="58">
        <v>1.3397797198001831</v>
      </c>
      <c r="BB90" s="58">
        <v>-0.16898003834226871</v>
      </c>
      <c r="BC90" s="58">
        <v>1.3397797198001831</v>
      </c>
      <c r="BE90" s="58" t="s">
        <v>124</v>
      </c>
      <c r="BF90" s="58">
        <v>-4.6308260071673685E-2</v>
      </c>
      <c r="BG90" s="58">
        <v>8.6053429330613676E-2</v>
      </c>
      <c r="BH90" s="58">
        <v>-0.5381338132819703</v>
      </c>
      <c r="BI90" s="58">
        <v>0.61903146598019998</v>
      </c>
      <c r="BJ90" s="58">
        <v>-0.28523088272214026</v>
      </c>
      <c r="BK90" s="58">
        <v>0.19261436257879289</v>
      </c>
      <c r="BL90" s="58">
        <v>-0.28523088272214026</v>
      </c>
      <c r="BM90" s="58">
        <v>0.19261436257879289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all_data</vt:lpstr>
      <vt:lpstr>downstream</vt:lpstr>
      <vt:lpstr>upstream</vt:lpstr>
      <vt:lpstr>relationships with tauc</vt:lpstr>
      <vt:lpstr>tau correlations</vt:lpstr>
      <vt:lpstr>tauc correlations (no st7)</vt:lpstr>
      <vt:lpstr>tauc correlations - no 0 (st4)</vt:lpstr>
      <vt:lpstr>tauc correlations (no st4-7)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2015-06-05T18:17:20Z</dcterms:created>
  <dcterms:modified xsi:type="dcterms:W3CDTF">2026-07-01T22:18:07Z</dcterms:modified>
</cp:coreProperties>
</file>