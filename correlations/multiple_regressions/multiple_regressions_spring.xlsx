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hysteresis\correlations\multiple_regressions\"/>
    </mc:Choice>
  </mc:AlternateContent>
  <xr:revisionPtr revIDLastSave="0" documentId="13_ncr:1_{448781E8-BA2F-4C6F-AAF0-B356633163C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ll" sheetId="1" r:id="rId1"/>
    <sheet name="downstream" sheetId="4" r:id="rId2"/>
    <sheet name="upstream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<sst xmlns="http://schemas.openxmlformats.org/spreadsheetml/2006/main" count="1263" uniqueCount="69">
  <si>
    <t>SSC (mg/L)</t>
  </si>
  <si>
    <t>Event</t>
  </si>
  <si>
    <t>Langlois (2005)</t>
  </si>
  <si>
    <t>Lawler (2006)</t>
  </si>
  <si>
    <t xml:space="preserve">Aich (2014) </t>
  </si>
  <si>
    <t>Event_1</t>
  </si>
  <si>
    <t>Event_2</t>
  </si>
  <si>
    <t>Event_3</t>
  </si>
  <si>
    <t>Event_4</t>
  </si>
  <si>
    <t>Event_5</t>
  </si>
  <si>
    <t>Event_6</t>
  </si>
  <si>
    <t>Event_7</t>
  </si>
  <si>
    <t>Event_8</t>
  </si>
  <si>
    <t>Event_9</t>
  </si>
  <si>
    <t>Event_10</t>
  </si>
  <si>
    <t>Event_11</t>
  </si>
  <si>
    <t>Event_12</t>
  </si>
  <si>
    <t>Event_13</t>
  </si>
  <si>
    <t>Event_14</t>
  </si>
  <si>
    <t>DOC (mg/L)</t>
  </si>
  <si>
    <t>Turnidity NTU</t>
  </si>
  <si>
    <t>fDOM RFU</t>
  </si>
  <si>
    <t>D</t>
  </si>
  <si>
    <t>U</t>
  </si>
  <si>
    <t>Peak concentration (NTU)</t>
  </si>
  <si>
    <t>Time between events τc exceedance (hrs)</t>
  </si>
  <si>
    <t>τc50</t>
  </si>
  <si>
    <t>Dmax</t>
  </si>
  <si>
    <t>τpeak / τc</t>
  </si>
  <si>
    <t>Excess Integral</t>
  </si>
  <si>
    <t>Excess Balance</t>
  </si>
  <si>
    <t>Time τ &gt; τc (hrs)</t>
  </si>
  <si>
    <t>Time between events (no τc exceedance) (hrs)</t>
  </si>
  <si>
    <t xml:space="preserve">Aich SSC </t>
  </si>
  <si>
    <t xml:space="preserve">Aich DOC </t>
  </si>
  <si>
    <t>Aich Turbidity</t>
  </si>
  <si>
    <t>Aich fDOM</t>
  </si>
  <si>
    <t>Time between τc events  (hrs)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</si>
  <si>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</si>
  <si>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</si>
  <si>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</si>
  <si>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</si>
  <si>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</si>
  <si>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</si>
  <si>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</si>
  <si>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</si>
  <si>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</si>
  <si>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</si>
  <si>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</si>
  <si>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</si>
  <si>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</si>
  <si>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</si>
  <si>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</si>
  <si>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</si>
  <si>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</si>
  <si>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</si>
  <si>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</si>
  <si>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</si>
  <si>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</si>
  <si>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</si>
  <si>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</si>
  <si>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Multiple Regression for SSC Aich HI - Three Variables</t>
  </si>
  <si>
    <t>Multiple Regression for SSC Aich HI - Two Variables</t>
  </si>
  <si>
    <t>Multiple Regression for DOC Aich HI - Three Variables</t>
  </si>
  <si>
    <t>Multiple Regression for DOC Aich HI - Two Variables</t>
  </si>
  <si>
    <t>Multiple Regression for Turbidity Aich HI - Three Variables</t>
  </si>
  <si>
    <t>Multiple Regression for Turbidity Aich HI - Two Variables</t>
  </si>
  <si>
    <t>Multiple Regression for fDOM Aich HI - Three Variables</t>
  </si>
  <si>
    <t>Multiple Regression for fDOM Aich HI - Two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</si>
</sst>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A02B9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5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2" fillId="0" borderId="1" xfId="0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166" fontId="0" fillId="2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Continuous"/>
    </xf>
    <xf numFmtId="0" fontId="0" fillId="4" borderId="0" xfId="0" applyFill="1"/>
    <xf numFmtId="0" fontId="0" fillId="4" borderId="2" xfId="0" applyFill="1" applyBorder="1"/>
    <xf numFmtId="0" fontId="4" fillId="4" borderId="4" xfId="0" applyFont="1" applyFill="1" applyBorder="1" applyAlignment="1">
      <alignment horizontal="center"/>
    </xf>
    <xf numFmtId="0" fontId="0" fillId="4" borderId="7" xfId="0" applyFill="1" applyBorder="1"/>
    <xf numFmtId="0" fontId="0" fillId="4" borderId="8" xfId="0" applyFill="1" applyBorder="1"/>
    <xf numFmtId="0" fontId="4" fillId="4" borderId="9" xfId="0" applyFont="1" applyFill="1" applyBorder="1" applyAlignment="1">
      <alignment horizontal="centerContinuous"/>
    </xf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4" fillId="4" borderId="9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0" fillId="4" borderId="14" xfId="0" applyFill="1" applyBorder="1"/>
    <xf numFmtId="0" fontId="0" fillId="4" borderId="1" xfId="0" applyFill="1" applyBorder="1"/>
    <xf numFmtId="0" fontId="0" fillId="4" borderId="15" xfId="0" applyFill="1" applyBorder="1"/>
    <xf numFmtId="0" fontId="0" fillId="6" borderId="0" xfId="0" applyFill="1"/>
    <xf numFmtId="0" fontId="4" fillId="7" borderId="4" xfId="0" applyFont="1" applyFill="1" applyBorder="1" applyAlignment="1">
      <alignment horizontal="centerContinuous"/>
    </xf>
    <xf numFmtId="0" fontId="0" fillId="7" borderId="0" xfId="0" applyFill="1"/>
    <xf numFmtId="0" fontId="0" fillId="7" borderId="2" xfId="0" applyFill="1" applyBorder="1"/>
    <xf numFmtId="0" fontId="4" fillId="7" borderId="4" xfId="0" applyFont="1" applyFill="1" applyBorder="1" applyAlignment="1">
      <alignment horizontal="center"/>
    </xf>
    <xf numFmtId="0" fontId="0" fillId="0" borderId="1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4" fillId="7" borderId="9" xfId="0" applyFont="1" applyFill="1" applyBorder="1" applyAlignment="1">
      <alignment horizontal="centerContinuous"/>
    </xf>
    <xf numFmtId="0" fontId="0" fillId="7" borderId="11" xfId="0" applyFill="1" applyBorder="1"/>
    <xf numFmtId="0" fontId="0" fillId="7" borderId="12" xfId="0" applyFill="1" applyBorder="1"/>
    <xf numFmtId="0" fontId="4" fillId="7" borderId="9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4" fillId="2" borderId="4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0" fontId="0" fillId="2" borderId="0" xfId="0" applyFill="1"/>
    <xf numFmtId="0" fontId="0" fillId="2" borderId="2" xfId="0" applyFill="1" applyBorder="1"/>
    <xf numFmtId="0" fontId="4" fillId="3" borderId="4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2" xfId="0" applyFill="1" applyBorder="1"/>
    <xf numFmtId="0" fontId="1" fillId="10" borderId="5" xfId="0" applyFont="1" applyFill="1" applyBorder="1" applyAlignment="1">
      <alignment horizontal="left"/>
    </xf>
    <xf numFmtId="0" fontId="1" fillId="10" borderId="3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10" borderId="5" xfId="0" applyFont="1" applyFill="1" applyBorder="1"/>
    <xf numFmtId="0" fontId="1" fillId="10" borderId="3" xfId="0" applyFont="1" applyFill="1" applyBorder="1" applyAlignment="1">
      <alignment horizontal="left"/>
    </xf>
    <xf numFmtId="0" fontId="1" fillId="10" borderId="6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centerContinuous"/>
    </xf>
    <xf numFmtId="0" fontId="4" fillId="2" borderId="4" xfId="0" applyFont="1" applyFill="1" applyBorder="1" applyAlignment="1">
      <alignment horizontal="centerContinuous"/>
    </xf>
    <xf numFmtId="0" fontId="0" fillId="2" borderId="10" xfId="0" applyFill="1" applyBorder="1"/>
    <xf numFmtId="0" fontId="4" fillId="2" borderId="13" xfId="0" applyFont="1" applyFill="1" applyBorder="1" applyAlignment="1">
      <alignment horizontal="center"/>
    </xf>
    <xf numFmtId="0" fontId="0" fillId="3" borderId="10" xfId="0" applyFill="1" applyBorder="1"/>
    <xf numFmtId="0" fontId="4" fillId="3" borderId="13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Continuous"/>
    </xf>
    <xf numFmtId="0" fontId="0" fillId="2" borderId="11" xfId="0" applyFill="1" applyBorder="1"/>
    <xf numFmtId="0" fontId="0" fillId="2" borderId="12" xfId="0" applyFill="1" applyBorder="1"/>
    <xf numFmtId="0" fontId="4" fillId="2" borderId="9" xfId="0" applyFont="1" applyFill="1" applyBorder="1" applyAlignment="1">
      <alignment horizontal="center"/>
    </xf>
    <xf numFmtId="0" fontId="0" fillId="2" borderId="14" xfId="0" applyFill="1" applyBorder="1"/>
    <xf numFmtId="0" fontId="0" fillId="2" borderId="1" xfId="0" applyFill="1" applyBorder="1"/>
    <xf numFmtId="0" fontId="0" fillId="2" borderId="15" xfId="0" applyFill="1" applyBorder="1"/>
    <xf numFmtId="0" fontId="4" fillId="3" borderId="9" xfId="0" applyFont="1" applyFill="1" applyBorder="1" applyAlignment="1">
      <alignment horizontal="centerContinuous"/>
    </xf>
    <xf numFmtId="0" fontId="0" fillId="3" borderId="11" xfId="0" applyFill="1" applyBorder="1"/>
    <xf numFmtId="0" fontId="0" fillId="3" borderId="12" xfId="0" applyFill="1" applyBorder="1"/>
    <xf numFmtId="0" fontId="4" fillId="3" borderId="9" xfId="0" applyFont="1" applyFill="1" applyBorder="1" applyAlignment="1">
      <alignment horizontal="center"/>
    </xf>
    <xf numFmtId="0" fontId="0" fillId="3" borderId="14" xfId="0" applyFill="1" applyBorder="1"/>
    <xf numFmtId="0" fontId="0" fillId="3" borderId="1" xfId="0" applyFill="1" applyBorder="1"/>
    <xf numFmtId="0" fontId="0" fillId="3" borderId="15" xfId="0" applyFill="1" applyBorder="1"/>
    <xf numFmtId="0" fontId="0" fillId="7" borderId="10" xfId="0" applyFill="1" applyBorder="1"/>
    <xf numFmtId="0" fontId="4" fillId="7" borderId="13" xfId="0" applyFont="1" applyFill="1" applyBorder="1" applyAlignment="1">
      <alignment horizontal="center"/>
    </xf>
    <xf numFmtId="0" fontId="0" fillId="7" borderId="14" xfId="0" applyFill="1" applyBorder="1"/>
    <xf numFmtId="0" fontId="0" fillId="7" borderId="1" xfId="0" applyFill="1" applyBorder="1"/>
    <xf numFmtId="0" fontId="0" fillId="7" borderId="15" xfId="0" applyFill="1" applyBorder="1"/>
    <xf numFmtId="0" fontId="4" fillId="7" borderId="1" xfId="0" applyFont="1" applyFill="1" applyBorder="1" applyAlignment="1">
      <alignment horizontal="centerContinuous"/>
    </xf>
    <xf numFmtId="0" fontId="4" fillId="7" borderId="14" xfId="0" applyFont="1" applyFill="1" applyBorder="1" applyAlignment="1">
      <alignment horizontal="centerContinuous"/>
    </xf>
    <xf numFmtId="0" fontId="0" fillId="7" borderId="5" xfId="0" applyFill="1" applyBorder="1"/>
    <xf numFmtId="0" fontId="0" fillId="7" borderId="3" xfId="0" applyFill="1" applyBorder="1"/>
    <xf numFmtId="0" fontId="0" fillId="7" borderId="6" xfId="0" applyFill="1" applyBorder="1"/>
    <xf numFmtId="0" fontId="5" fillId="9" borderId="16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9" borderId="8" xfId="0" applyFont="1" applyFill="1" applyBorder="1" applyAlignment="1">
      <alignment horizontal="center"/>
    </xf>
    <xf numFmtId="0" fontId="1" fillId="10" borderId="16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left"/>
    </xf>
    <xf numFmtId="0" fontId="5" fillId="9" borderId="3" xfId="0" applyFont="1" applyFill="1" applyBorder="1" applyAlignment="1">
      <alignment horizontal="left"/>
    </xf>
    <xf numFmtId="0" fontId="5" fillId="9" borderId="6" xfId="0" applyFont="1" applyFill="1" applyBorder="1" applyAlignment="1">
      <alignment horizontal="left"/>
    </xf>
    <xf numFmtId="0" fontId="5" fillId="9" borderId="5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9EEF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</a:t>
            </a:r>
            <a:r>
              <a:rPr lang="en-US" baseline="0"/>
              <a:t> consistency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SSC-Turbidity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8696828642276069"/>
                  <c:y val="-0.176245990084572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all!$B$67:$B$94</c:f>
              <c:numCache>
                <c:formatCode>0.0000</c:formatCode>
                <c:ptCount val="28"/>
                <c:pt idx="0">
                  <c:v>9.4513218106104094E-2</c:v>
                </c:pt>
                <c:pt idx="1">
                  <c:v>4.2663094228711902E-2</c:v>
                </c:pt>
                <c:pt idx="5">
                  <c:v>8.8732929175135894E-2</c:v>
                </c:pt>
                <c:pt idx="6">
                  <c:v>-1.9463558010346702E-2</c:v>
                </c:pt>
                <c:pt idx="7">
                  <c:v>0.10415722716452799</c:v>
                </c:pt>
                <c:pt idx="8">
                  <c:v>4.66251429291673E-2</c:v>
                </c:pt>
                <c:pt idx="9">
                  <c:v>9.0894558490112708E-3</c:v>
                </c:pt>
                <c:pt idx="12">
                  <c:v>2.0373962034653699E-2</c:v>
                </c:pt>
                <c:pt idx="14">
                  <c:v>2.4947102971666898E-2</c:v>
                </c:pt>
                <c:pt idx="15">
                  <c:v>9.6293174744729593E-3</c:v>
                </c:pt>
                <c:pt idx="16">
                  <c:v>0.14608753400636901</c:v>
                </c:pt>
                <c:pt idx="19">
                  <c:v>1.27691539373017E-2</c:v>
                </c:pt>
                <c:pt idx="20">
                  <c:v>6.7576112725014403E-2</c:v>
                </c:pt>
                <c:pt idx="21">
                  <c:v>-0.35416666689988402</c:v>
                </c:pt>
                <c:pt idx="22">
                  <c:v>4.5646344187588998E-2</c:v>
                </c:pt>
                <c:pt idx="23">
                  <c:v>1.47909285306715E-2</c:v>
                </c:pt>
                <c:pt idx="24">
                  <c:v>3.5842816756479302E-2</c:v>
                </c:pt>
                <c:pt idx="25">
                  <c:v>-4.0383997186219003E-2</c:v>
                </c:pt>
                <c:pt idx="26">
                  <c:v>3.6679485231980898E-2</c:v>
                </c:pt>
                <c:pt idx="27">
                  <c:v>-0.76160033358371604</c:v>
                </c:pt>
              </c:numCache>
            </c:numRef>
          </c:xVal>
          <c:yVal>
            <c:numRef>
              <c:f>all!$D$67:$D$94</c:f>
              <c:numCache>
                <c:formatCode>0.0000</c:formatCode>
                <c:ptCount val="28"/>
                <c:pt idx="0">
                  <c:v>5.1856335362832198E-2</c:v>
                </c:pt>
                <c:pt idx="1">
                  <c:v>0.103368750113241</c:v>
                </c:pt>
                <c:pt idx="2">
                  <c:v>0.11077055296162799</c:v>
                </c:pt>
                <c:pt idx="3">
                  <c:v>1.0650915621547401E-2</c:v>
                </c:pt>
                <c:pt idx="4">
                  <c:v>-2.2683422982125001E-2</c:v>
                </c:pt>
                <c:pt idx="5">
                  <c:v>0.15621819275209001</c:v>
                </c:pt>
                <c:pt idx="6">
                  <c:v>0.15071577677020101</c:v>
                </c:pt>
                <c:pt idx="7">
                  <c:v>5.5397551503622099E-2</c:v>
                </c:pt>
                <c:pt idx="8">
                  <c:v>6.9883057908481996E-2</c:v>
                </c:pt>
                <c:pt idx="9">
                  <c:v>7.8645648239850305E-2</c:v>
                </c:pt>
                <c:pt idx="10">
                  <c:v>0.17832892113485599</c:v>
                </c:pt>
                <c:pt idx="11">
                  <c:v>2.1496979213356301E-3</c:v>
                </c:pt>
                <c:pt idx="12">
                  <c:v>0.101236914763633</c:v>
                </c:pt>
                <c:pt idx="13">
                  <c:v>0.107400232693555</c:v>
                </c:pt>
                <c:pt idx="14">
                  <c:v>8.4573685986466099E-2</c:v>
                </c:pt>
                <c:pt idx="15">
                  <c:v>0.198594884621278</c:v>
                </c:pt>
                <c:pt idx="16">
                  <c:v>6.8212961854365706E-2</c:v>
                </c:pt>
                <c:pt idx="17">
                  <c:v>4.9611646415268197E-2</c:v>
                </c:pt>
                <c:pt idx="18">
                  <c:v>0.107447815904682</c:v>
                </c:pt>
                <c:pt idx="19">
                  <c:v>0.39411883766970102</c:v>
                </c:pt>
                <c:pt idx="20">
                  <c:v>9.0698601563059603E-2</c:v>
                </c:pt>
                <c:pt idx="21">
                  <c:v>9.9852529707758195E-2</c:v>
                </c:pt>
                <c:pt idx="22">
                  <c:v>5.5815481283492403E-2</c:v>
                </c:pt>
                <c:pt idx="23">
                  <c:v>9.5391388976058394E-2</c:v>
                </c:pt>
                <c:pt idx="24">
                  <c:v>9.9540545016305104E-2</c:v>
                </c:pt>
                <c:pt idx="25">
                  <c:v>0.115227328160236</c:v>
                </c:pt>
                <c:pt idx="26">
                  <c:v>0.157732693122626</c:v>
                </c:pt>
                <c:pt idx="27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C7-42EF-93E3-B30A51933D31}"/>
            </c:ext>
          </c:extLst>
        </c:ser>
        <c:ser>
          <c:idx val="1"/>
          <c:order val="1"/>
          <c:tx>
            <c:v>DOC-fDOM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058064703238062"/>
                  <c:y val="9.8050452026829979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all!$C$67:$C$94</c:f>
              <c:numCache>
                <c:formatCode>0.000</c:formatCode>
                <c:ptCount val="28"/>
                <c:pt idx="0">
                  <c:v>3.4332675043980999E-2</c:v>
                </c:pt>
                <c:pt idx="1">
                  <c:v>2.8668980226143202E-2</c:v>
                </c:pt>
                <c:pt idx="5">
                  <c:v>1.20306787922476E-2</c:v>
                </c:pt>
                <c:pt idx="6">
                  <c:v>2.7386597361713599E-2</c:v>
                </c:pt>
                <c:pt idx="7">
                  <c:v>2.8615745110634201E-2</c:v>
                </c:pt>
                <c:pt idx="8">
                  <c:v>4.4113621235337297E-2</c:v>
                </c:pt>
                <c:pt idx="9">
                  <c:v>-8.0536265843332393E-3</c:v>
                </c:pt>
                <c:pt idx="12">
                  <c:v>2.7450804091866201E-2</c:v>
                </c:pt>
                <c:pt idx="14">
                  <c:v>6.5697545304297195E-2</c:v>
                </c:pt>
                <c:pt idx="15">
                  <c:v>0.132436068542756</c:v>
                </c:pt>
                <c:pt idx="16">
                  <c:v>-4.2076076707890497E-3</c:v>
                </c:pt>
                <c:pt idx="18">
                  <c:v>0.12430930853391101</c:v>
                </c:pt>
                <c:pt idx="19">
                  <c:v>9.2876994447724404E-2</c:v>
                </c:pt>
                <c:pt idx="20">
                  <c:v>8.3834633446242604E-2</c:v>
                </c:pt>
                <c:pt idx="21">
                  <c:v>4.4857179056258203E-2</c:v>
                </c:pt>
                <c:pt idx="22">
                  <c:v>7.6664996000854094E-2</c:v>
                </c:pt>
                <c:pt idx="23">
                  <c:v>2.1219861817338499E-2</c:v>
                </c:pt>
                <c:pt idx="24">
                  <c:v>8.5275451626537893E-2</c:v>
                </c:pt>
                <c:pt idx="25">
                  <c:v>3.1629539106965802E-2</c:v>
                </c:pt>
                <c:pt idx="26">
                  <c:v>4.3964016574286002E-2</c:v>
                </c:pt>
                <c:pt idx="27">
                  <c:v>5.3048699734524599E-2</c:v>
                </c:pt>
              </c:numCache>
            </c:numRef>
          </c:xVal>
          <c:yVal>
            <c:numRef>
              <c:f>all!$E$67:$E$94</c:f>
              <c:numCache>
                <c:formatCode>0.0000</c:formatCode>
                <c:ptCount val="28"/>
                <c:pt idx="0">
                  <c:v>1.3430417175947699E-2</c:v>
                </c:pt>
                <c:pt idx="1">
                  <c:v>-1.61778645652975E-2</c:v>
                </c:pt>
                <c:pt idx="2">
                  <c:v>-3.7834846370905402E-3</c:v>
                </c:pt>
                <c:pt idx="3">
                  <c:v>6.4581353214806597E-2</c:v>
                </c:pt>
                <c:pt idx="4">
                  <c:v>6.1895687016862502E-2</c:v>
                </c:pt>
                <c:pt idx="5">
                  <c:v>2.95836818188689E-2</c:v>
                </c:pt>
                <c:pt idx="6">
                  <c:v>-5.4892758010415703E-2</c:v>
                </c:pt>
                <c:pt idx="7">
                  <c:v>8.8641812543785899E-3</c:v>
                </c:pt>
                <c:pt idx="8">
                  <c:v>1.32778322661357E-2</c:v>
                </c:pt>
                <c:pt idx="9">
                  <c:v>-6.0975544853349099E-2</c:v>
                </c:pt>
                <c:pt idx="10">
                  <c:v>4.2081062239471598E-2</c:v>
                </c:pt>
                <c:pt idx="11">
                  <c:v>-1.77749404385871E-2</c:v>
                </c:pt>
                <c:pt idx="12">
                  <c:v>3.08855730575289E-3</c:v>
                </c:pt>
                <c:pt idx="13">
                  <c:v>-5.3081166180475401E-3</c:v>
                </c:pt>
                <c:pt idx="14" formatCode="0.000">
                  <c:v>-9.3763935417501706E-2</c:v>
                </c:pt>
                <c:pt idx="15" formatCode="0.000">
                  <c:v>-5.2796335197095298E-2</c:v>
                </c:pt>
                <c:pt idx="16" formatCode="0.000">
                  <c:v>-5.9125313303963402E-2</c:v>
                </c:pt>
                <c:pt idx="17" formatCode="0.000">
                  <c:v>-4.1714957549384597E-2</c:v>
                </c:pt>
                <c:pt idx="18" formatCode="0.000">
                  <c:v>7.3340759088016003E-2</c:v>
                </c:pt>
                <c:pt idx="19" formatCode="0.000">
                  <c:v>7.1354925056258001E-3</c:v>
                </c:pt>
                <c:pt idx="20" formatCode="0.000">
                  <c:v>-0.28463650723553102</c:v>
                </c:pt>
                <c:pt idx="21" formatCode="0.000">
                  <c:v>-7.3287190867590401E-3</c:v>
                </c:pt>
                <c:pt idx="22" formatCode="0.000">
                  <c:v>0.10941628444022999</c:v>
                </c:pt>
                <c:pt idx="23" formatCode="0.000">
                  <c:v>-8.4675321487204705E-2</c:v>
                </c:pt>
                <c:pt idx="24" formatCode="0.000">
                  <c:v>-3.2911415817637998E-2</c:v>
                </c:pt>
                <c:pt idx="25" formatCode="0.000">
                  <c:v>-4.46763074582908E-2</c:v>
                </c:pt>
                <c:pt idx="26" formatCode="0.000">
                  <c:v>-1.53118918462132E-3</c:v>
                </c:pt>
                <c:pt idx="27" formatCode="0.000">
                  <c:v>-0.17920927988478999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C7-42EF-93E3-B30A51933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378239"/>
        <c:axId val="892384479"/>
      </c:scatterChart>
      <c:valAx>
        <c:axId val="89237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84479"/>
        <c:crosses val="autoZero"/>
        <c:crossBetween val="midCat"/>
      </c:valAx>
      <c:valAx>
        <c:axId val="89238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7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</a:t>
            </a:r>
            <a:r>
              <a:rPr lang="en-US" baseline="0"/>
              <a:t> to Excess Balance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all!$B$66</c:f>
              <c:strCache>
                <c:ptCount val="1"/>
                <c:pt idx="0">
                  <c:v>Aich SSC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6721341650475509"/>
                  <c:y val="0.103428113152522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all!$B$67:$B$94</c:f>
              <c:numCache>
                <c:formatCode>0.0000</c:formatCode>
                <c:ptCount val="28"/>
                <c:pt idx="0">
                  <c:v>9.4513218106104094E-2</c:v>
                </c:pt>
                <c:pt idx="1">
                  <c:v>4.2663094228711902E-2</c:v>
                </c:pt>
                <c:pt idx="5">
                  <c:v>8.8732929175135894E-2</c:v>
                </c:pt>
                <c:pt idx="6">
                  <c:v>-1.9463558010346702E-2</c:v>
                </c:pt>
                <c:pt idx="7">
                  <c:v>0.10415722716452799</c:v>
                </c:pt>
                <c:pt idx="8">
                  <c:v>4.66251429291673E-2</c:v>
                </c:pt>
                <c:pt idx="9">
                  <c:v>9.0894558490112708E-3</c:v>
                </c:pt>
                <c:pt idx="12">
                  <c:v>2.0373962034653699E-2</c:v>
                </c:pt>
                <c:pt idx="14">
                  <c:v>2.4947102971666898E-2</c:v>
                </c:pt>
                <c:pt idx="15">
                  <c:v>9.6293174744729593E-3</c:v>
                </c:pt>
                <c:pt idx="16">
                  <c:v>0.14608753400636901</c:v>
                </c:pt>
                <c:pt idx="19">
                  <c:v>1.27691539373017E-2</c:v>
                </c:pt>
                <c:pt idx="20">
                  <c:v>6.7576112725014403E-2</c:v>
                </c:pt>
                <c:pt idx="21">
                  <c:v>-0.35416666689988402</c:v>
                </c:pt>
                <c:pt idx="22">
                  <c:v>4.5646344187588998E-2</c:v>
                </c:pt>
                <c:pt idx="23">
                  <c:v>1.47909285306715E-2</c:v>
                </c:pt>
                <c:pt idx="24">
                  <c:v>3.5842816756479302E-2</c:v>
                </c:pt>
                <c:pt idx="25">
                  <c:v>-4.0383997186219003E-2</c:v>
                </c:pt>
                <c:pt idx="26">
                  <c:v>3.6679485231980898E-2</c:v>
                </c:pt>
                <c:pt idx="27">
                  <c:v>-0.76160033358371604</c:v>
                </c:pt>
              </c:numCache>
            </c:numRef>
          </c:xVal>
          <c:yVal>
            <c:numRef>
              <c:f>all!$J$67:$J$94</c:f>
              <c:numCache>
                <c:formatCode>General</c:formatCode>
                <c:ptCount val="28"/>
                <c:pt idx="2" formatCode="0.000">
                  <c:v>-0.14571780115724001</c:v>
                </c:pt>
                <c:pt idx="3" formatCode="0.000">
                  <c:v>0.15611461722769501</c:v>
                </c:pt>
                <c:pt idx="4" formatCode="0.000">
                  <c:v>0.29322882322716898</c:v>
                </c:pt>
                <c:pt idx="5" formatCode="0.000">
                  <c:v>0.19059894727801999</c:v>
                </c:pt>
                <c:pt idx="7" formatCode="0.000">
                  <c:v>0.499861288181496</c:v>
                </c:pt>
                <c:pt idx="8" formatCode="0.000">
                  <c:v>0.40695810522245701</c:v>
                </c:pt>
                <c:pt idx="9" formatCode="0.000">
                  <c:v>5.4056282725128302E-2</c:v>
                </c:pt>
                <c:pt idx="11" formatCode="0.000">
                  <c:v>0.26690920736687102</c:v>
                </c:pt>
                <c:pt idx="12" formatCode="0.000">
                  <c:v>0.45125668170602201</c:v>
                </c:pt>
                <c:pt idx="13" formatCode="0.000">
                  <c:v>0.51242235468873398</c:v>
                </c:pt>
                <c:pt idx="16" formatCode="0.000">
                  <c:v>-0.14571780115724001</c:v>
                </c:pt>
                <c:pt idx="17" formatCode="0.000">
                  <c:v>0.15611461722769501</c:v>
                </c:pt>
                <c:pt idx="18" formatCode="0.000">
                  <c:v>0.29322882322716898</c:v>
                </c:pt>
                <c:pt idx="19" formatCode="0.000">
                  <c:v>0.19059894727801999</c:v>
                </c:pt>
                <c:pt idx="21" formatCode="0.000">
                  <c:v>0.499861288181496</c:v>
                </c:pt>
                <c:pt idx="22" formatCode="0.000">
                  <c:v>0.40695810522245701</c:v>
                </c:pt>
                <c:pt idx="23" formatCode="0.000">
                  <c:v>5.4056282725128302E-2</c:v>
                </c:pt>
                <c:pt idx="25" formatCode="0.000">
                  <c:v>0.26690920736687102</c:v>
                </c:pt>
                <c:pt idx="26" formatCode="0.000">
                  <c:v>0.45125668170602201</c:v>
                </c:pt>
                <c:pt idx="27" formatCode="0.000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D4-47C7-B300-4F10B2B1DB73}"/>
            </c:ext>
          </c:extLst>
        </c:ser>
        <c:ser>
          <c:idx val="1"/>
          <c:order val="1"/>
          <c:tx>
            <c:strRef>
              <c:f>all!$C$66</c:f>
              <c:strCache>
                <c:ptCount val="1"/>
                <c:pt idx="0">
                  <c:v>Aich DOC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058064703238062"/>
                  <c:y val="9.8050452026829979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all!$C$67:$C$94</c:f>
              <c:numCache>
                <c:formatCode>0.000</c:formatCode>
                <c:ptCount val="28"/>
                <c:pt idx="0">
                  <c:v>3.4332675043980999E-2</c:v>
                </c:pt>
                <c:pt idx="1">
                  <c:v>2.8668980226143202E-2</c:v>
                </c:pt>
                <c:pt idx="5">
                  <c:v>1.20306787922476E-2</c:v>
                </c:pt>
                <c:pt idx="6">
                  <c:v>2.7386597361713599E-2</c:v>
                </c:pt>
                <c:pt idx="7">
                  <c:v>2.8615745110634201E-2</c:v>
                </c:pt>
                <c:pt idx="8">
                  <c:v>4.4113621235337297E-2</c:v>
                </c:pt>
                <c:pt idx="9">
                  <c:v>-8.0536265843332393E-3</c:v>
                </c:pt>
                <c:pt idx="12">
                  <c:v>2.7450804091866201E-2</c:v>
                </c:pt>
                <c:pt idx="14">
                  <c:v>6.5697545304297195E-2</c:v>
                </c:pt>
                <c:pt idx="15">
                  <c:v>0.132436068542756</c:v>
                </c:pt>
                <c:pt idx="16">
                  <c:v>-4.2076076707890497E-3</c:v>
                </c:pt>
                <c:pt idx="18">
                  <c:v>0.12430930853391101</c:v>
                </c:pt>
                <c:pt idx="19">
                  <c:v>9.2876994447724404E-2</c:v>
                </c:pt>
                <c:pt idx="20">
                  <c:v>8.3834633446242604E-2</c:v>
                </c:pt>
                <c:pt idx="21">
                  <c:v>4.4857179056258203E-2</c:v>
                </c:pt>
                <c:pt idx="22">
                  <c:v>7.6664996000854094E-2</c:v>
                </c:pt>
                <c:pt idx="23">
                  <c:v>2.1219861817338499E-2</c:v>
                </c:pt>
                <c:pt idx="24">
                  <c:v>8.5275451626537893E-2</c:v>
                </c:pt>
                <c:pt idx="25">
                  <c:v>3.1629539106965802E-2</c:v>
                </c:pt>
                <c:pt idx="26">
                  <c:v>4.3964016574286002E-2</c:v>
                </c:pt>
                <c:pt idx="27">
                  <c:v>5.3048699734524599E-2</c:v>
                </c:pt>
              </c:numCache>
            </c:numRef>
          </c:xVal>
          <c:yVal>
            <c:numRef>
              <c:f>all!$J$67:$J$94</c:f>
              <c:numCache>
                <c:formatCode>General</c:formatCode>
                <c:ptCount val="28"/>
                <c:pt idx="2" formatCode="0.000">
                  <c:v>-0.14571780115724001</c:v>
                </c:pt>
                <c:pt idx="3" formatCode="0.000">
                  <c:v>0.15611461722769501</c:v>
                </c:pt>
                <c:pt idx="4" formatCode="0.000">
                  <c:v>0.29322882322716898</c:v>
                </c:pt>
                <c:pt idx="5" formatCode="0.000">
                  <c:v>0.19059894727801999</c:v>
                </c:pt>
                <c:pt idx="7" formatCode="0.000">
                  <c:v>0.499861288181496</c:v>
                </c:pt>
                <c:pt idx="8" formatCode="0.000">
                  <c:v>0.40695810522245701</c:v>
                </c:pt>
                <c:pt idx="9" formatCode="0.000">
                  <c:v>5.4056282725128302E-2</c:v>
                </c:pt>
                <c:pt idx="11" formatCode="0.000">
                  <c:v>0.26690920736687102</c:v>
                </c:pt>
                <c:pt idx="12" formatCode="0.000">
                  <c:v>0.45125668170602201</c:v>
                </c:pt>
                <c:pt idx="13" formatCode="0.000">
                  <c:v>0.51242235468873398</c:v>
                </c:pt>
                <c:pt idx="16" formatCode="0.000">
                  <c:v>-0.14571780115724001</c:v>
                </c:pt>
                <c:pt idx="17" formatCode="0.000">
                  <c:v>0.15611461722769501</c:v>
                </c:pt>
                <c:pt idx="18" formatCode="0.000">
                  <c:v>0.29322882322716898</c:v>
                </c:pt>
                <c:pt idx="19" formatCode="0.000">
                  <c:v>0.19059894727801999</c:v>
                </c:pt>
                <c:pt idx="21" formatCode="0.000">
                  <c:v>0.499861288181496</c:v>
                </c:pt>
                <c:pt idx="22" formatCode="0.000">
                  <c:v>0.40695810522245701</c:v>
                </c:pt>
                <c:pt idx="23" formatCode="0.000">
                  <c:v>5.4056282725128302E-2</c:v>
                </c:pt>
                <c:pt idx="25" formatCode="0.000">
                  <c:v>0.26690920736687102</c:v>
                </c:pt>
                <c:pt idx="26" formatCode="0.000">
                  <c:v>0.45125668170602201</c:v>
                </c:pt>
                <c:pt idx="27" formatCode="0.000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D4-47C7-B300-4F10B2B1DB73}"/>
            </c:ext>
          </c:extLst>
        </c:ser>
        <c:ser>
          <c:idx val="2"/>
          <c:order val="2"/>
          <c:tx>
            <c:strRef>
              <c:f>all!$D$66</c:f>
              <c:strCache>
                <c:ptCount val="1"/>
                <c:pt idx="0">
                  <c:v>Aich Turbidity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6765177080137711E-2"/>
                  <c:y val="-0.24872849227179936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all!$D$67:$D$94</c:f>
              <c:numCache>
                <c:formatCode>0.0000</c:formatCode>
                <c:ptCount val="28"/>
                <c:pt idx="0">
                  <c:v>5.1856335362832198E-2</c:v>
                </c:pt>
                <c:pt idx="1">
                  <c:v>0.103368750113241</c:v>
                </c:pt>
                <c:pt idx="2">
                  <c:v>0.11077055296162799</c:v>
                </c:pt>
                <c:pt idx="3">
                  <c:v>1.0650915621547401E-2</c:v>
                </c:pt>
                <c:pt idx="4">
                  <c:v>-2.2683422982125001E-2</c:v>
                </c:pt>
                <c:pt idx="5">
                  <c:v>0.15621819275209001</c:v>
                </c:pt>
                <c:pt idx="6">
                  <c:v>0.15071577677020101</c:v>
                </c:pt>
                <c:pt idx="7">
                  <c:v>5.5397551503622099E-2</c:v>
                </c:pt>
                <c:pt idx="8">
                  <c:v>6.9883057908481996E-2</c:v>
                </c:pt>
                <c:pt idx="9">
                  <c:v>7.8645648239850305E-2</c:v>
                </c:pt>
                <c:pt idx="10">
                  <c:v>0.17832892113485599</c:v>
                </c:pt>
                <c:pt idx="11">
                  <c:v>2.1496979213356301E-3</c:v>
                </c:pt>
                <c:pt idx="12">
                  <c:v>0.101236914763633</c:v>
                </c:pt>
                <c:pt idx="13">
                  <c:v>0.107400232693555</c:v>
                </c:pt>
                <c:pt idx="14">
                  <c:v>8.4573685986466099E-2</c:v>
                </c:pt>
                <c:pt idx="15">
                  <c:v>0.198594884621278</c:v>
                </c:pt>
                <c:pt idx="16">
                  <c:v>6.8212961854365706E-2</c:v>
                </c:pt>
                <c:pt idx="17">
                  <c:v>4.9611646415268197E-2</c:v>
                </c:pt>
                <c:pt idx="18">
                  <c:v>0.107447815904682</c:v>
                </c:pt>
                <c:pt idx="19">
                  <c:v>0.39411883766970102</c:v>
                </c:pt>
                <c:pt idx="20">
                  <c:v>9.0698601563059603E-2</c:v>
                </c:pt>
                <c:pt idx="21">
                  <c:v>9.9852529707758195E-2</c:v>
                </c:pt>
                <c:pt idx="22">
                  <c:v>5.5815481283492403E-2</c:v>
                </c:pt>
                <c:pt idx="23">
                  <c:v>9.5391388976058394E-2</c:v>
                </c:pt>
                <c:pt idx="24">
                  <c:v>9.9540545016305104E-2</c:v>
                </c:pt>
                <c:pt idx="25">
                  <c:v>0.115227328160236</c:v>
                </c:pt>
                <c:pt idx="26">
                  <c:v>0.157732693122626</c:v>
                </c:pt>
                <c:pt idx="27">
                  <c:v>0.121156039239802</c:v>
                </c:pt>
              </c:numCache>
            </c:numRef>
          </c:xVal>
          <c:yVal>
            <c:numRef>
              <c:f>all!$J$67:$J$94</c:f>
              <c:numCache>
                <c:formatCode>General</c:formatCode>
                <c:ptCount val="28"/>
                <c:pt idx="2" formatCode="0.000">
                  <c:v>-0.14571780115724001</c:v>
                </c:pt>
                <c:pt idx="3" formatCode="0.000">
                  <c:v>0.15611461722769501</c:v>
                </c:pt>
                <c:pt idx="4" formatCode="0.000">
                  <c:v>0.29322882322716898</c:v>
                </c:pt>
                <c:pt idx="5" formatCode="0.000">
                  <c:v>0.19059894727801999</c:v>
                </c:pt>
                <c:pt idx="7" formatCode="0.000">
                  <c:v>0.499861288181496</c:v>
                </c:pt>
                <c:pt idx="8" formatCode="0.000">
                  <c:v>0.40695810522245701</c:v>
                </c:pt>
                <c:pt idx="9" formatCode="0.000">
                  <c:v>5.4056282725128302E-2</c:v>
                </c:pt>
                <c:pt idx="11" formatCode="0.000">
                  <c:v>0.26690920736687102</c:v>
                </c:pt>
                <c:pt idx="12" formatCode="0.000">
                  <c:v>0.45125668170602201</c:v>
                </c:pt>
                <c:pt idx="13" formatCode="0.000">
                  <c:v>0.51242235468873398</c:v>
                </c:pt>
                <c:pt idx="16" formatCode="0.000">
                  <c:v>-0.14571780115724001</c:v>
                </c:pt>
                <c:pt idx="17" formatCode="0.000">
                  <c:v>0.15611461722769501</c:v>
                </c:pt>
                <c:pt idx="18" formatCode="0.000">
                  <c:v>0.29322882322716898</c:v>
                </c:pt>
                <c:pt idx="19" formatCode="0.000">
                  <c:v>0.19059894727801999</c:v>
                </c:pt>
                <c:pt idx="21" formatCode="0.000">
                  <c:v>0.499861288181496</c:v>
                </c:pt>
                <c:pt idx="22" formatCode="0.000">
                  <c:v>0.40695810522245701</c:v>
                </c:pt>
                <c:pt idx="23" formatCode="0.000">
                  <c:v>5.4056282725128302E-2</c:v>
                </c:pt>
                <c:pt idx="25" formatCode="0.000">
                  <c:v>0.26690920736687102</c:v>
                </c:pt>
                <c:pt idx="26" formatCode="0.000">
                  <c:v>0.45125668170602201</c:v>
                </c:pt>
                <c:pt idx="27" formatCode="0.000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D4-47C7-B300-4F10B2B1DB73}"/>
            </c:ext>
          </c:extLst>
        </c:ser>
        <c:ser>
          <c:idx val="3"/>
          <c:order val="3"/>
          <c:tx>
            <c:strRef>
              <c:f>all!$E$66</c:f>
              <c:strCache>
                <c:ptCount val="1"/>
                <c:pt idx="0">
                  <c:v>Aich 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486211950778885"/>
                  <c:y val="-0.18315398075240594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all!$E$67:$E$94</c:f>
              <c:numCache>
                <c:formatCode>0.0000</c:formatCode>
                <c:ptCount val="28"/>
                <c:pt idx="0">
                  <c:v>1.3430417175947699E-2</c:v>
                </c:pt>
                <c:pt idx="1">
                  <c:v>-1.61778645652975E-2</c:v>
                </c:pt>
                <c:pt idx="2">
                  <c:v>-3.7834846370905402E-3</c:v>
                </c:pt>
                <c:pt idx="3">
                  <c:v>6.4581353214806597E-2</c:v>
                </c:pt>
                <c:pt idx="4">
                  <c:v>6.1895687016862502E-2</c:v>
                </c:pt>
                <c:pt idx="5">
                  <c:v>2.95836818188689E-2</c:v>
                </c:pt>
                <c:pt idx="6">
                  <c:v>-5.4892758010415703E-2</c:v>
                </c:pt>
                <c:pt idx="7">
                  <c:v>8.8641812543785899E-3</c:v>
                </c:pt>
                <c:pt idx="8">
                  <c:v>1.32778322661357E-2</c:v>
                </c:pt>
                <c:pt idx="9">
                  <c:v>-6.0975544853349099E-2</c:v>
                </c:pt>
                <c:pt idx="10">
                  <c:v>4.2081062239471598E-2</c:v>
                </c:pt>
                <c:pt idx="11">
                  <c:v>-1.77749404385871E-2</c:v>
                </c:pt>
                <c:pt idx="12">
                  <c:v>3.08855730575289E-3</c:v>
                </c:pt>
                <c:pt idx="13">
                  <c:v>-5.3081166180475401E-3</c:v>
                </c:pt>
                <c:pt idx="14" formatCode="0.000">
                  <c:v>-9.3763935417501706E-2</c:v>
                </c:pt>
                <c:pt idx="15" formatCode="0.000">
                  <c:v>-5.2796335197095298E-2</c:v>
                </c:pt>
                <c:pt idx="16" formatCode="0.000">
                  <c:v>-5.9125313303963402E-2</c:v>
                </c:pt>
                <c:pt idx="17" formatCode="0.000">
                  <c:v>-4.1714957549384597E-2</c:v>
                </c:pt>
                <c:pt idx="18" formatCode="0.000">
                  <c:v>7.3340759088016003E-2</c:v>
                </c:pt>
                <c:pt idx="19" formatCode="0.000">
                  <c:v>7.1354925056258001E-3</c:v>
                </c:pt>
                <c:pt idx="20" formatCode="0.000">
                  <c:v>-0.28463650723553102</c:v>
                </c:pt>
                <c:pt idx="21" formatCode="0.000">
                  <c:v>-7.3287190867590401E-3</c:v>
                </c:pt>
                <c:pt idx="22" formatCode="0.000">
                  <c:v>0.10941628444022999</c:v>
                </c:pt>
                <c:pt idx="23" formatCode="0.000">
                  <c:v>-8.4675321487204705E-2</c:v>
                </c:pt>
                <c:pt idx="24" formatCode="0.000">
                  <c:v>-3.2911415817637998E-2</c:v>
                </c:pt>
                <c:pt idx="25" formatCode="0.000">
                  <c:v>-4.46763074582908E-2</c:v>
                </c:pt>
                <c:pt idx="26" formatCode="0.000">
                  <c:v>-1.53118918462132E-3</c:v>
                </c:pt>
                <c:pt idx="27" formatCode="0.000">
                  <c:v>-0.17920927988478999</c:v>
                </c:pt>
              </c:numCache>
            </c:numRef>
          </c:xVal>
          <c:yVal>
            <c:numRef>
              <c:f>all!$J$67:$J$94</c:f>
              <c:numCache>
                <c:formatCode>General</c:formatCode>
                <c:ptCount val="28"/>
                <c:pt idx="2" formatCode="0.000">
                  <c:v>-0.14571780115724001</c:v>
                </c:pt>
                <c:pt idx="3" formatCode="0.000">
                  <c:v>0.15611461722769501</c:v>
                </c:pt>
                <c:pt idx="4" formatCode="0.000">
                  <c:v>0.29322882322716898</c:v>
                </c:pt>
                <c:pt idx="5" formatCode="0.000">
                  <c:v>0.19059894727801999</c:v>
                </c:pt>
                <c:pt idx="7" formatCode="0.000">
                  <c:v>0.499861288181496</c:v>
                </c:pt>
                <c:pt idx="8" formatCode="0.000">
                  <c:v>0.40695810522245701</c:v>
                </c:pt>
                <c:pt idx="9" formatCode="0.000">
                  <c:v>5.4056282725128302E-2</c:v>
                </c:pt>
                <c:pt idx="11" formatCode="0.000">
                  <c:v>0.26690920736687102</c:v>
                </c:pt>
                <c:pt idx="12" formatCode="0.000">
                  <c:v>0.45125668170602201</c:v>
                </c:pt>
                <c:pt idx="13" formatCode="0.000">
                  <c:v>0.51242235468873398</c:v>
                </c:pt>
                <c:pt idx="16" formatCode="0.000">
                  <c:v>-0.14571780115724001</c:v>
                </c:pt>
                <c:pt idx="17" formatCode="0.000">
                  <c:v>0.15611461722769501</c:v>
                </c:pt>
                <c:pt idx="18" formatCode="0.000">
                  <c:v>0.29322882322716898</c:v>
                </c:pt>
                <c:pt idx="19" formatCode="0.000">
                  <c:v>0.19059894727801999</c:v>
                </c:pt>
                <c:pt idx="21" formatCode="0.000">
                  <c:v>0.499861288181496</c:v>
                </c:pt>
                <c:pt idx="22" formatCode="0.000">
                  <c:v>0.40695810522245701</c:v>
                </c:pt>
                <c:pt idx="23" formatCode="0.000">
                  <c:v>5.4056282725128302E-2</c:v>
                </c:pt>
                <c:pt idx="25" formatCode="0.000">
                  <c:v>0.26690920736687102</c:v>
                </c:pt>
                <c:pt idx="26" formatCode="0.000">
                  <c:v>0.45125668170602201</c:v>
                </c:pt>
                <c:pt idx="27" formatCode="0.000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D4-47C7-B300-4F10B2B1D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378239"/>
        <c:axId val="892384479"/>
      </c:scatterChart>
      <c:valAx>
        <c:axId val="89237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84479"/>
        <c:crosses val="autoZero"/>
        <c:crossBetween val="midCat"/>
      </c:valAx>
      <c:valAx>
        <c:axId val="89238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7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</a:t>
            </a:r>
            <a:r>
              <a:rPr lang="en-US" baseline="0"/>
              <a:t> to E integral</a:t>
            </a:r>
            <a:endParaRPr lang="en-US"/>
          </a:p>
        </c:rich>
      </c:tx>
      <c:layout>
        <c:manualLayout>
          <c:xMode val="edge"/>
          <c:yMode val="edge"/>
          <c:x val="0.17906646573955362"/>
          <c:y val="2.4822690414793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all!$B$66</c:f>
              <c:strCache>
                <c:ptCount val="1"/>
                <c:pt idx="0">
                  <c:v>Aich SSC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6721341650475509"/>
                  <c:y val="0.103428113152522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all!$B$67:$B$94</c:f>
              <c:numCache>
                <c:formatCode>0.0000</c:formatCode>
                <c:ptCount val="28"/>
                <c:pt idx="0">
                  <c:v>9.4513218106104094E-2</c:v>
                </c:pt>
                <c:pt idx="1">
                  <c:v>4.2663094228711902E-2</c:v>
                </c:pt>
                <c:pt idx="5">
                  <c:v>8.8732929175135894E-2</c:v>
                </c:pt>
                <c:pt idx="6">
                  <c:v>-1.9463558010346702E-2</c:v>
                </c:pt>
                <c:pt idx="7">
                  <c:v>0.10415722716452799</c:v>
                </c:pt>
                <c:pt idx="8">
                  <c:v>4.66251429291673E-2</c:v>
                </c:pt>
                <c:pt idx="9">
                  <c:v>9.0894558490112708E-3</c:v>
                </c:pt>
                <c:pt idx="12">
                  <c:v>2.0373962034653699E-2</c:v>
                </c:pt>
                <c:pt idx="14">
                  <c:v>2.4947102971666898E-2</c:v>
                </c:pt>
                <c:pt idx="15">
                  <c:v>9.6293174744729593E-3</c:v>
                </c:pt>
                <c:pt idx="16">
                  <c:v>0.14608753400636901</c:v>
                </c:pt>
                <c:pt idx="19">
                  <c:v>1.27691539373017E-2</c:v>
                </c:pt>
                <c:pt idx="20">
                  <c:v>6.7576112725014403E-2</c:v>
                </c:pt>
                <c:pt idx="21">
                  <c:v>-0.35416666689988402</c:v>
                </c:pt>
                <c:pt idx="22">
                  <c:v>4.5646344187588998E-2</c:v>
                </c:pt>
                <c:pt idx="23">
                  <c:v>1.47909285306715E-2</c:v>
                </c:pt>
                <c:pt idx="24">
                  <c:v>3.5842816756479302E-2</c:v>
                </c:pt>
                <c:pt idx="25">
                  <c:v>-4.0383997186219003E-2</c:v>
                </c:pt>
                <c:pt idx="26">
                  <c:v>3.6679485231980898E-2</c:v>
                </c:pt>
                <c:pt idx="27">
                  <c:v>-0.76160033358371604</c:v>
                </c:pt>
              </c:numCache>
            </c:numRef>
          </c:xVal>
          <c:yVal>
            <c:numRef>
              <c:f>all!$F$67:$F$94</c:f>
              <c:numCache>
                <c:formatCode>General</c:formatCode>
                <c:ptCount val="28"/>
                <c:pt idx="2" formatCode="0.000">
                  <c:v>1.9432258375425799</c:v>
                </c:pt>
                <c:pt idx="3" formatCode="0.000">
                  <c:v>2.3768784113539301</c:v>
                </c:pt>
                <c:pt idx="4" formatCode="0.000">
                  <c:v>70.349925179505803</c:v>
                </c:pt>
                <c:pt idx="5" formatCode="0.000">
                  <c:v>5.4523947827090398</c:v>
                </c:pt>
                <c:pt idx="7" formatCode="0.000">
                  <c:v>33.895949402833203</c:v>
                </c:pt>
                <c:pt idx="8" formatCode="0.000">
                  <c:v>32.177431699139497</c:v>
                </c:pt>
                <c:pt idx="9" formatCode="0.000">
                  <c:v>31.253302872972</c:v>
                </c:pt>
                <c:pt idx="11" formatCode="0.000">
                  <c:v>42.7547044117564</c:v>
                </c:pt>
                <c:pt idx="12" formatCode="0.000">
                  <c:v>175.86248095131899</c:v>
                </c:pt>
                <c:pt idx="13" formatCode="0.000">
                  <c:v>52.638565780695899</c:v>
                </c:pt>
                <c:pt idx="16" formatCode="0.000">
                  <c:v>1.9432258375425799</c:v>
                </c:pt>
                <c:pt idx="17" formatCode="0.000">
                  <c:v>2.3768784113539301</c:v>
                </c:pt>
                <c:pt idx="18" formatCode="0.000">
                  <c:v>70.349925179505803</c:v>
                </c:pt>
                <c:pt idx="19" formatCode="0.000">
                  <c:v>5.4523947827090398</c:v>
                </c:pt>
                <c:pt idx="21" formatCode="0.000">
                  <c:v>33.895949402833203</c:v>
                </c:pt>
                <c:pt idx="22" formatCode="0.000">
                  <c:v>32.177431699139497</c:v>
                </c:pt>
                <c:pt idx="23" formatCode="0.000">
                  <c:v>31.253302872972</c:v>
                </c:pt>
                <c:pt idx="25" formatCode="0.000">
                  <c:v>42.7547044117564</c:v>
                </c:pt>
                <c:pt idx="26" formatCode="0.000">
                  <c:v>175.86248095131899</c:v>
                </c:pt>
                <c:pt idx="27" formatCode="0.000">
                  <c:v>52.638565780695899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7B-44FF-A761-81E12C7F3082}"/>
            </c:ext>
          </c:extLst>
        </c:ser>
        <c:ser>
          <c:idx val="1"/>
          <c:order val="1"/>
          <c:tx>
            <c:strRef>
              <c:f>all!$C$66</c:f>
              <c:strCache>
                <c:ptCount val="1"/>
                <c:pt idx="0">
                  <c:v>Aich DOC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929429064677021"/>
                  <c:y val="-0.2684655407632879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all!$C$67:$C$94</c:f>
              <c:numCache>
                <c:formatCode>0.000</c:formatCode>
                <c:ptCount val="28"/>
                <c:pt idx="0">
                  <c:v>3.4332675043980999E-2</c:v>
                </c:pt>
                <c:pt idx="1">
                  <c:v>2.8668980226143202E-2</c:v>
                </c:pt>
                <c:pt idx="5">
                  <c:v>1.20306787922476E-2</c:v>
                </c:pt>
                <c:pt idx="6">
                  <c:v>2.7386597361713599E-2</c:v>
                </c:pt>
                <c:pt idx="7">
                  <c:v>2.8615745110634201E-2</c:v>
                </c:pt>
                <c:pt idx="8">
                  <c:v>4.4113621235337297E-2</c:v>
                </c:pt>
                <c:pt idx="9">
                  <c:v>-8.0536265843332393E-3</c:v>
                </c:pt>
                <c:pt idx="12">
                  <c:v>2.7450804091866201E-2</c:v>
                </c:pt>
                <c:pt idx="14">
                  <c:v>6.5697545304297195E-2</c:v>
                </c:pt>
                <c:pt idx="15">
                  <c:v>0.132436068542756</c:v>
                </c:pt>
                <c:pt idx="16">
                  <c:v>-4.2076076707890497E-3</c:v>
                </c:pt>
                <c:pt idx="18">
                  <c:v>0.12430930853391101</c:v>
                </c:pt>
                <c:pt idx="19">
                  <c:v>9.2876994447724404E-2</c:v>
                </c:pt>
                <c:pt idx="20">
                  <c:v>8.3834633446242604E-2</c:v>
                </c:pt>
                <c:pt idx="21">
                  <c:v>4.4857179056258203E-2</c:v>
                </c:pt>
                <c:pt idx="22">
                  <c:v>7.6664996000854094E-2</c:v>
                </c:pt>
                <c:pt idx="23">
                  <c:v>2.1219861817338499E-2</c:v>
                </c:pt>
                <c:pt idx="24">
                  <c:v>8.5275451626537893E-2</c:v>
                </c:pt>
                <c:pt idx="25">
                  <c:v>3.1629539106965802E-2</c:v>
                </c:pt>
                <c:pt idx="26">
                  <c:v>4.3964016574286002E-2</c:v>
                </c:pt>
                <c:pt idx="27">
                  <c:v>5.3048699734524599E-2</c:v>
                </c:pt>
              </c:numCache>
            </c:numRef>
          </c:xVal>
          <c:yVal>
            <c:numRef>
              <c:f>all!$F$67:$F$94</c:f>
              <c:numCache>
                <c:formatCode>General</c:formatCode>
                <c:ptCount val="28"/>
                <c:pt idx="2" formatCode="0.000">
                  <c:v>1.9432258375425799</c:v>
                </c:pt>
                <c:pt idx="3" formatCode="0.000">
                  <c:v>2.3768784113539301</c:v>
                </c:pt>
                <c:pt idx="4" formatCode="0.000">
                  <c:v>70.349925179505803</c:v>
                </c:pt>
                <c:pt idx="5" formatCode="0.000">
                  <c:v>5.4523947827090398</c:v>
                </c:pt>
                <c:pt idx="7" formatCode="0.000">
                  <c:v>33.895949402833203</c:v>
                </c:pt>
                <c:pt idx="8" formatCode="0.000">
                  <c:v>32.177431699139497</c:v>
                </c:pt>
                <c:pt idx="9" formatCode="0.000">
                  <c:v>31.253302872972</c:v>
                </c:pt>
                <c:pt idx="11" formatCode="0.000">
                  <c:v>42.7547044117564</c:v>
                </c:pt>
                <c:pt idx="12" formatCode="0.000">
                  <c:v>175.86248095131899</c:v>
                </c:pt>
                <c:pt idx="13" formatCode="0.000">
                  <c:v>52.638565780695899</c:v>
                </c:pt>
                <c:pt idx="16" formatCode="0.000">
                  <c:v>1.9432258375425799</c:v>
                </c:pt>
                <c:pt idx="17" formatCode="0.000">
                  <c:v>2.3768784113539301</c:v>
                </c:pt>
                <c:pt idx="18" formatCode="0.000">
                  <c:v>70.349925179505803</c:v>
                </c:pt>
                <c:pt idx="19" formatCode="0.000">
                  <c:v>5.4523947827090398</c:v>
                </c:pt>
                <c:pt idx="21" formatCode="0.000">
                  <c:v>33.895949402833203</c:v>
                </c:pt>
                <c:pt idx="22" formatCode="0.000">
                  <c:v>32.177431699139497</c:v>
                </c:pt>
                <c:pt idx="23" formatCode="0.000">
                  <c:v>31.253302872972</c:v>
                </c:pt>
                <c:pt idx="25" formatCode="0.000">
                  <c:v>42.7547044117564</c:v>
                </c:pt>
                <c:pt idx="26" formatCode="0.000">
                  <c:v>175.86248095131899</c:v>
                </c:pt>
                <c:pt idx="27" formatCode="0.000">
                  <c:v>52.638565780695899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7B-44FF-A761-81E12C7F3082}"/>
            </c:ext>
          </c:extLst>
        </c:ser>
        <c:ser>
          <c:idx val="2"/>
          <c:order val="2"/>
          <c:tx>
            <c:strRef>
              <c:f>all!$D$66</c:f>
              <c:strCache>
                <c:ptCount val="1"/>
                <c:pt idx="0">
                  <c:v>Aich Turbidity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6765177080137711E-2"/>
                  <c:y val="-0.24872849227179936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all!$D$67:$D$94</c:f>
              <c:numCache>
                <c:formatCode>0.0000</c:formatCode>
                <c:ptCount val="28"/>
                <c:pt idx="0">
                  <c:v>5.1856335362832198E-2</c:v>
                </c:pt>
                <c:pt idx="1">
                  <c:v>0.103368750113241</c:v>
                </c:pt>
                <c:pt idx="2">
                  <c:v>0.11077055296162799</c:v>
                </c:pt>
                <c:pt idx="3">
                  <c:v>1.0650915621547401E-2</c:v>
                </c:pt>
                <c:pt idx="4">
                  <c:v>-2.2683422982125001E-2</c:v>
                </c:pt>
                <c:pt idx="5">
                  <c:v>0.15621819275209001</c:v>
                </c:pt>
                <c:pt idx="6">
                  <c:v>0.15071577677020101</c:v>
                </c:pt>
                <c:pt idx="7">
                  <c:v>5.5397551503622099E-2</c:v>
                </c:pt>
                <c:pt idx="8">
                  <c:v>6.9883057908481996E-2</c:v>
                </c:pt>
                <c:pt idx="9">
                  <c:v>7.8645648239850305E-2</c:v>
                </c:pt>
                <c:pt idx="10">
                  <c:v>0.17832892113485599</c:v>
                </c:pt>
                <c:pt idx="11">
                  <c:v>2.1496979213356301E-3</c:v>
                </c:pt>
                <c:pt idx="12">
                  <c:v>0.101236914763633</c:v>
                </c:pt>
                <c:pt idx="13">
                  <c:v>0.107400232693555</c:v>
                </c:pt>
                <c:pt idx="14">
                  <c:v>8.4573685986466099E-2</c:v>
                </c:pt>
                <c:pt idx="15">
                  <c:v>0.198594884621278</c:v>
                </c:pt>
                <c:pt idx="16">
                  <c:v>6.8212961854365706E-2</c:v>
                </c:pt>
                <c:pt idx="17">
                  <c:v>4.9611646415268197E-2</c:v>
                </c:pt>
                <c:pt idx="18">
                  <c:v>0.107447815904682</c:v>
                </c:pt>
                <c:pt idx="19">
                  <c:v>0.39411883766970102</c:v>
                </c:pt>
                <c:pt idx="20">
                  <c:v>9.0698601563059603E-2</c:v>
                </c:pt>
                <c:pt idx="21">
                  <c:v>9.9852529707758195E-2</c:v>
                </c:pt>
                <c:pt idx="22">
                  <c:v>5.5815481283492403E-2</c:v>
                </c:pt>
                <c:pt idx="23">
                  <c:v>9.5391388976058394E-2</c:v>
                </c:pt>
                <c:pt idx="24">
                  <c:v>9.9540545016305104E-2</c:v>
                </c:pt>
                <c:pt idx="25">
                  <c:v>0.115227328160236</c:v>
                </c:pt>
                <c:pt idx="26">
                  <c:v>0.157732693122626</c:v>
                </c:pt>
                <c:pt idx="27">
                  <c:v>0.121156039239802</c:v>
                </c:pt>
              </c:numCache>
            </c:numRef>
          </c:xVal>
          <c:yVal>
            <c:numRef>
              <c:f>all!$F$67:$F$94</c:f>
              <c:numCache>
                <c:formatCode>General</c:formatCode>
                <c:ptCount val="28"/>
                <c:pt idx="2" formatCode="0.000">
                  <c:v>1.9432258375425799</c:v>
                </c:pt>
                <c:pt idx="3" formatCode="0.000">
                  <c:v>2.3768784113539301</c:v>
                </c:pt>
                <c:pt idx="4" formatCode="0.000">
                  <c:v>70.349925179505803</c:v>
                </c:pt>
                <c:pt idx="5" formatCode="0.000">
                  <c:v>5.4523947827090398</c:v>
                </c:pt>
                <c:pt idx="7" formatCode="0.000">
                  <c:v>33.895949402833203</c:v>
                </c:pt>
                <c:pt idx="8" formatCode="0.000">
                  <c:v>32.177431699139497</c:v>
                </c:pt>
                <c:pt idx="9" formatCode="0.000">
                  <c:v>31.253302872972</c:v>
                </c:pt>
                <c:pt idx="11" formatCode="0.000">
                  <c:v>42.7547044117564</c:v>
                </c:pt>
                <c:pt idx="12" formatCode="0.000">
                  <c:v>175.86248095131899</c:v>
                </c:pt>
                <c:pt idx="13" formatCode="0.000">
                  <c:v>52.638565780695899</c:v>
                </c:pt>
                <c:pt idx="16" formatCode="0.000">
                  <c:v>1.9432258375425799</c:v>
                </c:pt>
                <c:pt idx="17" formatCode="0.000">
                  <c:v>2.3768784113539301</c:v>
                </c:pt>
                <c:pt idx="18" formatCode="0.000">
                  <c:v>70.349925179505803</c:v>
                </c:pt>
                <c:pt idx="19" formatCode="0.000">
                  <c:v>5.4523947827090398</c:v>
                </c:pt>
                <c:pt idx="21" formatCode="0.000">
                  <c:v>33.895949402833203</c:v>
                </c:pt>
                <c:pt idx="22" formatCode="0.000">
                  <c:v>32.177431699139497</c:v>
                </c:pt>
                <c:pt idx="23" formatCode="0.000">
                  <c:v>31.253302872972</c:v>
                </c:pt>
                <c:pt idx="25" formatCode="0.000">
                  <c:v>42.7547044117564</c:v>
                </c:pt>
                <c:pt idx="26" formatCode="0.000">
                  <c:v>175.86248095131899</c:v>
                </c:pt>
                <c:pt idx="27" formatCode="0.000">
                  <c:v>52.638565780695899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B7B-44FF-A761-81E12C7F3082}"/>
            </c:ext>
          </c:extLst>
        </c:ser>
        <c:ser>
          <c:idx val="3"/>
          <c:order val="3"/>
          <c:tx>
            <c:strRef>
              <c:f>all!$E$66</c:f>
              <c:strCache>
                <c:ptCount val="1"/>
                <c:pt idx="0">
                  <c:v>Aich 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486211950778885"/>
                  <c:y val="-0.18315398075240594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all!$E$67:$E$94</c:f>
              <c:numCache>
                <c:formatCode>0.0000</c:formatCode>
                <c:ptCount val="28"/>
                <c:pt idx="0">
                  <c:v>1.3430417175947699E-2</c:v>
                </c:pt>
                <c:pt idx="1">
                  <c:v>-1.61778645652975E-2</c:v>
                </c:pt>
                <c:pt idx="2">
                  <c:v>-3.7834846370905402E-3</c:v>
                </c:pt>
                <c:pt idx="3">
                  <c:v>6.4581353214806597E-2</c:v>
                </c:pt>
                <c:pt idx="4">
                  <c:v>6.1895687016862502E-2</c:v>
                </c:pt>
                <c:pt idx="5">
                  <c:v>2.95836818188689E-2</c:v>
                </c:pt>
                <c:pt idx="6">
                  <c:v>-5.4892758010415703E-2</c:v>
                </c:pt>
                <c:pt idx="7">
                  <c:v>8.8641812543785899E-3</c:v>
                </c:pt>
                <c:pt idx="8">
                  <c:v>1.32778322661357E-2</c:v>
                </c:pt>
                <c:pt idx="9">
                  <c:v>-6.0975544853349099E-2</c:v>
                </c:pt>
                <c:pt idx="10">
                  <c:v>4.2081062239471598E-2</c:v>
                </c:pt>
                <c:pt idx="11">
                  <c:v>-1.77749404385871E-2</c:v>
                </c:pt>
                <c:pt idx="12">
                  <c:v>3.08855730575289E-3</c:v>
                </c:pt>
                <c:pt idx="13">
                  <c:v>-5.3081166180475401E-3</c:v>
                </c:pt>
                <c:pt idx="14" formatCode="0.000">
                  <c:v>-9.3763935417501706E-2</c:v>
                </c:pt>
                <c:pt idx="15" formatCode="0.000">
                  <c:v>-5.2796335197095298E-2</c:v>
                </c:pt>
                <c:pt idx="16" formatCode="0.000">
                  <c:v>-5.9125313303963402E-2</c:v>
                </c:pt>
                <c:pt idx="17" formatCode="0.000">
                  <c:v>-4.1714957549384597E-2</c:v>
                </c:pt>
                <c:pt idx="18" formatCode="0.000">
                  <c:v>7.3340759088016003E-2</c:v>
                </c:pt>
                <c:pt idx="19" formatCode="0.000">
                  <c:v>7.1354925056258001E-3</c:v>
                </c:pt>
                <c:pt idx="20" formatCode="0.000">
                  <c:v>-0.28463650723553102</c:v>
                </c:pt>
                <c:pt idx="21" formatCode="0.000">
                  <c:v>-7.3287190867590401E-3</c:v>
                </c:pt>
                <c:pt idx="22" formatCode="0.000">
                  <c:v>0.10941628444022999</c:v>
                </c:pt>
                <c:pt idx="23" formatCode="0.000">
                  <c:v>-8.4675321487204705E-2</c:v>
                </c:pt>
                <c:pt idx="24" formatCode="0.000">
                  <c:v>-3.2911415817637998E-2</c:v>
                </c:pt>
                <c:pt idx="25" formatCode="0.000">
                  <c:v>-4.46763074582908E-2</c:v>
                </c:pt>
                <c:pt idx="26" formatCode="0.000">
                  <c:v>-1.53118918462132E-3</c:v>
                </c:pt>
                <c:pt idx="27" formatCode="0.000">
                  <c:v>-0.17920927988478999</c:v>
                </c:pt>
              </c:numCache>
            </c:numRef>
          </c:xVal>
          <c:yVal>
            <c:numRef>
              <c:f>all!$F$67:$F$94</c:f>
              <c:numCache>
                <c:formatCode>General</c:formatCode>
                <c:ptCount val="28"/>
                <c:pt idx="2" formatCode="0.000">
                  <c:v>1.9432258375425799</c:v>
                </c:pt>
                <c:pt idx="3" formatCode="0.000">
                  <c:v>2.3768784113539301</c:v>
                </c:pt>
                <c:pt idx="4" formatCode="0.000">
                  <c:v>70.349925179505803</c:v>
                </c:pt>
                <c:pt idx="5" formatCode="0.000">
                  <c:v>5.4523947827090398</c:v>
                </c:pt>
                <c:pt idx="7" formatCode="0.000">
                  <c:v>33.895949402833203</c:v>
                </c:pt>
                <c:pt idx="8" formatCode="0.000">
                  <c:v>32.177431699139497</c:v>
                </c:pt>
                <c:pt idx="9" formatCode="0.000">
                  <c:v>31.253302872972</c:v>
                </c:pt>
                <c:pt idx="11" formatCode="0.000">
                  <c:v>42.7547044117564</c:v>
                </c:pt>
                <c:pt idx="12" formatCode="0.000">
                  <c:v>175.86248095131899</c:v>
                </c:pt>
                <c:pt idx="13" formatCode="0.000">
                  <c:v>52.638565780695899</c:v>
                </c:pt>
                <c:pt idx="16" formatCode="0.000">
                  <c:v>1.9432258375425799</c:v>
                </c:pt>
                <c:pt idx="17" formatCode="0.000">
                  <c:v>2.3768784113539301</c:v>
                </c:pt>
                <c:pt idx="18" formatCode="0.000">
                  <c:v>70.349925179505803</c:v>
                </c:pt>
                <c:pt idx="19" formatCode="0.000">
                  <c:v>5.4523947827090398</c:v>
                </c:pt>
                <c:pt idx="21" formatCode="0.000">
                  <c:v>33.895949402833203</c:v>
                </c:pt>
                <c:pt idx="22" formatCode="0.000">
                  <c:v>32.177431699139497</c:v>
                </c:pt>
                <c:pt idx="23" formatCode="0.000">
                  <c:v>31.253302872972</c:v>
                </c:pt>
                <c:pt idx="25" formatCode="0.000">
                  <c:v>42.7547044117564</c:v>
                </c:pt>
                <c:pt idx="26" formatCode="0.000">
                  <c:v>175.86248095131899</c:v>
                </c:pt>
                <c:pt idx="27" formatCode="0.000">
                  <c:v>52.638565780695899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B7B-44FF-A761-81E12C7F3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378239"/>
        <c:axId val="892384479"/>
      </c:scatterChart>
      <c:valAx>
        <c:axId val="89237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84479"/>
        <c:crosses val="autoZero"/>
        <c:crossBetween val="midCat"/>
      </c:valAx>
      <c:valAx>
        <c:axId val="89238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7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</a:t>
            </a:r>
            <a:r>
              <a:rPr lang="en-US" baseline="0"/>
              <a:t> to </a:t>
            </a:r>
            <a:r>
              <a:rPr lang="el-GR" baseline="0"/>
              <a:t>τ</a:t>
            </a:r>
            <a:r>
              <a:rPr lang="en-US" baseline="0"/>
              <a:t>peak / </a:t>
            </a:r>
            <a:r>
              <a:rPr lang="el-GR" baseline="0"/>
              <a:t>τ</a:t>
            </a:r>
            <a:r>
              <a:rPr lang="en-US" baseline="0"/>
              <a:t>c </a:t>
            </a:r>
            <a:endParaRPr lang="en-US"/>
          </a:p>
        </c:rich>
      </c:tx>
      <c:layout>
        <c:manualLayout>
          <c:xMode val="edge"/>
          <c:yMode val="edge"/>
          <c:x val="0.17906646573955362"/>
          <c:y val="2.4822690414793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all!$B$66</c:f>
              <c:strCache>
                <c:ptCount val="1"/>
                <c:pt idx="0">
                  <c:v>Aich SSC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447354927205941"/>
                  <c:y val="9.33642628833672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all!$B$67:$B$94</c:f>
              <c:numCache>
                <c:formatCode>0.0000</c:formatCode>
                <c:ptCount val="28"/>
                <c:pt idx="0">
                  <c:v>9.4513218106104094E-2</c:v>
                </c:pt>
                <c:pt idx="1">
                  <c:v>4.2663094228711902E-2</c:v>
                </c:pt>
                <c:pt idx="5">
                  <c:v>8.8732929175135894E-2</c:v>
                </c:pt>
                <c:pt idx="6">
                  <c:v>-1.9463558010346702E-2</c:v>
                </c:pt>
                <c:pt idx="7">
                  <c:v>0.10415722716452799</c:v>
                </c:pt>
                <c:pt idx="8">
                  <c:v>4.66251429291673E-2</c:v>
                </c:pt>
                <c:pt idx="9">
                  <c:v>9.0894558490112708E-3</c:v>
                </c:pt>
                <c:pt idx="12">
                  <c:v>2.0373962034653699E-2</c:v>
                </c:pt>
                <c:pt idx="14">
                  <c:v>2.4947102971666898E-2</c:v>
                </c:pt>
                <c:pt idx="15">
                  <c:v>9.6293174744729593E-3</c:v>
                </c:pt>
                <c:pt idx="16">
                  <c:v>0.14608753400636901</c:v>
                </c:pt>
                <c:pt idx="19">
                  <c:v>1.27691539373017E-2</c:v>
                </c:pt>
                <c:pt idx="20">
                  <c:v>6.7576112725014403E-2</c:v>
                </c:pt>
                <c:pt idx="21">
                  <c:v>-0.35416666689988402</c:v>
                </c:pt>
                <c:pt idx="22">
                  <c:v>4.5646344187588998E-2</c:v>
                </c:pt>
                <c:pt idx="23">
                  <c:v>1.47909285306715E-2</c:v>
                </c:pt>
                <c:pt idx="24">
                  <c:v>3.5842816756479302E-2</c:v>
                </c:pt>
                <c:pt idx="25">
                  <c:v>-4.0383997186219003E-2</c:v>
                </c:pt>
                <c:pt idx="26">
                  <c:v>3.6679485231980898E-2</c:v>
                </c:pt>
                <c:pt idx="27">
                  <c:v>-0.76160033358371604</c:v>
                </c:pt>
              </c:numCache>
            </c:numRef>
          </c:xVal>
          <c:yVal>
            <c:numRef>
              <c:f>all!$I$67:$I$94</c:f>
              <c:numCache>
                <c:formatCode>0.0000</c:formatCode>
                <c:ptCount val="28"/>
                <c:pt idx="2">
                  <c:v>1.0078290838208943</c:v>
                </c:pt>
                <c:pt idx="3">
                  <c:v>1.008246697022094</c:v>
                </c:pt>
                <c:pt idx="4">
                  <c:v>1.0490052443540898</c:v>
                </c:pt>
                <c:pt idx="5">
                  <c:v>1.0119508062412015</c:v>
                </c:pt>
                <c:pt idx="7">
                  <c:v>1.0239451393319936</c:v>
                </c:pt>
                <c:pt idx="8">
                  <c:v>1.0275460447393339</c:v>
                </c:pt>
                <c:pt idx="9">
                  <c:v>1.0275826446035865</c:v>
                </c:pt>
                <c:pt idx="11">
                  <c:v>1.0572093304532362</c:v>
                </c:pt>
                <c:pt idx="12">
                  <c:v>1.111235100018195</c:v>
                </c:pt>
                <c:pt idx="13">
                  <c:v>1.0519758315193652</c:v>
                </c:pt>
                <c:pt idx="16">
                  <c:v>1.0078290838208943</c:v>
                </c:pt>
                <c:pt idx="17">
                  <c:v>1.008246697022094</c:v>
                </c:pt>
                <c:pt idx="18">
                  <c:v>1.0490052443540898</c:v>
                </c:pt>
                <c:pt idx="19">
                  <c:v>1.0119508062412015</c:v>
                </c:pt>
                <c:pt idx="21">
                  <c:v>1.0239451393319936</c:v>
                </c:pt>
                <c:pt idx="22">
                  <c:v>1.0275460447393339</c:v>
                </c:pt>
                <c:pt idx="23">
                  <c:v>1.0275826446035865</c:v>
                </c:pt>
                <c:pt idx="25">
                  <c:v>1.0572093304532362</c:v>
                </c:pt>
                <c:pt idx="26">
                  <c:v>1.111235100018195</c:v>
                </c:pt>
                <c:pt idx="27">
                  <c:v>1.0519758315193652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D2-46B6-8398-D32D228366F1}"/>
            </c:ext>
          </c:extLst>
        </c:ser>
        <c:ser>
          <c:idx val="1"/>
          <c:order val="1"/>
          <c:tx>
            <c:strRef>
              <c:f>all!$C$66</c:f>
              <c:strCache>
                <c:ptCount val="1"/>
                <c:pt idx="0">
                  <c:v>Aich DOC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929429064677021"/>
                  <c:y val="-0.2684655407632879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all!$C$67:$C$94</c:f>
              <c:numCache>
                <c:formatCode>0.000</c:formatCode>
                <c:ptCount val="28"/>
                <c:pt idx="0">
                  <c:v>3.4332675043980999E-2</c:v>
                </c:pt>
                <c:pt idx="1">
                  <c:v>2.8668980226143202E-2</c:v>
                </c:pt>
                <c:pt idx="5">
                  <c:v>1.20306787922476E-2</c:v>
                </c:pt>
                <c:pt idx="6">
                  <c:v>2.7386597361713599E-2</c:v>
                </c:pt>
                <c:pt idx="7">
                  <c:v>2.8615745110634201E-2</c:v>
                </c:pt>
                <c:pt idx="8">
                  <c:v>4.4113621235337297E-2</c:v>
                </c:pt>
                <c:pt idx="9">
                  <c:v>-8.0536265843332393E-3</c:v>
                </c:pt>
                <c:pt idx="12">
                  <c:v>2.7450804091866201E-2</c:v>
                </c:pt>
                <c:pt idx="14">
                  <c:v>6.5697545304297195E-2</c:v>
                </c:pt>
                <c:pt idx="15">
                  <c:v>0.132436068542756</c:v>
                </c:pt>
                <c:pt idx="16">
                  <c:v>-4.2076076707890497E-3</c:v>
                </c:pt>
                <c:pt idx="18">
                  <c:v>0.12430930853391101</c:v>
                </c:pt>
                <c:pt idx="19">
                  <c:v>9.2876994447724404E-2</c:v>
                </c:pt>
                <c:pt idx="20">
                  <c:v>8.3834633446242604E-2</c:v>
                </c:pt>
                <c:pt idx="21">
                  <c:v>4.4857179056258203E-2</c:v>
                </c:pt>
                <c:pt idx="22">
                  <c:v>7.6664996000854094E-2</c:v>
                </c:pt>
                <c:pt idx="23">
                  <c:v>2.1219861817338499E-2</c:v>
                </c:pt>
                <c:pt idx="24">
                  <c:v>8.5275451626537893E-2</c:v>
                </c:pt>
                <c:pt idx="25">
                  <c:v>3.1629539106965802E-2</c:v>
                </c:pt>
                <c:pt idx="26">
                  <c:v>4.3964016574286002E-2</c:v>
                </c:pt>
                <c:pt idx="27">
                  <c:v>5.3048699734524599E-2</c:v>
                </c:pt>
              </c:numCache>
            </c:numRef>
          </c:xVal>
          <c:yVal>
            <c:numRef>
              <c:f>all!$I$67:$I$94</c:f>
              <c:numCache>
                <c:formatCode>0.0000</c:formatCode>
                <c:ptCount val="28"/>
                <c:pt idx="2">
                  <c:v>1.0078290838208943</c:v>
                </c:pt>
                <c:pt idx="3">
                  <c:v>1.008246697022094</c:v>
                </c:pt>
                <c:pt idx="4">
                  <c:v>1.0490052443540898</c:v>
                </c:pt>
                <c:pt idx="5">
                  <c:v>1.0119508062412015</c:v>
                </c:pt>
                <c:pt idx="7">
                  <c:v>1.0239451393319936</c:v>
                </c:pt>
                <c:pt idx="8">
                  <c:v>1.0275460447393339</c:v>
                </c:pt>
                <c:pt idx="9">
                  <c:v>1.0275826446035865</c:v>
                </c:pt>
                <c:pt idx="11">
                  <c:v>1.0572093304532362</c:v>
                </c:pt>
                <c:pt idx="12">
                  <c:v>1.111235100018195</c:v>
                </c:pt>
                <c:pt idx="13">
                  <c:v>1.0519758315193652</c:v>
                </c:pt>
                <c:pt idx="16">
                  <c:v>1.0078290838208943</c:v>
                </c:pt>
                <c:pt idx="17">
                  <c:v>1.008246697022094</c:v>
                </c:pt>
                <c:pt idx="18">
                  <c:v>1.0490052443540898</c:v>
                </c:pt>
                <c:pt idx="19">
                  <c:v>1.0119508062412015</c:v>
                </c:pt>
                <c:pt idx="21">
                  <c:v>1.0239451393319936</c:v>
                </c:pt>
                <c:pt idx="22">
                  <c:v>1.0275460447393339</c:v>
                </c:pt>
                <c:pt idx="23">
                  <c:v>1.0275826446035865</c:v>
                </c:pt>
                <c:pt idx="25">
                  <c:v>1.0572093304532362</c:v>
                </c:pt>
                <c:pt idx="26">
                  <c:v>1.111235100018195</c:v>
                </c:pt>
                <c:pt idx="27">
                  <c:v>1.0519758315193652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D2-46B6-8398-D32D228366F1}"/>
            </c:ext>
          </c:extLst>
        </c:ser>
        <c:ser>
          <c:idx val="2"/>
          <c:order val="2"/>
          <c:tx>
            <c:strRef>
              <c:f>all!$D$66</c:f>
              <c:strCache>
                <c:ptCount val="1"/>
                <c:pt idx="0">
                  <c:v>Aich Turbidity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6765177080137711E-2"/>
                  <c:y val="-0.24872849227179936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all!$D$67:$D$94</c:f>
              <c:numCache>
                <c:formatCode>0.0000</c:formatCode>
                <c:ptCount val="28"/>
                <c:pt idx="0">
                  <c:v>5.1856335362832198E-2</c:v>
                </c:pt>
                <c:pt idx="1">
                  <c:v>0.103368750113241</c:v>
                </c:pt>
                <c:pt idx="2">
                  <c:v>0.11077055296162799</c:v>
                </c:pt>
                <c:pt idx="3">
                  <c:v>1.0650915621547401E-2</c:v>
                </c:pt>
                <c:pt idx="4">
                  <c:v>-2.2683422982125001E-2</c:v>
                </c:pt>
                <c:pt idx="5">
                  <c:v>0.15621819275209001</c:v>
                </c:pt>
                <c:pt idx="6">
                  <c:v>0.15071577677020101</c:v>
                </c:pt>
                <c:pt idx="7">
                  <c:v>5.5397551503622099E-2</c:v>
                </c:pt>
                <c:pt idx="8">
                  <c:v>6.9883057908481996E-2</c:v>
                </c:pt>
                <c:pt idx="9">
                  <c:v>7.8645648239850305E-2</c:v>
                </c:pt>
                <c:pt idx="10">
                  <c:v>0.17832892113485599</c:v>
                </c:pt>
                <c:pt idx="11">
                  <c:v>2.1496979213356301E-3</c:v>
                </c:pt>
                <c:pt idx="12">
                  <c:v>0.101236914763633</c:v>
                </c:pt>
                <c:pt idx="13">
                  <c:v>0.107400232693555</c:v>
                </c:pt>
                <c:pt idx="14">
                  <c:v>8.4573685986466099E-2</c:v>
                </c:pt>
                <c:pt idx="15">
                  <c:v>0.198594884621278</c:v>
                </c:pt>
                <c:pt idx="16">
                  <c:v>6.8212961854365706E-2</c:v>
                </c:pt>
                <c:pt idx="17">
                  <c:v>4.9611646415268197E-2</c:v>
                </c:pt>
                <c:pt idx="18">
                  <c:v>0.107447815904682</c:v>
                </c:pt>
                <c:pt idx="19">
                  <c:v>0.39411883766970102</c:v>
                </c:pt>
                <c:pt idx="20">
                  <c:v>9.0698601563059603E-2</c:v>
                </c:pt>
                <c:pt idx="21">
                  <c:v>9.9852529707758195E-2</c:v>
                </c:pt>
                <c:pt idx="22">
                  <c:v>5.5815481283492403E-2</c:v>
                </c:pt>
                <c:pt idx="23">
                  <c:v>9.5391388976058394E-2</c:v>
                </c:pt>
                <c:pt idx="24">
                  <c:v>9.9540545016305104E-2</c:v>
                </c:pt>
                <c:pt idx="25">
                  <c:v>0.115227328160236</c:v>
                </c:pt>
                <c:pt idx="26">
                  <c:v>0.157732693122626</c:v>
                </c:pt>
                <c:pt idx="27">
                  <c:v>0.121156039239802</c:v>
                </c:pt>
              </c:numCache>
            </c:numRef>
          </c:xVal>
          <c:yVal>
            <c:numRef>
              <c:f>all!$I$67:$I$94</c:f>
              <c:numCache>
                <c:formatCode>0.0000</c:formatCode>
                <c:ptCount val="28"/>
                <c:pt idx="2">
                  <c:v>1.0078290838208943</c:v>
                </c:pt>
                <c:pt idx="3">
                  <c:v>1.008246697022094</c:v>
                </c:pt>
                <c:pt idx="4">
                  <c:v>1.0490052443540898</c:v>
                </c:pt>
                <c:pt idx="5">
                  <c:v>1.0119508062412015</c:v>
                </c:pt>
                <c:pt idx="7">
                  <c:v>1.0239451393319936</c:v>
                </c:pt>
                <c:pt idx="8">
                  <c:v>1.0275460447393339</c:v>
                </c:pt>
                <c:pt idx="9">
                  <c:v>1.0275826446035865</c:v>
                </c:pt>
                <c:pt idx="11">
                  <c:v>1.0572093304532362</c:v>
                </c:pt>
                <c:pt idx="12">
                  <c:v>1.111235100018195</c:v>
                </c:pt>
                <c:pt idx="13">
                  <c:v>1.0519758315193652</c:v>
                </c:pt>
                <c:pt idx="16">
                  <c:v>1.0078290838208943</c:v>
                </c:pt>
                <c:pt idx="17">
                  <c:v>1.008246697022094</c:v>
                </c:pt>
                <c:pt idx="18">
                  <c:v>1.0490052443540898</c:v>
                </c:pt>
                <c:pt idx="19">
                  <c:v>1.0119508062412015</c:v>
                </c:pt>
                <c:pt idx="21">
                  <c:v>1.0239451393319936</c:v>
                </c:pt>
                <c:pt idx="22">
                  <c:v>1.0275460447393339</c:v>
                </c:pt>
                <c:pt idx="23">
                  <c:v>1.0275826446035865</c:v>
                </c:pt>
                <c:pt idx="25">
                  <c:v>1.0572093304532362</c:v>
                </c:pt>
                <c:pt idx="26">
                  <c:v>1.111235100018195</c:v>
                </c:pt>
                <c:pt idx="27">
                  <c:v>1.0519758315193652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ED2-46B6-8398-D32D228366F1}"/>
            </c:ext>
          </c:extLst>
        </c:ser>
        <c:ser>
          <c:idx val="3"/>
          <c:order val="3"/>
          <c:tx>
            <c:strRef>
              <c:f>all!$E$66</c:f>
              <c:strCache>
                <c:ptCount val="1"/>
                <c:pt idx="0">
                  <c:v>Aich 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486211950778885"/>
                  <c:y val="-0.18315398075240594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all!$E$67:$E$94</c:f>
              <c:numCache>
                <c:formatCode>0.0000</c:formatCode>
                <c:ptCount val="28"/>
                <c:pt idx="0">
                  <c:v>1.3430417175947699E-2</c:v>
                </c:pt>
                <c:pt idx="1">
                  <c:v>-1.61778645652975E-2</c:v>
                </c:pt>
                <c:pt idx="2">
                  <c:v>-3.7834846370905402E-3</c:v>
                </c:pt>
                <c:pt idx="3">
                  <c:v>6.4581353214806597E-2</c:v>
                </c:pt>
                <c:pt idx="4">
                  <c:v>6.1895687016862502E-2</c:v>
                </c:pt>
                <c:pt idx="5">
                  <c:v>2.95836818188689E-2</c:v>
                </c:pt>
                <c:pt idx="6">
                  <c:v>-5.4892758010415703E-2</c:v>
                </c:pt>
                <c:pt idx="7">
                  <c:v>8.8641812543785899E-3</c:v>
                </c:pt>
                <c:pt idx="8">
                  <c:v>1.32778322661357E-2</c:v>
                </c:pt>
                <c:pt idx="9">
                  <c:v>-6.0975544853349099E-2</c:v>
                </c:pt>
                <c:pt idx="10">
                  <c:v>4.2081062239471598E-2</c:v>
                </c:pt>
                <c:pt idx="11">
                  <c:v>-1.77749404385871E-2</c:v>
                </c:pt>
                <c:pt idx="12">
                  <c:v>3.08855730575289E-3</c:v>
                </c:pt>
                <c:pt idx="13">
                  <c:v>-5.3081166180475401E-3</c:v>
                </c:pt>
                <c:pt idx="14" formatCode="0.000">
                  <c:v>-9.3763935417501706E-2</c:v>
                </c:pt>
                <c:pt idx="15" formatCode="0.000">
                  <c:v>-5.2796335197095298E-2</c:v>
                </c:pt>
                <c:pt idx="16" formatCode="0.000">
                  <c:v>-5.9125313303963402E-2</c:v>
                </c:pt>
                <c:pt idx="17" formatCode="0.000">
                  <c:v>-4.1714957549384597E-2</c:v>
                </c:pt>
                <c:pt idx="18" formatCode="0.000">
                  <c:v>7.3340759088016003E-2</c:v>
                </c:pt>
                <c:pt idx="19" formatCode="0.000">
                  <c:v>7.1354925056258001E-3</c:v>
                </c:pt>
                <c:pt idx="20" formatCode="0.000">
                  <c:v>-0.28463650723553102</c:v>
                </c:pt>
                <c:pt idx="21" formatCode="0.000">
                  <c:v>-7.3287190867590401E-3</c:v>
                </c:pt>
                <c:pt idx="22" formatCode="0.000">
                  <c:v>0.10941628444022999</c:v>
                </c:pt>
                <c:pt idx="23" formatCode="0.000">
                  <c:v>-8.4675321487204705E-2</c:v>
                </c:pt>
                <c:pt idx="24" formatCode="0.000">
                  <c:v>-3.2911415817637998E-2</c:v>
                </c:pt>
                <c:pt idx="25" formatCode="0.000">
                  <c:v>-4.46763074582908E-2</c:v>
                </c:pt>
                <c:pt idx="26" formatCode="0.000">
                  <c:v>-1.53118918462132E-3</c:v>
                </c:pt>
                <c:pt idx="27" formatCode="0.000">
                  <c:v>-0.17920927988478999</c:v>
                </c:pt>
              </c:numCache>
            </c:numRef>
          </c:xVal>
          <c:yVal>
            <c:numRef>
              <c:f>all!$I$67:$I$94</c:f>
              <c:numCache>
                <c:formatCode>0.0000</c:formatCode>
                <c:ptCount val="28"/>
                <c:pt idx="2">
                  <c:v>1.0078290838208943</c:v>
                </c:pt>
                <c:pt idx="3">
                  <c:v>1.008246697022094</c:v>
                </c:pt>
                <c:pt idx="4">
                  <c:v>1.0490052443540898</c:v>
                </c:pt>
                <c:pt idx="5">
                  <c:v>1.0119508062412015</c:v>
                </c:pt>
                <c:pt idx="7">
                  <c:v>1.0239451393319936</c:v>
                </c:pt>
                <c:pt idx="8">
                  <c:v>1.0275460447393339</c:v>
                </c:pt>
                <c:pt idx="9">
                  <c:v>1.0275826446035865</c:v>
                </c:pt>
                <c:pt idx="11">
                  <c:v>1.0572093304532362</c:v>
                </c:pt>
                <c:pt idx="12">
                  <c:v>1.111235100018195</c:v>
                </c:pt>
                <c:pt idx="13">
                  <c:v>1.0519758315193652</c:v>
                </c:pt>
                <c:pt idx="16">
                  <c:v>1.0078290838208943</c:v>
                </c:pt>
                <c:pt idx="17">
                  <c:v>1.008246697022094</c:v>
                </c:pt>
                <c:pt idx="18">
                  <c:v>1.0490052443540898</c:v>
                </c:pt>
                <c:pt idx="19">
                  <c:v>1.0119508062412015</c:v>
                </c:pt>
                <c:pt idx="21">
                  <c:v>1.0239451393319936</c:v>
                </c:pt>
                <c:pt idx="22">
                  <c:v>1.0275460447393339</c:v>
                </c:pt>
                <c:pt idx="23">
                  <c:v>1.0275826446035865</c:v>
                </c:pt>
                <c:pt idx="25">
                  <c:v>1.0572093304532362</c:v>
                </c:pt>
                <c:pt idx="26">
                  <c:v>1.111235100018195</c:v>
                </c:pt>
                <c:pt idx="27">
                  <c:v>1.0519758315193652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ED2-46B6-8398-D32D22836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378239"/>
        <c:axId val="892384479"/>
      </c:scatterChart>
      <c:valAx>
        <c:axId val="89237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84479"/>
        <c:crosses val="autoZero"/>
        <c:crossBetween val="midCat"/>
      </c:valAx>
      <c:valAx>
        <c:axId val="89238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7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</a:t>
            </a:r>
            <a:r>
              <a:rPr lang="en-US" baseline="0"/>
              <a:t> to time between events</a:t>
            </a:r>
            <a:endParaRPr lang="en-US"/>
          </a:p>
        </c:rich>
      </c:tx>
      <c:layout>
        <c:manualLayout>
          <c:xMode val="edge"/>
          <c:yMode val="edge"/>
          <c:x val="9.6853523657600304E-2"/>
          <c:y val="2.4822690414793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all!$B$66</c:f>
              <c:strCache>
                <c:ptCount val="1"/>
                <c:pt idx="0">
                  <c:v>Aich SSC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447354927205941"/>
                  <c:y val="9.33642628833672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all!$B$67:$B$94</c:f>
              <c:numCache>
                <c:formatCode>0.0000</c:formatCode>
                <c:ptCount val="28"/>
                <c:pt idx="0">
                  <c:v>9.4513218106104094E-2</c:v>
                </c:pt>
                <c:pt idx="1">
                  <c:v>4.2663094228711902E-2</c:v>
                </c:pt>
                <c:pt idx="5">
                  <c:v>8.8732929175135894E-2</c:v>
                </c:pt>
                <c:pt idx="6">
                  <c:v>-1.9463558010346702E-2</c:v>
                </c:pt>
                <c:pt idx="7">
                  <c:v>0.10415722716452799</c:v>
                </c:pt>
                <c:pt idx="8">
                  <c:v>4.66251429291673E-2</c:v>
                </c:pt>
                <c:pt idx="9">
                  <c:v>9.0894558490112708E-3</c:v>
                </c:pt>
                <c:pt idx="12">
                  <c:v>2.0373962034653699E-2</c:v>
                </c:pt>
                <c:pt idx="14">
                  <c:v>2.4947102971666898E-2</c:v>
                </c:pt>
                <c:pt idx="15">
                  <c:v>9.6293174744729593E-3</c:v>
                </c:pt>
                <c:pt idx="16">
                  <c:v>0.14608753400636901</c:v>
                </c:pt>
                <c:pt idx="19">
                  <c:v>1.27691539373017E-2</c:v>
                </c:pt>
                <c:pt idx="20">
                  <c:v>6.7576112725014403E-2</c:v>
                </c:pt>
                <c:pt idx="21">
                  <c:v>-0.35416666689988402</c:v>
                </c:pt>
                <c:pt idx="22">
                  <c:v>4.5646344187588998E-2</c:v>
                </c:pt>
                <c:pt idx="23">
                  <c:v>1.47909285306715E-2</c:v>
                </c:pt>
                <c:pt idx="24">
                  <c:v>3.5842816756479302E-2</c:v>
                </c:pt>
                <c:pt idx="25">
                  <c:v>-4.0383997186219003E-2</c:v>
                </c:pt>
                <c:pt idx="26">
                  <c:v>3.6679485231980898E-2</c:v>
                </c:pt>
                <c:pt idx="27">
                  <c:v>-0.76160033358371604</c:v>
                </c:pt>
              </c:numCache>
            </c:numRef>
          </c:xVal>
          <c:yVal>
            <c:numRef>
              <c:f>all!$G$67:$G$94</c:f>
              <c:numCache>
                <c:formatCode>General</c:formatCode>
                <c:ptCount val="28"/>
                <c:pt idx="2">
                  <c:v>21.75</c:v>
                </c:pt>
                <c:pt idx="3">
                  <c:v>48.5</c:v>
                </c:pt>
                <c:pt idx="4">
                  <c:v>28.75</c:v>
                </c:pt>
                <c:pt idx="5">
                  <c:v>21</c:v>
                </c:pt>
                <c:pt idx="7">
                  <c:v>96.5</c:v>
                </c:pt>
                <c:pt idx="8">
                  <c:v>47.5</c:v>
                </c:pt>
                <c:pt idx="9">
                  <c:v>23.5</c:v>
                </c:pt>
                <c:pt idx="11">
                  <c:v>47.75</c:v>
                </c:pt>
                <c:pt idx="12">
                  <c:v>23.75</c:v>
                </c:pt>
                <c:pt idx="13">
                  <c:v>23.5</c:v>
                </c:pt>
                <c:pt idx="16">
                  <c:v>21.75</c:v>
                </c:pt>
                <c:pt idx="17">
                  <c:v>48.5</c:v>
                </c:pt>
                <c:pt idx="18">
                  <c:v>28.75</c:v>
                </c:pt>
                <c:pt idx="19">
                  <c:v>21</c:v>
                </c:pt>
                <c:pt idx="21">
                  <c:v>96.5</c:v>
                </c:pt>
                <c:pt idx="22">
                  <c:v>47.5</c:v>
                </c:pt>
                <c:pt idx="23">
                  <c:v>23.5</c:v>
                </c:pt>
                <c:pt idx="25">
                  <c:v>47.75</c:v>
                </c:pt>
                <c:pt idx="26">
                  <c:v>23.75</c:v>
                </c:pt>
                <c:pt idx="27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F0-4056-98F9-E6010766056C}"/>
            </c:ext>
          </c:extLst>
        </c:ser>
        <c:ser>
          <c:idx val="1"/>
          <c:order val="1"/>
          <c:tx>
            <c:strRef>
              <c:f>all!$C$66</c:f>
              <c:strCache>
                <c:ptCount val="1"/>
                <c:pt idx="0">
                  <c:v>Aich DOC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929429064677021"/>
                  <c:y val="-0.2684655407632879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all!$C$67:$C$94</c:f>
              <c:numCache>
                <c:formatCode>0.000</c:formatCode>
                <c:ptCount val="28"/>
                <c:pt idx="0">
                  <c:v>3.4332675043980999E-2</c:v>
                </c:pt>
                <c:pt idx="1">
                  <c:v>2.8668980226143202E-2</c:v>
                </c:pt>
                <c:pt idx="5">
                  <c:v>1.20306787922476E-2</c:v>
                </c:pt>
                <c:pt idx="6">
                  <c:v>2.7386597361713599E-2</c:v>
                </c:pt>
                <c:pt idx="7">
                  <c:v>2.8615745110634201E-2</c:v>
                </c:pt>
                <c:pt idx="8">
                  <c:v>4.4113621235337297E-2</c:v>
                </c:pt>
                <c:pt idx="9">
                  <c:v>-8.0536265843332393E-3</c:v>
                </c:pt>
                <c:pt idx="12">
                  <c:v>2.7450804091866201E-2</c:v>
                </c:pt>
                <c:pt idx="14">
                  <c:v>6.5697545304297195E-2</c:v>
                </c:pt>
                <c:pt idx="15">
                  <c:v>0.132436068542756</c:v>
                </c:pt>
                <c:pt idx="16">
                  <c:v>-4.2076076707890497E-3</c:v>
                </c:pt>
                <c:pt idx="18">
                  <c:v>0.12430930853391101</c:v>
                </c:pt>
                <c:pt idx="19">
                  <c:v>9.2876994447724404E-2</c:v>
                </c:pt>
                <c:pt idx="20">
                  <c:v>8.3834633446242604E-2</c:v>
                </c:pt>
                <c:pt idx="21">
                  <c:v>4.4857179056258203E-2</c:v>
                </c:pt>
                <c:pt idx="22">
                  <c:v>7.6664996000854094E-2</c:v>
                </c:pt>
                <c:pt idx="23">
                  <c:v>2.1219861817338499E-2</c:v>
                </c:pt>
                <c:pt idx="24">
                  <c:v>8.5275451626537893E-2</c:v>
                </c:pt>
                <c:pt idx="25">
                  <c:v>3.1629539106965802E-2</c:v>
                </c:pt>
                <c:pt idx="26">
                  <c:v>4.3964016574286002E-2</c:v>
                </c:pt>
                <c:pt idx="27">
                  <c:v>5.3048699734524599E-2</c:v>
                </c:pt>
              </c:numCache>
            </c:numRef>
          </c:xVal>
          <c:yVal>
            <c:numRef>
              <c:f>all!$G$67:$G$94</c:f>
              <c:numCache>
                <c:formatCode>General</c:formatCode>
                <c:ptCount val="28"/>
                <c:pt idx="2">
                  <c:v>21.75</c:v>
                </c:pt>
                <c:pt idx="3">
                  <c:v>48.5</c:v>
                </c:pt>
                <c:pt idx="4">
                  <c:v>28.75</c:v>
                </c:pt>
                <c:pt idx="5">
                  <c:v>21</c:v>
                </c:pt>
                <c:pt idx="7">
                  <c:v>96.5</c:v>
                </c:pt>
                <c:pt idx="8">
                  <c:v>47.5</c:v>
                </c:pt>
                <c:pt idx="9">
                  <c:v>23.5</c:v>
                </c:pt>
                <c:pt idx="11">
                  <c:v>47.75</c:v>
                </c:pt>
                <c:pt idx="12">
                  <c:v>23.75</c:v>
                </c:pt>
                <c:pt idx="13">
                  <c:v>23.5</c:v>
                </c:pt>
                <c:pt idx="16">
                  <c:v>21.75</c:v>
                </c:pt>
                <c:pt idx="17">
                  <c:v>48.5</c:v>
                </c:pt>
                <c:pt idx="18">
                  <c:v>28.75</c:v>
                </c:pt>
                <c:pt idx="19">
                  <c:v>21</c:v>
                </c:pt>
                <c:pt idx="21">
                  <c:v>96.5</c:v>
                </c:pt>
                <c:pt idx="22">
                  <c:v>47.5</c:v>
                </c:pt>
                <c:pt idx="23">
                  <c:v>23.5</c:v>
                </c:pt>
                <c:pt idx="25">
                  <c:v>47.75</c:v>
                </c:pt>
                <c:pt idx="26">
                  <c:v>23.75</c:v>
                </c:pt>
                <c:pt idx="27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F0-4056-98F9-E6010766056C}"/>
            </c:ext>
          </c:extLst>
        </c:ser>
        <c:ser>
          <c:idx val="2"/>
          <c:order val="2"/>
          <c:tx>
            <c:strRef>
              <c:f>all!$D$66</c:f>
              <c:strCache>
                <c:ptCount val="1"/>
                <c:pt idx="0">
                  <c:v>Aich Turbidity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6765177080137711E-2"/>
                  <c:y val="-0.24872849227179936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all!$D$67:$D$94</c:f>
              <c:numCache>
                <c:formatCode>0.0000</c:formatCode>
                <c:ptCount val="28"/>
                <c:pt idx="0">
                  <c:v>5.1856335362832198E-2</c:v>
                </c:pt>
                <c:pt idx="1">
                  <c:v>0.103368750113241</c:v>
                </c:pt>
                <c:pt idx="2">
                  <c:v>0.11077055296162799</c:v>
                </c:pt>
                <c:pt idx="3">
                  <c:v>1.0650915621547401E-2</c:v>
                </c:pt>
                <c:pt idx="4">
                  <c:v>-2.2683422982125001E-2</c:v>
                </c:pt>
                <c:pt idx="5">
                  <c:v>0.15621819275209001</c:v>
                </c:pt>
                <c:pt idx="6">
                  <c:v>0.15071577677020101</c:v>
                </c:pt>
                <c:pt idx="7">
                  <c:v>5.5397551503622099E-2</c:v>
                </c:pt>
                <c:pt idx="8">
                  <c:v>6.9883057908481996E-2</c:v>
                </c:pt>
                <c:pt idx="9">
                  <c:v>7.8645648239850305E-2</c:v>
                </c:pt>
                <c:pt idx="10">
                  <c:v>0.17832892113485599</c:v>
                </c:pt>
                <c:pt idx="11">
                  <c:v>2.1496979213356301E-3</c:v>
                </c:pt>
                <c:pt idx="12">
                  <c:v>0.101236914763633</c:v>
                </c:pt>
                <c:pt idx="13">
                  <c:v>0.107400232693555</c:v>
                </c:pt>
                <c:pt idx="14">
                  <c:v>8.4573685986466099E-2</c:v>
                </c:pt>
                <c:pt idx="15">
                  <c:v>0.198594884621278</c:v>
                </c:pt>
                <c:pt idx="16">
                  <c:v>6.8212961854365706E-2</c:v>
                </c:pt>
                <c:pt idx="17">
                  <c:v>4.9611646415268197E-2</c:v>
                </c:pt>
                <c:pt idx="18">
                  <c:v>0.107447815904682</c:v>
                </c:pt>
                <c:pt idx="19">
                  <c:v>0.39411883766970102</c:v>
                </c:pt>
                <c:pt idx="20">
                  <c:v>9.0698601563059603E-2</c:v>
                </c:pt>
                <c:pt idx="21">
                  <c:v>9.9852529707758195E-2</c:v>
                </c:pt>
                <c:pt idx="22">
                  <c:v>5.5815481283492403E-2</c:v>
                </c:pt>
                <c:pt idx="23">
                  <c:v>9.5391388976058394E-2</c:v>
                </c:pt>
                <c:pt idx="24">
                  <c:v>9.9540545016305104E-2</c:v>
                </c:pt>
                <c:pt idx="25">
                  <c:v>0.115227328160236</c:v>
                </c:pt>
                <c:pt idx="26">
                  <c:v>0.157732693122626</c:v>
                </c:pt>
                <c:pt idx="27">
                  <c:v>0.121156039239802</c:v>
                </c:pt>
              </c:numCache>
            </c:numRef>
          </c:xVal>
          <c:yVal>
            <c:numRef>
              <c:f>all!$G$67:$G$94</c:f>
              <c:numCache>
                <c:formatCode>General</c:formatCode>
                <c:ptCount val="28"/>
                <c:pt idx="2">
                  <c:v>21.75</c:v>
                </c:pt>
                <c:pt idx="3">
                  <c:v>48.5</c:v>
                </c:pt>
                <c:pt idx="4">
                  <c:v>28.75</c:v>
                </c:pt>
                <c:pt idx="5">
                  <c:v>21</c:v>
                </c:pt>
                <c:pt idx="7">
                  <c:v>96.5</c:v>
                </c:pt>
                <c:pt idx="8">
                  <c:v>47.5</c:v>
                </c:pt>
                <c:pt idx="9">
                  <c:v>23.5</c:v>
                </c:pt>
                <c:pt idx="11">
                  <c:v>47.75</c:v>
                </c:pt>
                <c:pt idx="12">
                  <c:v>23.75</c:v>
                </c:pt>
                <c:pt idx="13">
                  <c:v>23.5</c:v>
                </c:pt>
                <c:pt idx="16">
                  <c:v>21.75</c:v>
                </c:pt>
                <c:pt idx="17">
                  <c:v>48.5</c:v>
                </c:pt>
                <c:pt idx="18">
                  <c:v>28.75</c:v>
                </c:pt>
                <c:pt idx="19">
                  <c:v>21</c:v>
                </c:pt>
                <c:pt idx="21">
                  <c:v>96.5</c:v>
                </c:pt>
                <c:pt idx="22">
                  <c:v>47.5</c:v>
                </c:pt>
                <c:pt idx="23">
                  <c:v>23.5</c:v>
                </c:pt>
                <c:pt idx="25">
                  <c:v>47.75</c:v>
                </c:pt>
                <c:pt idx="26">
                  <c:v>23.75</c:v>
                </c:pt>
                <c:pt idx="27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F0-4056-98F9-E6010766056C}"/>
            </c:ext>
          </c:extLst>
        </c:ser>
        <c:ser>
          <c:idx val="3"/>
          <c:order val="3"/>
          <c:tx>
            <c:strRef>
              <c:f>all!$E$66</c:f>
              <c:strCache>
                <c:ptCount val="1"/>
                <c:pt idx="0">
                  <c:v>Aich 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639012613366469"/>
                  <c:y val="-0.10206556056931916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all!$E$67:$E$94</c:f>
              <c:numCache>
                <c:formatCode>0.0000</c:formatCode>
                <c:ptCount val="28"/>
                <c:pt idx="0">
                  <c:v>1.3430417175947699E-2</c:v>
                </c:pt>
                <c:pt idx="1">
                  <c:v>-1.61778645652975E-2</c:v>
                </c:pt>
                <c:pt idx="2">
                  <c:v>-3.7834846370905402E-3</c:v>
                </c:pt>
                <c:pt idx="3">
                  <c:v>6.4581353214806597E-2</c:v>
                </c:pt>
                <c:pt idx="4">
                  <c:v>6.1895687016862502E-2</c:v>
                </c:pt>
                <c:pt idx="5">
                  <c:v>2.95836818188689E-2</c:v>
                </c:pt>
                <c:pt idx="6">
                  <c:v>-5.4892758010415703E-2</c:v>
                </c:pt>
                <c:pt idx="7">
                  <c:v>8.8641812543785899E-3</c:v>
                </c:pt>
                <c:pt idx="8">
                  <c:v>1.32778322661357E-2</c:v>
                </c:pt>
                <c:pt idx="9">
                  <c:v>-6.0975544853349099E-2</c:v>
                </c:pt>
                <c:pt idx="10">
                  <c:v>4.2081062239471598E-2</c:v>
                </c:pt>
                <c:pt idx="11">
                  <c:v>-1.77749404385871E-2</c:v>
                </c:pt>
                <c:pt idx="12">
                  <c:v>3.08855730575289E-3</c:v>
                </c:pt>
                <c:pt idx="13">
                  <c:v>-5.3081166180475401E-3</c:v>
                </c:pt>
                <c:pt idx="14" formatCode="0.000">
                  <c:v>-9.3763935417501706E-2</c:v>
                </c:pt>
                <c:pt idx="15" formatCode="0.000">
                  <c:v>-5.2796335197095298E-2</c:v>
                </c:pt>
                <c:pt idx="16" formatCode="0.000">
                  <c:v>-5.9125313303963402E-2</c:v>
                </c:pt>
                <c:pt idx="17" formatCode="0.000">
                  <c:v>-4.1714957549384597E-2</c:v>
                </c:pt>
                <c:pt idx="18" formatCode="0.000">
                  <c:v>7.3340759088016003E-2</c:v>
                </c:pt>
                <c:pt idx="19" formatCode="0.000">
                  <c:v>7.1354925056258001E-3</c:v>
                </c:pt>
                <c:pt idx="20" formatCode="0.000">
                  <c:v>-0.28463650723553102</c:v>
                </c:pt>
                <c:pt idx="21" formatCode="0.000">
                  <c:v>-7.3287190867590401E-3</c:v>
                </c:pt>
                <c:pt idx="22" formatCode="0.000">
                  <c:v>0.10941628444022999</c:v>
                </c:pt>
                <c:pt idx="23" formatCode="0.000">
                  <c:v>-8.4675321487204705E-2</c:v>
                </c:pt>
                <c:pt idx="24" formatCode="0.000">
                  <c:v>-3.2911415817637998E-2</c:v>
                </c:pt>
                <c:pt idx="25" formatCode="0.000">
                  <c:v>-4.46763074582908E-2</c:v>
                </c:pt>
                <c:pt idx="26" formatCode="0.000">
                  <c:v>-1.53118918462132E-3</c:v>
                </c:pt>
                <c:pt idx="27" formatCode="0.000">
                  <c:v>-0.17920927988478999</c:v>
                </c:pt>
              </c:numCache>
            </c:numRef>
          </c:xVal>
          <c:yVal>
            <c:numRef>
              <c:f>all!$G$67:$G$94</c:f>
              <c:numCache>
                <c:formatCode>General</c:formatCode>
                <c:ptCount val="28"/>
                <c:pt idx="2">
                  <c:v>21.75</c:v>
                </c:pt>
                <c:pt idx="3">
                  <c:v>48.5</c:v>
                </c:pt>
                <c:pt idx="4">
                  <c:v>28.75</c:v>
                </c:pt>
                <c:pt idx="5">
                  <c:v>21</c:v>
                </c:pt>
                <c:pt idx="7">
                  <c:v>96.5</c:v>
                </c:pt>
                <c:pt idx="8">
                  <c:v>47.5</c:v>
                </c:pt>
                <c:pt idx="9">
                  <c:v>23.5</c:v>
                </c:pt>
                <c:pt idx="11">
                  <c:v>47.75</c:v>
                </c:pt>
                <c:pt idx="12">
                  <c:v>23.75</c:v>
                </c:pt>
                <c:pt idx="13">
                  <c:v>23.5</c:v>
                </c:pt>
                <c:pt idx="16">
                  <c:v>21.75</c:v>
                </c:pt>
                <c:pt idx="17">
                  <c:v>48.5</c:v>
                </c:pt>
                <c:pt idx="18">
                  <c:v>28.75</c:v>
                </c:pt>
                <c:pt idx="19">
                  <c:v>21</c:v>
                </c:pt>
                <c:pt idx="21">
                  <c:v>96.5</c:v>
                </c:pt>
                <c:pt idx="22">
                  <c:v>47.5</c:v>
                </c:pt>
                <c:pt idx="23">
                  <c:v>23.5</c:v>
                </c:pt>
                <c:pt idx="25">
                  <c:v>47.75</c:v>
                </c:pt>
                <c:pt idx="26">
                  <c:v>23.75</c:v>
                </c:pt>
                <c:pt idx="27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DF0-4056-98F9-E60107660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378239"/>
        <c:axId val="892384479"/>
      </c:scatterChart>
      <c:valAx>
        <c:axId val="89237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84479"/>
        <c:crosses val="autoZero"/>
        <c:crossBetween val="midCat"/>
      </c:valAx>
      <c:valAx>
        <c:axId val="89238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7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</a:t>
            </a:r>
            <a:r>
              <a:rPr lang="en-US" baseline="0"/>
              <a:t> to time </a:t>
            </a:r>
            <a:r>
              <a:rPr lang="el-GR" baseline="0"/>
              <a:t>τ &gt; τ</a:t>
            </a:r>
            <a:r>
              <a:rPr lang="en-US" baseline="0"/>
              <a:t>c (hrs)</a:t>
            </a:r>
            <a:endParaRPr lang="en-US"/>
          </a:p>
        </c:rich>
      </c:tx>
      <c:layout>
        <c:manualLayout>
          <c:xMode val="edge"/>
          <c:yMode val="edge"/>
          <c:x val="0.1357964962227361"/>
          <c:y val="4.13711506913217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all!$B$66</c:f>
              <c:strCache>
                <c:ptCount val="1"/>
                <c:pt idx="0">
                  <c:v>Aich SSC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447354927205941"/>
                  <c:y val="9.33642628833672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all!$B$67:$B$94</c:f>
              <c:numCache>
                <c:formatCode>0.0000</c:formatCode>
                <c:ptCount val="28"/>
                <c:pt idx="0">
                  <c:v>9.4513218106104094E-2</c:v>
                </c:pt>
                <c:pt idx="1">
                  <c:v>4.2663094228711902E-2</c:v>
                </c:pt>
                <c:pt idx="5">
                  <c:v>8.8732929175135894E-2</c:v>
                </c:pt>
                <c:pt idx="6">
                  <c:v>-1.9463558010346702E-2</c:v>
                </c:pt>
                <c:pt idx="7">
                  <c:v>0.10415722716452799</c:v>
                </c:pt>
                <c:pt idx="8">
                  <c:v>4.66251429291673E-2</c:v>
                </c:pt>
                <c:pt idx="9">
                  <c:v>9.0894558490112708E-3</c:v>
                </c:pt>
                <c:pt idx="12">
                  <c:v>2.0373962034653699E-2</c:v>
                </c:pt>
                <c:pt idx="14">
                  <c:v>2.4947102971666898E-2</c:v>
                </c:pt>
                <c:pt idx="15">
                  <c:v>9.6293174744729593E-3</c:v>
                </c:pt>
                <c:pt idx="16">
                  <c:v>0.14608753400636901</c:v>
                </c:pt>
                <c:pt idx="19">
                  <c:v>1.27691539373017E-2</c:v>
                </c:pt>
                <c:pt idx="20">
                  <c:v>6.7576112725014403E-2</c:v>
                </c:pt>
                <c:pt idx="21">
                  <c:v>-0.35416666689988402</c:v>
                </c:pt>
                <c:pt idx="22">
                  <c:v>4.5646344187588998E-2</c:v>
                </c:pt>
                <c:pt idx="23">
                  <c:v>1.47909285306715E-2</c:v>
                </c:pt>
                <c:pt idx="24">
                  <c:v>3.5842816756479302E-2</c:v>
                </c:pt>
                <c:pt idx="25">
                  <c:v>-4.0383997186219003E-2</c:v>
                </c:pt>
                <c:pt idx="26">
                  <c:v>3.6679485231980898E-2</c:v>
                </c:pt>
                <c:pt idx="27">
                  <c:v>-0.76160033358371604</c:v>
                </c:pt>
              </c:numCache>
            </c:numRef>
          </c:xVal>
          <c:yVal>
            <c:numRef>
              <c:f>all!$H$67:$H$94</c:f>
              <c:numCache>
                <c:formatCode>General</c:formatCode>
                <c:ptCount val="28"/>
                <c:pt idx="2" formatCode="0.000">
                  <c:v>2.4954469283408098</c:v>
                </c:pt>
                <c:pt idx="3" formatCode="0.000">
                  <c:v>4.9705418000804897</c:v>
                </c:pt>
                <c:pt idx="4" formatCode="0.000">
                  <c:v>18.738059749368901</c:v>
                </c:pt>
                <c:pt idx="5" formatCode="0.000">
                  <c:v>8.1761484496582497</c:v>
                </c:pt>
                <c:pt idx="7" formatCode="0.000">
                  <c:v>19.594840851392899</c:v>
                </c:pt>
                <c:pt idx="8" formatCode="0.000">
                  <c:v>17.2552427011953</c:v>
                </c:pt>
                <c:pt idx="9" formatCode="0.000">
                  <c:v>17.024424898784201</c:v>
                </c:pt>
                <c:pt idx="11" formatCode="0.000">
                  <c:v>15.1069524712688</c:v>
                </c:pt>
                <c:pt idx="12" formatCode="0.000">
                  <c:v>21.9579587943592</c:v>
                </c:pt>
                <c:pt idx="13" formatCode="0.000">
                  <c:v>16.640165980770899</c:v>
                </c:pt>
                <c:pt idx="16" formatCode="0.000">
                  <c:v>2.4954469283408098</c:v>
                </c:pt>
                <c:pt idx="17" formatCode="0.000">
                  <c:v>4.9705418000804897</c:v>
                </c:pt>
                <c:pt idx="18" formatCode="0.000">
                  <c:v>18.738059749368901</c:v>
                </c:pt>
                <c:pt idx="19" formatCode="0.000">
                  <c:v>8.1761484496582497</c:v>
                </c:pt>
                <c:pt idx="21" formatCode="0.000">
                  <c:v>19.594840851392899</c:v>
                </c:pt>
                <c:pt idx="22" formatCode="0.000">
                  <c:v>17.2552427011953</c:v>
                </c:pt>
                <c:pt idx="23" formatCode="0.000">
                  <c:v>17.024424898784201</c:v>
                </c:pt>
                <c:pt idx="25" formatCode="0.000">
                  <c:v>15.1069524712688</c:v>
                </c:pt>
                <c:pt idx="26" formatCode="0.000">
                  <c:v>21.9579587943592</c:v>
                </c:pt>
                <c:pt idx="27" formatCode="0.000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CE-4C86-870B-D59C51EA8F9D}"/>
            </c:ext>
          </c:extLst>
        </c:ser>
        <c:ser>
          <c:idx val="1"/>
          <c:order val="1"/>
          <c:tx>
            <c:strRef>
              <c:f>all!$C$66</c:f>
              <c:strCache>
                <c:ptCount val="1"/>
                <c:pt idx="0">
                  <c:v>Aich DOC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651664479886449"/>
                  <c:y val="0.3610098730459460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all!$C$67:$C$94</c:f>
              <c:numCache>
                <c:formatCode>0.000</c:formatCode>
                <c:ptCount val="28"/>
                <c:pt idx="0">
                  <c:v>3.4332675043980999E-2</c:v>
                </c:pt>
                <c:pt idx="1">
                  <c:v>2.8668980226143202E-2</c:v>
                </c:pt>
                <c:pt idx="5">
                  <c:v>1.20306787922476E-2</c:v>
                </c:pt>
                <c:pt idx="6">
                  <c:v>2.7386597361713599E-2</c:v>
                </c:pt>
                <c:pt idx="7">
                  <c:v>2.8615745110634201E-2</c:v>
                </c:pt>
                <c:pt idx="8">
                  <c:v>4.4113621235337297E-2</c:v>
                </c:pt>
                <c:pt idx="9">
                  <c:v>-8.0536265843332393E-3</c:v>
                </c:pt>
                <c:pt idx="12">
                  <c:v>2.7450804091866201E-2</c:v>
                </c:pt>
                <c:pt idx="14">
                  <c:v>6.5697545304297195E-2</c:v>
                </c:pt>
                <c:pt idx="15">
                  <c:v>0.132436068542756</c:v>
                </c:pt>
                <c:pt idx="16">
                  <c:v>-4.2076076707890497E-3</c:v>
                </c:pt>
                <c:pt idx="18">
                  <c:v>0.12430930853391101</c:v>
                </c:pt>
                <c:pt idx="19">
                  <c:v>9.2876994447724404E-2</c:v>
                </c:pt>
                <c:pt idx="20">
                  <c:v>8.3834633446242604E-2</c:v>
                </c:pt>
                <c:pt idx="21">
                  <c:v>4.4857179056258203E-2</c:v>
                </c:pt>
                <c:pt idx="22">
                  <c:v>7.6664996000854094E-2</c:v>
                </c:pt>
                <c:pt idx="23">
                  <c:v>2.1219861817338499E-2</c:v>
                </c:pt>
                <c:pt idx="24">
                  <c:v>8.5275451626537893E-2</c:v>
                </c:pt>
                <c:pt idx="25">
                  <c:v>3.1629539106965802E-2</c:v>
                </c:pt>
                <c:pt idx="26">
                  <c:v>4.3964016574286002E-2</c:v>
                </c:pt>
                <c:pt idx="27">
                  <c:v>5.3048699734524599E-2</c:v>
                </c:pt>
              </c:numCache>
            </c:numRef>
          </c:xVal>
          <c:yVal>
            <c:numRef>
              <c:f>all!$H$67:$H$94</c:f>
              <c:numCache>
                <c:formatCode>General</c:formatCode>
                <c:ptCount val="28"/>
                <c:pt idx="2" formatCode="0.000">
                  <c:v>2.4954469283408098</c:v>
                </c:pt>
                <c:pt idx="3" formatCode="0.000">
                  <c:v>4.9705418000804897</c:v>
                </c:pt>
                <c:pt idx="4" formatCode="0.000">
                  <c:v>18.738059749368901</c:v>
                </c:pt>
                <c:pt idx="5" formatCode="0.000">
                  <c:v>8.1761484496582497</c:v>
                </c:pt>
                <c:pt idx="7" formatCode="0.000">
                  <c:v>19.594840851392899</c:v>
                </c:pt>
                <c:pt idx="8" formatCode="0.000">
                  <c:v>17.2552427011953</c:v>
                </c:pt>
                <c:pt idx="9" formatCode="0.000">
                  <c:v>17.024424898784201</c:v>
                </c:pt>
                <c:pt idx="11" formatCode="0.000">
                  <c:v>15.1069524712688</c:v>
                </c:pt>
                <c:pt idx="12" formatCode="0.000">
                  <c:v>21.9579587943592</c:v>
                </c:pt>
                <c:pt idx="13" formatCode="0.000">
                  <c:v>16.640165980770899</c:v>
                </c:pt>
                <c:pt idx="16" formatCode="0.000">
                  <c:v>2.4954469283408098</c:v>
                </c:pt>
                <c:pt idx="17" formatCode="0.000">
                  <c:v>4.9705418000804897</c:v>
                </c:pt>
                <c:pt idx="18" formatCode="0.000">
                  <c:v>18.738059749368901</c:v>
                </c:pt>
                <c:pt idx="19" formatCode="0.000">
                  <c:v>8.1761484496582497</c:v>
                </c:pt>
                <c:pt idx="21" formatCode="0.000">
                  <c:v>19.594840851392899</c:v>
                </c:pt>
                <c:pt idx="22" formatCode="0.000">
                  <c:v>17.2552427011953</c:v>
                </c:pt>
                <c:pt idx="23" formatCode="0.000">
                  <c:v>17.024424898784201</c:v>
                </c:pt>
                <c:pt idx="25" formatCode="0.000">
                  <c:v>15.1069524712688</c:v>
                </c:pt>
                <c:pt idx="26" formatCode="0.000">
                  <c:v>21.9579587943592</c:v>
                </c:pt>
                <c:pt idx="27" formatCode="0.000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CE-4C86-870B-D59C51EA8F9D}"/>
            </c:ext>
          </c:extLst>
        </c:ser>
        <c:ser>
          <c:idx val="2"/>
          <c:order val="2"/>
          <c:tx>
            <c:strRef>
              <c:f>all!$D$66</c:f>
              <c:strCache>
                <c:ptCount val="1"/>
                <c:pt idx="0">
                  <c:v>Aich Turbidity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6765177080137711E-2"/>
                  <c:y val="-0.24872849227179936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all!$D$67:$D$94</c:f>
              <c:numCache>
                <c:formatCode>0.0000</c:formatCode>
                <c:ptCount val="28"/>
                <c:pt idx="0">
                  <c:v>5.1856335362832198E-2</c:v>
                </c:pt>
                <c:pt idx="1">
                  <c:v>0.103368750113241</c:v>
                </c:pt>
                <c:pt idx="2">
                  <c:v>0.11077055296162799</c:v>
                </c:pt>
                <c:pt idx="3">
                  <c:v>1.0650915621547401E-2</c:v>
                </c:pt>
                <c:pt idx="4">
                  <c:v>-2.2683422982125001E-2</c:v>
                </c:pt>
                <c:pt idx="5">
                  <c:v>0.15621819275209001</c:v>
                </c:pt>
                <c:pt idx="6">
                  <c:v>0.15071577677020101</c:v>
                </c:pt>
                <c:pt idx="7">
                  <c:v>5.5397551503622099E-2</c:v>
                </c:pt>
                <c:pt idx="8">
                  <c:v>6.9883057908481996E-2</c:v>
                </c:pt>
                <c:pt idx="9">
                  <c:v>7.8645648239850305E-2</c:v>
                </c:pt>
                <c:pt idx="10">
                  <c:v>0.17832892113485599</c:v>
                </c:pt>
                <c:pt idx="11">
                  <c:v>2.1496979213356301E-3</c:v>
                </c:pt>
                <c:pt idx="12">
                  <c:v>0.101236914763633</c:v>
                </c:pt>
                <c:pt idx="13">
                  <c:v>0.107400232693555</c:v>
                </c:pt>
                <c:pt idx="14">
                  <c:v>8.4573685986466099E-2</c:v>
                </c:pt>
                <c:pt idx="15">
                  <c:v>0.198594884621278</c:v>
                </c:pt>
                <c:pt idx="16">
                  <c:v>6.8212961854365706E-2</c:v>
                </c:pt>
                <c:pt idx="17">
                  <c:v>4.9611646415268197E-2</c:v>
                </c:pt>
                <c:pt idx="18">
                  <c:v>0.107447815904682</c:v>
                </c:pt>
                <c:pt idx="19">
                  <c:v>0.39411883766970102</c:v>
                </c:pt>
                <c:pt idx="20">
                  <c:v>9.0698601563059603E-2</c:v>
                </c:pt>
                <c:pt idx="21">
                  <c:v>9.9852529707758195E-2</c:v>
                </c:pt>
                <c:pt idx="22">
                  <c:v>5.5815481283492403E-2</c:v>
                </c:pt>
                <c:pt idx="23">
                  <c:v>9.5391388976058394E-2</c:v>
                </c:pt>
                <c:pt idx="24">
                  <c:v>9.9540545016305104E-2</c:v>
                </c:pt>
                <c:pt idx="25">
                  <c:v>0.115227328160236</c:v>
                </c:pt>
                <c:pt idx="26">
                  <c:v>0.157732693122626</c:v>
                </c:pt>
                <c:pt idx="27">
                  <c:v>0.121156039239802</c:v>
                </c:pt>
              </c:numCache>
            </c:numRef>
          </c:xVal>
          <c:yVal>
            <c:numRef>
              <c:f>all!$H$67:$H$94</c:f>
              <c:numCache>
                <c:formatCode>General</c:formatCode>
                <c:ptCount val="28"/>
                <c:pt idx="2" formatCode="0.000">
                  <c:v>2.4954469283408098</c:v>
                </c:pt>
                <c:pt idx="3" formatCode="0.000">
                  <c:v>4.9705418000804897</c:v>
                </c:pt>
                <c:pt idx="4" formatCode="0.000">
                  <c:v>18.738059749368901</c:v>
                </c:pt>
                <c:pt idx="5" formatCode="0.000">
                  <c:v>8.1761484496582497</c:v>
                </c:pt>
                <c:pt idx="7" formatCode="0.000">
                  <c:v>19.594840851392899</c:v>
                </c:pt>
                <c:pt idx="8" formatCode="0.000">
                  <c:v>17.2552427011953</c:v>
                </c:pt>
                <c:pt idx="9" formatCode="0.000">
                  <c:v>17.024424898784201</c:v>
                </c:pt>
                <c:pt idx="11" formatCode="0.000">
                  <c:v>15.1069524712688</c:v>
                </c:pt>
                <c:pt idx="12" formatCode="0.000">
                  <c:v>21.9579587943592</c:v>
                </c:pt>
                <c:pt idx="13" formatCode="0.000">
                  <c:v>16.640165980770899</c:v>
                </c:pt>
                <c:pt idx="16" formatCode="0.000">
                  <c:v>2.4954469283408098</c:v>
                </c:pt>
                <c:pt idx="17" formatCode="0.000">
                  <c:v>4.9705418000804897</c:v>
                </c:pt>
                <c:pt idx="18" formatCode="0.000">
                  <c:v>18.738059749368901</c:v>
                </c:pt>
                <c:pt idx="19" formatCode="0.000">
                  <c:v>8.1761484496582497</c:v>
                </c:pt>
                <c:pt idx="21" formatCode="0.000">
                  <c:v>19.594840851392899</c:v>
                </c:pt>
                <c:pt idx="22" formatCode="0.000">
                  <c:v>17.2552427011953</c:v>
                </c:pt>
                <c:pt idx="23" formatCode="0.000">
                  <c:v>17.024424898784201</c:v>
                </c:pt>
                <c:pt idx="25" formatCode="0.000">
                  <c:v>15.1069524712688</c:v>
                </c:pt>
                <c:pt idx="26" formatCode="0.000">
                  <c:v>21.9579587943592</c:v>
                </c:pt>
                <c:pt idx="27" formatCode="0.000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CE-4C86-870B-D59C51EA8F9D}"/>
            </c:ext>
          </c:extLst>
        </c:ser>
        <c:ser>
          <c:idx val="3"/>
          <c:order val="3"/>
          <c:tx>
            <c:strRef>
              <c:f>all!$E$66</c:f>
              <c:strCache>
                <c:ptCount val="1"/>
                <c:pt idx="0">
                  <c:v>Aich 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639012613366469"/>
                  <c:y val="-0.10206556056931916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all!$E$67:$E$94</c:f>
              <c:numCache>
                <c:formatCode>0.0000</c:formatCode>
                <c:ptCount val="28"/>
                <c:pt idx="0">
                  <c:v>1.3430417175947699E-2</c:v>
                </c:pt>
                <c:pt idx="1">
                  <c:v>-1.61778645652975E-2</c:v>
                </c:pt>
                <c:pt idx="2">
                  <c:v>-3.7834846370905402E-3</c:v>
                </c:pt>
                <c:pt idx="3">
                  <c:v>6.4581353214806597E-2</c:v>
                </c:pt>
                <c:pt idx="4">
                  <c:v>6.1895687016862502E-2</c:v>
                </c:pt>
                <c:pt idx="5">
                  <c:v>2.95836818188689E-2</c:v>
                </c:pt>
                <c:pt idx="6">
                  <c:v>-5.4892758010415703E-2</c:v>
                </c:pt>
                <c:pt idx="7">
                  <c:v>8.8641812543785899E-3</c:v>
                </c:pt>
                <c:pt idx="8">
                  <c:v>1.32778322661357E-2</c:v>
                </c:pt>
                <c:pt idx="9">
                  <c:v>-6.0975544853349099E-2</c:v>
                </c:pt>
                <c:pt idx="10">
                  <c:v>4.2081062239471598E-2</c:v>
                </c:pt>
                <c:pt idx="11">
                  <c:v>-1.77749404385871E-2</c:v>
                </c:pt>
                <c:pt idx="12">
                  <c:v>3.08855730575289E-3</c:v>
                </c:pt>
                <c:pt idx="13">
                  <c:v>-5.3081166180475401E-3</c:v>
                </c:pt>
                <c:pt idx="14" formatCode="0.000">
                  <c:v>-9.3763935417501706E-2</c:v>
                </c:pt>
                <c:pt idx="15" formatCode="0.000">
                  <c:v>-5.2796335197095298E-2</c:v>
                </c:pt>
                <c:pt idx="16" formatCode="0.000">
                  <c:v>-5.9125313303963402E-2</c:v>
                </c:pt>
                <c:pt idx="17" formatCode="0.000">
                  <c:v>-4.1714957549384597E-2</c:v>
                </c:pt>
                <c:pt idx="18" formatCode="0.000">
                  <c:v>7.3340759088016003E-2</c:v>
                </c:pt>
                <c:pt idx="19" formatCode="0.000">
                  <c:v>7.1354925056258001E-3</c:v>
                </c:pt>
                <c:pt idx="20" formatCode="0.000">
                  <c:v>-0.28463650723553102</c:v>
                </c:pt>
                <c:pt idx="21" formatCode="0.000">
                  <c:v>-7.3287190867590401E-3</c:v>
                </c:pt>
                <c:pt idx="22" formatCode="0.000">
                  <c:v>0.10941628444022999</c:v>
                </c:pt>
                <c:pt idx="23" formatCode="0.000">
                  <c:v>-8.4675321487204705E-2</c:v>
                </c:pt>
                <c:pt idx="24" formatCode="0.000">
                  <c:v>-3.2911415817637998E-2</c:v>
                </c:pt>
                <c:pt idx="25" formatCode="0.000">
                  <c:v>-4.46763074582908E-2</c:v>
                </c:pt>
                <c:pt idx="26" formatCode="0.000">
                  <c:v>-1.53118918462132E-3</c:v>
                </c:pt>
                <c:pt idx="27" formatCode="0.000">
                  <c:v>-0.17920927988478999</c:v>
                </c:pt>
              </c:numCache>
            </c:numRef>
          </c:xVal>
          <c:yVal>
            <c:numRef>
              <c:f>all!$H$67:$H$94</c:f>
              <c:numCache>
                <c:formatCode>General</c:formatCode>
                <c:ptCount val="28"/>
                <c:pt idx="2" formatCode="0.000">
                  <c:v>2.4954469283408098</c:v>
                </c:pt>
                <c:pt idx="3" formatCode="0.000">
                  <c:v>4.9705418000804897</c:v>
                </c:pt>
                <c:pt idx="4" formatCode="0.000">
                  <c:v>18.738059749368901</c:v>
                </c:pt>
                <c:pt idx="5" formatCode="0.000">
                  <c:v>8.1761484496582497</c:v>
                </c:pt>
                <c:pt idx="7" formatCode="0.000">
                  <c:v>19.594840851392899</c:v>
                </c:pt>
                <c:pt idx="8" formatCode="0.000">
                  <c:v>17.2552427011953</c:v>
                </c:pt>
                <c:pt idx="9" formatCode="0.000">
                  <c:v>17.024424898784201</c:v>
                </c:pt>
                <c:pt idx="11" formatCode="0.000">
                  <c:v>15.1069524712688</c:v>
                </c:pt>
                <c:pt idx="12" formatCode="0.000">
                  <c:v>21.9579587943592</c:v>
                </c:pt>
                <c:pt idx="13" formatCode="0.000">
                  <c:v>16.640165980770899</c:v>
                </c:pt>
                <c:pt idx="16" formatCode="0.000">
                  <c:v>2.4954469283408098</c:v>
                </c:pt>
                <c:pt idx="17" formatCode="0.000">
                  <c:v>4.9705418000804897</c:v>
                </c:pt>
                <c:pt idx="18" formatCode="0.000">
                  <c:v>18.738059749368901</c:v>
                </c:pt>
                <c:pt idx="19" formatCode="0.000">
                  <c:v>8.1761484496582497</c:v>
                </c:pt>
                <c:pt idx="21" formatCode="0.000">
                  <c:v>19.594840851392899</c:v>
                </c:pt>
                <c:pt idx="22" formatCode="0.000">
                  <c:v>17.2552427011953</c:v>
                </c:pt>
                <c:pt idx="23" formatCode="0.000">
                  <c:v>17.024424898784201</c:v>
                </c:pt>
                <c:pt idx="25" formatCode="0.000">
                  <c:v>15.1069524712688</c:v>
                </c:pt>
                <c:pt idx="26" formatCode="0.000">
                  <c:v>21.9579587943592</c:v>
                </c:pt>
                <c:pt idx="27" formatCode="0.000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CE-4C86-870B-D59C51EA8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378239"/>
        <c:axId val="892384479"/>
      </c:scatterChart>
      <c:valAx>
        <c:axId val="89237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84479"/>
        <c:crosses val="autoZero"/>
        <c:crossBetween val="midCat"/>
      </c:valAx>
      <c:valAx>
        <c:axId val="89238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7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</a:t>
            </a:r>
            <a:r>
              <a:rPr lang="en-US" baseline="0"/>
              <a:t> consistency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67653214864679"/>
          <c:y val="0.1812412998841374"/>
          <c:w val="0.7128476086627642"/>
          <c:h val="0.63317984546093597"/>
        </c:manualLayout>
      </c:layout>
      <c:scatterChart>
        <c:scatterStyle val="lineMarker"/>
        <c:varyColors val="0"/>
        <c:ser>
          <c:idx val="0"/>
          <c:order val="0"/>
          <c:tx>
            <c:v>SSC-Turbidity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192475592135528"/>
                  <c:y val="-0.1924969228332717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downstream!$B$38:$B$53</c:f>
              <c:numCache>
                <c:formatCode>0.0000</c:formatCode>
                <c:ptCount val="16"/>
                <c:pt idx="0">
                  <c:v>9.4513218106104094E-2</c:v>
                </c:pt>
                <c:pt idx="1">
                  <c:v>4.2663094228711902E-2</c:v>
                </c:pt>
                <c:pt idx="5">
                  <c:v>8.8732929175135894E-2</c:v>
                </c:pt>
                <c:pt idx="6">
                  <c:v>-1.9463558010346702E-2</c:v>
                </c:pt>
                <c:pt idx="7">
                  <c:v>0.10415722716452799</c:v>
                </c:pt>
                <c:pt idx="8">
                  <c:v>4.66251429291673E-2</c:v>
                </c:pt>
                <c:pt idx="9">
                  <c:v>9.0894558490112708E-3</c:v>
                </c:pt>
                <c:pt idx="12">
                  <c:v>2.0373962034653699E-2</c:v>
                </c:pt>
              </c:numCache>
            </c:numRef>
          </c:xVal>
          <c:yVal>
            <c:numRef>
              <c:f>downstream!$D$38:$D$53</c:f>
              <c:numCache>
                <c:formatCode>0.0000</c:formatCode>
                <c:ptCount val="16"/>
                <c:pt idx="0">
                  <c:v>5.1856335362832198E-2</c:v>
                </c:pt>
                <c:pt idx="1">
                  <c:v>0.103368750113241</c:v>
                </c:pt>
                <c:pt idx="2">
                  <c:v>0.11077055296162799</c:v>
                </c:pt>
                <c:pt idx="3">
                  <c:v>1.0650915621547401E-2</c:v>
                </c:pt>
                <c:pt idx="4">
                  <c:v>-2.2683422982125001E-2</c:v>
                </c:pt>
                <c:pt idx="5">
                  <c:v>0.15621819275209001</c:v>
                </c:pt>
                <c:pt idx="6">
                  <c:v>0.15071577677020101</c:v>
                </c:pt>
                <c:pt idx="7">
                  <c:v>5.5397551503622099E-2</c:v>
                </c:pt>
                <c:pt idx="8">
                  <c:v>6.9883057908481996E-2</c:v>
                </c:pt>
                <c:pt idx="9">
                  <c:v>7.8645648239850305E-2</c:v>
                </c:pt>
                <c:pt idx="10">
                  <c:v>0.17832892113485599</c:v>
                </c:pt>
                <c:pt idx="11">
                  <c:v>2.1496979213356301E-3</c:v>
                </c:pt>
                <c:pt idx="12">
                  <c:v>0.101236914763633</c:v>
                </c:pt>
                <c:pt idx="13">
                  <c:v>0.107400232693555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48-4CBE-A48B-FE51A9DE1F08}"/>
            </c:ext>
          </c:extLst>
        </c:ser>
        <c:ser>
          <c:idx val="1"/>
          <c:order val="1"/>
          <c:tx>
            <c:v>DOC-fDOM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2073448471223676"/>
                  <c:y val="0.1112930629686949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downstream!$C$38:$C$53</c:f>
              <c:numCache>
                <c:formatCode>0.000</c:formatCode>
                <c:ptCount val="16"/>
                <c:pt idx="0">
                  <c:v>3.4332675043980999E-2</c:v>
                </c:pt>
                <c:pt idx="1">
                  <c:v>2.8668980226143202E-2</c:v>
                </c:pt>
                <c:pt idx="5">
                  <c:v>1.20306787922476E-2</c:v>
                </c:pt>
                <c:pt idx="6">
                  <c:v>2.7386597361713599E-2</c:v>
                </c:pt>
                <c:pt idx="7">
                  <c:v>2.8615745110634201E-2</c:v>
                </c:pt>
                <c:pt idx="8">
                  <c:v>4.4113621235337297E-2</c:v>
                </c:pt>
                <c:pt idx="9">
                  <c:v>-8.0536265843332393E-3</c:v>
                </c:pt>
                <c:pt idx="12">
                  <c:v>2.7450804091866201E-2</c:v>
                </c:pt>
              </c:numCache>
            </c:numRef>
          </c:xVal>
          <c:yVal>
            <c:numRef>
              <c:f>downstream!$E$38:$E$53</c:f>
              <c:numCache>
                <c:formatCode>0.0000</c:formatCode>
                <c:ptCount val="16"/>
                <c:pt idx="0">
                  <c:v>1.3430417175947699E-2</c:v>
                </c:pt>
                <c:pt idx="1">
                  <c:v>-1.61778645652975E-2</c:v>
                </c:pt>
                <c:pt idx="2">
                  <c:v>-3.7834846370905402E-3</c:v>
                </c:pt>
                <c:pt idx="3">
                  <c:v>6.4581353214806597E-2</c:v>
                </c:pt>
                <c:pt idx="4">
                  <c:v>6.1895687016862502E-2</c:v>
                </c:pt>
                <c:pt idx="5">
                  <c:v>2.95836818188689E-2</c:v>
                </c:pt>
                <c:pt idx="6">
                  <c:v>-5.4892758010415703E-2</c:v>
                </c:pt>
                <c:pt idx="7">
                  <c:v>8.8641812543785899E-3</c:v>
                </c:pt>
                <c:pt idx="8">
                  <c:v>1.32778322661357E-2</c:v>
                </c:pt>
                <c:pt idx="9">
                  <c:v>-6.0975544853349099E-2</c:v>
                </c:pt>
                <c:pt idx="10">
                  <c:v>4.2081062239471598E-2</c:v>
                </c:pt>
                <c:pt idx="11">
                  <c:v>-1.77749404385871E-2</c:v>
                </c:pt>
                <c:pt idx="12">
                  <c:v>3.08855730575289E-3</c:v>
                </c:pt>
                <c:pt idx="13">
                  <c:v>-5.3081166180475401E-3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48-4CBE-A48B-FE51A9DE1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378239"/>
        <c:axId val="892384479"/>
      </c:scatterChart>
      <c:valAx>
        <c:axId val="89237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84479"/>
        <c:crosses val="autoZero"/>
        <c:crossBetween val="midCat"/>
      </c:valAx>
      <c:valAx>
        <c:axId val="89238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7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</a:t>
            </a:r>
            <a:r>
              <a:rPr lang="en-US" baseline="0"/>
              <a:t> to Excess Balance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downstream!$B$37</c:f>
              <c:strCache>
                <c:ptCount val="1"/>
                <c:pt idx="0">
                  <c:v>Aich SSC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6721341650475509"/>
                  <c:y val="0.103428113152522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downstream!$B$38:$B$53</c:f>
              <c:numCache>
                <c:formatCode>0.0000</c:formatCode>
                <c:ptCount val="16"/>
                <c:pt idx="0">
                  <c:v>9.4513218106104094E-2</c:v>
                </c:pt>
                <c:pt idx="1">
                  <c:v>4.2663094228711902E-2</c:v>
                </c:pt>
                <c:pt idx="5">
                  <c:v>8.8732929175135894E-2</c:v>
                </c:pt>
                <c:pt idx="6">
                  <c:v>-1.9463558010346702E-2</c:v>
                </c:pt>
                <c:pt idx="7">
                  <c:v>0.10415722716452799</c:v>
                </c:pt>
                <c:pt idx="8">
                  <c:v>4.66251429291673E-2</c:v>
                </c:pt>
                <c:pt idx="9">
                  <c:v>9.0894558490112708E-3</c:v>
                </c:pt>
                <c:pt idx="12">
                  <c:v>2.0373962034653699E-2</c:v>
                </c:pt>
              </c:numCache>
            </c:numRef>
          </c:xVal>
          <c:yVal>
            <c:numRef>
              <c:f>downstream!$J$38:$J$65</c:f>
              <c:numCache>
                <c:formatCode>General</c:formatCode>
                <c:ptCount val="28"/>
                <c:pt idx="2" formatCode="0.000">
                  <c:v>-0.14571780115724001</c:v>
                </c:pt>
                <c:pt idx="3" formatCode="0.000">
                  <c:v>0.15611461722769501</c:v>
                </c:pt>
                <c:pt idx="4" formatCode="0.000">
                  <c:v>0.29322882322716898</c:v>
                </c:pt>
                <c:pt idx="5" formatCode="0.000">
                  <c:v>0.19059894727801999</c:v>
                </c:pt>
                <c:pt idx="7" formatCode="0.000">
                  <c:v>0.499861288181496</c:v>
                </c:pt>
                <c:pt idx="8" formatCode="0.000">
                  <c:v>0.40695810522245701</c:v>
                </c:pt>
                <c:pt idx="9" formatCode="0.000">
                  <c:v>5.4056282725128302E-2</c:v>
                </c:pt>
                <c:pt idx="11" formatCode="0.000">
                  <c:v>0.26690920736687102</c:v>
                </c:pt>
                <c:pt idx="12" formatCode="0.000">
                  <c:v>0.45125668170602201</c:v>
                </c:pt>
                <c:pt idx="13" formatCode="0.000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25-4FE1-97EC-D92264973B19}"/>
            </c:ext>
          </c:extLst>
        </c:ser>
        <c:ser>
          <c:idx val="1"/>
          <c:order val="1"/>
          <c:tx>
            <c:strRef>
              <c:f>downstream!$C$37</c:f>
              <c:strCache>
                <c:ptCount val="1"/>
                <c:pt idx="0">
                  <c:v>Aich DOC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058064703238062"/>
                  <c:y val="9.8050452026829979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downstream!$C$38:$C$53</c:f>
              <c:numCache>
                <c:formatCode>0.000</c:formatCode>
                <c:ptCount val="16"/>
                <c:pt idx="0">
                  <c:v>3.4332675043980999E-2</c:v>
                </c:pt>
                <c:pt idx="1">
                  <c:v>2.8668980226143202E-2</c:v>
                </c:pt>
                <c:pt idx="5">
                  <c:v>1.20306787922476E-2</c:v>
                </c:pt>
                <c:pt idx="6">
                  <c:v>2.7386597361713599E-2</c:v>
                </c:pt>
                <c:pt idx="7">
                  <c:v>2.8615745110634201E-2</c:v>
                </c:pt>
                <c:pt idx="8">
                  <c:v>4.4113621235337297E-2</c:v>
                </c:pt>
                <c:pt idx="9">
                  <c:v>-8.0536265843332393E-3</c:v>
                </c:pt>
                <c:pt idx="12">
                  <c:v>2.7450804091866201E-2</c:v>
                </c:pt>
              </c:numCache>
            </c:numRef>
          </c:xVal>
          <c:yVal>
            <c:numRef>
              <c:f>downstream!$J$38:$J$65</c:f>
              <c:numCache>
                <c:formatCode>General</c:formatCode>
                <c:ptCount val="28"/>
                <c:pt idx="2" formatCode="0.000">
                  <c:v>-0.14571780115724001</c:v>
                </c:pt>
                <c:pt idx="3" formatCode="0.000">
                  <c:v>0.15611461722769501</c:v>
                </c:pt>
                <c:pt idx="4" formatCode="0.000">
                  <c:v>0.29322882322716898</c:v>
                </c:pt>
                <c:pt idx="5" formatCode="0.000">
                  <c:v>0.19059894727801999</c:v>
                </c:pt>
                <c:pt idx="7" formatCode="0.000">
                  <c:v>0.499861288181496</c:v>
                </c:pt>
                <c:pt idx="8" formatCode="0.000">
                  <c:v>0.40695810522245701</c:v>
                </c:pt>
                <c:pt idx="9" formatCode="0.000">
                  <c:v>5.4056282725128302E-2</c:v>
                </c:pt>
                <c:pt idx="11" formatCode="0.000">
                  <c:v>0.26690920736687102</c:v>
                </c:pt>
                <c:pt idx="12" formatCode="0.000">
                  <c:v>0.45125668170602201</c:v>
                </c:pt>
                <c:pt idx="13" formatCode="0.000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25-4FE1-97EC-D92264973B19}"/>
            </c:ext>
          </c:extLst>
        </c:ser>
        <c:ser>
          <c:idx val="2"/>
          <c:order val="2"/>
          <c:tx>
            <c:strRef>
              <c:f>downstream!$D$37</c:f>
              <c:strCache>
                <c:ptCount val="1"/>
                <c:pt idx="0">
                  <c:v>Aich Turbidity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6765177080137711E-2"/>
                  <c:y val="-0.24872849227179936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downstream!$D$38:$D$53</c:f>
              <c:numCache>
                <c:formatCode>0.0000</c:formatCode>
                <c:ptCount val="16"/>
                <c:pt idx="0">
                  <c:v>5.1856335362832198E-2</c:v>
                </c:pt>
                <c:pt idx="1">
                  <c:v>0.103368750113241</c:v>
                </c:pt>
                <c:pt idx="2">
                  <c:v>0.11077055296162799</c:v>
                </c:pt>
                <c:pt idx="3">
                  <c:v>1.0650915621547401E-2</c:v>
                </c:pt>
                <c:pt idx="4">
                  <c:v>-2.2683422982125001E-2</c:v>
                </c:pt>
                <c:pt idx="5">
                  <c:v>0.15621819275209001</c:v>
                </c:pt>
                <c:pt idx="6">
                  <c:v>0.15071577677020101</c:v>
                </c:pt>
                <c:pt idx="7">
                  <c:v>5.5397551503622099E-2</c:v>
                </c:pt>
                <c:pt idx="8">
                  <c:v>6.9883057908481996E-2</c:v>
                </c:pt>
                <c:pt idx="9">
                  <c:v>7.8645648239850305E-2</c:v>
                </c:pt>
                <c:pt idx="10">
                  <c:v>0.17832892113485599</c:v>
                </c:pt>
                <c:pt idx="11">
                  <c:v>2.1496979213356301E-3</c:v>
                </c:pt>
                <c:pt idx="12">
                  <c:v>0.101236914763633</c:v>
                </c:pt>
                <c:pt idx="13">
                  <c:v>0.107400232693555</c:v>
                </c:pt>
              </c:numCache>
            </c:numRef>
          </c:xVal>
          <c:yVal>
            <c:numRef>
              <c:f>downstream!$J$38:$J$65</c:f>
              <c:numCache>
                <c:formatCode>General</c:formatCode>
                <c:ptCount val="28"/>
                <c:pt idx="2" formatCode="0.000">
                  <c:v>-0.14571780115724001</c:v>
                </c:pt>
                <c:pt idx="3" formatCode="0.000">
                  <c:v>0.15611461722769501</c:v>
                </c:pt>
                <c:pt idx="4" formatCode="0.000">
                  <c:v>0.29322882322716898</c:v>
                </c:pt>
                <c:pt idx="5" formatCode="0.000">
                  <c:v>0.19059894727801999</c:v>
                </c:pt>
                <c:pt idx="7" formatCode="0.000">
                  <c:v>0.499861288181496</c:v>
                </c:pt>
                <c:pt idx="8" formatCode="0.000">
                  <c:v>0.40695810522245701</c:v>
                </c:pt>
                <c:pt idx="9" formatCode="0.000">
                  <c:v>5.4056282725128302E-2</c:v>
                </c:pt>
                <c:pt idx="11" formatCode="0.000">
                  <c:v>0.26690920736687102</c:v>
                </c:pt>
                <c:pt idx="12" formatCode="0.000">
                  <c:v>0.45125668170602201</c:v>
                </c:pt>
                <c:pt idx="13" formatCode="0.000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25-4FE1-97EC-D92264973B19}"/>
            </c:ext>
          </c:extLst>
        </c:ser>
        <c:ser>
          <c:idx val="3"/>
          <c:order val="3"/>
          <c:tx>
            <c:strRef>
              <c:f>downstream!$E$37</c:f>
              <c:strCache>
                <c:ptCount val="1"/>
                <c:pt idx="0">
                  <c:v>Aich 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486211950778885"/>
                  <c:y val="-0.18315398075240594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downstream!$E$38:$E$53</c:f>
              <c:numCache>
                <c:formatCode>0.0000</c:formatCode>
                <c:ptCount val="16"/>
                <c:pt idx="0">
                  <c:v>1.3430417175947699E-2</c:v>
                </c:pt>
                <c:pt idx="1">
                  <c:v>-1.61778645652975E-2</c:v>
                </c:pt>
                <c:pt idx="2">
                  <c:v>-3.7834846370905402E-3</c:v>
                </c:pt>
                <c:pt idx="3">
                  <c:v>6.4581353214806597E-2</c:v>
                </c:pt>
                <c:pt idx="4">
                  <c:v>6.1895687016862502E-2</c:v>
                </c:pt>
                <c:pt idx="5">
                  <c:v>2.95836818188689E-2</c:v>
                </c:pt>
                <c:pt idx="6">
                  <c:v>-5.4892758010415703E-2</c:v>
                </c:pt>
                <c:pt idx="7">
                  <c:v>8.8641812543785899E-3</c:v>
                </c:pt>
                <c:pt idx="8">
                  <c:v>1.32778322661357E-2</c:v>
                </c:pt>
                <c:pt idx="9">
                  <c:v>-6.0975544853349099E-2</c:v>
                </c:pt>
                <c:pt idx="10">
                  <c:v>4.2081062239471598E-2</c:v>
                </c:pt>
                <c:pt idx="11">
                  <c:v>-1.77749404385871E-2</c:v>
                </c:pt>
                <c:pt idx="12">
                  <c:v>3.08855730575289E-3</c:v>
                </c:pt>
                <c:pt idx="13">
                  <c:v>-5.3081166180475401E-3</c:v>
                </c:pt>
              </c:numCache>
            </c:numRef>
          </c:xVal>
          <c:yVal>
            <c:numRef>
              <c:f>downstream!$J$38:$J$65</c:f>
              <c:numCache>
                <c:formatCode>General</c:formatCode>
                <c:ptCount val="28"/>
                <c:pt idx="2" formatCode="0.000">
                  <c:v>-0.14571780115724001</c:v>
                </c:pt>
                <c:pt idx="3" formatCode="0.000">
                  <c:v>0.15611461722769501</c:v>
                </c:pt>
                <c:pt idx="4" formatCode="0.000">
                  <c:v>0.29322882322716898</c:v>
                </c:pt>
                <c:pt idx="5" formatCode="0.000">
                  <c:v>0.19059894727801999</c:v>
                </c:pt>
                <c:pt idx="7" formatCode="0.000">
                  <c:v>0.499861288181496</c:v>
                </c:pt>
                <c:pt idx="8" formatCode="0.000">
                  <c:v>0.40695810522245701</c:v>
                </c:pt>
                <c:pt idx="9" formatCode="0.000">
                  <c:v>5.4056282725128302E-2</c:v>
                </c:pt>
                <c:pt idx="11" formatCode="0.000">
                  <c:v>0.26690920736687102</c:v>
                </c:pt>
                <c:pt idx="12" formatCode="0.000">
                  <c:v>0.45125668170602201</c:v>
                </c:pt>
                <c:pt idx="13" formatCode="0.000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925-4FE1-97EC-D92264973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378239"/>
        <c:axId val="892384479"/>
      </c:scatterChart>
      <c:valAx>
        <c:axId val="89237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84479"/>
        <c:crosses val="autoZero"/>
        <c:crossBetween val="midCat"/>
      </c:valAx>
      <c:valAx>
        <c:axId val="89238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7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</a:t>
            </a:r>
            <a:r>
              <a:rPr lang="en-US" baseline="0"/>
              <a:t> to E integral</a:t>
            </a:r>
            <a:endParaRPr lang="en-US"/>
          </a:p>
        </c:rich>
      </c:tx>
      <c:layout>
        <c:manualLayout>
          <c:xMode val="edge"/>
          <c:yMode val="edge"/>
          <c:x val="0.17906646573955362"/>
          <c:y val="2.4822690414793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downstream!$B$37</c:f>
              <c:strCache>
                <c:ptCount val="1"/>
                <c:pt idx="0">
                  <c:v>Aich SSC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6721341650475509"/>
                  <c:y val="0.103428113152522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downstream!$B$38:$B$53</c:f>
              <c:numCache>
                <c:formatCode>0.0000</c:formatCode>
                <c:ptCount val="16"/>
                <c:pt idx="0">
                  <c:v>9.4513218106104094E-2</c:v>
                </c:pt>
                <c:pt idx="1">
                  <c:v>4.2663094228711902E-2</c:v>
                </c:pt>
                <c:pt idx="5">
                  <c:v>8.8732929175135894E-2</c:v>
                </c:pt>
                <c:pt idx="6">
                  <c:v>-1.9463558010346702E-2</c:v>
                </c:pt>
                <c:pt idx="7">
                  <c:v>0.10415722716452799</c:v>
                </c:pt>
                <c:pt idx="8">
                  <c:v>4.66251429291673E-2</c:v>
                </c:pt>
                <c:pt idx="9">
                  <c:v>9.0894558490112708E-3</c:v>
                </c:pt>
                <c:pt idx="12">
                  <c:v>2.0373962034653699E-2</c:v>
                </c:pt>
              </c:numCache>
            </c:numRef>
          </c:xVal>
          <c:yVal>
            <c:numRef>
              <c:f>downstream!$F$38:$F$53</c:f>
              <c:numCache>
                <c:formatCode>General</c:formatCode>
                <c:ptCount val="16"/>
                <c:pt idx="2" formatCode="0.000">
                  <c:v>1.9432258375425799</c:v>
                </c:pt>
                <c:pt idx="3" formatCode="0.000">
                  <c:v>2.3768784113539301</c:v>
                </c:pt>
                <c:pt idx="4" formatCode="0.000">
                  <c:v>70.349925179505803</c:v>
                </c:pt>
                <c:pt idx="5" formatCode="0.000">
                  <c:v>5.4523947827090398</c:v>
                </c:pt>
                <c:pt idx="7" formatCode="0.000">
                  <c:v>33.895949402833203</c:v>
                </c:pt>
                <c:pt idx="8" formatCode="0.000">
                  <c:v>32.177431699139497</c:v>
                </c:pt>
                <c:pt idx="9" formatCode="0.000">
                  <c:v>31.253302872972</c:v>
                </c:pt>
                <c:pt idx="11" formatCode="0.000">
                  <c:v>42.7547044117564</c:v>
                </c:pt>
                <c:pt idx="12" formatCode="0.000">
                  <c:v>175.86248095131899</c:v>
                </c:pt>
                <c:pt idx="13" formatCode="0.000">
                  <c:v>52.638565780695899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3B-49A5-AFA6-13EA4B1ED9CB}"/>
            </c:ext>
          </c:extLst>
        </c:ser>
        <c:ser>
          <c:idx val="1"/>
          <c:order val="1"/>
          <c:tx>
            <c:strRef>
              <c:f>downstream!$C$37</c:f>
              <c:strCache>
                <c:ptCount val="1"/>
                <c:pt idx="0">
                  <c:v>Aich DOC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929429064677021"/>
                  <c:y val="-0.2684655407632879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downstream!$C$38:$C$53</c:f>
              <c:numCache>
                <c:formatCode>0.000</c:formatCode>
                <c:ptCount val="16"/>
                <c:pt idx="0">
                  <c:v>3.4332675043980999E-2</c:v>
                </c:pt>
                <c:pt idx="1">
                  <c:v>2.8668980226143202E-2</c:v>
                </c:pt>
                <c:pt idx="5">
                  <c:v>1.20306787922476E-2</c:v>
                </c:pt>
                <c:pt idx="6">
                  <c:v>2.7386597361713599E-2</c:v>
                </c:pt>
                <c:pt idx="7">
                  <c:v>2.8615745110634201E-2</c:v>
                </c:pt>
                <c:pt idx="8">
                  <c:v>4.4113621235337297E-2</c:v>
                </c:pt>
                <c:pt idx="9">
                  <c:v>-8.0536265843332393E-3</c:v>
                </c:pt>
                <c:pt idx="12">
                  <c:v>2.7450804091866201E-2</c:v>
                </c:pt>
              </c:numCache>
            </c:numRef>
          </c:xVal>
          <c:yVal>
            <c:numRef>
              <c:f>downstream!$F$38:$F$53</c:f>
              <c:numCache>
                <c:formatCode>General</c:formatCode>
                <c:ptCount val="16"/>
                <c:pt idx="2" formatCode="0.000">
                  <c:v>1.9432258375425799</c:v>
                </c:pt>
                <c:pt idx="3" formatCode="0.000">
                  <c:v>2.3768784113539301</c:v>
                </c:pt>
                <c:pt idx="4" formatCode="0.000">
                  <c:v>70.349925179505803</c:v>
                </c:pt>
                <c:pt idx="5" formatCode="0.000">
                  <c:v>5.4523947827090398</c:v>
                </c:pt>
                <c:pt idx="7" formatCode="0.000">
                  <c:v>33.895949402833203</c:v>
                </c:pt>
                <c:pt idx="8" formatCode="0.000">
                  <c:v>32.177431699139497</c:v>
                </c:pt>
                <c:pt idx="9" formatCode="0.000">
                  <c:v>31.253302872972</c:v>
                </c:pt>
                <c:pt idx="11" formatCode="0.000">
                  <c:v>42.7547044117564</c:v>
                </c:pt>
                <c:pt idx="12" formatCode="0.000">
                  <c:v>175.86248095131899</c:v>
                </c:pt>
                <c:pt idx="13" formatCode="0.000">
                  <c:v>52.638565780695899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3B-49A5-AFA6-13EA4B1ED9CB}"/>
            </c:ext>
          </c:extLst>
        </c:ser>
        <c:ser>
          <c:idx val="2"/>
          <c:order val="2"/>
          <c:tx>
            <c:strRef>
              <c:f>downstream!$D$37</c:f>
              <c:strCache>
                <c:ptCount val="1"/>
                <c:pt idx="0">
                  <c:v>Aich Turbidity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6765177080137711E-2"/>
                  <c:y val="-0.24872849227179936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downstream!$D$38:$D$53</c:f>
              <c:numCache>
                <c:formatCode>0.0000</c:formatCode>
                <c:ptCount val="16"/>
                <c:pt idx="0">
                  <c:v>5.1856335362832198E-2</c:v>
                </c:pt>
                <c:pt idx="1">
                  <c:v>0.103368750113241</c:v>
                </c:pt>
                <c:pt idx="2">
                  <c:v>0.11077055296162799</c:v>
                </c:pt>
                <c:pt idx="3">
                  <c:v>1.0650915621547401E-2</c:v>
                </c:pt>
                <c:pt idx="4">
                  <c:v>-2.2683422982125001E-2</c:v>
                </c:pt>
                <c:pt idx="5">
                  <c:v>0.15621819275209001</c:v>
                </c:pt>
                <c:pt idx="6">
                  <c:v>0.15071577677020101</c:v>
                </c:pt>
                <c:pt idx="7">
                  <c:v>5.5397551503622099E-2</c:v>
                </c:pt>
                <c:pt idx="8">
                  <c:v>6.9883057908481996E-2</c:v>
                </c:pt>
                <c:pt idx="9">
                  <c:v>7.8645648239850305E-2</c:v>
                </c:pt>
                <c:pt idx="10">
                  <c:v>0.17832892113485599</c:v>
                </c:pt>
                <c:pt idx="11">
                  <c:v>2.1496979213356301E-3</c:v>
                </c:pt>
                <c:pt idx="12">
                  <c:v>0.101236914763633</c:v>
                </c:pt>
                <c:pt idx="13">
                  <c:v>0.107400232693555</c:v>
                </c:pt>
              </c:numCache>
            </c:numRef>
          </c:xVal>
          <c:yVal>
            <c:numRef>
              <c:f>downstream!$F$38:$F$53</c:f>
              <c:numCache>
                <c:formatCode>General</c:formatCode>
                <c:ptCount val="16"/>
                <c:pt idx="2" formatCode="0.000">
                  <c:v>1.9432258375425799</c:v>
                </c:pt>
                <c:pt idx="3" formatCode="0.000">
                  <c:v>2.3768784113539301</c:v>
                </c:pt>
                <c:pt idx="4" formatCode="0.000">
                  <c:v>70.349925179505803</c:v>
                </c:pt>
                <c:pt idx="5" formatCode="0.000">
                  <c:v>5.4523947827090398</c:v>
                </c:pt>
                <c:pt idx="7" formatCode="0.000">
                  <c:v>33.895949402833203</c:v>
                </c:pt>
                <c:pt idx="8" formatCode="0.000">
                  <c:v>32.177431699139497</c:v>
                </c:pt>
                <c:pt idx="9" formatCode="0.000">
                  <c:v>31.253302872972</c:v>
                </c:pt>
                <c:pt idx="11" formatCode="0.000">
                  <c:v>42.7547044117564</c:v>
                </c:pt>
                <c:pt idx="12" formatCode="0.000">
                  <c:v>175.86248095131899</c:v>
                </c:pt>
                <c:pt idx="13" formatCode="0.000">
                  <c:v>52.638565780695899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3B-49A5-AFA6-13EA4B1ED9CB}"/>
            </c:ext>
          </c:extLst>
        </c:ser>
        <c:ser>
          <c:idx val="3"/>
          <c:order val="3"/>
          <c:tx>
            <c:strRef>
              <c:f>downstream!$E$37</c:f>
              <c:strCache>
                <c:ptCount val="1"/>
                <c:pt idx="0">
                  <c:v>Aich 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486211950778885"/>
                  <c:y val="-0.18315398075240594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downstream!$E$38:$E$53</c:f>
              <c:numCache>
                <c:formatCode>0.0000</c:formatCode>
                <c:ptCount val="16"/>
                <c:pt idx="0">
                  <c:v>1.3430417175947699E-2</c:v>
                </c:pt>
                <c:pt idx="1">
                  <c:v>-1.61778645652975E-2</c:v>
                </c:pt>
                <c:pt idx="2">
                  <c:v>-3.7834846370905402E-3</c:v>
                </c:pt>
                <c:pt idx="3">
                  <c:v>6.4581353214806597E-2</c:v>
                </c:pt>
                <c:pt idx="4">
                  <c:v>6.1895687016862502E-2</c:v>
                </c:pt>
                <c:pt idx="5">
                  <c:v>2.95836818188689E-2</c:v>
                </c:pt>
                <c:pt idx="6">
                  <c:v>-5.4892758010415703E-2</c:v>
                </c:pt>
                <c:pt idx="7">
                  <c:v>8.8641812543785899E-3</c:v>
                </c:pt>
                <c:pt idx="8">
                  <c:v>1.32778322661357E-2</c:v>
                </c:pt>
                <c:pt idx="9">
                  <c:v>-6.0975544853349099E-2</c:v>
                </c:pt>
                <c:pt idx="10">
                  <c:v>4.2081062239471598E-2</c:v>
                </c:pt>
                <c:pt idx="11">
                  <c:v>-1.77749404385871E-2</c:v>
                </c:pt>
                <c:pt idx="12">
                  <c:v>3.08855730575289E-3</c:v>
                </c:pt>
                <c:pt idx="13">
                  <c:v>-5.3081166180475401E-3</c:v>
                </c:pt>
              </c:numCache>
            </c:numRef>
          </c:xVal>
          <c:yVal>
            <c:numRef>
              <c:f>downstream!$F$38:$F$53</c:f>
              <c:numCache>
                <c:formatCode>General</c:formatCode>
                <c:ptCount val="16"/>
                <c:pt idx="2" formatCode="0.000">
                  <c:v>1.9432258375425799</c:v>
                </c:pt>
                <c:pt idx="3" formatCode="0.000">
                  <c:v>2.3768784113539301</c:v>
                </c:pt>
                <c:pt idx="4" formatCode="0.000">
                  <c:v>70.349925179505803</c:v>
                </c:pt>
                <c:pt idx="5" formatCode="0.000">
                  <c:v>5.4523947827090398</c:v>
                </c:pt>
                <c:pt idx="7" formatCode="0.000">
                  <c:v>33.895949402833203</c:v>
                </c:pt>
                <c:pt idx="8" formatCode="0.000">
                  <c:v>32.177431699139497</c:v>
                </c:pt>
                <c:pt idx="9" formatCode="0.000">
                  <c:v>31.253302872972</c:v>
                </c:pt>
                <c:pt idx="11" formatCode="0.000">
                  <c:v>42.7547044117564</c:v>
                </c:pt>
                <c:pt idx="12" formatCode="0.000">
                  <c:v>175.86248095131899</c:v>
                </c:pt>
                <c:pt idx="13" formatCode="0.000">
                  <c:v>52.638565780695899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D3B-49A5-AFA6-13EA4B1ED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378239"/>
        <c:axId val="892384479"/>
      </c:scatterChart>
      <c:valAx>
        <c:axId val="89237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84479"/>
        <c:crosses val="autoZero"/>
        <c:crossBetween val="midCat"/>
      </c:valAx>
      <c:valAx>
        <c:axId val="89238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7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</a:t>
            </a:r>
            <a:r>
              <a:rPr lang="en-US" baseline="0"/>
              <a:t> to </a:t>
            </a:r>
            <a:r>
              <a:rPr lang="el-GR" baseline="0"/>
              <a:t>τ</a:t>
            </a:r>
            <a:r>
              <a:rPr lang="en-US" baseline="0"/>
              <a:t>peak / </a:t>
            </a:r>
            <a:r>
              <a:rPr lang="el-GR" baseline="0"/>
              <a:t>τ</a:t>
            </a:r>
            <a:r>
              <a:rPr lang="en-US" baseline="0"/>
              <a:t>c </a:t>
            </a:r>
            <a:endParaRPr lang="en-US"/>
          </a:p>
        </c:rich>
      </c:tx>
      <c:layout>
        <c:manualLayout>
          <c:xMode val="edge"/>
          <c:yMode val="edge"/>
          <c:x val="0.17906646573955362"/>
          <c:y val="2.4822690414793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downstream!$B$37</c:f>
              <c:strCache>
                <c:ptCount val="1"/>
                <c:pt idx="0">
                  <c:v>Aich SSC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447354927205941"/>
                  <c:y val="9.33642628833672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downstream!$B$38:$B$53</c:f>
              <c:numCache>
                <c:formatCode>0.0000</c:formatCode>
                <c:ptCount val="16"/>
                <c:pt idx="0">
                  <c:v>9.4513218106104094E-2</c:v>
                </c:pt>
                <c:pt idx="1">
                  <c:v>4.2663094228711902E-2</c:v>
                </c:pt>
                <c:pt idx="5">
                  <c:v>8.8732929175135894E-2</c:v>
                </c:pt>
                <c:pt idx="6">
                  <c:v>-1.9463558010346702E-2</c:v>
                </c:pt>
                <c:pt idx="7">
                  <c:v>0.10415722716452799</c:v>
                </c:pt>
                <c:pt idx="8">
                  <c:v>4.66251429291673E-2</c:v>
                </c:pt>
                <c:pt idx="9">
                  <c:v>9.0894558490112708E-3</c:v>
                </c:pt>
                <c:pt idx="12">
                  <c:v>2.0373962034653699E-2</c:v>
                </c:pt>
              </c:numCache>
            </c:numRef>
          </c:xVal>
          <c:yVal>
            <c:numRef>
              <c:f>downstream!$I$38:$I$65</c:f>
              <c:numCache>
                <c:formatCode>0.0000</c:formatCode>
                <c:ptCount val="28"/>
                <c:pt idx="2">
                  <c:v>1.0078290838208943</c:v>
                </c:pt>
                <c:pt idx="3">
                  <c:v>1.008246697022094</c:v>
                </c:pt>
                <c:pt idx="4">
                  <c:v>1.0490052443540898</c:v>
                </c:pt>
                <c:pt idx="5">
                  <c:v>1.0119508062412015</c:v>
                </c:pt>
                <c:pt idx="7">
                  <c:v>1.0239451393319936</c:v>
                </c:pt>
                <c:pt idx="8">
                  <c:v>1.0275460447393339</c:v>
                </c:pt>
                <c:pt idx="9">
                  <c:v>1.0275826446035865</c:v>
                </c:pt>
                <c:pt idx="11">
                  <c:v>1.0572093304532362</c:v>
                </c:pt>
                <c:pt idx="12">
                  <c:v>1.111235100018195</c:v>
                </c:pt>
                <c:pt idx="13">
                  <c:v>1.0519758315193652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D2-4966-AF11-40119CBFA19E}"/>
            </c:ext>
          </c:extLst>
        </c:ser>
        <c:ser>
          <c:idx val="1"/>
          <c:order val="1"/>
          <c:tx>
            <c:strRef>
              <c:f>downstream!$C$37</c:f>
              <c:strCache>
                <c:ptCount val="1"/>
                <c:pt idx="0">
                  <c:v>Aich DOC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929429064677021"/>
                  <c:y val="-0.2684655407632879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downstream!$C$38:$C$53</c:f>
              <c:numCache>
                <c:formatCode>0.000</c:formatCode>
                <c:ptCount val="16"/>
                <c:pt idx="0">
                  <c:v>3.4332675043980999E-2</c:v>
                </c:pt>
                <c:pt idx="1">
                  <c:v>2.8668980226143202E-2</c:v>
                </c:pt>
                <c:pt idx="5">
                  <c:v>1.20306787922476E-2</c:v>
                </c:pt>
                <c:pt idx="6">
                  <c:v>2.7386597361713599E-2</c:v>
                </c:pt>
                <c:pt idx="7">
                  <c:v>2.8615745110634201E-2</c:v>
                </c:pt>
                <c:pt idx="8">
                  <c:v>4.4113621235337297E-2</c:v>
                </c:pt>
                <c:pt idx="9">
                  <c:v>-8.0536265843332393E-3</c:v>
                </c:pt>
                <c:pt idx="12">
                  <c:v>2.7450804091866201E-2</c:v>
                </c:pt>
              </c:numCache>
            </c:numRef>
          </c:xVal>
          <c:yVal>
            <c:numRef>
              <c:f>downstream!$I$38:$I$65</c:f>
              <c:numCache>
                <c:formatCode>0.0000</c:formatCode>
                <c:ptCount val="28"/>
                <c:pt idx="2">
                  <c:v>1.0078290838208943</c:v>
                </c:pt>
                <c:pt idx="3">
                  <c:v>1.008246697022094</c:v>
                </c:pt>
                <c:pt idx="4">
                  <c:v>1.0490052443540898</c:v>
                </c:pt>
                <c:pt idx="5">
                  <c:v>1.0119508062412015</c:v>
                </c:pt>
                <c:pt idx="7">
                  <c:v>1.0239451393319936</c:v>
                </c:pt>
                <c:pt idx="8">
                  <c:v>1.0275460447393339</c:v>
                </c:pt>
                <c:pt idx="9">
                  <c:v>1.0275826446035865</c:v>
                </c:pt>
                <c:pt idx="11">
                  <c:v>1.0572093304532362</c:v>
                </c:pt>
                <c:pt idx="12">
                  <c:v>1.111235100018195</c:v>
                </c:pt>
                <c:pt idx="13">
                  <c:v>1.0519758315193652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D2-4966-AF11-40119CBFA19E}"/>
            </c:ext>
          </c:extLst>
        </c:ser>
        <c:ser>
          <c:idx val="2"/>
          <c:order val="2"/>
          <c:tx>
            <c:strRef>
              <c:f>downstream!$D$37</c:f>
              <c:strCache>
                <c:ptCount val="1"/>
                <c:pt idx="0">
                  <c:v>Aich Turbidity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6765177080137711E-2"/>
                  <c:y val="-0.24872849227179936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downstream!$D$38:$D$53</c:f>
              <c:numCache>
                <c:formatCode>0.0000</c:formatCode>
                <c:ptCount val="16"/>
                <c:pt idx="0">
                  <c:v>5.1856335362832198E-2</c:v>
                </c:pt>
                <c:pt idx="1">
                  <c:v>0.103368750113241</c:v>
                </c:pt>
                <c:pt idx="2">
                  <c:v>0.11077055296162799</c:v>
                </c:pt>
                <c:pt idx="3">
                  <c:v>1.0650915621547401E-2</c:v>
                </c:pt>
                <c:pt idx="4">
                  <c:v>-2.2683422982125001E-2</c:v>
                </c:pt>
                <c:pt idx="5">
                  <c:v>0.15621819275209001</c:v>
                </c:pt>
                <c:pt idx="6">
                  <c:v>0.15071577677020101</c:v>
                </c:pt>
                <c:pt idx="7">
                  <c:v>5.5397551503622099E-2</c:v>
                </c:pt>
                <c:pt idx="8">
                  <c:v>6.9883057908481996E-2</c:v>
                </c:pt>
                <c:pt idx="9">
                  <c:v>7.8645648239850305E-2</c:v>
                </c:pt>
                <c:pt idx="10">
                  <c:v>0.17832892113485599</c:v>
                </c:pt>
                <c:pt idx="11">
                  <c:v>2.1496979213356301E-3</c:v>
                </c:pt>
                <c:pt idx="12">
                  <c:v>0.101236914763633</c:v>
                </c:pt>
                <c:pt idx="13">
                  <c:v>0.107400232693555</c:v>
                </c:pt>
              </c:numCache>
            </c:numRef>
          </c:xVal>
          <c:yVal>
            <c:numRef>
              <c:f>downstream!$I$38:$I$65</c:f>
              <c:numCache>
                <c:formatCode>0.0000</c:formatCode>
                <c:ptCount val="28"/>
                <c:pt idx="2">
                  <c:v>1.0078290838208943</c:v>
                </c:pt>
                <c:pt idx="3">
                  <c:v>1.008246697022094</c:v>
                </c:pt>
                <c:pt idx="4">
                  <c:v>1.0490052443540898</c:v>
                </c:pt>
                <c:pt idx="5">
                  <c:v>1.0119508062412015</c:v>
                </c:pt>
                <c:pt idx="7">
                  <c:v>1.0239451393319936</c:v>
                </c:pt>
                <c:pt idx="8">
                  <c:v>1.0275460447393339</c:v>
                </c:pt>
                <c:pt idx="9">
                  <c:v>1.0275826446035865</c:v>
                </c:pt>
                <c:pt idx="11">
                  <c:v>1.0572093304532362</c:v>
                </c:pt>
                <c:pt idx="12">
                  <c:v>1.111235100018195</c:v>
                </c:pt>
                <c:pt idx="13">
                  <c:v>1.0519758315193652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D2-4966-AF11-40119CBFA19E}"/>
            </c:ext>
          </c:extLst>
        </c:ser>
        <c:ser>
          <c:idx val="3"/>
          <c:order val="3"/>
          <c:tx>
            <c:strRef>
              <c:f>downstream!$E$37</c:f>
              <c:strCache>
                <c:ptCount val="1"/>
                <c:pt idx="0">
                  <c:v>Aich 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486211950778885"/>
                  <c:y val="-0.18315398075240594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downstream!$E$38:$E$53</c:f>
              <c:numCache>
                <c:formatCode>0.0000</c:formatCode>
                <c:ptCount val="16"/>
                <c:pt idx="0">
                  <c:v>1.3430417175947699E-2</c:v>
                </c:pt>
                <c:pt idx="1">
                  <c:v>-1.61778645652975E-2</c:v>
                </c:pt>
                <c:pt idx="2">
                  <c:v>-3.7834846370905402E-3</c:v>
                </c:pt>
                <c:pt idx="3">
                  <c:v>6.4581353214806597E-2</c:v>
                </c:pt>
                <c:pt idx="4">
                  <c:v>6.1895687016862502E-2</c:v>
                </c:pt>
                <c:pt idx="5">
                  <c:v>2.95836818188689E-2</c:v>
                </c:pt>
                <c:pt idx="6">
                  <c:v>-5.4892758010415703E-2</c:v>
                </c:pt>
                <c:pt idx="7">
                  <c:v>8.8641812543785899E-3</c:v>
                </c:pt>
                <c:pt idx="8">
                  <c:v>1.32778322661357E-2</c:v>
                </c:pt>
                <c:pt idx="9">
                  <c:v>-6.0975544853349099E-2</c:v>
                </c:pt>
                <c:pt idx="10">
                  <c:v>4.2081062239471598E-2</c:v>
                </c:pt>
                <c:pt idx="11">
                  <c:v>-1.77749404385871E-2</c:v>
                </c:pt>
                <c:pt idx="12">
                  <c:v>3.08855730575289E-3</c:v>
                </c:pt>
                <c:pt idx="13">
                  <c:v>-5.3081166180475401E-3</c:v>
                </c:pt>
              </c:numCache>
            </c:numRef>
          </c:xVal>
          <c:yVal>
            <c:numRef>
              <c:f>downstream!$I$38:$I$65</c:f>
              <c:numCache>
                <c:formatCode>0.0000</c:formatCode>
                <c:ptCount val="28"/>
                <c:pt idx="2">
                  <c:v>1.0078290838208943</c:v>
                </c:pt>
                <c:pt idx="3">
                  <c:v>1.008246697022094</c:v>
                </c:pt>
                <c:pt idx="4">
                  <c:v>1.0490052443540898</c:v>
                </c:pt>
                <c:pt idx="5">
                  <c:v>1.0119508062412015</c:v>
                </c:pt>
                <c:pt idx="7">
                  <c:v>1.0239451393319936</c:v>
                </c:pt>
                <c:pt idx="8">
                  <c:v>1.0275460447393339</c:v>
                </c:pt>
                <c:pt idx="9">
                  <c:v>1.0275826446035865</c:v>
                </c:pt>
                <c:pt idx="11">
                  <c:v>1.0572093304532362</c:v>
                </c:pt>
                <c:pt idx="12">
                  <c:v>1.111235100018195</c:v>
                </c:pt>
                <c:pt idx="13">
                  <c:v>1.0519758315193652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D2-4966-AF11-40119CBFA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378239"/>
        <c:axId val="892384479"/>
      </c:scatterChart>
      <c:valAx>
        <c:axId val="89237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84479"/>
        <c:crosses val="autoZero"/>
        <c:crossBetween val="midCat"/>
      </c:valAx>
      <c:valAx>
        <c:axId val="89238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7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</a:t>
            </a:r>
            <a:r>
              <a:rPr lang="en-US" baseline="0"/>
              <a:t> to time between events</a:t>
            </a:r>
            <a:endParaRPr lang="en-US"/>
          </a:p>
        </c:rich>
      </c:tx>
      <c:layout>
        <c:manualLayout>
          <c:xMode val="edge"/>
          <c:yMode val="edge"/>
          <c:x val="9.6853523657600304E-2"/>
          <c:y val="2.4822690414793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downstream!$B$37</c:f>
              <c:strCache>
                <c:ptCount val="1"/>
                <c:pt idx="0">
                  <c:v>Aich SSC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447354927205941"/>
                  <c:y val="9.33642628833672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downstream!$B$38:$B$53</c:f>
              <c:numCache>
                <c:formatCode>0.0000</c:formatCode>
                <c:ptCount val="16"/>
                <c:pt idx="0">
                  <c:v>9.4513218106104094E-2</c:v>
                </c:pt>
                <c:pt idx="1">
                  <c:v>4.2663094228711902E-2</c:v>
                </c:pt>
                <c:pt idx="5">
                  <c:v>8.8732929175135894E-2</c:v>
                </c:pt>
                <c:pt idx="6">
                  <c:v>-1.9463558010346702E-2</c:v>
                </c:pt>
                <c:pt idx="7">
                  <c:v>0.10415722716452799</c:v>
                </c:pt>
                <c:pt idx="8">
                  <c:v>4.66251429291673E-2</c:v>
                </c:pt>
                <c:pt idx="9">
                  <c:v>9.0894558490112708E-3</c:v>
                </c:pt>
                <c:pt idx="12">
                  <c:v>2.0373962034653699E-2</c:v>
                </c:pt>
              </c:numCache>
            </c:numRef>
          </c:xVal>
          <c:yVal>
            <c:numRef>
              <c:f>downstream!$G$38:$G$65</c:f>
              <c:numCache>
                <c:formatCode>General</c:formatCode>
                <c:ptCount val="28"/>
                <c:pt idx="2">
                  <c:v>21.75</c:v>
                </c:pt>
                <c:pt idx="3">
                  <c:v>48.5</c:v>
                </c:pt>
                <c:pt idx="4">
                  <c:v>28.75</c:v>
                </c:pt>
                <c:pt idx="5">
                  <c:v>21</c:v>
                </c:pt>
                <c:pt idx="7">
                  <c:v>96.5</c:v>
                </c:pt>
                <c:pt idx="8">
                  <c:v>47.5</c:v>
                </c:pt>
                <c:pt idx="9">
                  <c:v>23.5</c:v>
                </c:pt>
                <c:pt idx="11">
                  <c:v>47.75</c:v>
                </c:pt>
                <c:pt idx="12">
                  <c:v>23.75</c:v>
                </c:pt>
                <c:pt idx="13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E8-443D-88C2-5FDD95D06076}"/>
            </c:ext>
          </c:extLst>
        </c:ser>
        <c:ser>
          <c:idx val="1"/>
          <c:order val="1"/>
          <c:tx>
            <c:strRef>
              <c:f>downstream!$C$37</c:f>
              <c:strCache>
                <c:ptCount val="1"/>
                <c:pt idx="0">
                  <c:v>Aich DOC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416751133962804"/>
                  <c:y val="-0.3026080748179573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downstream!$C$38:$C$53</c:f>
              <c:numCache>
                <c:formatCode>0.000</c:formatCode>
                <c:ptCount val="16"/>
                <c:pt idx="0">
                  <c:v>3.4332675043980999E-2</c:v>
                </c:pt>
                <c:pt idx="1">
                  <c:v>2.8668980226143202E-2</c:v>
                </c:pt>
                <c:pt idx="5">
                  <c:v>1.20306787922476E-2</c:v>
                </c:pt>
                <c:pt idx="6">
                  <c:v>2.7386597361713599E-2</c:v>
                </c:pt>
                <c:pt idx="7">
                  <c:v>2.8615745110634201E-2</c:v>
                </c:pt>
                <c:pt idx="8">
                  <c:v>4.4113621235337297E-2</c:v>
                </c:pt>
                <c:pt idx="9">
                  <c:v>-8.0536265843332393E-3</c:v>
                </c:pt>
                <c:pt idx="12">
                  <c:v>2.7450804091866201E-2</c:v>
                </c:pt>
              </c:numCache>
            </c:numRef>
          </c:xVal>
          <c:yVal>
            <c:numRef>
              <c:f>downstream!$G$38:$G$65</c:f>
              <c:numCache>
                <c:formatCode>General</c:formatCode>
                <c:ptCount val="28"/>
                <c:pt idx="2">
                  <c:v>21.75</c:v>
                </c:pt>
                <c:pt idx="3">
                  <c:v>48.5</c:v>
                </c:pt>
                <c:pt idx="4">
                  <c:v>28.75</c:v>
                </c:pt>
                <c:pt idx="5">
                  <c:v>21</c:v>
                </c:pt>
                <c:pt idx="7">
                  <c:v>96.5</c:v>
                </c:pt>
                <c:pt idx="8">
                  <c:v>47.5</c:v>
                </c:pt>
                <c:pt idx="9">
                  <c:v>23.5</c:v>
                </c:pt>
                <c:pt idx="11">
                  <c:v>47.75</c:v>
                </c:pt>
                <c:pt idx="12">
                  <c:v>23.75</c:v>
                </c:pt>
                <c:pt idx="13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E8-443D-88C2-5FDD95D06076}"/>
            </c:ext>
          </c:extLst>
        </c:ser>
        <c:ser>
          <c:idx val="2"/>
          <c:order val="2"/>
          <c:tx>
            <c:strRef>
              <c:f>downstream!$D$37</c:f>
              <c:strCache>
                <c:ptCount val="1"/>
                <c:pt idx="0">
                  <c:v>Aich Turbidity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6765177080137711E-2"/>
                  <c:y val="-0.24872849227179936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downstream!$D$38:$D$53</c:f>
              <c:numCache>
                <c:formatCode>0.0000</c:formatCode>
                <c:ptCount val="16"/>
                <c:pt idx="0">
                  <c:v>5.1856335362832198E-2</c:v>
                </c:pt>
                <c:pt idx="1">
                  <c:v>0.103368750113241</c:v>
                </c:pt>
                <c:pt idx="2">
                  <c:v>0.11077055296162799</c:v>
                </c:pt>
                <c:pt idx="3">
                  <c:v>1.0650915621547401E-2</c:v>
                </c:pt>
                <c:pt idx="4">
                  <c:v>-2.2683422982125001E-2</c:v>
                </c:pt>
                <c:pt idx="5">
                  <c:v>0.15621819275209001</c:v>
                </c:pt>
                <c:pt idx="6">
                  <c:v>0.15071577677020101</c:v>
                </c:pt>
                <c:pt idx="7">
                  <c:v>5.5397551503622099E-2</c:v>
                </c:pt>
                <c:pt idx="8">
                  <c:v>6.9883057908481996E-2</c:v>
                </c:pt>
                <c:pt idx="9">
                  <c:v>7.8645648239850305E-2</c:v>
                </c:pt>
                <c:pt idx="10">
                  <c:v>0.17832892113485599</c:v>
                </c:pt>
                <c:pt idx="11">
                  <c:v>2.1496979213356301E-3</c:v>
                </c:pt>
                <c:pt idx="12">
                  <c:v>0.101236914763633</c:v>
                </c:pt>
                <c:pt idx="13">
                  <c:v>0.107400232693555</c:v>
                </c:pt>
              </c:numCache>
            </c:numRef>
          </c:xVal>
          <c:yVal>
            <c:numRef>
              <c:f>downstream!$G$38:$G$65</c:f>
              <c:numCache>
                <c:formatCode>General</c:formatCode>
                <c:ptCount val="28"/>
                <c:pt idx="2">
                  <c:v>21.75</c:v>
                </c:pt>
                <c:pt idx="3">
                  <c:v>48.5</c:v>
                </c:pt>
                <c:pt idx="4">
                  <c:v>28.75</c:v>
                </c:pt>
                <c:pt idx="5">
                  <c:v>21</c:v>
                </c:pt>
                <c:pt idx="7">
                  <c:v>96.5</c:v>
                </c:pt>
                <c:pt idx="8">
                  <c:v>47.5</c:v>
                </c:pt>
                <c:pt idx="9">
                  <c:v>23.5</c:v>
                </c:pt>
                <c:pt idx="11">
                  <c:v>47.75</c:v>
                </c:pt>
                <c:pt idx="12">
                  <c:v>23.75</c:v>
                </c:pt>
                <c:pt idx="13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3E8-443D-88C2-5FDD95D06076}"/>
            </c:ext>
          </c:extLst>
        </c:ser>
        <c:ser>
          <c:idx val="3"/>
          <c:order val="3"/>
          <c:tx>
            <c:strRef>
              <c:f>downstream!$E$37</c:f>
              <c:strCache>
                <c:ptCount val="1"/>
                <c:pt idx="0">
                  <c:v>Aich 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639012613366469"/>
                  <c:y val="-0.10206556056931916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downstream!$E$38:$E$53</c:f>
              <c:numCache>
                <c:formatCode>0.0000</c:formatCode>
                <c:ptCount val="16"/>
                <c:pt idx="0">
                  <c:v>1.3430417175947699E-2</c:v>
                </c:pt>
                <c:pt idx="1">
                  <c:v>-1.61778645652975E-2</c:v>
                </c:pt>
                <c:pt idx="2">
                  <c:v>-3.7834846370905402E-3</c:v>
                </c:pt>
                <c:pt idx="3">
                  <c:v>6.4581353214806597E-2</c:v>
                </c:pt>
                <c:pt idx="4">
                  <c:v>6.1895687016862502E-2</c:v>
                </c:pt>
                <c:pt idx="5">
                  <c:v>2.95836818188689E-2</c:v>
                </c:pt>
                <c:pt idx="6">
                  <c:v>-5.4892758010415703E-2</c:v>
                </c:pt>
                <c:pt idx="7">
                  <c:v>8.8641812543785899E-3</c:v>
                </c:pt>
                <c:pt idx="8">
                  <c:v>1.32778322661357E-2</c:v>
                </c:pt>
                <c:pt idx="9">
                  <c:v>-6.0975544853349099E-2</c:v>
                </c:pt>
                <c:pt idx="10">
                  <c:v>4.2081062239471598E-2</c:v>
                </c:pt>
                <c:pt idx="11">
                  <c:v>-1.77749404385871E-2</c:v>
                </c:pt>
                <c:pt idx="12">
                  <c:v>3.08855730575289E-3</c:v>
                </c:pt>
                <c:pt idx="13">
                  <c:v>-5.3081166180475401E-3</c:v>
                </c:pt>
              </c:numCache>
            </c:numRef>
          </c:xVal>
          <c:yVal>
            <c:numRef>
              <c:f>downstream!$G$38:$G$65</c:f>
              <c:numCache>
                <c:formatCode>General</c:formatCode>
                <c:ptCount val="28"/>
                <c:pt idx="2">
                  <c:v>21.75</c:v>
                </c:pt>
                <c:pt idx="3">
                  <c:v>48.5</c:v>
                </c:pt>
                <c:pt idx="4">
                  <c:v>28.75</c:v>
                </c:pt>
                <c:pt idx="5">
                  <c:v>21</c:v>
                </c:pt>
                <c:pt idx="7">
                  <c:v>96.5</c:v>
                </c:pt>
                <c:pt idx="8">
                  <c:v>47.5</c:v>
                </c:pt>
                <c:pt idx="9">
                  <c:v>23.5</c:v>
                </c:pt>
                <c:pt idx="11">
                  <c:v>47.75</c:v>
                </c:pt>
                <c:pt idx="12">
                  <c:v>23.75</c:v>
                </c:pt>
                <c:pt idx="13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3E8-443D-88C2-5FDD95D06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378239"/>
        <c:axId val="892384479"/>
      </c:scatterChart>
      <c:valAx>
        <c:axId val="89237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84479"/>
        <c:crosses val="autoZero"/>
        <c:crossBetween val="midCat"/>
      </c:valAx>
      <c:valAx>
        <c:axId val="89238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7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</a:t>
            </a:r>
            <a:r>
              <a:rPr lang="en-US" baseline="0"/>
              <a:t> to time </a:t>
            </a:r>
            <a:r>
              <a:rPr lang="el-GR" baseline="0"/>
              <a:t>τ &gt; τ</a:t>
            </a:r>
            <a:r>
              <a:rPr lang="en-US" baseline="0"/>
              <a:t>c (hrs)</a:t>
            </a:r>
            <a:endParaRPr lang="en-US"/>
          </a:p>
        </c:rich>
      </c:tx>
      <c:layout>
        <c:manualLayout>
          <c:xMode val="edge"/>
          <c:yMode val="edge"/>
          <c:x val="0.1357964962227361"/>
          <c:y val="4.13711506913217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downstream!$B$37</c:f>
              <c:strCache>
                <c:ptCount val="1"/>
                <c:pt idx="0">
                  <c:v>Aich SSC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447354927205941"/>
                  <c:y val="9.33642628833672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downstream!$B$38:$B$53</c:f>
              <c:numCache>
                <c:formatCode>0.0000</c:formatCode>
                <c:ptCount val="16"/>
                <c:pt idx="0">
                  <c:v>9.4513218106104094E-2</c:v>
                </c:pt>
                <c:pt idx="1">
                  <c:v>4.2663094228711902E-2</c:v>
                </c:pt>
                <c:pt idx="5">
                  <c:v>8.8732929175135894E-2</c:v>
                </c:pt>
                <c:pt idx="6">
                  <c:v>-1.9463558010346702E-2</c:v>
                </c:pt>
                <c:pt idx="7">
                  <c:v>0.10415722716452799</c:v>
                </c:pt>
                <c:pt idx="8">
                  <c:v>4.66251429291673E-2</c:v>
                </c:pt>
                <c:pt idx="9">
                  <c:v>9.0894558490112708E-3</c:v>
                </c:pt>
                <c:pt idx="12">
                  <c:v>2.0373962034653699E-2</c:v>
                </c:pt>
              </c:numCache>
            </c:numRef>
          </c:xVal>
          <c:yVal>
            <c:numRef>
              <c:f>downstream!$H$38:$H$65</c:f>
              <c:numCache>
                <c:formatCode>General</c:formatCode>
                <c:ptCount val="28"/>
                <c:pt idx="2" formatCode="0.000">
                  <c:v>2.4954469283408098</c:v>
                </c:pt>
                <c:pt idx="3" formatCode="0.000">
                  <c:v>4.9705418000804897</c:v>
                </c:pt>
                <c:pt idx="4" formatCode="0.000">
                  <c:v>18.738059749368901</c:v>
                </c:pt>
                <c:pt idx="5" formatCode="0.000">
                  <c:v>8.1761484496582497</c:v>
                </c:pt>
                <c:pt idx="7" formatCode="0.000">
                  <c:v>19.594840851392899</c:v>
                </c:pt>
                <c:pt idx="8" formatCode="0.000">
                  <c:v>17.2552427011953</c:v>
                </c:pt>
                <c:pt idx="9" formatCode="0.000">
                  <c:v>17.024424898784201</c:v>
                </c:pt>
                <c:pt idx="11" formatCode="0.000">
                  <c:v>15.1069524712688</c:v>
                </c:pt>
                <c:pt idx="12" formatCode="0.000">
                  <c:v>21.9579587943592</c:v>
                </c:pt>
                <c:pt idx="13" formatCode="0.000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30-49FB-857D-E7DF2F31FF3E}"/>
            </c:ext>
          </c:extLst>
        </c:ser>
        <c:ser>
          <c:idx val="1"/>
          <c:order val="1"/>
          <c:tx>
            <c:strRef>
              <c:f>downstream!$C$37</c:f>
              <c:strCache>
                <c:ptCount val="1"/>
                <c:pt idx="0">
                  <c:v>Aich DOC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651664479886449"/>
                  <c:y val="0.3610098730459460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downstream!$C$38:$C$53</c:f>
              <c:numCache>
                <c:formatCode>0.000</c:formatCode>
                <c:ptCount val="16"/>
                <c:pt idx="0">
                  <c:v>3.4332675043980999E-2</c:v>
                </c:pt>
                <c:pt idx="1">
                  <c:v>2.8668980226143202E-2</c:v>
                </c:pt>
                <c:pt idx="5">
                  <c:v>1.20306787922476E-2</c:v>
                </c:pt>
                <c:pt idx="6">
                  <c:v>2.7386597361713599E-2</c:v>
                </c:pt>
                <c:pt idx="7">
                  <c:v>2.8615745110634201E-2</c:v>
                </c:pt>
                <c:pt idx="8">
                  <c:v>4.4113621235337297E-2</c:v>
                </c:pt>
                <c:pt idx="9">
                  <c:v>-8.0536265843332393E-3</c:v>
                </c:pt>
                <c:pt idx="12">
                  <c:v>2.7450804091866201E-2</c:v>
                </c:pt>
              </c:numCache>
            </c:numRef>
          </c:xVal>
          <c:yVal>
            <c:numRef>
              <c:f>downstream!$H$38:$H$65</c:f>
              <c:numCache>
                <c:formatCode>General</c:formatCode>
                <c:ptCount val="28"/>
                <c:pt idx="2" formatCode="0.000">
                  <c:v>2.4954469283408098</c:v>
                </c:pt>
                <c:pt idx="3" formatCode="0.000">
                  <c:v>4.9705418000804897</c:v>
                </c:pt>
                <c:pt idx="4" formatCode="0.000">
                  <c:v>18.738059749368901</c:v>
                </c:pt>
                <c:pt idx="5" formatCode="0.000">
                  <c:v>8.1761484496582497</c:v>
                </c:pt>
                <c:pt idx="7" formatCode="0.000">
                  <c:v>19.594840851392899</c:v>
                </c:pt>
                <c:pt idx="8" formatCode="0.000">
                  <c:v>17.2552427011953</c:v>
                </c:pt>
                <c:pt idx="9" formatCode="0.000">
                  <c:v>17.024424898784201</c:v>
                </c:pt>
                <c:pt idx="11" formatCode="0.000">
                  <c:v>15.1069524712688</c:v>
                </c:pt>
                <c:pt idx="12" formatCode="0.000">
                  <c:v>21.9579587943592</c:v>
                </c:pt>
                <c:pt idx="13" formatCode="0.000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30-49FB-857D-E7DF2F31FF3E}"/>
            </c:ext>
          </c:extLst>
        </c:ser>
        <c:ser>
          <c:idx val="2"/>
          <c:order val="2"/>
          <c:tx>
            <c:strRef>
              <c:f>downstream!$D$37</c:f>
              <c:strCache>
                <c:ptCount val="1"/>
                <c:pt idx="0">
                  <c:v>Aich Turbidity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6765177080137711E-2"/>
                  <c:y val="-0.24872849227179936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downstream!$D$38:$D$53</c:f>
              <c:numCache>
                <c:formatCode>0.0000</c:formatCode>
                <c:ptCount val="16"/>
                <c:pt idx="0">
                  <c:v>5.1856335362832198E-2</c:v>
                </c:pt>
                <c:pt idx="1">
                  <c:v>0.103368750113241</c:v>
                </c:pt>
                <c:pt idx="2">
                  <c:v>0.11077055296162799</c:v>
                </c:pt>
                <c:pt idx="3">
                  <c:v>1.0650915621547401E-2</c:v>
                </c:pt>
                <c:pt idx="4">
                  <c:v>-2.2683422982125001E-2</c:v>
                </c:pt>
                <c:pt idx="5">
                  <c:v>0.15621819275209001</c:v>
                </c:pt>
                <c:pt idx="6">
                  <c:v>0.15071577677020101</c:v>
                </c:pt>
                <c:pt idx="7">
                  <c:v>5.5397551503622099E-2</c:v>
                </c:pt>
                <c:pt idx="8">
                  <c:v>6.9883057908481996E-2</c:v>
                </c:pt>
                <c:pt idx="9">
                  <c:v>7.8645648239850305E-2</c:v>
                </c:pt>
                <c:pt idx="10">
                  <c:v>0.17832892113485599</c:v>
                </c:pt>
                <c:pt idx="11">
                  <c:v>2.1496979213356301E-3</c:v>
                </c:pt>
                <c:pt idx="12">
                  <c:v>0.101236914763633</c:v>
                </c:pt>
                <c:pt idx="13">
                  <c:v>0.107400232693555</c:v>
                </c:pt>
              </c:numCache>
            </c:numRef>
          </c:xVal>
          <c:yVal>
            <c:numRef>
              <c:f>downstream!$H$38:$H$65</c:f>
              <c:numCache>
                <c:formatCode>General</c:formatCode>
                <c:ptCount val="28"/>
                <c:pt idx="2" formatCode="0.000">
                  <c:v>2.4954469283408098</c:v>
                </c:pt>
                <c:pt idx="3" formatCode="0.000">
                  <c:v>4.9705418000804897</c:v>
                </c:pt>
                <c:pt idx="4" formatCode="0.000">
                  <c:v>18.738059749368901</c:v>
                </c:pt>
                <c:pt idx="5" formatCode="0.000">
                  <c:v>8.1761484496582497</c:v>
                </c:pt>
                <c:pt idx="7" formatCode="0.000">
                  <c:v>19.594840851392899</c:v>
                </c:pt>
                <c:pt idx="8" formatCode="0.000">
                  <c:v>17.2552427011953</c:v>
                </c:pt>
                <c:pt idx="9" formatCode="0.000">
                  <c:v>17.024424898784201</c:v>
                </c:pt>
                <c:pt idx="11" formatCode="0.000">
                  <c:v>15.1069524712688</c:v>
                </c:pt>
                <c:pt idx="12" formatCode="0.000">
                  <c:v>21.9579587943592</c:v>
                </c:pt>
                <c:pt idx="13" formatCode="0.000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930-49FB-857D-E7DF2F31FF3E}"/>
            </c:ext>
          </c:extLst>
        </c:ser>
        <c:ser>
          <c:idx val="3"/>
          <c:order val="3"/>
          <c:tx>
            <c:strRef>
              <c:f>downstream!$E$37</c:f>
              <c:strCache>
                <c:ptCount val="1"/>
                <c:pt idx="0">
                  <c:v>Aich 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639012613366469"/>
                  <c:y val="-0.10206556056931916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downstream!$E$38:$E$53</c:f>
              <c:numCache>
                <c:formatCode>0.0000</c:formatCode>
                <c:ptCount val="16"/>
                <c:pt idx="0">
                  <c:v>1.3430417175947699E-2</c:v>
                </c:pt>
                <c:pt idx="1">
                  <c:v>-1.61778645652975E-2</c:v>
                </c:pt>
                <c:pt idx="2">
                  <c:v>-3.7834846370905402E-3</c:v>
                </c:pt>
                <c:pt idx="3">
                  <c:v>6.4581353214806597E-2</c:v>
                </c:pt>
                <c:pt idx="4">
                  <c:v>6.1895687016862502E-2</c:v>
                </c:pt>
                <c:pt idx="5">
                  <c:v>2.95836818188689E-2</c:v>
                </c:pt>
                <c:pt idx="6">
                  <c:v>-5.4892758010415703E-2</c:v>
                </c:pt>
                <c:pt idx="7">
                  <c:v>8.8641812543785899E-3</c:v>
                </c:pt>
                <c:pt idx="8">
                  <c:v>1.32778322661357E-2</c:v>
                </c:pt>
                <c:pt idx="9">
                  <c:v>-6.0975544853349099E-2</c:v>
                </c:pt>
                <c:pt idx="10">
                  <c:v>4.2081062239471598E-2</c:v>
                </c:pt>
                <c:pt idx="11">
                  <c:v>-1.77749404385871E-2</c:v>
                </c:pt>
                <c:pt idx="12">
                  <c:v>3.08855730575289E-3</c:v>
                </c:pt>
                <c:pt idx="13">
                  <c:v>-5.3081166180475401E-3</c:v>
                </c:pt>
              </c:numCache>
            </c:numRef>
          </c:xVal>
          <c:yVal>
            <c:numRef>
              <c:f>downstream!$H$38:$H$65</c:f>
              <c:numCache>
                <c:formatCode>General</c:formatCode>
                <c:ptCount val="28"/>
                <c:pt idx="2" formatCode="0.000">
                  <c:v>2.4954469283408098</c:v>
                </c:pt>
                <c:pt idx="3" formatCode="0.000">
                  <c:v>4.9705418000804897</c:v>
                </c:pt>
                <c:pt idx="4" formatCode="0.000">
                  <c:v>18.738059749368901</c:v>
                </c:pt>
                <c:pt idx="5" formatCode="0.000">
                  <c:v>8.1761484496582497</c:v>
                </c:pt>
                <c:pt idx="7" formatCode="0.000">
                  <c:v>19.594840851392899</c:v>
                </c:pt>
                <c:pt idx="8" formatCode="0.000">
                  <c:v>17.2552427011953</c:v>
                </c:pt>
                <c:pt idx="9" formatCode="0.000">
                  <c:v>17.024424898784201</c:v>
                </c:pt>
                <c:pt idx="11" formatCode="0.000">
                  <c:v>15.1069524712688</c:v>
                </c:pt>
                <c:pt idx="12" formatCode="0.000">
                  <c:v>21.9579587943592</c:v>
                </c:pt>
                <c:pt idx="13" formatCode="0.000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930-49FB-857D-E7DF2F31F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378239"/>
        <c:axId val="892384479"/>
      </c:scatterChart>
      <c:valAx>
        <c:axId val="89237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84479"/>
        <c:crosses val="autoZero"/>
        <c:crossBetween val="midCat"/>
      </c:valAx>
      <c:valAx>
        <c:axId val="89238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7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</a:t>
            </a:r>
            <a:r>
              <a:rPr lang="en-US" baseline="0"/>
              <a:t> consistency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SSC-Turbidity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8696828642276069"/>
                  <c:y val="-0.176245990084572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upstream!$B$39:$B$52</c:f>
              <c:numCache>
                <c:formatCode>0.0000</c:formatCode>
                <c:ptCount val="14"/>
                <c:pt idx="0">
                  <c:v>2.4947102971666898E-2</c:v>
                </c:pt>
                <c:pt idx="1">
                  <c:v>9.6293174744729593E-3</c:v>
                </c:pt>
                <c:pt idx="2">
                  <c:v>0.14608753400636901</c:v>
                </c:pt>
                <c:pt idx="5">
                  <c:v>1.27691539373017E-2</c:v>
                </c:pt>
                <c:pt idx="6">
                  <c:v>6.7576112725014403E-2</c:v>
                </c:pt>
                <c:pt idx="7">
                  <c:v>-0.35416666689988402</c:v>
                </c:pt>
                <c:pt idx="8">
                  <c:v>4.5646344187588998E-2</c:v>
                </c:pt>
                <c:pt idx="9">
                  <c:v>1.47909285306715E-2</c:v>
                </c:pt>
                <c:pt idx="10">
                  <c:v>3.5842816756479302E-2</c:v>
                </c:pt>
                <c:pt idx="11">
                  <c:v>-4.0383997186219003E-2</c:v>
                </c:pt>
                <c:pt idx="12">
                  <c:v>3.6679485231980898E-2</c:v>
                </c:pt>
                <c:pt idx="13">
                  <c:v>-0.76160033358371604</c:v>
                </c:pt>
              </c:numCache>
            </c:numRef>
          </c:xVal>
          <c:yVal>
            <c:numRef>
              <c:f>upstream!$D$39:$D$52</c:f>
              <c:numCache>
                <c:formatCode>0.0000</c:formatCode>
                <c:ptCount val="14"/>
                <c:pt idx="0">
                  <c:v>8.4573685986466099E-2</c:v>
                </c:pt>
                <c:pt idx="1">
                  <c:v>0.198594884621278</c:v>
                </c:pt>
                <c:pt idx="2">
                  <c:v>6.8212961854365706E-2</c:v>
                </c:pt>
                <c:pt idx="3">
                  <c:v>4.9611646415268197E-2</c:v>
                </c:pt>
                <c:pt idx="4">
                  <c:v>0.107447815904682</c:v>
                </c:pt>
                <c:pt idx="5">
                  <c:v>0.39411883766970102</c:v>
                </c:pt>
                <c:pt idx="6">
                  <c:v>9.0698601563059603E-2</c:v>
                </c:pt>
                <c:pt idx="7">
                  <c:v>9.9852529707758195E-2</c:v>
                </c:pt>
                <c:pt idx="8">
                  <c:v>5.5815481283492403E-2</c:v>
                </c:pt>
                <c:pt idx="9">
                  <c:v>9.5391388976058394E-2</c:v>
                </c:pt>
                <c:pt idx="10">
                  <c:v>9.9540545016305104E-2</c:v>
                </c:pt>
                <c:pt idx="11">
                  <c:v>0.115227328160236</c:v>
                </c:pt>
                <c:pt idx="12">
                  <c:v>0.157732693122626</c:v>
                </c:pt>
                <c:pt idx="13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23-4D09-9EC5-ECB65CB90585}"/>
            </c:ext>
          </c:extLst>
        </c:ser>
        <c:ser>
          <c:idx val="1"/>
          <c:order val="1"/>
          <c:tx>
            <c:v>DOC-fDOM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058064703238062"/>
                  <c:y val="9.8050452026829979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upstream!$C$39:$C$52</c:f>
              <c:numCache>
                <c:formatCode>0.000</c:formatCode>
                <c:ptCount val="14"/>
                <c:pt idx="0">
                  <c:v>6.5697545304297195E-2</c:v>
                </c:pt>
                <c:pt idx="1">
                  <c:v>0.132436068542756</c:v>
                </c:pt>
                <c:pt idx="2">
                  <c:v>-4.2076076707890497E-3</c:v>
                </c:pt>
                <c:pt idx="4">
                  <c:v>0.12430930853391101</c:v>
                </c:pt>
                <c:pt idx="5">
                  <c:v>9.2876994447724404E-2</c:v>
                </c:pt>
                <c:pt idx="6">
                  <c:v>8.3834633446242604E-2</c:v>
                </c:pt>
                <c:pt idx="7">
                  <c:v>4.4857179056258203E-2</c:v>
                </c:pt>
                <c:pt idx="8">
                  <c:v>7.6664996000854094E-2</c:v>
                </c:pt>
                <c:pt idx="9">
                  <c:v>2.1219861817338499E-2</c:v>
                </c:pt>
                <c:pt idx="10">
                  <c:v>8.5275451626537893E-2</c:v>
                </c:pt>
                <c:pt idx="11">
                  <c:v>3.1629539106965802E-2</c:v>
                </c:pt>
                <c:pt idx="12">
                  <c:v>4.3964016574286002E-2</c:v>
                </c:pt>
                <c:pt idx="13">
                  <c:v>5.3048699734524599E-2</c:v>
                </c:pt>
              </c:numCache>
            </c:numRef>
          </c:xVal>
          <c:yVal>
            <c:numRef>
              <c:f>upstream!$E$39:$E$52</c:f>
              <c:numCache>
                <c:formatCode>0.000</c:formatCode>
                <c:ptCount val="14"/>
                <c:pt idx="0">
                  <c:v>-9.3763935417501706E-2</c:v>
                </c:pt>
                <c:pt idx="1">
                  <c:v>-5.2796335197095298E-2</c:v>
                </c:pt>
                <c:pt idx="2">
                  <c:v>-5.9125313303963402E-2</c:v>
                </c:pt>
                <c:pt idx="3">
                  <c:v>-4.1714957549384597E-2</c:v>
                </c:pt>
                <c:pt idx="4">
                  <c:v>7.3340759088016003E-2</c:v>
                </c:pt>
                <c:pt idx="5">
                  <c:v>7.1354925056258001E-3</c:v>
                </c:pt>
                <c:pt idx="6">
                  <c:v>-0.28463650723553102</c:v>
                </c:pt>
                <c:pt idx="7">
                  <c:v>-7.3287190867590401E-3</c:v>
                </c:pt>
                <c:pt idx="8">
                  <c:v>0.10941628444022999</c:v>
                </c:pt>
                <c:pt idx="9">
                  <c:v>-8.4675321487204705E-2</c:v>
                </c:pt>
                <c:pt idx="10">
                  <c:v>-3.2911415817637998E-2</c:v>
                </c:pt>
                <c:pt idx="11">
                  <c:v>-4.46763074582908E-2</c:v>
                </c:pt>
                <c:pt idx="12">
                  <c:v>-1.53118918462132E-3</c:v>
                </c:pt>
                <c:pt idx="13">
                  <c:v>-0.17920927988478999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23-4D09-9EC5-ECB65CB90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378239"/>
        <c:axId val="892384479"/>
      </c:scatterChart>
      <c:valAx>
        <c:axId val="89237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84479"/>
        <c:crosses val="autoZero"/>
        <c:crossBetween val="midCat"/>
      </c:valAx>
      <c:valAx>
        <c:axId val="89238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7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</a:t>
            </a:r>
            <a:r>
              <a:rPr lang="en-US" baseline="0"/>
              <a:t> to Excess Balance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upstream!$B$38</c:f>
              <c:strCache>
                <c:ptCount val="1"/>
                <c:pt idx="0">
                  <c:v>Aich SSC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7808872220544506"/>
                  <c:y val="7.8386661643422922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upstream!$B$39:$B$52</c:f>
              <c:numCache>
                <c:formatCode>0.0000</c:formatCode>
                <c:ptCount val="14"/>
                <c:pt idx="0">
                  <c:v>2.4947102971666898E-2</c:v>
                </c:pt>
                <c:pt idx="1">
                  <c:v>9.6293174744729593E-3</c:v>
                </c:pt>
                <c:pt idx="2">
                  <c:v>0.14608753400636901</c:v>
                </c:pt>
                <c:pt idx="5">
                  <c:v>1.27691539373017E-2</c:v>
                </c:pt>
                <c:pt idx="6">
                  <c:v>6.7576112725014403E-2</c:v>
                </c:pt>
                <c:pt idx="7">
                  <c:v>-0.35416666689988402</c:v>
                </c:pt>
                <c:pt idx="8">
                  <c:v>4.5646344187588998E-2</c:v>
                </c:pt>
                <c:pt idx="9">
                  <c:v>1.47909285306715E-2</c:v>
                </c:pt>
                <c:pt idx="10">
                  <c:v>3.5842816756479302E-2</c:v>
                </c:pt>
                <c:pt idx="11">
                  <c:v>-4.0383997186219003E-2</c:v>
                </c:pt>
                <c:pt idx="12">
                  <c:v>3.6679485231980898E-2</c:v>
                </c:pt>
                <c:pt idx="13">
                  <c:v>-0.76160033358371604</c:v>
                </c:pt>
              </c:numCache>
            </c:numRef>
          </c:xVal>
          <c:yVal>
            <c:numRef>
              <c:f>upstream!$J$39:$J$52</c:f>
              <c:numCache>
                <c:formatCode>0.000</c:formatCode>
                <c:ptCount val="14"/>
                <c:pt idx="2">
                  <c:v>-0.14571780115724001</c:v>
                </c:pt>
                <c:pt idx="3">
                  <c:v>0.15611461722769501</c:v>
                </c:pt>
                <c:pt idx="4">
                  <c:v>0.29322882322716898</c:v>
                </c:pt>
                <c:pt idx="5">
                  <c:v>0.19059894727801999</c:v>
                </c:pt>
                <c:pt idx="7">
                  <c:v>0.499861288181496</c:v>
                </c:pt>
                <c:pt idx="8">
                  <c:v>0.40695810522245701</c:v>
                </c:pt>
                <c:pt idx="9">
                  <c:v>5.4056282725128302E-2</c:v>
                </c:pt>
                <c:pt idx="11">
                  <c:v>0.26690920736687102</c:v>
                </c:pt>
                <c:pt idx="12">
                  <c:v>0.45125668170602201</c:v>
                </c:pt>
                <c:pt idx="13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F4-4A2F-939C-8935D033F4BB}"/>
            </c:ext>
          </c:extLst>
        </c:ser>
        <c:ser>
          <c:idx val="1"/>
          <c:order val="1"/>
          <c:tx>
            <c:strRef>
              <c:f>upstream!$C$38</c:f>
              <c:strCache>
                <c:ptCount val="1"/>
                <c:pt idx="0">
                  <c:v>Aich DOC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058064703238062"/>
                  <c:y val="9.8050452026829979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upstream!$C$39:$C$52</c:f>
              <c:numCache>
                <c:formatCode>0.000</c:formatCode>
                <c:ptCount val="14"/>
                <c:pt idx="0">
                  <c:v>6.5697545304297195E-2</c:v>
                </c:pt>
                <c:pt idx="1">
                  <c:v>0.132436068542756</c:v>
                </c:pt>
                <c:pt idx="2">
                  <c:v>-4.2076076707890497E-3</c:v>
                </c:pt>
                <c:pt idx="4">
                  <c:v>0.12430930853391101</c:v>
                </c:pt>
                <c:pt idx="5">
                  <c:v>9.2876994447724404E-2</c:v>
                </c:pt>
                <c:pt idx="6">
                  <c:v>8.3834633446242604E-2</c:v>
                </c:pt>
                <c:pt idx="7">
                  <c:v>4.4857179056258203E-2</c:v>
                </c:pt>
                <c:pt idx="8">
                  <c:v>7.6664996000854094E-2</c:v>
                </c:pt>
                <c:pt idx="9">
                  <c:v>2.1219861817338499E-2</c:v>
                </c:pt>
                <c:pt idx="10">
                  <c:v>8.5275451626537893E-2</c:v>
                </c:pt>
                <c:pt idx="11">
                  <c:v>3.1629539106965802E-2</c:v>
                </c:pt>
                <c:pt idx="12">
                  <c:v>4.3964016574286002E-2</c:v>
                </c:pt>
                <c:pt idx="13">
                  <c:v>5.3048699734524599E-2</c:v>
                </c:pt>
              </c:numCache>
            </c:numRef>
          </c:xVal>
          <c:yVal>
            <c:numRef>
              <c:f>upstream!$J$39:$J$52</c:f>
              <c:numCache>
                <c:formatCode>0.000</c:formatCode>
                <c:ptCount val="14"/>
                <c:pt idx="2">
                  <c:v>-0.14571780115724001</c:v>
                </c:pt>
                <c:pt idx="3">
                  <c:v>0.15611461722769501</c:v>
                </c:pt>
                <c:pt idx="4">
                  <c:v>0.29322882322716898</c:v>
                </c:pt>
                <c:pt idx="5">
                  <c:v>0.19059894727801999</c:v>
                </c:pt>
                <c:pt idx="7">
                  <c:v>0.499861288181496</c:v>
                </c:pt>
                <c:pt idx="8">
                  <c:v>0.40695810522245701</c:v>
                </c:pt>
                <c:pt idx="9">
                  <c:v>5.4056282725128302E-2</c:v>
                </c:pt>
                <c:pt idx="11">
                  <c:v>0.26690920736687102</c:v>
                </c:pt>
                <c:pt idx="12">
                  <c:v>0.45125668170602201</c:v>
                </c:pt>
                <c:pt idx="13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F4-4A2F-939C-8935D033F4BB}"/>
            </c:ext>
          </c:extLst>
        </c:ser>
        <c:ser>
          <c:idx val="2"/>
          <c:order val="2"/>
          <c:tx>
            <c:strRef>
              <c:f>upstream!$D$38</c:f>
              <c:strCache>
                <c:ptCount val="1"/>
                <c:pt idx="0">
                  <c:v>Aich Turbidity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6765177080137711E-2"/>
                  <c:y val="-0.24872849227179936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upstream!$D$39:$D$52</c:f>
              <c:numCache>
                <c:formatCode>0.0000</c:formatCode>
                <c:ptCount val="14"/>
                <c:pt idx="0">
                  <c:v>8.4573685986466099E-2</c:v>
                </c:pt>
                <c:pt idx="1">
                  <c:v>0.198594884621278</c:v>
                </c:pt>
                <c:pt idx="2">
                  <c:v>6.8212961854365706E-2</c:v>
                </c:pt>
                <c:pt idx="3">
                  <c:v>4.9611646415268197E-2</c:v>
                </c:pt>
                <c:pt idx="4">
                  <c:v>0.107447815904682</c:v>
                </c:pt>
                <c:pt idx="5">
                  <c:v>0.39411883766970102</c:v>
                </c:pt>
                <c:pt idx="6">
                  <c:v>9.0698601563059603E-2</c:v>
                </c:pt>
                <c:pt idx="7">
                  <c:v>9.9852529707758195E-2</c:v>
                </c:pt>
                <c:pt idx="8">
                  <c:v>5.5815481283492403E-2</c:v>
                </c:pt>
                <c:pt idx="9">
                  <c:v>9.5391388976058394E-2</c:v>
                </c:pt>
                <c:pt idx="10">
                  <c:v>9.9540545016305104E-2</c:v>
                </c:pt>
                <c:pt idx="11">
                  <c:v>0.115227328160236</c:v>
                </c:pt>
                <c:pt idx="12">
                  <c:v>0.157732693122626</c:v>
                </c:pt>
                <c:pt idx="13">
                  <c:v>0.121156039239802</c:v>
                </c:pt>
              </c:numCache>
            </c:numRef>
          </c:xVal>
          <c:yVal>
            <c:numRef>
              <c:f>upstream!$J$39:$J$52</c:f>
              <c:numCache>
                <c:formatCode>0.000</c:formatCode>
                <c:ptCount val="14"/>
                <c:pt idx="2">
                  <c:v>-0.14571780115724001</c:v>
                </c:pt>
                <c:pt idx="3">
                  <c:v>0.15611461722769501</c:v>
                </c:pt>
                <c:pt idx="4">
                  <c:v>0.29322882322716898</c:v>
                </c:pt>
                <c:pt idx="5">
                  <c:v>0.19059894727801999</c:v>
                </c:pt>
                <c:pt idx="7">
                  <c:v>0.499861288181496</c:v>
                </c:pt>
                <c:pt idx="8">
                  <c:v>0.40695810522245701</c:v>
                </c:pt>
                <c:pt idx="9">
                  <c:v>5.4056282725128302E-2</c:v>
                </c:pt>
                <c:pt idx="11">
                  <c:v>0.26690920736687102</c:v>
                </c:pt>
                <c:pt idx="12">
                  <c:v>0.45125668170602201</c:v>
                </c:pt>
                <c:pt idx="13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F4-4A2F-939C-8935D033F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378239"/>
        <c:axId val="892384479"/>
      </c:scatterChart>
      <c:valAx>
        <c:axId val="89237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84479"/>
        <c:crosses val="autoZero"/>
        <c:crossBetween val="midCat"/>
      </c:valAx>
      <c:valAx>
        <c:axId val="89238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7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</a:t>
            </a:r>
            <a:r>
              <a:rPr lang="en-US" baseline="0"/>
              <a:t> to E integral</a:t>
            </a:r>
            <a:endParaRPr lang="en-US"/>
          </a:p>
        </c:rich>
      </c:tx>
      <c:layout>
        <c:manualLayout>
          <c:xMode val="edge"/>
          <c:yMode val="edge"/>
          <c:x val="0.17906646573955362"/>
          <c:y val="2.4822690414793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upstream!$B$38</c:f>
              <c:strCache>
                <c:ptCount val="1"/>
                <c:pt idx="0">
                  <c:v>Aich SSC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6721341650475509"/>
                  <c:y val="0.103428113152522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upstream!$B$39:$B$52</c:f>
              <c:numCache>
                <c:formatCode>0.0000</c:formatCode>
                <c:ptCount val="14"/>
                <c:pt idx="0">
                  <c:v>2.4947102971666898E-2</c:v>
                </c:pt>
                <c:pt idx="1">
                  <c:v>9.6293174744729593E-3</c:v>
                </c:pt>
                <c:pt idx="2">
                  <c:v>0.14608753400636901</c:v>
                </c:pt>
                <c:pt idx="5">
                  <c:v>1.27691539373017E-2</c:v>
                </c:pt>
                <c:pt idx="6">
                  <c:v>6.7576112725014403E-2</c:v>
                </c:pt>
                <c:pt idx="7">
                  <c:v>-0.35416666689988402</c:v>
                </c:pt>
                <c:pt idx="8">
                  <c:v>4.5646344187588998E-2</c:v>
                </c:pt>
                <c:pt idx="9">
                  <c:v>1.47909285306715E-2</c:v>
                </c:pt>
                <c:pt idx="10">
                  <c:v>3.5842816756479302E-2</c:v>
                </c:pt>
                <c:pt idx="11">
                  <c:v>-4.0383997186219003E-2</c:v>
                </c:pt>
                <c:pt idx="12">
                  <c:v>3.6679485231980898E-2</c:v>
                </c:pt>
                <c:pt idx="13">
                  <c:v>-0.76160033358371604</c:v>
                </c:pt>
              </c:numCache>
            </c:numRef>
          </c:xVal>
          <c:yVal>
            <c:numRef>
              <c:f>upstream!$F$39:$F$52</c:f>
              <c:numCache>
                <c:formatCode>0.000</c:formatCode>
                <c:ptCount val="14"/>
                <c:pt idx="2">
                  <c:v>1.9432258375425799</c:v>
                </c:pt>
                <c:pt idx="3">
                  <c:v>2.3768784113539301</c:v>
                </c:pt>
                <c:pt idx="4">
                  <c:v>70.349925179505803</c:v>
                </c:pt>
                <c:pt idx="5">
                  <c:v>5.4523947827090398</c:v>
                </c:pt>
                <c:pt idx="7">
                  <c:v>33.895949402833203</c:v>
                </c:pt>
                <c:pt idx="8">
                  <c:v>32.177431699139497</c:v>
                </c:pt>
                <c:pt idx="9">
                  <c:v>31.253302872972</c:v>
                </c:pt>
                <c:pt idx="11">
                  <c:v>42.7547044117564</c:v>
                </c:pt>
                <c:pt idx="12">
                  <c:v>175.86248095131899</c:v>
                </c:pt>
                <c:pt idx="13">
                  <c:v>52.638565780695899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3E-4133-8EB0-E9EF889A8F58}"/>
            </c:ext>
          </c:extLst>
        </c:ser>
        <c:ser>
          <c:idx val="1"/>
          <c:order val="1"/>
          <c:tx>
            <c:strRef>
              <c:f>upstream!$C$38</c:f>
              <c:strCache>
                <c:ptCount val="1"/>
                <c:pt idx="0">
                  <c:v>Aich DOC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929429064677021"/>
                  <c:y val="-0.2684655407632879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upstream!$C$39:$C$52</c:f>
              <c:numCache>
                <c:formatCode>0.000</c:formatCode>
                <c:ptCount val="14"/>
                <c:pt idx="0">
                  <c:v>6.5697545304297195E-2</c:v>
                </c:pt>
                <c:pt idx="1">
                  <c:v>0.132436068542756</c:v>
                </c:pt>
                <c:pt idx="2">
                  <c:v>-4.2076076707890497E-3</c:v>
                </c:pt>
                <c:pt idx="4">
                  <c:v>0.12430930853391101</c:v>
                </c:pt>
                <c:pt idx="5">
                  <c:v>9.2876994447724404E-2</c:v>
                </c:pt>
                <c:pt idx="6">
                  <c:v>8.3834633446242604E-2</c:v>
                </c:pt>
                <c:pt idx="7">
                  <c:v>4.4857179056258203E-2</c:v>
                </c:pt>
                <c:pt idx="8">
                  <c:v>7.6664996000854094E-2</c:v>
                </c:pt>
                <c:pt idx="9">
                  <c:v>2.1219861817338499E-2</c:v>
                </c:pt>
                <c:pt idx="10">
                  <c:v>8.5275451626537893E-2</c:v>
                </c:pt>
                <c:pt idx="11">
                  <c:v>3.1629539106965802E-2</c:v>
                </c:pt>
                <c:pt idx="12">
                  <c:v>4.3964016574286002E-2</c:v>
                </c:pt>
                <c:pt idx="13">
                  <c:v>5.3048699734524599E-2</c:v>
                </c:pt>
              </c:numCache>
            </c:numRef>
          </c:xVal>
          <c:yVal>
            <c:numRef>
              <c:f>upstream!$F$39:$F$52</c:f>
              <c:numCache>
                <c:formatCode>0.000</c:formatCode>
                <c:ptCount val="14"/>
                <c:pt idx="2">
                  <c:v>1.9432258375425799</c:v>
                </c:pt>
                <c:pt idx="3">
                  <c:v>2.3768784113539301</c:v>
                </c:pt>
                <c:pt idx="4">
                  <c:v>70.349925179505803</c:v>
                </c:pt>
                <c:pt idx="5">
                  <c:v>5.4523947827090398</c:v>
                </c:pt>
                <c:pt idx="7">
                  <c:v>33.895949402833203</c:v>
                </c:pt>
                <c:pt idx="8">
                  <c:v>32.177431699139497</c:v>
                </c:pt>
                <c:pt idx="9">
                  <c:v>31.253302872972</c:v>
                </c:pt>
                <c:pt idx="11">
                  <c:v>42.7547044117564</c:v>
                </c:pt>
                <c:pt idx="12">
                  <c:v>175.86248095131899</c:v>
                </c:pt>
                <c:pt idx="13">
                  <c:v>52.638565780695899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3E-4133-8EB0-E9EF889A8F58}"/>
            </c:ext>
          </c:extLst>
        </c:ser>
        <c:ser>
          <c:idx val="2"/>
          <c:order val="2"/>
          <c:tx>
            <c:strRef>
              <c:f>upstream!$D$38</c:f>
              <c:strCache>
                <c:ptCount val="1"/>
                <c:pt idx="0">
                  <c:v>Aich Turbidity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6765177080137711E-2"/>
                  <c:y val="-0.24872849227179936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upstream!$D$39:$D$52</c:f>
              <c:numCache>
                <c:formatCode>0.0000</c:formatCode>
                <c:ptCount val="14"/>
                <c:pt idx="0">
                  <c:v>8.4573685986466099E-2</c:v>
                </c:pt>
                <c:pt idx="1">
                  <c:v>0.198594884621278</c:v>
                </c:pt>
                <c:pt idx="2">
                  <c:v>6.8212961854365706E-2</c:v>
                </c:pt>
                <c:pt idx="3">
                  <c:v>4.9611646415268197E-2</c:v>
                </c:pt>
                <c:pt idx="4">
                  <c:v>0.107447815904682</c:v>
                </c:pt>
                <c:pt idx="5">
                  <c:v>0.39411883766970102</c:v>
                </c:pt>
                <c:pt idx="6">
                  <c:v>9.0698601563059603E-2</c:v>
                </c:pt>
                <c:pt idx="7">
                  <c:v>9.9852529707758195E-2</c:v>
                </c:pt>
                <c:pt idx="8">
                  <c:v>5.5815481283492403E-2</c:v>
                </c:pt>
                <c:pt idx="9">
                  <c:v>9.5391388976058394E-2</c:v>
                </c:pt>
                <c:pt idx="10">
                  <c:v>9.9540545016305104E-2</c:v>
                </c:pt>
                <c:pt idx="11">
                  <c:v>0.115227328160236</c:v>
                </c:pt>
                <c:pt idx="12">
                  <c:v>0.157732693122626</c:v>
                </c:pt>
                <c:pt idx="13">
                  <c:v>0.121156039239802</c:v>
                </c:pt>
              </c:numCache>
            </c:numRef>
          </c:xVal>
          <c:yVal>
            <c:numRef>
              <c:f>upstream!$F$39:$F$52</c:f>
              <c:numCache>
                <c:formatCode>0.000</c:formatCode>
                <c:ptCount val="14"/>
                <c:pt idx="2">
                  <c:v>1.9432258375425799</c:v>
                </c:pt>
                <c:pt idx="3">
                  <c:v>2.3768784113539301</c:v>
                </c:pt>
                <c:pt idx="4">
                  <c:v>70.349925179505803</c:v>
                </c:pt>
                <c:pt idx="5">
                  <c:v>5.4523947827090398</c:v>
                </c:pt>
                <c:pt idx="7">
                  <c:v>33.895949402833203</c:v>
                </c:pt>
                <c:pt idx="8">
                  <c:v>32.177431699139497</c:v>
                </c:pt>
                <c:pt idx="9">
                  <c:v>31.253302872972</c:v>
                </c:pt>
                <c:pt idx="11">
                  <c:v>42.7547044117564</c:v>
                </c:pt>
                <c:pt idx="12">
                  <c:v>175.86248095131899</c:v>
                </c:pt>
                <c:pt idx="13">
                  <c:v>52.638565780695899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3E-4133-8EB0-E9EF889A8F58}"/>
            </c:ext>
          </c:extLst>
        </c:ser>
        <c:ser>
          <c:idx val="3"/>
          <c:order val="3"/>
          <c:tx>
            <c:strRef>
              <c:f>upstream!$E$38</c:f>
              <c:strCache>
                <c:ptCount val="1"/>
                <c:pt idx="0">
                  <c:v>Aich 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486211950778885"/>
                  <c:y val="-0.18315398075240594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upstream!$E$39:$E$52</c:f>
              <c:numCache>
                <c:formatCode>0.000</c:formatCode>
                <c:ptCount val="14"/>
                <c:pt idx="0">
                  <c:v>-9.3763935417501706E-2</c:v>
                </c:pt>
                <c:pt idx="1">
                  <c:v>-5.2796335197095298E-2</c:v>
                </c:pt>
                <c:pt idx="2">
                  <c:v>-5.9125313303963402E-2</c:v>
                </c:pt>
                <c:pt idx="3">
                  <c:v>-4.1714957549384597E-2</c:v>
                </c:pt>
                <c:pt idx="4">
                  <c:v>7.3340759088016003E-2</c:v>
                </c:pt>
                <c:pt idx="5">
                  <c:v>7.1354925056258001E-3</c:v>
                </c:pt>
                <c:pt idx="6">
                  <c:v>-0.28463650723553102</c:v>
                </c:pt>
                <c:pt idx="7">
                  <c:v>-7.3287190867590401E-3</c:v>
                </c:pt>
                <c:pt idx="8">
                  <c:v>0.10941628444022999</c:v>
                </c:pt>
                <c:pt idx="9">
                  <c:v>-8.4675321487204705E-2</c:v>
                </c:pt>
                <c:pt idx="10">
                  <c:v>-3.2911415817637998E-2</c:v>
                </c:pt>
                <c:pt idx="11">
                  <c:v>-4.46763074582908E-2</c:v>
                </c:pt>
                <c:pt idx="12">
                  <c:v>-1.53118918462132E-3</c:v>
                </c:pt>
                <c:pt idx="13">
                  <c:v>-0.17920927988478999</c:v>
                </c:pt>
              </c:numCache>
            </c:numRef>
          </c:xVal>
          <c:yVal>
            <c:numRef>
              <c:f>upstream!$F$39:$F$52</c:f>
              <c:numCache>
                <c:formatCode>0.000</c:formatCode>
                <c:ptCount val="14"/>
                <c:pt idx="2">
                  <c:v>1.9432258375425799</c:v>
                </c:pt>
                <c:pt idx="3">
                  <c:v>2.3768784113539301</c:v>
                </c:pt>
                <c:pt idx="4">
                  <c:v>70.349925179505803</c:v>
                </c:pt>
                <c:pt idx="5">
                  <c:v>5.4523947827090398</c:v>
                </c:pt>
                <c:pt idx="7">
                  <c:v>33.895949402833203</c:v>
                </c:pt>
                <c:pt idx="8">
                  <c:v>32.177431699139497</c:v>
                </c:pt>
                <c:pt idx="9">
                  <c:v>31.253302872972</c:v>
                </c:pt>
                <c:pt idx="11">
                  <c:v>42.7547044117564</c:v>
                </c:pt>
                <c:pt idx="12">
                  <c:v>175.86248095131899</c:v>
                </c:pt>
                <c:pt idx="13">
                  <c:v>52.638565780695899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E3E-4133-8EB0-E9EF889A8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378239"/>
        <c:axId val="892384479"/>
      </c:scatterChart>
      <c:valAx>
        <c:axId val="89237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84479"/>
        <c:crosses val="autoZero"/>
        <c:crossBetween val="midCat"/>
      </c:valAx>
      <c:valAx>
        <c:axId val="89238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7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</a:t>
            </a:r>
            <a:r>
              <a:rPr lang="en-US" baseline="0"/>
              <a:t> to </a:t>
            </a:r>
            <a:r>
              <a:rPr lang="el-GR" baseline="0"/>
              <a:t>τ</a:t>
            </a:r>
            <a:r>
              <a:rPr lang="en-US" baseline="0"/>
              <a:t>peak / </a:t>
            </a:r>
            <a:r>
              <a:rPr lang="el-GR" baseline="0"/>
              <a:t>τ</a:t>
            </a:r>
            <a:r>
              <a:rPr lang="en-US" baseline="0"/>
              <a:t>c </a:t>
            </a:r>
            <a:endParaRPr lang="en-US"/>
          </a:p>
        </c:rich>
      </c:tx>
      <c:layout>
        <c:manualLayout>
          <c:xMode val="edge"/>
          <c:yMode val="edge"/>
          <c:x val="0.17906646573955362"/>
          <c:y val="2.4822690414793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upstream!$B$38</c:f>
              <c:strCache>
                <c:ptCount val="1"/>
                <c:pt idx="0">
                  <c:v>Aich SSC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447354927205941"/>
                  <c:y val="9.33642628833672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upstream!$B$39:$B$52</c:f>
              <c:numCache>
                <c:formatCode>0.0000</c:formatCode>
                <c:ptCount val="14"/>
                <c:pt idx="0">
                  <c:v>2.4947102971666898E-2</c:v>
                </c:pt>
                <c:pt idx="1">
                  <c:v>9.6293174744729593E-3</c:v>
                </c:pt>
                <c:pt idx="2">
                  <c:v>0.14608753400636901</c:v>
                </c:pt>
                <c:pt idx="5">
                  <c:v>1.27691539373017E-2</c:v>
                </c:pt>
                <c:pt idx="6">
                  <c:v>6.7576112725014403E-2</c:v>
                </c:pt>
                <c:pt idx="7">
                  <c:v>-0.35416666689988402</c:v>
                </c:pt>
                <c:pt idx="8">
                  <c:v>4.5646344187588998E-2</c:v>
                </c:pt>
                <c:pt idx="9">
                  <c:v>1.47909285306715E-2</c:v>
                </c:pt>
                <c:pt idx="10">
                  <c:v>3.5842816756479302E-2</c:v>
                </c:pt>
                <c:pt idx="11">
                  <c:v>-4.0383997186219003E-2</c:v>
                </c:pt>
                <c:pt idx="12">
                  <c:v>3.6679485231980898E-2</c:v>
                </c:pt>
                <c:pt idx="13">
                  <c:v>-0.76160033358371604</c:v>
                </c:pt>
              </c:numCache>
            </c:numRef>
          </c:xVal>
          <c:yVal>
            <c:numRef>
              <c:f>upstream!$I$39:$I$52</c:f>
              <c:numCache>
                <c:formatCode>0.0000</c:formatCode>
                <c:ptCount val="14"/>
                <c:pt idx="2">
                  <c:v>1.0078290838208943</c:v>
                </c:pt>
                <c:pt idx="3">
                  <c:v>1.008246697022094</c:v>
                </c:pt>
                <c:pt idx="4">
                  <c:v>1.0490052443540898</c:v>
                </c:pt>
                <c:pt idx="5">
                  <c:v>1.0119508062412015</c:v>
                </c:pt>
                <c:pt idx="7">
                  <c:v>1.0239451393319936</c:v>
                </c:pt>
                <c:pt idx="8">
                  <c:v>1.0275460447393339</c:v>
                </c:pt>
                <c:pt idx="9">
                  <c:v>1.0275826446035865</c:v>
                </c:pt>
                <c:pt idx="11">
                  <c:v>1.0572093304532362</c:v>
                </c:pt>
                <c:pt idx="12">
                  <c:v>1.111235100018195</c:v>
                </c:pt>
                <c:pt idx="13">
                  <c:v>1.0519758315193652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3B-4422-B775-AE2B8D4066D7}"/>
            </c:ext>
          </c:extLst>
        </c:ser>
        <c:ser>
          <c:idx val="1"/>
          <c:order val="1"/>
          <c:tx>
            <c:strRef>
              <c:f>upstream!$C$38</c:f>
              <c:strCache>
                <c:ptCount val="1"/>
                <c:pt idx="0">
                  <c:v>Aich DOC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929429064677021"/>
                  <c:y val="-0.2684655407632879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upstream!$C$39:$C$52</c:f>
              <c:numCache>
                <c:formatCode>0.000</c:formatCode>
                <c:ptCount val="14"/>
                <c:pt idx="0">
                  <c:v>6.5697545304297195E-2</c:v>
                </c:pt>
                <c:pt idx="1">
                  <c:v>0.132436068542756</c:v>
                </c:pt>
                <c:pt idx="2">
                  <c:v>-4.2076076707890497E-3</c:v>
                </c:pt>
                <c:pt idx="4">
                  <c:v>0.12430930853391101</c:v>
                </c:pt>
                <c:pt idx="5">
                  <c:v>9.2876994447724404E-2</c:v>
                </c:pt>
                <c:pt idx="6">
                  <c:v>8.3834633446242604E-2</c:v>
                </c:pt>
                <c:pt idx="7">
                  <c:v>4.4857179056258203E-2</c:v>
                </c:pt>
                <c:pt idx="8">
                  <c:v>7.6664996000854094E-2</c:v>
                </c:pt>
                <c:pt idx="9">
                  <c:v>2.1219861817338499E-2</c:v>
                </c:pt>
                <c:pt idx="10">
                  <c:v>8.5275451626537893E-2</c:v>
                </c:pt>
                <c:pt idx="11">
                  <c:v>3.1629539106965802E-2</c:v>
                </c:pt>
                <c:pt idx="12">
                  <c:v>4.3964016574286002E-2</c:v>
                </c:pt>
                <c:pt idx="13">
                  <c:v>5.3048699734524599E-2</c:v>
                </c:pt>
              </c:numCache>
            </c:numRef>
          </c:xVal>
          <c:yVal>
            <c:numRef>
              <c:f>upstream!$I$39:$I$52</c:f>
              <c:numCache>
                <c:formatCode>0.0000</c:formatCode>
                <c:ptCount val="14"/>
                <c:pt idx="2">
                  <c:v>1.0078290838208943</c:v>
                </c:pt>
                <c:pt idx="3">
                  <c:v>1.008246697022094</c:v>
                </c:pt>
                <c:pt idx="4">
                  <c:v>1.0490052443540898</c:v>
                </c:pt>
                <c:pt idx="5">
                  <c:v>1.0119508062412015</c:v>
                </c:pt>
                <c:pt idx="7">
                  <c:v>1.0239451393319936</c:v>
                </c:pt>
                <c:pt idx="8">
                  <c:v>1.0275460447393339</c:v>
                </c:pt>
                <c:pt idx="9">
                  <c:v>1.0275826446035865</c:v>
                </c:pt>
                <c:pt idx="11">
                  <c:v>1.0572093304532362</c:v>
                </c:pt>
                <c:pt idx="12">
                  <c:v>1.111235100018195</c:v>
                </c:pt>
                <c:pt idx="13">
                  <c:v>1.0519758315193652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3B-4422-B775-AE2B8D4066D7}"/>
            </c:ext>
          </c:extLst>
        </c:ser>
        <c:ser>
          <c:idx val="2"/>
          <c:order val="2"/>
          <c:tx>
            <c:strRef>
              <c:f>upstream!$D$38</c:f>
              <c:strCache>
                <c:ptCount val="1"/>
                <c:pt idx="0">
                  <c:v>Aich Turbidity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6765177080137711E-2"/>
                  <c:y val="-0.24872849227179936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upstream!$D$39:$D$52</c:f>
              <c:numCache>
                <c:formatCode>0.0000</c:formatCode>
                <c:ptCount val="14"/>
                <c:pt idx="0">
                  <c:v>8.4573685986466099E-2</c:v>
                </c:pt>
                <c:pt idx="1">
                  <c:v>0.198594884621278</c:v>
                </c:pt>
                <c:pt idx="2">
                  <c:v>6.8212961854365706E-2</c:v>
                </c:pt>
                <c:pt idx="3">
                  <c:v>4.9611646415268197E-2</c:v>
                </c:pt>
                <c:pt idx="4">
                  <c:v>0.107447815904682</c:v>
                </c:pt>
                <c:pt idx="5">
                  <c:v>0.39411883766970102</c:v>
                </c:pt>
                <c:pt idx="6">
                  <c:v>9.0698601563059603E-2</c:v>
                </c:pt>
                <c:pt idx="7">
                  <c:v>9.9852529707758195E-2</c:v>
                </c:pt>
                <c:pt idx="8">
                  <c:v>5.5815481283492403E-2</c:v>
                </c:pt>
                <c:pt idx="9">
                  <c:v>9.5391388976058394E-2</c:v>
                </c:pt>
                <c:pt idx="10">
                  <c:v>9.9540545016305104E-2</c:v>
                </c:pt>
                <c:pt idx="11">
                  <c:v>0.115227328160236</c:v>
                </c:pt>
                <c:pt idx="12">
                  <c:v>0.157732693122626</c:v>
                </c:pt>
                <c:pt idx="13">
                  <c:v>0.121156039239802</c:v>
                </c:pt>
              </c:numCache>
            </c:numRef>
          </c:xVal>
          <c:yVal>
            <c:numRef>
              <c:f>upstream!$I$39:$I$52</c:f>
              <c:numCache>
                <c:formatCode>0.0000</c:formatCode>
                <c:ptCount val="14"/>
                <c:pt idx="2">
                  <c:v>1.0078290838208943</c:v>
                </c:pt>
                <c:pt idx="3">
                  <c:v>1.008246697022094</c:v>
                </c:pt>
                <c:pt idx="4">
                  <c:v>1.0490052443540898</c:v>
                </c:pt>
                <c:pt idx="5">
                  <c:v>1.0119508062412015</c:v>
                </c:pt>
                <c:pt idx="7">
                  <c:v>1.0239451393319936</c:v>
                </c:pt>
                <c:pt idx="8">
                  <c:v>1.0275460447393339</c:v>
                </c:pt>
                <c:pt idx="9">
                  <c:v>1.0275826446035865</c:v>
                </c:pt>
                <c:pt idx="11">
                  <c:v>1.0572093304532362</c:v>
                </c:pt>
                <c:pt idx="12">
                  <c:v>1.111235100018195</c:v>
                </c:pt>
                <c:pt idx="13">
                  <c:v>1.0519758315193652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A3B-4422-B775-AE2B8D4066D7}"/>
            </c:ext>
          </c:extLst>
        </c:ser>
        <c:ser>
          <c:idx val="3"/>
          <c:order val="3"/>
          <c:tx>
            <c:strRef>
              <c:f>upstream!$E$38</c:f>
              <c:strCache>
                <c:ptCount val="1"/>
                <c:pt idx="0">
                  <c:v>Aich 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486211950778885"/>
                  <c:y val="-0.18315398075240594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upstream!$E$39:$E$52</c:f>
              <c:numCache>
                <c:formatCode>0.000</c:formatCode>
                <c:ptCount val="14"/>
                <c:pt idx="0">
                  <c:v>-9.3763935417501706E-2</c:v>
                </c:pt>
                <c:pt idx="1">
                  <c:v>-5.2796335197095298E-2</c:v>
                </c:pt>
                <c:pt idx="2">
                  <c:v>-5.9125313303963402E-2</c:v>
                </c:pt>
                <c:pt idx="3">
                  <c:v>-4.1714957549384597E-2</c:v>
                </c:pt>
                <c:pt idx="4">
                  <c:v>7.3340759088016003E-2</c:v>
                </c:pt>
                <c:pt idx="5">
                  <c:v>7.1354925056258001E-3</c:v>
                </c:pt>
                <c:pt idx="6">
                  <c:v>-0.28463650723553102</c:v>
                </c:pt>
                <c:pt idx="7">
                  <c:v>-7.3287190867590401E-3</c:v>
                </c:pt>
                <c:pt idx="8">
                  <c:v>0.10941628444022999</c:v>
                </c:pt>
                <c:pt idx="9">
                  <c:v>-8.4675321487204705E-2</c:v>
                </c:pt>
                <c:pt idx="10">
                  <c:v>-3.2911415817637998E-2</c:v>
                </c:pt>
                <c:pt idx="11">
                  <c:v>-4.46763074582908E-2</c:v>
                </c:pt>
                <c:pt idx="12">
                  <c:v>-1.53118918462132E-3</c:v>
                </c:pt>
                <c:pt idx="13">
                  <c:v>-0.17920927988478999</c:v>
                </c:pt>
              </c:numCache>
            </c:numRef>
          </c:xVal>
          <c:yVal>
            <c:numRef>
              <c:f>upstream!$I$39:$I$52</c:f>
              <c:numCache>
                <c:formatCode>0.0000</c:formatCode>
                <c:ptCount val="14"/>
                <c:pt idx="2">
                  <c:v>1.0078290838208943</c:v>
                </c:pt>
                <c:pt idx="3">
                  <c:v>1.008246697022094</c:v>
                </c:pt>
                <c:pt idx="4">
                  <c:v>1.0490052443540898</c:v>
                </c:pt>
                <c:pt idx="5">
                  <c:v>1.0119508062412015</c:v>
                </c:pt>
                <c:pt idx="7">
                  <c:v>1.0239451393319936</c:v>
                </c:pt>
                <c:pt idx="8">
                  <c:v>1.0275460447393339</c:v>
                </c:pt>
                <c:pt idx="9">
                  <c:v>1.0275826446035865</c:v>
                </c:pt>
                <c:pt idx="11">
                  <c:v>1.0572093304532362</c:v>
                </c:pt>
                <c:pt idx="12">
                  <c:v>1.111235100018195</c:v>
                </c:pt>
                <c:pt idx="13">
                  <c:v>1.0519758315193652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A3B-4422-B775-AE2B8D406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378239"/>
        <c:axId val="892384479"/>
      </c:scatterChart>
      <c:valAx>
        <c:axId val="89237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84479"/>
        <c:crosses val="autoZero"/>
        <c:crossBetween val="midCat"/>
      </c:valAx>
      <c:valAx>
        <c:axId val="89238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7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</a:t>
            </a:r>
            <a:r>
              <a:rPr lang="en-US" baseline="0"/>
              <a:t> to time between events</a:t>
            </a:r>
            <a:endParaRPr lang="en-US"/>
          </a:p>
        </c:rich>
      </c:tx>
      <c:layout>
        <c:manualLayout>
          <c:xMode val="edge"/>
          <c:yMode val="edge"/>
          <c:x val="9.6853523657600304E-2"/>
          <c:y val="2.4822690414793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upstream!$B$38</c:f>
              <c:strCache>
                <c:ptCount val="1"/>
                <c:pt idx="0">
                  <c:v>Aich SSC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447354927205941"/>
                  <c:y val="9.33642628833672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upstream!$B$39:$B$52</c:f>
              <c:numCache>
                <c:formatCode>0.0000</c:formatCode>
                <c:ptCount val="14"/>
                <c:pt idx="0">
                  <c:v>2.4947102971666898E-2</c:v>
                </c:pt>
                <c:pt idx="1">
                  <c:v>9.6293174744729593E-3</c:v>
                </c:pt>
                <c:pt idx="2">
                  <c:v>0.14608753400636901</c:v>
                </c:pt>
                <c:pt idx="5">
                  <c:v>1.27691539373017E-2</c:v>
                </c:pt>
                <c:pt idx="6">
                  <c:v>6.7576112725014403E-2</c:v>
                </c:pt>
                <c:pt idx="7">
                  <c:v>-0.35416666689988402</c:v>
                </c:pt>
                <c:pt idx="8">
                  <c:v>4.5646344187588998E-2</c:v>
                </c:pt>
                <c:pt idx="9">
                  <c:v>1.47909285306715E-2</c:v>
                </c:pt>
                <c:pt idx="10">
                  <c:v>3.5842816756479302E-2</c:v>
                </c:pt>
                <c:pt idx="11">
                  <c:v>-4.0383997186219003E-2</c:v>
                </c:pt>
                <c:pt idx="12">
                  <c:v>3.6679485231980898E-2</c:v>
                </c:pt>
                <c:pt idx="13">
                  <c:v>-0.76160033358371604</c:v>
                </c:pt>
              </c:numCache>
            </c:numRef>
          </c:xVal>
          <c:yVal>
            <c:numRef>
              <c:f>upstream!$G$39:$G$52</c:f>
              <c:numCache>
                <c:formatCode>General</c:formatCode>
                <c:ptCount val="14"/>
                <c:pt idx="2">
                  <c:v>21.75</c:v>
                </c:pt>
                <c:pt idx="3">
                  <c:v>48.5</c:v>
                </c:pt>
                <c:pt idx="4">
                  <c:v>28.75</c:v>
                </c:pt>
                <c:pt idx="5">
                  <c:v>21</c:v>
                </c:pt>
                <c:pt idx="7">
                  <c:v>96.5</c:v>
                </c:pt>
                <c:pt idx="8">
                  <c:v>47.5</c:v>
                </c:pt>
                <c:pt idx="9">
                  <c:v>23.5</c:v>
                </c:pt>
                <c:pt idx="11">
                  <c:v>47.75</c:v>
                </c:pt>
                <c:pt idx="12">
                  <c:v>23.75</c:v>
                </c:pt>
                <c:pt idx="13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E7-447D-B015-2AEAC0E5FA96}"/>
            </c:ext>
          </c:extLst>
        </c:ser>
        <c:ser>
          <c:idx val="1"/>
          <c:order val="1"/>
          <c:tx>
            <c:strRef>
              <c:f>upstream!$C$38</c:f>
              <c:strCache>
                <c:ptCount val="1"/>
                <c:pt idx="0">
                  <c:v>Aich DOC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929429064677021"/>
                  <c:y val="-0.2684655407632879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upstream!$C$39:$C$52</c:f>
              <c:numCache>
                <c:formatCode>0.000</c:formatCode>
                <c:ptCount val="14"/>
                <c:pt idx="0">
                  <c:v>6.5697545304297195E-2</c:v>
                </c:pt>
                <c:pt idx="1">
                  <c:v>0.132436068542756</c:v>
                </c:pt>
                <c:pt idx="2">
                  <c:v>-4.2076076707890497E-3</c:v>
                </c:pt>
                <c:pt idx="4">
                  <c:v>0.12430930853391101</c:v>
                </c:pt>
                <c:pt idx="5">
                  <c:v>9.2876994447724404E-2</c:v>
                </c:pt>
                <c:pt idx="6">
                  <c:v>8.3834633446242604E-2</c:v>
                </c:pt>
                <c:pt idx="7">
                  <c:v>4.4857179056258203E-2</c:v>
                </c:pt>
                <c:pt idx="8">
                  <c:v>7.6664996000854094E-2</c:v>
                </c:pt>
                <c:pt idx="9">
                  <c:v>2.1219861817338499E-2</c:v>
                </c:pt>
                <c:pt idx="10">
                  <c:v>8.5275451626537893E-2</c:v>
                </c:pt>
                <c:pt idx="11">
                  <c:v>3.1629539106965802E-2</c:v>
                </c:pt>
                <c:pt idx="12">
                  <c:v>4.3964016574286002E-2</c:v>
                </c:pt>
                <c:pt idx="13">
                  <c:v>5.3048699734524599E-2</c:v>
                </c:pt>
              </c:numCache>
            </c:numRef>
          </c:xVal>
          <c:yVal>
            <c:numRef>
              <c:f>upstream!$G$39:$G$52</c:f>
              <c:numCache>
                <c:formatCode>General</c:formatCode>
                <c:ptCount val="14"/>
                <c:pt idx="2">
                  <c:v>21.75</c:v>
                </c:pt>
                <c:pt idx="3">
                  <c:v>48.5</c:v>
                </c:pt>
                <c:pt idx="4">
                  <c:v>28.75</c:v>
                </c:pt>
                <c:pt idx="5">
                  <c:v>21</c:v>
                </c:pt>
                <c:pt idx="7">
                  <c:v>96.5</c:v>
                </c:pt>
                <c:pt idx="8">
                  <c:v>47.5</c:v>
                </c:pt>
                <c:pt idx="9">
                  <c:v>23.5</c:v>
                </c:pt>
                <c:pt idx="11">
                  <c:v>47.75</c:v>
                </c:pt>
                <c:pt idx="12">
                  <c:v>23.75</c:v>
                </c:pt>
                <c:pt idx="13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E7-447D-B015-2AEAC0E5FA96}"/>
            </c:ext>
          </c:extLst>
        </c:ser>
        <c:ser>
          <c:idx val="2"/>
          <c:order val="2"/>
          <c:tx>
            <c:strRef>
              <c:f>upstream!$D$38</c:f>
              <c:strCache>
                <c:ptCount val="1"/>
                <c:pt idx="0">
                  <c:v>Aich Turbidity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6765177080137711E-2"/>
                  <c:y val="-0.24872849227179936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upstream!$D$39:$D$52</c:f>
              <c:numCache>
                <c:formatCode>0.0000</c:formatCode>
                <c:ptCount val="14"/>
                <c:pt idx="0">
                  <c:v>8.4573685986466099E-2</c:v>
                </c:pt>
                <c:pt idx="1">
                  <c:v>0.198594884621278</c:v>
                </c:pt>
                <c:pt idx="2">
                  <c:v>6.8212961854365706E-2</c:v>
                </c:pt>
                <c:pt idx="3">
                  <c:v>4.9611646415268197E-2</c:v>
                </c:pt>
                <c:pt idx="4">
                  <c:v>0.107447815904682</c:v>
                </c:pt>
                <c:pt idx="5">
                  <c:v>0.39411883766970102</c:v>
                </c:pt>
                <c:pt idx="6">
                  <c:v>9.0698601563059603E-2</c:v>
                </c:pt>
                <c:pt idx="7">
                  <c:v>9.9852529707758195E-2</c:v>
                </c:pt>
                <c:pt idx="8">
                  <c:v>5.5815481283492403E-2</c:v>
                </c:pt>
                <c:pt idx="9">
                  <c:v>9.5391388976058394E-2</c:v>
                </c:pt>
                <c:pt idx="10">
                  <c:v>9.9540545016305104E-2</c:v>
                </c:pt>
                <c:pt idx="11">
                  <c:v>0.115227328160236</c:v>
                </c:pt>
                <c:pt idx="12">
                  <c:v>0.157732693122626</c:v>
                </c:pt>
                <c:pt idx="13">
                  <c:v>0.121156039239802</c:v>
                </c:pt>
              </c:numCache>
            </c:numRef>
          </c:xVal>
          <c:yVal>
            <c:numRef>
              <c:f>upstream!$G$39:$G$52</c:f>
              <c:numCache>
                <c:formatCode>General</c:formatCode>
                <c:ptCount val="14"/>
                <c:pt idx="2">
                  <c:v>21.75</c:v>
                </c:pt>
                <c:pt idx="3">
                  <c:v>48.5</c:v>
                </c:pt>
                <c:pt idx="4">
                  <c:v>28.75</c:v>
                </c:pt>
                <c:pt idx="5">
                  <c:v>21</c:v>
                </c:pt>
                <c:pt idx="7">
                  <c:v>96.5</c:v>
                </c:pt>
                <c:pt idx="8">
                  <c:v>47.5</c:v>
                </c:pt>
                <c:pt idx="9">
                  <c:v>23.5</c:v>
                </c:pt>
                <c:pt idx="11">
                  <c:v>47.75</c:v>
                </c:pt>
                <c:pt idx="12">
                  <c:v>23.75</c:v>
                </c:pt>
                <c:pt idx="13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7E7-447D-B015-2AEAC0E5FA96}"/>
            </c:ext>
          </c:extLst>
        </c:ser>
        <c:ser>
          <c:idx val="3"/>
          <c:order val="3"/>
          <c:tx>
            <c:strRef>
              <c:f>upstream!$E$38</c:f>
              <c:strCache>
                <c:ptCount val="1"/>
                <c:pt idx="0">
                  <c:v>Aich 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639012613366469"/>
                  <c:y val="-0.10206556056931916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upstream!$E$39:$E$52</c:f>
              <c:numCache>
                <c:formatCode>0.000</c:formatCode>
                <c:ptCount val="14"/>
                <c:pt idx="0">
                  <c:v>-9.3763935417501706E-2</c:v>
                </c:pt>
                <c:pt idx="1">
                  <c:v>-5.2796335197095298E-2</c:v>
                </c:pt>
                <c:pt idx="2">
                  <c:v>-5.9125313303963402E-2</c:v>
                </c:pt>
                <c:pt idx="3">
                  <c:v>-4.1714957549384597E-2</c:v>
                </c:pt>
                <c:pt idx="4">
                  <c:v>7.3340759088016003E-2</c:v>
                </c:pt>
                <c:pt idx="5">
                  <c:v>7.1354925056258001E-3</c:v>
                </c:pt>
                <c:pt idx="6">
                  <c:v>-0.28463650723553102</c:v>
                </c:pt>
                <c:pt idx="7">
                  <c:v>-7.3287190867590401E-3</c:v>
                </c:pt>
                <c:pt idx="8">
                  <c:v>0.10941628444022999</c:v>
                </c:pt>
                <c:pt idx="9">
                  <c:v>-8.4675321487204705E-2</c:v>
                </c:pt>
                <c:pt idx="10">
                  <c:v>-3.2911415817637998E-2</c:v>
                </c:pt>
                <c:pt idx="11">
                  <c:v>-4.46763074582908E-2</c:v>
                </c:pt>
                <c:pt idx="12">
                  <c:v>-1.53118918462132E-3</c:v>
                </c:pt>
                <c:pt idx="13">
                  <c:v>-0.17920927988478999</c:v>
                </c:pt>
              </c:numCache>
            </c:numRef>
          </c:xVal>
          <c:yVal>
            <c:numRef>
              <c:f>upstream!$G$39:$G$52</c:f>
              <c:numCache>
                <c:formatCode>General</c:formatCode>
                <c:ptCount val="14"/>
                <c:pt idx="2">
                  <c:v>21.75</c:v>
                </c:pt>
                <c:pt idx="3">
                  <c:v>48.5</c:v>
                </c:pt>
                <c:pt idx="4">
                  <c:v>28.75</c:v>
                </c:pt>
                <c:pt idx="5">
                  <c:v>21</c:v>
                </c:pt>
                <c:pt idx="7">
                  <c:v>96.5</c:v>
                </c:pt>
                <c:pt idx="8">
                  <c:v>47.5</c:v>
                </c:pt>
                <c:pt idx="9">
                  <c:v>23.5</c:v>
                </c:pt>
                <c:pt idx="11">
                  <c:v>47.75</c:v>
                </c:pt>
                <c:pt idx="12">
                  <c:v>23.75</c:v>
                </c:pt>
                <c:pt idx="13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7E7-447D-B015-2AEAC0E5F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378239"/>
        <c:axId val="892384479"/>
      </c:scatterChart>
      <c:valAx>
        <c:axId val="89237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84479"/>
        <c:crosses val="autoZero"/>
        <c:crossBetween val="midCat"/>
      </c:valAx>
      <c:valAx>
        <c:axId val="89238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7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</a:t>
            </a:r>
            <a:r>
              <a:rPr lang="en-US" baseline="0"/>
              <a:t> to time </a:t>
            </a:r>
            <a:r>
              <a:rPr lang="el-GR" baseline="0"/>
              <a:t>τ &gt; τ</a:t>
            </a:r>
            <a:r>
              <a:rPr lang="en-US" baseline="0"/>
              <a:t>c (hrs)</a:t>
            </a:r>
            <a:endParaRPr lang="en-US"/>
          </a:p>
        </c:rich>
      </c:tx>
      <c:layout>
        <c:manualLayout>
          <c:xMode val="edge"/>
          <c:yMode val="edge"/>
          <c:x val="0.1357964962227361"/>
          <c:y val="4.13711506913217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upstream!$B$38</c:f>
              <c:strCache>
                <c:ptCount val="1"/>
                <c:pt idx="0">
                  <c:v>Aich SSC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447354927205941"/>
                  <c:y val="9.33642628833672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upstream!$B$39:$B$52</c:f>
              <c:numCache>
                <c:formatCode>0.0000</c:formatCode>
                <c:ptCount val="14"/>
                <c:pt idx="0">
                  <c:v>2.4947102971666898E-2</c:v>
                </c:pt>
                <c:pt idx="1">
                  <c:v>9.6293174744729593E-3</c:v>
                </c:pt>
                <c:pt idx="2">
                  <c:v>0.14608753400636901</c:v>
                </c:pt>
                <c:pt idx="5">
                  <c:v>1.27691539373017E-2</c:v>
                </c:pt>
                <c:pt idx="6">
                  <c:v>6.7576112725014403E-2</c:v>
                </c:pt>
                <c:pt idx="7">
                  <c:v>-0.35416666689988402</c:v>
                </c:pt>
                <c:pt idx="8">
                  <c:v>4.5646344187588998E-2</c:v>
                </c:pt>
                <c:pt idx="9">
                  <c:v>1.47909285306715E-2</c:v>
                </c:pt>
                <c:pt idx="10">
                  <c:v>3.5842816756479302E-2</c:v>
                </c:pt>
                <c:pt idx="11">
                  <c:v>-4.0383997186219003E-2</c:v>
                </c:pt>
                <c:pt idx="12">
                  <c:v>3.6679485231980898E-2</c:v>
                </c:pt>
                <c:pt idx="13">
                  <c:v>-0.76160033358371604</c:v>
                </c:pt>
              </c:numCache>
            </c:numRef>
          </c:xVal>
          <c:yVal>
            <c:numRef>
              <c:f>upstream!$H$39:$H$52</c:f>
              <c:numCache>
                <c:formatCode>0.000</c:formatCode>
                <c:ptCount val="14"/>
                <c:pt idx="2">
                  <c:v>2.4954469283408098</c:v>
                </c:pt>
                <c:pt idx="3">
                  <c:v>4.9705418000804897</c:v>
                </c:pt>
                <c:pt idx="4">
                  <c:v>18.738059749368901</c:v>
                </c:pt>
                <c:pt idx="5">
                  <c:v>8.1761484496582497</c:v>
                </c:pt>
                <c:pt idx="7">
                  <c:v>19.594840851392899</c:v>
                </c:pt>
                <c:pt idx="8">
                  <c:v>17.2552427011953</c:v>
                </c:pt>
                <c:pt idx="9">
                  <c:v>17.024424898784201</c:v>
                </c:pt>
                <c:pt idx="11">
                  <c:v>15.1069524712688</c:v>
                </c:pt>
                <c:pt idx="12">
                  <c:v>21.9579587943592</c:v>
                </c:pt>
                <c:pt idx="13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20-4DFC-9140-F31C61C9A905}"/>
            </c:ext>
          </c:extLst>
        </c:ser>
        <c:ser>
          <c:idx val="1"/>
          <c:order val="1"/>
          <c:tx>
            <c:strRef>
              <c:f>upstream!$C$38</c:f>
              <c:strCache>
                <c:ptCount val="1"/>
                <c:pt idx="0">
                  <c:v>Aich DOC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651664479886449"/>
                  <c:y val="0.3610098730459460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upstream!$C$39:$C$52</c:f>
              <c:numCache>
                <c:formatCode>0.000</c:formatCode>
                <c:ptCount val="14"/>
                <c:pt idx="0">
                  <c:v>6.5697545304297195E-2</c:v>
                </c:pt>
                <c:pt idx="1">
                  <c:v>0.132436068542756</c:v>
                </c:pt>
                <c:pt idx="2">
                  <c:v>-4.2076076707890497E-3</c:v>
                </c:pt>
                <c:pt idx="4">
                  <c:v>0.12430930853391101</c:v>
                </c:pt>
                <c:pt idx="5">
                  <c:v>9.2876994447724404E-2</c:v>
                </c:pt>
                <c:pt idx="6">
                  <c:v>8.3834633446242604E-2</c:v>
                </c:pt>
                <c:pt idx="7">
                  <c:v>4.4857179056258203E-2</c:v>
                </c:pt>
                <c:pt idx="8">
                  <c:v>7.6664996000854094E-2</c:v>
                </c:pt>
                <c:pt idx="9">
                  <c:v>2.1219861817338499E-2</c:v>
                </c:pt>
                <c:pt idx="10">
                  <c:v>8.5275451626537893E-2</c:v>
                </c:pt>
                <c:pt idx="11">
                  <c:v>3.1629539106965802E-2</c:v>
                </c:pt>
                <c:pt idx="12">
                  <c:v>4.3964016574286002E-2</c:v>
                </c:pt>
                <c:pt idx="13">
                  <c:v>5.3048699734524599E-2</c:v>
                </c:pt>
              </c:numCache>
            </c:numRef>
          </c:xVal>
          <c:yVal>
            <c:numRef>
              <c:f>upstream!$H$39:$H$52</c:f>
              <c:numCache>
                <c:formatCode>0.000</c:formatCode>
                <c:ptCount val="14"/>
                <c:pt idx="2">
                  <c:v>2.4954469283408098</c:v>
                </c:pt>
                <c:pt idx="3">
                  <c:v>4.9705418000804897</c:v>
                </c:pt>
                <c:pt idx="4">
                  <c:v>18.738059749368901</c:v>
                </c:pt>
                <c:pt idx="5">
                  <c:v>8.1761484496582497</c:v>
                </c:pt>
                <c:pt idx="7">
                  <c:v>19.594840851392899</c:v>
                </c:pt>
                <c:pt idx="8">
                  <c:v>17.2552427011953</c:v>
                </c:pt>
                <c:pt idx="9">
                  <c:v>17.024424898784201</c:v>
                </c:pt>
                <c:pt idx="11">
                  <c:v>15.1069524712688</c:v>
                </c:pt>
                <c:pt idx="12">
                  <c:v>21.9579587943592</c:v>
                </c:pt>
                <c:pt idx="13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20-4DFC-9140-F31C61C9A905}"/>
            </c:ext>
          </c:extLst>
        </c:ser>
        <c:ser>
          <c:idx val="2"/>
          <c:order val="2"/>
          <c:tx>
            <c:strRef>
              <c:f>upstream!$D$38</c:f>
              <c:strCache>
                <c:ptCount val="1"/>
                <c:pt idx="0">
                  <c:v>Aich Turbidity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6765177080137711E-2"/>
                  <c:y val="-0.24872849227179936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upstream!$D$39:$D$52</c:f>
              <c:numCache>
                <c:formatCode>0.0000</c:formatCode>
                <c:ptCount val="14"/>
                <c:pt idx="0">
                  <c:v>8.4573685986466099E-2</c:v>
                </c:pt>
                <c:pt idx="1">
                  <c:v>0.198594884621278</c:v>
                </c:pt>
                <c:pt idx="2">
                  <c:v>6.8212961854365706E-2</c:v>
                </c:pt>
                <c:pt idx="3">
                  <c:v>4.9611646415268197E-2</c:v>
                </c:pt>
                <c:pt idx="4">
                  <c:v>0.107447815904682</c:v>
                </c:pt>
                <c:pt idx="5">
                  <c:v>0.39411883766970102</c:v>
                </c:pt>
                <c:pt idx="6">
                  <c:v>9.0698601563059603E-2</c:v>
                </c:pt>
                <c:pt idx="7">
                  <c:v>9.9852529707758195E-2</c:v>
                </c:pt>
                <c:pt idx="8">
                  <c:v>5.5815481283492403E-2</c:v>
                </c:pt>
                <c:pt idx="9">
                  <c:v>9.5391388976058394E-2</c:v>
                </c:pt>
                <c:pt idx="10">
                  <c:v>9.9540545016305104E-2</c:v>
                </c:pt>
                <c:pt idx="11">
                  <c:v>0.115227328160236</c:v>
                </c:pt>
                <c:pt idx="12">
                  <c:v>0.157732693122626</c:v>
                </c:pt>
                <c:pt idx="13">
                  <c:v>0.121156039239802</c:v>
                </c:pt>
              </c:numCache>
            </c:numRef>
          </c:xVal>
          <c:yVal>
            <c:numRef>
              <c:f>upstream!$H$39:$H$52</c:f>
              <c:numCache>
                <c:formatCode>0.000</c:formatCode>
                <c:ptCount val="14"/>
                <c:pt idx="2">
                  <c:v>2.4954469283408098</c:v>
                </c:pt>
                <c:pt idx="3">
                  <c:v>4.9705418000804897</c:v>
                </c:pt>
                <c:pt idx="4">
                  <c:v>18.738059749368901</c:v>
                </c:pt>
                <c:pt idx="5">
                  <c:v>8.1761484496582497</c:v>
                </c:pt>
                <c:pt idx="7">
                  <c:v>19.594840851392899</c:v>
                </c:pt>
                <c:pt idx="8">
                  <c:v>17.2552427011953</c:v>
                </c:pt>
                <c:pt idx="9">
                  <c:v>17.024424898784201</c:v>
                </c:pt>
                <c:pt idx="11">
                  <c:v>15.1069524712688</c:v>
                </c:pt>
                <c:pt idx="12">
                  <c:v>21.9579587943592</c:v>
                </c:pt>
                <c:pt idx="13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20-4DFC-9140-F31C61C9A905}"/>
            </c:ext>
          </c:extLst>
        </c:ser>
        <c:ser>
          <c:idx val="3"/>
          <c:order val="3"/>
          <c:tx>
            <c:strRef>
              <c:f>upstream!$E$38</c:f>
              <c:strCache>
                <c:ptCount val="1"/>
                <c:pt idx="0">
                  <c:v>Aich 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639012613366469"/>
                  <c:y val="-0.10206556056931916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upstream!$E$39:$E$52</c:f>
              <c:numCache>
                <c:formatCode>0.000</c:formatCode>
                <c:ptCount val="14"/>
                <c:pt idx="0">
                  <c:v>-9.3763935417501706E-2</c:v>
                </c:pt>
                <c:pt idx="1">
                  <c:v>-5.2796335197095298E-2</c:v>
                </c:pt>
                <c:pt idx="2">
                  <c:v>-5.9125313303963402E-2</c:v>
                </c:pt>
                <c:pt idx="3">
                  <c:v>-4.1714957549384597E-2</c:v>
                </c:pt>
                <c:pt idx="4">
                  <c:v>7.3340759088016003E-2</c:v>
                </c:pt>
                <c:pt idx="5">
                  <c:v>7.1354925056258001E-3</c:v>
                </c:pt>
                <c:pt idx="6">
                  <c:v>-0.28463650723553102</c:v>
                </c:pt>
                <c:pt idx="7">
                  <c:v>-7.3287190867590401E-3</c:v>
                </c:pt>
                <c:pt idx="8">
                  <c:v>0.10941628444022999</c:v>
                </c:pt>
                <c:pt idx="9">
                  <c:v>-8.4675321487204705E-2</c:v>
                </c:pt>
                <c:pt idx="10">
                  <c:v>-3.2911415817637998E-2</c:v>
                </c:pt>
                <c:pt idx="11">
                  <c:v>-4.46763074582908E-2</c:v>
                </c:pt>
                <c:pt idx="12">
                  <c:v>-1.53118918462132E-3</c:v>
                </c:pt>
                <c:pt idx="13">
                  <c:v>-0.17920927988478999</c:v>
                </c:pt>
              </c:numCache>
            </c:numRef>
          </c:xVal>
          <c:yVal>
            <c:numRef>
              <c:f>upstream!$H$39:$H$52</c:f>
              <c:numCache>
                <c:formatCode>0.000</c:formatCode>
                <c:ptCount val="14"/>
                <c:pt idx="2">
                  <c:v>2.4954469283408098</c:v>
                </c:pt>
                <c:pt idx="3">
                  <c:v>4.9705418000804897</c:v>
                </c:pt>
                <c:pt idx="4">
                  <c:v>18.738059749368901</c:v>
                </c:pt>
                <c:pt idx="5">
                  <c:v>8.1761484496582497</c:v>
                </c:pt>
                <c:pt idx="7">
                  <c:v>19.594840851392899</c:v>
                </c:pt>
                <c:pt idx="8">
                  <c:v>17.2552427011953</c:v>
                </c:pt>
                <c:pt idx="9">
                  <c:v>17.024424898784201</c:v>
                </c:pt>
                <c:pt idx="11">
                  <c:v>15.1069524712688</c:v>
                </c:pt>
                <c:pt idx="12">
                  <c:v>21.9579587943592</c:v>
                </c:pt>
                <c:pt idx="13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D20-4DFC-9140-F31C61C9A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378239"/>
        <c:axId val="892384479"/>
      </c:scatterChart>
      <c:valAx>
        <c:axId val="89237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84479"/>
        <c:crosses val="autoZero"/>
        <c:crossBetween val="midCat"/>
      </c:valAx>
      <c:valAx>
        <c:axId val="89238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7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421823</xdr:colOff>
      <xdr:row>65</xdr:row>
      <xdr:rowOff>55109</xdr:rowOff>
    </xdr:from>
    <xdr:to>
      <xdr:col>13</xdr:col>
      <xdr:colOff>247651</xdr:colOff>
      <xdr:row>79</xdr:row>
      <xdr:rowOff>131309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B169E-6E75-B196-7063-F44F26D2D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46264</xdr:colOff>
      <xdr:row>80</xdr:row>
      <xdr:rowOff>36740</xdr:rowOff>
    </xdr:from>
    <xdr:to>
      <xdr:col>20</xdr:col>
      <xdr:colOff>504825</xdr:colOff>
      <xdr:row>96</xdr:row>
      <xdr:rowOff>58512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37403E-0509-431C-BD9B-E8A1AA34E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367393</xdr:colOff>
      <xdr:row>65</xdr:row>
      <xdr:rowOff>68036</xdr:rowOff>
    </xdr:from>
    <xdr:to>
      <xdr:col>16</xdr:col>
      <xdr:colOff>893990</xdr:colOff>
      <xdr:row>79</xdr:row>
      <xdr:rowOff>144236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2A57AA-659A-4A58-87CB-71A2BE9FC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993322</xdr:colOff>
      <xdr:row>65</xdr:row>
      <xdr:rowOff>54429</xdr:rowOff>
    </xdr:from>
    <xdr:to>
      <xdr:col>20</xdr:col>
      <xdr:colOff>444954</xdr:colOff>
      <xdr:row>79</xdr:row>
      <xdr:rowOff>130629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22BE71-5000-49FF-89FD-0CE9803AA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435429</xdr:colOff>
      <xdr:row>80</xdr:row>
      <xdr:rowOff>40821</xdr:rowOff>
    </xdr:from>
    <xdr:to>
      <xdr:col>13</xdr:col>
      <xdr:colOff>268061</xdr:colOff>
      <xdr:row>96</xdr:row>
      <xdr:rowOff>62593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149785-D0F1-40F9-915A-0CFD2282D7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435428</xdr:colOff>
      <xdr:row>80</xdr:row>
      <xdr:rowOff>40823</xdr:rowOff>
    </xdr:from>
    <xdr:to>
      <xdr:col>16</xdr:col>
      <xdr:colOff>962025</xdr:colOff>
      <xdr:row>96</xdr:row>
      <xdr:rowOff>62595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06E8DE-9031-4543-A7B6-4FED0DC1C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421823</xdr:colOff>
      <xdr:row>36</xdr:row>
      <xdr:rowOff>55109</xdr:rowOff>
    </xdr:from>
    <xdr:to>
      <xdr:col>13</xdr:col>
      <xdr:colOff>247651</xdr:colOff>
      <xdr:row>50</xdr:row>
      <xdr:rowOff>131309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2D7E00-51E1-4EAA-A90F-8F21C8E60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46264</xdr:colOff>
      <xdr:row>51</xdr:row>
      <xdr:rowOff>36740</xdr:rowOff>
    </xdr:from>
    <xdr:to>
      <xdr:col>20</xdr:col>
      <xdr:colOff>504825</xdr:colOff>
      <xdr:row>67</xdr:row>
      <xdr:rowOff>58512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7E052C-CA26-42A8-BEB6-567D230B8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367393</xdr:colOff>
      <xdr:row>36</xdr:row>
      <xdr:rowOff>68036</xdr:rowOff>
    </xdr:from>
    <xdr:to>
      <xdr:col>16</xdr:col>
      <xdr:colOff>893990</xdr:colOff>
      <xdr:row>50</xdr:row>
      <xdr:rowOff>144236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2AF8FD-1D09-41D2-9EA9-7E62F1852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993322</xdr:colOff>
      <xdr:row>36</xdr:row>
      <xdr:rowOff>54429</xdr:rowOff>
    </xdr:from>
    <xdr:to>
      <xdr:col>20</xdr:col>
      <xdr:colOff>444954</xdr:colOff>
      <xdr:row>50</xdr:row>
      <xdr:rowOff>130629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ACB290-B377-4FB0-A05C-1B8166CA1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435429</xdr:colOff>
      <xdr:row>51</xdr:row>
      <xdr:rowOff>40821</xdr:rowOff>
    </xdr:from>
    <xdr:to>
      <xdr:col>13</xdr:col>
      <xdr:colOff>268061</xdr:colOff>
      <xdr:row>67</xdr:row>
      <xdr:rowOff>62593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2DED12-0020-4E71-99DE-4B21DF801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435428</xdr:colOff>
      <xdr:row>51</xdr:row>
      <xdr:rowOff>40823</xdr:rowOff>
    </xdr:from>
    <xdr:to>
      <xdr:col>16</xdr:col>
      <xdr:colOff>962025</xdr:colOff>
      <xdr:row>67</xdr:row>
      <xdr:rowOff>62595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83C86A-F5D8-41B8-B657-2CD37E896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421823</xdr:colOff>
      <xdr:row>37</xdr:row>
      <xdr:rowOff>55109</xdr:rowOff>
    </xdr:from>
    <xdr:to>
      <xdr:col>13</xdr:col>
      <xdr:colOff>247651</xdr:colOff>
      <xdr:row>51</xdr:row>
      <xdr:rowOff>131309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9A3C9E-4BA4-447E-BCA6-FB6577F38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46264</xdr:colOff>
      <xdr:row>52</xdr:row>
      <xdr:rowOff>36740</xdr:rowOff>
    </xdr:from>
    <xdr:to>
      <xdr:col>20</xdr:col>
      <xdr:colOff>504825</xdr:colOff>
      <xdr:row>68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9A9360-E9B4-4256-9F85-73EF2A71B7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367393</xdr:colOff>
      <xdr:row>37</xdr:row>
      <xdr:rowOff>68036</xdr:rowOff>
    </xdr:from>
    <xdr:to>
      <xdr:col>16</xdr:col>
      <xdr:colOff>893990</xdr:colOff>
      <xdr:row>51</xdr:row>
      <xdr:rowOff>144236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0179A9-460A-4934-8573-AB81ACE8F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993322</xdr:colOff>
      <xdr:row>37</xdr:row>
      <xdr:rowOff>54429</xdr:rowOff>
    </xdr:from>
    <xdr:to>
      <xdr:col>20</xdr:col>
      <xdr:colOff>444954</xdr:colOff>
      <xdr:row>51</xdr:row>
      <xdr:rowOff>130629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76F946-A371-4A99-8D7F-13DA671700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435429</xdr:colOff>
      <xdr:row>52</xdr:row>
      <xdr:rowOff>40821</xdr:rowOff>
    </xdr:from>
    <xdr:to>
      <xdr:col>13</xdr:col>
      <xdr:colOff>268061</xdr:colOff>
      <xdr:row>68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69C4DF-E7A9-45C6-8F5A-6AC632F97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435428</xdr:colOff>
      <xdr:row>52</xdr:row>
      <xdr:rowOff>40823</xdr:rowOff>
    </xdr:from>
    <xdr:to>
      <xdr:col>16</xdr:col>
      <xdr:colOff>962025</xdr:colOff>
      <xdr:row>68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3B459F-324C-4E6C-92FB-9C2081542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54"/>
  <sheetViews>
    <sheetView topLeftCell="M78" zoomScale="160" zoomScaleNormal="160" workbookViewId="0">
      <selection activeCell="I108" sqref="I108"/>
    </sheetView>
  </sheetViews>
  <sheetFormatPr defaultRowHeight="15" x14ac:dyDescent="0.25"/>
  <cols>
    <col min="1" max="1" width="11.42578125" customWidth="1"/>
    <col min="2" max="2" width="14" customWidth="1"/>
    <col min="3" max="3" width="15" customWidth="1"/>
    <col min="4" max="4" width="17.7109375" customWidth="1"/>
    <col min="5" max="5" width="15.42578125" customWidth="1"/>
    <col min="6" max="6" width="14.7109375" customWidth="1"/>
    <col min="7" max="7" width="17.42578125" customWidth="1"/>
    <col min="8" max="8" width="15.140625" customWidth="1"/>
    <col min="9" max="9" width="13.28515625" customWidth="1"/>
    <col min="10" max="10" width="14.85546875" customWidth="1"/>
    <col min="11" max="11" width="15.28515625" customWidth="1"/>
    <col min="12" max="12" width="15.7109375" customWidth="1"/>
    <col min="13" max="13" width="15.5703125" customWidth="1"/>
    <col min="14" max="14" width="13.7109375" customWidth="1"/>
    <col min="16" max="16" width="13.28515625" customWidth="1"/>
    <col min="17" max="17" width="15" customWidth="1"/>
    <col min="18" max="18" width="14.5703125" customWidth="1"/>
    <col min="19" max="19" width="13.42578125" customWidth="1"/>
    <col min="26" max="26" width="18.140625" customWidth="1"/>
    <col min="27" max="27" width="16.7109375" customWidth="1"/>
    <col min="28" max="28" width="20.7109375" customWidth="1"/>
    <col min="29" max="29" width="19" customWidth="1"/>
    <col min="30" max="30" width="16.85546875" customWidth="1"/>
  </cols>
  <sheetData>
    <row r="1" spans="1:19" x14ac:dyDescent="0.25">
      <c r="A1" s="1" t="s">
        <v>0</v>
      </c>
      <c r="F1" s="1" t="s">
        <v>19</v>
      </c>
      <c r="G1" s="3"/>
      <c r="H1" s="3"/>
      <c r="I1" s="3"/>
      <c r="K1" s="11" t="s">
        <v>20</v>
      </c>
    </row>
    <row r="2" spans="1:19" x14ac:dyDescent="0.25">
      <c r="A2" s="2" t="s">
        <v>1</v>
      </c>
      <c r="B2" s="2" t="s">
        <v>2</v>
      </c>
      <c r="C2" s="2" t="s">
        <v>3</v>
      </c>
      <c r="D2" s="2" t="s">
        <v>4</v>
      </c>
      <c r="F2" s="7" t="s">
        <v>1</v>
      </c>
      <c r="G2" s="7" t="s">
        <v>2</v>
      </c>
      <c r="H2" s="7" t="s">
        <v>3</v>
      </c>
      <c r="I2" s="7" t="s">
        <v>4</v>
      </c>
      <c r="K2" s="7" t="s">
        <v>1</v>
      </c>
      <c r="L2" s="2" t="s">
        <v>2</v>
      </c>
      <c r="M2" s="2" t="s">
        <v>3</v>
      </c>
      <c r="N2" s="2" t="s">
        <v>4</v>
      </c>
      <c r="P2" s="2" t="s">
        <v>21</v>
      </c>
      <c r="Q2" s="2" t="s">
        <v>2</v>
      </c>
      <c r="R2" s="2" t="s">
        <v>3</v>
      </c>
      <c r="S2" s="2" t="s">
        <v>4</v>
      </c>
    </row>
    <row r="3" spans="1:19" x14ac:dyDescent="0.25">
      <c r="A3" s="3" t="s">
        <v>5</v>
      </c>
      <c r="B3" s="5">
        <v>1.86943505833322</v>
      </c>
      <c r="C3" s="5">
        <v>1.9314296164550899</v>
      </c>
      <c r="D3" s="5">
        <v>9.4513218106104094E-2</v>
      </c>
      <c r="F3" s="3" t="s">
        <v>5</v>
      </c>
      <c r="G3" s="9">
        <v>0.96641125607193401</v>
      </c>
      <c r="H3" s="9">
        <v>0.28028790761501998</v>
      </c>
      <c r="I3" s="9">
        <v>3.4332675043980999E-2</v>
      </c>
      <c r="K3" s="3" t="s">
        <v>5</v>
      </c>
      <c r="L3" s="3"/>
      <c r="M3" s="5">
        <v>0.178366367675658</v>
      </c>
      <c r="N3" s="5">
        <v>5.1856335362832198E-2</v>
      </c>
      <c r="P3" s="3" t="s">
        <v>5</v>
      </c>
      <c r="Q3" s="3"/>
      <c r="R3" s="5">
        <v>0.22825064648054</v>
      </c>
      <c r="S3" s="5">
        <v>1.3430417175947699E-2</v>
      </c>
    </row>
    <row r="4" spans="1:19" x14ac:dyDescent="0.25">
      <c r="A4" s="3" t="s">
        <v>6</v>
      </c>
      <c r="B4" s="5">
        <v>1.3545954270153699</v>
      </c>
      <c r="C4" s="5">
        <v>1.0089470650494099</v>
      </c>
      <c r="D4" s="5">
        <v>4.2663094228711902E-2</v>
      </c>
      <c r="F4" s="3" t="s">
        <v>6</v>
      </c>
      <c r="G4" s="9">
        <v>0.998307366622182</v>
      </c>
      <c r="H4" s="9">
        <v>1.3951542417579801</v>
      </c>
      <c r="I4" s="9">
        <v>2.8668980226143202E-2</v>
      </c>
      <c r="K4" s="3" t="s">
        <v>6</v>
      </c>
      <c r="L4" s="5">
        <v>1.39679058575205</v>
      </c>
      <c r="M4" s="5">
        <v>0.88641107886014003</v>
      </c>
      <c r="N4" s="5">
        <v>0.103368750113241</v>
      </c>
      <c r="P4" s="3" t="s">
        <v>6</v>
      </c>
      <c r="Q4" s="14">
        <v>0.96435758092830903</v>
      </c>
      <c r="R4" s="6">
        <v>-0.28959025014214101</v>
      </c>
      <c r="S4" s="6">
        <v>-1.61778645652975E-2</v>
      </c>
    </row>
    <row r="5" spans="1:19" x14ac:dyDescent="0.25">
      <c r="A5" s="3" t="s">
        <v>7</v>
      </c>
      <c r="B5" s="4"/>
      <c r="C5" s="4"/>
      <c r="D5" s="4"/>
      <c r="F5" s="3" t="s">
        <v>7</v>
      </c>
      <c r="G5" s="8"/>
      <c r="H5" s="8"/>
      <c r="I5" s="8"/>
      <c r="K5" s="3" t="s">
        <v>7</v>
      </c>
      <c r="L5" s="5">
        <v>1.2108318271354701</v>
      </c>
      <c r="M5" s="5">
        <v>0.92629163740877796</v>
      </c>
      <c r="N5" s="5">
        <v>0.11077055296162799</v>
      </c>
      <c r="P5" s="3" t="s">
        <v>7</v>
      </c>
      <c r="Q5" s="14">
        <v>0.98302221968248604</v>
      </c>
      <c r="R5" s="6">
        <v>-0.31071591767089402</v>
      </c>
      <c r="S5" s="6">
        <v>-3.7834846370905402E-3</v>
      </c>
    </row>
    <row r="6" spans="1:19" x14ac:dyDescent="0.25">
      <c r="A6" s="3" t="s">
        <v>8</v>
      </c>
      <c r="B6" s="4"/>
      <c r="C6" s="4"/>
      <c r="D6" s="4"/>
      <c r="F6" s="3" t="s">
        <v>8</v>
      </c>
      <c r="G6" s="8"/>
      <c r="H6" s="8"/>
      <c r="I6" s="8"/>
      <c r="K6" s="3" t="s">
        <v>8</v>
      </c>
      <c r="L6" s="5">
        <v>1.14568818263897</v>
      </c>
      <c r="M6" s="5">
        <v>0.723568252950335</v>
      </c>
      <c r="N6" s="5">
        <v>1.0650915621547401E-2</v>
      </c>
      <c r="P6" s="3" t="s">
        <v>8</v>
      </c>
      <c r="Q6" s="14">
        <v>0.99703728594241603</v>
      </c>
      <c r="R6" s="6">
        <v>-0.72341186519112299</v>
      </c>
      <c r="S6" s="5">
        <v>6.4581353214806597E-2</v>
      </c>
    </row>
    <row r="7" spans="1:19" x14ac:dyDescent="0.25">
      <c r="A7" s="3" t="s">
        <v>9</v>
      </c>
      <c r="B7" s="4"/>
      <c r="C7" s="4"/>
      <c r="D7" s="4"/>
      <c r="F7" s="3" t="s">
        <v>9</v>
      </c>
      <c r="G7" s="8"/>
      <c r="H7" s="8"/>
      <c r="I7" s="8"/>
      <c r="K7" s="3" t="s">
        <v>9</v>
      </c>
      <c r="L7" s="5">
        <v>1.10273002217056</v>
      </c>
      <c r="M7" s="5">
        <v>0.92947006080395</v>
      </c>
      <c r="N7" s="6">
        <v>-2.2683422982125001E-2</v>
      </c>
      <c r="P7" s="3" t="s">
        <v>9</v>
      </c>
      <c r="Q7" s="13">
        <v>1.05414106800948</v>
      </c>
      <c r="R7" s="5">
        <v>0.54135397831396403</v>
      </c>
      <c r="S7" s="5">
        <v>6.1895687016862502E-2</v>
      </c>
    </row>
    <row r="8" spans="1:19" x14ac:dyDescent="0.25">
      <c r="A8" s="3" t="s">
        <v>10</v>
      </c>
      <c r="B8" s="5">
        <v>1.31746197777344</v>
      </c>
      <c r="C8" s="5">
        <v>0.66698565105034602</v>
      </c>
      <c r="D8" s="5">
        <v>8.8732929175135894E-2</v>
      </c>
      <c r="F8" s="3" t="s">
        <v>10</v>
      </c>
      <c r="G8" s="9">
        <v>1.01982556926034</v>
      </c>
      <c r="H8" s="9">
        <v>0.38831940167197898</v>
      </c>
      <c r="I8" s="9">
        <v>1.20306787922476E-2</v>
      </c>
      <c r="K8" s="3" t="s">
        <v>10</v>
      </c>
      <c r="L8" s="5">
        <v>1.2576523908335999</v>
      </c>
      <c r="M8" s="5">
        <v>0.77855192606860901</v>
      </c>
      <c r="N8" s="5">
        <v>0.15621819275209001</v>
      </c>
      <c r="P8" s="3" t="s">
        <v>10</v>
      </c>
      <c r="Q8" s="13">
        <v>1.00376784280544</v>
      </c>
      <c r="R8" s="6">
        <v>-0.28173278371114102</v>
      </c>
      <c r="S8" s="5">
        <v>2.95836818188689E-2</v>
      </c>
    </row>
    <row r="9" spans="1:19" x14ac:dyDescent="0.25">
      <c r="A9" s="3" t="s">
        <v>11</v>
      </c>
      <c r="B9" s="6">
        <v>0.89735303995633098</v>
      </c>
      <c r="C9" s="5">
        <v>0.19762137224995299</v>
      </c>
      <c r="D9" s="6">
        <v>-1.9463558010346702E-2</v>
      </c>
      <c r="F9" s="3" t="s">
        <v>11</v>
      </c>
      <c r="G9" s="9">
        <v>1.0105385292601801</v>
      </c>
      <c r="H9" s="9">
        <v>0.597784224122066</v>
      </c>
      <c r="I9" s="9">
        <v>2.7386597361713599E-2</v>
      </c>
      <c r="K9" s="3" t="s">
        <v>11</v>
      </c>
      <c r="L9" s="5">
        <v>1.24807759229999</v>
      </c>
      <c r="M9" s="5">
        <v>0.55577143716833499</v>
      </c>
      <c r="N9" s="5">
        <v>0.15071577677020101</v>
      </c>
      <c r="P9" s="3" t="s">
        <v>11</v>
      </c>
      <c r="Q9" s="14">
        <v>0.965580440673389</v>
      </c>
      <c r="R9" s="6">
        <v>-0.28388728833714599</v>
      </c>
      <c r="S9" s="6">
        <v>-5.4892758010415703E-2</v>
      </c>
    </row>
    <row r="10" spans="1:19" x14ac:dyDescent="0.25">
      <c r="A10" s="3" t="s">
        <v>12</v>
      </c>
      <c r="B10" s="5">
        <v>1.39880081037808</v>
      </c>
      <c r="C10" s="5">
        <v>0.54807771119966198</v>
      </c>
      <c r="D10" s="5">
        <v>0.10415722716452799</v>
      </c>
      <c r="F10" s="3" t="s">
        <v>12</v>
      </c>
      <c r="G10" s="9">
        <v>1.04413498578157</v>
      </c>
      <c r="H10" s="9">
        <v>0.92934562720262803</v>
      </c>
      <c r="I10" s="9">
        <v>2.8615745110634201E-2</v>
      </c>
      <c r="K10" s="3" t="s">
        <v>12</v>
      </c>
      <c r="L10" s="5">
        <v>1.42877693896201</v>
      </c>
      <c r="M10" s="5">
        <v>0.33551375674123601</v>
      </c>
      <c r="N10" s="5">
        <v>5.5397551503622099E-2</v>
      </c>
      <c r="P10" s="3" t="s">
        <v>12</v>
      </c>
      <c r="Q10" s="13">
        <v>1.0368691348627199</v>
      </c>
      <c r="R10" s="6">
        <v>-0.167176048352111</v>
      </c>
      <c r="S10" s="5">
        <v>8.8641812543785899E-3</v>
      </c>
    </row>
    <row r="11" spans="1:19" x14ac:dyDescent="0.25">
      <c r="A11" s="3" t="s">
        <v>13</v>
      </c>
      <c r="B11" s="5">
        <v>1.2210038373368299</v>
      </c>
      <c r="C11" s="5">
        <v>0.10106112243990099</v>
      </c>
      <c r="D11" s="5">
        <v>4.66251429291673E-2</v>
      </c>
      <c r="F11" s="3" t="s">
        <v>13</v>
      </c>
      <c r="G11" s="9">
        <v>1.04959681992682</v>
      </c>
      <c r="H11" s="10">
        <v>-0.33094957948560899</v>
      </c>
      <c r="I11" s="9">
        <v>4.4113621235337297E-2</v>
      </c>
      <c r="K11" s="3" t="s">
        <v>13</v>
      </c>
      <c r="L11" s="5">
        <v>1.33941755807892</v>
      </c>
      <c r="M11" s="5">
        <v>0.63731372986403501</v>
      </c>
      <c r="N11" s="5">
        <v>6.9883057908481996E-2</v>
      </c>
      <c r="P11" s="3" t="s">
        <v>13</v>
      </c>
      <c r="Q11" s="14">
        <v>0.98011971152962396</v>
      </c>
      <c r="R11" s="6">
        <v>-0.234414236192791</v>
      </c>
      <c r="S11" s="5">
        <v>1.32778322661357E-2</v>
      </c>
    </row>
    <row r="12" spans="1:19" x14ac:dyDescent="0.25">
      <c r="A12" s="3" t="s">
        <v>14</v>
      </c>
      <c r="B12" s="5">
        <v>1.5249018262283101</v>
      </c>
      <c r="C12" s="5">
        <v>0.50902572287082404</v>
      </c>
      <c r="D12" s="5">
        <v>9.0894558490112708E-3</v>
      </c>
      <c r="F12" s="3" t="s">
        <v>14</v>
      </c>
      <c r="G12" s="9">
        <v>0.97400899474341096</v>
      </c>
      <c r="H12" s="10">
        <v>-0.27375631737886102</v>
      </c>
      <c r="I12" s="10">
        <v>-8.0536265843332393E-3</v>
      </c>
      <c r="K12" s="3" t="s">
        <v>14</v>
      </c>
      <c r="L12" s="5">
        <v>1.3769164984553499</v>
      </c>
      <c r="M12" s="6">
        <v>-0.44248745305980902</v>
      </c>
      <c r="N12" s="5">
        <v>7.8645648239850305E-2</v>
      </c>
      <c r="P12" s="3" t="s">
        <v>14</v>
      </c>
      <c r="Q12" s="14">
        <v>0.80472452573481301</v>
      </c>
      <c r="R12" s="6">
        <v>-0.91543606234553399</v>
      </c>
      <c r="S12" s="6">
        <v>-6.0975544853349099E-2</v>
      </c>
    </row>
    <row r="13" spans="1:19" x14ac:dyDescent="0.25">
      <c r="A13" s="3" t="s">
        <v>15</v>
      </c>
      <c r="B13" s="4"/>
      <c r="C13" s="4"/>
      <c r="D13" s="4"/>
      <c r="F13" s="3" t="s">
        <v>15</v>
      </c>
      <c r="G13" s="8"/>
      <c r="H13" s="8"/>
      <c r="I13" s="8"/>
      <c r="K13" s="3" t="s">
        <v>15</v>
      </c>
      <c r="L13" s="5">
        <v>1.66488624253968</v>
      </c>
      <c r="M13" s="5">
        <v>0.73952445342362605</v>
      </c>
      <c r="N13" s="5">
        <v>0.17832892113485599</v>
      </c>
      <c r="P13" s="3" t="s">
        <v>15</v>
      </c>
      <c r="Q13" s="13">
        <v>1.07122215244959</v>
      </c>
      <c r="R13" s="6">
        <v>-0.11116405161722299</v>
      </c>
      <c r="S13" s="5">
        <v>4.2081062239471598E-2</v>
      </c>
    </row>
    <row r="14" spans="1:19" x14ac:dyDescent="0.25">
      <c r="A14" s="3" t="s">
        <v>16</v>
      </c>
      <c r="B14" s="4"/>
      <c r="C14" s="4"/>
      <c r="D14" s="4"/>
      <c r="F14" s="3" t="s">
        <v>16</v>
      </c>
      <c r="G14" s="8"/>
      <c r="H14" s="8"/>
      <c r="I14" s="8"/>
      <c r="K14" s="3" t="s">
        <v>16</v>
      </c>
      <c r="L14" s="5">
        <v>1.1538999764416</v>
      </c>
      <c r="M14" s="5">
        <v>9.3645385178040705E-2</v>
      </c>
      <c r="N14" s="5">
        <v>2.1496979213356301E-3</v>
      </c>
      <c r="P14" s="3" t="s">
        <v>16</v>
      </c>
      <c r="Q14" s="14">
        <v>0.96842975873578097</v>
      </c>
      <c r="R14" s="6">
        <v>-0.44122459346906301</v>
      </c>
      <c r="S14" s="6">
        <v>-1.77749404385871E-2</v>
      </c>
    </row>
    <row r="15" spans="1:19" x14ac:dyDescent="0.25">
      <c r="A15" s="3" t="s">
        <v>17</v>
      </c>
      <c r="B15" s="5">
        <v>1.36678278361715</v>
      </c>
      <c r="C15" s="5">
        <v>0.463447965306029</v>
      </c>
      <c r="D15" s="5">
        <v>2.0373962034653699E-2</v>
      </c>
      <c r="F15" s="3" t="s">
        <v>17</v>
      </c>
      <c r="G15" s="9">
        <v>1.03922347944993</v>
      </c>
      <c r="H15" s="9">
        <v>0.59399199353963394</v>
      </c>
      <c r="I15" s="9">
        <v>2.7450804091866201E-2</v>
      </c>
      <c r="K15" s="3" t="s">
        <v>17</v>
      </c>
      <c r="L15" s="5">
        <v>1.5749763159783401</v>
      </c>
      <c r="M15" s="5">
        <v>0.78100360785877099</v>
      </c>
      <c r="N15" s="5">
        <v>0.101236914763633</v>
      </c>
      <c r="P15" s="3" t="s">
        <v>17</v>
      </c>
      <c r="Q15" s="14">
        <v>0.99721998555050795</v>
      </c>
      <c r="R15" s="6">
        <v>-0.221642867808126</v>
      </c>
      <c r="S15" s="5">
        <v>3.08855730575289E-3</v>
      </c>
    </row>
    <row r="16" spans="1:19" x14ac:dyDescent="0.25">
      <c r="A16" s="3" t="s">
        <v>18</v>
      </c>
      <c r="B16" s="4"/>
      <c r="C16" s="4"/>
      <c r="D16" s="4"/>
      <c r="F16" s="3" t="s">
        <v>18</v>
      </c>
      <c r="G16" s="8"/>
      <c r="H16" s="8"/>
      <c r="I16" s="8"/>
      <c r="K16" s="3" t="s">
        <v>18</v>
      </c>
      <c r="L16" s="5">
        <v>1.3735151389442699</v>
      </c>
      <c r="M16" s="5">
        <v>0.76865077228085099</v>
      </c>
      <c r="N16" s="5">
        <v>0.107400232693555</v>
      </c>
      <c r="P16" s="3" t="s">
        <v>18</v>
      </c>
      <c r="Q16" s="13">
        <v>1.0088578932758001</v>
      </c>
      <c r="R16" s="5">
        <v>0.120506313986007</v>
      </c>
      <c r="S16" s="6">
        <v>-5.3081166180475401E-3</v>
      </c>
    </row>
    <row r="17" spans="1:19" x14ac:dyDescent="0.25">
      <c r="A17" s="3" t="s">
        <v>5</v>
      </c>
      <c r="B17" s="5">
        <v>1.8695993339197901</v>
      </c>
      <c r="C17" s="5">
        <v>0.44896728093636801</v>
      </c>
      <c r="D17" s="5">
        <v>2.4947102971666898E-2</v>
      </c>
      <c r="F17" s="3" t="s">
        <v>5</v>
      </c>
      <c r="G17" s="9">
        <v>1.0683907677478099</v>
      </c>
      <c r="H17" s="9">
        <v>0.74870138294766397</v>
      </c>
      <c r="I17" s="9">
        <v>6.5697545304297195E-2</v>
      </c>
      <c r="K17" s="3" t="s">
        <v>5</v>
      </c>
      <c r="L17" s="5">
        <v>1.05849048577709</v>
      </c>
      <c r="M17" s="6">
        <v>-0.73582121336391904</v>
      </c>
      <c r="N17" s="5">
        <v>8.4573685986466099E-2</v>
      </c>
      <c r="P17" s="3" t="s">
        <v>5</v>
      </c>
      <c r="Q17" s="10">
        <v>0.45078352403799399</v>
      </c>
      <c r="R17" s="10">
        <v>-0.811886428716041</v>
      </c>
      <c r="S17" s="10">
        <v>-9.3763935417501706E-2</v>
      </c>
    </row>
    <row r="18" spans="1:19" x14ac:dyDescent="0.25">
      <c r="A18" s="3" t="s">
        <v>6</v>
      </c>
      <c r="B18" s="5">
        <v>1.21795864622288</v>
      </c>
      <c r="C18" s="5">
        <v>1.5264059910121399</v>
      </c>
      <c r="D18" s="5">
        <v>9.6293174744729593E-3</v>
      </c>
      <c r="F18" s="3" t="s">
        <v>6</v>
      </c>
      <c r="G18" s="9">
        <v>1.13117180110701</v>
      </c>
      <c r="H18" s="9">
        <v>1.1019405303793299</v>
      </c>
      <c r="I18" s="9">
        <v>0.132436068542756</v>
      </c>
      <c r="K18" s="3" t="s">
        <v>6</v>
      </c>
      <c r="L18" s="5">
        <v>1.4368219825375701</v>
      </c>
      <c r="M18" s="5">
        <v>0.96854380596042999</v>
      </c>
      <c r="N18" s="5">
        <v>0.198594884621278</v>
      </c>
      <c r="P18" s="3" t="s">
        <v>6</v>
      </c>
      <c r="Q18" s="10">
        <v>0.94043662960440699</v>
      </c>
      <c r="R18" s="10">
        <v>-0.54271122756527101</v>
      </c>
      <c r="S18" s="10">
        <v>-5.2796335197095298E-2</v>
      </c>
    </row>
    <row r="19" spans="1:19" x14ac:dyDescent="0.25">
      <c r="A19" s="3" t="s">
        <v>7</v>
      </c>
      <c r="B19" s="5">
        <v>1.0299659938988901</v>
      </c>
      <c r="C19" s="5">
        <v>0.71671353985517805</v>
      </c>
      <c r="D19" s="5">
        <v>0.14608753400636901</v>
      </c>
      <c r="F19" s="3" t="s">
        <v>7</v>
      </c>
      <c r="G19" s="9">
        <v>0.99421602518435603</v>
      </c>
      <c r="H19" s="9">
        <v>0.17884914222762199</v>
      </c>
      <c r="I19" s="10">
        <v>-4.2076076707890497E-3</v>
      </c>
      <c r="K19" s="3" t="s">
        <v>7</v>
      </c>
      <c r="L19" s="5">
        <v>1.1632876834321</v>
      </c>
      <c r="M19" s="5">
        <v>0.91285830032378401</v>
      </c>
      <c r="N19" s="5">
        <v>6.8212961854365706E-2</v>
      </c>
      <c r="P19" s="3" t="s">
        <v>7</v>
      </c>
      <c r="Q19" s="10">
        <v>0.95863149267075098</v>
      </c>
      <c r="R19" s="10">
        <v>-0.67772868565601696</v>
      </c>
      <c r="S19" s="10">
        <v>-5.9125313303963402E-2</v>
      </c>
    </row>
    <row r="20" spans="1:19" x14ac:dyDescent="0.25">
      <c r="A20" s="3" t="s">
        <v>8</v>
      </c>
      <c r="B20" s="4"/>
      <c r="C20" s="4"/>
      <c r="D20" s="4"/>
      <c r="F20" s="3" t="s">
        <v>8</v>
      </c>
      <c r="G20" s="8"/>
      <c r="H20" s="8"/>
      <c r="I20" s="8"/>
      <c r="K20" s="3" t="s">
        <v>8</v>
      </c>
      <c r="L20" s="5">
        <v>1.1661766362910899</v>
      </c>
      <c r="M20" s="5">
        <v>0.69952356032694896</v>
      </c>
      <c r="N20" s="5">
        <v>4.9611646415268197E-2</v>
      </c>
      <c r="P20" s="3" t="s">
        <v>8</v>
      </c>
      <c r="Q20" s="10">
        <v>0.98251699448728103</v>
      </c>
      <c r="R20" s="10">
        <v>-0.76078071695181804</v>
      </c>
      <c r="S20" s="10">
        <v>-4.1714957549384597E-2</v>
      </c>
    </row>
    <row r="21" spans="1:19" x14ac:dyDescent="0.25">
      <c r="A21" s="3" t="s">
        <v>9</v>
      </c>
      <c r="B21" s="4"/>
      <c r="C21" s="4"/>
      <c r="D21" s="4"/>
      <c r="F21" s="3" t="s">
        <v>9</v>
      </c>
      <c r="G21" s="9">
        <v>1.0587750080951299</v>
      </c>
      <c r="H21" s="9">
        <v>0.662333397055619</v>
      </c>
      <c r="I21" s="9">
        <v>0.12430930853391101</v>
      </c>
      <c r="K21" s="3" t="s">
        <v>9</v>
      </c>
      <c r="L21" s="5">
        <v>1.1611078257792899</v>
      </c>
      <c r="M21" s="5">
        <v>0.97668665464899096</v>
      </c>
      <c r="N21" s="5">
        <v>0.107447815904682</v>
      </c>
      <c r="P21" s="3" t="s">
        <v>9</v>
      </c>
      <c r="Q21" s="9">
        <v>1.0568614326035</v>
      </c>
      <c r="R21" s="9">
        <v>0.64678217889059297</v>
      </c>
      <c r="S21" s="9">
        <v>7.3340759088016003E-2</v>
      </c>
    </row>
    <row r="22" spans="1:19" x14ac:dyDescent="0.25">
      <c r="A22" s="3" t="s">
        <v>10</v>
      </c>
      <c r="B22" s="5">
        <v>1.1534447144942801</v>
      </c>
      <c r="C22" s="5">
        <v>0.678678630991426</v>
      </c>
      <c r="D22" s="5">
        <v>1.27691539373017E-2</v>
      </c>
      <c r="F22" s="3" t="s">
        <v>10</v>
      </c>
      <c r="G22" s="9">
        <v>1.04764110720538</v>
      </c>
      <c r="H22" s="9">
        <v>1.10062768451704</v>
      </c>
      <c r="I22" s="9">
        <v>9.2876994447724404E-2</v>
      </c>
      <c r="K22" s="3" t="s">
        <v>10</v>
      </c>
      <c r="L22" s="5">
        <v>1.2283054504143001</v>
      </c>
      <c r="M22" s="5">
        <v>0.33582626900186402</v>
      </c>
      <c r="N22" s="5">
        <v>0.39411883766970102</v>
      </c>
      <c r="P22" s="3" t="s">
        <v>10</v>
      </c>
      <c r="Q22" s="9">
        <v>1.03826719630338</v>
      </c>
      <c r="R22" s="10">
        <v>-0.15477977693324399</v>
      </c>
      <c r="S22" s="9">
        <v>7.1354925056258001E-3</v>
      </c>
    </row>
    <row r="23" spans="1:19" x14ac:dyDescent="0.25">
      <c r="A23" s="3" t="s">
        <v>11</v>
      </c>
      <c r="B23" s="5">
        <v>1.6625275928143599</v>
      </c>
      <c r="C23" s="5">
        <v>0.81343884511072295</v>
      </c>
      <c r="D23" s="5">
        <v>6.7576112725014403E-2</v>
      </c>
      <c r="F23" s="3" t="s">
        <v>11</v>
      </c>
      <c r="G23" s="9">
        <v>1.1477045338510801</v>
      </c>
      <c r="H23" s="9">
        <v>0.97101599927504101</v>
      </c>
      <c r="I23" s="9">
        <v>8.3834633446242604E-2</v>
      </c>
      <c r="K23" s="3" t="s">
        <v>11</v>
      </c>
      <c r="L23" s="5">
        <v>1.2985932043400299</v>
      </c>
      <c r="M23" s="5">
        <v>0.52794332050181203</v>
      </c>
      <c r="N23" s="5">
        <v>9.0698601563059603E-2</v>
      </c>
      <c r="P23" s="3" t="s">
        <v>11</v>
      </c>
      <c r="Q23" s="10">
        <v>0.93867849021001804</v>
      </c>
      <c r="R23" s="10">
        <v>-0.86583274285189604</v>
      </c>
      <c r="S23" s="10">
        <v>-0.28463650723553102</v>
      </c>
    </row>
    <row r="24" spans="1:19" x14ac:dyDescent="0.25">
      <c r="A24" s="3" t="s">
        <v>12</v>
      </c>
      <c r="B24" s="6">
        <v>0.83858009935182098</v>
      </c>
      <c r="C24" s="6">
        <v>-1.07855599689062</v>
      </c>
      <c r="D24" s="6">
        <v>-0.35416666689988402</v>
      </c>
      <c r="F24" s="3" t="s">
        <v>12</v>
      </c>
      <c r="G24" s="9">
        <v>1.1126612766097499</v>
      </c>
      <c r="H24" s="9">
        <v>0.95380985457733503</v>
      </c>
      <c r="I24" s="9">
        <v>4.4857179056258203E-2</v>
      </c>
      <c r="K24" s="3" t="s">
        <v>12</v>
      </c>
      <c r="L24" s="5">
        <v>1.25880991704892</v>
      </c>
      <c r="M24" s="5">
        <v>0.94081849763111403</v>
      </c>
      <c r="N24" s="5">
        <v>9.9852529707758195E-2</v>
      </c>
      <c r="P24" s="3" t="s">
        <v>12</v>
      </c>
      <c r="Q24" s="9">
        <v>1.08896416336113</v>
      </c>
      <c r="R24" s="9">
        <v>0.61214631104569395</v>
      </c>
      <c r="S24" s="10">
        <v>-7.3287190867590401E-3</v>
      </c>
    </row>
    <row r="25" spans="1:19" x14ac:dyDescent="0.25">
      <c r="A25" s="3" t="s">
        <v>13</v>
      </c>
      <c r="B25" s="5">
        <v>2.31938512736013</v>
      </c>
      <c r="C25" s="5">
        <v>1.34776836410395</v>
      </c>
      <c r="D25" s="5">
        <v>4.5646344187588998E-2</v>
      </c>
      <c r="F25" s="3" t="s">
        <v>13</v>
      </c>
      <c r="G25" s="9">
        <v>1.2530304455719099</v>
      </c>
      <c r="H25" s="9">
        <v>1.1029723476739599</v>
      </c>
      <c r="I25" s="9">
        <v>7.6664996000854094E-2</v>
      </c>
      <c r="K25" s="3" t="s">
        <v>13</v>
      </c>
      <c r="L25" s="5">
        <v>1.2914529576795399</v>
      </c>
      <c r="M25" s="5">
        <v>0.445945938664987</v>
      </c>
      <c r="N25" s="5">
        <v>5.5815481283492403E-2</v>
      </c>
      <c r="P25" s="3" t="s">
        <v>13</v>
      </c>
      <c r="Q25" s="9">
        <v>1.18553177339745</v>
      </c>
      <c r="R25" s="9">
        <v>0.59208584316733603</v>
      </c>
      <c r="S25" s="9">
        <v>0.10941628444022999</v>
      </c>
    </row>
    <row r="26" spans="1:19" x14ac:dyDescent="0.25">
      <c r="A26" s="3" t="s">
        <v>14</v>
      </c>
      <c r="B26" s="5">
        <v>1.66955637894203</v>
      </c>
      <c r="C26" s="5">
        <v>0.55456789410428697</v>
      </c>
      <c r="D26" s="5">
        <v>1.47909285306715E-2</v>
      </c>
      <c r="F26" s="3" t="s">
        <v>14</v>
      </c>
      <c r="G26" s="9">
        <v>1.0813804129035001</v>
      </c>
      <c r="H26" s="9">
        <v>0.52079829390269505</v>
      </c>
      <c r="I26" s="9">
        <v>2.1219861817338499E-2</v>
      </c>
      <c r="K26" s="3" t="s">
        <v>14</v>
      </c>
      <c r="L26" s="5">
        <v>1.2886907903199001</v>
      </c>
      <c r="M26" s="6">
        <v>-0.136935986249347</v>
      </c>
      <c r="N26" s="5">
        <v>9.5391388976058394E-2</v>
      </c>
      <c r="P26" s="3" t="s">
        <v>14</v>
      </c>
      <c r="Q26" s="9">
        <v>1.0643830961710401</v>
      </c>
      <c r="R26" s="9">
        <v>0.74012064453311799</v>
      </c>
      <c r="S26" s="10">
        <v>-8.4675321487204705E-2</v>
      </c>
    </row>
    <row r="27" spans="1:19" x14ac:dyDescent="0.25">
      <c r="A27" s="3" t="s">
        <v>15</v>
      </c>
      <c r="B27" s="4"/>
      <c r="C27" s="5">
        <v>0.70468449804027899</v>
      </c>
      <c r="D27" s="5">
        <v>3.5842816756479302E-2</v>
      </c>
      <c r="F27" s="3" t="s">
        <v>15</v>
      </c>
      <c r="G27" s="9">
        <v>1.2134925086481201</v>
      </c>
      <c r="H27" s="9">
        <v>0.94175163201491896</v>
      </c>
      <c r="I27" s="9">
        <v>8.5275451626537893E-2</v>
      </c>
      <c r="K27" s="3" t="s">
        <v>15</v>
      </c>
      <c r="L27" s="5">
        <v>1.39612401914989</v>
      </c>
      <c r="M27" s="5">
        <v>0.97165157928161605</v>
      </c>
      <c r="N27" s="5">
        <v>9.9540545016305104E-2</v>
      </c>
      <c r="P27" s="3" t="s">
        <v>15</v>
      </c>
      <c r="Q27" s="9">
        <v>1.0913993357873799</v>
      </c>
      <c r="R27" s="9">
        <v>0.62408685090742599</v>
      </c>
      <c r="S27" s="10">
        <v>-3.2911415817637998E-2</v>
      </c>
    </row>
    <row r="28" spans="1:19" x14ac:dyDescent="0.25">
      <c r="A28" s="3" t="s">
        <v>16</v>
      </c>
      <c r="B28" s="6">
        <v>0.90805045415642205</v>
      </c>
      <c r="C28" s="6">
        <v>-0.373253605455523</v>
      </c>
      <c r="D28" s="6">
        <v>-4.0383997186219003E-2</v>
      </c>
      <c r="F28" s="3" t="s">
        <v>16</v>
      </c>
      <c r="G28" s="9">
        <v>1.08380817355586</v>
      </c>
      <c r="H28" s="9">
        <v>0.28231733716004298</v>
      </c>
      <c r="I28" s="9">
        <v>3.1629539106965802E-2</v>
      </c>
      <c r="K28" s="3" t="s">
        <v>16</v>
      </c>
      <c r="L28" s="5">
        <v>1.15490049713987</v>
      </c>
      <c r="M28" s="5">
        <v>0.47813963463856402</v>
      </c>
      <c r="N28" s="5">
        <v>0.115227328160236</v>
      </c>
      <c r="P28" s="3" t="s">
        <v>16</v>
      </c>
      <c r="Q28" s="9">
        <v>1.00259808767117</v>
      </c>
      <c r="R28" s="9">
        <v>0.25147892096544</v>
      </c>
      <c r="S28" s="10">
        <v>-4.46763074582908E-2</v>
      </c>
    </row>
    <row r="29" spans="1:19" x14ac:dyDescent="0.25">
      <c r="A29" s="3" t="s">
        <v>17</v>
      </c>
      <c r="B29" s="5">
        <v>1.0862889042163599</v>
      </c>
      <c r="C29" s="5">
        <v>0.63056904760694898</v>
      </c>
      <c r="D29" s="5">
        <v>3.6679485231980898E-2</v>
      </c>
      <c r="F29" s="3" t="s">
        <v>17</v>
      </c>
      <c r="G29" s="9">
        <v>1.0367372638660399</v>
      </c>
      <c r="H29" s="9">
        <v>0.55097576187408004</v>
      </c>
      <c r="I29" s="9">
        <v>4.3964016574286002E-2</v>
      </c>
      <c r="K29" s="3" t="s">
        <v>17</v>
      </c>
      <c r="L29" s="5">
        <v>1.6223687074200499</v>
      </c>
      <c r="M29" s="5">
        <v>0.74242380847501299</v>
      </c>
      <c r="N29" s="5">
        <v>0.157732693122626</v>
      </c>
      <c r="P29" s="3" t="s">
        <v>17</v>
      </c>
      <c r="Q29" s="9">
        <v>1.0043452914566</v>
      </c>
      <c r="R29" s="10">
        <v>-2.3625782421043601E-2</v>
      </c>
      <c r="S29" s="10">
        <v>-1.53118918462132E-3</v>
      </c>
    </row>
    <row r="30" spans="1:19" x14ac:dyDescent="0.25">
      <c r="A30" s="3" t="s">
        <v>18</v>
      </c>
      <c r="B30" s="6">
        <v>0.39254775269290398</v>
      </c>
      <c r="C30" s="6">
        <v>-0.623899602892661</v>
      </c>
      <c r="D30" s="6">
        <v>-0.76160033358371604</v>
      </c>
      <c r="F30" s="3" t="s">
        <v>18</v>
      </c>
      <c r="G30" s="9">
        <v>1.1282134088167699</v>
      </c>
      <c r="H30" s="9">
        <v>0.99053604379690696</v>
      </c>
      <c r="I30" s="9">
        <v>5.3048699734524599E-2</v>
      </c>
      <c r="K30" s="3" t="s">
        <v>18</v>
      </c>
      <c r="L30" s="5">
        <v>1.4572146309152101</v>
      </c>
      <c r="M30" s="5">
        <v>0.80433038241724497</v>
      </c>
      <c r="N30" s="5">
        <v>0.121156039239802</v>
      </c>
      <c r="P30" s="3" t="s">
        <v>18</v>
      </c>
      <c r="Q30" s="10">
        <v>0.40870513477919201</v>
      </c>
      <c r="R30" s="10">
        <v>-0.95802365966780301</v>
      </c>
      <c r="S30" s="10">
        <v>-0.17920927988478999</v>
      </c>
    </row>
    <row r="33" spans="1:11" ht="38.25" x14ac:dyDescent="0.25">
      <c r="C33" s="17" t="s">
        <v>24</v>
      </c>
      <c r="D33" s="17" t="s">
        <v>31</v>
      </c>
      <c r="E33" s="17" t="s">
        <v>32</v>
      </c>
      <c r="F33" s="17" t="s">
        <v>25</v>
      </c>
      <c r="G33" s="17" t="s">
        <v>26</v>
      </c>
      <c r="H33" s="17" t="s">
        <v>27</v>
      </c>
      <c r="I33" s="17" t="s">
        <v>28</v>
      </c>
      <c r="J33" s="18" t="s">
        <v>29</v>
      </c>
      <c r="K33" s="18" t="s">
        <v>30</v>
      </c>
    </row>
    <row r="34" spans="1:11" x14ac:dyDescent="0.25">
      <c r="A34" s="3" t="s">
        <v>22</v>
      </c>
      <c r="B34" s="3" t="s">
        <v>5</v>
      </c>
      <c r="C34" s="8">
        <v>14.086130000000001</v>
      </c>
      <c r="D34" s="3"/>
      <c r="E34" s="3"/>
      <c r="F34" s="15"/>
      <c r="I34" s="16"/>
    </row>
    <row r="35" spans="1:11" x14ac:dyDescent="0.25">
      <c r="A35" s="3" t="s">
        <v>22</v>
      </c>
      <c r="B35" s="3" t="s">
        <v>6</v>
      </c>
      <c r="C35" s="8">
        <v>23.435036</v>
      </c>
      <c r="D35" s="3"/>
      <c r="E35" s="3">
        <v>22</v>
      </c>
      <c r="F35" s="3"/>
      <c r="I35" s="4"/>
    </row>
    <row r="36" spans="1:11" x14ac:dyDescent="0.25">
      <c r="A36" s="3" t="s">
        <v>22</v>
      </c>
      <c r="B36" s="3" t="s">
        <v>7</v>
      </c>
      <c r="C36" s="8">
        <v>16.113236000000001</v>
      </c>
      <c r="D36" s="8">
        <v>2.4954469283408098</v>
      </c>
      <c r="E36" s="3">
        <v>21.75</v>
      </c>
      <c r="F36" s="3"/>
      <c r="G36" s="3">
        <v>118.22733427999999</v>
      </c>
      <c r="H36" s="3">
        <v>60.710430000000002</v>
      </c>
      <c r="I36" s="4">
        <v>1.0078290838208943</v>
      </c>
      <c r="J36" s="8">
        <v>1.9432258375425799</v>
      </c>
      <c r="K36" s="8">
        <v>-0.14571780115724001</v>
      </c>
    </row>
    <row r="37" spans="1:11" x14ac:dyDescent="0.25">
      <c r="A37" s="3" t="s">
        <v>22</v>
      </c>
      <c r="B37" s="3" t="s">
        <v>8</v>
      </c>
      <c r="C37" s="8">
        <v>12.133376200000001</v>
      </c>
      <c r="D37" s="8">
        <v>4.9705418000804897</v>
      </c>
      <c r="E37" s="3">
        <v>48.5</v>
      </c>
      <c r="F37" s="3">
        <v>48.5</v>
      </c>
      <c r="G37" s="3">
        <v>108.51115272</v>
      </c>
      <c r="H37" s="3">
        <v>45.71622</v>
      </c>
      <c r="I37" s="4">
        <v>1.008246697022094</v>
      </c>
      <c r="J37" s="8">
        <v>2.3768784113539301</v>
      </c>
      <c r="K37" s="8">
        <v>0.15611461722769501</v>
      </c>
    </row>
    <row r="38" spans="1:11" x14ac:dyDescent="0.25">
      <c r="A38" s="3" t="s">
        <v>22</v>
      </c>
      <c r="B38" s="3" t="s">
        <v>9</v>
      </c>
      <c r="C38" s="8">
        <v>13.1930706</v>
      </c>
      <c r="D38" s="8">
        <v>18.738059749368901</v>
      </c>
      <c r="E38" s="3">
        <v>28.75</v>
      </c>
      <c r="F38" s="3">
        <v>28.75</v>
      </c>
      <c r="G38" s="3">
        <v>106.97060942</v>
      </c>
      <c r="H38" s="3">
        <v>46.063560000000003</v>
      </c>
      <c r="I38" s="4">
        <v>1.0490052443540898</v>
      </c>
      <c r="J38" s="8">
        <v>70.349925179505803</v>
      </c>
      <c r="K38" s="8">
        <v>0.29322882322716898</v>
      </c>
    </row>
    <row r="39" spans="1:11" x14ac:dyDescent="0.25">
      <c r="A39" s="3" t="s">
        <v>22</v>
      </c>
      <c r="B39" s="3" t="s">
        <v>10</v>
      </c>
      <c r="C39" s="8">
        <v>9.7677034200000001</v>
      </c>
      <c r="D39" s="8">
        <v>8.1761484496582497</v>
      </c>
      <c r="E39" s="3">
        <v>21</v>
      </c>
      <c r="F39" s="3">
        <v>21</v>
      </c>
      <c r="G39" s="3">
        <v>113.72040256</v>
      </c>
      <c r="H39" s="3">
        <v>47.354999999999997</v>
      </c>
      <c r="I39" s="4">
        <v>1.0119508062412015</v>
      </c>
      <c r="J39" s="8">
        <v>5.4523947827090398</v>
      </c>
      <c r="K39" s="8">
        <v>0.19059894727801999</v>
      </c>
    </row>
    <row r="40" spans="1:11" x14ac:dyDescent="0.25">
      <c r="A40" s="3" t="s">
        <v>22</v>
      </c>
      <c r="B40" s="3" t="s">
        <v>11</v>
      </c>
      <c r="C40" s="8">
        <v>15.528736</v>
      </c>
      <c r="D40" s="8"/>
      <c r="E40" s="3">
        <v>21.5</v>
      </c>
      <c r="F40" s="3"/>
      <c r="G40" s="3"/>
      <c r="H40" s="3"/>
      <c r="I40" s="4"/>
      <c r="J40" s="8"/>
      <c r="K40" s="8"/>
    </row>
    <row r="41" spans="1:11" x14ac:dyDescent="0.25">
      <c r="A41" s="3" t="s">
        <v>22</v>
      </c>
      <c r="B41" s="3" t="s">
        <v>12</v>
      </c>
      <c r="C41" s="8">
        <v>14.369724039999999</v>
      </c>
      <c r="D41" s="8">
        <v>19.594840851392899</v>
      </c>
      <c r="E41" s="3">
        <v>75</v>
      </c>
      <c r="F41" s="3">
        <v>96.5</v>
      </c>
      <c r="G41" s="3">
        <v>112.66319882000001</v>
      </c>
      <c r="H41" s="3">
        <v>101.105</v>
      </c>
      <c r="I41" s="4">
        <v>1.0239451393319936</v>
      </c>
      <c r="J41" s="8">
        <v>33.895949402833203</v>
      </c>
      <c r="K41" s="8">
        <v>0.499861288181496</v>
      </c>
    </row>
    <row r="42" spans="1:11" x14ac:dyDescent="0.25">
      <c r="A42" s="3" t="s">
        <v>22</v>
      </c>
      <c r="B42" s="3" t="s">
        <v>13</v>
      </c>
      <c r="C42" s="8">
        <v>19.197853511999998</v>
      </c>
      <c r="D42" s="8">
        <v>17.2552427011953</v>
      </c>
      <c r="E42" s="3">
        <v>47.5</v>
      </c>
      <c r="F42" s="3">
        <v>47.5</v>
      </c>
      <c r="G42" s="3">
        <v>114.89097618</v>
      </c>
      <c r="H42" s="3">
        <v>44.466000000000001</v>
      </c>
      <c r="I42" s="4">
        <v>1.0275460447393339</v>
      </c>
      <c r="J42" s="8">
        <v>32.177431699139497</v>
      </c>
      <c r="K42" s="8">
        <v>0.40695810522245701</v>
      </c>
    </row>
    <row r="43" spans="1:11" x14ac:dyDescent="0.25">
      <c r="A43" s="3" t="s">
        <v>22</v>
      </c>
      <c r="B43" s="3" t="s">
        <v>14</v>
      </c>
      <c r="C43" s="8">
        <v>45.413344000000002</v>
      </c>
      <c r="D43" s="8">
        <v>17.024424898784201</v>
      </c>
      <c r="E43" s="3">
        <v>23.5</v>
      </c>
      <c r="F43" s="3">
        <v>23.5</v>
      </c>
      <c r="G43" s="3">
        <v>116.55531655999999</v>
      </c>
      <c r="H43" s="3">
        <v>47.503</v>
      </c>
      <c r="I43" s="4">
        <v>1.0275826446035865</v>
      </c>
      <c r="J43" s="8">
        <v>31.253302872972</v>
      </c>
      <c r="K43" s="8">
        <v>5.4056282725128302E-2</v>
      </c>
    </row>
    <row r="44" spans="1:11" x14ac:dyDescent="0.25">
      <c r="A44" s="3" t="s">
        <v>22</v>
      </c>
      <c r="B44" s="3" t="s">
        <v>15</v>
      </c>
      <c r="C44" s="8">
        <v>26.537703021999999</v>
      </c>
      <c r="D44" s="8"/>
      <c r="E44" s="3">
        <v>27.75</v>
      </c>
      <c r="F44" s="3"/>
      <c r="G44" s="3"/>
      <c r="H44" s="3"/>
      <c r="I44" s="4"/>
      <c r="J44" s="8"/>
      <c r="K44" s="8"/>
    </row>
    <row r="45" spans="1:11" x14ac:dyDescent="0.25">
      <c r="A45" s="3" t="s">
        <v>22</v>
      </c>
      <c r="B45" s="3" t="s">
        <v>16</v>
      </c>
      <c r="C45" s="8">
        <v>13.041978800000001</v>
      </c>
      <c r="D45" s="8">
        <v>15.1069524712688</v>
      </c>
      <c r="E45" s="3">
        <v>20</v>
      </c>
      <c r="F45" s="3">
        <v>47.75</v>
      </c>
      <c r="G45" s="3">
        <v>118.40602251999999</v>
      </c>
      <c r="H45" s="3">
        <v>54.055999999999997</v>
      </c>
      <c r="I45" s="4">
        <v>1.0572093304532362</v>
      </c>
      <c r="J45" s="8">
        <v>42.7547044117564</v>
      </c>
      <c r="K45" s="8">
        <v>0.26690920736687102</v>
      </c>
    </row>
    <row r="46" spans="1:11" x14ac:dyDescent="0.25">
      <c r="A46" s="3" t="s">
        <v>22</v>
      </c>
      <c r="B46" s="3" t="s">
        <v>17</v>
      </c>
      <c r="C46" s="8">
        <v>27.244893999999999</v>
      </c>
      <c r="D46" s="8">
        <v>21.9579587943592</v>
      </c>
      <c r="E46" s="3">
        <v>23.75</v>
      </c>
      <c r="F46" s="3">
        <v>23.75</v>
      </c>
      <c r="G46" s="3">
        <v>115.75512236</v>
      </c>
      <c r="H46" s="3">
        <v>53.783999999999999</v>
      </c>
      <c r="I46" s="4">
        <v>1.111235100018195</v>
      </c>
      <c r="J46" s="8">
        <v>175.86248095131899</v>
      </c>
      <c r="K46" s="8">
        <v>0.45125668170602201</v>
      </c>
    </row>
    <row r="47" spans="1:11" x14ac:dyDescent="0.25">
      <c r="A47" s="3" t="s">
        <v>22</v>
      </c>
      <c r="B47" s="3" t="s">
        <v>18</v>
      </c>
      <c r="C47" s="8">
        <v>16.4784592</v>
      </c>
      <c r="D47" s="8">
        <v>16.640165980770899</v>
      </c>
      <c r="E47" s="3">
        <v>23.5</v>
      </c>
      <c r="F47" s="3">
        <v>23.5</v>
      </c>
      <c r="G47" s="3">
        <v>121.12197168</v>
      </c>
      <c r="H47" s="3">
        <v>53.783999999999999</v>
      </c>
      <c r="I47" s="4">
        <v>1.0519758315193652</v>
      </c>
      <c r="J47" s="8">
        <v>52.638565780695899</v>
      </c>
      <c r="K47" s="8">
        <v>0.51242235468873398</v>
      </c>
    </row>
    <row r="48" spans="1:11" x14ac:dyDescent="0.25">
      <c r="A48" s="3" t="s">
        <v>23</v>
      </c>
      <c r="B48" s="3" t="s">
        <v>5</v>
      </c>
      <c r="C48" s="4">
        <v>19.942087656000002</v>
      </c>
      <c r="D48" s="8"/>
      <c r="E48" s="3"/>
      <c r="F48" s="15"/>
      <c r="I48" s="4"/>
      <c r="J48" s="8"/>
      <c r="K48" s="8"/>
    </row>
    <row r="49" spans="1:11" x14ac:dyDescent="0.25">
      <c r="A49" s="3" t="s">
        <v>23</v>
      </c>
      <c r="B49" s="3" t="s">
        <v>6</v>
      </c>
      <c r="C49" s="4">
        <v>27.006948699999999</v>
      </c>
      <c r="D49" s="8"/>
      <c r="E49" s="3">
        <v>22</v>
      </c>
      <c r="F49" s="3"/>
      <c r="I49" s="4"/>
      <c r="J49" s="8"/>
      <c r="K49" s="8"/>
    </row>
    <row r="50" spans="1:11" x14ac:dyDescent="0.25">
      <c r="A50" s="3" t="s">
        <v>23</v>
      </c>
      <c r="B50" s="3" t="s">
        <v>7</v>
      </c>
      <c r="C50" s="4">
        <v>17.163158299999999</v>
      </c>
      <c r="D50" s="8">
        <v>2.4954469283408098</v>
      </c>
      <c r="E50" s="3">
        <v>21.75</v>
      </c>
      <c r="F50" s="3"/>
      <c r="G50" s="3">
        <v>118.22733427999999</v>
      </c>
      <c r="H50" s="3">
        <v>60.710430000000002</v>
      </c>
      <c r="I50" s="4">
        <v>1.0078290838208943</v>
      </c>
      <c r="J50" s="8">
        <v>1.9432258375425799</v>
      </c>
      <c r="K50" s="8">
        <v>-0.14571780115724001</v>
      </c>
    </row>
    <row r="51" spans="1:11" x14ac:dyDescent="0.25">
      <c r="A51" s="3" t="s">
        <v>23</v>
      </c>
      <c r="B51" s="3" t="s">
        <v>8</v>
      </c>
      <c r="C51" s="4">
        <v>11.844246328000001</v>
      </c>
      <c r="D51" s="8">
        <v>4.9705418000804897</v>
      </c>
      <c r="E51" s="3">
        <v>48.5</v>
      </c>
      <c r="F51" s="3">
        <v>48.5</v>
      </c>
      <c r="G51" s="3">
        <v>108.51115272</v>
      </c>
      <c r="H51" s="3">
        <v>45.71622</v>
      </c>
      <c r="I51" s="4">
        <v>1.008246697022094</v>
      </c>
      <c r="J51" s="8">
        <v>2.3768784113539301</v>
      </c>
      <c r="K51" s="8">
        <v>0.15611461722769501</v>
      </c>
    </row>
    <row r="52" spans="1:11" x14ac:dyDescent="0.25">
      <c r="A52" s="3" t="s">
        <v>23</v>
      </c>
      <c r="B52" s="3" t="s">
        <v>9</v>
      </c>
      <c r="C52" s="4">
        <v>10.4846146</v>
      </c>
      <c r="D52" s="8">
        <v>18.738059749368901</v>
      </c>
      <c r="E52" s="3">
        <v>28.75</v>
      </c>
      <c r="F52" s="3">
        <v>28.75</v>
      </c>
      <c r="G52" s="3">
        <v>106.97060942</v>
      </c>
      <c r="H52" s="3">
        <v>46.063560000000003</v>
      </c>
      <c r="I52" s="4">
        <v>1.0490052443540898</v>
      </c>
      <c r="J52" s="8">
        <v>70.349925179505803</v>
      </c>
      <c r="K52" s="8">
        <v>0.29322882322716898</v>
      </c>
    </row>
    <row r="53" spans="1:11" x14ac:dyDescent="0.25">
      <c r="A53" s="3" t="s">
        <v>23</v>
      </c>
      <c r="B53" s="3" t="s">
        <v>10</v>
      </c>
      <c r="C53" s="4">
        <v>12.196904200000001</v>
      </c>
      <c r="D53" s="8">
        <v>8.1761484496582497</v>
      </c>
      <c r="E53" s="3">
        <v>21</v>
      </c>
      <c r="F53" s="3">
        <v>21</v>
      </c>
      <c r="G53" s="3">
        <v>113.72040256</v>
      </c>
      <c r="H53" s="3">
        <v>47.354999999999997</v>
      </c>
      <c r="I53" s="4">
        <v>1.0119508062412015</v>
      </c>
      <c r="J53" s="8">
        <v>5.4523947827090398</v>
      </c>
      <c r="K53" s="8">
        <v>0.19059894727801999</v>
      </c>
    </row>
    <row r="54" spans="1:11" x14ac:dyDescent="0.25">
      <c r="A54" s="3" t="s">
        <v>23</v>
      </c>
      <c r="B54" s="3" t="s">
        <v>11</v>
      </c>
      <c r="C54" s="4">
        <v>15.053141999999999</v>
      </c>
      <c r="D54" s="8"/>
      <c r="E54" s="3">
        <v>21.5</v>
      </c>
      <c r="F54" s="3"/>
      <c r="G54" s="3"/>
      <c r="H54" s="3"/>
      <c r="I54" s="4"/>
      <c r="J54" s="8"/>
      <c r="K54" s="8"/>
    </row>
    <row r="55" spans="1:11" x14ac:dyDescent="0.25">
      <c r="A55" s="3" t="s">
        <v>23</v>
      </c>
      <c r="B55" s="3" t="s">
        <v>12</v>
      </c>
      <c r="C55" s="4">
        <v>10.8144344</v>
      </c>
      <c r="D55" s="8">
        <v>19.594840851392899</v>
      </c>
      <c r="E55" s="3">
        <v>75</v>
      </c>
      <c r="F55" s="3">
        <v>96.5</v>
      </c>
      <c r="G55" s="3">
        <v>112.66319882000001</v>
      </c>
      <c r="H55" s="3">
        <v>101.105</v>
      </c>
      <c r="I55" s="4">
        <v>1.0239451393319936</v>
      </c>
      <c r="J55" s="8">
        <v>33.895949402833203</v>
      </c>
      <c r="K55" s="8">
        <v>0.499861288181496</v>
      </c>
    </row>
    <row r="56" spans="1:11" x14ac:dyDescent="0.25">
      <c r="A56" s="3" t="s">
        <v>23</v>
      </c>
      <c r="B56" s="3" t="s">
        <v>13</v>
      </c>
      <c r="C56" s="4">
        <v>14.806100799999999</v>
      </c>
      <c r="D56" s="8">
        <v>17.2552427011953</v>
      </c>
      <c r="E56" s="3">
        <v>47.5</v>
      </c>
      <c r="F56" s="3">
        <v>47.5</v>
      </c>
      <c r="G56" s="3">
        <v>114.89097618</v>
      </c>
      <c r="H56" s="3">
        <v>44.466000000000001</v>
      </c>
      <c r="I56" s="4">
        <v>1.0275460447393339</v>
      </c>
      <c r="J56" s="8">
        <v>32.177431699139497</v>
      </c>
      <c r="K56" s="8">
        <v>0.40695810522245701</v>
      </c>
    </row>
    <row r="57" spans="1:11" x14ac:dyDescent="0.25">
      <c r="A57" s="3" t="s">
        <v>23</v>
      </c>
      <c r="B57" s="3" t="s">
        <v>14</v>
      </c>
      <c r="C57" s="4">
        <v>40.336936000000001</v>
      </c>
      <c r="D57" s="8">
        <v>17.024424898784201</v>
      </c>
      <c r="E57" s="3">
        <v>23.5</v>
      </c>
      <c r="F57" s="3">
        <v>23.5</v>
      </c>
      <c r="G57" s="3">
        <v>116.55531655999999</v>
      </c>
      <c r="H57" s="3">
        <v>47.503</v>
      </c>
      <c r="I57" s="4">
        <v>1.0275826446035865</v>
      </c>
      <c r="J57" s="8">
        <v>31.253302872972</v>
      </c>
      <c r="K57" s="8">
        <v>5.4056282725128302E-2</v>
      </c>
    </row>
    <row r="58" spans="1:11" x14ac:dyDescent="0.25">
      <c r="A58" s="3" t="s">
        <v>23</v>
      </c>
      <c r="B58" s="3" t="s">
        <v>15</v>
      </c>
      <c r="C58" s="4">
        <v>19.439147999999999</v>
      </c>
      <c r="D58" s="8"/>
      <c r="E58" s="3">
        <v>27.75</v>
      </c>
      <c r="F58" s="3"/>
      <c r="G58" s="3"/>
      <c r="H58" s="3"/>
      <c r="I58" s="4"/>
      <c r="J58" s="8"/>
      <c r="K58" s="8"/>
    </row>
    <row r="59" spans="1:11" x14ac:dyDescent="0.25">
      <c r="A59" s="3" t="s">
        <v>23</v>
      </c>
      <c r="B59" s="3" t="s">
        <v>16</v>
      </c>
      <c r="C59" s="4">
        <v>13.531736435999999</v>
      </c>
      <c r="D59" s="8">
        <v>15.1069524712688</v>
      </c>
      <c r="E59" s="3">
        <v>20</v>
      </c>
      <c r="F59" s="3">
        <v>47.75</v>
      </c>
      <c r="G59" s="3">
        <v>118.40602251999999</v>
      </c>
      <c r="H59" s="3">
        <v>54.055999999999997</v>
      </c>
      <c r="I59" s="4">
        <v>1.0572093304532362</v>
      </c>
      <c r="J59" s="8">
        <v>42.7547044117564</v>
      </c>
      <c r="K59" s="8">
        <v>0.26690920736687102</v>
      </c>
    </row>
    <row r="60" spans="1:11" x14ac:dyDescent="0.25">
      <c r="A60" s="3" t="s">
        <v>23</v>
      </c>
      <c r="B60" s="3" t="s">
        <v>17</v>
      </c>
      <c r="C60" s="4">
        <v>27.867789999999999</v>
      </c>
      <c r="D60" s="8">
        <v>21.9579587943592</v>
      </c>
      <c r="E60" s="3">
        <v>23.75</v>
      </c>
      <c r="F60" s="3">
        <v>23.75</v>
      </c>
      <c r="G60" s="3">
        <v>115.75512236</v>
      </c>
      <c r="H60" s="3">
        <v>53.783999999999999</v>
      </c>
      <c r="I60" s="4">
        <v>1.111235100018195</v>
      </c>
      <c r="J60" s="8">
        <v>175.86248095131899</v>
      </c>
      <c r="K60" s="8">
        <v>0.45125668170602201</v>
      </c>
    </row>
    <row r="61" spans="1:11" x14ac:dyDescent="0.25">
      <c r="A61" s="3" t="s">
        <v>23</v>
      </c>
      <c r="B61" s="3" t="s">
        <v>18</v>
      </c>
      <c r="C61" s="4">
        <v>16.916785999999998</v>
      </c>
      <c r="D61" s="8">
        <v>16.640165980770899</v>
      </c>
      <c r="E61" s="3">
        <v>23.5</v>
      </c>
      <c r="F61" s="3">
        <v>23.5</v>
      </c>
      <c r="G61" s="3">
        <v>121.12197168</v>
      </c>
      <c r="H61" s="3">
        <v>53.783999999999999</v>
      </c>
      <c r="I61" s="4">
        <v>1.0519758315193652</v>
      </c>
      <c r="J61" s="8">
        <v>52.638565780695899</v>
      </c>
      <c r="K61" s="8">
        <v>0.51242235468873398</v>
      </c>
    </row>
    <row r="65" spans="1:10" x14ac:dyDescent="0.25">
      <c r="A65" s="1"/>
    </row>
    <row r="66" spans="1:10" ht="40.5" customHeight="1" x14ac:dyDescent="0.25">
      <c r="A66" s="2" t="s">
        <v>1</v>
      </c>
      <c r="B66" s="2" t="s">
        <v>33</v>
      </c>
      <c r="C66" s="2" t="s">
        <v>34</v>
      </c>
      <c r="D66" s="2" t="s">
        <v>35</v>
      </c>
      <c r="E66" s="2" t="s">
        <v>36</v>
      </c>
      <c r="F66" s="18" t="s">
        <v>29</v>
      </c>
      <c r="G66" s="17" t="s">
        <v>37</v>
      </c>
      <c r="H66" s="17" t="s">
        <v>31</v>
      </c>
      <c r="I66" s="17" t="s">
        <v>28</v>
      </c>
      <c r="J66" s="18" t="s">
        <v>30</v>
      </c>
    </row>
    <row r="67" spans="1:10" x14ac:dyDescent="0.25">
      <c r="A67" s="3" t="s">
        <v>5</v>
      </c>
      <c r="B67" s="5">
        <v>9.4513218106104094E-2</v>
      </c>
      <c r="C67" s="9">
        <v>3.4332675043980999E-2</v>
      </c>
      <c r="D67" s="5">
        <v>5.1856335362832198E-2</v>
      </c>
      <c r="E67" s="5">
        <v>1.3430417175947699E-2</v>
      </c>
      <c r="G67" s="15"/>
      <c r="H67" s="3"/>
      <c r="I67" s="16"/>
    </row>
    <row r="68" spans="1:10" x14ac:dyDescent="0.25">
      <c r="A68" s="3" t="s">
        <v>6</v>
      </c>
      <c r="B68" s="5">
        <v>4.2663094228711902E-2</v>
      </c>
      <c r="C68" s="9">
        <v>2.8668980226143202E-2</v>
      </c>
      <c r="D68" s="5">
        <v>0.103368750113241</v>
      </c>
      <c r="E68" s="6">
        <v>-1.61778645652975E-2</v>
      </c>
      <c r="G68" s="3"/>
      <c r="H68" s="3"/>
      <c r="I68" s="4"/>
    </row>
    <row r="69" spans="1:10" x14ac:dyDescent="0.25">
      <c r="A69" s="3" t="s">
        <v>7</v>
      </c>
      <c r="B69" s="4"/>
      <c r="C69" s="8"/>
      <c r="D69" s="5">
        <v>0.11077055296162799</v>
      </c>
      <c r="E69" s="6">
        <v>-3.7834846370905402E-3</v>
      </c>
      <c r="F69" s="8">
        <v>1.9432258375425799</v>
      </c>
      <c r="G69" s="3">
        <v>21.75</v>
      </c>
      <c r="H69" s="8">
        <v>2.4954469283408098</v>
      </c>
      <c r="I69" s="4">
        <v>1.0078290838208943</v>
      </c>
      <c r="J69" s="8">
        <v>-0.14571780115724001</v>
      </c>
    </row>
    <row r="70" spans="1:10" x14ac:dyDescent="0.25">
      <c r="A70" s="3" t="s">
        <v>8</v>
      </c>
      <c r="B70" s="4"/>
      <c r="C70" s="8"/>
      <c r="D70" s="5">
        <v>1.0650915621547401E-2</v>
      </c>
      <c r="E70" s="5">
        <v>6.4581353214806597E-2</v>
      </c>
      <c r="F70" s="8">
        <v>2.3768784113539301</v>
      </c>
      <c r="G70" s="3">
        <v>48.5</v>
      </c>
      <c r="H70" s="8">
        <v>4.9705418000804897</v>
      </c>
      <c r="I70" s="4">
        <v>1.008246697022094</v>
      </c>
      <c r="J70" s="8">
        <v>0.15611461722769501</v>
      </c>
    </row>
    <row r="71" spans="1:10" x14ac:dyDescent="0.25">
      <c r="A71" s="3" t="s">
        <v>9</v>
      </c>
      <c r="B71" s="4"/>
      <c r="C71" s="8"/>
      <c r="D71" s="6">
        <v>-2.2683422982125001E-2</v>
      </c>
      <c r="E71" s="5">
        <v>6.1895687016862502E-2</v>
      </c>
      <c r="F71" s="8">
        <v>70.349925179505803</v>
      </c>
      <c r="G71" s="3">
        <v>28.75</v>
      </c>
      <c r="H71" s="8">
        <v>18.738059749368901</v>
      </c>
      <c r="I71" s="4">
        <v>1.0490052443540898</v>
      </c>
      <c r="J71" s="8">
        <v>0.29322882322716898</v>
      </c>
    </row>
    <row r="72" spans="1:10" x14ac:dyDescent="0.25">
      <c r="A72" s="3" t="s">
        <v>10</v>
      </c>
      <c r="B72" s="5">
        <v>8.8732929175135894E-2</v>
      </c>
      <c r="C72" s="9">
        <v>1.20306787922476E-2</v>
      </c>
      <c r="D72" s="5">
        <v>0.15621819275209001</v>
      </c>
      <c r="E72" s="5">
        <v>2.95836818188689E-2</v>
      </c>
      <c r="F72" s="8">
        <v>5.4523947827090398</v>
      </c>
      <c r="G72" s="3">
        <v>21</v>
      </c>
      <c r="H72" s="8">
        <v>8.1761484496582497</v>
      </c>
      <c r="I72" s="4">
        <v>1.0119508062412015</v>
      </c>
      <c r="J72" s="8">
        <v>0.19059894727801999</v>
      </c>
    </row>
    <row r="73" spans="1:10" x14ac:dyDescent="0.25">
      <c r="A73" s="3" t="s">
        <v>11</v>
      </c>
      <c r="B73" s="6">
        <v>-1.9463558010346702E-2</v>
      </c>
      <c r="C73" s="9">
        <v>2.7386597361713599E-2</v>
      </c>
      <c r="D73" s="5">
        <v>0.15071577677020101</v>
      </c>
      <c r="E73" s="6">
        <v>-5.4892758010415703E-2</v>
      </c>
      <c r="F73" s="8"/>
      <c r="G73" s="3"/>
      <c r="H73" s="8"/>
      <c r="I73" s="4"/>
      <c r="J73" s="8"/>
    </row>
    <row r="74" spans="1:10" x14ac:dyDescent="0.25">
      <c r="A74" s="3" t="s">
        <v>12</v>
      </c>
      <c r="B74" s="5">
        <v>0.10415722716452799</v>
      </c>
      <c r="C74" s="9">
        <v>2.8615745110634201E-2</v>
      </c>
      <c r="D74" s="5">
        <v>5.5397551503622099E-2</v>
      </c>
      <c r="E74" s="5">
        <v>8.8641812543785899E-3</v>
      </c>
      <c r="F74" s="8">
        <v>33.895949402833203</v>
      </c>
      <c r="G74" s="3">
        <v>96.5</v>
      </c>
      <c r="H74" s="8">
        <v>19.594840851392899</v>
      </c>
      <c r="I74" s="4">
        <v>1.0239451393319936</v>
      </c>
      <c r="J74" s="8">
        <v>0.499861288181496</v>
      </c>
    </row>
    <row r="75" spans="1:10" x14ac:dyDescent="0.25">
      <c r="A75" s="3" t="s">
        <v>13</v>
      </c>
      <c r="B75" s="5">
        <v>4.66251429291673E-2</v>
      </c>
      <c r="C75" s="9">
        <v>4.4113621235337297E-2</v>
      </c>
      <c r="D75" s="5">
        <v>6.9883057908481996E-2</v>
      </c>
      <c r="E75" s="5">
        <v>1.32778322661357E-2</v>
      </c>
      <c r="F75" s="8">
        <v>32.177431699139497</v>
      </c>
      <c r="G75" s="3">
        <v>47.5</v>
      </c>
      <c r="H75" s="8">
        <v>17.2552427011953</v>
      </c>
      <c r="I75" s="4">
        <v>1.0275460447393339</v>
      </c>
      <c r="J75" s="8">
        <v>0.40695810522245701</v>
      </c>
    </row>
    <row r="76" spans="1:10" x14ac:dyDescent="0.25">
      <c r="A76" s="3" t="s">
        <v>14</v>
      </c>
      <c r="B76" s="5">
        <v>9.0894558490112708E-3</v>
      </c>
      <c r="C76" s="10">
        <v>-8.0536265843332393E-3</v>
      </c>
      <c r="D76" s="5">
        <v>7.8645648239850305E-2</v>
      </c>
      <c r="E76" s="6">
        <v>-6.0975544853349099E-2</v>
      </c>
      <c r="F76" s="8">
        <v>31.253302872972</v>
      </c>
      <c r="G76" s="3">
        <v>23.5</v>
      </c>
      <c r="H76" s="8">
        <v>17.024424898784201</v>
      </c>
      <c r="I76" s="4">
        <v>1.0275826446035865</v>
      </c>
      <c r="J76" s="8">
        <v>5.4056282725128302E-2</v>
      </c>
    </row>
    <row r="77" spans="1:10" x14ac:dyDescent="0.25">
      <c r="A77" s="3" t="s">
        <v>15</v>
      </c>
      <c r="B77" s="4"/>
      <c r="C77" s="8"/>
      <c r="D77" s="5">
        <v>0.17832892113485599</v>
      </c>
      <c r="E77" s="5">
        <v>4.2081062239471598E-2</v>
      </c>
      <c r="F77" s="8"/>
      <c r="G77" s="3"/>
      <c r="H77" s="8"/>
      <c r="I77" s="4"/>
      <c r="J77" s="8"/>
    </row>
    <row r="78" spans="1:10" x14ac:dyDescent="0.25">
      <c r="A78" s="3" t="s">
        <v>16</v>
      </c>
      <c r="B78" s="4"/>
      <c r="C78" s="8"/>
      <c r="D78" s="5">
        <v>2.1496979213356301E-3</v>
      </c>
      <c r="E78" s="6">
        <v>-1.77749404385871E-2</v>
      </c>
      <c r="F78" s="8">
        <v>42.7547044117564</v>
      </c>
      <c r="G78" s="3">
        <v>47.75</v>
      </c>
      <c r="H78" s="8">
        <v>15.1069524712688</v>
      </c>
      <c r="I78" s="4">
        <v>1.0572093304532362</v>
      </c>
      <c r="J78" s="8">
        <v>0.26690920736687102</v>
      </c>
    </row>
    <row r="79" spans="1:10" x14ac:dyDescent="0.25">
      <c r="A79" s="3" t="s">
        <v>17</v>
      </c>
      <c r="B79" s="5">
        <v>2.0373962034653699E-2</v>
      </c>
      <c r="C79" s="9">
        <v>2.7450804091866201E-2</v>
      </c>
      <c r="D79" s="5">
        <v>0.101236914763633</v>
      </c>
      <c r="E79" s="5">
        <v>3.08855730575289E-3</v>
      </c>
      <c r="F79" s="8">
        <v>175.86248095131899</v>
      </c>
      <c r="G79" s="3">
        <v>23.75</v>
      </c>
      <c r="H79" s="8">
        <v>21.9579587943592</v>
      </c>
      <c r="I79" s="4">
        <v>1.111235100018195</v>
      </c>
      <c r="J79" s="8">
        <v>0.45125668170602201</v>
      </c>
    </row>
    <row r="80" spans="1:10" x14ac:dyDescent="0.25">
      <c r="A80" s="3" t="s">
        <v>18</v>
      </c>
      <c r="B80" s="4"/>
      <c r="C80" s="8"/>
      <c r="D80" s="5">
        <v>0.107400232693555</v>
      </c>
      <c r="E80" s="6">
        <v>-5.3081166180475401E-3</v>
      </c>
      <c r="F80" s="8">
        <v>52.638565780695899</v>
      </c>
      <c r="G80" s="3">
        <v>23.5</v>
      </c>
      <c r="H80" s="8">
        <v>16.640165980770899</v>
      </c>
      <c r="I80" s="4">
        <v>1.0519758315193652</v>
      </c>
      <c r="J80" s="8">
        <v>0.51242235468873398</v>
      </c>
    </row>
    <row r="81" spans="1:30" x14ac:dyDescent="0.25">
      <c r="A81" s="3" t="s">
        <v>5</v>
      </c>
      <c r="B81" s="5">
        <v>2.4947102971666898E-2</v>
      </c>
      <c r="C81" s="9">
        <v>6.5697545304297195E-2</v>
      </c>
      <c r="D81" s="5">
        <v>8.4573685986466099E-2</v>
      </c>
      <c r="E81" s="10">
        <v>-9.3763935417501706E-2</v>
      </c>
      <c r="F81" s="8"/>
      <c r="G81" s="15"/>
      <c r="H81" s="8"/>
      <c r="I81" s="4"/>
      <c r="J81" s="8"/>
    </row>
    <row r="82" spans="1:30" x14ac:dyDescent="0.25">
      <c r="A82" s="3" t="s">
        <v>6</v>
      </c>
      <c r="B82" s="5">
        <v>9.6293174744729593E-3</v>
      </c>
      <c r="C82" s="9">
        <v>0.132436068542756</v>
      </c>
      <c r="D82" s="5">
        <v>0.198594884621278</v>
      </c>
      <c r="E82" s="10">
        <v>-5.2796335197095298E-2</v>
      </c>
      <c r="F82" s="8"/>
      <c r="G82" s="3"/>
      <c r="H82" s="8"/>
      <c r="I82" s="4"/>
      <c r="J82" s="8"/>
    </row>
    <row r="83" spans="1:30" x14ac:dyDescent="0.25">
      <c r="A83" s="3" t="s">
        <v>7</v>
      </c>
      <c r="B83" s="5">
        <v>0.14608753400636901</v>
      </c>
      <c r="C83" s="10">
        <v>-4.2076076707890497E-3</v>
      </c>
      <c r="D83" s="5">
        <v>6.8212961854365706E-2</v>
      </c>
      <c r="E83" s="10">
        <v>-5.9125313303963402E-2</v>
      </c>
      <c r="F83" s="8">
        <v>1.9432258375425799</v>
      </c>
      <c r="G83" s="3">
        <v>21.75</v>
      </c>
      <c r="H83" s="8">
        <v>2.4954469283408098</v>
      </c>
      <c r="I83" s="4">
        <v>1.0078290838208943</v>
      </c>
      <c r="J83" s="8">
        <v>-0.14571780115724001</v>
      </c>
    </row>
    <row r="84" spans="1:30" x14ac:dyDescent="0.25">
      <c r="A84" s="3" t="s">
        <v>8</v>
      </c>
      <c r="B84" s="4"/>
      <c r="C84" s="8"/>
      <c r="D84" s="5">
        <v>4.9611646415268197E-2</v>
      </c>
      <c r="E84" s="10">
        <v>-4.1714957549384597E-2</v>
      </c>
      <c r="F84" s="8">
        <v>2.3768784113539301</v>
      </c>
      <c r="G84" s="3">
        <v>48.5</v>
      </c>
      <c r="H84" s="8">
        <v>4.9705418000804897</v>
      </c>
      <c r="I84" s="4">
        <v>1.008246697022094</v>
      </c>
      <c r="J84" s="8">
        <v>0.15611461722769501</v>
      </c>
    </row>
    <row r="85" spans="1:30" x14ac:dyDescent="0.25">
      <c r="A85" s="3" t="s">
        <v>9</v>
      </c>
      <c r="B85" s="4"/>
      <c r="C85" s="9">
        <v>0.12430930853391101</v>
      </c>
      <c r="D85" s="5">
        <v>0.107447815904682</v>
      </c>
      <c r="E85" s="9">
        <v>7.3340759088016003E-2</v>
      </c>
      <c r="F85" s="8">
        <v>70.349925179505803</v>
      </c>
      <c r="G85" s="3">
        <v>28.75</v>
      </c>
      <c r="H85" s="8">
        <v>18.738059749368901</v>
      </c>
      <c r="I85" s="4">
        <v>1.0490052443540898</v>
      </c>
      <c r="J85" s="8">
        <v>0.29322882322716898</v>
      </c>
    </row>
    <row r="86" spans="1:30" x14ac:dyDescent="0.25">
      <c r="A86" s="3" t="s">
        <v>10</v>
      </c>
      <c r="B86" s="5">
        <v>1.27691539373017E-2</v>
      </c>
      <c r="C86" s="9">
        <v>9.2876994447724404E-2</v>
      </c>
      <c r="D86" s="5">
        <v>0.39411883766970102</v>
      </c>
      <c r="E86" s="9">
        <v>7.1354925056258001E-3</v>
      </c>
      <c r="F86" s="8">
        <v>5.4523947827090398</v>
      </c>
      <c r="G86" s="3">
        <v>21</v>
      </c>
      <c r="H86" s="8">
        <v>8.1761484496582497</v>
      </c>
      <c r="I86" s="4">
        <v>1.0119508062412015</v>
      </c>
      <c r="J86" s="8">
        <v>0.19059894727801999</v>
      </c>
    </row>
    <row r="87" spans="1:30" x14ac:dyDescent="0.25">
      <c r="A87" s="3" t="s">
        <v>11</v>
      </c>
      <c r="B87" s="5">
        <v>6.7576112725014403E-2</v>
      </c>
      <c r="C87" s="9">
        <v>8.3834633446242604E-2</v>
      </c>
      <c r="D87" s="5">
        <v>9.0698601563059603E-2</v>
      </c>
      <c r="E87" s="10">
        <v>-0.28463650723553102</v>
      </c>
      <c r="F87" s="8"/>
      <c r="G87" s="3"/>
      <c r="H87" s="8"/>
      <c r="I87" s="4"/>
      <c r="J87" s="8"/>
    </row>
    <row r="88" spans="1:30" x14ac:dyDescent="0.25">
      <c r="A88" s="3" t="s">
        <v>12</v>
      </c>
      <c r="B88" s="6">
        <v>-0.35416666689988402</v>
      </c>
      <c r="C88" s="9">
        <v>4.4857179056258203E-2</v>
      </c>
      <c r="D88" s="5">
        <v>9.9852529707758195E-2</v>
      </c>
      <c r="E88" s="10">
        <v>-7.3287190867590401E-3</v>
      </c>
      <c r="F88" s="8">
        <v>33.895949402833203</v>
      </c>
      <c r="G88" s="3">
        <v>96.5</v>
      </c>
      <c r="H88" s="8">
        <v>19.594840851392899</v>
      </c>
      <c r="I88" s="4">
        <v>1.0239451393319936</v>
      </c>
      <c r="J88" s="8">
        <v>0.499861288181496</v>
      </c>
    </row>
    <row r="89" spans="1:30" x14ac:dyDescent="0.25">
      <c r="A89" s="3" t="s">
        <v>13</v>
      </c>
      <c r="B89" s="5">
        <v>4.5646344187588998E-2</v>
      </c>
      <c r="C89" s="9">
        <v>7.6664996000854094E-2</v>
      </c>
      <c r="D89" s="5">
        <v>5.5815481283492403E-2</v>
      </c>
      <c r="E89" s="9">
        <v>0.10941628444022999</v>
      </c>
      <c r="F89" s="8">
        <v>32.177431699139497</v>
      </c>
      <c r="G89" s="3">
        <v>47.5</v>
      </c>
      <c r="H89" s="8">
        <v>17.2552427011953</v>
      </c>
      <c r="I89" s="4">
        <v>1.0275460447393339</v>
      </c>
      <c r="J89" s="8">
        <v>0.40695810522245701</v>
      </c>
    </row>
    <row r="90" spans="1:30" ht="18" customHeight="1" x14ac:dyDescent="0.25">
      <c r="A90" s="3" t="s">
        <v>14</v>
      </c>
      <c r="B90" s="5">
        <v>1.47909285306715E-2</v>
      </c>
      <c r="C90" s="9">
        <v>2.1219861817338499E-2</v>
      </c>
      <c r="D90" s="5">
        <v>9.5391388976058394E-2</v>
      </c>
      <c r="E90" s="10">
        <v>-8.4675321487204705E-2</v>
      </c>
      <c r="F90" s="8">
        <v>31.253302872972</v>
      </c>
      <c r="G90" s="3">
        <v>23.5</v>
      </c>
      <c r="H90" s="8">
        <v>17.024424898784201</v>
      </c>
      <c r="I90" s="4">
        <v>1.0275826446035865</v>
      </c>
      <c r="J90" s="8">
        <v>5.4056282725128302E-2</v>
      </c>
      <c r="Z90" s="2" t="s">
        <v>35</v>
      </c>
      <c r="AA90" s="2" t="s">
        <v>36</v>
      </c>
      <c r="AB90" s="17" t="s">
        <v>37</v>
      </c>
      <c r="AC90" s="17" t="s">
        <v>31</v>
      </c>
      <c r="AD90" s="17" t="s">
        <v>28</v>
      </c>
    </row>
    <row r="91" spans="1:30" x14ac:dyDescent="0.25">
      <c r="A91" s="3" t="s">
        <v>15</v>
      </c>
      <c r="B91" s="5">
        <v>3.5842816756479302E-2</v>
      </c>
      <c r="C91" s="9">
        <v>8.5275451626537893E-2</v>
      </c>
      <c r="D91" s="5">
        <v>9.9540545016305104E-2</v>
      </c>
      <c r="E91" s="10">
        <v>-3.2911415817637998E-2</v>
      </c>
      <c r="F91" s="8"/>
      <c r="G91" s="3"/>
      <c r="H91" s="8"/>
      <c r="I91" s="4"/>
      <c r="J91" s="8"/>
      <c r="Y91" s="3" t="s">
        <v>7</v>
      </c>
      <c r="Z91" s="5">
        <v>0.11077055296162799</v>
      </c>
      <c r="AA91" s="6">
        <v>-3.7834846370905402E-3</v>
      </c>
      <c r="AB91" s="3">
        <v>21.75</v>
      </c>
      <c r="AC91" s="8">
        <v>2.4954469283408098</v>
      </c>
      <c r="AD91" s="4">
        <v>1.0078290838208943</v>
      </c>
    </row>
    <row r="92" spans="1:30" x14ac:dyDescent="0.25">
      <c r="A92" s="3" t="s">
        <v>16</v>
      </c>
      <c r="B92" s="6">
        <v>-4.0383997186219003E-2</v>
      </c>
      <c r="C92" s="9">
        <v>3.1629539106965802E-2</v>
      </c>
      <c r="D92" s="5">
        <v>0.115227328160236</v>
      </c>
      <c r="E92" s="10">
        <v>-4.46763074582908E-2</v>
      </c>
      <c r="F92" s="8">
        <v>42.7547044117564</v>
      </c>
      <c r="G92" s="3">
        <v>47.75</v>
      </c>
      <c r="H92" s="8">
        <v>15.1069524712688</v>
      </c>
      <c r="I92" s="4">
        <v>1.0572093304532362</v>
      </c>
      <c r="J92" s="8">
        <v>0.26690920736687102</v>
      </c>
      <c r="Y92" s="3" t="s">
        <v>8</v>
      </c>
      <c r="Z92" s="5">
        <v>1.0650915621547401E-2</v>
      </c>
      <c r="AA92" s="5">
        <v>6.4581353214806597E-2</v>
      </c>
      <c r="AB92" s="3">
        <v>48.5</v>
      </c>
      <c r="AC92" s="8">
        <v>4.9705418000804897</v>
      </c>
      <c r="AD92" s="4">
        <v>1.008246697022094</v>
      </c>
    </row>
    <row r="93" spans="1:30" x14ac:dyDescent="0.25">
      <c r="A93" s="3" t="s">
        <v>17</v>
      </c>
      <c r="B93" s="5">
        <v>3.6679485231980898E-2</v>
      </c>
      <c r="C93" s="9">
        <v>4.3964016574286002E-2</v>
      </c>
      <c r="D93" s="5">
        <v>0.157732693122626</v>
      </c>
      <c r="E93" s="10">
        <v>-1.53118918462132E-3</v>
      </c>
      <c r="F93" s="8">
        <v>175.86248095131899</v>
      </c>
      <c r="G93" s="3">
        <v>23.75</v>
      </c>
      <c r="H93" s="8">
        <v>21.9579587943592</v>
      </c>
      <c r="I93" s="4">
        <v>1.111235100018195</v>
      </c>
      <c r="J93" s="8">
        <v>0.45125668170602201</v>
      </c>
      <c r="Y93" s="3" t="s">
        <v>9</v>
      </c>
      <c r="Z93" s="6">
        <v>-2.2683422982125001E-2</v>
      </c>
      <c r="AA93" s="5">
        <v>6.1895687016862502E-2</v>
      </c>
      <c r="AB93" s="3">
        <v>28.75</v>
      </c>
      <c r="AC93" s="8">
        <v>18.738059749368901</v>
      </c>
      <c r="AD93" s="4">
        <v>1.0490052443540898</v>
      </c>
    </row>
    <row r="94" spans="1:30" x14ac:dyDescent="0.25">
      <c r="A94" s="3" t="s">
        <v>18</v>
      </c>
      <c r="B94" s="6">
        <v>-0.76160033358371604</v>
      </c>
      <c r="C94" s="9">
        <v>5.3048699734524599E-2</v>
      </c>
      <c r="D94" s="5">
        <v>0.121156039239802</v>
      </c>
      <c r="E94" s="10">
        <v>-0.17920927988478999</v>
      </c>
      <c r="F94" s="8">
        <v>52.638565780695899</v>
      </c>
      <c r="G94" s="3">
        <v>23.5</v>
      </c>
      <c r="H94" s="8">
        <v>16.640165980770899</v>
      </c>
      <c r="I94" s="4">
        <v>1.0519758315193652</v>
      </c>
      <c r="J94" s="8">
        <v>0.51242235468873398</v>
      </c>
      <c r="Y94" s="3" t="s">
        <v>10</v>
      </c>
      <c r="Z94" s="5">
        <v>0.15621819275209001</v>
      </c>
      <c r="AA94" s="5">
        <v>2.95836818188689E-2</v>
      </c>
      <c r="AB94" s="3">
        <v>21</v>
      </c>
      <c r="AC94" s="8">
        <v>8.1761484496582497</v>
      </c>
      <c r="AD94" s="4">
        <v>1.0119508062412015</v>
      </c>
    </row>
    <row r="95" spans="1:30" x14ac:dyDescent="0.25">
      <c r="Y95" s="3" t="s">
        <v>12</v>
      </c>
      <c r="Z95" s="5">
        <v>5.5397551503622099E-2</v>
      </c>
      <c r="AA95" s="5">
        <v>8.8641812543785899E-3</v>
      </c>
      <c r="AB95" s="3">
        <v>96.5</v>
      </c>
      <c r="AC95" s="8">
        <v>19.594840851392899</v>
      </c>
      <c r="AD95" s="4">
        <v>1.0239451393319936</v>
      </c>
    </row>
    <row r="96" spans="1:30" x14ac:dyDescent="0.25">
      <c r="Y96" s="3" t="s">
        <v>13</v>
      </c>
      <c r="Z96" s="5">
        <v>6.9883057908481996E-2</v>
      </c>
      <c r="AA96" s="5">
        <v>1.32778322661357E-2</v>
      </c>
      <c r="AB96" s="3">
        <v>47.5</v>
      </c>
      <c r="AC96" s="8">
        <v>17.2552427011953</v>
      </c>
      <c r="AD96" s="4">
        <v>1.0275460447393339</v>
      </c>
    </row>
    <row r="97" spans="1:30" x14ac:dyDescent="0.25">
      <c r="Y97" s="3" t="s">
        <v>14</v>
      </c>
      <c r="Z97" s="5">
        <v>7.8645648239850305E-2</v>
      </c>
      <c r="AA97" s="6">
        <v>-6.0975544853349099E-2</v>
      </c>
      <c r="AB97" s="3">
        <v>23.5</v>
      </c>
      <c r="AC97" s="8">
        <v>17.024424898784201</v>
      </c>
      <c r="AD97" s="4">
        <v>1.0275826446035865</v>
      </c>
    </row>
    <row r="98" spans="1:30" x14ac:dyDescent="0.25">
      <c r="Y98" s="3" t="s">
        <v>16</v>
      </c>
      <c r="Z98" s="5">
        <v>2.1496979213356301E-3</v>
      </c>
      <c r="AA98" s="6">
        <v>-1.77749404385871E-2</v>
      </c>
      <c r="AB98" s="3">
        <v>47.75</v>
      </c>
      <c r="AC98" s="8">
        <v>15.1069524712688</v>
      </c>
      <c r="AD98" s="4">
        <v>1.0572093304532362</v>
      </c>
    </row>
    <row r="99" spans="1:30" ht="25.5" x14ac:dyDescent="0.25">
      <c r="A99" s="2" t="s">
        <v>1</v>
      </c>
      <c r="B99" s="2" t="s">
        <v>33</v>
      </c>
      <c r="C99" s="2" t="s">
        <v>34</v>
      </c>
      <c r="D99" s="17" t="s">
        <v>37</v>
      </c>
      <c r="E99" s="17" t="s">
        <v>31</v>
      </c>
      <c r="F99" s="17" t="s">
        <v>28</v>
      </c>
      <c r="Y99" s="3" t="s">
        <v>17</v>
      </c>
      <c r="Z99" s="5">
        <v>0.101236914763633</v>
      </c>
      <c r="AA99" s="5">
        <v>3.08855730575289E-3</v>
      </c>
      <c r="AB99" s="3">
        <v>23.75</v>
      </c>
      <c r="AC99" s="8">
        <v>21.9579587943592</v>
      </c>
      <c r="AD99" s="4">
        <v>1.111235100018195</v>
      </c>
    </row>
    <row r="100" spans="1:30" x14ac:dyDescent="0.25">
      <c r="A100" s="3" t="s">
        <v>10</v>
      </c>
      <c r="B100" s="5">
        <v>8.8732929175135894E-2</v>
      </c>
      <c r="C100" s="9">
        <v>1.20306787922476E-2</v>
      </c>
      <c r="D100" s="3">
        <v>21</v>
      </c>
      <c r="E100" s="8">
        <v>8.1761484496582497</v>
      </c>
      <c r="F100" s="4">
        <v>1.0119508062412015</v>
      </c>
      <c r="Y100" s="3" t="s">
        <v>18</v>
      </c>
      <c r="Z100" s="5">
        <v>0.107400232693555</v>
      </c>
      <c r="AA100" s="6">
        <v>-5.3081166180475401E-3</v>
      </c>
      <c r="AB100" s="3">
        <v>23.5</v>
      </c>
      <c r="AC100" s="8">
        <v>16.640165980770899</v>
      </c>
      <c r="AD100" s="4">
        <v>1.0519758315193652</v>
      </c>
    </row>
    <row r="101" spans="1:30" x14ac:dyDescent="0.25">
      <c r="A101" s="3" t="s">
        <v>12</v>
      </c>
      <c r="B101" s="5">
        <v>0.10415722716452799</v>
      </c>
      <c r="C101" s="9">
        <v>2.8615745110634201E-2</v>
      </c>
      <c r="D101" s="3">
        <v>96.5</v>
      </c>
      <c r="E101" s="8">
        <v>19.594840851392899</v>
      </c>
      <c r="F101" s="4">
        <v>1.0239451393319936</v>
      </c>
      <c r="Y101" s="3" t="s">
        <v>7</v>
      </c>
      <c r="Z101" s="5">
        <v>6.8212961854365706E-2</v>
      </c>
      <c r="AA101" s="10">
        <v>-5.9125313303963402E-2</v>
      </c>
      <c r="AB101" s="3">
        <v>21.75</v>
      </c>
      <c r="AC101" s="8">
        <v>2.4954469283408098</v>
      </c>
      <c r="AD101" s="4">
        <v>1.0078290838208943</v>
      </c>
    </row>
    <row r="102" spans="1:30" x14ac:dyDescent="0.25">
      <c r="A102" s="3" t="s">
        <v>13</v>
      </c>
      <c r="B102" s="5">
        <v>4.66251429291673E-2</v>
      </c>
      <c r="C102" s="9">
        <v>4.4113621235337297E-2</v>
      </c>
      <c r="D102" s="3">
        <v>47.5</v>
      </c>
      <c r="E102" s="8">
        <v>17.2552427011953</v>
      </c>
      <c r="F102" s="4">
        <v>1.0275460447393339</v>
      </c>
      <c r="Y102" s="3" t="s">
        <v>8</v>
      </c>
      <c r="Z102" s="5">
        <v>4.9611646415268197E-2</v>
      </c>
      <c r="AA102" s="10">
        <v>-4.1714957549384597E-2</v>
      </c>
      <c r="AB102" s="3">
        <v>48.5</v>
      </c>
      <c r="AC102" s="8">
        <v>4.9705418000804897</v>
      </c>
      <c r="AD102" s="4">
        <v>1.008246697022094</v>
      </c>
    </row>
    <row r="103" spans="1:30" x14ac:dyDescent="0.25">
      <c r="A103" s="3" t="s">
        <v>14</v>
      </c>
      <c r="B103" s="5">
        <v>9.0894558490112708E-3</v>
      </c>
      <c r="C103" s="10">
        <v>-8.0536265843332393E-3</v>
      </c>
      <c r="D103" s="3">
        <v>23.5</v>
      </c>
      <c r="E103" s="8">
        <v>17.024424898784201</v>
      </c>
      <c r="F103" s="4">
        <v>1.0275826446035865</v>
      </c>
      <c r="Y103" s="3" t="s">
        <v>9</v>
      </c>
      <c r="Z103" s="5">
        <v>0.107447815904682</v>
      </c>
      <c r="AA103" s="9">
        <v>7.3340759088016003E-2</v>
      </c>
      <c r="AB103" s="3">
        <v>28.75</v>
      </c>
      <c r="AC103" s="8">
        <v>18.738059749368901</v>
      </c>
      <c r="AD103" s="4">
        <v>1.0490052443540898</v>
      </c>
    </row>
    <row r="104" spans="1:30" x14ac:dyDescent="0.25">
      <c r="A104" s="3" t="s">
        <v>17</v>
      </c>
      <c r="B104" s="5">
        <v>2.0373962034653699E-2</v>
      </c>
      <c r="C104" s="9">
        <v>2.7450804091866201E-2</v>
      </c>
      <c r="D104" s="3">
        <v>23.75</v>
      </c>
      <c r="E104" s="8">
        <v>21.9579587943592</v>
      </c>
      <c r="F104" s="4">
        <v>1.111235100018195</v>
      </c>
      <c r="Y104" s="3" t="s">
        <v>10</v>
      </c>
      <c r="Z104" s="5">
        <v>0.39411883766970102</v>
      </c>
      <c r="AA104" s="9">
        <v>7.1354925056258001E-3</v>
      </c>
      <c r="AB104" s="3">
        <v>21</v>
      </c>
      <c r="AC104" s="8">
        <v>8.1761484496582497</v>
      </c>
      <c r="AD104" s="4">
        <v>1.0119508062412015</v>
      </c>
    </row>
    <row r="105" spans="1:30" x14ac:dyDescent="0.25">
      <c r="A105" s="3" t="s">
        <v>7</v>
      </c>
      <c r="B105" s="5">
        <v>0.14608753400636901</v>
      </c>
      <c r="C105" s="10">
        <v>-4.2076076707890497E-3</v>
      </c>
      <c r="D105" s="3">
        <v>21.75</v>
      </c>
      <c r="E105" s="8">
        <v>2.4954469283408098</v>
      </c>
      <c r="F105" s="4">
        <v>1.0078290838208943</v>
      </c>
      <c r="Y105" s="3" t="s">
        <v>12</v>
      </c>
      <c r="Z105" s="5">
        <v>9.9852529707758195E-2</v>
      </c>
      <c r="AA105" s="10">
        <v>-7.3287190867590401E-3</v>
      </c>
      <c r="AB105" s="3">
        <v>96.5</v>
      </c>
      <c r="AC105" s="8">
        <v>19.594840851392899</v>
      </c>
      <c r="AD105" s="4">
        <v>1.0239451393319936</v>
      </c>
    </row>
    <row r="106" spans="1:30" x14ac:dyDescent="0.25">
      <c r="A106" s="3" t="s">
        <v>10</v>
      </c>
      <c r="B106" s="5">
        <v>1.27691539373017E-2</v>
      </c>
      <c r="C106" s="9">
        <v>9.2876994447724404E-2</v>
      </c>
      <c r="D106" s="3">
        <v>21</v>
      </c>
      <c r="E106" s="8">
        <v>8.1761484496582497</v>
      </c>
      <c r="F106" s="4">
        <v>1.0119508062412015</v>
      </c>
      <c r="Y106" s="3" t="s">
        <v>13</v>
      </c>
      <c r="Z106" s="5">
        <v>5.5815481283492403E-2</v>
      </c>
      <c r="AA106" s="9">
        <v>0.10941628444022999</v>
      </c>
      <c r="AB106" s="3">
        <v>47.5</v>
      </c>
      <c r="AC106" s="8">
        <v>17.2552427011953</v>
      </c>
      <c r="AD106" s="4">
        <v>1.0275460447393339</v>
      </c>
    </row>
    <row r="107" spans="1:30" x14ac:dyDescent="0.25">
      <c r="A107" s="3" t="s">
        <v>12</v>
      </c>
      <c r="B107" s="6">
        <v>-0.35416666689988402</v>
      </c>
      <c r="C107" s="9">
        <v>4.4857179056258203E-2</v>
      </c>
      <c r="D107" s="3">
        <v>96.5</v>
      </c>
      <c r="E107" s="8">
        <v>19.594840851392899</v>
      </c>
      <c r="F107" s="4">
        <v>1.0239451393319936</v>
      </c>
      <c r="Y107" s="3" t="s">
        <v>14</v>
      </c>
      <c r="Z107" s="5">
        <v>9.5391388976058394E-2</v>
      </c>
      <c r="AA107" s="10">
        <v>-8.4675321487204705E-2</v>
      </c>
      <c r="AB107" s="3">
        <v>23.5</v>
      </c>
      <c r="AC107" s="8">
        <v>17.024424898784201</v>
      </c>
      <c r="AD107" s="4">
        <v>1.0275826446035865</v>
      </c>
    </row>
    <row r="108" spans="1:30" x14ac:dyDescent="0.25">
      <c r="A108" s="3" t="s">
        <v>13</v>
      </c>
      <c r="B108" s="5">
        <v>4.5646344187588998E-2</v>
      </c>
      <c r="C108" s="9">
        <v>7.6664996000854094E-2</v>
      </c>
      <c r="D108" s="3">
        <v>47.5</v>
      </c>
      <c r="E108" s="8">
        <v>17.2552427011953</v>
      </c>
      <c r="F108" s="4">
        <v>1.0275460447393339</v>
      </c>
      <c r="Y108" s="3" t="s">
        <v>16</v>
      </c>
      <c r="Z108" s="5">
        <v>0.115227328160236</v>
      </c>
      <c r="AA108" s="10">
        <v>-4.46763074582908E-2</v>
      </c>
      <c r="AB108" s="3">
        <v>47.75</v>
      </c>
      <c r="AC108" s="8">
        <v>15.1069524712688</v>
      </c>
      <c r="AD108" s="4">
        <v>1.0572093304532362</v>
      </c>
    </row>
    <row r="109" spans="1:30" x14ac:dyDescent="0.25">
      <c r="A109" s="3" t="s">
        <v>14</v>
      </c>
      <c r="B109" s="5">
        <v>1.47909285306715E-2</v>
      </c>
      <c r="C109" s="9">
        <v>2.1219861817338499E-2</v>
      </c>
      <c r="D109" s="3">
        <v>23.5</v>
      </c>
      <c r="E109" s="8">
        <v>17.024424898784201</v>
      </c>
      <c r="F109" s="4">
        <v>1.0275826446035865</v>
      </c>
      <c r="Y109" s="3" t="s">
        <v>17</v>
      </c>
      <c r="Z109" s="5">
        <v>0.157732693122626</v>
      </c>
      <c r="AA109" s="10">
        <v>-1.53118918462132E-3</v>
      </c>
      <c r="AB109" s="3">
        <v>23.75</v>
      </c>
      <c r="AC109" s="8">
        <v>21.9579587943592</v>
      </c>
      <c r="AD109" s="4">
        <v>1.111235100018195</v>
      </c>
    </row>
    <row r="110" spans="1:30" x14ac:dyDescent="0.25">
      <c r="A110" s="3" t="s">
        <v>16</v>
      </c>
      <c r="B110" s="6">
        <v>-4.0383997186219003E-2</v>
      </c>
      <c r="C110" s="9">
        <v>3.1629539106965802E-2</v>
      </c>
      <c r="D110" s="3">
        <v>47.75</v>
      </c>
      <c r="E110" s="8">
        <v>15.1069524712688</v>
      </c>
      <c r="F110" s="4">
        <v>1.0572093304532362</v>
      </c>
      <c r="Y110" s="3" t="s">
        <v>18</v>
      </c>
      <c r="Z110" s="5">
        <v>0.121156039239802</v>
      </c>
      <c r="AA110" s="10">
        <v>-0.17920927988478999</v>
      </c>
      <c r="AB110" s="3">
        <v>23.5</v>
      </c>
      <c r="AC110" s="8">
        <v>16.640165980770899</v>
      </c>
      <c r="AD110" s="4">
        <v>1.0519758315193652</v>
      </c>
    </row>
    <row r="111" spans="1:30" x14ac:dyDescent="0.25">
      <c r="A111" s="3" t="s">
        <v>17</v>
      </c>
      <c r="B111" s="5">
        <v>3.6679485231980898E-2</v>
      </c>
      <c r="C111" s="9">
        <v>4.3964016574286002E-2</v>
      </c>
      <c r="D111" s="3">
        <v>23.75</v>
      </c>
      <c r="E111" s="8">
        <v>21.9579587943592</v>
      </c>
      <c r="F111" s="4">
        <v>1.111235100018195</v>
      </c>
    </row>
    <row r="112" spans="1:30" x14ac:dyDescent="0.25">
      <c r="A112" s="3" t="s">
        <v>18</v>
      </c>
      <c r="B112" s="6">
        <v>-0.76160033358371604</v>
      </c>
      <c r="C112" s="9">
        <v>5.3048699734524599E-2</v>
      </c>
      <c r="D112" s="3">
        <v>23.5</v>
      </c>
      <c r="E112" s="8">
        <v>16.640165980770899</v>
      </c>
      <c r="F112" s="4">
        <v>1.0519758315193652</v>
      </c>
    </row>
    <row r="114" spans="1:41" x14ac:dyDescent="0.25">
      <c r="A114" s="39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1"/>
      <c r="U114" s="39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1"/>
    </row>
    <row r="115" spans="1:41" ht="15.75" thickBot="1" x14ac:dyDescent="0.3">
      <c r="A115" s="107" t="s">
        <v>61</v>
      </c>
      <c r="B115" s="108"/>
      <c r="C115" s="108"/>
      <c r="D115" s="108"/>
      <c r="E115" s="108"/>
      <c r="F115" s="109"/>
      <c r="G115" s="23"/>
      <c r="H115" s="23"/>
      <c r="I115" s="24"/>
      <c r="K115" s="107" t="s">
        <v>62</v>
      </c>
      <c r="L115" s="108"/>
      <c r="M115" s="108"/>
      <c r="N115" s="108"/>
      <c r="O115" s="108"/>
      <c r="P115" s="109"/>
      <c r="Q115" s="23"/>
      <c r="R115" s="23"/>
      <c r="S115" s="24"/>
      <c r="T115" s="42"/>
      <c r="U115" s="43"/>
      <c r="V115" s="116" t="s">
        <v>65</v>
      </c>
      <c r="W115" s="117"/>
      <c r="X115" s="117"/>
      <c r="Y115" s="117"/>
      <c r="Z115" s="117"/>
      <c r="AA115" s="118"/>
      <c r="AF115" s="113" t="s">
        <v>66</v>
      </c>
      <c r="AG115" s="114"/>
      <c r="AH115" s="114"/>
      <c r="AI115" s="114"/>
      <c r="AJ115" s="114"/>
      <c r="AK115" s="115"/>
      <c r="AO115" s="42"/>
    </row>
    <row r="116" spans="1:41" x14ac:dyDescent="0.25">
      <c r="A116" s="25" t="s">
        <v>38</v>
      </c>
      <c r="B116" s="19"/>
      <c r="C116" s="20"/>
      <c r="D116" s="20"/>
      <c r="E116" s="20"/>
      <c r="F116" s="20"/>
      <c r="G116" s="20"/>
      <c r="H116" s="20"/>
      <c r="I116" s="26"/>
      <c r="K116" s="25" t="s">
        <v>38</v>
      </c>
      <c r="L116" s="19"/>
      <c r="M116" s="20"/>
      <c r="N116" s="20"/>
      <c r="O116" s="20"/>
      <c r="P116" s="20"/>
      <c r="Q116" s="20"/>
      <c r="R116" s="20"/>
      <c r="S116" s="26"/>
      <c r="T116" s="42"/>
      <c r="U116" s="43"/>
      <c r="V116" s="50" t="s">
        <v>38</v>
      </c>
      <c r="W116" s="51"/>
      <c r="X116" s="52"/>
      <c r="Y116" s="52"/>
      <c r="Z116" s="52"/>
      <c r="AA116" s="52"/>
      <c r="AB116" s="52"/>
      <c r="AC116" s="52"/>
      <c r="AD116" s="52"/>
      <c r="AF116" s="50" t="s">
        <v>38</v>
      </c>
      <c r="AG116" s="51"/>
      <c r="AH116" s="52"/>
      <c r="AI116" s="52"/>
      <c r="AJ116" s="52"/>
      <c r="AK116" s="52"/>
      <c r="AL116" s="52"/>
      <c r="AM116" s="52"/>
      <c r="AN116" s="52"/>
      <c r="AO116" s="42"/>
    </row>
    <row r="117" spans="1:41" x14ac:dyDescent="0.25">
      <c r="A117" s="27" t="s">
        <v>39</v>
      </c>
      <c r="B117" s="34">
        <v>0.23836013026266492</v>
      </c>
      <c r="C117" s="20"/>
      <c r="D117" s="20"/>
      <c r="E117" s="20"/>
      <c r="F117" s="20"/>
      <c r="G117" s="20"/>
      <c r="H117" s="20"/>
      <c r="I117" s="26"/>
      <c r="K117" s="27" t="s">
        <v>39</v>
      </c>
      <c r="L117" s="34">
        <v>0.23501773737823586</v>
      </c>
      <c r="M117" s="20"/>
      <c r="N117" s="20"/>
      <c r="O117" s="20"/>
      <c r="P117" s="20"/>
      <c r="Q117" s="20"/>
      <c r="R117" s="20"/>
      <c r="S117" s="26"/>
      <c r="T117" s="42"/>
      <c r="U117" s="43"/>
      <c r="V117" s="52" t="s">
        <v>39</v>
      </c>
      <c r="W117" s="34">
        <v>0.31037779183420572</v>
      </c>
      <c r="X117" s="52"/>
      <c r="Y117" s="52"/>
      <c r="Z117" s="52"/>
      <c r="AA117" s="52"/>
      <c r="AB117" s="52"/>
      <c r="AC117" s="52"/>
      <c r="AD117" s="52"/>
      <c r="AF117" s="52" t="s">
        <v>39</v>
      </c>
      <c r="AG117" s="34">
        <v>0.14663456539623129</v>
      </c>
      <c r="AH117" s="52"/>
      <c r="AI117" s="52"/>
      <c r="AJ117" s="52"/>
      <c r="AK117" s="52"/>
      <c r="AL117" s="52"/>
      <c r="AM117" s="52"/>
      <c r="AN117" s="52"/>
      <c r="AO117" s="42"/>
    </row>
    <row r="118" spans="1:41" x14ac:dyDescent="0.25">
      <c r="A118" s="27" t="s">
        <v>40</v>
      </c>
      <c r="B118" s="34">
        <v>5.6815551698834586E-2</v>
      </c>
      <c r="C118" s="20"/>
      <c r="D118" s="20"/>
      <c r="E118" s="20"/>
      <c r="F118" s="20"/>
      <c r="G118" s="20"/>
      <c r="H118" s="20"/>
      <c r="I118" s="26"/>
      <c r="K118" s="27" t="s">
        <v>40</v>
      </c>
      <c r="L118" s="34">
        <v>5.5233336882385436E-2</v>
      </c>
      <c r="M118" s="20"/>
      <c r="N118" s="20"/>
      <c r="O118" s="20"/>
      <c r="P118" s="20"/>
      <c r="Q118" s="20"/>
      <c r="R118" s="20"/>
      <c r="S118" s="26"/>
      <c r="T118" s="42"/>
      <c r="U118" s="43"/>
      <c r="V118" s="52" t="s">
        <v>40</v>
      </c>
      <c r="W118" s="34">
        <v>9.6334373663877523E-2</v>
      </c>
      <c r="X118" s="52"/>
      <c r="Y118" s="52"/>
      <c r="Z118" s="52"/>
      <c r="AA118" s="52"/>
      <c r="AB118" s="52"/>
      <c r="AC118" s="52"/>
      <c r="AD118" s="52"/>
      <c r="AF118" s="52" t="s">
        <v>40</v>
      </c>
      <c r="AG118" s="34">
        <v>2.150169576894163E-2</v>
      </c>
      <c r="AH118" s="52"/>
      <c r="AI118" s="52"/>
      <c r="AJ118" s="52"/>
      <c r="AK118" s="52"/>
      <c r="AL118" s="52"/>
      <c r="AM118" s="52"/>
      <c r="AN118" s="52"/>
      <c r="AO118" s="42"/>
    </row>
    <row r="119" spans="1:41" x14ac:dyDescent="0.25">
      <c r="A119" s="27" t="s">
        <v>41</v>
      </c>
      <c r="B119" s="34">
        <v>-0.25757926440155388</v>
      </c>
      <c r="C119" s="20"/>
      <c r="D119" s="20"/>
      <c r="E119" s="20"/>
      <c r="F119" s="20"/>
      <c r="G119" s="20"/>
      <c r="H119" s="20"/>
      <c r="I119" s="26"/>
      <c r="K119" s="27" t="s">
        <v>41</v>
      </c>
      <c r="L119" s="34">
        <v>-0.13371999574113747</v>
      </c>
      <c r="M119" s="20"/>
      <c r="N119" s="20"/>
      <c r="O119" s="20"/>
      <c r="P119" s="20"/>
      <c r="Q119" s="20"/>
      <c r="R119" s="20"/>
      <c r="S119" s="26"/>
      <c r="T119" s="42"/>
      <c r="U119" s="43"/>
      <c r="V119" s="52" t="s">
        <v>41</v>
      </c>
      <c r="W119" s="34">
        <v>-7.3102931274145438E-2</v>
      </c>
      <c r="X119" s="52"/>
      <c r="Y119" s="52"/>
      <c r="Z119" s="52"/>
      <c r="AA119" s="52"/>
      <c r="AB119" s="52"/>
      <c r="AC119" s="52"/>
      <c r="AD119" s="52"/>
      <c r="AF119" s="52" t="s">
        <v>41</v>
      </c>
      <c r="AG119" s="34">
        <v>-9.3615751787653467E-2</v>
      </c>
      <c r="AH119" s="52"/>
      <c r="AI119" s="52"/>
      <c r="AJ119" s="52"/>
      <c r="AK119" s="52"/>
      <c r="AL119" s="52"/>
      <c r="AM119" s="52"/>
      <c r="AN119" s="52"/>
      <c r="AO119" s="42"/>
    </row>
    <row r="120" spans="1:41" x14ac:dyDescent="0.25">
      <c r="A120" s="27" t="s">
        <v>42</v>
      </c>
      <c r="B120" s="20">
        <v>0.27526180247266219</v>
      </c>
      <c r="C120" s="20"/>
      <c r="D120" s="20"/>
      <c r="E120" s="20"/>
      <c r="F120" s="20"/>
      <c r="G120" s="20"/>
      <c r="H120" s="20"/>
      <c r="I120" s="26"/>
      <c r="K120" s="27" t="s">
        <v>42</v>
      </c>
      <c r="L120" s="20">
        <v>0.26135521403756545</v>
      </c>
      <c r="M120" s="20"/>
      <c r="N120" s="20"/>
      <c r="O120" s="20"/>
      <c r="P120" s="20"/>
      <c r="Q120" s="20"/>
      <c r="R120" s="20"/>
      <c r="S120" s="26"/>
      <c r="T120" s="42"/>
      <c r="U120" s="43"/>
      <c r="V120" s="52" t="s">
        <v>42</v>
      </c>
      <c r="W120" s="52">
        <v>8.7375960347876439E-2</v>
      </c>
      <c r="X120" s="52"/>
      <c r="Y120" s="52"/>
      <c r="Z120" s="52"/>
      <c r="AA120" s="52"/>
      <c r="AB120" s="52"/>
      <c r="AC120" s="52"/>
      <c r="AD120" s="52"/>
      <c r="AF120" s="52" t="s">
        <v>42</v>
      </c>
      <c r="AG120" s="52">
        <v>8.8207121536320293E-2</v>
      </c>
      <c r="AH120" s="52"/>
      <c r="AI120" s="52"/>
      <c r="AJ120" s="52"/>
      <c r="AK120" s="52"/>
      <c r="AL120" s="52"/>
      <c r="AM120" s="52"/>
      <c r="AN120" s="52"/>
      <c r="AO120" s="42"/>
    </row>
    <row r="121" spans="1:41" ht="15.75" thickBot="1" x14ac:dyDescent="0.3">
      <c r="A121" s="28" t="s">
        <v>43</v>
      </c>
      <c r="B121" s="21">
        <v>13</v>
      </c>
      <c r="C121" s="20"/>
      <c r="D121" s="20"/>
      <c r="E121" s="20"/>
      <c r="F121" s="20"/>
      <c r="G121" s="20"/>
      <c r="H121" s="20"/>
      <c r="I121" s="26"/>
      <c r="K121" s="28" t="s">
        <v>43</v>
      </c>
      <c r="L121" s="21">
        <v>13</v>
      </c>
      <c r="M121" s="20"/>
      <c r="N121" s="20"/>
      <c r="O121" s="20"/>
      <c r="P121" s="20"/>
      <c r="Q121" s="20"/>
      <c r="R121" s="20"/>
      <c r="S121" s="26"/>
      <c r="T121" s="42"/>
      <c r="U121" s="43"/>
      <c r="V121" s="53" t="s">
        <v>43</v>
      </c>
      <c r="W121" s="53">
        <v>20</v>
      </c>
      <c r="X121" s="52"/>
      <c r="Y121" s="52"/>
      <c r="Z121" s="52"/>
      <c r="AA121" s="52"/>
      <c r="AB121" s="52"/>
      <c r="AC121" s="52"/>
      <c r="AD121" s="52"/>
      <c r="AF121" s="53" t="s">
        <v>43</v>
      </c>
      <c r="AG121" s="53">
        <v>20</v>
      </c>
      <c r="AH121" s="52"/>
      <c r="AI121" s="52"/>
      <c r="AJ121" s="52"/>
      <c r="AK121" s="52"/>
      <c r="AL121" s="52"/>
      <c r="AM121" s="52"/>
      <c r="AN121" s="52"/>
      <c r="AO121" s="42"/>
    </row>
    <row r="122" spans="1:41" x14ac:dyDescent="0.25">
      <c r="A122" s="27"/>
      <c r="B122" s="20"/>
      <c r="C122" s="20"/>
      <c r="D122" s="20"/>
      <c r="E122" s="20"/>
      <c r="F122" s="20"/>
      <c r="G122" s="20"/>
      <c r="H122" s="20"/>
      <c r="I122" s="26"/>
      <c r="K122" s="27"/>
      <c r="L122" s="20"/>
      <c r="M122" s="20"/>
      <c r="N122" s="20"/>
      <c r="O122" s="20"/>
      <c r="P122" s="20"/>
      <c r="Q122" s="20"/>
      <c r="R122" s="20"/>
      <c r="S122" s="26"/>
      <c r="T122" s="42"/>
      <c r="U122" s="43"/>
      <c r="V122" s="52"/>
      <c r="W122" s="52"/>
      <c r="X122" s="52"/>
      <c r="Y122" s="52"/>
      <c r="Z122" s="52"/>
      <c r="AA122" s="52"/>
      <c r="AB122" s="52"/>
      <c r="AC122" s="52"/>
      <c r="AD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42"/>
    </row>
    <row r="123" spans="1:41" ht="15.75" thickBot="1" x14ac:dyDescent="0.3">
      <c r="A123" s="27" t="s">
        <v>44</v>
      </c>
      <c r="B123" s="20"/>
      <c r="C123" s="20"/>
      <c r="D123" s="20"/>
      <c r="E123" s="20"/>
      <c r="F123" s="20"/>
      <c r="G123" s="20"/>
      <c r="H123" s="20"/>
      <c r="I123" s="26"/>
      <c r="K123" s="27" t="s">
        <v>44</v>
      </c>
      <c r="L123" s="20"/>
      <c r="M123" s="20"/>
      <c r="N123" s="20"/>
      <c r="O123" s="20"/>
      <c r="P123" s="20"/>
      <c r="Q123" s="20"/>
      <c r="R123" s="20"/>
      <c r="S123" s="26"/>
      <c r="T123" s="42"/>
      <c r="U123" s="43"/>
      <c r="V123" s="52" t="s">
        <v>44</v>
      </c>
      <c r="W123" s="52"/>
      <c r="X123" s="52"/>
      <c r="Y123" s="52"/>
      <c r="Z123" s="52"/>
      <c r="AA123" s="52"/>
      <c r="AB123" s="52"/>
      <c r="AC123" s="52"/>
      <c r="AD123" s="52"/>
      <c r="AF123" s="52" t="s">
        <v>44</v>
      </c>
      <c r="AG123" s="52"/>
      <c r="AH123" s="52"/>
      <c r="AI123" s="52"/>
      <c r="AJ123" s="52"/>
      <c r="AK123" s="52"/>
      <c r="AL123" s="52"/>
      <c r="AM123" s="52"/>
      <c r="AN123" s="52"/>
      <c r="AO123" s="42"/>
    </row>
    <row r="124" spans="1:41" x14ac:dyDescent="0.25">
      <c r="A124" s="29"/>
      <c r="B124" s="22" t="s">
        <v>49</v>
      </c>
      <c r="C124" s="22" t="s">
        <v>50</v>
      </c>
      <c r="D124" s="22" t="s">
        <v>51</v>
      </c>
      <c r="E124" s="22" t="s">
        <v>52</v>
      </c>
      <c r="F124" s="22" t="s">
        <v>53</v>
      </c>
      <c r="G124" s="20"/>
      <c r="H124" s="20"/>
      <c r="I124" s="26"/>
      <c r="K124" s="29"/>
      <c r="L124" s="22" t="s">
        <v>49</v>
      </c>
      <c r="M124" s="22" t="s">
        <v>50</v>
      </c>
      <c r="N124" s="22" t="s">
        <v>51</v>
      </c>
      <c r="O124" s="22" t="s">
        <v>52</v>
      </c>
      <c r="P124" s="22" t="s">
        <v>53</v>
      </c>
      <c r="Q124" s="20"/>
      <c r="R124" s="20"/>
      <c r="S124" s="26"/>
      <c r="T124" s="42"/>
      <c r="U124" s="43"/>
      <c r="V124" s="51"/>
      <c r="W124" s="51" t="s">
        <v>49</v>
      </c>
      <c r="X124" s="51" t="s">
        <v>50</v>
      </c>
      <c r="Y124" s="51" t="s">
        <v>51</v>
      </c>
      <c r="Z124" s="51" t="s">
        <v>52</v>
      </c>
      <c r="AA124" s="51" t="s">
        <v>53</v>
      </c>
      <c r="AB124" s="52"/>
      <c r="AC124" s="52"/>
      <c r="AD124" s="52"/>
      <c r="AF124" s="51"/>
      <c r="AG124" s="51" t="s">
        <v>49</v>
      </c>
      <c r="AH124" s="51" t="s">
        <v>50</v>
      </c>
      <c r="AI124" s="51" t="s">
        <v>51</v>
      </c>
      <c r="AJ124" s="51" t="s">
        <v>52</v>
      </c>
      <c r="AK124" s="51" t="s">
        <v>53</v>
      </c>
      <c r="AL124" s="52"/>
      <c r="AM124" s="52"/>
      <c r="AN124" s="52"/>
      <c r="AO124" s="42"/>
    </row>
    <row r="125" spans="1:41" x14ac:dyDescent="0.25">
      <c r="A125" s="27" t="s">
        <v>45</v>
      </c>
      <c r="B125" s="20">
        <v>3</v>
      </c>
      <c r="C125" s="20">
        <v>4.107759466276617E-2</v>
      </c>
      <c r="D125" s="20">
        <v>1.3692531554255391E-2</v>
      </c>
      <c r="E125" s="20">
        <v>0.18071402195350761</v>
      </c>
      <c r="F125" s="20">
        <v>0.90681784601598769</v>
      </c>
      <c r="G125" s="20"/>
      <c r="H125" s="20"/>
      <c r="I125" s="26"/>
      <c r="K125" s="27" t="s">
        <v>45</v>
      </c>
      <c r="L125" s="20">
        <v>2</v>
      </c>
      <c r="M125" s="20">
        <v>3.9933654721039713E-2</v>
      </c>
      <c r="N125" s="20">
        <v>1.9966827360519857E-2</v>
      </c>
      <c r="O125" s="20">
        <v>0.29231205459833948</v>
      </c>
      <c r="P125" s="20">
        <v>0.75270153579173116</v>
      </c>
      <c r="Q125" s="20"/>
      <c r="R125" s="20"/>
      <c r="S125" s="26"/>
      <c r="T125" s="42"/>
      <c r="U125" s="43"/>
      <c r="V125" s="52" t="s">
        <v>45</v>
      </c>
      <c r="W125" s="52">
        <v>3</v>
      </c>
      <c r="X125" s="52">
        <v>1.3021991935603244E-2</v>
      </c>
      <c r="Y125" s="52">
        <v>4.3406639785344148E-3</v>
      </c>
      <c r="Z125" s="52">
        <v>0.56855468575302737</v>
      </c>
      <c r="AA125" s="52">
        <v>0.64369627015971398</v>
      </c>
      <c r="AB125" s="52"/>
      <c r="AC125" s="52"/>
      <c r="AD125" s="52"/>
      <c r="AF125" s="52" t="s">
        <v>45</v>
      </c>
      <c r="AG125" s="52">
        <v>2</v>
      </c>
      <c r="AH125" s="52">
        <v>2.9064901577280089E-3</v>
      </c>
      <c r="AI125" s="52">
        <v>1.4532450788640044E-3</v>
      </c>
      <c r="AJ125" s="52">
        <v>0.18678051177577376</v>
      </c>
      <c r="AK125" s="52">
        <v>0.83130550691871385</v>
      </c>
      <c r="AL125" s="52"/>
      <c r="AM125" s="52"/>
      <c r="AN125" s="52"/>
      <c r="AO125" s="42"/>
    </row>
    <row r="126" spans="1:41" x14ac:dyDescent="0.25">
      <c r="A126" s="27" t="s">
        <v>46</v>
      </c>
      <c r="B126" s="20">
        <v>9</v>
      </c>
      <c r="C126" s="20">
        <v>0.68192153910449005</v>
      </c>
      <c r="D126" s="20">
        <v>7.5769059900498897E-2</v>
      </c>
      <c r="E126" s="20"/>
      <c r="F126" s="20"/>
      <c r="G126" s="20"/>
      <c r="H126" s="20"/>
      <c r="I126" s="26"/>
      <c r="K126" s="27" t="s">
        <v>46</v>
      </c>
      <c r="L126" s="20">
        <v>10</v>
      </c>
      <c r="M126" s="20">
        <v>0.68306547904621651</v>
      </c>
      <c r="N126" s="20">
        <v>6.8306547904621651E-2</v>
      </c>
      <c r="O126" s="20"/>
      <c r="P126" s="20"/>
      <c r="Q126" s="20"/>
      <c r="R126" s="20"/>
      <c r="S126" s="26"/>
      <c r="T126" s="42"/>
      <c r="U126" s="43"/>
      <c r="V126" s="52" t="s">
        <v>46</v>
      </c>
      <c r="W126" s="52">
        <v>16</v>
      </c>
      <c r="X126" s="52">
        <v>0.12215293514741882</v>
      </c>
      <c r="Y126" s="52">
        <v>7.6345584467136761E-3</v>
      </c>
      <c r="Z126" s="52"/>
      <c r="AA126" s="52"/>
      <c r="AB126" s="52"/>
      <c r="AC126" s="52"/>
      <c r="AD126" s="52"/>
      <c r="AF126" s="52" t="s">
        <v>46</v>
      </c>
      <c r="AG126" s="52">
        <v>17</v>
      </c>
      <c r="AH126" s="52">
        <v>0.13226843692529405</v>
      </c>
      <c r="AI126" s="52">
        <v>7.7804962897231799E-3</v>
      </c>
      <c r="AJ126" s="52"/>
      <c r="AK126" s="52"/>
      <c r="AL126" s="52"/>
      <c r="AM126" s="52"/>
      <c r="AN126" s="52"/>
      <c r="AO126" s="42"/>
    </row>
    <row r="127" spans="1:41" ht="15.75" thickBot="1" x14ac:dyDescent="0.3">
      <c r="A127" s="28" t="s">
        <v>47</v>
      </c>
      <c r="B127" s="21">
        <v>12</v>
      </c>
      <c r="C127" s="21">
        <v>0.72299913376725622</v>
      </c>
      <c r="D127" s="21"/>
      <c r="E127" s="21"/>
      <c r="F127" s="21"/>
      <c r="G127" s="20"/>
      <c r="H127" s="20"/>
      <c r="I127" s="26"/>
      <c r="K127" s="28" t="s">
        <v>47</v>
      </c>
      <c r="L127" s="21">
        <v>12</v>
      </c>
      <c r="M127" s="21">
        <v>0.72299913376725622</v>
      </c>
      <c r="N127" s="21"/>
      <c r="O127" s="21"/>
      <c r="P127" s="21"/>
      <c r="Q127" s="20"/>
      <c r="R127" s="20"/>
      <c r="S127" s="26"/>
      <c r="T127" s="42"/>
      <c r="U127" s="43"/>
      <c r="V127" s="53" t="s">
        <v>47</v>
      </c>
      <c r="W127" s="53">
        <v>19</v>
      </c>
      <c r="X127" s="53">
        <v>0.13517492708302206</v>
      </c>
      <c r="Y127" s="53"/>
      <c r="Z127" s="53"/>
      <c r="AA127" s="53"/>
      <c r="AB127" s="52"/>
      <c r="AC127" s="52"/>
      <c r="AD127" s="52"/>
      <c r="AF127" s="53" t="s">
        <v>47</v>
      </c>
      <c r="AG127" s="53">
        <v>19</v>
      </c>
      <c r="AH127" s="53">
        <v>0.13517492708302206</v>
      </c>
      <c r="AI127" s="53"/>
      <c r="AJ127" s="53"/>
      <c r="AK127" s="53"/>
      <c r="AL127" s="52"/>
      <c r="AM127" s="52"/>
      <c r="AN127" s="52"/>
      <c r="AO127" s="42"/>
    </row>
    <row r="128" spans="1:41" ht="15.75" thickBot="1" x14ac:dyDescent="0.3">
      <c r="A128" s="27"/>
      <c r="B128" s="20"/>
      <c r="C128" s="20"/>
      <c r="D128" s="20"/>
      <c r="E128" s="20"/>
      <c r="F128" s="20"/>
      <c r="G128" s="20"/>
      <c r="H128" s="20"/>
      <c r="I128" s="26"/>
      <c r="K128" s="27"/>
      <c r="L128" s="20"/>
      <c r="M128" s="20"/>
      <c r="N128" s="20"/>
      <c r="O128" s="20"/>
      <c r="P128" s="20"/>
      <c r="Q128" s="20"/>
      <c r="R128" s="20"/>
      <c r="S128" s="26"/>
      <c r="T128" s="42"/>
      <c r="U128" s="43"/>
      <c r="V128" s="52"/>
      <c r="W128" s="52"/>
      <c r="X128" s="52"/>
      <c r="Y128" s="52"/>
      <c r="Z128" s="52"/>
      <c r="AA128" s="52"/>
      <c r="AB128" s="52"/>
      <c r="AC128" s="52"/>
      <c r="AD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42"/>
    </row>
    <row r="129" spans="1:41" x14ac:dyDescent="0.25">
      <c r="A129" s="29"/>
      <c r="B129" s="22" t="s">
        <v>54</v>
      </c>
      <c r="C129" s="22" t="s">
        <v>42</v>
      </c>
      <c r="D129" s="22" t="s">
        <v>55</v>
      </c>
      <c r="E129" s="22" t="s">
        <v>56</v>
      </c>
      <c r="F129" s="22" t="s">
        <v>57</v>
      </c>
      <c r="G129" s="22" t="s">
        <v>58</v>
      </c>
      <c r="H129" s="22" t="s">
        <v>59</v>
      </c>
      <c r="I129" s="30" t="s">
        <v>60</v>
      </c>
      <c r="K129" s="29"/>
      <c r="L129" s="22" t="s">
        <v>54</v>
      </c>
      <c r="M129" s="22" t="s">
        <v>42</v>
      </c>
      <c r="N129" s="22" t="s">
        <v>55</v>
      </c>
      <c r="O129" s="22" t="s">
        <v>56</v>
      </c>
      <c r="P129" s="22" t="s">
        <v>57</v>
      </c>
      <c r="Q129" s="22" t="s">
        <v>58</v>
      </c>
      <c r="R129" s="22" t="s">
        <v>59</v>
      </c>
      <c r="S129" s="30" t="s">
        <v>60</v>
      </c>
      <c r="T129" s="42"/>
      <c r="U129" s="43"/>
      <c r="V129" s="51"/>
      <c r="W129" s="51" t="s">
        <v>54</v>
      </c>
      <c r="X129" s="51" t="s">
        <v>42</v>
      </c>
      <c r="Y129" s="51" t="s">
        <v>55</v>
      </c>
      <c r="Z129" s="51" t="s">
        <v>56</v>
      </c>
      <c r="AA129" s="51" t="s">
        <v>57</v>
      </c>
      <c r="AB129" s="51" t="s">
        <v>58</v>
      </c>
      <c r="AC129" s="51" t="s">
        <v>59</v>
      </c>
      <c r="AD129" s="51" t="s">
        <v>60</v>
      </c>
      <c r="AF129" s="51"/>
      <c r="AG129" s="51" t="s">
        <v>54</v>
      </c>
      <c r="AH129" s="51" t="s">
        <v>42</v>
      </c>
      <c r="AI129" s="51" t="s">
        <v>55</v>
      </c>
      <c r="AJ129" s="51" t="s">
        <v>56</v>
      </c>
      <c r="AK129" s="51" t="s">
        <v>57</v>
      </c>
      <c r="AL129" s="51" t="s">
        <v>58</v>
      </c>
      <c r="AM129" s="51" t="s">
        <v>59</v>
      </c>
      <c r="AN129" s="51" t="s">
        <v>60</v>
      </c>
      <c r="AO129" s="42"/>
    </row>
    <row r="130" spans="1:41" x14ac:dyDescent="0.25">
      <c r="A130" s="27" t="s">
        <v>48</v>
      </c>
      <c r="B130" s="20">
        <v>-0.68815337718553882</v>
      </c>
      <c r="C130" s="20">
        <v>3.814204138829338</v>
      </c>
      <c r="D130" s="20">
        <v>-0.18041860166318943</v>
      </c>
      <c r="E130" s="20">
        <v>0.86082112349772133</v>
      </c>
      <c r="F130" s="20">
        <v>-9.3164825902128872</v>
      </c>
      <c r="G130" s="20">
        <v>7.9401758358418091</v>
      </c>
      <c r="H130" s="20">
        <v>-9.3164825902128872</v>
      </c>
      <c r="I130" s="26">
        <v>7.9401758358418091</v>
      </c>
      <c r="K130" s="27" t="s">
        <v>48</v>
      </c>
      <c r="L130" s="20">
        <v>-0.39021449075897352</v>
      </c>
      <c r="M130" s="20">
        <v>2.7955040886364659</v>
      </c>
      <c r="N130" s="20">
        <v>-0.13958644966579334</v>
      </c>
      <c r="O130" s="20">
        <v>0.89175805088985061</v>
      </c>
      <c r="P130" s="20">
        <v>-6.618985761536365</v>
      </c>
      <c r="Q130" s="20">
        <v>5.8385567800184184</v>
      </c>
      <c r="R130" s="20">
        <v>-6.618985761536365</v>
      </c>
      <c r="S130" s="26">
        <v>5.8385567800184184</v>
      </c>
      <c r="T130" s="42"/>
      <c r="U130" s="43"/>
      <c r="V130" s="52" t="s">
        <v>48</v>
      </c>
      <c r="W130" s="52">
        <v>0.43542855041422246</v>
      </c>
      <c r="X130" s="52">
        <v>1.0787606874626385</v>
      </c>
      <c r="Y130" s="52">
        <v>0.40363776273530821</v>
      </c>
      <c r="Z130" s="52">
        <v>0.69182230058951366</v>
      </c>
      <c r="AA130" s="52">
        <v>-1.8514419475293891</v>
      </c>
      <c r="AB130" s="52">
        <v>2.7222990483578342</v>
      </c>
      <c r="AC130" s="52">
        <v>-1.8514419475293891</v>
      </c>
      <c r="AD130" s="52">
        <v>2.7222990483578342</v>
      </c>
      <c r="AF130" s="52" t="s">
        <v>48</v>
      </c>
      <c r="AG130" s="52">
        <v>-0.22885496944159403</v>
      </c>
      <c r="AH130" s="52">
        <v>0.92008586588727137</v>
      </c>
      <c r="AI130" s="52">
        <v>-0.24873218677356931</v>
      </c>
      <c r="AJ130" s="52">
        <v>0.8065479891480879</v>
      </c>
      <c r="AK130" s="52">
        <v>-2.1700664622348151</v>
      </c>
      <c r="AL130" s="52">
        <v>1.7123565233516271</v>
      </c>
      <c r="AM130" s="52">
        <v>-2.1700664622348151</v>
      </c>
      <c r="AN130" s="52">
        <v>1.7123565233516271</v>
      </c>
      <c r="AO130" s="42"/>
    </row>
    <row r="131" spans="1:41" x14ac:dyDescent="0.25">
      <c r="A131" s="27" t="s">
        <v>37</v>
      </c>
      <c r="B131" s="20">
        <v>4.9688555328824863E-4</v>
      </c>
      <c r="C131" s="20">
        <v>4.0439027919592597E-3</v>
      </c>
      <c r="D131" s="20">
        <v>0.12287277386494964</v>
      </c>
      <c r="E131" s="20">
        <v>0.9049079545083607</v>
      </c>
      <c r="F131" s="20">
        <v>-8.6510581132020516E-3</v>
      </c>
      <c r="G131" s="20">
        <v>9.6448292197785501E-3</v>
      </c>
      <c r="H131" s="20">
        <v>-8.6510581132020516E-3</v>
      </c>
      <c r="I131" s="26">
        <v>9.6448292197785501E-3</v>
      </c>
      <c r="K131" s="27" t="s">
        <v>31</v>
      </c>
      <c r="L131" s="20">
        <v>-1.1562875949672547E-2</v>
      </c>
      <c r="M131" s="20">
        <v>1.6890804897003498E-2</v>
      </c>
      <c r="N131" s="20">
        <v>-0.68456630812921482</v>
      </c>
      <c r="O131" s="20">
        <v>0.50917191170898901</v>
      </c>
      <c r="P131" s="20">
        <v>-4.9197934582006067E-2</v>
      </c>
      <c r="Q131" s="20">
        <v>2.6072182682660969E-2</v>
      </c>
      <c r="R131" s="20">
        <v>-4.9197934582006067E-2</v>
      </c>
      <c r="S131" s="26">
        <v>2.6072182682660969E-2</v>
      </c>
      <c r="T131" s="42"/>
      <c r="U131" s="43"/>
      <c r="V131" s="52" t="s">
        <v>37</v>
      </c>
      <c r="W131" s="52">
        <v>-1.2092241010639821E-3</v>
      </c>
      <c r="X131" s="52">
        <v>1.0505217325444724E-3</v>
      </c>
      <c r="Y131" s="52">
        <v>-1.1510700479609461</v>
      </c>
      <c r="Z131" s="52">
        <v>0.26661547064245972</v>
      </c>
      <c r="AA131" s="52">
        <v>-3.4362306888321027E-3</v>
      </c>
      <c r="AB131" s="52">
        <v>1.0177824867041386E-3</v>
      </c>
      <c r="AC131" s="52">
        <v>-3.4362306888321027E-3</v>
      </c>
      <c r="AD131" s="52">
        <v>1.0177824867041386E-3</v>
      </c>
      <c r="AF131" s="52" t="s">
        <v>31</v>
      </c>
      <c r="AG131" s="52">
        <v>-2.6893633662599861E-3</v>
      </c>
      <c r="AH131" s="52">
        <v>4.4288133571729017E-3</v>
      </c>
      <c r="AI131" s="52">
        <v>-0.60724242576271492</v>
      </c>
      <c r="AJ131" s="52">
        <v>0.55171540113101747</v>
      </c>
      <c r="AK131" s="52">
        <v>-1.2033342778539645E-2</v>
      </c>
      <c r="AL131" s="52">
        <v>6.6546160460196728E-3</v>
      </c>
      <c r="AM131" s="52">
        <v>-1.2033342778539645E-2</v>
      </c>
      <c r="AN131" s="52">
        <v>6.6546160460196728E-3</v>
      </c>
      <c r="AO131" s="42"/>
    </row>
    <row r="132" spans="1:41" ht="15.75" thickBot="1" x14ac:dyDescent="0.3">
      <c r="A132" s="27" t="s">
        <v>31</v>
      </c>
      <c r="B132" s="20">
        <v>-1.3580739726538817E-2</v>
      </c>
      <c r="C132" s="20">
        <v>2.4210803327137848E-2</v>
      </c>
      <c r="D132" s="20">
        <v>-0.56093717928459597</v>
      </c>
      <c r="E132" s="20">
        <v>0.58853137855764259</v>
      </c>
      <c r="F132" s="20">
        <v>-6.8349381890122324E-2</v>
      </c>
      <c r="G132" s="20">
        <v>4.1187902437044684E-2</v>
      </c>
      <c r="H132" s="20">
        <v>-6.8349381890122324E-2</v>
      </c>
      <c r="I132" s="26">
        <v>4.1187902437044684E-2</v>
      </c>
      <c r="K132" s="31" t="s">
        <v>28</v>
      </c>
      <c r="L132" s="32">
        <v>0.5014441872862746</v>
      </c>
      <c r="M132" s="32">
        <v>2.8414663807065761</v>
      </c>
      <c r="N132" s="32">
        <v>0.17647373577637843</v>
      </c>
      <c r="O132" s="32">
        <v>0.86344456370596789</v>
      </c>
      <c r="P132" s="32">
        <v>-5.8297374521788701</v>
      </c>
      <c r="Q132" s="32">
        <v>6.8326258267514195</v>
      </c>
      <c r="R132" s="32">
        <v>-5.8297374521788701</v>
      </c>
      <c r="S132" s="33">
        <v>6.8326258267514195</v>
      </c>
      <c r="T132" s="42"/>
      <c r="U132" s="43"/>
      <c r="V132" s="52" t="s">
        <v>31</v>
      </c>
      <c r="W132" s="52">
        <v>4.4022894133445627E-4</v>
      </c>
      <c r="X132" s="52">
        <v>5.1612648020467741E-3</v>
      </c>
      <c r="Y132" s="52">
        <v>8.5294779132409002E-2</v>
      </c>
      <c r="Z132" s="52">
        <v>0.93308524191007836</v>
      </c>
      <c r="AA132" s="52">
        <v>-1.0501163663208643E-2</v>
      </c>
      <c r="AB132" s="52">
        <v>1.1381621545877555E-2</v>
      </c>
      <c r="AC132" s="52">
        <v>-1.0501163663208643E-2</v>
      </c>
      <c r="AD132" s="52">
        <v>1.1381621545877555E-2</v>
      </c>
      <c r="AF132" s="53" t="s">
        <v>28</v>
      </c>
      <c r="AG132" s="53">
        <v>0.35054595270665467</v>
      </c>
      <c r="AH132" s="53">
        <v>0.92806034053680286</v>
      </c>
      <c r="AI132" s="53">
        <v>0.37771892343109292</v>
      </c>
      <c r="AJ132" s="53">
        <v>0.71031391213332662</v>
      </c>
      <c r="AK132" s="53">
        <v>-1.6074902109271849</v>
      </c>
      <c r="AL132" s="53">
        <v>2.3085821163404945</v>
      </c>
      <c r="AM132" s="53">
        <v>-1.6074902109271849</v>
      </c>
      <c r="AN132" s="53">
        <v>2.3085821163404945</v>
      </c>
      <c r="AO132" s="42"/>
    </row>
    <row r="133" spans="1:41" ht="15.75" thickBot="1" x14ac:dyDescent="0.3">
      <c r="A133" s="31" t="s">
        <v>28</v>
      </c>
      <c r="B133" s="32">
        <v>0.79905835234791023</v>
      </c>
      <c r="C133" s="32">
        <v>3.8500308583585636</v>
      </c>
      <c r="D133" s="32">
        <v>0.20754596047279053</v>
      </c>
      <c r="E133" s="32">
        <v>0.84020370540957456</v>
      </c>
      <c r="F133" s="32">
        <v>-7.9103165308820378</v>
      </c>
      <c r="G133" s="32">
        <v>9.5084332355778578</v>
      </c>
      <c r="H133" s="32">
        <v>-7.9103165308820378</v>
      </c>
      <c r="I133" s="33">
        <v>9.5084332355778578</v>
      </c>
      <c r="T133" s="42"/>
      <c r="U133" s="43"/>
      <c r="V133" s="53" t="s">
        <v>28</v>
      </c>
      <c r="W133" s="53">
        <v>-0.28787419612959753</v>
      </c>
      <c r="X133" s="53">
        <v>1.0736653554386</v>
      </c>
      <c r="Y133" s="53">
        <v>-0.26812283238104379</v>
      </c>
      <c r="Z133" s="53">
        <v>0.79203079260932885</v>
      </c>
      <c r="AA133" s="53">
        <v>-2.5639430727141579</v>
      </c>
      <c r="AB133" s="53">
        <v>1.9881946804549631</v>
      </c>
      <c r="AC133" s="53">
        <v>-2.5639430727141579</v>
      </c>
      <c r="AD133" s="53">
        <v>1.9881946804549631</v>
      </c>
      <c r="AO133" s="42"/>
    </row>
    <row r="134" spans="1:41" x14ac:dyDescent="0.25">
      <c r="A134" s="43"/>
      <c r="T134" s="42"/>
      <c r="U134" s="43"/>
      <c r="AO134" s="42"/>
    </row>
    <row r="135" spans="1:41" ht="15.75" thickBot="1" x14ac:dyDescent="0.3">
      <c r="A135" s="110" t="s">
        <v>63</v>
      </c>
      <c r="B135" s="111"/>
      <c r="C135" s="111"/>
      <c r="D135" s="111"/>
      <c r="E135" s="111"/>
      <c r="F135" s="112"/>
      <c r="K135" s="110" t="s">
        <v>64</v>
      </c>
      <c r="L135" s="111"/>
      <c r="M135" s="111"/>
      <c r="N135" s="111"/>
      <c r="O135" s="111"/>
      <c r="P135" s="112"/>
      <c r="T135" s="42"/>
      <c r="U135" s="43"/>
      <c r="V135" s="59" t="s">
        <v>67</v>
      </c>
      <c r="W135" s="60"/>
      <c r="X135" s="60"/>
      <c r="Y135" s="60"/>
      <c r="Z135" s="60"/>
      <c r="AA135" s="61"/>
      <c r="AF135" s="62" t="s">
        <v>68</v>
      </c>
      <c r="AG135" s="63"/>
      <c r="AH135" s="63"/>
      <c r="AI135" s="63"/>
      <c r="AJ135" s="63"/>
      <c r="AK135" s="64"/>
      <c r="AO135" s="42"/>
    </row>
    <row r="136" spans="1:41" x14ac:dyDescent="0.25">
      <c r="A136" s="44" t="s">
        <v>38</v>
      </c>
      <c r="B136" s="35"/>
      <c r="C136" s="36"/>
      <c r="D136" s="36"/>
      <c r="E136" s="36"/>
      <c r="F136" s="36"/>
      <c r="G136" s="36"/>
      <c r="H136" s="36"/>
      <c r="I136" s="36"/>
      <c r="K136" s="35" t="s">
        <v>38</v>
      </c>
      <c r="L136" s="35"/>
      <c r="M136" s="36"/>
      <c r="N136" s="36"/>
      <c r="O136" s="36"/>
      <c r="P136" s="36"/>
      <c r="Q136" s="36"/>
      <c r="R136" s="36"/>
      <c r="S136" s="36"/>
      <c r="T136" s="42"/>
      <c r="U136" s="43"/>
      <c r="V136" s="54" t="s">
        <v>38</v>
      </c>
      <c r="W136" s="55"/>
      <c r="X136" s="56"/>
      <c r="Y136" s="56"/>
      <c r="Z136" s="56"/>
      <c r="AA136" s="56"/>
      <c r="AB136" s="56"/>
      <c r="AC136" s="56"/>
      <c r="AD136" s="56"/>
      <c r="AF136" s="54" t="s">
        <v>38</v>
      </c>
      <c r="AG136" s="55"/>
      <c r="AH136" s="56"/>
      <c r="AI136" s="56"/>
      <c r="AJ136" s="56"/>
      <c r="AK136" s="56"/>
      <c r="AL136" s="56"/>
      <c r="AM136" s="56"/>
      <c r="AN136" s="56"/>
      <c r="AO136" s="42"/>
    </row>
    <row r="137" spans="1:41" x14ac:dyDescent="0.25">
      <c r="A137" s="45" t="s">
        <v>39</v>
      </c>
      <c r="B137" s="34">
        <v>0.17095680325801174</v>
      </c>
      <c r="C137" s="36"/>
      <c r="D137" s="36"/>
      <c r="E137" s="36"/>
      <c r="F137" s="36"/>
      <c r="G137" s="36"/>
      <c r="H137" s="36"/>
      <c r="I137" s="36"/>
      <c r="K137" s="36" t="s">
        <v>39</v>
      </c>
      <c r="L137" s="34">
        <v>0.16377239709198274</v>
      </c>
      <c r="M137" s="36"/>
      <c r="N137" s="36"/>
      <c r="O137" s="36"/>
      <c r="P137" s="36"/>
      <c r="Q137" s="36"/>
      <c r="R137" s="36"/>
      <c r="S137" s="36"/>
      <c r="T137" s="42"/>
      <c r="U137" s="43"/>
      <c r="V137" s="57" t="s">
        <v>39</v>
      </c>
      <c r="W137" s="34">
        <v>0.17918126448103755</v>
      </c>
      <c r="X137" s="56"/>
      <c r="Y137" s="56"/>
      <c r="Z137" s="56"/>
      <c r="AA137" s="56"/>
      <c r="AB137" s="56"/>
      <c r="AC137" s="56"/>
      <c r="AD137" s="56"/>
      <c r="AF137" s="56" t="s">
        <v>39</v>
      </c>
      <c r="AG137" s="34">
        <v>0.12762346433901492</v>
      </c>
      <c r="AH137" s="56"/>
      <c r="AI137" s="56"/>
      <c r="AJ137" s="56"/>
      <c r="AK137" s="56"/>
      <c r="AL137" s="56"/>
      <c r="AM137" s="56"/>
      <c r="AN137" s="56"/>
      <c r="AO137" s="42"/>
    </row>
    <row r="138" spans="1:41" x14ac:dyDescent="0.25">
      <c r="A138" s="45" t="s">
        <v>40</v>
      </c>
      <c r="B138" s="34">
        <v>2.9226228580198532E-2</v>
      </c>
      <c r="C138" s="36"/>
      <c r="D138" s="36"/>
      <c r="E138" s="36"/>
      <c r="F138" s="36"/>
      <c r="G138" s="36"/>
      <c r="H138" s="36"/>
      <c r="I138" s="36"/>
      <c r="K138" s="36" t="s">
        <v>40</v>
      </c>
      <c r="L138" s="34">
        <v>2.682139804925408E-2</v>
      </c>
      <c r="M138" s="36"/>
      <c r="N138" s="36"/>
      <c r="O138" s="36"/>
      <c r="P138" s="36"/>
      <c r="Q138" s="36"/>
      <c r="R138" s="36"/>
      <c r="S138" s="36"/>
      <c r="T138" s="42"/>
      <c r="U138" s="43"/>
      <c r="V138" s="56" t="s">
        <v>40</v>
      </c>
      <c r="W138" s="34">
        <v>3.2105925541023532E-2</v>
      </c>
      <c r="X138" s="56"/>
      <c r="Y138" s="56"/>
      <c r="Z138" s="56"/>
      <c r="AA138" s="56"/>
      <c r="AB138" s="56"/>
      <c r="AC138" s="56"/>
      <c r="AD138" s="56"/>
      <c r="AF138" s="56" t="s">
        <v>40</v>
      </c>
      <c r="AG138" s="34">
        <v>1.6287748649891815E-2</v>
      </c>
      <c r="AH138" s="56"/>
      <c r="AI138" s="56"/>
      <c r="AJ138" s="56"/>
      <c r="AK138" s="56"/>
      <c r="AL138" s="56"/>
      <c r="AM138" s="56"/>
      <c r="AN138" s="56"/>
      <c r="AO138" s="42"/>
    </row>
    <row r="139" spans="1:41" x14ac:dyDescent="0.25">
      <c r="A139" s="45" t="s">
        <v>41</v>
      </c>
      <c r="B139" s="34">
        <v>-0.29436502855973529</v>
      </c>
      <c r="C139" s="36"/>
      <c r="D139" s="36"/>
      <c r="E139" s="36"/>
      <c r="F139" s="36"/>
      <c r="G139" s="36"/>
      <c r="H139" s="36"/>
      <c r="I139" s="36"/>
      <c r="K139" s="36" t="s">
        <v>41</v>
      </c>
      <c r="L139" s="34">
        <v>-0.16781432234089511</v>
      </c>
      <c r="M139" s="36"/>
      <c r="N139" s="36"/>
      <c r="O139" s="36"/>
      <c r="P139" s="36"/>
      <c r="Q139" s="36"/>
      <c r="R139" s="36"/>
      <c r="S139" s="36"/>
      <c r="T139" s="42"/>
      <c r="U139" s="43"/>
      <c r="V139" s="56" t="s">
        <v>41</v>
      </c>
      <c r="W139" s="34">
        <v>-0.14937421342003454</v>
      </c>
      <c r="X139" s="56"/>
      <c r="Y139" s="56"/>
      <c r="Z139" s="56"/>
      <c r="AA139" s="56"/>
      <c r="AB139" s="56"/>
      <c r="AC139" s="56"/>
      <c r="AD139" s="56"/>
      <c r="AF139" s="56" t="s">
        <v>41</v>
      </c>
      <c r="AG139" s="34">
        <v>-9.9443104450120917E-2</v>
      </c>
      <c r="AH139" s="56"/>
      <c r="AI139" s="56"/>
      <c r="AJ139" s="56"/>
      <c r="AK139" s="56"/>
      <c r="AL139" s="56"/>
      <c r="AM139" s="56"/>
      <c r="AN139" s="56"/>
      <c r="AO139" s="42"/>
    </row>
    <row r="140" spans="1:41" x14ac:dyDescent="0.25">
      <c r="A140" s="45" t="s">
        <v>42</v>
      </c>
      <c r="B140" s="36">
        <v>3.2649866164091865E-2</v>
      </c>
      <c r="C140" s="36"/>
      <c r="D140" s="36"/>
      <c r="E140" s="36"/>
      <c r="F140" s="36"/>
      <c r="G140" s="36"/>
      <c r="H140" s="36"/>
      <c r="I140" s="36"/>
      <c r="K140" s="36" t="s">
        <v>42</v>
      </c>
      <c r="L140" s="36">
        <v>3.1012724327844934E-2</v>
      </c>
      <c r="M140" s="36"/>
      <c r="N140" s="36"/>
      <c r="O140" s="36"/>
      <c r="P140" s="36"/>
      <c r="Q140" s="36"/>
      <c r="R140" s="36"/>
      <c r="S140" s="36"/>
      <c r="T140" s="42"/>
      <c r="U140" s="43"/>
      <c r="V140" s="56" t="s">
        <v>42</v>
      </c>
      <c r="W140" s="56">
        <v>6.7931092800401841E-2</v>
      </c>
      <c r="X140" s="56"/>
      <c r="Y140" s="56"/>
      <c r="Z140" s="56"/>
      <c r="AA140" s="56"/>
      <c r="AB140" s="56"/>
      <c r="AC140" s="56"/>
      <c r="AD140" s="56"/>
      <c r="AF140" s="56" t="s">
        <v>42</v>
      </c>
      <c r="AG140" s="56">
        <v>6.643917886879544E-2</v>
      </c>
      <c r="AH140" s="56"/>
      <c r="AI140" s="56"/>
      <c r="AJ140" s="56"/>
      <c r="AK140" s="56"/>
      <c r="AL140" s="56"/>
      <c r="AM140" s="56"/>
      <c r="AN140" s="56"/>
      <c r="AO140" s="42"/>
    </row>
    <row r="141" spans="1:41" ht="15.75" thickBot="1" x14ac:dyDescent="0.3">
      <c r="A141" s="46" t="s">
        <v>43</v>
      </c>
      <c r="B141" s="37">
        <v>13</v>
      </c>
      <c r="C141" s="36"/>
      <c r="D141" s="36"/>
      <c r="E141" s="36"/>
      <c r="F141" s="36"/>
      <c r="G141" s="36"/>
      <c r="H141" s="36"/>
      <c r="I141" s="36"/>
      <c r="K141" s="37" t="s">
        <v>43</v>
      </c>
      <c r="L141" s="37">
        <v>13</v>
      </c>
      <c r="M141" s="36"/>
      <c r="N141" s="36"/>
      <c r="O141" s="36"/>
      <c r="P141" s="36"/>
      <c r="Q141" s="36"/>
      <c r="R141" s="36"/>
      <c r="S141" s="36"/>
      <c r="T141" s="42"/>
      <c r="U141" s="43"/>
      <c r="V141" s="58" t="s">
        <v>43</v>
      </c>
      <c r="W141" s="58">
        <v>20</v>
      </c>
      <c r="X141" s="56"/>
      <c r="Y141" s="56"/>
      <c r="Z141" s="56"/>
      <c r="AA141" s="56"/>
      <c r="AB141" s="56"/>
      <c r="AC141" s="56"/>
      <c r="AD141" s="56"/>
      <c r="AF141" s="58" t="s">
        <v>43</v>
      </c>
      <c r="AG141" s="58">
        <v>20</v>
      </c>
      <c r="AH141" s="56"/>
      <c r="AI141" s="56"/>
      <c r="AJ141" s="56"/>
      <c r="AK141" s="56"/>
      <c r="AL141" s="56"/>
      <c r="AM141" s="56"/>
      <c r="AN141" s="56"/>
      <c r="AO141" s="42"/>
    </row>
    <row r="142" spans="1:41" x14ac:dyDescent="0.25">
      <c r="A142" s="45"/>
      <c r="B142" s="36"/>
      <c r="C142" s="36"/>
      <c r="D142" s="36"/>
      <c r="E142" s="36"/>
      <c r="F142" s="36"/>
      <c r="G142" s="36"/>
      <c r="H142" s="36"/>
      <c r="I142" s="36"/>
      <c r="K142" s="36"/>
      <c r="L142" s="36"/>
      <c r="M142" s="36"/>
      <c r="N142" s="36"/>
      <c r="O142" s="36"/>
      <c r="P142" s="36"/>
      <c r="Q142" s="36"/>
      <c r="R142" s="36"/>
      <c r="S142" s="36"/>
      <c r="T142" s="42"/>
      <c r="U142" s="43"/>
      <c r="V142" s="56"/>
      <c r="W142" s="56"/>
      <c r="X142" s="56"/>
      <c r="Y142" s="56"/>
      <c r="Z142" s="56"/>
      <c r="AA142" s="56"/>
      <c r="AB142" s="56"/>
      <c r="AC142" s="56"/>
      <c r="AD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42"/>
    </row>
    <row r="143" spans="1:41" ht="15.75" thickBot="1" x14ac:dyDescent="0.3">
      <c r="A143" s="45" t="s">
        <v>44</v>
      </c>
      <c r="B143" s="36"/>
      <c r="C143" s="36"/>
      <c r="D143" s="36"/>
      <c r="E143" s="36"/>
      <c r="F143" s="36"/>
      <c r="G143" s="36"/>
      <c r="H143" s="36"/>
      <c r="I143" s="36"/>
      <c r="K143" s="36" t="s">
        <v>44</v>
      </c>
      <c r="L143" s="36"/>
      <c r="M143" s="36"/>
      <c r="N143" s="36"/>
      <c r="O143" s="36"/>
      <c r="P143" s="36"/>
      <c r="Q143" s="36"/>
      <c r="R143" s="36"/>
      <c r="S143" s="36"/>
      <c r="T143" s="42"/>
      <c r="U143" s="43"/>
      <c r="V143" s="56" t="s">
        <v>44</v>
      </c>
      <c r="W143" s="56"/>
      <c r="X143" s="56"/>
      <c r="Y143" s="56"/>
      <c r="Z143" s="56"/>
      <c r="AA143" s="56"/>
      <c r="AB143" s="56"/>
      <c r="AC143" s="56"/>
      <c r="AD143" s="56"/>
      <c r="AF143" s="56" t="s">
        <v>44</v>
      </c>
      <c r="AG143" s="56"/>
      <c r="AH143" s="56"/>
      <c r="AI143" s="56"/>
      <c r="AJ143" s="56"/>
      <c r="AK143" s="56"/>
      <c r="AL143" s="56"/>
      <c r="AM143" s="56"/>
      <c r="AN143" s="56"/>
      <c r="AO143" s="42"/>
    </row>
    <row r="144" spans="1:41" x14ac:dyDescent="0.25">
      <c r="A144" s="47"/>
      <c r="B144" s="38" t="s">
        <v>49</v>
      </c>
      <c r="C144" s="38" t="s">
        <v>50</v>
      </c>
      <c r="D144" s="38" t="s">
        <v>51</v>
      </c>
      <c r="E144" s="38" t="s">
        <v>52</v>
      </c>
      <c r="F144" s="38" t="s">
        <v>53</v>
      </c>
      <c r="G144" s="36"/>
      <c r="H144" s="36"/>
      <c r="I144" s="36"/>
      <c r="K144" s="38"/>
      <c r="L144" s="38" t="s">
        <v>49</v>
      </c>
      <c r="M144" s="38" t="s">
        <v>50</v>
      </c>
      <c r="N144" s="38" t="s">
        <v>51</v>
      </c>
      <c r="O144" s="38" t="s">
        <v>52</v>
      </c>
      <c r="P144" s="38" t="s">
        <v>53</v>
      </c>
      <c r="Q144" s="36"/>
      <c r="R144" s="36"/>
      <c r="S144" s="36"/>
      <c r="T144" s="42"/>
      <c r="U144" s="43"/>
      <c r="V144" s="55"/>
      <c r="W144" s="55" t="s">
        <v>49</v>
      </c>
      <c r="X144" s="55" t="s">
        <v>50</v>
      </c>
      <c r="Y144" s="55" t="s">
        <v>51</v>
      </c>
      <c r="Z144" s="55" t="s">
        <v>52</v>
      </c>
      <c r="AA144" s="55" t="s">
        <v>53</v>
      </c>
      <c r="AB144" s="56"/>
      <c r="AC144" s="56"/>
      <c r="AD144" s="56"/>
      <c r="AF144" s="55"/>
      <c r="AG144" s="55" t="s">
        <v>49</v>
      </c>
      <c r="AH144" s="55" t="s">
        <v>50</v>
      </c>
      <c r="AI144" s="55" t="s">
        <v>51</v>
      </c>
      <c r="AJ144" s="55" t="s">
        <v>52</v>
      </c>
      <c r="AK144" s="55" t="s">
        <v>53</v>
      </c>
      <c r="AL144" s="56"/>
      <c r="AM144" s="56"/>
      <c r="AN144" s="56"/>
      <c r="AO144" s="42"/>
    </row>
    <row r="145" spans="1:41" x14ac:dyDescent="0.25">
      <c r="A145" s="45" t="s">
        <v>45</v>
      </c>
      <c r="B145" s="36">
        <v>3</v>
      </c>
      <c r="C145" s="36">
        <v>2.8884181337604682E-4</v>
      </c>
      <c r="D145" s="36">
        <v>9.6280604458682278E-5</v>
      </c>
      <c r="E145" s="36">
        <v>9.0318350497213665E-2</v>
      </c>
      <c r="F145" s="36">
        <v>0.96354273711261818</v>
      </c>
      <c r="G145" s="36"/>
      <c r="H145" s="36"/>
      <c r="I145" s="36"/>
      <c r="K145" s="36" t="s">
        <v>45</v>
      </c>
      <c r="L145" s="36">
        <v>2</v>
      </c>
      <c r="M145" s="36">
        <v>2.6507495582499437E-4</v>
      </c>
      <c r="N145" s="36">
        <v>1.3253747791249718E-4</v>
      </c>
      <c r="O145" s="36">
        <v>0.13780306099769524</v>
      </c>
      <c r="P145" s="36">
        <v>0.87289650764116344</v>
      </c>
      <c r="Q145" s="36"/>
      <c r="R145" s="36"/>
      <c r="S145" s="36"/>
      <c r="T145" s="42"/>
      <c r="U145" s="43"/>
      <c r="V145" s="56" t="s">
        <v>45</v>
      </c>
      <c r="W145" s="56">
        <v>3</v>
      </c>
      <c r="X145" s="56">
        <v>2.4491452815867398E-3</v>
      </c>
      <c r="Y145" s="56">
        <v>8.1638176052891331E-4</v>
      </c>
      <c r="Z145" s="56">
        <v>0.17691151067452512</v>
      </c>
      <c r="AA145" s="56">
        <v>0.91047107569857899</v>
      </c>
      <c r="AB145" s="56"/>
      <c r="AC145" s="56"/>
      <c r="AD145" s="56"/>
      <c r="AF145" s="56" t="s">
        <v>45</v>
      </c>
      <c r="AG145" s="56">
        <v>2</v>
      </c>
      <c r="AH145" s="56">
        <v>1.2424828775791652E-3</v>
      </c>
      <c r="AI145" s="56">
        <v>6.212414387895826E-4</v>
      </c>
      <c r="AJ145" s="56">
        <v>0.1407381714867012</v>
      </c>
      <c r="AK145" s="56">
        <v>0.8697184472414885</v>
      </c>
      <c r="AL145" s="56"/>
      <c r="AM145" s="56"/>
      <c r="AN145" s="56"/>
      <c r="AO145" s="42"/>
    </row>
    <row r="146" spans="1:41" x14ac:dyDescent="0.25">
      <c r="A146" s="45" t="s">
        <v>46</v>
      </c>
      <c r="B146" s="36">
        <v>9</v>
      </c>
      <c r="C146" s="36">
        <v>9.5941238447979967E-3</v>
      </c>
      <c r="D146" s="36">
        <v>1.0660137605331107E-3</v>
      </c>
      <c r="E146" s="36"/>
      <c r="F146" s="36"/>
      <c r="G146" s="36"/>
      <c r="H146" s="36"/>
      <c r="I146" s="36"/>
      <c r="K146" s="36" t="s">
        <v>46</v>
      </c>
      <c r="L146" s="36">
        <v>10</v>
      </c>
      <c r="M146" s="36">
        <v>9.6178907023490492E-3</v>
      </c>
      <c r="N146" s="36">
        <v>9.6178907023490492E-4</v>
      </c>
      <c r="O146" s="36"/>
      <c r="P146" s="36"/>
      <c r="Q146" s="36"/>
      <c r="R146" s="36"/>
      <c r="S146" s="36"/>
      <c r="T146" s="42"/>
      <c r="U146" s="43"/>
      <c r="V146" s="56" t="s">
        <v>46</v>
      </c>
      <c r="W146" s="56">
        <v>16</v>
      </c>
      <c r="X146" s="56">
        <v>7.3834133904908922E-2</v>
      </c>
      <c r="Y146" s="56">
        <v>4.6146333690568076E-3</v>
      </c>
      <c r="Z146" s="56"/>
      <c r="AA146" s="56"/>
      <c r="AB146" s="56"/>
      <c r="AC146" s="56"/>
      <c r="AD146" s="56"/>
      <c r="AF146" s="56" t="s">
        <v>46</v>
      </c>
      <c r="AG146" s="56">
        <v>17</v>
      </c>
      <c r="AH146" s="56">
        <v>7.5040796308916496E-2</v>
      </c>
      <c r="AI146" s="56">
        <v>4.4141644887597939E-3</v>
      </c>
      <c r="AJ146" s="56"/>
      <c r="AK146" s="56"/>
      <c r="AL146" s="56"/>
      <c r="AM146" s="56"/>
      <c r="AN146" s="56"/>
      <c r="AO146" s="42"/>
    </row>
    <row r="147" spans="1:41" ht="15.75" thickBot="1" x14ac:dyDescent="0.3">
      <c r="A147" s="46" t="s">
        <v>47</v>
      </c>
      <c r="B147" s="37">
        <v>12</v>
      </c>
      <c r="C147" s="37">
        <v>9.8829656581740435E-3</v>
      </c>
      <c r="D147" s="37"/>
      <c r="E147" s="37"/>
      <c r="F147" s="37"/>
      <c r="G147" s="36"/>
      <c r="H147" s="36"/>
      <c r="I147" s="36"/>
      <c r="K147" s="37" t="s">
        <v>47</v>
      </c>
      <c r="L147" s="37">
        <v>12</v>
      </c>
      <c r="M147" s="37">
        <v>9.8829656581740435E-3</v>
      </c>
      <c r="N147" s="37"/>
      <c r="O147" s="37"/>
      <c r="P147" s="37"/>
      <c r="Q147" s="36"/>
      <c r="R147" s="36"/>
      <c r="S147" s="36"/>
      <c r="T147" s="42"/>
      <c r="U147" s="43"/>
      <c r="V147" s="58" t="s">
        <v>47</v>
      </c>
      <c r="W147" s="58">
        <v>19</v>
      </c>
      <c r="X147" s="58">
        <v>7.6283279186495662E-2</v>
      </c>
      <c r="Y147" s="58"/>
      <c r="Z147" s="58"/>
      <c r="AA147" s="58"/>
      <c r="AB147" s="56"/>
      <c r="AC147" s="56"/>
      <c r="AD147" s="56"/>
      <c r="AF147" s="58" t="s">
        <v>47</v>
      </c>
      <c r="AG147" s="58">
        <v>19</v>
      </c>
      <c r="AH147" s="58">
        <v>7.6283279186495662E-2</v>
      </c>
      <c r="AI147" s="58"/>
      <c r="AJ147" s="58"/>
      <c r="AK147" s="58"/>
      <c r="AL147" s="56"/>
      <c r="AM147" s="56"/>
      <c r="AN147" s="56"/>
      <c r="AO147" s="42"/>
    </row>
    <row r="148" spans="1:41" ht="15.75" thickBot="1" x14ac:dyDescent="0.3">
      <c r="A148" s="45"/>
      <c r="B148" s="36"/>
      <c r="C148" s="36"/>
      <c r="D148" s="36"/>
      <c r="E148" s="36"/>
      <c r="F148" s="36"/>
      <c r="G148" s="36"/>
      <c r="H148" s="36"/>
      <c r="I148" s="36"/>
      <c r="K148" s="36"/>
      <c r="L148" s="36"/>
      <c r="M148" s="36"/>
      <c r="N148" s="36"/>
      <c r="O148" s="36"/>
      <c r="P148" s="36"/>
      <c r="Q148" s="36"/>
      <c r="R148" s="36"/>
      <c r="S148" s="36"/>
      <c r="T148" s="42"/>
      <c r="U148" s="43"/>
      <c r="V148" s="56"/>
      <c r="W148" s="56"/>
      <c r="X148" s="56"/>
      <c r="Y148" s="56"/>
      <c r="Z148" s="56"/>
      <c r="AA148" s="56"/>
      <c r="AB148" s="56"/>
      <c r="AC148" s="56"/>
      <c r="AD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42"/>
    </row>
    <row r="149" spans="1:41" x14ac:dyDescent="0.25">
      <c r="A149" s="47"/>
      <c r="B149" s="38" t="s">
        <v>54</v>
      </c>
      <c r="C149" s="38" t="s">
        <v>42</v>
      </c>
      <c r="D149" s="38" t="s">
        <v>55</v>
      </c>
      <c r="E149" s="38" t="s">
        <v>56</v>
      </c>
      <c r="F149" s="38" t="s">
        <v>57</v>
      </c>
      <c r="G149" s="38" t="s">
        <v>58</v>
      </c>
      <c r="H149" s="38" t="s">
        <v>59</v>
      </c>
      <c r="I149" s="38" t="s">
        <v>60</v>
      </c>
      <c r="K149" s="38"/>
      <c r="L149" s="38" t="s">
        <v>54</v>
      </c>
      <c r="M149" s="38" t="s">
        <v>42</v>
      </c>
      <c r="N149" s="38" t="s">
        <v>55</v>
      </c>
      <c r="O149" s="38" t="s">
        <v>56</v>
      </c>
      <c r="P149" s="38" t="s">
        <v>57</v>
      </c>
      <c r="Q149" s="38" t="s">
        <v>58</v>
      </c>
      <c r="R149" s="38" t="s">
        <v>59</v>
      </c>
      <c r="S149" s="38" t="s">
        <v>60</v>
      </c>
      <c r="T149" s="42"/>
      <c r="U149" s="43"/>
      <c r="V149" s="55"/>
      <c r="W149" s="55" t="s">
        <v>54</v>
      </c>
      <c r="X149" s="55" t="s">
        <v>42</v>
      </c>
      <c r="Y149" s="55" t="s">
        <v>55</v>
      </c>
      <c r="Z149" s="55" t="s">
        <v>56</v>
      </c>
      <c r="AA149" s="55" t="s">
        <v>57</v>
      </c>
      <c r="AB149" s="55" t="s">
        <v>58</v>
      </c>
      <c r="AC149" s="55" t="s">
        <v>59</v>
      </c>
      <c r="AD149" s="55" t="s">
        <v>60</v>
      </c>
      <c r="AF149" s="55"/>
      <c r="AG149" s="55" t="s">
        <v>54</v>
      </c>
      <c r="AH149" s="55" t="s">
        <v>42</v>
      </c>
      <c r="AI149" s="55" t="s">
        <v>55</v>
      </c>
      <c r="AJ149" s="55" t="s">
        <v>56</v>
      </c>
      <c r="AK149" s="55" t="s">
        <v>57</v>
      </c>
      <c r="AL149" s="55" t="s">
        <v>58</v>
      </c>
      <c r="AM149" s="55" t="s">
        <v>59</v>
      </c>
      <c r="AN149" s="55" t="s">
        <v>60</v>
      </c>
      <c r="AO149" s="42"/>
    </row>
    <row r="150" spans="1:41" x14ac:dyDescent="0.25">
      <c r="A150" s="45" t="s">
        <v>48</v>
      </c>
      <c r="B150" s="36">
        <v>4.9518007206040951E-2</v>
      </c>
      <c r="C150" s="36">
        <v>0.45241749322509522</v>
      </c>
      <c r="D150" s="36">
        <v>0.10945201710271585</v>
      </c>
      <c r="E150" s="36">
        <v>0.91524558481368334</v>
      </c>
      <c r="F150" s="36">
        <v>-0.97392146566831672</v>
      </c>
      <c r="G150" s="36">
        <v>1.0729574800803987</v>
      </c>
      <c r="H150" s="36">
        <v>-0.97392146566831672</v>
      </c>
      <c r="I150" s="36">
        <v>1.0729574800803987</v>
      </c>
      <c r="K150" s="36" t="s">
        <v>48</v>
      </c>
      <c r="L150" s="36">
        <v>9.2462893757318226E-2</v>
      </c>
      <c r="M150" s="36">
        <v>0.33171788050031009</v>
      </c>
      <c r="N150" s="36">
        <v>0.27873955307402187</v>
      </c>
      <c r="O150" s="36">
        <v>0.78612388682128476</v>
      </c>
      <c r="P150" s="36">
        <v>-0.64665060368396288</v>
      </c>
      <c r="Q150" s="36">
        <v>0.83157639119859927</v>
      </c>
      <c r="R150" s="36">
        <v>-0.64665060368396288</v>
      </c>
      <c r="S150" s="36">
        <v>0.83157639119859927</v>
      </c>
      <c r="T150" s="42"/>
      <c r="U150" s="43"/>
      <c r="V150" s="56" t="s">
        <v>48</v>
      </c>
      <c r="W150" s="56">
        <v>9.333184988592011E-2</v>
      </c>
      <c r="X150" s="56">
        <v>0.83869055147078342</v>
      </c>
      <c r="Y150" s="56">
        <v>0.11128282025145887</v>
      </c>
      <c r="Z150" s="56">
        <v>0.91277612248930773</v>
      </c>
      <c r="AA150" s="56">
        <v>-1.6846126945837905</v>
      </c>
      <c r="AB150" s="56">
        <v>1.8712763943556308</v>
      </c>
      <c r="AC150" s="56">
        <v>-1.6846126945837905</v>
      </c>
      <c r="AD150" s="56">
        <v>1.8712763943556308</v>
      </c>
      <c r="AF150" s="56" t="s">
        <v>48</v>
      </c>
      <c r="AG150" s="56">
        <v>0.32276314340116746</v>
      </c>
      <c r="AH150" s="56">
        <v>0.69302510220973568</v>
      </c>
      <c r="AI150" s="56">
        <v>0.46573081172965519</v>
      </c>
      <c r="AJ150" s="56">
        <v>0.64731942474472248</v>
      </c>
      <c r="AK150" s="56">
        <v>-1.1393920130704596</v>
      </c>
      <c r="AL150" s="56">
        <v>1.7849182998727946</v>
      </c>
      <c r="AM150" s="56">
        <v>-1.1393920130704596</v>
      </c>
      <c r="AN150" s="56">
        <v>1.7849182998727946</v>
      </c>
      <c r="AO150" s="42"/>
    </row>
    <row r="151" spans="1:41" x14ac:dyDescent="0.25">
      <c r="A151" s="45" t="s">
        <v>37</v>
      </c>
      <c r="B151" s="36">
        <v>7.1621042727472274E-5</v>
      </c>
      <c r="C151" s="36">
        <v>4.79662938162952E-4</v>
      </c>
      <c r="D151" s="36">
        <v>0.14931535674148966</v>
      </c>
      <c r="E151" s="36">
        <v>0.88459716601195459</v>
      </c>
      <c r="F151" s="36">
        <v>-1.0134519085666822E-3</v>
      </c>
      <c r="G151" s="36">
        <v>1.1566939940216266E-3</v>
      </c>
      <c r="H151" s="36">
        <v>-1.0134519085666822E-3</v>
      </c>
      <c r="I151" s="36">
        <v>1.1566939940216266E-3</v>
      </c>
      <c r="K151" s="36" t="s">
        <v>31</v>
      </c>
      <c r="L151" s="36">
        <v>1.0082285334988646E-3</v>
      </c>
      <c r="M151" s="36">
        <v>2.0042832429235215E-3</v>
      </c>
      <c r="N151" s="36">
        <v>0.5030369520169341</v>
      </c>
      <c r="O151" s="36">
        <v>0.625832013544665</v>
      </c>
      <c r="P151" s="36">
        <v>-3.4575928304440779E-3</v>
      </c>
      <c r="Q151" s="36">
        <v>5.4740498974418074E-3</v>
      </c>
      <c r="R151" s="36">
        <v>-3.4575928304440779E-3</v>
      </c>
      <c r="S151" s="36">
        <v>5.4740498974418074E-3</v>
      </c>
      <c r="T151" s="42"/>
      <c r="U151" s="43"/>
      <c r="V151" s="56" t="s">
        <v>37</v>
      </c>
      <c r="W151" s="56">
        <v>4.1764373398445778E-4</v>
      </c>
      <c r="X151" s="56">
        <v>8.1673596511207757E-4</v>
      </c>
      <c r="Y151" s="56">
        <v>0.5113570992641987</v>
      </c>
      <c r="Z151" s="56">
        <v>0.61608516674850666</v>
      </c>
      <c r="AA151" s="56">
        <v>-1.3137591665212216E-3</v>
      </c>
      <c r="AB151" s="56">
        <v>2.149046634490137E-3</v>
      </c>
      <c r="AC151" s="56">
        <v>-1.3137591665212216E-3</v>
      </c>
      <c r="AD151" s="56">
        <v>2.149046634490137E-3</v>
      </c>
      <c r="AF151" s="56" t="s">
        <v>31</v>
      </c>
      <c r="AG151" s="56">
        <v>1.6434616015950983E-3</v>
      </c>
      <c r="AH151" s="56">
        <v>3.3358612965571194E-3</v>
      </c>
      <c r="AI151" s="56">
        <v>0.49266484889263368</v>
      </c>
      <c r="AJ151" s="56">
        <v>0.62855198429297454</v>
      </c>
      <c r="AK151" s="56">
        <v>-5.3945905273723588E-3</v>
      </c>
      <c r="AL151" s="56">
        <v>8.681513730562555E-3</v>
      </c>
      <c r="AM151" s="56">
        <v>-5.3945905273723588E-3</v>
      </c>
      <c r="AN151" s="56">
        <v>8.681513730562555E-3</v>
      </c>
      <c r="AO151" s="42"/>
    </row>
    <row r="152" spans="1:41" ht="15.75" thickBot="1" x14ac:dyDescent="0.3">
      <c r="A152" s="45" t="s">
        <v>31</v>
      </c>
      <c r="B152" s="36">
        <v>7.173738148926283E-4</v>
      </c>
      <c r="C152" s="36">
        <v>2.8717369473547196E-3</v>
      </c>
      <c r="D152" s="36">
        <v>0.24980484913614118</v>
      </c>
      <c r="E152" s="36">
        <v>0.80834667343809574</v>
      </c>
      <c r="F152" s="36">
        <v>-5.7789464902381028E-3</v>
      </c>
      <c r="G152" s="36">
        <v>7.2136941200233598E-3</v>
      </c>
      <c r="H152" s="36">
        <v>-5.7789464902381028E-3</v>
      </c>
      <c r="I152" s="36">
        <v>7.2136941200233598E-3</v>
      </c>
      <c r="K152" s="37" t="s">
        <v>28</v>
      </c>
      <c r="L152" s="37">
        <v>-6.9646745348552586E-2</v>
      </c>
      <c r="M152" s="37">
        <v>0.33717182140864543</v>
      </c>
      <c r="N152" s="37">
        <v>-0.20656158352017839</v>
      </c>
      <c r="O152" s="37">
        <v>0.84049737889052845</v>
      </c>
      <c r="P152" s="37">
        <v>-0.82091238042413295</v>
      </c>
      <c r="Q152" s="37">
        <v>0.68161888972702789</v>
      </c>
      <c r="R152" s="37">
        <v>-0.82091238042413295</v>
      </c>
      <c r="S152" s="37">
        <v>0.68161888972702789</v>
      </c>
      <c r="T152" s="42"/>
      <c r="U152" s="43"/>
      <c r="V152" s="56" t="s">
        <v>31</v>
      </c>
      <c r="W152" s="56">
        <v>5.6255805688182597E-4</v>
      </c>
      <c r="X152" s="56">
        <v>4.012663859022274E-3</v>
      </c>
      <c r="Y152" s="56">
        <v>0.14019565970295328</v>
      </c>
      <c r="Z152" s="56">
        <v>0.89025512358803827</v>
      </c>
      <c r="AA152" s="56">
        <v>-7.9439093218531022E-3</v>
      </c>
      <c r="AB152" s="56">
        <v>9.0690254356167559E-3</v>
      </c>
      <c r="AC152" s="56">
        <v>-7.9439093218531022E-3</v>
      </c>
      <c r="AD152" s="56">
        <v>9.0690254356167559E-3</v>
      </c>
      <c r="AF152" s="58" t="s">
        <v>28</v>
      </c>
      <c r="AG152" s="58">
        <v>-0.3400364038031799</v>
      </c>
      <c r="AH152" s="58">
        <v>0.69903161889905696</v>
      </c>
      <c r="AI152" s="58">
        <v>-0.48643923194593369</v>
      </c>
      <c r="AJ152" s="58">
        <v>0.63286738039899737</v>
      </c>
      <c r="AK152" s="58">
        <v>-1.8148642027544528</v>
      </c>
      <c r="AL152" s="58">
        <v>1.1347913951480928</v>
      </c>
      <c r="AM152" s="58">
        <v>-1.8148642027544528</v>
      </c>
      <c r="AN152" s="58">
        <v>1.1347913951480928</v>
      </c>
      <c r="AO152" s="42"/>
    </row>
    <row r="153" spans="1:41" ht="15.75" thickBot="1" x14ac:dyDescent="0.3">
      <c r="A153" s="46" t="s">
        <v>28</v>
      </c>
      <c r="B153" s="37">
        <v>-2.6748664108072216E-2</v>
      </c>
      <c r="C153" s="37">
        <v>0.45666703888388255</v>
      </c>
      <c r="D153" s="37">
        <v>-5.8573669283089297E-2</v>
      </c>
      <c r="E153" s="37">
        <v>0.95457160448960465</v>
      </c>
      <c r="F153" s="37">
        <v>-1.0598012771330938</v>
      </c>
      <c r="G153" s="37">
        <v>1.0063039489169492</v>
      </c>
      <c r="H153" s="37">
        <v>-1.0598012771330938</v>
      </c>
      <c r="I153" s="37">
        <v>1.0063039489169492</v>
      </c>
      <c r="T153" s="42"/>
      <c r="U153" s="43"/>
      <c r="V153" s="58" t="s">
        <v>28</v>
      </c>
      <c r="W153" s="58">
        <v>-0.11953784230719344</v>
      </c>
      <c r="X153" s="58">
        <v>0.83472914754233729</v>
      </c>
      <c r="Y153" s="58">
        <v>-0.14320554476759842</v>
      </c>
      <c r="Z153" s="58">
        <v>0.88791586283510759</v>
      </c>
      <c r="AA153" s="58">
        <v>-1.8890845855966352</v>
      </c>
      <c r="AB153" s="58">
        <v>1.6500089009822481</v>
      </c>
      <c r="AC153" s="58">
        <v>-1.8890845855966352</v>
      </c>
      <c r="AD153" s="58">
        <v>1.6500089009822481</v>
      </c>
      <c r="AO153" s="42"/>
    </row>
    <row r="154" spans="1:41" x14ac:dyDescent="0.25">
      <c r="A154" s="48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49"/>
      <c r="U154" s="48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49"/>
    </row>
  </sheetData>
  <mergeCells count="6">
    <mergeCell ref="A115:F115"/>
    <mergeCell ref="K115:P115"/>
    <mergeCell ref="A135:F135"/>
    <mergeCell ref="K135:P135"/>
    <mergeCell ref="AF115:AK115"/>
    <mergeCell ref="V115:AA1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972E1-3684-442E-A58E-DE1F5CCC44A2}">
  <dimension ref="A1:AO111"/>
  <sheetViews>
    <sheetView topLeftCell="A52" zoomScale="145" zoomScaleNormal="145" workbookViewId="0">
      <selection activeCell="H52" sqref="H52"/>
    </sheetView>
  </sheetViews>
  <sheetFormatPr defaultRowHeight="15" x14ac:dyDescent="0.25"/>
  <cols>
    <col min="1" max="1" width="11.42578125" customWidth="1"/>
    <col min="2" max="2" width="14" customWidth="1"/>
    <col min="3" max="3" width="15" customWidth="1"/>
    <col min="4" max="4" width="17.7109375" customWidth="1"/>
    <col min="5" max="5" width="15.42578125" customWidth="1"/>
    <col min="6" max="6" width="14.7109375" customWidth="1"/>
    <col min="7" max="7" width="17.42578125" customWidth="1"/>
    <col min="8" max="8" width="15.140625" customWidth="1"/>
    <col min="9" max="9" width="13.28515625" customWidth="1"/>
    <col min="10" max="10" width="14.85546875" customWidth="1"/>
    <col min="11" max="11" width="15.28515625" customWidth="1"/>
    <col min="12" max="12" width="15.7109375" customWidth="1"/>
    <col min="13" max="13" width="15.5703125" customWidth="1"/>
    <col min="14" max="14" width="13.7109375" customWidth="1"/>
    <col min="16" max="16" width="13.28515625" customWidth="1"/>
    <col min="17" max="17" width="15" customWidth="1"/>
    <col min="18" max="18" width="14.5703125" customWidth="1"/>
    <col min="19" max="19" width="13.42578125" customWidth="1"/>
    <col min="26" max="26" width="18.140625" customWidth="1"/>
    <col min="27" max="27" width="16.7109375" customWidth="1"/>
    <col min="28" max="28" width="20.7109375" customWidth="1"/>
    <col min="29" max="29" width="19" customWidth="1"/>
    <col min="30" max="30" width="16.85546875" customWidth="1"/>
  </cols>
  <sheetData>
    <row r="1" spans="1:19" x14ac:dyDescent="0.25">
      <c r="A1" s="1" t="s">
        <v>0</v>
      </c>
      <c r="F1" s="1" t="s">
        <v>19</v>
      </c>
      <c r="G1" s="3"/>
      <c r="H1" s="3"/>
      <c r="I1" s="3"/>
      <c r="K1" s="11" t="s">
        <v>20</v>
      </c>
    </row>
    <row r="2" spans="1:19" x14ac:dyDescent="0.25">
      <c r="A2" s="2" t="s">
        <v>1</v>
      </c>
      <c r="B2" s="2" t="s">
        <v>2</v>
      </c>
      <c r="C2" s="2" t="s">
        <v>3</v>
      </c>
      <c r="D2" s="2" t="s">
        <v>4</v>
      </c>
      <c r="F2" s="7" t="s">
        <v>1</v>
      </c>
      <c r="G2" s="7" t="s">
        <v>2</v>
      </c>
      <c r="H2" s="7" t="s">
        <v>3</v>
      </c>
      <c r="I2" s="7" t="s">
        <v>4</v>
      </c>
      <c r="K2" s="7" t="s">
        <v>1</v>
      </c>
      <c r="L2" s="2" t="s">
        <v>2</v>
      </c>
      <c r="M2" s="2" t="s">
        <v>3</v>
      </c>
      <c r="N2" s="2" t="s">
        <v>4</v>
      </c>
      <c r="P2" s="2" t="s">
        <v>21</v>
      </c>
      <c r="Q2" s="2" t="s">
        <v>2</v>
      </c>
      <c r="R2" s="2" t="s">
        <v>3</v>
      </c>
      <c r="S2" s="2" t="s">
        <v>4</v>
      </c>
    </row>
    <row r="3" spans="1:19" x14ac:dyDescent="0.25">
      <c r="A3" s="3" t="s">
        <v>5</v>
      </c>
      <c r="B3" s="5">
        <v>1.86943505833322</v>
      </c>
      <c r="C3" s="5">
        <v>1.9314296164550899</v>
      </c>
      <c r="D3" s="5">
        <v>9.4513218106104094E-2</v>
      </c>
      <c r="F3" s="3" t="s">
        <v>5</v>
      </c>
      <c r="G3" s="9">
        <v>0.96641125607193401</v>
      </c>
      <c r="H3" s="9">
        <v>0.28028790761501998</v>
      </c>
      <c r="I3" s="9">
        <v>3.4332675043980999E-2</v>
      </c>
      <c r="K3" s="3" t="s">
        <v>5</v>
      </c>
      <c r="L3" s="3"/>
      <c r="M3" s="5">
        <v>0.178366367675658</v>
      </c>
      <c r="N3" s="5">
        <v>5.1856335362832198E-2</v>
      </c>
      <c r="P3" s="3" t="s">
        <v>5</v>
      </c>
      <c r="Q3" s="3"/>
      <c r="R3" s="5">
        <v>0.22825064648054</v>
      </c>
      <c r="S3" s="5">
        <v>1.3430417175947699E-2</v>
      </c>
    </row>
    <row r="4" spans="1:19" x14ac:dyDescent="0.25">
      <c r="A4" s="3" t="s">
        <v>6</v>
      </c>
      <c r="B4" s="5">
        <v>1.3545954270153699</v>
      </c>
      <c r="C4" s="5">
        <v>1.0089470650494099</v>
      </c>
      <c r="D4" s="5">
        <v>4.2663094228711902E-2</v>
      </c>
      <c r="F4" s="3" t="s">
        <v>6</v>
      </c>
      <c r="G4" s="9">
        <v>0.998307366622182</v>
      </c>
      <c r="H4" s="9">
        <v>1.3951542417579801</v>
      </c>
      <c r="I4" s="9">
        <v>2.8668980226143202E-2</v>
      </c>
      <c r="K4" s="3" t="s">
        <v>6</v>
      </c>
      <c r="L4" s="5">
        <v>1.39679058575205</v>
      </c>
      <c r="M4" s="5">
        <v>0.88641107886014003</v>
      </c>
      <c r="N4" s="5">
        <v>0.103368750113241</v>
      </c>
      <c r="P4" s="3" t="s">
        <v>6</v>
      </c>
      <c r="Q4" s="14">
        <v>0.96435758092830903</v>
      </c>
      <c r="R4" s="6">
        <v>-0.28959025014214101</v>
      </c>
      <c r="S4" s="6">
        <v>-1.61778645652975E-2</v>
      </c>
    </row>
    <row r="5" spans="1:19" x14ac:dyDescent="0.25">
      <c r="A5" s="3" t="s">
        <v>7</v>
      </c>
      <c r="B5" s="4"/>
      <c r="C5" s="4"/>
      <c r="D5" s="4"/>
      <c r="F5" s="3" t="s">
        <v>7</v>
      </c>
      <c r="G5" s="8"/>
      <c r="H5" s="8"/>
      <c r="I5" s="8"/>
      <c r="K5" s="3" t="s">
        <v>7</v>
      </c>
      <c r="L5" s="5">
        <v>1.2108318271354701</v>
      </c>
      <c r="M5" s="5">
        <v>0.92629163740877796</v>
      </c>
      <c r="N5" s="5">
        <v>0.11077055296162799</v>
      </c>
      <c r="P5" s="3" t="s">
        <v>7</v>
      </c>
      <c r="Q5" s="14">
        <v>0.98302221968248604</v>
      </c>
      <c r="R5" s="6">
        <v>-0.31071591767089402</v>
      </c>
      <c r="S5" s="6">
        <v>-3.7834846370905402E-3</v>
      </c>
    </row>
    <row r="6" spans="1:19" x14ac:dyDescent="0.25">
      <c r="A6" s="3" t="s">
        <v>8</v>
      </c>
      <c r="B6" s="4"/>
      <c r="C6" s="4"/>
      <c r="D6" s="4"/>
      <c r="F6" s="3" t="s">
        <v>8</v>
      </c>
      <c r="G6" s="8"/>
      <c r="H6" s="8"/>
      <c r="I6" s="8"/>
      <c r="K6" s="3" t="s">
        <v>8</v>
      </c>
      <c r="L6" s="5">
        <v>1.14568818263897</v>
      </c>
      <c r="M6" s="5">
        <v>0.723568252950335</v>
      </c>
      <c r="N6" s="5">
        <v>1.0650915621547401E-2</v>
      </c>
      <c r="P6" s="3" t="s">
        <v>8</v>
      </c>
      <c r="Q6" s="14">
        <v>0.99703728594241603</v>
      </c>
      <c r="R6" s="6">
        <v>-0.72341186519112299</v>
      </c>
      <c r="S6" s="5">
        <v>6.4581353214806597E-2</v>
      </c>
    </row>
    <row r="7" spans="1:19" x14ac:dyDescent="0.25">
      <c r="A7" s="3" t="s">
        <v>9</v>
      </c>
      <c r="B7" s="4"/>
      <c r="C7" s="4"/>
      <c r="D7" s="4"/>
      <c r="F7" s="3" t="s">
        <v>9</v>
      </c>
      <c r="G7" s="8"/>
      <c r="H7" s="8"/>
      <c r="I7" s="8"/>
      <c r="K7" s="3" t="s">
        <v>9</v>
      </c>
      <c r="L7" s="5">
        <v>1.10273002217056</v>
      </c>
      <c r="M7" s="5">
        <v>0.92947006080395</v>
      </c>
      <c r="N7" s="6">
        <v>-2.2683422982125001E-2</v>
      </c>
      <c r="P7" s="3" t="s">
        <v>9</v>
      </c>
      <c r="Q7" s="13">
        <v>1.05414106800948</v>
      </c>
      <c r="R7" s="5">
        <v>0.54135397831396403</v>
      </c>
      <c r="S7" s="5">
        <v>6.1895687016862502E-2</v>
      </c>
    </row>
    <row r="8" spans="1:19" x14ac:dyDescent="0.25">
      <c r="A8" s="3" t="s">
        <v>10</v>
      </c>
      <c r="B8" s="5">
        <v>1.31746197777344</v>
      </c>
      <c r="C8" s="5">
        <v>0.66698565105034602</v>
      </c>
      <c r="D8" s="5">
        <v>8.8732929175135894E-2</v>
      </c>
      <c r="F8" s="3" t="s">
        <v>10</v>
      </c>
      <c r="G8" s="9">
        <v>1.01982556926034</v>
      </c>
      <c r="H8" s="9">
        <v>0.38831940167197898</v>
      </c>
      <c r="I8" s="9">
        <v>1.20306787922476E-2</v>
      </c>
      <c r="K8" s="3" t="s">
        <v>10</v>
      </c>
      <c r="L8" s="5">
        <v>1.2576523908335999</v>
      </c>
      <c r="M8" s="5">
        <v>0.77855192606860901</v>
      </c>
      <c r="N8" s="5">
        <v>0.15621819275209001</v>
      </c>
      <c r="P8" s="3" t="s">
        <v>10</v>
      </c>
      <c r="Q8" s="13">
        <v>1.00376784280544</v>
      </c>
      <c r="R8" s="6">
        <v>-0.28173278371114102</v>
      </c>
      <c r="S8" s="5">
        <v>2.95836818188689E-2</v>
      </c>
    </row>
    <row r="9" spans="1:19" x14ac:dyDescent="0.25">
      <c r="A9" s="3" t="s">
        <v>11</v>
      </c>
      <c r="B9" s="6">
        <v>0.89735303995633098</v>
      </c>
      <c r="C9" s="5">
        <v>0.19762137224995299</v>
      </c>
      <c r="D9" s="6">
        <v>-1.9463558010346702E-2</v>
      </c>
      <c r="F9" s="3" t="s">
        <v>11</v>
      </c>
      <c r="G9" s="9">
        <v>1.0105385292601801</v>
      </c>
      <c r="H9" s="9">
        <v>0.597784224122066</v>
      </c>
      <c r="I9" s="9">
        <v>2.7386597361713599E-2</v>
      </c>
      <c r="K9" s="3" t="s">
        <v>11</v>
      </c>
      <c r="L9" s="5">
        <v>1.24807759229999</v>
      </c>
      <c r="M9" s="5">
        <v>0.55577143716833499</v>
      </c>
      <c r="N9" s="5">
        <v>0.15071577677020101</v>
      </c>
      <c r="P9" s="3" t="s">
        <v>11</v>
      </c>
      <c r="Q9" s="14">
        <v>0.965580440673389</v>
      </c>
      <c r="R9" s="6">
        <v>-0.28388728833714599</v>
      </c>
      <c r="S9" s="6">
        <v>-5.4892758010415703E-2</v>
      </c>
    </row>
    <row r="10" spans="1:19" x14ac:dyDescent="0.25">
      <c r="A10" s="3" t="s">
        <v>12</v>
      </c>
      <c r="B10" s="5">
        <v>1.39880081037808</v>
      </c>
      <c r="C10" s="5">
        <v>0.54807771119966198</v>
      </c>
      <c r="D10" s="5">
        <v>0.10415722716452799</v>
      </c>
      <c r="F10" s="3" t="s">
        <v>12</v>
      </c>
      <c r="G10" s="9">
        <v>1.04413498578157</v>
      </c>
      <c r="H10" s="9">
        <v>0.92934562720262803</v>
      </c>
      <c r="I10" s="9">
        <v>2.8615745110634201E-2</v>
      </c>
      <c r="K10" s="3" t="s">
        <v>12</v>
      </c>
      <c r="L10" s="5">
        <v>1.42877693896201</v>
      </c>
      <c r="M10" s="5">
        <v>0.33551375674123601</v>
      </c>
      <c r="N10" s="5">
        <v>5.5397551503622099E-2</v>
      </c>
      <c r="P10" s="3" t="s">
        <v>12</v>
      </c>
      <c r="Q10" s="13">
        <v>1.0368691348627199</v>
      </c>
      <c r="R10" s="6">
        <v>-0.167176048352111</v>
      </c>
      <c r="S10" s="5">
        <v>8.8641812543785899E-3</v>
      </c>
    </row>
    <row r="11" spans="1:19" x14ac:dyDescent="0.25">
      <c r="A11" s="3" t="s">
        <v>13</v>
      </c>
      <c r="B11" s="5">
        <v>1.2210038373368299</v>
      </c>
      <c r="C11" s="5">
        <v>0.10106112243990099</v>
      </c>
      <c r="D11" s="5">
        <v>4.66251429291673E-2</v>
      </c>
      <c r="F11" s="3" t="s">
        <v>13</v>
      </c>
      <c r="G11" s="9">
        <v>1.04959681992682</v>
      </c>
      <c r="H11" s="10">
        <v>-0.33094957948560899</v>
      </c>
      <c r="I11" s="9">
        <v>4.4113621235337297E-2</v>
      </c>
      <c r="K11" s="3" t="s">
        <v>13</v>
      </c>
      <c r="L11" s="5">
        <v>1.33941755807892</v>
      </c>
      <c r="M11" s="5">
        <v>0.63731372986403501</v>
      </c>
      <c r="N11" s="5">
        <v>6.9883057908481996E-2</v>
      </c>
      <c r="P11" s="3" t="s">
        <v>13</v>
      </c>
      <c r="Q11" s="14">
        <v>0.98011971152962396</v>
      </c>
      <c r="R11" s="6">
        <v>-0.234414236192791</v>
      </c>
      <c r="S11" s="5">
        <v>1.32778322661357E-2</v>
      </c>
    </row>
    <row r="12" spans="1:19" x14ac:dyDescent="0.25">
      <c r="A12" s="3" t="s">
        <v>14</v>
      </c>
      <c r="B12" s="5">
        <v>1.5249018262283101</v>
      </c>
      <c r="C12" s="5">
        <v>0.50902572287082404</v>
      </c>
      <c r="D12" s="5">
        <v>9.0894558490112708E-3</v>
      </c>
      <c r="F12" s="3" t="s">
        <v>14</v>
      </c>
      <c r="G12" s="9">
        <v>0.97400899474341096</v>
      </c>
      <c r="H12" s="10">
        <v>-0.27375631737886102</v>
      </c>
      <c r="I12" s="10">
        <v>-8.0536265843332393E-3</v>
      </c>
      <c r="K12" s="3" t="s">
        <v>14</v>
      </c>
      <c r="L12" s="5">
        <v>1.3769164984553499</v>
      </c>
      <c r="M12" s="6">
        <v>-0.44248745305980902</v>
      </c>
      <c r="N12" s="5">
        <v>7.8645648239850305E-2</v>
      </c>
      <c r="P12" s="3" t="s">
        <v>14</v>
      </c>
      <c r="Q12" s="14">
        <v>0.80472452573481301</v>
      </c>
      <c r="R12" s="6">
        <v>-0.91543606234553399</v>
      </c>
      <c r="S12" s="6">
        <v>-6.0975544853349099E-2</v>
      </c>
    </row>
    <row r="13" spans="1:19" x14ac:dyDescent="0.25">
      <c r="A13" s="3" t="s">
        <v>15</v>
      </c>
      <c r="B13" s="4"/>
      <c r="C13" s="4"/>
      <c r="D13" s="4"/>
      <c r="F13" s="3" t="s">
        <v>15</v>
      </c>
      <c r="G13" s="8"/>
      <c r="H13" s="8"/>
      <c r="I13" s="8"/>
      <c r="K13" s="3" t="s">
        <v>15</v>
      </c>
      <c r="L13" s="5">
        <v>1.66488624253968</v>
      </c>
      <c r="M13" s="5">
        <v>0.73952445342362605</v>
      </c>
      <c r="N13" s="5">
        <v>0.17832892113485599</v>
      </c>
      <c r="P13" s="3" t="s">
        <v>15</v>
      </c>
      <c r="Q13" s="13">
        <v>1.07122215244959</v>
      </c>
      <c r="R13" s="6">
        <v>-0.11116405161722299</v>
      </c>
      <c r="S13" s="5">
        <v>4.2081062239471598E-2</v>
      </c>
    </row>
    <row r="14" spans="1:19" x14ac:dyDescent="0.25">
      <c r="A14" s="3" t="s">
        <v>16</v>
      </c>
      <c r="B14" s="4"/>
      <c r="C14" s="4"/>
      <c r="D14" s="4"/>
      <c r="F14" s="3" t="s">
        <v>16</v>
      </c>
      <c r="G14" s="8"/>
      <c r="H14" s="8"/>
      <c r="I14" s="8"/>
      <c r="K14" s="3" t="s">
        <v>16</v>
      </c>
      <c r="L14" s="5">
        <v>1.1538999764416</v>
      </c>
      <c r="M14" s="5">
        <v>9.3645385178040705E-2</v>
      </c>
      <c r="N14" s="5">
        <v>2.1496979213356301E-3</v>
      </c>
      <c r="P14" s="3" t="s">
        <v>16</v>
      </c>
      <c r="Q14" s="14">
        <v>0.96842975873578097</v>
      </c>
      <c r="R14" s="6">
        <v>-0.44122459346906301</v>
      </c>
      <c r="S14" s="6">
        <v>-1.77749404385871E-2</v>
      </c>
    </row>
    <row r="15" spans="1:19" x14ac:dyDescent="0.25">
      <c r="A15" s="3" t="s">
        <v>17</v>
      </c>
      <c r="B15" s="5">
        <v>1.36678278361715</v>
      </c>
      <c r="C15" s="5">
        <v>0.463447965306029</v>
      </c>
      <c r="D15" s="5">
        <v>2.0373962034653699E-2</v>
      </c>
      <c r="F15" s="3" t="s">
        <v>17</v>
      </c>
      <c r="G15" s="9">
        <v>1.03922347944993</v>
      </c>
      <c r="H15" s="9">
        <v>0.59399199353963394</v>
      </c>
      <c r="I15" s="9">
        <v>2.7450804091866201E-2</v>
      </c>
      <c r="K15" s="3" t="s">
        <v>17</v>
      </c>
      <c r="L15" s="5">
        <v>1.5749763159783401</v>
      </c>
      <c r="M15" s="5">
        <v>0.78100360785877099</v>
      </c>
      <c r="N15" s="5">
        <v>0.101236914763633</v>
      </c>
      <c r="P15" s="3" t="s">
        <v>17</v>
      </c>
      <c r="Q15" s="14">
        <v>0.99721998555050795</v>
      </c>
      <c r="R15" s="6">
        <v>-0.221642867808126</v>
      </c>
      <c r="S15" s="5">
        <v>3.08855730575289E-3</v>
      </c>
    </row>
    <row r="16" spans="1:19" x14ac:dyDescent="0.25">
      <c r="A16" s="3" t="s">
        <v>18</v>
      </c>
      <c r="B16" s="4"/>
      <c r="C16" s="4"/>
      <c r="D16" s="4"/>
      <c r="F16" s="3" t="s">
        <v>18</v>
      </c>
      <c r="G16" s="8"/>
      <c r="H16" s="8"/>
      <c r="I16" s="8"/>
      <c r="K16" s="3" t="s">
        <v>18</v>
      </c>
      <c r="L16" s="5">
        <v>1.3735151389442699</v>
      </c>
      <c r="M16" s="5">
        <v>0.76865077228085099</v>
      </c>
      <c r="N16" s="5">
        <v>0.107400232693555</v>
      </c>
      <c r="P16" s="3" t="s">
        <v>18</v>
      </c>
      <c r="Q16" s="13">
        <v>1.0088578932758001</v>
      </c>
      <c r="R16" s="5">
        <v>0.120506313986007</v>
      </c>
      <c r="S16" s="6">
        <v>-5.3081166180475401E-3</v>
      </c>
    </row>
    <row r="18" spans="1:11" ht="38.25" x14ac:dyDescent="0.25">
      <c r="C18" s="17" t="s">
        <v>24</v>
      </c>
      <c r="D18" s="17" t="s">
        <v>31</v>
      </c>
      <c r="E18" s="17" t="s">
        <v>32</v>
      </c>
      <c r="F18" s="17" t="s">
        <v>25</v>
      </c>
      <c r="G18" s="17" t="s">
        <v>26</v>
      </c>
      <c r="H18" s="17" t="s">
        <v>27</v>
      </c>
      <c r="I18" s="17" t="s">
        <v>28</v>
      </c>
      <c r="J18" s="18" t="s">
        <v>29</v>
      </c>
      <c r="K18" s="18" t="s">
        <v>30</v>
      </c>
    </row>
    <row r="19" spans="1:11" x14ac:dyDescent="0.25">
      <c r="A19" s="3" t="s">
        <v>22</v>
      </c>
      <c r="B19" s="3" t="s">
        <v>5</v>
      </c>
      <c r="C19" s="8">
        <v>14.086130000000001</v>
      </c>
      <c r="D19" s="3"/>
      <c r="E19" s="3"/>
      <c r="F19" s="15"/>
      <c r="I19" s="16"/>
    </row>
    <row r="20" spans="1:11" x14ac:dyDescent="0.25">
      <c r="A20" s="3" t="s">
        <v>22</v>
      </c>
      <c r="B20" s="3" t="s">
        <v>6</v>
      </c>
      <c r="C20" s="8">
        <v>23.435036</v>
      </c>
      <c r="D20" s="3"/>
      <c r="E20" s="3">
        <v>22</v>
      </c>
      <c r="F20" s="3"/>
      <c r="I20" s="4"/>
    </row>
    <row r="21" spans="1:11" x14ac:dyDescent="0.25">
      <c r="A21" s="3" t="s">
        <v>22</v>
      </c>
      <c r="B21" s="3" t="s">
        <v>7</v>
      </c>
      <c r="C21" s="8">
        <v>16.113236000000001</v>
      </c>
      <c r="D21" s="8">
        <v>2.4954469283408098</v>
      </c>
      <c r="E21" s="3">
        <v>21.75</v>
      </c>
      <c r="F21" s="3"/>
      <c r="G21" s="3">
        <v>118.22733427999999</v>
      </c>
      <c r="H21" s="3">
        <v>60.710430000000002</v>
      </c>
      <c r="I21" s="4">
        <v>1.0078290838208943</v>
      </c>
      <c r="J21" s="8">
        <v>1.9432258375425799</v>
      </c>
      <c r="K21" s="8">
        <v>-0.14571780115724001</v>
      </c>
    </row>
    <row r="22" spans="1:11" x14ac:dyDescent="0.25">
      <c r="A22" s="3" t="s">
        <v>22</v>
      </c>
      <c r="B22" s="3" t="s">
        <v>8</v>
      </c>
      <c r="C22" s="8">
        <v>12.133376200000001</v>
      </c>
      <c r="D22" s="8">
        <v>4.9705418000804897</v>
      </c>
      <c r="E22" s="3">
        <v>48.5</v>
      </c>
      <c r="F22" s="3">
        <v>48.5</v>
      </c>
      <c r="G22" s="3">
        <v>108.51115272</v>
      </c>
      <c r="H22" s="3">
        <v>45.71622</v>
      </c>
      <c r="I22" s="4">
        <v>1.008246697022094</v>
      </c>
      <c r="J22" s="8">
        <v>2.3768784113539301</v>
      </c>
      <c r="K22" s="8">
        <v>0.15611461722769501</v>
      </c>
    </row>
    <row r="23" spans="1:11" x14ac:dyDescent="0.25">
      <c r="A23" s="3" t="s">
        <v>22</v>
      </c>
      <c r="B23" s="3" t="s">
        <v>9</v>
      </c>
      <c r="C23" s="8">
        <v>13.1930706</v>
      </c>
      <c r="D23" s="8">
        <v>18.738059749368901</v>
      </c>
      <c r="E23" s="3">
        <v>28.75</v>
      </c>
      <c r="F23" s="3">
        <v>28.75</v>
      </c>
      <c r="G23" s="3">
        <v>106.97060942</v>
      </c>
      <c r="H23" s="3">
        <v>46.063560000000003</v>
      </c>
      <c r="I23" s="4">
        <v>1.0490052443540898</v>
      </c>
      <c r="J23" s="8">
        <v>70.349925179505803</v>
      </c>
      <c r="K23" s="8">
        <v>0.29322882322716898</v>
      </c>
    </row>
    <row r="24" spans="1:11" x14ac:dyDescent="0.25">
      <c r="A24" s="3" t="s">
        <v>22</v>
      </c>
      <c r="B24" s="3" t="s">
        <v>10</v>
      </c>
      <c r="C24" s="8">
        <v>9.7677034200000001</v>
      </c>
      <c r="D24" s="8">
        <v>8.1761484496582497</v>
      </c>
      <c r="E24" s="3">
        <v>21</v>
      </c>
      <c r="F24" s="3">
        <v>21</v>
      </c>
      <c r="G24" s="3">
        <v>113.72040256</v>
      </c>
      <c r="H24" s="3">
        <v>47.354999999999997</v>
      </c>
      <c r="I24" s="4">
        <v>1.0119508062412015</v>
      </c>
      <c r="J24" s="8">
        <v>5.4523947827090398</v>
      </c>
      <c r="K24" s="8">
        <v>0.19059894727801999</v>
      </c>
    </row>
    <row r="25" spans="1:11" x14ac:dyDescent="0.25">
      <c r="A25" s="3" t="s">
        <v>22</v>
      </c>
      <c r="B25" s="3" t="s">
        <v>11</v>
      </c>
      <c r="C25" s="8">
        <v>15.528736</v>
      </c>
      <c r="D25" s="8"/>
      <c r="E25" s="3">
        <v>21.5</v>
      </c>
      <c r="F25" s="3"/>
      <c r="G25" s="3"/>
      <c r="H25" s="3"/>
      <c r="I25" s="4"/>
      <c r="J25" s="8"/>
      <c r="K25" s="8"/>
    </row>
    <row r="26" spans="1:11" x14ac:dyDescent="0.25">
      <c r="A26" s="3" t="s">
        <v>22</v>
      </c>
      <c r="B26" s="3" t="s">
        <v>12</v>
      </c>
      <c r="C26" s="8">
        <v>14.369724039999999</v>
      </c>
      <c r="D26" s="8">
        <v>19.594840851392899</v>
      </c>
      <c r="E26" s="3">
        <v>75</v>
      </c>
      <c r="F26" s="3">
        <v>96.5</v>
      </c>
      <c r="G26" s="3">
        <v>112.66319882000001</v>
      </c>
      <c r="H26" s="3">
        <v>101.105</v>
      </c>
      <c r="I26" s="4">
        <v>1.0239451393319936</v>
      </c>
      <c r="J26" s="8">
        <v>33.895949402833203</v>
      </c>
      <c r="K26" s="8">
        <v>0.499861288181496</v>
      </c>
    </row>
    <row r="27" spans="1:11" x14ac:dyDescent="0.25">
      <c r="A27" s="3" t="s">
        <v>22</v>
      </c>
      <c r="B27" s="3" t="s">
        <v>13</v>
      </c>
      <c r="C27" s="8">
        <v>19.197853511999998</v>
      </c>
      <c r="D27" s="8">
        <v>17.2552427011953</v>
      </c>
      <c r="E27" s="3">
        <v>47.5</v>
      </c>
      <c r="F27" s="3">
        <v>47.5</v>
      </c>
      <c r="G27" s="3">
        <v>114.89097618</v>
      </c>
      <c r="H27" s="3">
        <v>44.466000000000001</v>
      </c>
      <c r="I27" s="4">
        <v>1.0275460447393339</v>
      </c>
      <c r="J27" s="8">
        <v>32.177431699139497</v>
      </c>
      <c r="K27" s="8">
        <v>0.40695810522245701</v>
      </c>
    </row>
    <row r="28" spans="1:11" x14ac:dyDescent="0.25">
      <c r="A28" s="3" t="s">
        <v>22</v>
      </c>
      <c r="B28" s="3" t="s">
        <v>14</v>
      </c>
      <c r="C28" s="8">
        <v>45.413344000000002</v>
      </c>
      <c r="D28" s="8">
        <v>17.024424898784201</v>
      </c>
      <c r="E28" s="3">
        <v>23.5</v>
      </c>
      <c r="F28" s="3">
        <v>23.5</v>
      </c>
      <c r="G28" s="3">
        <v>116.55531655999999</v>
      </c>
      <c r="H28" s="3">
        <v>47.503</v>
      </c>
      <c r="I28" s="4">
        <v>1.0275826446035865</v>
      </c>
      <c r="J28" s="8">
        <v>31.253302872972</v>
      </c>
      <c r="K28" s="8">
        <v>5.4056282725128302E-2</v>
      </c>
    </row>
    <row r="29" spans="1:11" x14ac:dyDescent="0.25">
      <c r="A29" s="3" t="s">
        <v>22</v>
      </c>
      <c r="B29" s="3" t="s">
        <v>15</v>
      </c>
      <c r="C29" s="8">
        <v>26.537703021999999</v>
      </c>
      <c r="D29" s="8"/>
      <c r="E29" s="3">
        <v>27.75</v>
      </c>
      <c r="F29" s="3"/>
      <c r="G29" s="3"/>
      <c r="H29" s="3"/>
      <c r="I29" s="4"/>
      <c r="J29" s="8"/>
      <c r="K29" s="8"/>
    </row>
    <row r="30" spans="1:11" x14ac:dyDescent="0.25">
      <c r="A30" s="3" t="s">
        <v>22</v>
      </c>
      <c r="B30" s="3" t="s">
        <v>16</v>
      </c>
      <c r="C30" s="8">
        <v>13.041978800000001</v>
      </c>
      <c r="D30" s="8">
        <v>15.1069524712688</v>
      </c>
      <c r="E30" s="3">
        <v>20</v>
      </c>
      <c r="F30" s="3">
        <v>47.75</v>
      </c>
      <c r="G30" s="3">
        <v>118.40602251999999</v>
      </c>
      <c r="H30" s="3">
        <v>54.055999999999997</v>
      </c>
      <c r="I30" s="4">
        <v>1.0572093304532362</v>
      </c>
      <c r="J30" s="8">
        <v>42.7547044117564</v>
      </c>
      <c r="K30" s="8">
        <v>0.26690920736687102</v>
      </c>
    </row>
    <row r="31" spans="1:11" x14ac:dyDescent="0.25">
      <c r="A31" s="3" t="s">
        <v>22</v>
      </c>
      <c r="B31" s="3" t="s">
        <v>17</v>
      </c>
      <c r="C31" s="8">
        <v>27.244893999999999</v>
      </c>
      <c r="D31" s="8">
        <v>21.9579587943592</v>
      </c>
      <c r="E31" s="3">
        <v>23.75</v>
      </c>
      <c r="F31" s="3">
        <v>23.75</v>
      </c>
      <c r="G31" s="3">
        <v>115.75512236</v>
      </c>
      <c r="H31" s="3">
        <v>53.783999999999999</v>
      </c>
      <c r="I31" s="4">
        <v>1.111235100018195</v>
      </c>
      <c r="J31" s="8">
        <v>175.86248095131899</v>
      </c>
      <c r="K31" s="8">
        <v>0.45125668170602201</v>
      </c>
    </row>
    <row r="32" spans="1:11" x14ac:dyDescent="0.25">
      <c r="A32" s="3" t="s">
        <v>22</v>
      </c>
      <c r="B32" s="3" t="s">
        <v>18</v>
      </c>
      <c r="C32" s="8">
        <v>16.4784592</v>
      </c>
      <c r="D32" s="8">
        <v>16.640165980770899</v>
      </c>
      <c r="E32" s="3">
        <v>23.5</v>
      </c>
      <c r="F32" s="3">
        <v>23.5</v>
      </c>
      <c r="G32" s="3">
        <v>121.12197168</v>
      </c>
      <c r="H32" s="3">
        <v>53.783999999999999</v>
      </c>
      <c r="I32" s="4">
        <v>1.0519758315193652</v>
      </c>
      <c r="J32" s="8">
        <v>52.638565780695899</v>
      </c>
      <c r="K32" s="8">
        <v>0.51242235468873398</v>
      </c>
    </row>
    <row r="36" spans="1:10" x14ac:dyDescent="0.25">
      <c r="A36" s="1"/>
    </row>
    <row r="37" spans="1:10" ht="25.5" x14ac:dyDescent="0.25">
      <c r="A37" s="2" t="s">
        <v>1</v>
      </c>
      <c r="B37" s="2" t="s">
        <v>33</v>
      </c>
      <c r="C37" s="2" t="s">
        <v>34</v>
      </c>
      <c r="D37" s="2" t="s">
        <v>35</v>
      </c>
      <c r="E37" s="2" t="s">
        <v>36</v>
      </c>
      <c r="F37" s="18" t="s">
        <v>29</v>
      </c>
      <c r="G37" s="17" t="s">
        <v>37</v>
      </c>
      <c r="H37" s="17" t="s">
        <v>31</v>
      </c>
      <c r="I37" s="17" t="s">
        <v>28</v>
      </c>
      <c r="J37" s="18" t="s">
        <v>30</v>
      </c>
    </row>
    <row r="38" spans="1:10" x14ac:dyDescent="0.25">
      <c r="A38" s="3" t="s">
        <v>5</v>
      </c>
      <c r="B38" s="5">
        <v>9.4513218106104094E-2</v>
      </c>
      <c r="C38" s="9">
        <v>3.4332675043980999E-2</v>
      </c>
      <c r="D38" s="5">
        <v>5.1856335362832198E-2</v>
      </c>
      <c r="E38" s="5">
        <v>1.3430417175947699E-2</v>
      </c>
      <c r="G38" s="15"/>
      <c r="H38" s="3"/>
      <c r="I38" s="16"/>
    </row>
    <row r="39" spans="1:10" x14ac:dyDescent="0.25">
      <c r="A39" s="3" t="s">
        <v>6</v>
      </c>
      <c r="B39" s="5">
        <v>4.2663094228711902E-2</v>
      </c>
      <c r="C39" s="9">
        <v>2.8668980226143202E-2</v>
      </c>
      <c r="D39" s="5">
        <v>0.103368750113241</v>
      </c>
      <c r="E39" s="6">
        <v>-1.61778645652975E-2</v>
      </c>
      <c r="G39" s="3"/>
      <c r="H39" s="3"/>
      <c r="I39" s="4"/>
    </row>
    <row r="40" spans="1:10" x14ac:dyDescent="0.25">
      <c r="A40" s="3" t="s">
        <v>7</v>
      </c>
      <c r="B40" s="4"/>
      <c r="C40" s="8"/>
      <c r="D40" s="5">
        <v>0.11077055296162799</v>
      </c>
      <c r="E40" s="6">
        <v>-3.7834846370905402E-3</v>
      </c>
      <c r="F40" s="8">
        <v>1.9432258375425799</v>
      </c>
      <c r="G40" s="3">
        <v>21.75</v>
      </c>
      <c r="H40" s="8">
        <v>2.4954469283408098</v>
      </c>
      <c r="I40" s="4">
        <v>1.0078290838208943</v>
      </c>
      <c r="J40" s="8">
        <v>-0.14571780115724001</v>
      </c>
    </row>
    <row r="41" spans="1:10" x14ac:dyDescent="0.25">
      <c r="A41" s="3" t="s">
        <v>8</v>
      </c>
      <c r="B41" s="4"/>
      <c r="C41" s="8"/>
      <c r="D41" s="5">
        <v>1.0650915621547401E-2</v>
      </c>
      <c r="E41" s="5">
        <v>6.4581353214806597E-2</v>
      </c>
      <c r="F41" s="8">
        <v>2.3768784113539301</v>
      </c>
      <c r="G41" s="3">
        <v>48.5</v>
      </c>
      <c r="H41" s="8">
        <v>4.9705418000804897</v>
      </c>
      <c r="I41" s="4">
        <v>1.008246697022094</v>
      </c>
      <c r="J41" s="8">
        <v>0.15611461722769501</v>
      </c>
    </row>
    <row r="42" spans="1:10" x14ac:dyDescent="0.25">
      <c r="A42" s="3" t="s">
        <v>9</v>
      </c>
      <c r="B42" s="4"/>
      <c r="C42" s="8"/>
      <c r="D42" s="6">
        <v>-2.2683422982125001E-2</v>
      </c>
      <c r="E42" s="5">
        <v>6.1895687016862502E-2</v>
      </c>
      <c r="F42" s="8">
        <v>70.349925179505803</v>
      </c>
      <c r="G42" s="3">
        <v>28.75</v>
      </c>
      <c r="H42" s="8">
        <v>18.738059749368901</v>
      </c>
      <c r="I42" s="4">
        <v>1.0490052443540898</v>
      </c>
      <c r="J42" s="8">
        <v>0.29322882322716898</v>
      </c>
    </row>
    <row r="43" spans="1:10" x14ac:dyDescent="0.25">
      <c r="A43" s="3" t="s">
        <v>10</v>
      </c>
      <c r="B43" s="5">
        <v>8.8732929175135894E-2</v>
      </c>
      <c r="C43" s="9">
        <v>1.20306787922476E-2</v>
      </c>
      <c r="D43" s="5">
        <v>0.15621819275209001</v>
      </c>
      <c r="E43" s="5">
        <v>2.95836818188689E-2</v>
      </c>
      <c r="F43" s="8">
        <v>5.4523947827090398</v>
      </c>
      <c r="G43" s="3">
        <v>21</v>
      </c>
      <c r="H43" s="8">
        <v>8.1761484496582497</v>
      </c>
      <c r="I43" s="4">
        <v>1.0119508062412015</v>
      </c>
      <c r="J43" s="8">
        <v>0.19059894727801999</v>
      </c>
    </row>
    <row r="44" spans="1:10" x14ac:dyDescent="0.25">
      <c r="A44" s="3" t="s">
        <v>11</v>
      </c>
      <c r="B44" s="6">
        <v>-1.9463558010346702E-2</v>
      </c>
      <c r="C44" s="9">
        <v>2.7386597361713599E-2</v>
      </c>
      <c r="D44" s="5">
        <v>0.15071577677020101</v>
      </c>
      <c r="E44" s="6">
        <v>-5.4892758010415703E-2</v>
      </c>
      <c r="F44" s="8"/>
      <c r="G44" s="3"/>
      <c r="H44" s="8"/>
      <c r="I44" s="4"/>
      <c r="J44" s="8"/>
    </row>
    <row r="45" spans="1:10" x14ac:dyDescent="0.25">
      <c r="A45" s="3" t="s">
        <v>12</v>
      </c>
      <c r="B45" s="5">
        <v>0.10415722716452799</v>
      </c>
      <c r="C45" s="9">
        <v>2.8615745110634201E-2</v>
      </c>
      <c r="D45" s="5">
        <v>5.5397551503622099E-2</v>
      </c>
      <c r="E45" s="5">
        <v>8.8641812543785899E-3</v>
      </c>
      <c r="F45" s="8">
        <v>33.895949402833203</v>
      </c>
      <c r="G45" s="3">
        <v>96.5</v>
      </c>
      <c r="H45" s="8">
        <v>19.594840851392899</v>
      </c>
      <c r="I45" s="4">
        <v>1.0239451393319936</v>
      </c>
      <c r="J45" s="8">
        <v>0.499861288181496</v>
      </c>
    </row>
    <row r="46" spans="1:10" x14ac:dyDescent="0.25">
      <c r="A46" s="3" t="s">
        <v>13</v>
      </c>
      <c r="B46" s="5">
        <v>4.66251429291673E-2</v>
      </c>
      <c r="C46" s="9">
        <v>4.4113621235337297E-2</v>
      </c>
      <c r="D46" s="5">
        <v>6.9883057908481996E-2</v>
      </c>
      <c r="E46" s="5">
        <v>1.32778322661357E-2</v>
      </c>
      <c r="F46" s="8">
        <v>32.177431699139497</v>
      </c>
      <c r="G46" s="3">
        <v>47.5</v>
      </c>
      <c r="H46" s="8">
        <v>17.2552427011953</v>
      </c>
      <c r="I46" s="4">
        <v>1.0275460447393339</v>
      </c>
      <c r="J46" s="8">
        <v>0.40695810522245701</v>
      </c>
    </row>
    <row r="47" spans="1:10" x14ac:dyDescent="0.25">
      <c r="A47" s="3" t="s">
        <v>14</v>
      </c>
      <c r="B47" s="5">
        <v>9.0894558490112708E-3</v>
      </c>
      <c r="C47" s="10">
        <v>-8.0536265843332393E-3</v>
      </c>
      <c r="D47" s="5">
        <v>7.8645648239850305E-2</v>
      </c>
      <c r="E47" s="6">
        <v>-6.0975544853349099E-2</v>
      </c>
      <c r="F47" s="8">
        <v>31.253302872972</v>
      </c>
      <c r="G47" s="3">
        <v>23.5</v>
      </c>
      <c r="H47" s="8">
        <v>17.024424898784201</v>
      </c>
      <c r="I47" s="4">
        <v>1.0275826446035865</v>
      </c>
      <c r="J47" s="8">
        <v>5.4056282725128302E-2</v>
      </c>
    </row>
    <row r="48" spans="1:10" x14ac:dyDescent="0.25">
      <c r="A48" s="3" t="s">
        <v>15</v>
      </c>
      <c r="B48" s="4"/>
      <c r="C48" s="8"/>
      <c r="D48" s="5">
        <v>0.17832892113485599</v>
      </c>
      <c r="E48" s="5">
        <v>4.2081062239471598E-2</v>
      </c>
      <c r="F48" s="8"/>
      <c r="G48" s="3"/>
      <c r="H48" s="8"/>
      <c r="I48" s="4"/>
      <c r="J48" s="8"/>
    </row>
    <row r="49" spans="1:30" x14ac:dyDescent="0.25">
      <c r="A49" s="3" t="s">
        <v>16</v>
      </c>
      <c r="B49" s="4"/>
      <c r="C49" s="8"/>
      <c r="D49" s="5">
        <v>2.1496979213356301E-3</v>
      </c>
      <c r="E49" s="6">
        <v>-1.77749404385871E-2</v>
      </c>
      <c r="F49" s="8">
        <v>42.7547044117564</v>
      </c>
      <c r="G49" s="3">
        <v>47.75</v>
      </c>
      <c r="H49" s="8">
        <v>15.1069524712688</v>
      </c>
      <c r="I49" s="4">
        <v>1.0572093304532362</v>
      </c>
      <c r="J49" s="8">
        <v>0.26690920736687102</v>
      </c>
    </row>
    <row r="50" spans="1:30" x14ac:dyDescent="0.25">
      <c r="A50" s="3" t="s">
        <v>17</v>
      </c>
      <c r="B50" s="5">
        <v>2.0373962034653699E-2</v>
      </c>
      <c r="C50" s="9">
        <v>2.7450804091866201E-2</v>
      </c>
      <c r="D50" s="5">
        <v>0.101236914763633</v>
      </c>
      <c r="E50" s="5">
        <v>3.08855730575289E-3</v>
      </c>
      <c r="F50" s="8">
        <v>175.86248095131899</v>
      </c>
      <c r="G50" s="3">
        <v>23.75</v>
      </c>
      <c r="H50" s="8">
        <v>21.9579587943592</v>
      </c>
      <c r="I50" s="4">
        <v>1.111235100018195</v>
      </c>
      <c r="J50" s="8">
        <v>0.45125668170602201</v>
      </c>
    </row>
    <row r="51" spans="1:30" x14ac:dyDescent="0.25">
      <c r="A51" s="3" t="s">
        <v>18</v>
      </c>
      <c r="B51" s="4"/>
      <c r="C51" s="8"/>
      <c r="D51" s="5">
        <v>0.107400232693555</v>
      </c>
      <c r="E51" s="6">
        <v>-5.3081166180475401E-3</v>
      </c>
      <c r="F51" s="8">
        <v>52.638565780695899</v>
      </c>
      <c r="G51" s="3">
        <v>23.5</v>
      </c>
      <c r="H51" s="8">
        <v>16.640165980770899</v>
      </c>
      <c r="I51" s="4">
        <v>1.0519758315193652</v>
      </c>
      <c r="J51" s="8">
        <v>0.51242235468873398</v>
      </c>
    </row>
    <row r="52" spans="1:30" x14ac:dyDescent="0.25">
      <c r="A52" s="3"/>
      <c r="B52" s="4"/>
      <c r="C52" s="8"/>
      <c r="D52" s="4"/>
      <c r="E52" s="8"/>
      <c r="F52" s="8"/>
      <c r="G52" s="15"/>
      <c r="H52" s="8"/>
      <c r="I52" s="4"/>
      <c r="J52" s="8"/>
    </row>
    <row r="53" spans="1:30" x14ac:dyDescent="0.25">
      <c r="A53" s="3"/>
      <c r="B53" s="4"/>
      <c r="C53" s="8"/>
      <c r="D53" s="4"/>
      <c r="E53" s="8"/>
      <c r="F53" s="8"/>
      <c r="G53" s="3"/>
      <c r="H53" s="8"/>
      <c r="I53" s="4"/>
      <c r="J53" s="8"/>
    </row>
    <row r="54" spans="1:30" ht="25.5" x14ac:dyDescent="0.25">
      <c r="A54" s="2" t="s">
        <v>1</v>
      </c>
      <c r="B54" s="2" t="s">
        <v>33</v>
      </c>
      <c r="C54" s="2" t="s">
        <v>34</v>
      </c>
      <c r="D54" s="17" t="s">
        <v>37</v>
      </c>
      <c r="E54" s="17" t="s">
        <v>31</v>
      </c>
      <c r="F54" s="17" t="s">
        <v>28</v>
      </c>
      <c r="G54" s="3"/>
      <c r="H54" s="8"/>
      <c r="I54" s="4"/>
      <c r="J54" s="8"/>
    </row>
    <row r="55" spans="1:30" x14ac:dyDescent="0.25">
      <c r="A55" s="3" t="s">
        <v>10</v>
      </c>
      <c r="B55" s="5">
        <v>8.8732929175135894E-2</v>
      </c>
      <c r="C55" s="9">
        <v>1.20306787922476E-2</v>
      </c>
      <c r="D55" s="3">
        <v>21</v>
      </c>
      <c r="E55" s="8">
        <v>8.1761484496582497</v>
      </c>
      <c r="F55" s="4">
        <v>1.0119508062412015</v>
      </c>
      <c r="G55" s="3"/>
      <c r="H55" s="8"/>
      <c r="I55" s="4"/>
      <c r="J55" s="8"/>
    </row>
    <row r="56" spans="1:30" ht="25.5" x14ac:dyDescent="0.25">
      <c r="A56" s="3" t="s">
        <v>12</v>
      </c>
      <c r="B56" s="5">
        <v>0.10415722716452799</v>
      </c>
      <c r="C56" s="9">
        <v>2.8615745110634201E-2</v>
      </c>
      <c r="D56" s="3">
        <v>96.5</v>
      </c>
      <c r="E56" s="8">
        <v>19.594840851392899</v>
      </c>
      <c r="F56" s="4">
        <v>1.0239451393319936</v>
      </c>
      <c r="G56" s="3"/>
      <c r="H56" s="8"/>
      <c r="I56" s="4"/>
      <c r="J56" s="8"/>
      <c r="Z56" s="2" t="s">
        <v>35</v>
      </c>
      <c r="AA56" s="2" t="s">
        <v>36</v>
      </c>
      <c r="AB56" s="17" t="s">
        <v>37</v>
      </c>
      <c r="AC56" s="17" t="s">
        <v>31</v>
      </c>
      <c r="AD56" s="17" t="s">
        <v>28</v>
      </c>
    </row>
    <row r="57" spans="1:30" x14ac:dyDescent="0.25">
      <c r="A57" s="3" t="s">
        <v>13</v>
      </c>
      <c r="B57" s="5">
        <v>4.66251429291673E-2</v>
      </c>
      <c r="C57" s="9">
        <v>4.4113621235337297E-2</v>
      </c>
      <c r="D57" s="3">
        <v>47.5</v>
      </c>
      <c r="E57" s="8">
        <v>17.2552427011953</v>
      </c>
      <c r="F57" s="4">
        <v>1.0275460447393339</v>
      </c>
      <c r="G57" s="3"/>
      <c r="H57" s="8"/>
      <c r="I57" s="4"/>
      <c r="J57" s="8"/>
      <c r="Y57" s="3" t="s">
        <v>7</v>
      </c>
      <c r="Z57" s="5">
        <v>0.11077055296162799</v>
      </c>
      <c r="AA57" s="6">
        <v>-3.7834846370905402E-3</v>
      </c>
      <c r="AB57" s="3">
        <v>21.75</v>
      </c>
      <c r="AC57" s="8">
        <v>2.4954469283408098</v>
      </c>
      <c r="AD57" s="4">
        <v>1.0078290838208943</v>
      </c>
    </row>
    <row r="58" spans="1:30" x14ac:dyDescent="0.25">
      <c r="A58" s="3" t="s">
        <v>14</v>
      </c>
      <c r="B58" s="5">
        <v>9.0894558490112708E-3</v>
      </c>
      <c r="C58" s="10">
        <v>-8.0536265843332393E-3</v>
      </c>
      <c r="D58" s="3">
        <v>23.5</v>
      </c>
      <c r="E58" s="8">
        <v>17.024424898784201</v>
      </c>
      <c r="F58" s="4">
        <v>1.0275826446035865</v>
      </c>
      <c r="G58" s="3"/>
      <c r="H58" s="8"/>
      <c r="I58" s="4"/>
      <c r="J58" s="8"/>
      <c r="Y58" s="3" t="s">
        <v>8</v>
      </c>
      <c r="Z58" s="5">
        <v>1.0650915621547401E-2</v>
      </c>
      <c r="AA58" s="5">
        <v>6.4581353214806597E-2</v>
      </c>
      <c r="AB58" s="3">
        <v>48.5</v>
      </c>
      <c r="AC58" s="8">
        <v>4.9705418000804897</v>
      </c>
      <c r="AD58" s="4">
        <v>1.008246697022094</v>
      </c>
    </row>
    <row r="59" spans="1:30" x14ac:dyDescent="0.25">
      <c r="A59" s="3" t="s">
        <v>17</v>
      </c>
      <c r="B59" s="5">
        <v>2.0373962034653699E-2</v>
      </c>
      <c r="C59" s="9">
        <v>2.7450804091866201E-2</v>
      </c>
      <c r="D59" s="3">
        <v>23.75</v>
      </c>
      <c r="E59" s="8">
        <v>21.9579587943592</v>
      </c>
      <c r="F59" s="4">
        <v>1.111235100018195</v>
      </c>
      <c r="G59" s="3"/>
      <c r="H59" s="8"/>
      <c r="I59" s="4"/>
      <c r="J59" s="8"/>
      <c r="Y59" s="3" t="s">
        <v>9</v>
      </c>
      <c r="Z59" s="6">
        <v>-2.2683422982125001E-2</v>
      </c>
      <c r="AA59" s="5">
        <v>6.1895687016862502E-2</v>
      </c>
      <c r="AB59" s="3">
        <v>28.75</v>
      </c>
      <c r="AC59" s="8">
        <v>18.738059749368901</v>
      </c>
      <c r="AD59" s="4">
        <v>1.0490052443540898</v>
      </c>
    </row>
    <row r="60" spans="1:30" x14ac:dyDescent="0.25">
      <c r="A60" s="3"/>
      <c r="B60" s="4"/>
      <c r="C60" s="8"/>
      <c r="D60" s="3"/>
      <c r="E60" s="8"/>
      <c r="F60" s="4"/>
      <c r="G60" s="3"/>
      <c r="H60" s="8"/>
      <c r="I60" s="4"/>
      <c r="J60" s="8"/>
      <c r="Y60" s="3" t="s">
        <v>10</v>
      </c>
      <c r="Z60" s="5">
        <v>0.15621819275209001</v>
      </c>
      <c r="AA60" s="5">
        <v>2.95836818188689E-2</v>
      </c>
      <c r="AB60" s="3">
        <v>21</v>
      </c>
      <c r="AC60" s="8">
        <v>8.1761484496582497</v>
      </c>
      <c r="AD60" s="4">
        <v>1.0119508062412015</v>
      </c>
    </row>
    <row r="61" spans="1:30" x14ac:dyDescent="0.25">
      <c r="A61" s="3"/>
      <c r="B61" s="4"/>
      <c r="C61" s="8"/>
      <c r="D61" s="3"/>
      <c r="E61" s="8"/>
      <c r="F61" s="4"/>
      <c r="G61" s="3"/>
      <c r="H61" s="8"/>
      <c r="I61" s="4"/>
      <c r="J61" s="8"/>
      <c r="Y61" s="3" t="s">
        <v>12</v>
      </c>
      <c r="Z61" s="5">
        <v>5.5397551503622099E-2</v>
      </c>
      <c r="AA61" s="5">
        <v>8.8641812543785899E-3</v>
      </c>
      <c r="AB61" s="3">
        <v>96.5</v>
      </c>
      <c r="AC61" s="8">
        <v>19.594840851392899</v>
      </c>
      <c r="AD61" s="4">
        <v>1.0239451393319936</v>
      </c>
    </row>
    <row r="62" spans="1:30" x14ac:dyDescent="0.25">
      <c r="A62" s="3"/>
      <c r="B62" s="4"/>
      <c r="C62" s="8"/>
      <c r="D62" s="3"/>
      <c r="E62" s="8"/>
      <c r="F62" s="4"/>
      <c r="G62" s="3"/>
      <c r="H62" s="8"/>
      <c r="I62" s="4"/>
      <c r="J62" s="8"/>
      <c r="Y62" s="3" t="s">
        <v>13</v>
      </c>
      <c r="Z62" s="5">
        <v>6.9883057908481996E-2</v>
      </c>
      <c r="AA62" s="5">
        <v>1.32778322661357E-2</v>
      </c>
      <c r="AB62" s="3">
        <v>47.5</v>
      </c>
      <c r="AC62" s="8">
        <v>17.2552427011953</v>
      </c>
      <c r="AD62" s="4">
        <v>1.0275460447393339</v>
      </c>
    </row>
    <row r="63" spans="1:30" x14ac:dyDescent="0.25">
      <c r="A63" s="3"/>
      <c r="B63" s="4"/>
      <c r="C63" s="8"/>
      <c r="D63" s="3"/>
      <c r="E63" s="8"/>
      <c r="F63" s="4"/>
      <c r="G63" s="3"/>
      <c r="H63" s="8"/>
      <c r="I63" s="4"/>
      <c r="J63" s="8"/>
      <c r="Y63" s="3" t="s">
        <v>14</v>
      </c>
      <c r="Z63" s="5">
        <v>7.8645648239850305E-2</v>
      </c>
      <c r="AA63" s="6">
        <v>-6.0975544853349099E-2</v>
      </c>
      <c r="AB63" s="3">
        <v>23.5</v>
      </c>
      <c r="AC63" s="8">
        <v>17.024424898784201</v>
      </c>
      <c r="AD63" s="4">
        <v>1.0275826446035865</v>
      </c>
    </row>
    <row r="64" spans="1:30" x14ac:dyDescent="0.25">
      <c r="A64" s="3"/>
      <c r="B64" s="4"/>
      <c r="C64" s="8"/>
      <c r="D64" s="3"/>
      <c r="E64" s="8"/>
      <c r="F64" s="4"/>
      <c r="G64" s="3"/>
      <c r="H64" s="8"/>
      <c r="I64" s="4"/>
      <c r="J64" s="8"/>
      <c r="Y64" s="3" t="s">
        <v>16</v>
      </c>
      <c r="Z64" s="5">
        <v>2.1496979213356301E-3</v>
      </c>
      <c r="AA64" s="6">
        <v>-1.77749404385871E-2</v>
      </c>
      <c r="AB64" s="3">
        <v>47.75</v>
      </c>
      <c r="AC64" s="8">
        <v>15.1069524712688</v>
      </c>
      <c r="AD64" s="4">
        <v>1.0572093304532362</v>
      </c>
    </row>
    <row r="65" spans="1:41" x14ac:dyDescent="0.25">
      <c r="A65" s="3"/>
      <c r="B65" s="4"/>
      <c r="C65" s="8"/>
      <c r="D65" s="3"/>
      <c r="E65" s="8"/>
      <c r="F65" s="4"/>
      <c r="G65" s="3"/>
      <c r="H65" s="8"/>
      <c r="I65" s="4"/>
      <c r="J65" s="8"/>
      <c r="Y65" s="3" t="s">
        <v>17</v>
      </c>
      <c r="Z65" s="5">
        <v>0.101236914763633</v>
      </c>
      <c r="AA65" s="5">
        <v>3.08855730575289E-3</v>
      </c>
      <c r="AB65" s="3">
        <v>23.75</v>
      </c>
      <c r="AC65" s="8">
        <v>21.9579587943592</v>
      </c>
      <c r="AD65" s="4">
        <v>1.111235100018195</v>
      </c>
    </row>
    <row r="66" spans="1:41" ht="23.25" customHeight="1" x14ac:dyDescent="0.25">
      <c r="A66" s="3"/>
      <c r="B66" s="4"/>
      <c r="C66" s="8"/>
      <c r="D66" s="3"/>
      <c r="E66" s="8"/>
      <c r="F66" s="4"/>
      <c r="Y66" s="3" t="s">
        <v>18</v>
      </c>
      <c r="Z66" s="5">
        <v>0.107400232693555</v>
      </c>
      <c r="AA66" s="6">
        <v>-5.3081166180475401E-3</v>
      </c>
      <c r="AB66" s="3">
        <v>23.5</v>
      </c>
      <c r="AC66" s="8">
        <v>16.640165980770899</v>
      </c>
      <c r="AD66" s="4">
        <v>1.0519758315193652</v>
      </c>
    </row>
    <row r="67" spans="1:41" x14ac:dyDescent="0.25">
      <c r="A67" s="3"/>
      <c r="B67" s="4"/>
      <c r="C67" s="8"/>
      <c r="D67" s="3"/>
      <c r="E67" s="8"/>
      <c r="F67" s="4"/>
    </row>
    <row r="71" spans="1:41" x14ac:dyDescent="0.25">
      <c r="A71" s="39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1"/>
      <c r="U71" s="39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1"/>
      <c r="AO71" s="41"/>
    </row>
    <row r="72" spans="1:41" ht="15.75" thickBot="1" x14ac:dyDescent="0.3">
      <c r="A72" s="104" t="s">
        <v>61</v>
      </c>
      <c r="B72" s="105"/>
      <c r="C72" s="105"/>
      <c r="D72" s="105"/>
      <c r="E72" s="105"/>
      <c r="F72" s="105"/>
      <c r="G72" s="105"/>
      <c r="H72" s="105"/>
      <c r="I72" s="106"/>
      <c r="K72" s="104" t="s">
        <v>62</v>
      </c>
      <c r="L72" s="105"/>
      <c r="M72" s="105"/>
      <c r="N72" s="105"/>
      <c r="O72" s="105"/>
      <c r="P72" s="105"/>
      <c r="Q72" s="105"/>
      <c r="R72" s="105"/>
      <c r="S72" s="106"/>
      <c r="T72" s="42"/>
      <c r="U72" s="43"/>
      <c r="V72" s="95" t="s">
        <v>65</v>
      </c>
      <c r="W72" s="96"/>
      <c r="X72" s="96"/>
      <c r="Y72" s="96"/>
      <c r="Z72" s="96"/>
      <c r="AA72" s="96"/>
      <c r="AB72" s="96"/>
      <c r="AC72" s="96"/>
      <c r="AD72" s="97"/>
      <c r="AF72" s="95" t="s">
        <v>66</v>
      </c>
      <c r="AG72" s="96"/>
      <c r="AH72" s="96"/>
      <c r="AI72" s="96"/>
      <c r="AJ72" s="96"/>
      <c r="AK72" s="96"/>
      <c r="AL72" s="96"/>
      <c r="AM72" s="96"/>
      <c r="AN72" s="97"/>
      <c r="AO72" s="42"/>
    </row>
    <row r="73" spans="1:41" x14ac:dyDescent="0.25">
      <c r="A73" s="25" t="s">
        <v>38</v>
      </c>
      <c r="B73" s="19"/>
      <c r="C73" s="20"/>
      <c r="D73" s="20"/>
      <c r="E73" s="20"/>
      <c r="F73" s="20"/>
      <c r="G73" s="20"/>
      <c r="H73" s="20"/>
      <c r="I73" s="26"/>
      <c r="K73" s="25" t="s">
        <v>38</v>
      </c>
      <c r="L73" s="19"/>
      <c r="M73" s="20"/>
      <c r="N73" s="20"/>
      <c r="O73" s="20"/>
      <c r="P73" s="20"/>
      <c r="Q73" s="20"/>
      <c r="R73" s="20"/>
      <c r="S73" s="26"/>
      <c r="T73" s="42"/>
      <c r="U73" s="43"/>
      <c r="V73" s="71" t="s">
        <v>38</v>
      </c>
      <c r="W73" s="66"/>
      <c r="X73" s="52"/>
      <c r="Y73" s="52"/>
      <c r="Z73" s="52"/>
      <c r="AA73" s="52"/>
      <c r="AB73" s="52"/>
      <c r="AC73" s="52"/>
      <c r="AD73" s="67"/>
      <c r="AF73" s="71" t="s">
        <v>38</v>
      </c>
      <c r="AG73" s="66"/>
      <c r="AH73" s="52"/>
      <c r="AI73" s="52"/>
      <c r="AJ73" s="52"/>
      <c r="AK73" s="52"/>
      <c r="AL73" s="52"/>
      <c r="AM73" s="52"/>
      <c r="AN73" s="67"/>
      <c r="AO73" s="42"/>
    </row>
    <row r="74" spans="1:41" x14ac:dyDescent="0.25">
      <c r="A74" s="27" t="s">
        <v>39</v>
      </c>
      <c r="B74" s="34">
        <v>0.99991752893275332</v>
      </c>
      <c r="C74" s="20"/>
      <c r="D74" s="20"/>
      <c r="E74" s="20"/>
      <c r="F74" s="20"/>
      <c r="G74" s="20"/>
      <c r="H74" s="20"/>
      <c r="I74" s="26"/>
      <c r="K74" s="27" t="s">
        <v>39</v>
      </c>
      <c r="L74" s="34">
        <v>0.53220171141863981</v>
      </c>
      <c r="M74" s="20"/>
      <c r="N74" s="20"/>
      <c r="O74" s="20"/>
      <c r="P74" s="20"/>
      <c r="Q74" s="20"/>
      <c r="R74" s="20"/>
      <c r="S74" s="26"/>
      <c r="T74" s="42"/>
      <c r="U74" s="43"/>
      <c r="V74" s="72" t="s">
        <v>39</v>
      </c>
      <c r="W74" s="52">
        <v>0.40762124962195501</v>
      </c>
      <c r="X74" s="52"/>
      <c r="Y74" s="52"/>
      <c r="Z74" s="52"/>
      <c r="AA74" s="52"/>
      <c r="AB74" s="52"/>
      <c r="AC74" s="52"/>
      <c r="AD74" s="67"/>
      <c r="AF74" s="72" t="s">
        <v>39</v>
      </c>
      <c r="AG74" s="52">
        <v>0.21712527028317186</v>
      </c>
      <c r="AH74" s="52"/>
      <c r="AI74" s="52"/>
      <c r="AJ74" s="52"/>
      <c r="AK74" s="52"/>
      <c r="AL74" s="52"/>
      <c r="AM74" s="52"/>
      <c r="AN74" s="67"/>
      <c r="AO74" s="42"/>
    </row>
    <row r="75" spans="1:41" x14ac:dyDescent="0.25">
      <c r="A75" s="27" t="s">
        <v>40</v>
      </c>
      <c r="B75" s="34">
        <v>0.99983506466698346</v>
      </c>
      <c r="C75" s="20"/>
      <c r="D75" s="20"/>
      <c r="E75" s="20"/>
      <c r="F75" s="20"/>
      <c r="G75" s="20"/>
      <c r="H75" s="20"/>
      <c r="I75" s="26"/>
      <c r="K75" s="27" t="s">
        <v>40</v>
      </c>
      <c r="L75" s="34">
        <v>0.28323866163692912</v>
      </c>
      <c r="M75" s="20"/>
      <c r="N75" s="20"/>
      <c r="O75" s="20"/>
      <c r="P75" s="20"/>
      <c r="Q75" s="20"/>
      <c r="R75" s="20"/>
      <c r="S75" s="26"/>
      <c r="T75" s="42"/>
      <c r="U75" s="43"/>
      <c r="V75" s="72" t="s">
        <v>40</v>
      </c>
      <c r="W75" s="52">
        <v>0.16615508314336414</v>
      </c>
      <c r="X75" s="52"/>
      <c r="Y75" s="52"/>
      <c r="Z75" s="52"/>
      <c r="AA75" s="52"/>
      <c r="AB75" s="52"/>
      <c r="AC75" s="52"/>
      <c r="AD75" s="67"/>
      <c r="AF75" s="72" t="s">
        <v>40</v>
      </c>
      <c r="AG75" s="52">
        <v>4.7143382995540432E-2</v>
      </c>
      <c r="AH75" s="52"/>
      <c r="AI75" s="52"/>
      <c r="AJ75" s="52"/>
      <c r="AK75" s="52"/>
      <c r="AL75" s="52"/>
      <c r="AM75" s="52"/>
      <c r="AN75" s="67"/>
      <c r="AO75" s="42"/>
    </row>
    <row r="76" spans="1:41" x14ac:dyDescent="0.25">
      <c r="A76" s="27" t="s">
        <v>41</v>
      </c>
      <c r="B76" s="34">
        <v>0.99934025866793386</v>
      </c>
      <c r="C76" s="20"/>
      <c r="D76" s="20"/>
      <c r="E76" s="20"/>
      <c r="F76" s="20"/>
      <c r="G76" s="20"/>
      <c r="H76" s="20"/>
      <c r="I76" s="26"/>
      <c r="K76" s="27" t="s">
        <v>41</v>
      </c>
      <c r="L76" s="34">
        <v>-0.43352267672614175</v>
      </c>
      <c r="M76" s="20"/>
      <c r="N76" s="20"/>
      <c r="O76" s="20"/>
      <c r="P76" s="20"/>
      <c r="Q76" s="20"/>
      <c r="R76" s="20"/>
      <c r="S76" s="26"/>
      <c r="T76" s="42"/>
      <c r="U76" s="43"/>
      <c r="V76" s="72" t="s">
        <v>41</v>
      </c>
      <c r="W76" s="52">
        <v>-0.2507673752849538</v>
      </c>
      <c r="X76" s="52"/>
      <c r="Y76" s="52"/>
      <c r="Z76" s="52"/>
      <c r="AA76" s="52"/>
      <c r="AB76" s="52"/>
      <c r="AC76" s="52"/>
      <c r="AD76" s="67"/>
      <c r="AF76" s="72" t="s">
        <v>41</v>
      </c>
      <c r="AG76" s="52">
        <v>-0.22510136472001946</v>
      </c>
      <c r="AH76" s="52"/>
      <c r="AI76" s="52"/>
      <c r="AJ76" s="52"/>
      <c r="AK76" s="52"/>
      <c r="AL76" s="52"/>
      <c r="AM76" s="52"/>
      <c r="AN76" s="67"/>
      <c r="AO76" s="42"/>
    </row>
    <row r="77" spans="1:41" x14ac:dyDescent="0.25">
      <c r="A77" s="27" t="s">
        <v>42</v>
      </c>
      <c r="B77" s="34">
        <v>1.068647501829046E-3</v>
      </c>
      <c r="C77" s="20"/>
      <c r="D77" s="20"/>
      <c r="E77" s="20"/>
      <c r="F77" s="20"/>
      <c r="G77" s="20"/>
      <c r="H77" s="20"/>
      <c r="I77" s="26"/>
      <c r="K77" s="27" t="s">
        <v>42</v>
      </c>
      <c r="L77" s="34">
        <v>4.9813827446605508E-2</v>
      </c>
      <c r="M77" s="20"/>
      <c r="N77" s="20"/>
      <c r="O77" s="20"/>
      <c r="P77" s="20"/>
      <c r="Q77" s="20"/>
      <c r="R77" s="20"/>
      <c r="S77" s="26"/>
      <c r="T77" s="42"/>
      <c r="U77" s="43"/>
      <c r="V77" s="72" t="s">
        <v>42</v>
      </c>
      <c r="W77" s="52">
        <v>6.2804760049169087E-2</v>
      </c>
      <c r="X77" s="52"/>
      <c r="Y77" s="52"/>
      <c r="Z77" s="52"/>
      <c r="AA77" s="52"/>
      <c r="AB77" s="52"/>
      <c r="AC77" s="52"/>
      <c r="AD77" s="67"/>
      <c r="AF77" s="72" t="s">
        <v>42</v>
      </c>
      <c r="AG77" s="52">
        <v>6.2157036502770796E-2</v>
      </c>
      <c r="AH77" s="52"/>
      <c r="AI77" s="52"/>
      <c r="AJ77" s="52"/>
      <c r="AK77" s="52"/>
      <c r="AL77" s="52"/>
      <c r="AM77" s="52"/>
      <c r="AN77" s="67"/>
      <c r="AO77" s="42"/>
    </row>
    <row r="78" spans="1:41" ht="15.75" thickBot="1" x14ac:dyDescent="0.3">
      <c r="A78" s="28" t="s">
        <v>43</v>
      </c>
      <c r="B78" s="21">
        <v>5</v>
      </c>
      <c r="C78" s="20"/>
      <c r="D78" s="20"/>
      <c r="E78" s="20"/>
      <c r="F78" s="20"/>
      <c r="G78" s="20"/>
      <c r="H78" s="20"/>
      <c r="I78" s="26"/>
      <c r="K78" s="28" t="s">
        <v>43</v>
      </c>
      <c r="L78" s="21">
        <v>5</v>
      </c>
      <c r="M78" s="20"/>
      <c r="N78" s="20"/>
      <c r="O78" s="20"/>
      <c r="P78" s="20"/>
      <c r="Q78" s="20"/>
      <c r="R78" s="20"/>
      <c r="S78" s="26"/>
      <c r="T78" s="42"/>
      <c r="U78" s="43"/>
      <c r="V78" s="73" t="s">
        <v>43</v>
      </c>
      <c r="W78" s="53">
        <v>10</v>
      </c>
      <c r="X78" s="52"/>
      <c r="Y78" s="52"/>
      <c r="Z78" s="52"/>
      <c r="AA78" s="52"/>
      <c r="AB78" s="52"/>
      <c r="AC78" s="52"/>
      <c r="AD78" s="67"/>
      <c r="AF78" s="73" t="s">
        <v>43</v>
      </c>
      <c r="AG78" s="53">
        <v>10</v>
      </c>
      <c r="AH78" s="52"/>
      <c r="AI78" s="52"/>
      <c r="AJ78" s="52"/>
      <c r="AK78" s="52"/>
      <c r="AL78" s="52"/>
      <c r="AM78" s="52"/>
      <c r="AN78" s="67"/>
      <c r="AO78" s="42"/>
    </row>
    <row r="79" spans="1:41" x14ac:dyDescent="0.25">
      <c r="A79" s="27"/>
      <c r="B79" s="20"/>
      <c r="C79" s="20"/>
      <c r="D79" s="20"/>
      <c r="E79" s="20"/>
      <c r="F79" s="20"/>
      <c r="G79" s="20"/>
      <c r="H79" s="20"/>
      <c r="I79" s="26"/>
      <c r="K79" s="27"/>
      <c r="L79" s="20"/>
      <c r="M79" s="20"/>
      <c r="N79" s="20"/>
      <c r="O79" s="20"/>
      <c r="P79" s="20"/>
      <c r="Q79" s="20"/>
      <c r="R79" s="20"/>
      <c r="S79" s="26"/>
      <c r="T79" s="42"/>
      <c r="U79" s="43"/>
      <c r="V79" s="72"/>
      <c r="W79" s="52"/>
      <c r="X79" s="52"/>
      <c r="Y79" s="52"/>
      <c r="Z79" s="52"/>
      <c r="AA79" s="52"/>
      <c r="AB79" s="52"/>
      <c r="AC79" s="52"/>
      <c r="AD79" s="67"/>
      <c r="AF79" s="72"/>
      <c r="AG79" s="52"/>
      <c r="AH79" s="52"/>
      <c r="AI79" s="52"/>
      <c r="AJ79" s="52"/>
      <c r="AK79" s="52"/>
      <c r="AL79" s="52"/>
      <c r="AM79" s="52"/>
      <c r="AN79" s="67"/>
      <c r="AO79" s="42"/>
    </row>
    <row r="80" spans="1:41" ht="15.75" thickBot="1" x14ac:dyDescent="0.3">
      <c r="A80" s="27" t="s">
        <v>44</v>
      </c>
      <c r="B80" s="20"/>
      <c r="C80" s="20"/>
      <c r="D80" s="20"/>
      <c r="E80" s="20"/>
      <c r="F80" s="20"/>
      <c r="G80" s="20"/>
      <c r="H80" s="20"/>
      <c r="I80" s="26"/>
      <c r="K80" s="27" t="s">
        <v>44</v>
      </c>
      <c r="L80" s="20"/>
      <c r="M80" s="20"/>
      <c r="N80" s="20"/>
      <c r="O80" s="20"/>
      <c r="P80" s="20"/>
      <c r="Q80" s="20"/>
      <c r="R80" s="20"/>
      <c r="S80" s="26"/>
      <c r="T80" s="42"/>
      <c r="U80" s="43"/>
      <c r="V80" s="72" t="s">
        <v>44</v>
      </c>
      <c r="W80" s="52"/>
      <c r="X80" s="52"/>
      <c r="Y80" s="52"/>
      <c r="Z80" s="52"/>
      <c r="AA80" s="52"/>
      <c r="AB80" s="52"/>
      <c r="AC80" s="52"/>
      <c r="AD80" s="67"/>
      <c r="AF80" s="72" t="s">
        <v>44</v>
      </c>
      <c r="AG80" s="52"/>
      <c r="AH80" s="52"/>
      <c r="AI80" s="52"/>
      <c r="AJ80" s="52"/>
      <c r="AK80" s="52"/>
      <c r="AL80" s="52"/>
      <c r="AM80" s="52"/>
      <c r="AN80" s="67"/>
      <c r="AO80" s="42"/>
    </row>
    <row r="81" spans="1:41" x14ac:dyDescent="0.25">
      <c r="A81" s="29"/>
      <c r="B81" s="22" t="s">
        <v>49</v>
      </c>
      <c r="C81" s="22" t="s">
        <v>50</v>
      </c>
      <c r="D81" s="22" t="s">
        <v>51</v>
      </c>
      <c r="E81" s="22" t="s">
        <v>52</v>
      </c>
      <c r="F81" s="22" t="s">
        <v>53</v>
      </c>
      <c r="G81" s="20"/>
      <c r="H81" s="20"/>
      <c r="I81" s="26"/>
      <c r="K81" s="29"/>
      <c r="L81" s="22" t="s">
        <v>49</v>
      </c>
      <c r="M81" s="22" t="s">
        <v>50</v>
      </c>
      <c r="N81" s="22" t="s">
        <v>51</v>
      </c>
      <c r="O81" s="22" t="s">
        <v>52</v>
      </c>
      <c r="P81" s="22" t="s">
        <v>53</v>
      </c>
      <c r="Q81" s="20"/>
      <c r="R81" s="20"/>
      <c r="S81" s="26"/>
      <c r="T81" s="42"/>
      <c r="U81" s="43"/>
      <c r="V81" s="74"/>
      <c r="W81" s="51" t="s">
        <v>49</v>
      </c>
      <c r="X81" s="51" t="s">
        <v>50</v>
      </c>
      <c r="Y81" s="51" t="s">
        <v>51</v>
      </c>
      <c r="Z81" s="51" t="s">
        <v>52</v>
      </c>
      <c r="AA81" s="51" t="s">
        <v>53</v>
      </c>
      <c r="AB81" s="52"/>
      <c r="AC81" s="52"/>
      <c r="AD81" s="67"/>
      <c r="AF81" s="74"/>
      <c r="AG81" s="51" t="s">
        <v>49</v>
      </c>
      <c r="AH81" s="51" t="s">
        <v>50</v>
      </c>
      <c r="AI81" s="51" t="s">
        <v>51</v>
      </c>
      <c r="AJ81" s="51" t="s">
        <v>52</v>
      </c>
      <c r="AK81" s="51" t="s">
        <v>53</v>
      </c>
      <c r="AL81" s="52"/>
      <c r="AM81" s="52"/>
      <c r="AN81" s="67"/>
      <c r="AO81" s="42"/>
    </row>
    <row r="82" spans="1:41" x14ac:dyDescent="0.25">
      <c r="A82" s="27" t="s">
        <v>45</v>
      </c>
      <c r="B82" s="20">
        <v>3</v>
      </c>
      <c r="C82" s="20">
        <v>6.9228291167050147E-3</v>
      </c>
      <c r="D82" s="20">
        <v>2.3076097055683381E-3</v>
      </c>
      <c r="E82" s="20">
        <v>2020.6607571186973</v>
      </c>
      <c r="F82" s="20">
        <v>1.6351403309287575E-2</v>
      </c>
      <c r="G82" s="20"/>
      <c r="H82" s="20"/>
      <c r="I82" s="26"/>
      <c r="K82" s="27" t="s">
        <v>45</v>
      </c>
      <c r="L82" s="20">
        <v>2</v>
      </c>
      <c r="M82" s="20">
        <v>1.9611363144278037E-3</v>
      </c>
      <c r="N82" s="20">
        <v>9.8056815721390186E-4</v>
      </c>
      <c r="O82" s="20">
        <v>0.39516453591621653</v>
      </c>
      <c r="P82" s="20">
        <v>0.71676133836307077</v>
      </c>
      <c r="Q82" s="20"/>
      <c r="R82" s="20"/>
      <c r="S82" s="26"/>
      <c r="T82" s="42"/>
      <c r="U82" s="43"/>
      <c r="V82" s="72" t="s">
        <v>45</v>
      </c>
      <c r="W82" s="52">
        <v>3</v>
      </c>
      <c r="X82" s="52">
        <v>4.715901420942966E-3</v>
      </c>
      <c r="Y82" s="52">
        <v>1.5719671403143221E-3</v>
      </c>
      <c r="Z82" s="52">
        <v>0.3985275433943346</v>
      </c>
      <c r="AA82" s="52">
        <v>0.75926299948595055</v>
      </c>
      <c r="AB82" s="52"/>
      <c r="AC82" s="52"/>
      <c r="AD82" s="67"/>
      <c r="AF82" s="72" t="s">
        <v>45</v>
      </c>
      <c r="AG82" s="52">
        <v>2</v>
      </c>
      <c r="AH82" s="52">
        <v>1.3380484222977364E-3</v>
      </c>
      <c r="AI82" s="52">
        <v>6.6902421114886819E-4</v>
      </c>
      <c r="AJ82" s="52">
        <v>0.1731654453984017</v>
      </c>
      <c r="AK82" s="52">
        <v>0.84449375008441174</v>
      </c>
      <c r="AL82" s="52"/>
      <c r="AM82" s="52"/>
      <c r="AN82" s="67"/>
      <c r="AO82" s="42"/>
    </row>
    <row r="83" spans="1:41" x14ac:dyDescent="0.25">
      <c r="A83" s="27" t="s">
        <v>46</v>
      </c>
      <c r="B83" s="20">
        <v>1</v>
      </c>
      <c r="C83" s="20">
        <v>1.1420074831654609E-6</v>
      </c>
      <c r="D83" s="20">
        <v>1.1420074831654609E-6</v>
      </c>
      <c r="E83" s="20"/>
      <c r="F83" s="20"/>
      <c r="G83" s="20"/>
      <c r="H83" s="20"/>
      <c r="I83" s="26"/>
      <c r="K83" s="27" t="s">
        <v>46</v>
      </c>
      <c r="L83" s="20">
        <v>2</v>
      </c>
      <c r="M83" s="20">
        <v>4.9628348097603761E-3</v>
      </c>
      <c r="N83" s="20">
        <v>2.4814174048801881E-3</v>
      </c>
      <c r="O83" s="20"/>
      <c r="P83" s="20"/>
      <c r="Q83" s="20"/>
      <c r="R83" s="20"/>
      <c r="S83" s="26"/>
      <c r="T83" s="42"/>
      <c r="U83" s="43"/>
      <c r="V83" s="72" t="s">
        <v>46</v>
      </c>
      <c r="W83" s="52">
        <v>6</v>
      </c>
      <c r="X83" s="52">
        <v>2.3666627309002236E-2</v>
      </c>
      <c r="Y83" s="52">
        <v>3.9444378848337057E-3</v>
      </c>
      <c r="Z83" s="52"/>
      <c r="AA83" s="52"/>
      <c r="AB83" s="52"/>
      <c r="AC83" s="52"/>
      <c r="AD83" s="67"/>
      <c r="AF83" s="72" t="s">
        <v>46</v>
      </c>
      <c r="AG83" s="52">
        <v>7</v>
      </c>
      <c r="AH83" s="52">
        <v>2.7044480307647466E-2</v>
      </c>
      <c r="AI83" s="52">
        <v>3.863497186806781E-3</v>
      </c>
      <c r="AJ83" s="52"/>
      <c r="AK83" s="52"/>
      <c r="AL83" s="52"/>
      <c r="AM83" s="52"/>
      <c r="AN83" s="67"/>
      <c r="AO83" s="42"/>
    </row>
    <row r="84" spans="1:41" ht="15.75" thickBot="1" x14ac:dyDescent="0.3">
      <c r="A84" s="28" t="s">
        <v>47</v>
      </c>
      <c r="B84" s="21">
        <v>4</v>
      </c>
      <c r="C84" s="21">
        <v>6.9239711241881798E-3</v>
      </c>
      <c r="D84" s="21"/>
      <c r="E84" s="21"/>
      <c r="F84" s="21"/>
      <c r="G84" s="20"/>
      <c r="H84" s="20"/>
      <c r="I84" s="26"/>
      <c r="K84" s="28" t="s">
        <v>47</v>
      </c>
      <c r="L84" s="21">
        <v>4</v>
      </c>
      <c r="M84" s="21">
        <v>6.9239711241881798E-3</v>
      </c>
      <c r="N84" s="21"/>
      <c r="O84" s="21"/>
      <c r="P84" s="21"/>
      <c r="Q84" s="20"/>
      <c r="R84" s="20"/>
      <c r="S84" s="26"/>
      <c r="T84" s="42"/>
      <c r="U84" s="43"/>
      <c r="V84" s="73" t="s">
        <v>47</v>
      </c>
      <c r="W84" s="53">
        <v>9</v>
      </c>
      <c r="X84" s="53">
        <v>2.8382528729945202E-2</v>
      </c>
      <c r="Y84" s="53"/>
      <c r="Z84" s="53"/>
      <c r="AA84" s="53"/>
      <c r="AB84" s="52"/>
      <c r="AC84" s="52"/>
      <c r="AD84" s="67"/>
      <c r="AF84" s="73" t="s">
        <v>47</v>
      </c>
      <c r="AG84" s="53">
        <v>9</v>
      </c>
      <c r="AH84" s="53">
        <v>2.8382528729945202E-2</v>
      </c>
      <c r="AI84" s="53"/>
      <c r="AJ84" s="53"/>
      <c r="AK84" s="53"/>
      <c r="AL84" s="52"/>
      <c r="AM84" s="52"/>
      <c r="AN84" s="67"/>
      <c r="AO84" s="42"/>
    </row>
    <row r="85" spans="1:41" ht="15.75" thickBot="1" x14ac:dyDescent="0.3">
      <c r="A85" s="27"/>
      <c r="B85" s="20"/>
      <c r="C85" s="20"/>
      <c r="D85" s="20"/>
      <c r="E85" s="20"/>
      <c r="F85" s="20"/>
      <c r="G85" s="20"/>
      <c r="H85" s="20"/>
      <c r="I85" s="26"/>
      <c r="K85" s="27"/>
      <c r="L85" s="20"/>
      <c r="M85" s="20"/>
      <c r="N85" s="20"/>
      <c r="O85" s="20"/>
      <c r="P85" s="20"/>
      <c r="Q85" s="20"/>
      <c r="R85" s="20"/>
      <c r="S85" s="26"/>
      <c r="T85" s="42"/>
      <c r="U85" s="43"/>
      <c r="V85" s="72"/>
      <c r="W85" s="52"/>
      <c r="X85" s="52"/>
      <c r="Y85" s="52"/>
      <c r="Z85" s="52"/>
      <c r="AA85" s="52"/>
      <c r="AB85" s="52"/>
      <c r="AC85" s="52"/>
      <c r="AD85" s="67"/>
      <c r="AF85" s="72"/>
      <c r="AG85" s="52"/>
      <c r="AH85" s="52"/>
      <c r="AI85" s="52"/>
      <c r="AJ85" s="52"/>
      <c r="AK85" s="52"/>
      <c r="AL85" s="52"/>
      <c r="AM85" s="52"/>
      <c r="AN85" s="67"/>
      <c r="AO85" s="42"/>
    </row>
    <row r="86" spans="1:41" x14ac:dyDescent="0.25">
      <c r="A86" s="29"/>
      <c r="B86" s="22" t="s">
        <v>54</v>
      </c>
      <c r="C86" s="22" t="s">
        <v>42</v>
      </c>
      <c r="D86" s="22" t="s">
        <v>55</v>
      </c>
      <c r="E86" s="22" t="s">
        <v>56</v>
      </c>
      <c r="F86" s="22" t="s">
        <v>57</v>
      </c>
      <c r="G86" s="22" t="s">
        <v>58</v>
      </c>
      <c r="H86" s="22" t="s">
        <v>59</v>
      </c>
      <c r="I86" s="30" t="s">
        <v>60</v>
      </c>
      <c r="K86" s="29"/>
      <c r="L86" s="22" t="s">
        <v>54</v>
      </c>
      <c r="M86" s="22" t="s">
        <v>42</v>
      </c>
      <c r="N86" s="22" t="s">
        <v>55</v>
      </c>
      <c r="O86" s="22" t="s">
        <v>56</v>
      </c>
      <c r="P86" s="22" t="s">
        <v>57</v>
      </c>
      <c r="Q86" s="22" t="s">
        <v>58</v>
      </c>
      <c r="R86" s="22" t="s">
        <v>59</v>
      </c>
      <c r="S86" s="30" t="s">
        <v>60</v>
      </c>
      <c r="T86" s="42"/>
      <c r="U86" s="43"/>
      <c r="V86" s="74"/>
      <c r="W86" s="51" t="s">
        <v>54</v>
      </c>
      <c r="X86" s="51" t="s">
        <v>42</v>
      </c>
      <c r="Y86" s="51" t="s">
        <v>55</v>
      </c>
      <c r="Z86" s="51" t="s">
        <v>56</v>
      </c>
      <c r="AA86" s="51" t="s">
        <v>57</v>
      </c>
      <c r="AB86" s="51" t="s">
        <v>58</v>
      </c>
      <c r="AC86" s="51" t="s">
        <v>59</v>
      </c>
      <c r="AD86" s="68" t="s">
        <v>60</v>
      </c>
      <c r="AF86" s="74"/>
      <c r="AG86" s="51" t="s">
        <v>54</v>
      </c>
      <c r="AH86" s="51" t="s">
        <v>42</v>
      </c>
      <c r="AI86" s="51" t="s">
        <v>55</v>
      </c>
      <c r="AJ86" s="51" t="s">
        <v>56</v>
      </c>
      <c r="AK86" s="51" t="s">
        <v>57</v>
      </c>
      <c r="AL86" s="51" t="s">
        <v>58</v>
      </c>
      <c r="AM86" s="51" t="s">
        <v>59</v>
      </c>
      <c r="AN86" s="68" t="s">
        <v>60</v>
      </c>
      <c r="AO86" s="42"/>
    </row>
    <row r="87" spans="1:41" x14ac:dyDescent="0.25">
      <c r="A87" s="27" t="s">
        <v>48</v>
      </c>
      <c r="B87" s="20">
        <v>-0.64659934223433413</v>
      </c>
      <c r="C87" s="20">
        <v>2.5225912167458339E-2</v>
      </c>
      <c r="D87" s="20">
        <v>-25.632347323735367</v>
      </c>
      <c r="E87" s="20">
        <v>2.482398799250107E-2</v>
      </c>
      <c r="F87" s="20">
        <v>-0.9671249468908204</v>
      </c>
      <c r="G87" s="20">
        <v>-0.32607373757784786</v>
      </c>
      <c r="H87" s="20">
        <v>-0.9671249468908204</v>
      </c>
      <c r="I87" s="26">
        <v>-0.32607373757784786</v>
      </c>
      <c r="K87" s="27" t="s">
        <v>48</v>
      </c>
      <c r="L87" s="20">
        <v>0.57479757024679456</v>
      </c>
      <c r="M87" s="20">
        <v>0.79788000858992536</v>
      </c>
      <c r="N87" s="20">
        <v>0.72040603105549772</v>
      </c>
      <c r="O87" s="20">
        <v>0.54609542277127809</v>
      </c>
      <c r="P87" s="20">
        <v>-2.8582030267251732</v>
      </c>
      <c r="Q87" s="20">
        <v>4.0077981672187626</v>
      </c>
      <c r="R87" s="20">
        <v>-2.8582030267251732</v>
      </c>
      <c r="S87" s="26">
        <v>4.0077981672187626</v>
      </c>
      <c r="T87" s="42"/>
      <c r="U87" s="43"/>
      <c r="V87" s="72" t="s">
        <v>48</v>
      </c>
      <c r="W87" s="52">
        <v>0.39856972372886729</v>
      </c>
      <c r="X87" s="52">
        <v>1.0965809773215509</v>
      </c>
      <c r="Y87" s="52">
        <v>0.36346583788311926</v>
      </c>
      <c r="Z87" s="52">
        <v>0.72871975647655018</v>
      </c>
      <c r="AA87" s="52">
        <v>-2.2846672654193689</v>
      </c>
      <c r="AB87" s="52">
        <v>3.0818067128771034</v>
      </c>
      <c r="AC87" s="52">
        <v>-2.2846672654193689</v>
      </c>
      <c r="AD87" s="67">
        <v>3.0818067128771034</v>
      </c>
      <c r="AF87" s="72" t="s">
        <v>48</v>
      </c>
      <c r="AG87" s="52">
        <v>-0.14429939003874226</v>
      </c>
      <c r="AH87" s="52">
        <v>0.91691696300525205</v>
      </c>
      <c r="AI87" s="52">
        <v>-0.15737454519959157</v>
      </c>
      <c r="AJ87" s="52">
        <v>0.87939291595997371</v>
      </c>
      <c r="AK87" s="52">
        <v>-2.3124634774577659</v>
      </c>
      <c r="AL87" s="52">
        <v>2.0238646973802812</v>
      </c>
      <c r="AM87" s="52">
        <v>-2.3124634774577659</v>
      </c>
      <c r="AN87" s="67">
        <v>2.0238646973802812</v>
      </c>
      <c r="AO87" s="42"/>
    </row>
    <row r="88" spans="1:41" x14ac:dyDescent="0.25">
      <c r="A88" s="27" t="s">
        <v>37</v>
      </c>
      <c r="B88" s="20">
        <v>1.728033713344248E-3</v>
      </c>
      <c r="C88" s="20">
        <v>2.621632124301591E-5</v>
      </c>
      <c r="D88" s="20">
        <v>65.914423969938198</v>
      </c>
      <c r="E88" s="20">
        <v>9.6575362153668923E-3</v>
      </c>
      <c r="F88" s="20">
        <v>1.3949237682011617E-3</v>
      </c>
      <c r="G88" s="20">
        <v>2.0611436584873342E-3</v>
      </c>
      <c r="H88" s="20">
        <v>1.3949237682011617E-3</v>
      </c>
      <c r="I88" s="26">
        <v>2.0611436584873342E-3</v>
      </c>
      <c r="K88" s="27" t="s">
        <v>31</v>
      </c>
      <c r="L88" s="20">
        <v>-6.7772989849863331E-4</v>
      </c>
      <c r="M88" s="20">
        <v>6.3807200801857004E-3</v>
      </c>
      <c r="N88" s="20">
        <v>-0.10621526880691953</v>
      </c>
      <c r="O88" s="20">
        <v>0.92510540040239464</v>
      </c>
      <c r="P88" s="20">
        <v>-2.8131752569276851E-2</v>
      </c>
      <c r="Q88" s="20">
        <v>2.6776292772279588E-2</v>
      </c>
      <c r="R88" s="20">
        <v>-2.8131752569276851E-2</v>
      </c>
      <c r="S88" s="26">
        <v>2.6776292772279588E-2</v>
      </c>
      <c r="T88" s="42"/>
      <c r="U88" s="43"/>
      <c r="V88" s="72" t="s">
        <v>37</v>
      </c>
      <c r="W88" s="52">
        <v>-9.8820819193816715E-4</v>
      </c>
      <c r="X88" s="52">
        <v>1.0678755367705629E-3</v>
      </c>
      <c r="Y88" s="52">
        <v>-0.92539641363700176</v>
      </c>
      <c r="Z88" s="52">
        <v>0.39046178351613015</v>
      </c>
      <c r="AA88" s="52">
        <v>-3.6012054984098534E-3</v>
      </c>
      <c r="AB88" s="52">
        <v>1.6247891145335191E-3</v>
      </c>
      <c r="AC88" s="52">
        <v>-3.6012054984098534E-3</v>
      </c>
      <c r="AD88" s="67">
        <v>1.6247891145335191E-3</v>
      </c>
      <c r="AF88" s="72" t="s">
        <v>31</v>
      </c>
      <c r="AG88" s="52">
        <v>-2.458055114976797E-3</v>
      </c>
      <c r="AH88" s="52">
        <v>4.413559911889361E-3</v>
      </c>
      <c r="AI88" s="52">
        <v>-0.55693253610429649</v>
      </c>
      <c r="AJ88" s="52">
        <v>0.59492354783685886</v>
      </c>
      <c r="AK88" s="52">
        <v>-1.2894465918488095E-2</v>
      </c>
      <c r="AL88" s="52">
        <v>7.9783556885344997E-3</v>
      </c>
      <c r="AM88" s="52">
        <v>-1.2894465918488095E-2</v>
      </c>
      <c r="AN88" s="67">
        <v>7.9783556885344997E-3</v>
      </c>
      <c r="AO88" s="42"/>
    </row>
    <row r="89" spans="1:41" x14ac:dyDescent="0.25">
      <c r="A89" s="27" t="s">
        <v>31</v>
      </c>
      <c r="B89" s="20">
        <v>-1.0912237379480756E-2</v>
      </c>
      <c r="C89" s="20">
        <v>2.069928000211488E-4</v>
      </c>
      <c r="D89" s="20">
        <v>-52.717956268845263</v>
      </c>
      <c r="E89" s="20">
        <v>1.2074508917861857E-2</v>
      </c>
      <c r="F89" s="20">
        <v>-1.3542330275463541E-2</v>
      </c>
      <c r="G89" s="20">
        <v>-8.2821444834979708E-3</v>
      </c>
      <c r="H89" s="20">
        <v>-1.3542330275463541E-2</v>
      </c>
      <c r="I89" s="26">
        <v>-8.2821444834979708E-3</v>
      </c>
      <c r="K89" s="31" t="s">
        <v>28</v>
      </c>
      <c r="L89" s="32">
        <v>-0.48980137734806967</v>
      </c>
      <c r="M89" s="32">
        <v>0.83111089858907783</v>
      </c>
      <c r="N89" s="32">
        <v>-0.58933335873656956</v>
      </c>
      <c r="O89" s="32">
        <v>0.61534139881445249</v>
      </c>
      <c r="P89" s="32">
        <v>-4.0657829538868953</v>
      </c>
      <c r="Q89" s="32">
        <v>3.0861801991907556</v>
      </c>
      <c r="R89" s="32">
        <v>-4.0657829538868953</v>
      </c>
      <c r="S89" s="33">
        <v>3.0861801991907556</v>
      </c>
      <c r="T89" s="42"/>
      <c r="U89" s="43"/>
      <c r="V89" s="72" t="s">
        <v>31</v>
      </c>
      <c r="W89" s="52">
        <v>9.9526025748304553E-5</v>
      </c>
      <c r="X89" s="52">
        <v>5.2465248934461103E-3</v>
      </c>
      <c r="Y89" s="52">
        <v>1.8969894886543121E-2</v>
      </c>
      <c r="Z89" s="52">
        <v>0.985480215049089</v>
      </c>
      <c r="AA89" s="52">
        <v>-1.2738257913352081E-2</v>
      </c>
      <c r="AB89" s="52">
        <v>1.2937309964848692E-2</v>
      </c>
      <c r="AC89" s="52">
        <v>-1.2738257913352081E-2</v>
      </c>
      <c r="AD89" s="67">
        <v>1.2937309964848692E-2</v>
      </c>
      <c r="AF89" s="75" t="s">
        <v>28</v>
      </c>
      <c r="AG89" s="76">
        <v>0.23722855125627926</v>
      </c>
      <c r="AH89" s="76">
        <v>0.92486397246198315</v>
      </c>
      <c r="AI89" s="76">
        <v>0.25650101887391946</v>
      </c>
      <c r="AJ89" s="76">
        <v>0.80493924801977967</v>
      </c>
      <c r="AK89" s="76">
        <v>-1.9497272274517679</v>
      </c>
      <c r="AL89" s="76">
        <v>2.4241843299643264</v>
      </c>
      <c r="AM89" s="76">
        <v>-1.9497272274517679</v>
      </c>
      <c r="AN89" s="77">
        <v>2.4241843299643264</v>
      </c>
      <c r="AO89" s="42"/>
    </row>
    <row r="90" spans="1:41" ht="18" customHeight="1" x14ac:dyDescent="0.25">
      <c r="A90" s="31" t="s">
        <v>28</v>
      </c>
      <c r="B90" s="32">
        <v>0.77887734090763949</v>
      </c>
      <c r="C90" s="32">
        <v>2.6236584854176456E-2</v>
      </c>
      <c r="D90" s="32">
        <v>29.686689225623599</v>
      </c>
      <c r="E90" s="32">
        <v>2.1436514629659887E-2</v>
      </c>
      <c r="F90" s="32">
        <v>0.44550992217245305</v>
      </c>
      <c r="G90" s="32">
        <v>1.112244759642826</v>
      </c>
      <c r="H90" s="32">
        <v>0.44550992217245305</v>
      </c>
      <c r="I90" s="33">
        <v>1.112244759642826</v>
      </c>
      <c r="T90" s="42"/>
      <c r="U90" s="43"/>
      <c r="V90" s="75" t="s">
        <v>28</v>
      </c>
      <c r="W90" s="76">
        <v>-0.28450436857492017</v>
      </c>
      <c r="X90" s="76">
        <v>1.0914014743644673</v>
      </c>
      <c r="Y90" s="76">
        <v>-0.26067801378094124</v>
      </c>
      <c r="Z90" s="76">
        <v>0.80305678061713359</v>
      </c>
      <c r="AA90" s="76">
        <v>-2.9550675705544278</v>
      </c>
      <c r="AB90" s="76">
        <v>2.3860588334045878</v>
      </c>
      <c r="AC90" s="76">
        <v>-2.9550675705544278</v>
      </c>
      <c r="AD90" s="77">
        <v>2.3860588334045878</v>
      </c>
      <c r="AN90" s="42"/>
      <c r="AO90" s="42"/>
    </row>
    <row r="91" spans="1:41" x14ac:dyDescent="0.25">
      <c r="T91" s="42"/>
      <c r="U91" s="43"/>
      <c r="AN91" s="42"/>
      <c r="AO91" s="42"/>
    </row>
    <row r="92" spans="1:41" ht="15.75" thickBot="1" x14ac:dyDescent="0.3">
      <c r="A92" s="110" t="s">
        <v>63</v>
      </c>
      <c r="B92" s="111"/>
      <c r="C92" s="111"/>
      <c r="D92" s="111"/>
      <c r="E92" s="111"/>
      <c r="F92" s="111"/>
      <c r="G92" s="111"/>
      <c r="H92" s="111"/>
      <c r="I92" s="112"/>
      <c r="K92" s="101" t="s">
        <v>64</v>
      </c>
      <c r="L92" s="102"/>
      <c r="M92" s="102"/>
      <c r="N92" s="102"/>
      <c r="O92" s="102"/>
      <c r="P92" s="102"/>
      <c r="Q92" s="102"/>
      <c r="R92" s="102"/>
      <c r="S92" s="103"/>
      <c r="T92" s="42"/>
      <c r="U92" s="43"/>
      <c r="V92" s="98" t="s">
        <v>67</v>
      </c>
      <c r="W92" s="99"/>
      <c r="X92" s="99"/>
      <c r="Y92" s="99"/>
      <c r="Z92" s="99"/>
      <c r="AA92" s="99"/>
      <c r="AB92" s="99"/>
      <c r="AC92" s="99"/>
      <c r="AD92" s="100"/>
      <c r="AF92" s="98" t="s">
        <v>68</v>
      </c>
      <c r="AG92" s="99"/>
      <c r="AH92" s="99"/>
      <c r="AI92" s="99"/>
      <c r="AJ92" s="99"/>
      <c r="AK92" s="99"/>
      <c r="AL92" s="99"/>
      <c r="AM92" s="99"/>
      <c r="AN92" s="100"/>
      <c r="AO92" s="42"/>
    </row>
    <row r="93" spans="1:41" x14ac:dyDescent="0.25">
      <c r="A93" s="91" t="s">
        <v>38</v>
      </c>
      <c r="B93" s="90"/>
      <c r="C93" s="36"/>
      <c r="D93" s="36"/>
      <c r="E93" s="36"/>
      <c r="F93" s="36"/>
      <c r="G93" s="36"/>
      <c r="H93" s="36"/>
      <c r="I93" s="85"/>
      <c r="K93" s="44" t="s">
        <v>38</v>
      </c>
      <c r="L93" s="35"/>
      <c r="M93" s="36"/>
      <c r="N93" s="36"/>
      <c r="O93" s="36"/>
      <c r="P93" s="36"/>
      <c r="Q93" s="36"/>
      <c r="R93" s="36"/>
      <c r="S93" s="85"/>
      <c r="T93" s="42"/>
      <c r="U93" s="43"/>
      <c r="V93" s="78" t="s">
        <v>38</v>
      </c>
      <c r="W93" s="65"/>
      <c r="X93" s="56"/>
      <c r="Y93" s="56"/>
      <c r="Z93" s="56"/>
      <c r="AA93" s="56"/>
      <c r="AB93" s="56"/>
      <c r="AC93" s="56"/>
      <c r="AD93" s="69"/>
      <c r="AF93" s="78" t="s">
        <v>38</v>
      </c>
      <c r="AG93" s="65"/>
      <c r="AH93" s="56"/>
      <c r="AI93" s="56"/>
      <c r="AJ93" s="56"/>
      <c r="AK93" s="56"/>
      <c r="AL93" s="56"/>
      <c r="AM93" s="56"/>
      <c r="AN93" s="69"/>
      <c r="AO93" s="42"/>
    </row>
    <row r="94" spans="1:41" x14ac:dyDescent="0.25">
      <c r="A94" s="45" t="s">
        <v>39</v>
      </c>
      <c r="B94" s="34">
        <v>0.61329532830005995</v>
      </c>
      <c r="C94" s="36"/>
      <c r="D94" s="36"/>
      <c r="E94" s="36"/>
      <c r="F94" s="36"/>
      <c r="G94" s="36"/>
      <c r="H94" s="36"/>
      <c r="I94" s="85"/>
      <c r="K94" s="45" t="s">
        <v>39</v>
      </c>
      <c r="L94" s="34">
        <v>0.32996821115903413</v>
      </c>
      <c r="M94" s="36"/>
      <c r="N94" s="36"/>
      <c r="O94" s="36"/>
      <c r="P94" s="36"/>
      <c r="Q94" s="36"/>
      <c r="R94" s="36"/>
      <c r="S94" s="85"/>
      <c r="T94" s="42"/>
      <c r="U94" s="43"/>
      <c r="V94" s="79" t="s">
        <v>39</v>
      </c>
      <c r="W94" s="56">
        <v>0.33905835351992042</v>
      </c>
      <c r="X94" s="56"/>
      <c r="Y94" s="56"/>
      <c r="Z94" s="56"/>
      <c r="AA94" s="56"/>
      <c r="AB94" s="56"/>
      <c r="AC94" s="56"/>
      <c r="AD94" s="69"/>
      <c r="AF94" s="79" t="s">
        <v>39</v>
      </c>
      <c r="AG94" s="56">
        <v>0.24482646246209055</v>
      </c>
      <c r="AH94" s="56"/>
      <c r="AI94" s="56"/>
      <c r="AJ94" s="56"/>
      <c r="AK94" s="56"/>
      <c r="AL94" s="56"/>
      <c r="AM94" s="56"/>
      <c r="AN94" s="69"/>
      <c r="AO94" s="42"/>
    </row>
    <row r="95" spans="1:41" x14ac:dyDescent="0.25">
      <c r="A95" s="45" t="s">
        <v>40</v>
      </c>
      <c r="B95" s="34">
        <v>0.37613115971467831</v>
      </c>
      <c r="C95" s="36"/>
      <c r="D95" s="36"/>
      <c r="E95" s="36"/>
      <c r="F95" s="36"/>
      <c r="G95" s="36"/>
      <c r="H95" s="36"/>
      <c r="I95" s="85"/>
      <c r="K95" s="45" t="s">
        <v>40</v>
      </c>
      <c r="L95" s="34">
        <v>0.10887902037549295</v>
      </c>
      <c r="M95" s="36"/>
      <c r="N95" s="36"/>
      <c r="O95" s="36"/>
      <c r="P95" s="36"/>
      <c r="Q95" s="36"/>
      <c r="R95" s="36"/>
      <c r="S95" s="85"/>
      <c r="T95" s="42"/>
      <c r="U95" s="43"/>
      <c r="V95" s="79" t="s">
        <v>40</v>
      </c>
      <c r="W95" s="56">
        <v>0.11496056709163932</v>
      </c>
      <c r="X95" s="56"/>
      <c r="Y95" s="56"/>
      <c r="Z95" s="56"/>
      <c r="AA95" s="56"/>
      <c r="AB95" s="56"/>
      <c r="AC95" s="56"/>
      <c r="AD95" s="69"/>
      <c r="AF95" s="79" t="s">
        <v>40</v>
      </c>
      <c r="AG95" s="56">
        <v>5.993999672170143E-2</v>
      </c>
      <c r="AH95" s="56"/>
      <c r="AI95" s="56"/>
      <c r="AJ95" s="56"/>
      <c r="AK95" s="56"/>
      <c r="AL95" s="56"/>
      <c r="AM95" s="56"/>
      <c r="AN95" s="69"/>
      <c r="AO95" s="42"/>
    </row>
    <row r="96" spans="1:41" x14ac:dyDescent="0.25">
      <c r="A96" s="45" t="s">
        <v>41</v>
      </c>
      <c r="B96" s="34">
        <v>-1.4954753611412868</v>
      </c>
      <c r="C96" s="36"/>
      <c r="D96" s="36"/>
      <c r="E96" s="36"/>
      <c r="F96" s="36"/>
      <c r="G96" s="36"/>
      <c r="H96" s="36"/>
      <c r="I96" s="85"/>
      <c r="K96" s="45" t="s">
        <v>41</v>
      </c>
      <c r="L96" s="34">
        <v>-0.78224195924901407</v>
      </c>
      <c r="M96" s="36"/>
      <c r="N96" s="36"/>
      <c r="O96" s="36"/>
      <c r="P96" s="36"/>
      <c r="Q96" s="36"/>
      <c r="R96" s="36"/>
      <c r="S96" s="85"/>
      <c r="T96" s="42"/>
      <c r="U96" s="43"/>
      <c r="V96" s="79" t="s">
        <v>41</v>
      </c>
      <c r="W96" s="56">
        <v>-0.32755914936254099</v>
      </c>
      <c r="X96" s="56"/>
      <c r="Y96" s="56"/>
      <c r="Z96" s="56"/>
      <c r="AA96" s="56"/>
      <c r="AB96" s="56"/>
      <c r="AC96" s="56"/>
      <c r="AD96" s="69"/>
      <c r="AF96" s="79" t="s">
        <v>41</v>
      </c>
      <c r="AG96" s="56">
        <v>-0.20864857564352673</v>
      </c>
      <c r="AH96" s="56"/>
      <c r="AI96" s="56"/>
      <c r="AJ96" s="56"/>
      <c r="AK96" s="56"/>
      <c r="AL96" s="56"/>
      <c r="AM96" s="56"/>
      <c r="AN96" s="69"/>
      <c r="AO96" s="42"/>
    </row>
    <row r="97" spans="1:41" x14ac:dyDescent="0.25">
      <c r="A97" s="45" t="s">
        <v>42</v>
      </c>
      <c r="B97" s="34">
        <v>3.1179436058056929E-2</v>
      </c>
      <c r="C97" s="36"/>
      <c r="D97" s="36"/>
      <c r="E97" s="36"/>
      <c r="F97" s="36"/>
      <c r="G97" s="36"/>
      <c r="H97" s="36"/>
      <c r="I97" s="85"/>
      <c r="K97" s="45" t="s">
        <v>42</v>
      </c>
      <c r="L97" s="34">
        <v>2.6349655693570093E-2</v>
      </c>
      <c r="M97" s="36"/>
      <c r="N97" s="36"/>
      <c r="O97" s="36"/>
      <c r="P97" s="36"/>
      <c r="Q97" s="36"/>
      <c r="R97" s="36"/>
      <c r="S97" s="85"/>
      <c r="T97" s="42"/>
      <c r="U97" s="43"/>
      <c r="V97" s="79" t="s">
        <v>42</v>
      </c>
      <c r="W97" s="56">
        <v>4.2672145768145146E-2</v>
      </c>
      <c r="X97" s="56"/>
      <c r="Y97" s="56"/>
      <c r="Z97" s="56"/>
      <c r="AA97" s="56"/>
      <c r="AB97" s="56"/>
      <c r="AC97" s="56"/>
      <c r="AD97" s="69"/>
      <c r="AF97" s="79" t="s">
        <v>42</v>
      </c>
      <c r="AG97" s="56">
        <v>4.0716230482032843E-2</v>
      </c>
      <c r="AH97" s="56"/>
      <c r="AI97" s="56"/>
      <c r="AJ97" s="56"/>
      <c r="AK97" s="56"/>
      <c r="AL97" s="56"/>
      <c r="AM97" s="56"/>
      <c r="AN97" s="69"/>
      <c r="AO97" s="42"/>
    </row>
    <row r="98" spans="1:41" ht="15.75" thickBot="1" x14ac:dyDescent="0.3">
      <c r="A98" s="46" t="s">
        <v>43</v>
      </c>
      <c r="B98" s="37">
        <v>5</v>
      </c>
      <c r="C98" s="36"/>
      <c r="D98" s="36"/>
      <c r="E98" s="36"/>
      <c r="F98" s="36"/>
      <c r="G98" s="36"/>
      <c r="H98" s="36"/>
      <c r="I98" s="85"/>
      <c r="K98" s="46" t="s">
        <v>43</v>
      </c>
      <c r="L98" s="37">
        <v>5</v>
      </c>
      <c r="M98" s="36"/>
      <c r="N98" s="36"/>
      <c r="O98" s="36"/>
      <c r="P98" s="36"/>
      <c r="Q98" s="36"/>
      <c r="R98" s="36"/>
      <c r="S98" s="85"/>
      <c r="T98" s="42"/>
      <c r="U98" s="43"/>
      <c r="V98" s="80" t="s">
        <v>43</v>
      </c>
      <c r="W98" s="58">
        <v>10</v>
      </c>
      <c r="X98" s="56"/>
      <c r="Y98" s="56"/>
      <c r="Z98" s="56"/>
      <c r="AA98" s="56"/>
      <c r="AB98" s="56"/>
      <c r="AC98" s="56"/>
      <c r="AD98" s="69"/>
      <c r="AF98" s="80" t="s">
        <v>43</v>
      </c>
      <c r="AG98" s="58">
        <v>10</v>
      </c>
      <c r="AH98" s="56"/>
      <c r="AI98" s="56"/>
      <c r="AJ98" s="56"/>
      <c r="AK98" s="56"/>
      <c r="AL98" s="56"/>
      <c r="AM98" s="56"/>
      <c r="AN98" s="69"/>
      <c r="AO98" s="42"/>
    </row>
    <row r="99" spans="1:41" x14ac:dyDescent="0.25">
      <c r="A99" s="45"/>
      <c r="B99" s="36"/>
      <c r="C99" s="36"/>
      <c r="D99" s="36"/>
      <c r="E99" s="36"/>
      <c r="F99" s="36"/>
      <c r="G99" s="36"/>
      <c r="H99" s="36"/>
      <c r="I99" s="85"/>
      <c r="K99" s="45"/>
      <c r="L99" s="36"/>
      <c r="M99" s="36"/>
      <c r="N99" s="36"/>
      <c r="O99" s="36"/>
      <c r="P99" s="36"/>
      <c r="Q99" s="36"/>
      <c r="R99" s="36"/>
      <c r="S99" s="85"/>
      <c r="T99" s="42"/>
      <c r="U99" s="43"/>
      <c r="V99" s="79"/>
      <c r="W99" s="56"/>
      <c r="X99" s="56"/>
      <c r="Y99" s="56"/>
      <c r="Z99" s="56"/>
      <c r="AA99" s="56"/>
      <c r="AB99" s="56"/>
      <c r="AC99" s="56"/>
      <c r="AD99" s="69"/>
      <c r="AF99" s="79"/>
      <c r="AG99" s="56"/>
      <c r="AH99" s="56"/>
      <c r="AI99" s="56"/>
      <c r="AJ99" s="56"/>
      <c r="AK99" s="56"/>
      <c r="AL99" s="56"/>
      <c r="AM99" s="56"/>
      <c r="AN99" s="69"/>
      <c r="AO99" s="42"/>
    </row>
    <row r="100" spans="1:41" ht="15.75" thickBot="1" x14ac:dyDescent="0.3">
      <c r="A100" s="45" t="s">
        <v>44</v>
      </c>
      <c r="B100" s="36"/>
      <c r="C100" s="36"/>
      <c r="D100" s="36"/>
      <c r="E100" s="36"/>
      <c r="F100" s="36"/>
      <c r="G100" s="36"/>
      <c r="H100" s="36"/>
      <c r="I100" s="85"/>
      <c r="K100" s="45" t="s">
        <v>44</v>
      </c>
      <c r="L100" s="36"/>
      <c r="M100" s="36"/>
      <c r="N100" s="36"/>
      <c r="O100" s="36"/>
      <c r="P100" s="36"/>
      <c r="Q100" s="36"/>
      <c r="R100" s="36"/>
      <c r="S100" s="85"/>
      <c r="T100" s="42"/>
      <c r="U100" s="43"/>
      <c r="V100" s="79" t="s">
        <v>44</v>
      </c>
      <c r="W100" s="56"/>
      <c r="X100" s="56"/>
      <c r="Y100" s="56"/>
      <c r="Z100" s="56"/>
      <c r="AA100" s="56"/>
      <c r="AB100" s="56"/>
      <c r="AC100" s="56"/>
      <c r="AD100" s="69"/>
      <c r="AF100" s="79" t="s">
        <v>44</v>
      </c>
      <c r="AG100" s="56"/>
      <c r="AH100" s="56"/>
      <c r="AI100" s="56"/>
      <c r="AJ100" s="56"/>
      <c r="AK100" s="56"/>
      <c r="AL100" s="56"/>
      <c r="AM100" s="56"/>
      <c r="AN100" s="69"/>
      <c r="AO100" s="42"/>
    </row>
    <row r="101" spans="1:41" x14ac:dyDescent="0.25">
      <c r="A101" s="47"/>
      <c r="B101" s="38" t="s">
        <v>49</v>
      </c>
      <c r="C101" s="38" t="s">
        <v>50</v>
      </c>
      <c r="D101" s="38" t="s">
        <v>51</v>
      </c>
      <c r="E101" s="38" t="s">
        <v>52</v>
      </c>
      <c r="F101" s="38" t="s">
        <v>53</v>
      </c>
      <c r="G101" s="36"/>
      <c r="H101" s="36"/>
      <c r="I101" s="85"/>
      <c r="K101" s="47"/>
      <c r="L101" s="38" t="s">
        <v>49</v>
      </c>
      <c r="M101" s="38" t="s">
        <v>50</v>
      </c>
      <c r="N101" s="38" t="s">
        <v>51</v>
      </c>
      <c r="O101" s="38" t="s">
        <v>52</v>
      </c>
      <c r="P101" s="38" t="s">
        <v>53</v>
      </c>
      <c r="Q101" s="36"/>
      <c r="R101" s="36"/>
      <c r="S101" s="85"/>
      <c r="T101" s="42"/>
      <c r="U101" s="43"/>
      <c r="V101" s="81"/>
      <c r="W101" s="55" t="s">
        <v>49</v>
      </c>
      <c r="X101" s="55" t="s">
        <v>50</v>
      </c>
      <c r="Y101" s="55" t="s">
        <v>51</v>
      </c>
      <c r="Z101" s="55" t="s">
        <v>52</v>
      </c>
      <c r="AA101" s="55" t="s">
        <v>53</v>
      </c>
      <c r="AB101" s="56"/>
      <c r="AC101" s="56"/>
      <c r="AD101" s="69"/>
      <c r="AF101" s="81"/>
      <c r="AG101" s="55" t="s">
        <v>49</v>
      </c>
      <c r="AH101" s="55" t="s">
        <v>50</v>
      </c>
      <c r="AI101" s="55" t="s">
        <v>51</v>
      </c>
      <c r="AJ101" s="55" t="s">
        <v>52</v>
      </c>
      <c r="AK101" s="55" t="s">
        <v>53</v>
      </c>
      <c r="AL101" s="56"/>
      <c r="AM101" s="56"/>
      <c r="AN101" s="69"/>
      <c r="AO101" s="42"/>
    </row>
    <row r="102" spans="1:41" x14ac:dyDescent="0.25">
      <c r="A102" s="45" t="s">
        <v>45</v>
      </c>
      <c r="B102" s="36">
        <v>3</v>
      </c>
      <c r="C102" s="36">
        <v>5.8611458662990664E-4</v>
      </c>
      <c r="D102" s="36">
        <v>1.9537152887663556E-4</v>
      </c>
      <c r="E102" s="36">
        <v>0.20096700643181001</v>
      </c>
      <c r="F102" s="36">
        <v>0.88807437048780391</v>
      </c>
      <c r="G102" s="36"/>
      <c r="H102" s="36"/>
      <c r="I102" s="85"/>
      <c r="K102" s="45" t="s">
        <v>45</v>
      </c>
      <c r="L102" s="36">
        <v>2</v>
      </c>
      <c r="M102" s="36">
        <v>1.6966310918898556E-4</v>
      </c>
      <c r="N102" s="36">
        <v>8.4831554594492781E-5</v>
      </c>
      <c r="O102" s="36">
        <v>0.12218208623185088</v>
      </c>
      <c r="P102" s="36">
        <v>0.89112097962450698</v>
      </c>
      <c r="Q102" s="36"/>
      <c r="R102" s="36"/>
      <c r="S102" s="85"/>
      <c r="T102" s="42"/>
      <c r="U102" s="43"/>
      <c r="V102" s="79" t="s">
        <v>45</v>
      </c>
      <c r="W102" s="56">
        <v>3</v>
      </c>
      <c r="X102" s="56">
        <v>1.4191440822094881E-3</v>
      </c>
      <c r="Y102" s="56">
        <v>4.7304802740316269E-4</v>
      </c>
      <c r="Z102" s="56">
        <v>0.25978631644437167</v>
      </c>
      <c r="AA102" s="56">
        <v>0.85202898530726645</v>
      </c>
      <c r="AB102" s="56"/>
      <c r="AC102" s="56"/>
      <c r="AD102" s="69"/>
      <c r="AF102" s="79" t="s">
        <v>45</v>
      </c>
      <c r="AG102" s="56">
        <v>2</v>
      </c>
      <c r="AH102" s="56">
        <v>7.3993625629431223E-4</v>
      </c>
      <c r="AI102" s="56">
        <v>3.6996812814715611E-4</v>
      </c>
      <c r="AJ102" s="56">
        <v>0.22316659340291928</v>
      </c>
      <c r="AK102" s="56">
        <v>0.80546099274079586</v>
      </c>
      <c r="AL102" s="56"/>
      <c r="AM102" s="56"/>
      <c r="AN102" s="69"/>
      <c r="AO102" s="42"/>
    </row>
    <row r="103" spans="1:41" x14ac:dyDescent="0.25">
      <c r="A103" s="45" t="s">
        <v>46</v>
      </c>
      <c r="B103" s="36">
        <v>1</v>
      </c>
      <c r="C103" s="36">
        <v>9.7215723289846058E-4</v>
      </c>
      <c r="D103" s="36">
        <v>9.7215723289846058E-4</v>
      </c>
      <c r="E103" s="36"/>
      <c r="F103" s="36"/>
      <c r="G103" s="36"/>
      <c r="H103" s="36"/>
      <c r="I103" s="85"/>
      <c r="K103" s="45" t="s">
        <v>46</v>
      </c>
      <c r="L103" s="36">
        <v>2</v>
      </c>
      <c r="M103" s="36">
        <v>1.3886087103393817E-3</v>
      </c>
      <c r="N103" s="36">
        <v>6.9430435516969083E-4</v>
      </c>
      <c r="O103" s="36"/>
      <c r="P103" s="36"/>
      <c r="Q103" s="36"/>
      <c r="R103" s="36"/>
      <c r="S103" s="85"/>
      <c r="T103" s="42"/>
      <c r="U103" s="43"/>
      <c r="V103" s="79" t="s">
        <v>46</v>
      </c>
      <c r="W103" s="56">
        <v>6</v>
      </c>
      <c r="X103" s="56">
        <v>1.0925472146746967E-2</v>
      </c>
      <c r="Y103" s="56">
        <v>1.820912024457828E-3</v>
      </c>
      <c r="Z103" s="56"/>
      <c r="AA103" s="56"/>
      <c r="AB103" s="56"/>
      <c r="AC103" s="56"/>
      <c r="AD103" s="69"/>
      <c r="AF103" s="79" t="s">
        <v>46</v>
      </c>
      <c r="AG103" s="56">
        <v>7</v>
      </c>
      <c r="AH103" s="56">
        <v>1.1604679972662143E-2</v>
      </c>
      <c r="AI103" s="56">
        <v>1.6578114246660204E-3</v>
      </c>
      <c r="AJ103" s="56"/>
      <c r="AK103" s="56"/>
      <c r="AL103" s="56"/>
      <c r="AM103" s="56"/>
      <c r="AN103" s="69"/>
      <c r="AO103" s="42"/>
    </row>
    <row r="104" spans="1:41" ht="15.75" thickBot="1" x14ac:dyDescent="0.3">
      <c r="A104" s="46" t="s">
        <v>47</v>
      </c>
      <c r="B104" s="37">
        <v>4</v>
      </c>
      <c r="C104" s="37">
        <v>1.5582718195283672E-3</v>
      </c>
      <c r="D104" s="37"/>
      <c r="E104" s="37"/>
      <c r="F104" s="37"/>
      <c r="G104" s="36"/>
      <c r="H104" s="36"/>
      <c r="I104" s="85"/>
      <c r="K104" s="46" t="s">
        <v>47</v>
      </c>
      <c r="L104" s="37">
        <v>4</v>
      </c>
      <c r="M104" s="37">
        <v>1.5582718195283672E-3</v>
      </c>
      <c r="N104" s="37"/>
      <c r="O104" s="37"/>
      <c r="P104" s="37"/>
      <c r="Q104" s="36"/>
      <c r="R104" s="36"/>
      <c r="S104" s="85"/>
      <c r="T104" s="42"/>
      <c r="U104" s="43"/>
      <c r="V104" s="80" t="s">
        <v>47</v>
      </c>
      <c r="W104" s="58">
        <v>9</v>
      </c>
      <c r="X104" s="58">
        <v>1.2344616228956455E-2</v>
      </c>
      <c r="Y104" s="58"/>
      <c r="Z104" s="58"/>
      <c r="AA104" s="58"/>
      <c r="AB104" s="56"/>
      <c r="AC104" s="56"/>
      <c r="AD104" s="69"/>
      <c r="AF104" s="80" t="s">
        <v>47</v>
      </c>
      <c r="AG104" s="58">
        <v>9</v>
      </c>
      <c r="AH104" s="58">
        <v>1.2344616228956455E-2</v>
      </c>
      <c r="AI104" s="58"/>
      <c r="AJ104" s="58"/>
      <c r="AK104" s="58"/>
      <c r="AL104" s="56"/>
      <c r="AM104" s="56"/>
      <c r="AN104" s="69"/>
      <c r="AO104" s="42"/>
    </row>
    <row r="105" spans="1:41" ht="15.75" thickBot="1" x14ac:dyDescent="0.3">
      <c r="A105" s="45"/>
      <c r="B105" s="36"/>
      <c r="C105" s="36"/>
      <c r="D105" s="36"/>
      <c r="E105" s="36"/>
      <c r="F105" s="36"/>
      <c r="G105" s="36"/>
      <c r="H105" s="36"/>
      <c r="I105" s="85"/>
      <c r="K105" s="45"/>
      <c r="L105" s="36"/>
      <c r="M105" s="36"/>
      <c r="N105" s="36"/>
      <c r="O105" s="36"/>
      <c r="P105" s="36"/>
      <c r="Q105" s="36"/>
      <c r="R105" s="36"/>
      <c r="S105" s="85"/>
      <c r="T105" s="42"/>
      <c r="U105" s="43"/>
      <c r="V105" s="79"/>
      <c r="W105" s="56"/>
      <c r="X105" s="56"/>
      <c r="Y105" s="56"/>
      <c r="Z105" s="56"/>
      <c r="AA105" s="56"/>
      <c r="AB105" s="56"/>
      <c r="AC105" s="56"/>
      <c r="AD105" s="69"/>
      <c r="AF105" s="79"/>
      <c r="AG105" s="56"/>
      <c r="AH105" s="56"/>
      <c r="AI105" s="56"/>
      <c r="AJ105" s="56"/>
      <c r="AK105" s="56"/>
      <c r="AL105" s="56"/>
      <c r="AM105" s="56"/>
      <c r="AN105" s="69"/>
      <c r="AO105" s="42"/>
    </row>
    <row r="106" spans="1:41" x14ac:dyDescent="0.25">
      <c r="A106" s="47"/>
      <c r="B106" s="38" t="s">
        <v>54</v>
      </c>
      <c r="C106" s="38" t="s">
        <v>42</v>
      </c>
      <c r="D106" s="38" t="s">
        <v>55</v>
      </c>
      <c r="E106" s="38" t="s">
        <v>56</v>
      </c>
      <c r="F106" s="38" t="s">
        <v>57</v>
      </c>
      <c r="G106" s="38" t="s">
        <v>58</v>
      </c>
      <c r="H106" s="38" t="s">
        <v>59</v>
      </c>
      <c r="I106" s="86" t="s">
        <v>60</v>
      </c>
      <c r="K106" s="47"/>
      <c r="L106" s="38" t="s">
        <v>54</v>
      </c>
      <c r="M106" s="38" t="s">
        <v>42</v>
      </c>
      <c r="N106" s="38" t="s">
        <v>55</v>
      </c>
      <c r="O106" s="38" t="s">
        <v>56</v>
      </c>
      <c r="P106" s="38" t="s">
        <v>57</v>
      </c>
      <c r="Q106" s="38" t="s">
        <v>58</v>
      </c>
      <c r="R106" s="38" t="s">
        <v>59</v>
      </c>
      <c r="S106" s="86" t="s">
        <v>60</v>
      </c>
      <c r="T106" s="42"/>
      <c r="U106" s="43"/>
      <c r="V106" s="81"/>
      <c r="W106" s="55" t="s">
        <v>54</v>
      </c>
      <c r="X106" s="55" t="s">
        <v>42</v>
      </c>
      <c r="Y106" s="55" t="s">
        <v>55</v>
      </c>
      <c r="Z106" s="55" t="s">
        <v>56</v>
      </c>
      <c r="AA106" s="55" t="s">
        <v>57</v>
      </c>
      <c r="AB106" s="55" t="s">
        <v>58</v>
      </c>
      <c r="AC106" s="55" t="s">
        <v>59</v>
      </c>
      <c r="AD106" s="70" t="s">
        <v>60</v>
      </c>
      <c r="AF106" s="81"/>
      <c r="AG106" s="55" t="s">
        <v>54</v>
      </c>
      <c r="AH106" s="55" t="s">
        <v>42</v>
      </c>
      <c r="AI106" s="55" t="s">
        <v>55</v>
      </c>
      <c r="AJ106" s="55" t="s">
        <v>56</v>
      </c>
      <c r="AK106" s="55" t="s">
        <v>57</v>
      </c>
      <c r="AL106" s="55" t="s">
        <v>58</v>
      </c>
      <c r="AM106" s="55" t="s">
        <v>59</v>
      </c>
      <c r="AN106" s="70" t="s">
        <v>60</v>
      </c>
      <c r="AO106" s="42"/>
    </row>
    <row r="107" spans="1:41" x14ac:dyDescent="0.25">
      <c r="A107" s="45" t="s">
        <v>48</v>
      </c>
      <c r="B107" s="36">
        <v>-0.34576530142204476</v>
      </c>
      <c r="C107" s="36">
        <v>0.73600482299845449</v>
      </c>
      <c r="D107" s="36">
        <v>-0.46978673320836489</v>
      </c>
      <c r="E107" s="36">
        <v>0.72040538581036451</v>
      </c>
      <c r="F107" s="36">
        <v>-9.6975932692524331</v>
      </c>
      <c r="G107" s="36">
        <v>9.0060626664083436</v>
      </c>
      <c r="H107" s="36">
        <v>-9.6975932692524331</v>
      </c>
      <c r="I107" s="85">
        <v>9.0060626664083436</v>
      </c>
      <c r="K107" s="45" t="s">
        <v>48</v>
      </c>
      <c r="L107" s="36">
        <v>8.0886791699670887E-3</v>
      </c>
      <c r="M107" s="36">
        <v>0.42204874808430171</v>
      </c>
      <c r="N107" s="36">
        <v>1.9165272274072529E-2</v>
      </c>
      <c r="O107" s="36">
        <v>0.98644935026895597</v>
      </c>
      <c r="P107" s="36">
        <v>-1.8078405188622975</v>
      </c>
      <c r="Q107" s="36">
        <v>1.8240178772022315</v>
      </c>
      <c r="R107" s="36">
        <v>-1.8078405188622975</v>
      </c>
      <c r="S107" s="85">
        <v>1.8240178772022315</v>
      </c>
      <c r="T107" s="42"/>
      <c r="U107" s="43"/>
      <c r="V107" s="79" t="s">
        <v>48</v>
      </c>
      <c r="W107" s="56">
        <v>-0.24148465457429458</v>
      </c>
      <c r="X107" s="56">
        <v>0.74506236906575607</v>
      </c>
      <c r="Y107" s="56">
        <v>-0.32411334218515891</v>
      </c>
      <c r="Z107" s="56">
        <v>0.75685302156244094</v>
      </c>
      <c r="AA107" s="56">
        <v>-2.0645865952834406</v>
      </c>
      <c r="AB107" s="56">
        <v>1.5816172861348512</v>
      </c>
      <c r="AC107" s="56">
        <v>-2.0645865952834406</v>
      </c>
      <c r="AD107" s="69">
        <v>1.5816172861348512</v>
      </c>
      <c r="AF107" s="79" t="s">
        <v>48</v>
      </c>
      <c r="AG107" s="56">
        <v>1.9464677018154915E-3</v>
      </c>
      <c r="AH107" s="56">
        <v>0.60063034692690342</v>
      </c>
      <c r="AI107" s="56">
        <v>3.2407082189145134E-3</v>
      </c>
      <c r="AJ107" s="56">
        <v>0.99750471507376148</v>
      </c>
      <c r="AK107" s="56">
        <v>-1.4183186168841282</v>
      </c>
      <c r="AL107" s="56">
        <v>1.4222115522877592</v>
      </c>
      <c r="AM107" s="56">
        <v>-1.4183186168841282</v>
      </c>
      <c r="AN107" s="69">
        <v>1.4222115522877592</v>
      </c>
      <c r="AO107" s="42"/>
    </row>
    <row r="108" spans="1:41" x14ac:dyDescent="0.25">
      <c r="A108" s="45" t="s">
        <v>37</v>
      </c>
      <c r="B108" s="36">
        <v>5.006330062042834E-4</v>
      </c>
      <c r="C108" s="36">
        <v>7.6490153252129812E-4</v>
      </c>
      <c r="D108" s="36">
        <v>0.65450647556434804</v>
      </c>
      <c r="E108" s="36">
        <v>0.63105547999631029</v>
      </c>
      <c r="F108" s="36">
        <v>-9.2183624690251251E-3</v>
      </c>
      <c r="G108" s="36">
        <v>1.0219628481433693E-2</v>
      </c>
      <c r="H108" s="36">
        <v>-9.2183624690251251E-3</v>
      </c>
      <c r="I108" s="85">
        <v>1.0219628481433693E-2</v>
      </c>
      <c r="K108" s="45" t="s">
        <v>31</v>
      </c>
      <c r="L108" s="36">
        <v>1.2901711433720917E-3</v>
      </c>
      <c r="M108" s="36">
        <v>3.3751627973208297E-3</v>
      </c>
      <c r="N108" s="36">
        <v>0.3822544928488239</v>
      </c>
      <c r="O108" s="36">
        <v>0.73906895729674926</v>
      </c>
      <c r="P108" s="36">
        <v>-1.3231982279869213E-2</v>
      </c>
      <c r="Q108" s="36">
        <v>1.5812324566613398E-2</v>
      </c>
      <c r="R108" s="36">
        <v>-1.3231982279869213E-2</v>
      </c>
      <c r="S108" s="85">
        <v>1.5812324566613398E-2</v>
      </c>
      <c r="T108" s="42"/>
      <c r="U108" s="43"/>
      <c r="V108" s="79" t="s">
        <v>37</v>
      </c>
      <c r="W108" s="56">
        <v>4.4312822944819893E-4</v>
      </c>
      <c r="X108" s="56">
        <v>7.2555870815579329E-4</v>
      </c>
      <c r="Y108" s="56">
        <v>0.61074069467725223</v>
      </c>
      <c r="Z108" s="56">
        <v>0.56377529242803603</v>
      </c>
      <c r="AA108" s="56">
        <v>-1.3322499722396462E-3</v>
      </c>
      <c r="AB108" s="56">
        <v>2.2185064311360438E-3</v>
      </c>
      <c r="AC108" s="56">
        <v>-1.3322499722396462E-3</v>
      </c>
      <c r="AD108" s="69">
        <v>2.2185064311360438E-3</v>
      </c>
      <c r="AF108" s="79" t="s">
        <v>31</v>
      </c>
      <c r="AG108" s="56">
        <v>-1.4610559382400451E-3</v>
      </c>
      <c r="AH108" s="56">
        <v>2.8911211462074302E-3</v>
      </c>
      <c r="AI108" s="56">
        <v>-0.50535963882269574</v>
      </c>
      <c r="AJ108" s="56">
        <v>0.62882606700546195</v>
      </c>
      <c r="AK108" s="56">
        <v>-8.2974711148548642E-3</v>
      </c>
      <c r="AL108" s="56">
        <v>5.3753592383747745E-3</v>
      </c>
      <c r="AM108" s="56">
        <v>-8.2974711148548642E-3</v>
      </c>
      <c r="AN108" s="69">
        <v>5.3753592383747745E-3</v>
      </c>
      <c r="AO108" s="42"/>
    </row>
    <row r="109" spans="1:41" x14ac:dyDescent="0.25">
      <c r="A109" s="45" t="s">
        <v>31</v>
      </c>
      <c r="B109" s="36">
        <v>-1.6748938363547201E-3</v>
      </c>
      <c r="C109" s="36">
        <v>6.0393336078466992E-3</v>
      </c>
      <c r="D109" s="36">
        <v>-0.27733090190258541</v>
      </c>
      <c r="E109" s="36">
        <v>0.82777401931523265</v>
      </c>
      <c r="F109" s="36">
        <v>-7.8411903127715524E-2</v>
      </c>
      <c r="G109" s="36">
        <v>7.5062115455006087E-2</v>
      </c>
      <c r="H109" s="36">
        <v>-7.8411903127715524E-2</v>
      </c>
      <c r="I109" s="85">
        <v>7.5062115455006087E-2</v>
      </c>
      <c r="K109" s="87" t="s">
        <v>28</v>
      </c>
      <c r="L109" s="88">
        <v>-8.5869732087637176E-3</v>
      </c>
      <c r="M109" s="88">
        <v>0.43962664873462082</v>
      </c>
      <c r="N109" s="88">
        <v>-1.9532421961861588E-2</v>
      </c>
      <c r="O109" s="88">
        <v>0.9861898091154615</v>
      </c>
      <c r="P109" s="88">
        <v>-1.9001477734573886</v>
      </c>
      <c r="Q109" s="88">
        <v>1.882973827039861</v>
      </c>
      <c r="R109" s="88">
        <v>-1.9001477734573886</v>
      </c>
      <c r="S109" s="89">
        <v>1.882973827039861</v>
      </c>
      <c r="T109" s="42"/>
      <c r="U109" s="43"/>
      <c r="V109" s="79" t="s">
        <v>31</v>
      </c>
      <c r="W109" s="56">
        <v>-2.6079158932630973E-3</v>
      </c>
      <c r="X109" s="56">
        <v>3.5647055231810658E-3</v>
      </c>
      <c r="Y109" s="56">
        <v>-0.73159364113079661</v>
      </c>
      <c r="Z109" s="56">
        <v>0.49198975227710751</v>
      </c>
      <c r="AA109" s="56">
        <v>-1.1330436083776776E-2</v>
      </c>
      <c r="AB109" s="56">
        <v>6.114604297250581E-3</v>
      </c>
      <c r="AC109" s="56">
        <v>-1.1330436083776776E-2</v>
      </c>
      <c r="AD109" s="69">
        <v>6.114604297250581E-3</v>
      </c>
      <c r="AF109" s="82" t="s">
        <v>28</v>
      </c>
      <c r="AG109" s="83">
        <v>2.711848983174537E-2</v>
      </c>
      <c r="AH109" s="83">
        <v>0.60583606918923705</v>
      </c>
      <c r="AI109" s="83">
        <v>4.4762091943513389E-2</v>
      </c>
      <c r="AJ109" s="83">
        <v>0.96554710276596456</v>
      </c>
      <c r="AK109" s="83">
        <v>-1.4054561718627689</v>
      </c>
      <c r="AL109" s="83">
        <v>1.4596931515262597</v>
      </c>
      <c r="AM109" s="83">
        <v>-1.4054561718627689</v>
      </c>
      <c r="AN109" s="84">
        <v>1.4596931515262597</v>
      </c>
      <c r="AO109" s="42"/>
    </row>
    <row r="110" spans="1:41" x14ac:dyDescent="0.25">
      <c r="A110" s="87" t="s">
        <v>28</v>
      </c>
      <c r="B110" s="88">
        <v>0.35896513860655938</v>
      </c>
      <c r="C110" s="88">
        <v>0.76549275457291399</v>
      </c>
      <c r="D110" s="88">
        <v>0.4689334242057383</v>
      </c>
      <c r="E110" s="88">
        <v>0.72085055000977283</v>
      </c>
      <c r="F110" s="88">
        <v>-9.3675425250552227</v>
      </c>
      <c r="G110" s="88">
        <v>10.08547280226834</v>
      </c>
      <c r="H110" s="88">
        <v>-9.3675425250552227</v>
      </c>
      <c r="I110" s="89">
        <v>10.08547280226834</v>
      </c>
      <c r="T110" s="42"/>
      <c r="U110" s="43"/>
      <c r="V110" s="82" t="s">
        <v>28</v>
      </c>
      <c r="W110" s="83">
        <v>0.26107180745826475</v>
      </c>
      <c r="X110" s="83">
        <v>0.74154320101196269</v>
      </c>
      <c r="Y110" s="83">
        <v>0.35206553994694789</v>
      </c>
      <c r="Z110" s="83">
        <v>0.73682478067159773</v>
      </c>
      <c r="AA110" s="83">
        <v>-1.5534190392338831</v>
      </c>
      <c r="AB110" s="83">
        <v>2.0755626541504126</v>
      </c>
      <c r="AC110" s="83">
        <v>-1.5534190392338831</v>
      </c>
      <c r="AD110" s="84">
        <v>2.0755626541504126</v>
      </c>
      <c r="AN110" s="42"/>
      <c r="AO110" s="42"/>
    </row>
    <row r="111" spans="1:41" x14ac:dyDescent="0.25">
      <c r="A111" s="48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49"/>
      <c r="U111" s="48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49"/>
      <c r="AO111" s="49"/>
    </row>
  </sheetData>
  <mergeCells count="8">
    <mergeCell ref="AF72:AN72"/>
    <mergeCell ref="V92:AD92"/>
    <mergeCell ref="AF92:AN92"/>
    <mergeCell ref="K72:S72"/>
    <mergeCell ref="K92:S92"/>
    <mergeCell ref="A72:I72"/>
    <mergeCell ref="A92:I92"/>
    <mergeCell ref="V72:AD7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9FBEC-F613-4888-A012-7F96372EA6C1}">
  <dimension ref="A1:AO112"/>
  <sheetViews>
    <sheetView tabSelected="1" topLeftCell="A35" zoomScale="85" zoomScaleNormal="85" workbookViewId="0">
      <selection activeCell="I58" sqref="I58"/>
    </sheetView>
  </sheetViews>
  <sheetFormatPr defaultRowHeight="15" x14ac:dyDescent="0.25"/>
  <cols>
    <col min="1" max="1" width="11.42578125" customWidth="1"/>
    <col min="2" max="2" width="14" customWidth="1"/>
    <col min="3" max="3" width="15" customWidth="1"/>
    <col min="4" max="4" width="17.7109375" customWidth="1"/>
    <col min="5" max="5" width="15.42578125" customWidth="1"/>
    <col min="6" max="6" width="14.7109375" customWidth="1"/>
    <col min="7" max="7" width="17.42578125" customWidth="1"/>
    <col min="8" max="8" width="15.140625" customWidth="1"/>
    <col min="9" max="9" width="13.28515625" customWidth="1"/>
    <col min="10" max="10" width="14.85546875" customWidth="1"/>
    <col min="11" max="11" width="15.28515625" customWidth="1"/>
    <col min="12" max="12" width="15.7109375" customWidth="1"/>
    <col min="13" max="13" width="15.5703125" customWidth="1"/>
    <col min="14" max="14" width="13.7109375" customWidth="1"/>
    <col min="16" max="16" width="13.28515625" customWidth="1"/>
    <col min="17" max="17" width="15" customWidth="1"/>
    <col min="18" max="18" width="14.5703125" customWidth="1"/>
    <col min="19" max="19" width="13.42578125" customWidth="1"/>
    <col min="26" max="26" width="18.140625" customWidth="1"/>
    <col min="27" max="27" width="16.7109375" customWidth="1"/>
    <col min="28" max="28" width="20.7109375" customWidth="1"/>
    <col min="29" max="29" width="19" customWidth="1"/>
    <col min="30" max="30" width="16.85546875" customWidth="1"/>
  </cols>
  <sheetData>
    <row r="1" spans="1:19" x14ac:dyDescent="0.25">
      <c r="A1" s="1" t="s">
        <v>0</v>
      </c>
      <c r="F1" s="1" t="s">
        <v>19</v>
      </c>
      <c r="G1" s="3"/>
      <c r="H1" s="3"/>
      <c r="I1" s="3"/>
      <c r="K1" s="11" t="s">
        <v>20</v>
      </c>
    </row>
    <row r="2" spans="1:19" x14ac:dyDescent="0.25">
      <c r="A2" s="2" t="s">
        <v>1</v>
      </c>
      <c r="B2" s="2" t="s">
        <v>2</v>
      </c>
      <c r="C2" s="2" t="s">
        <v>3</v>
      </c>
      <c r="D2" s="2" t="s">
        <v>4</v>
      </c>
      <c r="F2" s="7" t="s">
        <v>1</v>
      </c>
      <c r="G2" s="7" t="s">
        <v>2</v>
      </c>
      <c r="H2" s="7" t="s">
        <v>3</v>
      </c>
      <c r="I2" s="7" t="s">
        <v>4</v>
      </c>
      <c r="K2" s="7" t="s">
        <v>1</v>
      </c>
      <c r="L2" s="2" t="s">
        <v>2</v>
      </c>
      <c r="M2" s="2" t="s">
        <v>3</v>
      </c>
      <c r="N2" s="2" t="s">
        <v>4</v>
      </c>
      <c r="P2" s="2" t="s">
        <v>21</v>
      </c>
      <c r="Q2" s="2" t="s">
        <v>2</v>
      </c>
      <c r="R2" s="2" t="s">
        <v>3</v>
      </c>
      <c r="S2" s="2" t="s">
        <v>4</v>
      </c>
    </row>
    <row r="3" spans="1:19" x14ac:dyDescent="0.25">
      <c r="A3" s="3" t="s">
        <v>5</v>
      </c>
      <c r="B3" s="5">
        <v>1.8695993339197901</v>
      </c>
      <c r="C3" s="5">
        <v>0.44896728093636801</v>
      </c>
      <c r="D3" s="5">
        <v>2.4947102971666898E-2</v>
      </c>
      <c r="F3" s="3" t="s">
        <v>5</v>
      </c>
      <c r="G3" s="9">
        <v>1.0683907677478099</v>
      </c>
      <c r="H3" s="9">
        <v>0.74870138294766397</v>
      </c>
      <c r="I3" s="9">
        <v>6.5697545304297195E-2</v>
      </c>
      <c r="K3" s="3" t="s">
        <v>5</v>
      </c>
      <c r="L3" s="5">
        <v>1.05849048577709</v>
      </c>
      <c r="M3" s="6">
        <v>-0.73582121336391904</v>
      </c>
      <c r="N3" s="5">
        <v>8.4573685986466099E-2</v>
      </c>
      <c r="P3" s="3" t="s">
        <v>5</v>
      </c>
      <c r="Q3" s="10">
        <v>0.45078352403799399</v>
      </c>
      <c r="R3" s="10">
        <v>-0.811886428716041</v>
      </c>
      <c r="S3" s="10">
        <v>-9.3763935417501706E-2</v>
      </c>
    </row>
    <row r="4" spans="1:19" x14ac:dyDescent="0.25">
      <c r="A4" s="3" t="s">
        <v>6</v>
      </c>
      <c r="B4" s="5">
        <v>1.21795864622288</v>
      </c>
      <c r="C4" s="5">
        <v>1.5264059910121399</v>
      </c>
      <c r="D4" s="5">
        <v>9.6293174744729593E-3</v>
      </c>
      <c r="F4" s="3" t="s">
        <v>6</v>
      </c>
      <c r="G4" s="9">
        <v>1.13117180110701</v>
      </c>
      <c r="H4" s="9">
        <v>1.1019405303793299</v>
      </c>
      <c r="I4" s="9">
        <v>0.132436068542756</v>
      </c>
      <c r="K4" s="3" t="s">
        <v>6</v>
      </c>
      <c r="L4" s="5">
        <v>1.4368219825375701</v>
      </c>
      <c r="M4" s="5">
        <v>0.96854380596042999</v>
      </c>
      <c r="N4" s="5">
        <v>0.198594884621278</v>
      </c>
      <c r="P4" s="3" t="s">
        <v>6</v>
      </c>
      <c r="Q4" s="10">
        <v>0.94043662960440699</v>
      </c>
      <c r="R4" s="10">
        <v>-0.54271122756527101</v>
      </c>
      <c r="S4" s="10">
        <v>-5.2796335197095298E-2</v>
      </c>
    </row>
    <row r="5" spans="1:19" x14ac:dyDescent="0.25">
      <c r="A5" s="3" t="s">
        <v>7</v>
      </c>
      <c r="B5" s="5">
        <v>1.0299659938988901</v>
      </c>
      <c r="C5" s="5">
        <v>0.71671353985517805</v>
      </c>
      <c r="D5" s="5">
        <v>0.14608753400636901</v>
      </c>
      <c r="F5" s="3" t="s">
        <v>7</v>
      </c>
      <c r="G5" s="9">
        <v>0.99421602518435603</v>
      </c>
      <c r="H5" s="9">
        <v>0.17884914222762199</v>
      </c>
      <c r="I5" s="10">
        <v>-4.2076076707890497E-3</v>
      </c>
      <c r="K5" s="3" t="s">
        <v>7</v>
      </c>
      <c r="L5" s="5">
        <v>1.1632876834321</v>
      </c>
      <c r="M5" s="5">
        <v>0.91285830032378401</v>
      </c>
      <c r="N5" s="5">
        <v>6.8212961854365706E-2</v>
      </c>
      <c r="P5" s="3" t="s">
        <v>7</v>
      </c>
      <c r="Q5" s="10">
        <v>0.95863149267075098</v>
      </c>
      <c r="R5" s="10">
        <v>-0.67772868565601696</v>
      </c>
      <c r="S5" s="10">
        <v>-5.9125313303963402E-2</v>
      </c>
    </row>
    <row r="6" spans="1:19" x14ac:dyDescent="0.25">
      <c r="A6" s="3" t="s">
        <v>8</v>
      </c>
      <c r="B6" s="4"/>
      <c r="C6" s="4"/>
      <c r="D6" s="4"/>
      <c r="F6" s="3" t="s">
        <v>8</v>
      </c>
      <c r="G6" s="8"/>
      <c r="H6" s="8"/>
      <c r="I6" s="8"/>
      <c r="K6" s="3" t="s">
        <v>8</v>
      </c>
      <c r="L6" s="5">
        <v>1.1661766362910899</v>
      </c>
      <c r="M6" s="5">
        <v>0.69952356032694896</v>
      </c>
      <c r="N6" s="5">
        <v>4.9611646415268197E-2</v>
      </c>
      <c r="P6" s="3" t="s">
        <v>8</v>
      </c>
      <c r="Q6" s="10">
        <v>0.98251699448728103</v>
      </c>
      <c r="R6" s="10">
        <v>-0.76078071695181804</v>
      </c>
      <c r="S6" s="10">
        <v>-4.1714957549384597E-2</v>
      </c>
    </row>
    <row r="7" spans="1:19" x14ac:dyDescent="0.25">
      <c r="A7" s="3" t="s">
        <v>9</v>
      </c>
      <c r="B7" s="4"/>
      <c r="C7" s="4"/>
      <c r="D7" s="4"/>
      <c r="F7" s="3" t="s">
        <v>9</v>
      </c>
      <c r="G7" s="9">
        <v>1.0587750080951299</v>
      </c>
      <c r="H7" s="9">
        <v>0.662333397055619</v>
      </c>
      <c r="I7" s="9">
        <v>0.12430930853391101</v>
      </c>
      <c r="K7" s="3" t="s">
        <v>9</v>
      </c>
      <c r="L7" s="5">
        <v>1.1611078257792899</v>
      </c>
      <c r="M7" s="5">
        <v>0.97668665464899096</v>
      </c>
      <c r="N7" s="5">
        <v>0.107447815904682</v>
      </c>
      <c r="P7" s="3" t="s">
        <v>9</v>
      </c>
      <c r="Q7" s="9">
        <v>1.0568614326035</v>
      </c>
      <c r="R7" s="9">
        <v>0.64678217889059297</v>
      </c>
      <c r="S7" s="9">
        <v>7.3340759088016003E-2</v>
      </c>
    </row>
    <row r="8" spans="1:19" x14ac:dyDescent="0.25">
      <c r="A8" s="3" t="s">
        <v>10</v>
      </c>
      <c r="B8" s="5">
        <v>1.1534447144942801</v>
      </c>
      <c r="C8" s="5">
        <v>0.678678630991426</v>
      </c>
      <c r="D8" s="5">
        <v>1.27691539373017E-2</v>
      </c>
      <c r="F8" s="3" t="s">
        <v>10</v>
      </c>
      <c r="G8" s="9">
        <v>1.04764110720538</v>
      </c>
      <c r="H8" s="9">
        <v>1.10062768451704</v>
      </c>
      <c r="I8" s="9">
        <v>9.2876994447724404E-2</v>
      </c>
      <c r="K8" s="3" t="s">
        <v>10</v>
      </c>
      <c r="L8" s="5">
        <v>1.2283054504143001</v>
      </c>
      <c r="M8" s="5">
        <v>0.33582626900186402</v>
      </c>
      <c r="N8" s="5">
        <v>0.39411883766970102</v>
      </c>
      <c r="P8" s="3" t="s">
        <v>10</v>
      </c>
      <c r="Q8" s="9">
        <v>1.03826719630338</v>
      </c>
      <c r="R8" s="10">
        <v>-0.15477977693324399</v>
      </c>
      <c r="S8" s="9">
        <v>7.1354925056258001E-3</v>
      </c>
    </row>
    <row r="9" spans="1:19" x14ac:dyDescent="0.25">
      <c r="A9" s="3" t="s">
        <v>11</v>
      </c>
      <c r="B9" s="5">
        <v>1.6625275928143599</v>
      </c>
      <c r="C9" s="5">
        <v>0.81343884511072295</v>
      </c>
      <c r="D9" s="5">
        <v>6.7576112725014403E-2</v>
      </c>
      <c r="F9" s="3" t="s">
        <v>11</v>
      </c>
      <c r="G9" s="9">
        <v>1.1477045338510801</v>
      </c>
      <c r="H9" s="9">
        <v>0.97101599927504101</v>
      </c>
      <c r="I9" s="9">
        <v>8.3834633446242604E-2</v>
      </c>
      <c r="K9" s="3" t="s">
        <v>11</v>
      </c>
      <c r="L9" s="5">
        <v>1.2985932043400299</v>
      </c>
      <c r="M9" s="5">
        <v>0.52794332050181203</v>
      </c>
      <c r="N9" s="5">
        <v>9.0698601563059603E-2</v>
      </c>
      <c r="P9" s="3" t="s">
        <v>11</v>
      </c>
      <c r="Q9" s="10">
        <v>0.93867849021001804</v>
      </c>
      <c r="R9" s="10">
        <v>-0.86583274285189604</v>
      </c>
      <c r="S9" s="10">
        <v>-0.28463650723553102</v>
      </c>
    </row>
    <row r="10" spans="1:19" x14ac:dyDescent="0.25">
      <c r="A10" s="3" t="s">
        <v>12</v>
      </c>
      <c r="B10" s="6">
        <v>0.83858009935182098</v>
      </c>
      <c r="C10" s="6">
        <v>-1.07855599689062</v>
      </c>
      <c r="D10" s="6">
        <v>-0.35416666689988402</v>
      </c>
      <c r="F10" s="3" t="s">
        <v>12</v>
      </c>
      <c r="G10" s="9">
        <v>1.1126612766097499</v>
      </c>
      <c r="H10" s="9">
        <v>0.95380985457733503</v>
      </c>
      <c r="I10" s="9">
        <v>4.4857179056258203E-2</v>
      </c>
      <c r="K10" s="3" t="s">
        <v>12</v>
      </c>
      <c r="L10" s="5">
        <v>1.25880991704892</v>
      </c>
      <c r="M10" s="5">
        <v>0.94081849763111403</v>
      </c>
      <c r="N10" s="5">
        <v>9.9852529707758195E-2</v>
      </c>
      <c r="P10" s="3" t="s">
        <v>12</v>
      </c>
      <c r="Q10" s="9">
        <v>1.08896416336113</v>
      </c>
      <c r="R10" s="9">
        <v>0.61214631104569395</v>
      </c>
      <c r="S10" s="10">
        <v>-7.3287190867590401E-3</v>
      </c>
    </row>
    <row r="11" spans="1:19" x14ac:dyDescent="0.25">
      <c r="A11" s="3" t="s">
        <v>13</v>
      </c>
      <c r="B11" s="5">
        <v>2.31938512736013</v>
      </c>
      <c r="C11" s="5">
        <v>1.34776836410395</v>
      </c>
      <c r="D11" s="5">
        <v>4.5646344187588998E-2</v>
      </c>
      <c r="F11" s="3" t="s">
        <v>13</v>
      </c>
      <c r="G11" s="9">
        <v>1.2530304455719099</v>
      </c>
      <c r="H11" s="9">
        <v>1.1029723476739599</v>
      </c>
      <c r="I11" s="9">
        <v>7.6664996000854094E-2</v>
      </c>
      <c r="K11" s="3" t="s">
        <v>13</v>
      </c>
      <c r="L11" s="5">
        <v>1.2914529576795399</v>
      </c>
      <c r="M11" s="5">
        <v>0.445945938664987</v>
      </c>
      <c r="N11" s="5">
        <v>5.5815481283492403E-2</v>
      </c>
      <c r="P11" s="3" t="s">
        <v>13</v>
      </c>
      <c r="Q11" s="9">
        <v>1.18553177339745</v>
      </c>
      <c r="R11" s="9">
        <v>0.59208584316733603</v>
      </c>
      <c r="S11" s="9">
        <v>0.10941628444022999</v>
      </c>
    </row>
    <row r="12" spans="1:19" x14ac:dyDescent="0.25">
      <c r="A12" s="3" t="s">
        <v>14</v>
      </c>
      <c r="B12" s="5">
        <v>1.66955637894203</v>
      </c>
      <c r="C12" s="5">
        <v>0.55456789410428697</v>
      </c>
      <c r="D12" s="5">
        <v>1.47909285306715E-2</v>
      </c>
      <c r="F12" s="3" t="s">
        <v>14</v>
      </c>
      <c r="G12" s="9">
        <v>1.0813804129035001</v>
      </c>
      <c r="H12" s="9">
        <v>0.52079829390269505</v>
      </c>
      <c r="I12" s="9">
        <v>2.1219861817338499E-2</v>
      </c>
      <c r="K12" s="3" t="s">
        <v>14</v>
      </c>
      <c r="L12" s="5">
        <v>1.2886907903199001</v>
      </c>
      <c r="M12" s="6">
        <v>-0.136935986249347</v>
      </c>
      <c r="N12" s="5">
        <v>9.5391388976058394E-2</v>
      </c>
      <c r="P12" s="3" t="s">
        <v>14</v>
      </c>
      <c r="Q12" s="9">
        <v>1.0643830961710401</v>
      </c>
      <c r="R12" s="9">
        <v>0.74012064453311799</v>
      </c>
      <c r="S12" s="10">
        <v>-8.4675321487204705E-2</v>
      </c>
    </row>
    <row r="13" spans="1:19" x14ac:dyDescent="0.25">
      <c r="A13" s="3" t="s">
        <v>15</v>
      </c>
      <c r="B13" s="4"/>
      <c r="C13" s="5">
        <v>0.70468449804027899</v>
      </c>
      <c r="D13" s="5">
        <v>3.5842816756479302E-2</v>
      </c>
      <c r="F13" s="3" t="s">
        <v>15</v>
      </c>
      <c r="G13" s="9">
        <v>1.2134925086481201</v>
      </c>
      <c r="H13" s="9">
        <v>0.94175163201491896</v>
      </c>
      <c r="I13" s="9">
        <v>8.5275451626537893E-2</v>
      </c>
      <c r="K13" s="3" t="s">
        <v>15</v>
      </c>
      <c r="L13" s="5">
        <v>1.39612401914989</v>
      </c>
      <c r="M13" s="5">
        <v>0.97165157928161605</v>
      </c>
      <c r="N13" s="5">
        <v>9.9540545016305104E-2</v>
      </c>
      <c r="P13" s="3" t="s">
        <v>15</v>
      </c>
      <c r="Q13" s="9">
        <v>1.0913993357873799</v>
      </c>
      <c r="R13" s="9">
        <v>0.62408685090742599</v>
      </c>
      <c r="S13" s="10">
        <v>-3.2911415817637998E-2</v>
      </c>
    </row>
    <row r="14" spans="1:19" x14ac:dyDescent="0.25">
      <c r="A14" s="3" t="s">
        <v>16</v>
      </c>
      <c r="B14" s="6">
        <v>0.90805045415642205</v>
      </c>
      <c r="C14" s="6">
        <v>-0.373253605455523</v>
      </c>
      <c r="D14" s="6">
        <v>-4.0383997186219003E-2</v>
      </c>
      <c r="F14" s="3" t="s">
        <v>16</v>
      </c>
      <c r="G14" s="9">
        <v>1.08380817355586</v>
      </c>
      <c r="H14" s="9">
        <v>0.28231733716004298</v>
      </c>
      <c r="I14" s="9">
        <v>3.1629539106965802E-2</v>
      </c>
      <c r="K14" s="3" t="s">
        <v>16</v>
      </c>
      <c r="L14" s="5">
        <v>1.15490049713987</v>
      </c>
      <c r="M14" s="5">
        <v>0.47813963463856402</v>
      </c>
      <c r="N14" s="5">
        <v>0.115227328160236</v>
      </c>
      <c r="P14" s="3" t="s">
        <v>16</v>
      </c>
      <c r="Q14" s="9">
        <v>1.00259808767117</v>
      </c>
      <c r="R14" s="9">
        <v>0.25147892096544</v>
      </c>
      <c r="S14" s="10">
        <v>-4.46763074582908E-2</v>
      </c>
    </row>
    <row r="15" spans="1:19" x14ac:dyDescent="0.25">
      <c r="A15" s="3" t="s">
        <v>17</v>
      </c>
      <c r="B15" s="5">
        <v>1.0862889042163599</v>
      </c>
      <c r="C15" s="5">
        <v>0.63056904760694898</v>
      </c>
      <c r="D15" s="5">
        <v>3.6679485231980898E-2</v>
      </c>
      <c r="F15" s="3" t="s">
        <v>17</v>
      </c>
      <c r="G15" s="9">
        <v>1.0367372638660399</v>
      </c>
      <c r="H15" s="9">
        <v>0.55097576187408004</v>
      </c>
      <c r="I15" s="9">
        <v>4.3964016574286002E-2</v>
      </c>
      <c r="K15" s="3" t="s">
        <v>17</v>
      </c>
      <c r="L15" s="5">
        <v>1.6223687074200499</v>
      </c>
      <c r="M15" s="5">
        <v>0.74242380847501299</v>
      </c>
      <c r="N15" s="5">
        <v>0.157732693122626</v>
      </c>
      <c r="P15" s="3" t="s">
        <v>17</v>
      </c>
      <c r="Q15" s="9">
        <v>1.0043452914566</v>
      </c>
      <c r="R15" s="10">
        <v>-2.3625782421043601E-2</v>
      </c>
      <c r="S15" s="10">
        <v>-1.53118918462132E-3</v>
      </c>
    </row>
    <row r="16" spans="1:19" x14ac:dyDescent="0.25">
      <c r="A16" s="3" t="s">
        <v>18</v>
      </c>
      <c r="B16" s="6">
        <v>0.39254775269290398</v>
      </c>
      <c r="C16" s="6">
        <v>-0.623899602892661</v>
      </c>
      <c r="D16" s="6">
        <v>-0.76160033358371604</v>
      </c>
      <c r="F16" s="3" t="s">
        <v>18</v>
      </c>
      <c r="G16" s="9">
        <v>1.1282134088167699</v>
      </c>
      <c r="H16" s="9">
        <v>0.99053604379690696</v>
      </c>
      <c r="I16" s="9">
        <v>5.3048699734524599E-2</v>
      </c>
      <c r="K16" s="3" t="s">
        <v>18</v>
      </c>
      <c r="L16" s="5">
        <v>1.4572146309152101</v>
      </c>
      <c r="M16" s="5">
        <v>0.80433038241724497</v>
      </c>
      <c r="N16" s="5">
        <v>0.121156039239802</v>
      </c>
      <c r="P16" s="3" t="s">
        <v>18</v>
      </c>
      <c r="Q16" s="10">
        <v>0.40870513477919201</v>
      </c>
      <c r="R16" s="10">
        <v>-0.95802365966780301</v>
      </c>
      <c r="S16" s="10">
        <v>-0.17920927988478999</v>
      </c>
    </row>
    <row r="19" spans="1:11" ht="38.25" x14ac:dyDescent="0.25">
      <c r="C19" s="17" t="s">
        <v>24</v>
      </c>
      <c r="D19" s="17" t="s">
        <v>31</v>
      </c>
      <c r="E19" s="17" t="s">
        <v>32</v>
      </c>
      <c r="F19" s="17" t="s">
        <v>25</v>
      </c>
      <c r="G19" s="17" t="s">
        <v>26</v>
      </c>
      <c r="H19" s="17" t="s">
        <v>27</v>
      </c>
      <c r="I19" s="17" t="s">
        <v>28</v>
      </c>
      <c r="J19" s="18" t="s">
        <v>29</v>
      </c>
      <c r="K19" s="18" t="s">
        <v>30</v>
      </c>
    </row>
    <row r="20" spans="1:11" x14ac:dyDescent="0.25">
      <c r="A20" s="3" t="s">
        <v>23</v>
      </c>
      <c r="B20" s="3" t="s">
        <v>5</v>
      </c>
      <c r="C20" s="4">
        <v>19.942087656000002</v>
      </c>
      <c r="D20" s="8"/>
      <c r="E20" s="3"/>
      <c r="F20" s="15"/>
      <c r="I20" s="4"/>
      <c r="J20" s="8"/>
      <c r="K20" s="8"/>
    </row>
    <row r="21" spans="1:11" x14ac:dyDescent="0.25">
      <c r="A21" s="3" t="s">
        <v>23</v>
      </c>
      <c r="B21" s="3" t="s">
        <v>6</v>
      </c>
      <c r="C21" s="4">
        <v>27.006948699999999</v>
      </c>
      <c r="D21" s="8"/>
      <c r="E21" s="3">
        <v>22</v>
      </c>
      <c r="F21" s="3"/>
      <c r="I21" s="4"/>
      <c r="J21" s="8"/>
      <c r="K21" s="8"/>
    </row>
    <row r="22" spans="1:11" x14ac:dyDescent="0.25">
      <c r="A22" s="3" t="s">
        <v>23</v>
      </c>
      <c r="B22" s="3" t="s">
        <v>7</v>
      </c>
      <c r="C22" s="4">
        <v>17.163158299999999</v>
      </c>
      <c r="D22" s="8">
        <v>2.4954469283408098</v>
      </c>
      <c r="E22" s="3">
        <v>21.75</v>
      </c>
      <c r="F22" s="3"/>
      <c r="G22" s="3">
        <v>118.22733427999999</v>
      </c>
      <c r="H22" s="3">
        <v>60.710430000000002</v>
      </c>
      <c r="I22" s="4">
        <v>1.0078290838208943</v>
      </c>
      <c r="J22" s="8">
        <v>1.9432258375425799</v>
      </c>
      <c r="K22" s="8">
        <v>-0.14571780115724001</v>
      </c>
    </row>
    <row r="23" spans="1:11" x14ac:dyDescent="0.25">
      <c r="A23" s="3" t="s">
        <v>23</v>
      </c>
      <c r="B23" s="3" t="s">
        <v>8</v>
      </c>
      <c r="C23" s="4">
        <v>11.844246328000001</v>
      </c>
      <c r="D23" s="8">
        <v>4.9705418000804897</v>
      </c>
      <c r="E23" s="3">
        <v>48.5</v>
      </c>
      <c r="F23" s="3">
        <v>48.5</v>
      </c>
      <c r="G23" s="3">
        <v>108.51115272</v>
      </c>
      <c r="H23" s="3">
        <v>45.71622</v>
      </c>
      <c r="I23" s="4">
        <v>1.008246697022094</v>
      </c>
      <c r="J23" s="8">
        <v>2.3768784113539301</v>
      </c>
      <c r="K23" s="8">
        <v>0.15611461722769501</v>
      </c>
    </row>
    <row r="24" spans="1:11" x14ac:dyDescent="0.25">
      <c r="A24" s="3" t="s">
        <v>23</v>
      </c>
      <c r="B24" s="3" t="s">
        <v>9</v>
      </c>
      <c r="C24" s="4">
        <v>10.4846146</v>
      </c>
      <c r="D24" s="8">
        <v>18.738059749368901</v>
      </c>
      <c r="E24" s="3">
        <v>28.75</v>
      </c>
      <c r="F24" s="3">
        <v>28.75</v>
      </c>
      <c r="G24" s="3">
        <v>106.97060942</v>
      </c>
      <c r="H24" s="3">
        <v>46.063560000000003</v>
      </c>
      <c r="I24" s="4">
        <v>1.0490052443540898</v>
      </c>
      <c r="J24" s="8">
        <v>70.349925179505803</v>
      </c>
      <c r="K24" s="8">
        <v>0.29322882322716898</v>
      </c>
    </row>
    <row r="25" spans="1:11" x14ac:dyDescent="0.25">
      <c r="A25" s="3" t="s">
        <v>23</v>
      </c>
      <c r="B25" s="3" t="s">
        <v>10</v>
      </c>
      <c r="C25" s="4">
        <v>12.196904200000001</v>
      </c>
      <c r="D25" s="8">
        <v>8.1761484496582497</v>
      </c>
      <c r="E25" s="3">
        <v>21</v>
      </c>
      <c r="F25" s="3">
        <v>21</v>
      </c>
      <c r="G25" s="3">
        <v>113.72040256</v>
      </c>
      <c r="H25" s="3">
        <v>47.354999999999997</v>
      </c>
      <c r="I25" s="4">
        <v>1.0119508062412015</v>
      </c>
      <c r="J25" s="8">
        <v>5.4523947827090398</v>
      </c>
      <c r="K25" s="8">
        <v>0.19059894727801999</v>
      </c>
    </row>
    <row r="26" spans="1:11" x14ac:dyDescent="0.25">
      <c r="A26" s="3" t="s">
        <v>23</v>
      </c>
      <c r="B26" s="3" t="s">
        <v>11</v>
      </c>
      <c r="C26" s="4">
        <v>15.053141999999999</v>
      </c>
      <c r="D26" s="8"/>
      <c r="E26" s="3">
        <v>21.5</v>
      </c>
      <c r="F26" s="3"/>
      <c r="G26" s="3"/>
      <c r="H26" s="3"/>
      <c r="I26" s="4"/>
      <c r="J26" s="8"/>
      <c r="K26" s="8"/>
    </row>
    <row r="27" spans="1:11" x14ac:dyDescent="0.25">
      <c r="A27" s="3" t="s">
        <v>23</v>
      </c>
      <c r="B27" s="3" t="s">
        <v>12</v>
      </c>
      <c r="C27" s="4">
        <v>10.8144344</v>
      </c>
      <c r="D27" s="8">
        <v>19.594840851392899</v>
      </c>
      <c r="E27" s="3">
        <v>75</v>
      </c>
      <c r="F27" s="3">
        <v>96.5</v>
      </c>
      <c r="G27" s="3">
        <v>112.66319882000001</v>
      </c>
      <c r="H27" s="3">
        <v>101.105</v>
      </c>
      <c r="I27" s="4">
        <v>1.0239451393319936</v>
      </c>
      <c r="J27" s="8">
        <v>33.895949402833203</v>
      </c>
      <c r="K27" s="8">
        <v>0.499861288181496</v>
      </c>
    </row>
    <row r="28" spans="1:11" x14ac:dyDescent="0.25">
      <c r="A28" s="3" t="s">
        <v>23</v>
      </c>
      <c r="B28" s="3" t="s">
        <v>13</v>
      </c>
      <c r="C28" s="4">
        <v>14.806100799999999</v>
      </c>
      <c r="D28" s="8">
        <v>17.2552427011953</v>
      </c>
      <c r="E28" s="3">
        <v>47.5</v>
      </c>
      <c r="F28" s="3">
        <v>47.5</v>
      </c>
      <c r="G28" s="3">
        <v>114.89097618</v>
      </c>
      <c r="H28" s="3">
        <v>44.466000000000001</v>
      </c>
      <c r="I28" s="4">
        <v>1.0275460447393339</v>
      </c>
      <c r="J28" s="8">
        <v>32.177431699139497</v>
      </c>
      <c r="K28" s="8">
        <v>0.40695810522245701</v>
      </c>
    </row>
    <row r="29" spans="1:11" x14ac:dyDescent="0.25">
      <c r="A29" s="3" t="s">
        <v>23</v>
      </c>
      <c r="B29" s="3" t="s">
        <v>14</v>
      </c>
      <c r="C29" s="4">
        <v>40.336936000000001</v>
      </c>
      <c r="D29" s="8">
        <v>17.024424898784201</v>
      </c>
      <c r="E29" s="3">
        <v>23.5</v>
      </c>
      <c r="F29" s="3">
        <v>23.5</v>
      </c>
      <c r="G29" s="3">
        <v>116.55531655999999</v>
      </c>
      <c r="H29" s="3">
        <v>47.503</v>
      </c>
      <c r="I29" s="4">
        <v>1.0275826446035865</v>
      </c>
      <c r="J29" s="8">
        <v>31.253302872972</v>
      </c>
      <c r="K29" s="8">
        <v>5.4056282725128302E-2</v>
      </c>
    </row>
    <row r="30" spans="1:11" x14ac:dyDescent="0.25">
      <c r="A30" s="3" t="s">
        <v>23</v>
      </c>
      <c r="B30" s="3" t="s">
        <v>15</v>
      </c>
      <c r="C30" s="4">
        <v>19.439147999999999</v>
      </c>
      <c r="D30" s="8"/>
      <c r="E30" s="3">
        <v>27.75</v>
      </c>
      <c r="F30" s="3"/>
      <c r="G30" s="3"/>
      <c r="H30" s="3"/>
      <c r="I30" s="4"/>
      <c r="J30" s="8"/>
      <c r="K30" s="8"/>
    </row>
    <row r="31" spans="1:11" x14ac:dyDescent="0.25">
      <c r="A31" s="3" t="s">
        <v>23</v>
      </c>
      <c r="B31" s="3" t="s">
        <v>16</v>
      </c>
      <c r="C31" s="4">
        <v>13.531736435999999</v>
      </c>
      <c r="D31" s="8">
        <v>15.1069524712688</v>
      </c>
      <c r="E31" s="3">
        <v>20</v>
      </c>
      <c r="F31" s="3">
        <v>47.75</v>
      </c>
      <c r="G31" s="3">
        <v>118.40602251999999</v>
      </c>
      <c r="H31" s="3">
        <v>54.055999999999997</v>
      </c>
      <c r="I31" s="4">
        <v>1.0572093304532362</v>
      </c>
      <c r="J31" s="8">
        <v>42.7547044117564</v>
      </c>
      <c r="K31" s="8">
        <v>0.26690920736687102</v>
      </c>
    </row>
    <row r="32" spans="1:11" x14ac:dyDescent="0.25">
      <c r="A32" s="3" t="s">
        <v>23</v>
      </c>
      <c r="B32" s="3" t="s">
        <v>17</v>
      </c>
      <c r="C32" s="4">
        <v>27.867789999999999</v>
      </c>
      <c r="D32" s="8">
        <v>21.9579587943592</v>
      </c>
      <c r="E32" s="3">
        <v>23.75</v>
      </c>
      <c r="F32" s="3">
        <v>23.75</v>
      </c>
      <c r="G32" s="3">
        <v>115.75512236</v>
      </c>
      <c r="H32" s="3">
        <v>53.783999999999999</v>
      </c>
      <c r="I32" s="4">
        <v>1.111235100018195</v>
      </c>
      <c r="J32" s="8">
        <v>175.86248095131899</v>
      </c>
      <c r="K32" s="8">
        <v>0.45125668170602201</v>
      </c>
    </row>
    <row r="33" spans="1:11" x14ac:dyDescent="0.25">
      <c r="A33" s="3" t="s">
        <v>23</v>
      </c>
      <c r="B33" s="3" t="s">
        <v>18</v>
      </c>
      <c r="C33" s="4">
        <v>16.916785999999998</v>
      </c>
      <c r="D33" s="8">
        <v>16.640165980770899</v>
      </c>
      <c r="E33" s="3">
        <v>23.5</v>
      </c>
      <c r="F33" s="3">
        <v>23.5</v>
      </c>
      <c r="G33" s="3">
        <v>121.12197168</v>
      </c>
      <c r="H33" s="3">
        <v>53.783999999999999</v>
      </c>
      <c r="I33" s="4">
        <v>1.0519758315193652</v>
      </c>
      <c r="J33" s="8">
        <v>52.638565780695899</v>
      </c>
      <c r="K33" s="8">
        <v>0.51242235468873398</v>
      </c>
    </row>
    <row r="37" spans="1:11" x14ac:dyDescent="0.25">
      <c r="A37" s="1"/>
    </row>
    <row r="38" spans="1:11" ht="25.5" x14ac:dyDescent="0.25">
      <c r="A38" s="2" t="s">
        <v>1</v>
      </c>
      <c r="B38" s="2" t="s">
        <v>33</v>
      </c>
      <c r="C38" s="2" t="s">
        <v>34</v>
      </c>
      <c r="D38" s="2" t="s">
        <v>35</v>
      </c>
      <c r="E38" s="2" t="s">
        <v>36</v>
      </c>
      <c r="F38" s="18" t="s">
        <v>29</v>
      </c>
      <c r="G38" s="17" t="s">
        <v>37</v>
      </c>
      <c r="H38" s="17" t="s">
        <v>31</v>
      </c>
      <c r="I38" s="17" t="s">
        <v>28</v>
      </c>
      <c r="J38" s="18" t="s">
        <v>30</v>
      </c>
    </row>
    <row r="39" spans="1:11" x14ac:dyDescent="0.25">
      <c r="A39" s="3" t="s">
        <v>5</v>
      </c>
      <c r="B39" s="5">
        <v>2.4947102971666898E-2</v>
      </c>
      <c r="C39" s="9">
        <v>6.5697545304297195E-2</v>
      </c>
      <c r="D39" s="5">
        <v>8.4573685986466099E-2</v>
      </c>
      <c r="E39" s="10">
        <v>-9.3763935417501706E-2</v>
      </c>
      <c r="F39" s="8"/>
      <c r="G39" s="15"/>
      <c r="H39" s="8"/>
      <c r="I39" s="4"/>
      <c r="J39" s="8"/>
    </row>
    <row r="40" spans="1:11" x14ac:dyDescent="0.25">
      <c r="A40" s="3" t="s">
        <v>6</v>
      </c>
      <c r="B40" s="5">
        <v>9.6293174744729593E-3</v>
      </c>
      <c r="C40" s="9">
        <v>0.132436068542756</v>
      </c>
      <c r="D40" s="5">
        <v>0.198594884621278</v>
      </c>
      <c r="E40" s="10">
        <v>-5.2796335197095298E-2</v>
      </c>
      <c r="F40" s="8"/>
      <c r="G40" s="3"/>
      <c r="H40" s="8"/>
      <c r="I40" s="4"/>
      <c r="J40" s="8"/>
    </row>
    <row r="41" spans="1:11" x14ac:dyDescent="0.25">
      <c r="A41" s="3" t="s">
        <v>7</v>
      </c>
      <c r="B41" s="5">
        <v>0.14608753400636901</v>
      </c>
      <c r="C41" s="10">
        <v>-4.2076076707890497E-3</v>
      </c>
      <c r="D41" s="5">
        <v>6.8212961854365706E-2</v>
      </c>
      <c r="E41" s="10">
        <v>-5.9125313303963402E-2</v>
      </c>
      <c r="F41" s="8">
        <v>1.9432258375425799</v>
      </c>
      <c r="G41" s="3">
        <v>21.75</v>
      </c>
      <c r="H41" s="8">
        <v>2.4954469283408098</v>
      </c>
      <c r="I41" s="4">
        <v>1.0078290838208943</v>
      </c>
      <c r="J41" s="8">
        <v>-0.14571780115724001</v>
      </c>
    </row>
    <row r="42" spans="1:11" x14ac:dyDescent="0.25">
      <c r="A42" s="3" t="s">
        <v>8</v>
      </c>
      <c r="B42" s="4"/>
      <c r="C42" s="8"/>
      <c r="D42" s="5">
        <v>4.9611646415268197E-2</v>
      </c>
      <c r="E42" s="10">
        <v>-4.1714957549384597E-2</v>
      </c>
      <c r="F42" s="8">
        <v>2.3768784113539301</v>
      </c>
      <c r="G42" s="3">
        <v>48.5</v>
      </c>
      <c r="H42" s="8">
        <v>4.9705418000804897</v>
      </c>
      <c r="I42" s="4">
        <v>1.008246697022094</v>
      </c>
      <c r="J42" s="8">
        <v>0.15611461722769501</v>
      </c>
    </row>
    <row r="43" spans="1:11" x14ac:dyDescent="0.25">
      <c r="A43" s="3" t="s">
        <v>9</v>
      </c>
      <c r="B43" s="4"/>
      <c r="C43" s="9">
        <v>0.12430930853391101</v>
      </c>
      <c r="D43" s="5">
        <v>0.107447815904682</v>
      </c>
      <c r="E43" s="9">
        <v>7.3340759088016003E-2</v>
      </c>
      <c r="F43" s="8">
        <v>70.349925179505803</v>
      </c>
      <c r="G43" s="3">
        <v>28.75</v>
      </c>
      <c r="H43" s="8">
        <v>18.738059749368901</v>
      </c>
      <c r="I43" s="4">
        <v>1.0490052443540898</v>
      </c>
      <c r="J43" s="8">
        <v>0.29322882322716898</v>
      </c>
    </row>
    <row r="44" spans="1:11" x14ac:dyDescent="0.25">
      <c r="A44" s="3" t="s">
        <v>10</v>
      </c>
      <c r="B44" s="5">
        <v>1.27691539373017E-2</v>
      </c>
      <c r="C44" s="9">
        <v>9.2876994447724404E-2</v>
      </c>
      <c r="D44" s="5">
        <v>0.39411883766970102</v>
      </c>
      <c r="E44" s="9">
        <v>7.1354925056258001E-3</v>
      </c>
      <c r="F44" s="8">
        <v>5.4523947827090398</v>
      </c>
      <c r="G44" s="3">
        <v>21</v>
      </c>
      <c r="H44" s="8">
        <v>8.1761484496582497</v>
      </c>
      <c r="I44" s="4">
        <v>1.0119508062412015</v>
      </c>
      <c r="J44" s="8">
        <v>0.19059894727801999</v>
      </c>
    </row>
    <row r="45" spans="1:11" x14ac:dyDescent="0.25">
      <c r="A45" s="3" t="s">
        <v>11</v>
      </c>
      <c r="B45" s="5">
        <v>6.7576112725014403E-2</v>
      </c>
      <c r="C45" s="9">
        <v>8.3834633446242604E-2</v>
      </c>
      <c r="D45" s="5">
        <v>9.0698601563059603E-2</v>
      </c>
      <c r="E45" s="10">
        <v>-0.28463650723553102</v>
      </c>
      <c r="F45" s="8"/>
      <c r="G45" s="3"/>
      <c r="H45" s="8"/>
      <c r="I45" s="4"/>
      <c r="J45" s="8"/>
    </row>
    <row r="46" spans="1:11" x14ac:dyDescent="0.25">
      <c r="A46" s="3" t="s">
        <v>12</v>
      </c>
      <c r="B46" s="6">
        <v>-0.35416666689988402</v>
      </c>
      <c r="C46" s="9">
        <v>4.4857179056258203E-2</v>
      </c>
      <c r="D46" s="5">
        <v>9.9852529707758195E-2</v>
      </c>
      <c r="E46" s="10">
        <v>-7.3287190867590401E-3</v>
      </c>
      <c r="F46" s="8">
        <v>33.895949402833203</v>
      </c>
      <c r="G46" s="3">
        <v>96.5</v>
      </c>
      <c r="H46" s="8">
        <v>19.594840851392899</v>
      </c>
      <c r="I46" s="4">
        <v>1.0239451393319936</v>
      </c>
      <c r="J46" s="8">
        <v>0.499861288181496</v>
      </c>
    </row>
    <row r="47" spans="1:11" x14ac:dyDescent="0.25">
      <c r="A47" s="3" t="s">
        <v>13</v>
      </c>
      <c r="B47" s="5">
        <v>4.5646344187588998E-2</v>
      </c>
      <c r="C47" s="9">
        <v>7.6664996000854094E-2</v>
      </c>
      <c r="D47" s="5">
        <v>5.5815481283492403E-2</v>
      </c>
      <c r="E47" s="9">
        <v>0.10941628444022999</v>
      </c>
      <c r="F47" s="8">
        <v>32.177431699139497</v>
      </c>
      <c r="G47" s="3">
        <v>47.5</v>
      </c>
      <c r="H47" s="8">
        <v>17.2552427011953</v>
      </c>
      <c r="I47" s="4">
        <v>1.0275460447393339</v>
      </c>
      <c r="J47" s="8">
        <v>0.40695810522245701</v>
      </c>
    </row>
    <row r="48" spans="1:11" x14ac:dyDescent="0.25">
      <c r="A48" s="3" t="s">
        <v>14</v>
      </c>
      <c r="B48" s="5">
        <v>1.47909285306715E-2</v>
      </c>
      <c r="C48" s="9">
        <v>2.1219861817338499E-2</v>
      </c>
      <c r="D48" s="5">
        <v>9.5391388976058394E-2</v>
      </c>
      <c r="E48" s="10">
        <v>-8.4675321487204705E-2</v>
      </c>
      <c r="F48" s="8">
        <v>31.253302872972</v>
      </c>
      <c r="G48" s="3">
        <v>23.5</v>
      </c>
      <c r="H48" s="8">
        <v>17.024424898784201</v>
      </c>
      <c r="I48" s="4">
        <v>1.0275826446035865</v>
      </c>
      <c r="J48" s="8">
        <v>5.4056282725128302E-2</v>
      </c>
    </row>
    <row r="49" spans="1:30" x14ac:dyDescent="0.25">
      <c r="A49" s="3" t="s">
        <v>15</v>
      </c>
      <c r="B49" s="5">
        <v>3.5842816756479302E-2</v>
      </c>
      <c r="C49" s="9">
        <v>8.5275451626537893E-2</v>
      </c>
      <c r="D49" s="5">
        <v>9.9540545016305104E-2</v>
      </c>
      <c r="E49" s="10">
        <v>-3.2911415817637998E-2</v>
      </c>
      <c r="F49" s="8"/>
      <c r="G49" s="3"/>
      <c r="H49" s="8"/>
      <c r="I49" s="4"/>
      <c r="J49" s="8"/>
    </row>
    <row r="50" spans="1:30" x14ac:dyDescent="0.25">
      <c r="A50" s="3" t="s">
        <v>16</v>
      </c>
      <c r="B50" s="6">
        <v>-4.0383997186219003E-2</v>
      </c>
      <c r="C50" s="9">
        <v>3.1629539106965802E-2</v>
      </c>
      <c r="D50" s="5">
        <v>0.115227328160236</v>
      </c>
      <c r="E50" s="10">
        <v>-4.46763074582908E-2</v>
      </c>
      <c r="F50" s="8">
        <v>42.7547044117564</v>
      </c>
      <c r="G50" s="3">
        <v>47.75</v>
      </c>
      <c r="H50" s="8">
        <v>15.1069524712688</v>
      </c>
      <c r="I50" s="4">
        <v>1.0572093304532362</v>
      </c>
      <c r="J50" s="8">
        <v>0.26690920736687102</v>
      </c>
    </row>
    <row r="51" spans="1:30" ht="40.5" customHeight="1" x14ac:dyDescent="0.25">
      <c r="A51" s="3" t="s">
        <v>17</v>
      </c>
      <c r="B51" s="5">
        <v>3.6679485231980898E-2</v>
      </c>
      <c r="C51" s="9">
        <v>4.3964016574286002E-2</v>
      </c>
      <c r="D51" s="5">
        <v>0.157732693122626</v>
      </c>
      <c r="E51" s="10">
        <v>-1.53118918462132E-3</v>
      </c>
      <c r="F51" s="8">
        <v>175.86248095131899</v>
      </c>
      <c r="G51" s="3">
        <v>23.75</v>
      </c>
      <c r="H51" s="8">
        <v>21.9579587943592</v>
      </c>
      <c r="I51" s="4">
        <v>1.111235100018195</v>
      </c>
      <c r="J51" s="8">
        <v>0.45125668170602201</v>
      </c>
    </row>
    <row r="52" spans="1:30" x14ac:dyDescent="0.25">
      <c r="A52" s="3" t="s">
        <v>18</v>
      </c>
      <c r="B52" s="6">
        <v>-0.76160033358371604</v>
      </c>
      <c r="C52" s="9">
        <v>5.3048699734524599E-2</v>
      </c>
      <c r="D52" s="5">
        <v>0.121156039239802</v>
      </c>
      <c r="E52" s="10">
        <v>-0.17920927988478999</v>
      </c>
      <c r="F52" s="8">
        <v>52.638565780695899</v>
      </c>
      <c r="G52" s="3">
        <v>23.5</v>
      </c>
      <c r="H52" s="8">
        <v>16.640165980770899</v>
      </c>
      <c r="I52" s="4">
        <v>1.0519758315193652</v>
      </c>
      <c r="J52" s="8">
        <v>0.51242235468873398</v>
      </c>
    </row>
    <row r="57" spans="1:30" ht="25.5" x14ac:dyDescent="0.25">
      <c r="Z57" s="2" t="s">
        <v>35</v>
      </c>
      <c r="AA57" s="2" t="s">
        <v>36</v>
      </c>
      <c r="AB57" s="17" t="s">
        <v>37</v>
      </c>
      <c r="AC57" s="17" t="s">
        <v>31</v>
      </c>
      <c r="AD57" s="17" t="s">
        <v>28</v>
      </c>
    </row>
    <row r="58" spans="1:30" ht="25.5" x14ac:dyDescent="0.25">
      <c r="A58" s="2" t="s">
        <v>1</v>
      </c>
      <c r="B58" s="2" t="s">
        <v>33</v>
      </c>
      <c r="C58" s="2" t="s">
        <v>34</v>
      </c>
      <c r="D58" s="17" t="s">
        <v>37</v>
      </c>
      <c r="E58" s="17" t="s">
        <v>31</v>
      </c>
      <c r="F58" s="17" t="s">
        <v>28</v>
      </c>
      <c r="Y58" s="3" t="s">
        <v>7</v>
      </c>
      <c r="Z58" s="5">
        <v>6.8212961854365706E-2</v>
      </c>
      <c r="AA58" s="10">
        <v>-5.9125313303963402E-2</v>
      </c>
      <c r="AB58" s="3">
        <v>21.75</v>
      </c>
      <c r="AC58" s="8">
        <v>2.4954469283408098</v>
      </c>
      <c r="AD58" s="4">
        <v>1.0078290838208943</v>
      </c>
    </row>
    <row r="59" spans="1:30" x14ac:dyDescent="0.25">
      <c r="A59" s="3" t="s">
        <v>7</v>
      </c>
      <c r="B59" s="5">
        <v>0.14608753400636901</v>
      </c>
      <c r="C59" s="10">
        <v>-4.2076076707890497E-3</v>
      </c>
      <c r="D59" s="3">
        <v>21.75</v>
      </c>
      <c r="E59" s="8">
        <v>2.4954469283408098</v>
      </c>
      <c r="F59" s="4">
        <v>1.0078290838208943</v>
      </c>
      <c r="Y59" s="3" t="s">
        <v>8</v>
      </c>
      <c r="Z59" s="5">
        <v>4.9611646415268197E-2</v>
      </c>
      <c r="AA59" s="10">
        <v>-4.1714957549384597E-2</v>
      </c>
      <c r="AB59" s="3">
        <v>48.5</v>
      </c>
      <c r="AC59" s="8">
        <v>4.9705418000804897</v>
      </c>
      <c r="AD59" s="4">
        <v>1.008246697022094</v>
      </c>
    </row>
    <row r="60" spans="1:30" x14ac:dyDescent="0.25">
      <c r="A60" s="3" t="s">
        <v>10</v>
      </c>
      <c r="B60" s="5">
        <v>1.27691539373017E-2</v>
      </c>
      <c r="C60" s="9">
        <v>9.2876994447724404E-2</v>
      </c>
      <c r="D60" s="3">
        <v>21</v>
      </c>
      <c r="E60" s="8">
        <v>8.1761484496582497</v>
      </c>
      <c r="F60" s="4">
        <v>1.0119508062412015</v>
      </c>
      <c r="Y60" s="3" t="s">
        <v>9</v>
      </c>
      <c r="Z60" s="5">
        <v>0.107447815904682</v>
      </c>
      <c r="AA60" s="9">
        <v>7.3340759088016003E-2</v>
      </c>
      <c r="AB60" s="3">
        <v>28.75</v>
      </c>
      <c r="AC60" s="8">
        <v>18.738059749368901</v>
      </c>
      <c r="AD60" s="4">
        <v>1.0490052443540898</v>
      </c>
    </row>
    <row r="61" spans="1:30" x14ac:dyDescent="0.25">
      <c r="A61" s="3" t="s">
        <v>12</v>
      </c>
      <c r="B61" s="6">
        <v>-0.35416666689988402</v>
      </c>
      <c r="C61" s="9">
        <v>4.4857179056258203E-2</v>
      </c>
      <c r="D61" s="3">
        <v>96.5</v>
      </c>
      <c r="E61" s="8">
        <v>19.594840851392899</v>
      </c>
      <c r="F61" s="4">
        <v>1.0239451393319936</v>
      </c>
      <c r="Y61" s="3" t="s">
        <v>10</v>
      </c>
      <c r="Z61" s="5">
        <v>0.39411883766970102</v>
      </c>
      <c r="AA61" s="9">
        <v>7.1354925056258001E-3</v>
      </c>
      <c r="AB61" s="3">
        <v>21</v>
      </c>
      <c r="AC61" s="8">
        <v>8.1761484496582497</v>
      </c>
      <c r="AD61" s="4">
        <v>1.0119508062412015</v>
      </c>
    </row>
    <row r="62" spans="1:30" x14ac:dyDescent="0.25">
      <c r="A62" s="3" t="s">
        <v>13</v>
      </c>
      <c r="B62" s="5">
        <v>4.5646344187588998E-2</v>
      </c>
      <c r="C62" s="9">
        <v>7.6664996000854094E-2</v>
      </c>
      <c r="D62" s="3">
        <v>47.5</v>
      </c>
      <c r="E62" s="8">
        <v>17.2552427011953</v>
      </c>
      <c r="F62" s="4">
        <v>1.0275460447393339</v>
      </c>
      <c r="Y62" s="3" t="s">
        <v>12</v>
      </c>
      <c r="Z62" s="5">
        <v>9.9852529707758195E-2</v>
      </c>
      <c r="AA62" s="10">
        <v>-7.3287190867590401E-3</v>
      </c>
      <c r="AB62" s="3">
        <v>96.5</v>
      </c>
      <c r="AC62" s="8">
        <v>19.594840851392899</v>
      </c>
      <c r="AD62" s="4">
        <v>1.0239451393319936</v>
      </c>
    </row>
    <row r="63" spans="1:30" x14ac:dyDescent="0.25">
      <c r="A63" s="3" t="s">
        <v>14</v>
      </c>
      <c r="B63" s="5">
        <v>1.47909285306715E-2</v>
      </c>
      <c r="C63" s="9">
        <v>2.1219861817338499E-2</v>
      </c>
      <c r="D63" s="3">
        <v>23.5</v>
      </c>
      <c r="E63" s="8">
        <v>17.024424898784201</v>
      </c>
      <c r="F63" s="4">
        <v>1.0275826446035865</v>
      </c>
      <c r="Y63" s="3" t="s">
        <v>13</v>
      </c>
      <c r="Z63" s="5">
        <v>5.5815481283492403E-2</v>
      </c>
      <c r="AA63" s="9">
        <v>0.10941628444022999</v>
      </c>
      <c r="AB63" s="3">
        <v>47.5</v>
      </c>
      <c r="AC63" s="8">
        <v>17.2552427011953</v>
      </c>
      <c r="AD63" s="4">
        <v>1.0275460447393339</v>
      </c>
    </row>
    <row r="64" spans="1:30" x14ac:dyDescent="0.25">
      <c r="A64" s="3" t="s">
        <v>16</v>
      </c>
      <c r="B64" s="6">
        <v>-4.0383997186219003E-2</v>
      </c>
      <c r="C64" s="9">
        <v>3.1629539106965802E-2</v>
      </c>
      <c r="D64" s="3">
        <v>47.75</v>
      </c>
      <c r="E64" s="8">
        <v>15.1069524712688</v>
      </c>
      <c r="F64" s="4">
        <v>1.0572093304532362</v>
      </c>
      <c r="Y64" s="3" t="s">
        <v>14</v>
      </c>
      <c r="Z64" s="5">
        <v>9.5391388976058394E-2</v>
      </c>
      <c r="AA64" s="10">
        <v>-8.4675321487204705E-2</v>
      </c>
      <c r="AB64" s="3">
        <v>23.5</v>
      </c>
      <c r="AC64" s="8">
        <v>17.024424898784201</v>
      </c>
      <c r="AD64" s="4">
        <v>1.0275826446035865</v>
      </c>
    </row>
    <row r="65" spans="1:41" x14ac:dyDescent="0.25">
      <c r="A65" s="3" t="s">
        <v>17</v>
      </c>
      <c r="B65" s="5">
        <v>3.6679485231980898E-2</v>
      </c>
      <c r="C65" s="9">
        <v>4.3964016574286002E-2</v>
      </c>
      <c r="D65" s="3">
        <v>23.75</v>
      </c>
      <c r="E65" s="8">
        <v>21.9579587943592</v>
      </c>
      <c r="F65" s="4">
        <v>1.111235100018195</v>
      </c>
      <c r="Y65" s="3" t="s">
        <v>16</v>
      </c>
      <c r="Z65" s="5">
        <v>0.115227328160236</v>
      </c>
      <c r="AA65" s="10">
        <v>-4.46763074582908E-2</v>
      </c>
      <c r="AB65" s="3">
        <v>47.75</v>
      </c>
      <c r="AC65" s="8">
        <v>15.1069524712688</v>
      </c>
      <c r="AD65" s="4">
        <v>1.0572093304532362</v>
      </c>
    </row>
    <row r="66" spans="1:41" x14ac:dyDescent="0.25">
      <c r="A66" s="3" t="s">
        <v>18</v>
      </c>
      <c r="B66" s="6">
        <v>-0.76160033358371604</v>
      </c>
      <c r="C66" s="9">
        <v>5.3048699734524599E-2</v>
      </c>
      <c r="D66" s="3">
        <v>23.5</v>
      </c>
      <c r="E66" s="8">
        <v>16.640165980770899</v>
      </c>
      <c r="F66" s="4">
        <v>1.0519758315193652</v>
      </c>
      <c r="Y66" s="3" t="s">
        <v>17</v>
      </c>
      <c r="Z66" s="5">
        <v>0.157732693122626</v>
      </c>
      <c r="AA66" s="10">
        <v>-1.53118918462132E-3</v>
      </c>
      <c r="AB66" s="3">
        <v>23.75</v>
      </c>
      <c r="AC66" s="8">
        <v>21.9579587943592</v>
      </c>
      <c r="AD66" s="4">
        <v>1.111235100018195</v>
      </c>
    </row>
    <row r="67" spans="1:41" x14ac:dyDescent="0.25">
      <c r="Y67" s="3" t="s">
        <v>18</v>
      </c>
      <c r="Z67" s="5">
        <v>0.121156039239802</v>
      </c>
      <c r="AA67" s="10">
        <v>-0.17920927988478999</v>
      </c>
      <c r="AB67" s="3">
        <v>23.5</v>
      </c>
      <c r="AC67" s="8">
        <v>16.640165980770899</v>
      </c>
      <c r="AD67" s="4">
        <v>1.0519758315193652</v>
      </c>
    </row>
    <row r="71" spans="1:41" x14ac:dyDescent="0.25">
      <c r="A71" s="39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39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1"/>
    </row>
    <row r="72" spans="1:41" ht="15.75" thickBot="1" x14ac:dyDescent="0.3">
      <c r="A72" s="104" t="s">
        <v>61</v>
      </c>
      <c r="B72" s="105"/>
      <c r="C72" s="105"/>
      <c r="D72" s="105"/>
      <c r="E72" s="105"/>
      <c r="F72" s="105"/>
      <c r="G72" s="105"/>
      <c r="H72" s="105"/>
      <c r="I72" s="106"/>
      <c r="K72" s="104" t="s">
        <v>62</v>
      </c>
      <c r="L72" s="105"/>
      <c r="M72" s="105"/>
      <c r="N72" s="105"/>
      <c r="O72" s="105"/>
      <c r="P72" s="105"/>
      <c r="Q72" s="105"/>
      <c r="R72" s="105"/>
      <c r="S72" s="106"/>
      <c r="U72" s="43"/>
      <c r="V72" s="95" t="s">
        <v>65</v>
      </c>
      <c r="W72" s="96"/>
      <c r="X72" s="96"/>
      <c r="Y72" s="96"/>
      <c r="Z72" s="96"/>
      <c r="AA72" s="96"/>
      <c r="AB72" s="96"/>
      <c r="AC72" s="96"/>
      <c r="AD72" s="97"/>
      <c r="AF72" s="95" t="s">
        <v>66</v>
      </c>
      <c r="AG72" s="96"/>
      <c r="AH72" s="96"/>
      <c r="AI72" s="96"/>
      <c r="AJ72" s="96"/>
      <c r="AK72" s="96"/>
      <c r="AL72" s="96"/>
      <c r="AM72" s="96"/>
      <c r="AN72" s="97"/>
      <c r="AO72" s="42"/>
    </row>
    <row r="73" spans="1:41" x14ac:dyDescent="0.25">
      <c r="A73" s="25" t="s">
        <v>38</v>
      </c>
      <c r="B73" s="19"/>
      <c r="C73" s="20"/>
      <c r="D73" s="20"/>
      <c r="E73" s="20"/>
      <c r="F73" s="20"/>
      <c r="G73" s="20"/>
      <c r="H73" s="20"/>
      <c r="I73" s="26"/>
      <c r="K73" s="25" t="s">
        <v>38</v>
      </c>
      <c r="L73" s="19"/>
      <c r="M73" s="20"/>
      <c r="N73" s="20"/>
      <c r="O73" s="20"/>
      <c r="P73" s="20"/>
      <c r="Q73" s="20"/>
      <c r="R73" s="20"/>
      <c r="S73" s="26"/>
      <c r="U73" s="43"/>
      <c r="V73" s="71" t="s">
        <v>38</v>
      </c>
      <c r="W73" s="66"/>
      <c r="X73" s="52"/>
      <c r="Y73" s="52"/>
      <c r="Z73" s="52"/>
      <c r="AA73" s="52"/>
      <c r="AB73" s="52"/>
      <c r="AC73" s="52"/>
      <c r="AD73" s="67"/>
      <c r="AF73" s="71" t="s">
        <v>38</v>
      </c>
      <c r="AG73" s="66"/>
      <c r="AH73" s="52"/>
      <c r="AI73" s="52"/>
      <c r="AJ73" s="52"/>
      <c r="AK73" s="52"/>
      <c r="AL73" s="52"/>
      <c r="AM73" s="52"/>
      <c r="AN73" s="67"/>
      <c r="AO73" s="42"/>
    </row>
    <row r="74" spans="1:41" x14ac:dyDescent="0.25">
      <c r="A74" s="27" t="s">
        <v>39</v>
      </c>
      <c r="B74" s="34">
        <v>0.37979324847157675</v>
      </c>
      <c r="C74" s="20"/>
      <c r="D74" s="20"/>
      <c r="E74" s="20"/>
      <c r="F74" s="20"/>
      <c r="G74" s="20"/>
      <c r="H74" s="20"/>
      <c r="I74" s="26"/>
      <c r="K74" s="27" t="s">
        <v>39</v>
      </c>
      <c r="L74" s="34">
        <v>0.37944476376577935</v>
      </c>
      <c r="M74" s="20"/>
      <c r="N74" s="20"/>
      <c r="O74" s="20"/>
      <c r="P74" s="20"/>
      <c r="Q74" s="20"/>
      <c r="R74" s="20"/>
      <c r="S74" s="26"/>
      <c r="U74" s="43"/>
      <c r="V74" s="72" t="s">
        <v>39</v>
      </c>
      <c r="W74" s="34">
        <v>0.3138714003796832</v>
      </c>
      <c r="X74" s="52"/>
      <c r="Y74" s="52"/>
      <c r="Z74" s="52"/>
      <c r="AA74" s="52"/>
      <c r="AB74" s="52"/>
      <c r="AC74" s="52"/>
      <c r="AD74" s="67"/>
      <c r="AF74" s="72" t="s">
        <v>39</v>
      </c>
      <c r="AG74" s="34">
        <v>0.13820709302199632</v>
      </c>
      <c r="AH74" s="52"/>
      <c r="AI74" s="52"/>
      <c r="AJ74" s="52"/>
      <c r="AK74" s="52"/>
      <c r="AL74" s="52"/>
      <c r="AM74" s="52"/>
      <c r="AN74" s="67"/>
      <c r="AO74" s="42"/>
    </row>
    <row r="75" spans="1:41" ht="18" customHeight="1" x14ac:dyDescent="0.25">
      <c r="A75" s="27" t="s">
        <v>40</v>
      </c>
      <c r="B75" s="34">
        <v>0.14424291158459282</v>
      </c>
      <c r="C75" s="20"/>
      <c r="D75" s="20"/>
      <c r="E75" s="20"/>
      <c r="F75" s="20"/>
      <c r="G75" s="20"/>
      <c r="H75" s="20"/>
      <c r="I75" s="26"/>
      <c r="K75" s="27" t="s">
        <v>40</v>
      </c>
      <c r="L75" s="34">
        <v>0.14397832874926808</v>
      </c>
      <c r="M75" s="20"/>
      <c r="N75" s="20"/>
      <c r="O75" s="20"/>
      <c r="P75" s="20"/>
      <c r="Q75" s="20"/>
      <c r="R75" s="20"/>
      <c r="S75" s="26"/>
      <c r="U75" s="43"/>
      <c r="V75" s="72" t="s">
        <v>40</v>
      </c>
      <c r="W75" s="34">
        <v>9.8515255976303395E-2</v>
      </c>
      <c r="X75" s="52"/>
      <c r="Y75" s="52"/>
      <c r="Z75" s="52"/>
      <c r="AA75" s="52"/>
      <c r="AB75" s="52"/>
      <c r="AC75" s="52"/>
      <c r="AD75" s="67"/>
      <c r="AF75" s="72" t="s">
        <v>40</v>
      </c>
      <c r="AG75" s="34">
        <v>1.9101200561590748E-2</v>
      </c>
      <c r="AH75" s="52"/>
      <c r="AI75" s="52"/>
      <c r="AJ75" s="52"/>
      <c r="AK75" s="52"/>
      <c r="AL75" s="52"/>
      <c r="AM75" s="52"/>
      <c r="AN75" s="67"/>
      <c r="AO75" s="42"/>
    </row>
    <row r="76" spans="1:41" x14ac:dyDescent="0.25">
      <c r="A76" s="27" t="s">
        <v>41</v>
      </c>
      <c r="B76" s="34">
        <v>-0.49757490472696259</v>
      </c>
      <c r="C76" s="20"/>
      <c r="D76" s="20"/>
      <c r="E76" s="20"/>
      <c r="F76" s="20"/>
      <c r="G76" s="20"/>
      <c r="H76" s="20"/>
      <c r="I76" s="26"/>
      <c r="K76" s="27" t="s">
        <v>41</v>
      </c>
      <c r="L76" s="34">
        <v>-0.19843033975102467</v>
      </c>
      <c r="M76" s="20"/>
      <c r="N76" s="20"/>
      <c r="O76" s="20"/>
      <c r="P76" s="20"/>
      <c r="Q76" s="20"/>
      <c r="R76" s="20"/>
      <c r="S76" s="26"/>
      <c r="U76" s="43"/>
      <c r="V76" s="72" t="s">
        <v>41</v>
      </c>
      <c r="W76" s="34">
        <v>-0.35222711603554496</v>
      </c>
      <c r="X76" s="52"/>
      <c r="Y76" s="52"/>
      <c r="Z76" s="52"/>
      <c r="AA76" s="52"/>
      <c r="AB76" s="52"/>
      <c r="AC76" s="52"/>
      <c r="AD76" s="67"/>
      <c r="AF76" s="72" t="s">
        <v>41</v>
      </c>
      <c r="AG76" s="34">
        <v>-0.26115559927795473</v>
      </c>
      <c r="AH76" s="52"/>
      <c r="AI76" s="52"/>
      <c r="AJ76" s="52"/>
      <c r="AK76" s="52"/>
      <c r="AL76" s="52"/>
      <c r="AM76" s="52"/>
      <c r="AN76" s="67"/>
      <c r="AO76" s="42"/>
    </row>
    <row r="77" spans="1:41" x14ac:dyDescent="0.25">
      <c r="A77" s="27" t="s">
        <v>42</v>
      </c>
      <c r="B77" s="34">
        <v>0.36740662898647358</v>
      </c>
      <c r="C77" s="20"/>
      <c r="D77" s="20"/>
      <c r="E77" s="20"/>
      <c r="F77" s="20"/>
      <c r="G77" s="20"/>
      <c r="H77" s="20"/>
      <c r="I77" s="26"/>
      <c r="K77" s="27" t="s">
        <v>42</v>
      </c>
      <c r="L77" s="34">
        <v>0.32866927629661979</v>
      </c>
      <c r="M77" s="20"/>
      <c r="N77" s="20"/>
      <c r="O77" s="20"/>
      <c r="P77" s="20"/>
      <c r="Q77" s="20"/>
      <c r="R77" s="20"/>
      <c r="S77" s="26"/>
      <c r="U77" s="43"/>
      <c r="V77" s="72" t="s">
        <v>42</v>
      </c>
      <c r="W77" s="52">
        <v>0.11570063015450413</v>
      </c>
      <c r="X77" s="52"/>
      <c r="Y77" s="52"/>
      <c r="Z77" s="52"/>
      <c r="AA77" s="52"/>
      <c r="AB77" s="52"/>
      <c r="AC77" s="52"/>
      <c r="AD77" s="67"/>
      <c r="AF77" s="72" t="s">
        <v>42</v>
      </c>
      <c r="AG77" s="52">
        <v>0.11173654546575795</v>
      </c>
      <c r="AH77" s="52"/>
      <c r="AI77" s="52"/>
      <c r="AJ77" s="52"/>
      <c r="AK77" s="52"/>
      <c r="AL77" s="52"/>
      <c r="AM77" s="52"/>
      <c r="AN77" s="67"/>
      <c r="AO77" s="42"/>
    </row>
    <row r="78" spans="1:41" ht="15.75" thickBot="1" x14ac:dyDescent="0.3">
      <c r="A78" s="28" t="s">
        <v>43</v>
      </c>
      <c r="B78" s="21">
        <v>8</v>
      </c>
      <c r="C78" s="20"/>
      <c r="D78" s="20"/>
      <c r="E78" s="20"/>
      <c r="F78" s="20"/>
      <c r="G78" s="20"/>
      <c r="H78" s="20"/>
      <c r="I78" s="26"/>
      <c r="K78" s="28" t="s">
        <v>43</v>
      </c>
      <c r="L78" s="21">
        <v>8</v>
      </c>
      <c r="M78" s="20"/>
      <c r="N78" s="20"/>
      <c r="O78" s="20"/>
      <c r="P78" s="20"/>
      <c r="Q78" s="20"/>
      <c r="R78" s="20"/>
      <c r="S78" s="26"/>
      <c r="U78" s="43"/>
      <c r="V78" s="73" t="s">
        <v>43</v>
      </c>
      <c r="W78" s="53">
        <v>10</v>
      </c>
      <c r="X78" s="52"/>
      <c r="Y78" s="52"/>
      <c r="Z78" s="52"/>
      <c r="AA78" s="52"/>
      <c r="AB78" s="52"/>
      <c r="AC78" s="52"/>
      <c r="AD78" s="67"/>
      <c r="AF78" s="73" t="s">
        <v>43</v>
      </c>
      <c r="AG78" s="53">
        <v>10</v>
      </c>
      <c r="AH78" s="52"/>
      <c r="AI78" s="52"/>
      <c r="AJ78" s="52"/>
      <c r="AK78" s="52"/>
      <c r="AL78" s="52"/>
      <c r="AM78" s="52"/>
      <c r="AN78" s="67"/>
      <c r="AO78" s="42"/>
    </row>
    <row r="79" spans="1:41" x14ac:dyDescent="0.25">
      <c r="A79" s="27"/>
      <c r="B79" s="20"/>
      <c r="C79" s="20"/>
      <c r="D79" s="20"/>
      <c r="E79" s="20"/>
      <c r="F79" s="20"/>
      <c r="G79" s="20"/>
      <c r="H79" s="20"/>
      <c r="I79" s="26"/>
      <c r="K79" s="27"/>
      <c r="L79" s="20"/>
      <c r="M79" s="20"/>
      <c r="N79" s="20"/>
      <c r="O79" s="20"/>
      <c r="P79" s="20"/>
      <c r="Q79" s="20"/>
      <c r="R79" s="20"/>
      <c r="S79" s="26"/>
      <c r="U79" s="43"/>
      <c r="V79" s="72"/>
      <c r="W79" s="52"/>
      <c r="X79" s="52"/>
      <c r="Y79" s="52"/>
      <c r="Z79" s="52"/>
      <c r="AA79" s="52"/>
      <c r="AB79" s="52"/>
      <c r="AC79" s="52"/>
      <c r="AD79" s="67"/>
      <c r="AF79" s="72"/>
      <c r="AG79" s="52"/>
      <c r="AH79" s="52"/>
      <c r="AI79" s="52"/>
      <c r="AJ79" s="52"/>
      <c r="AK79" s="52"/>
      <c r="AL79" s="52"/>
      <c r="AM79" s="52"/>
      <c r="AN79" s="67"/>
      <c r="AO79" s="42"/>
    </row>
    <row r="80" spans="1:41" ht="15.75" thickBot="1" x14ac:dyDescent="0.3">
      <c r="A80" s="27" t="s">
        <v>44</v>
      </c>
      <c r="B80" s="20"/>
      <c r="C80" s="20"/>
      <c r="D80" s="20"/>
      <c r="E80" s="20"/>
      <c r="F80" s="20"/>
      <c r="G80" s="20"/>
      <c r="H80" s="20"/>
      <c r="I80" s="26"/>
      <c r="K80" s="27" t="s">
        <v>44</v>
      </c>
      <c r="L80" s="20"/>
      <c r="M80" s="20"/>
      <c r="N80" s="20"/>
      <c r="O80" s="20"/>
      <c r="P80" s="20"/>
      <c r="Q80" s="20"/>
      <c r="R80" s="20"/>
      <c r="S80" s="26"/>
      <c r="U80" s="43"/>
      <c r="V80" s="72" t="s">
        <v>44</v>
      </c>
      <c r="W80" s="52"/>
      <c r="X80" s="52"/>
      <c r="Y80" s="52"/>
      <c r="Z80" s="52"/>
      <c r="AA80" s="52"/>
      <c r="AB80" s="52"/>
      <c r="AC80" s="52"/>
      <c r="AD80" s="67"/>
      <c r="AF80" s="72" t="s">
        <v>44</v>
      </c>
      <c r="AG80" s="52"/>
      <c r="AH80" s="52"/>
      <c r="AI80" s="52"/>
      <c r="AJ80" s="52"/>
      <c r="AK80" s="52"/>
      <c r="AL80" s="52"/>
      <c r="AM80" s="52"/>
      <c r="AN80" s="67"/>
      <c r="AO80" s="42"/>
    </row>
    <row r="81" spans="1:41" x14ac:dyDescent="0.25">
      <c r="A81" s="29"/>
      <c r="B81" s="22" t="s">
        <v>49</v>
      </c>
      <c r="C81" s="22" t="s">
        <v>50</v>
      </c>
      <c r="D81" s="22" t="s">
        <v>51</v>
      </c>
      <c r="E81" s="22" t="s">
        <v>52</v>
      </c>
      <c r="F81" s="22" t="s">
        <v>53</v>
      </c>
      <c r="G81" s="20"/>
      <c r="H81" s="20"/>
      <c r="I81" s="26"/>
      <c r="K81" s="29"/>
      <c r="L81" s="22" t="s">
        <v>49</v>
      </c>
      <c r="M81" s="22" t="s">
        <v>50</v>
      </c>
      <c r="N81" s="22" t="s">
        <v>51</v>
      </c>
      <c r="O81" s="22" t="s">
        <v>52</v>
      </c>
      <c r="P81" s="22" t="s">
        <v>53</v>
      </c>
      <c r="Q81" s="20"/>
      <c r="R81" s="20"/>
      <c r="S81" s="26"/>
      <c r="U81" s="43"/>
      <c r="V81" s="74"/>
      <c r="W81" s="51" t="s">
        <v>49</v>
      </c>
      <c r="X81" s="51" t="s">
        <v>50</v>
      </c>
      <c r="Y81" s="51" t="s">
        <v>51</v>
      </c>
      <c r="Z81" s="51" t="s">
        <v>52</v>
      </c>
      <c r="AA81" s="51" t="s">
        <v>53</v>
      </c>
      <c r="AB81" s="52"/>
      <c r="AC81" s="52"/>
      <c r="AD81" s="67"/>
      <c r="AF81" s="74"/>
      <c r="AG81" s="51" t="s">
        <v>49</v>
      </c>
      <c r="AH81" s="51" t="s">
        <v>50</v>
      </c>
      <c r="AI81" s="51" t="s">
        <v>51</v>
      </c>
      <c r="AJ81" s="51" t="s">
        <v>52</v>
      </c>
      <c r="AK81" s="51" t="s">
        <v>53</v>
      </c>
      <c r="AL81" s="52"/>
      <c r="AM81" s="52"/>
      <c r="AN81" s="67"/>
      <c r="AO81" s="42"/>
    </row>
    <row r="82" spans="1:41" x14ac:dyDescent="0.25">
      <c r="A82" s="27" t="s">
        <v>45</v>
      </c>
      <c r="B82" s="20">
        <v>3</v>
      </c>
      <c r="C82" s="20">
        <v>9.1011849929273136E-2</v>
      </c>
      <c r="D82" s="20">
        <v>3.0337283309757712E-2</v>
      </c>
      <c r="E82" s="20">
        <v>0.22474120835962191</v>
      </c>
      <c r="F82" s="20">
        <v>0.8748967675860001</v>
      </c>
      <c r="G82" s="20"/>
      <c r="H82" s="20"/>
      <c r="I82" s="26"/>
      <c r="K82" s="27" t="s">
        <v>45</v>
      </c>
      <c r="L82" s="20">
        <v>2</v>
      </c>
      <c r="M82" s="20">
        <v>9.0844908115371159E-2</v>
      </c>
      <c r="N82" s="20">
        <v>4.542245405768558E-2</v>
      </c>
      <c r="O82" s="20">
        <v>0.42048681004448635</v>
      </c>
      <c r="P82" s="20">
        <v>0.67797221975226196</v>
      </c>
      <c r="Q82" s="20"/>
      <c r="R82" s="20"/>
      <c r="S82" s="26"/>
      <c r="U82" s="43"/>
      <c r="V82" s="72" t="s">
        <v>45</v>
      </c>
      <c r="W82" s="52">
        <v>3</v>
      </c>
      <c r="X82" s="52">
        <v>8.7774387511001667E-3</v>
      </c>
      <c r="Y82" s="52">
        <v>2.9258129170333888E-3</v>
      </c>
      <c r="Z82" s="52">
        <v>0.21856222554935173</v>
      </c>
      <c r="AA82" s="52">
        <v>0.88014997295389152</v>
      </c>
      <c r="AB82" s="52"/>
      <c r="AC82" s="52"/>
      <c r="AD82" s="67"/>
      <c r="AF82" s="72" t="s">
        <v>45</v>
      </c>
      <c r="AG82" s="52">
        <v>2</v>
      </c>
      <c r="AH82" s="52">
        <v>1.7018645116465142E-3</v>
      </c>
      <c r="AI82" s="52">
        <v>8.509322558232571E-4</v>
      </c>
      <c r="AJ82" s="52">
        <v>6.8156064625467416E-2</v>
      </c>
      <c r="AK82" s="52">
        <v>0.9347268338121858</v>
      </c>
      <c r="AL82" s="52"/>
      <c r="AM82" s="52"/>
      <c r="AN82" s="67"/>
      <c r="AO82" s="42"/>
    </row>
    <row r="83" spans="1:41" x14ac:dyDescent="0.25">
      <c r="A83" s="27" t="s">
        <v>46</v>
      </c>
      <c r="B83" s="20">
        <v>4</v>
      </c>
      <c r="C83" s="20">
        <v>0.53995052409281707</v>
      </c>
      <c r="D83" s="20">
        <v>0.13498763102320427</v>
      </c>
      <c r="E83" s="20"/>
      <c r="F83" s="20"/>
      <c r="G83" s="20"/>
      <c r="H83" s="20"/>
      <c r="I83" s="26"/>
      <c r="K83" s="27" t="s">
        <v>46</v>
      </c>
      <c r="L83" s="20">
        <v>5</v>
      </c>
      <c r="M83" s="20">
        <v>0.54011746590671905</v>
      </c>
      <c r="N83" s="20">
        <v>0.10802349318134381</v>
      </c>
      <c r="O83" s="20"/>
      <c r="P83" s="20"/>
      <c r="Q83" s="20"/>
      <c r="R83" s="20"/>
      <c r="S83" s="26"/>
      <c r="U83" s="43"/>
      <c r="V83" s="72" t="s">
        <v>46</v>
      </c>
      <c r="W83" s="52">
        <v>6</v>
      </c>
      <c r="X83" s="52">
        <v>8.0319814908896101E-2</v>
      </c>
      <c r="Y83" s="52">
        <v>1.338663581814935E-2</v>
      </c>
      <c r="Z83" s="52"/>
      <c r="AA83" s="52"/>
      <c r="AB83" s="52"/>
      <c r="AC83" s="52"/>
      <c r="AD83" s="67"/>
      <c r="AF83" s="72" t="s">
        <v>46</v>
      </c>
      <c r="AG83" s="52">
        <v>7</v>
      </c>
      <c r="AH83" s="52">
        <v>8.7395389148349753E-2</v>
      </c>
      <c r="AI83" s="52">
        <v>1.2485055592621393E-2</v>
      </c>
      <c r="AJ83" s="52"/>
      <c r="AK83" s="52"/>
      <c r="AL83" s="52"/>
      <c r="AM83" s="52"/>
      <c r="AN83" s="67"/>
      <c r="AO83" s="42"/>
    </row>
    <row r="84" spans="1:41" ht="15.75" thickBot="1" x14ac:dyDescent="0.3">
      <c r="A84" s="28" t="s">
        <v>47</v>
      </c>
      <c r="B84" s="21">
        <v>7</v>
      </c>
      <c r="C84" s="21">
        <v>0.63096237402209021</v>
      </c>
      <c r="D84" s="21"/>
      <c r="E84" s="21"/>
      <c r="F84" s="21"/>
      <c r="G84" s="20"/>
      <c r="H84" s="20"/>
      <c r="I84" s="26"/>
      <c r="K84" s="28" t="s">
        <v>47</v>
      </c>
      <c r="L84" s="21">
        <v>7</v>
      </c>
      <c r="M84" s="21">
        <v>0.63096237402209021</v>
      </c>
      <c r="N84" s="21"/>
      <c r="O84" s="21"/>
      <c r="P84" s="21"/>
      <c r="Q84" s="20"/>
      <c r="R84" s="20"/>
      <c r="S84" s="26"/>
      <c r="U84" s="43"/>
      <c r="V84" s="73" t="s">
        <v>47</v>
      </c>
      <c r="W84" s="53">
        <v>9</v>
      </c>
      <c r="X84" s="53">
        <v>8.9097253659996267E-2</v>
      </c>
      <c r="Y84" s="53"/>
      <c r="Z84" s="53"/>
      <c r="AA84" s="53"/>
      <c r="AB84" s="52"/>
      <c r="AC84" s="52"/>
      <c r="AD84" s="67"/>
      <c r="AF84" s="73" t="s">
        <v>47</v>
      </c>
      <c r="AG84" s="53">
        <v>9</v>
      </c>
      <c r="AH84" s="53">
        <v>8.9097253659996267E-2</v>
      </c>
      <c r="AI84" s="53"/>
      <c r="AJ84" s="53"/>
      <c r="AK84" s="53"/>
      <c r="AL84" s="52"/>
      <c r="AM84" s="52"/>
      <c r="AN84" s="67"/>
      <c r="AO84" s="42"/>
    </row>
    <row r="85" spans="1:41" ht="15.75" thickBot="1" x14ac:dyDescent="0.3">
      <c r="A85" s="27"/>
      <c r="B85" s="20"/>
      <c r="C85" s="20"/>
      <c r="D85" s="20"/>
      <c r="E85" s="20"/>
      <c r="F85" s="20"/>
      <c r="G85" s="20"/>
      <c r="H85" s="20"/>
      <c r="I85" s="26"/>
      <c r="K85" s="27"/>
      <c r="L85" s="20"/>
      <c r="M85" s="20"/>
      <c r="N85" s="20"/>
      <c r="O85" s="20"/>
      <c r="P85" s="20"/>
      <c r="Q85" s="20"/>
      <c r="R85" s="20"/>
      <c r="S85" s="26"/>
      <c r="U85" s="43"/>
      <c r="V85" s="72"/>
      <c r="W85" s="52"/>
      <c r="X85" s="52"/>
      <c r="Y85" s="52"/>
      <c r="Z85" s="52"/>
      <c r="AA85" s="52"/>
      <c r="AB85" s="52"/>
      <c r="AC85" s="52"/>
      <c r="AD85" s="67"/>
      <c r="AF85" s="72"/>
      <c r="AG85" s="52"/>
      <c r="AH85" s="52"/>
      <c r="AI85" s="52"/>
      <c r="AJ85" s="52"/>
      <c r="AK85" s="52"/>
      <c r="AL85" s="52"/>
      <c r="AM85" s="52"/>
      <c r="AN85" s="67"/>
      <c r="AO85" s="42"/>
    </row>
    <row r="86" spans="1:41" x14ac:dyDescent="0.25">
      <c r="A86" s="29"/>
      <c r="B86" s="22" t="s">
        <v>54</v>
      </c>
      <c r="C86" s="22" t="s">
        <v>42</v>
      </c>
      <c r="D86" s="22" t="s">
        <v>55</v>
      </c>
      <c r="E86" s="22" t="s">
        <v>56</v>
      </c>
      <c r="F86" s="22" t="s">
        <v>57</v>
      </c>
      <c r="G86" s="22" t="s">
        <v>58</v>
      </c>
      <c r="H86" s="22" t="s">
        <v>59</v>
      </c>
      <c r="I86" s="30" t="s">
        <v>60</v>
      </c>
      <c r="K86" s="29"/>
      <c r="L86" s="22" t="s">
        <v>54</v>
      </c>
      <c r="M86" s="22" t="s">
        <v>42</v>
      </c>
      <c r="N86" s="22" t="s">
        <v>55</v>
      </c>
      <c r="O86" s="22" t="s">
        <v>56</v>
      </c>
      <c r="P86" s="22" t="s">
        <v>57</v>
      </c>
      <c r="Q86" s="22" t="s">
        <v>58</v>
      </c>
      <c r="R86" s="22" t="s">
        <v>59</v>
      </c>
      <c r="S86" s="30" t="s">
        <v>60</v>
      </c>
      <c r="U86" s="43"/>
      <c r="V86" s="74"/>
      <c r="W86" s="51" t="s">
        <v>54</v>
      </c>
      <c r="X86" s="51" t="s">
        <v>42</v>
      </c>
      <c r="Y86" s="51" t="s">
        <v>55</v>
      </c>
      <c r="Z86" s="51" t="s">
        <v>56</v>
      </c>
      <c r="AA86" s="51" t="s">
        <v>57</v>
      </c>
      <c r="AB86" s="51" t="s">
        <v>58</v>
      </c>
      <c r="AC86" s="51" t="s">
        <v>59</v>
      </c>
      <c r="AD86" s="68" t="s">
        <v>60</v>
      </c>
      <c r="AF86" s="74"/>
      <c r="AG86" s="51" t="s">
        <v>54</v>
      </c>
      <c r="AH86" s="51" t="s">
        <v>42</v>
      </c>
      <c r="AI86" s="51" t="s">
        <v>55</v>
      </c>
      <c r="AJ86" s="51" t="s">
        <v>56</v>
      </c>
      <c r="AK86" s="51" t="s">
        <v>57</v>
      </c>
      <c r="AL86" s="51" t="s">
        <v>58</v>
      </c>
      <c r="AM86" s="51" t="s">
        <v>59</v>
      </c>
      <c r="AN86" s="68" t="s">
        <v>60</v>
      </c>
      <c r="AO86" s="42"/>
    </row>
    <row r="87" spans="1:41" x14ac:dyDescent="0.25">
      <c r="A87" s="27" t="s">
        <v>48</v>
      </c>
      <c r="B87" s="20">
        <v>-1.6104353445127217</v>
      </c>
      <c r="C87" s="20">
        <v>6.7389959170241429</v>
      </c>
      <c r="D87" s="20">
        <v>-0.23897259537499024</v>
      </c>
      <c r="E87" s="20">
        <v>0.82287144763530906</v>
      </c>
      <c r="F87" s="20">
        <v>-20.32088757228232</v>
      </c>
      <c r="G87" s="20">
        <v>17.100016883256874</v>
      </c>
      <c r="H87" s="20">
        <v>-20.32088757228232</v>
      </c>
      <c r="I87" s="26">
        <v>17.100016883256874</v>
      </c>
      <c r="K87" s="27" t="s">
        <v>48</v>
      </c>
      <c r="L87" s="20">
        <v>-1.7508327425353938</v>
      </c>
      <c r="M87" s="20">
        <v>4.8567229175411644</v>
      </c>
      <c r="N87" s="20">
        <v>-0.36049673252140069</v>
      </c>
      <c r="O87" s="20">
        <v>0.7332045815363526</v>
      </c>
      <c r="P87" s="20">
        <v>-14.235436455085321</v>
      </c>
      <c r="Q87" s="20">
        <v>10.733770970014533</v>
      </c>
      <c r="R87" s="20">
        <v>-14.235436455085321</v>
      </c>
      <c r="S87" s="26">
        <v>10.733770970014533</v>
      </c>
      <c r="U87" s="43"/>
      <c r="V87" s="72" t="s">
        <v>48</v>
      </c>
      <c r="W87" s="52">
        <v>0.47228737709957674</v>
      </c>
      <c r="X87" s="52">
        <v>2.020151179500032</v>
      </c>
      <c r="Y87" s="52">
        <v>0.23378813521098127</v>
      </c>
      <c r="Z87" s="52">
        <v>0.82292202833187489</v>
      </c>
      <c r="AA87" s="52">
        <v>-4.47084448512354</v>
      </c>
      <c r="AB87" s="52">
        <v>5.4154192393226941</v>
      </c>
      <c r="AC87" s="52">
        <v>-4.47084448512354</v>
      </c>
      <c r="AD87" s="67">
        <v>5.4154192393226941</v>
      </c>
      <c r="AF87" s="72" t="s">
        <v>48</v>
      </c>
      <c r="AG87" s="52">
        <v>-0.31341054884444708</v>
      </c>
      <c r="AH87" s="52">
        <v>1.6482950232126004</v>
      </c>
      <c r="AI87" s="52">
        <v>-0.19014226484382388</v>
      </c>
      <c r="AJ87" s="52">
        <v>0.85459417909184188</v>
      </c>
      <c r="AK87" s="52">
        <v>-4.2110089345126545</v>
      </c>
      <c r="AL87" s="52">
        <v>3.5841878368237601</v>
      </c>
      <c r="AM87" s="52">
        <v>-4.2110089345126545</v>
      </c>
      <c r="AN87" s="67">
        <v>3.5841878368237601</v>
      </c>
      <c r="AO87" s="42"/>
    </row>
    <row r="88" spans="1:41" x14ac:dyDescent="0.25">
      <c r="A88" s="27" t="s">
        <v>37</v>
      </c>
      <c r="B88" s="20">
        <v>-2.5014303067245956E-4</v>
      </c>
      <c r="C88" s="20">
        <v>7.1130003686446846E-3</v>
      </c>
      <c r="D88" s="20">
        <v>-3.5167020625379491E-2</v>
      </c>
      <c r="E88" s="20">
        <v>0.97363152790910534</v>
      </c>
      <c r="F88" s="20">
        <v>-1.9998998087466094E-2</v>
      </c>
      <c r="G88" s="20">
        <v>1.9498712026121176E-2</v>
      </c>
      <c r="H88" s="20">
        <v>-1.9998998087466094E-2</v>
      </c>
      <c r="I88" s="26">
        <v>1.9498712026121176E-2</v>
      </c>
      <c r="K88" s="27" t="s">
        <v>31</v>
      </c>
      <c r="L88" s="20">
        <v>-2.2791219034387286E-2</v>
      </c>
      <c r="M88" s="20">
        <v>2.5861088106220533E-2</v>
      </c>
      <c r="N88" s="20">
        <v>-0.88129389377491696</v>
      </c>
      <c r="O88" s="20">
        <v>0.41850161772145167</v>
      </c>
      <c r="P88" s="20">
        <v>-8.9269262370028135E-2</v>
      </c>
      <c r="Q88" s="20">
        <v>4.3686824301253563E-2</v>
      </c>
      <c r="R88" s="20">
        <v>-8.9269262370028135E-2</v>
      </c>
      <c r="S88" s="26">
        <v>4.3686824301253563E-2</v>
      </c>
      <c r="U88" s="43"/>
      <c r="V88" s="72" t="s">
        <v>37</v>
      </c>
      <c r="W88" s="52">
        <v>-1.4302400101897975E-3</v>
      </c>
      <c r="X88" s="52">
        <v>1.967269239373013E-3</v>
      </c>
      <c r="Y88" s="52">
        <v>-0.72701793001431181</v>
      </c>
      <c r="Z88" s="52">
        <v>0.49459157803492682</v>
      </c>
      <c r="AA88" s="52">
        <v>-6.2439744264045725E-3</v>
      </c>
      <c r="AB88" s="52">
        <v>3.3834944060249779E-3</v>
      </c>
      <c r="AC88" s="52">
        <v>-6.2439744264045725E-3</v>
      </c>
      <c r="AD88" s="67">
        <v>3.3834944060249779E-3</v>
      </c>
      <c r="AF88" s="72" t="s">
        <v>31</v>
      </c>
      <c r="AG88" s="52">
        <v>-2.9206716175431825E-3</v>
      </c>
      <c r="AH88" s="52">
        <v>7.9340323398250905E-3</v>
      </c>
      <c r="AI88" s="52">
        <v>-0.36811944953674969</v>
      </c>
      <c r="AJ88" s="52">
        <v>0.72366383364633702</v>
      </c>
      <c r="AK88" s="52">
        <v>-2.1681676901215041E-2</v>
      </c>
      <c r="AL88" s="52">
        <v>1.5840333666128675E-2</v>
      </c>
      <c r="AM88" s="52">
        <v>-2.1681676901215041E-2</v>
      </c>
      <c r="AN88" s="67">
        <v>1.5840333666128675E-2</v>
      </c>
      <c r="AO88" s="42"/>
    </row>
    <row r="89" spans="1:41" x14ac:dyDescent="0.25">
      <c r="A89" s="27" t="s">
        <v>31</v>
      </c>
      <c r="B89" s="20">
        <v>-2.190797301727208E-2</v>
      </c>
      <c r="C89" s="20">
        <v>3.8295394459762676E-2</v>
      </c>
      <c r="D89" s="20">
        <v>-0.57207853127850639</v>
      </c>
      <c r="E89" s="20">
        <v>0.59788459468814859</v>
      </c>
      <c r="F89" s="20">
        <v>-0.12823303351669885</v>
      </c>
      <c r="G89" s="20">
        <v>8.4417087482154693E-2</v>
      </c>
      <c r="H89" s="20">
        <v>-0.12823303351669885</v>
      </c>
      <c r="I89" s="26">
        <v>8.4417087482154693E-2</v>
      </c>
      <c r="K89" s="31" t="s">
        <v>28</v>
      </c>
      <c r="L89" s="32">
        <v>1.8993932636532456</v>
      </c>
      <c r="M89" s="32">
        <v>4.9021371140843311</v>
      </c>
      <c r="N89" s="32">
        <v>0.38746228827343454</v>
      </c>
      <c r="O89" s="32">
        <v>0.71435866840272044</v>
      </c>
      <c r="P89" s="32">
        <v>-10.701951357610563</v>
      </c>
      <c r="Q89" s="32">
        <v>14.500737884917053</v>
      </c>
      <c r="R89" s="32">
        <v>-10.701951357610563</v>
      </c>
      <c r="S89" s="33">
        <v>14.500737884917053</v>
      </c>
      <c r="U89" s="43"/>
      <c r="V89" s="72" t="s">
        <v>31</v>
      </c>
      <c r="W89" s="52">
        <v>7.8093185692060913E-4</v>
      </c>
      <c r="X89" s="52">
        <v>9.6652902712752037E-3</v>
      </c>
      <c r="Y89" s="52">
        <v>8.0797558583574319E-2</v>
      </c>
      <c r="Z89" s="52">
        <v>0.93823064602068573</v>
      </c>
      <c r="AA89" s="52">
        <v>-2.2869181452618865E-2</v>
      </c>
      <c r="AB89" s="52">
        <v>2.4431045166460084E-2</v>
      </c>
      <c r="AC89" s="52">
        <v>-2.2869181452618865E-2</v>
      </c>
      <c r="AD89" s="67">
        <v>2.4431045166460084E-2</v>
      </c>
      <c r="AF89" s="75" t="s">
        <v>28</v>
      </c>
      <c r="AG89" s="76">
        <v>0.46386335415703139</v>
      </c>
      <c r="AH89" s="76">
        <v>1.662580958215941</v>
      </c>
      <c r="AI89" s="76">
        <v>0.2790019649056894</v>
      </c>
      <c r="AJ89" s="76">
        <v>0.78830620783351946</v>
      </c>
      <c r="AK89" s="76">
        <v>-3.4675158998767532</v>
      </c>
      <c r="AL89" s="76">
        <v>4.3952426081908156</v>
      </c>
      <c r="AM89" s="76">
        <v>-3.4675158998767532</v>
      </c>
      <c r="AN89" s="77">
        <v>4.3952426081908156</v>
      </c>
      <c r="AO89" s="42"/>
    </row>
    <row r="90" spans="1:41" x14ac:dyDescent="0.25">
      <c r="A90" s="31" t="s">
        <v>28</v>
      </c>
      <c r="B90" s="32">
        <v>1.761007641128979</v>
      </c>
      <c r="C90" s="32">
        <v>6.7464350549184076</v>
      </c>
      <c r="D90" s="32">
        <v>0.26102788017578815</v>
      </c>
      <c r="E90" s="32">
        <v>0.80695922749887539</v>
      </c>
      <c r="F90" s="32">
        <v>-16.970098944634039</v>
      </c>
      <c r="G90" s="32">
        <v>20.492114226891999</v>
      </c>
      <c r="H90" s="32">
        <v>-16.970098944634039</v>
      </c>
      <c r="I90" s="33">
        <v>20.492114226891999</v>
      </c>
      <c r="U90" s="43"/>
      <c r="V90" s="75" t="s">
        <v>28</v>
      </c>
      <c r="W90" s="76">
        <v>-0.29124402368427416</v>
      </c>
      <c r="X90" s="76">
        <v>2.0106093588553469</v>
      </c>
      <c r="Y90" s="76">
        <v>-0.14485360987779411</v>
      </c>
      <c r="Z90" s="76">
        <v>0.88956981261061685</v>
      </c>
      <c r="AA90" s="76">
        <v>-5.2110278918904109</v>
      </c>
      <c r="AB90" s="76">
        <v>4.6285398445218631</v>
      </c>
      <c r="AC90" s="76">
        <v>-5.2110278918904109</v>
      </c>
      <c r="AD90" s="77">
        <v>4.6285398445218631</v>
      </c>
      <c r="AO90" s="42"/>
    </row>
    <row r="91" spans="1:41" x14ac:dyDescent="0.25">
      <c r="A91" s="43"/>
      <c r="U91" s="43"/>
      <c r="AO91" s="42"/>
    </row>
    <row r="92" spans="1:41" ht="15.75" thickBot="1" x14ac:dyDescent="0.3">
      <c r="A92" s="101" t="s">
        <v>63</v>
      </c>
      <c r="B92" s="102"/>
      <c r="C92" s="102"/>
      <c r="D92" s="102"/>
      <c r="E92" s="102"/>
      <c r="F92" s="102"/>
      <c r="G92" s="102"/>
      <c r="H92" s="102"/>
      <c r="I92" s="103"/>
      <c r="K92" s="101" t="s">
        <v>64</v>
      </c>
      <c r="L92" s="102"/>
      <c r="M92" s="102"/>
      <c r="N92" s="102"/>
      <c r="O92" s="102"/>
      <c r="P92" s="102"/>
      <c r="Q92" s="102"/>
      <c r="R92" s="102"/>
      <c r="S92" s="103"/>
      <c r="U92" s="43"/>
      <c r="V92" s="98" t="s">
        <v>67</v>
      </c>
      <c r="W92" s="99"/>
      <c r="X92" s="99"/>
      <c r="Y92" s="99"/>
      <c r="Z92" s="99"/>
      <c r="AA92" s="99"/>
      <c r="AB92" s="99"/>
      <c r="AC92" s="99"/>
      <c r="AD92" s="100"/>
      <c r="AF92" s="98" t="s">
        <v>68</v>
      </c>
      <c r="AG92" s="99"/>
      <c r="AH92" s="99"/>
      <c r="AI92" s="99"/>
      <c r="AJ92" s="99"/>
      <c r="AK92" s="99"/>
      <c r="AL92" s="99"/>
      <c r="AM92" s="99"/>
      <c r="AN92" s="100"/>
      <c r="AO92" s="42"/>
    </row>
    <row r="93" spans="1:41" x14ac:dyDescent="0.25">
      <c r="A93" s="44" t="s">
        <v>38</v>
      </c>
      <c r="B93" s="35"/>
      <c r="C93" s="36"/>
      <c r="D93" s="36"/>
      <c r="E93" s="36"/>
      <c r="F93" s="36"/>
      <c r="G93" s="36"/>
      <c r="H93" s="36"/>
      <c r="I93" s="85"/>
      <c r="K93" s="44" t="s">
        <v>38</v>
      </c>
      <c r="L93" s="35"/>
      <c r="M93" s="36"/>
      <c r="N93" s="36"/>
      <c r="O93" s="36"/>
      <c r="P93" s="36"/>
      <c r="Q93" s="36"/>
      <c r="R93" s="36"/>
      <c r="S93" s="85"/>
      <c r="U93" s="43"/>
      <c r="V93" s="79" t="s">
        <v>39</v>
      </c>
      <c r="W93" s="34">
        <v>0.29180948342595958</v>
      </c>
      <c r="X93" s="56"/>
      <c r="Y93" s="56"/>
      <c r="Z93" s="56"/>
      <c r="AA93" s="56"/>
      <c r="AB93" s="56"/>
      <c r="AC93" s="56"/>
      <c r="AD93" s="69"/>
      <c r="AF93" s="79" t="s">
        <v>39</v>
      </c>
      <c r="AG93" s="34">
        <v>0.27586217805715518</v>
      </c>
      <c r="AH93" s="56"/>
      <c r="AI93" s="56"/>
      <c r="AJ93" s="56"/>
      <c r="AK93" s="56"/>
      <c r="AL93" s="56"/>
      <c r="AM93" s="56"/>
      <c r="AN93" s="69"/>
      <c r="AO93" s="42"/>
    </row>
    <row r="94" spans="1:41" x14ac:dyDescent="0.25">
      <c r="A94" s="45" t="s">
        <v>39</v>
      </c>
      <c r="B94" s="34">
        <v>0.36427292647650023</v>
      </c>
      <c r="C94" s="36"/>
      <c r="D94" s="36"/>
      <c r="E94" s="36"/>
      <c r="F94" s="36"/>
      <c r="G94" s="36"/>
      <c r="H94" s="36"/>
      <c r="I94" s="85"/>
      <c r="K94" s="45" t="s">
        <v>39</v>
      </c>
      <c r="L94" s="34">
        <v>0.31548779027721685</v>
      </c>
      <c r="M94" s="36"/>
      <c r="N94" s="36"/>
      <c r="O94" s="36"/>
      <c r="P94" s="36"/>
      <c r="Q94" s="36"/>
      <c r="R94" s="36"/>
      <c r="S94" s="85"/>
      <c r="U94" s="43"/>
      <c r="V94" s="79" t="s">
        <v>40</v>
      </c>
      <c r="W94" s="34">
        <v>8.5152774617325386E-2</v>
      </c>
      <c r="X94" s="56"/>
      <c r="Y94" s="56"/>
      <c r="Z94" s="56"/>
      <c r="AA94" s="56"/>
      <c r="AB94" s="56"/>
      <c r="AC94" s="56"/>
      <c r="AD94" s="69"/>
      <c r="AF94" s="79" t="s">
        <v>40</v>
      </c>
      <c r="AG94" s="34">
        <v>7.6099941282437605E-2</v>
      </c>
      <c r="AH94" s="56"/>
      <c r="AI94" s="56"/>
      <c r="AJ94" s="56"/>
      <c r="AK94" s="56"/>
      <c r="AL94" s="56"/>
      <c r="AM94" s="56"/>
      <c r="AN94" s="69"/>
      <c r="AO94" s="42"/>
    </row>
    <row r="95" spans="1:41" x14ac:dyDescent="0.25">
      <c r="A95" s="45" t="s">
        <v>40</v>
      </c>
      <c r="B95" s="34">
        <v>0.13269476496375374</v>
      </c>
      <c r="C95" s="36"/>
      <c r="D95" s="36"/>
      <c r="E95" s="36"/>
      <c r="F95" s="36"/>
      <c r="G95" s="36"/>
      <c r="H95" s="36"/>
      <c r="I95" s="85"/>
      <c r="K95" s="45" t="s">
        <v>40</v>
      </c>
      <c r="L95" s="34">
        <v>9.9532545814001172E-2</v>
      </c>
      <c r="M95" s="36"/>
      <c r="N95" s="36"/>
      <c r="O95" s="36"/>
      <c r="P95" s="36"/>
      <c r="Q95" s="36"/>
      <c r="R95" s="36"/>
      <c r="S95" s="85"/>
      <c r="U95" s="43"/>
      <c r="V95" s="79" t="s">
        <v>41</v>
      </c>
      <c r="W95" s="34">
        <v>-0.3722708380740119</v>
      </c>
      <c r="X95" s="56"/>
      <c r="Y95" s="56"/>
      <c r="Z95" s="56"/>
      <c r="AA95" s="56"/>
      <c r="AB95" s="56"/>
      <c r="AC95" s="56"/>
      <c r="AD95" s="69"/>
      <c r="AF95" s="79" t="s">
        <v>41</v>
      </c>
      <c r="AG95" s="34">
        <v>-0.18787150406543734</v>
      </c>
      <c r="AH95" s="56"/>
      <c r="AI95" s="56"/>
      <c r="AJ95" s="56"/>
      <c r="AK95" s="56"/>
      <c r="AL95" s="56"/>
      <c r="AM95" s="56"/>
      <c r="AN95" s="69"/>
      <c r="AO95" s="42"/>
    </row>
    <row r="96" spans="1:41" x14ac:dyDescent="0.25">
      <c r="A96" s="45" t="s">
        <v>41</v>
      </c>
      <c r="B96" s="34">
        <v>-0.51778416131343097</v>
      </c>
      <c r="C96" s="36"/>
      <c r="D96" s="36"/>
      <c r="E96" s="36"/>
      <c r="F96" s="36"/>
      <c r="G96" s="36"/>
      <c r="H96" s="36"/>
      <c r="I96" s="85"/>
      <c r="K96" s="45" t="s">
        <v>41</v>
      </c>
      <c r="L96" s="34">
        <v>-0.26065443586039833</v>
      </c>
      <c r="M96" s="36"/>
      <c r="N96" s="36"/>
      <c r="O96" s="36"/>
      <c r="P96" s="36"/>
      <c r="Q96" s="36"/>
      <c r="R96" s="36"/>
      <c r="S96" s="85"/>
      <c r="U96" s="43"/>
      <c r="V96" s="79" t="s">
        <v>42</v>
      </c>
      <c r="W96" s="56">
        <v>9.4654392738795612E-2</v>
      </c>
      <c r="X96" s="56"/>
      <c r="Y96" s="56"/>
      <c r="Z96" s="56"/>
      <c r="AA96" s="56"/>
      <c r="AB96" s="56"/>
      <c r="AC96" s="56"/>
      <c r="AD96" s="69"/>
      <c r="AF96" s="79" t="s">
        <v>42</v>
      </c>
      <c r="AG96" s="56">
        <v>8.8065456060492625E-2</v>
      </c>
      <c r="AH96" s="56"/>
      <c r="AI96" s="56"/>
      <c r="AJ96" s="56"/>
      <c r="AK96" s="56"/>
      <c r="AL96" s="56"/>
      <c r="AM96" s="56"/>
      <c r="AN96" s="69"/>
      <c r="AO96" s="42"/>
    </row>
    <row r="97" spans="1:41" ht="15.75" thickBot="1" x14ac:dyDescent="0.3">
      <c r="A97" s="45" t="s">
        <v>42</v>
      </c>
      <c r="B97" s="36">
        <v>3.7617769527573147E-2</v>
      </c>
      <c r="C97" s="36"/>
      <c r="D97" s="36"/>
      <c r="E97" s="36"/>
      <c r="F97" s="36"/>
      <c r="G97" s="36"/>
      <c r="H97" s="36"/>
      <c r="I97" s="85"/>
      <c r="K97" s="45" t="s">
        <v>42</v>
      </c>
      <c r="L97" s="36">
        <v>3.4283571728746631E-2</v>
      </c>
      <c r="M97" s="36"/>
      <c r="N97" s="36"/>
      <c r="O97" s="36"/>
      <c r="P97" s="36"/>
      <c r="Q97" s="36"/>
      <c r="R97" s="36"/>
      <c r="S97" s="85"/>
      <c r="U97" s="43"/>
      <c r="V97" s="80" t="s">
        <v>43</v>
      </c>
      <c r="W97" s="58">
        <v>10</v>
      </c>
      <c r="X97" s="56"/>
      <c r="Y97" s="56"/>
      <c r="Z97" s="56"/>
      <c r="AA97" s="56"/>
      <c r="AB97" s="56"/>
      <c r="AC97" s="56"/>
      <c r="AD97" s="69"/>
      <c r="AF97" s="80" t="s">
        <v>43</v>
      </c>
      <c r="AG97" s="58">
        <v>10</v>
      </c>
      <c r="AH97" s="56"/>
      <c r="AI97" s="56"/>
      <c r="AJ97" s="56"/>
      <c r="AK97" s="56"/>
      <c r="AL97" s="56"/>
      <c r="AM97" s="56"/>
      <c r="AN97" s="69"/>
      <c r="AO97" s="42"/>
    </row>
    <row r="98" spans="1:41" ht="15.75" thickBot="1" x14ac:dyDescent="0.3">
      <c r="A98" s="46" t="s">
        <v>43</v>
      </c>
      <c r="B98" s="37">
        <v>8</v>
      </c>
      <c r="C98" s="36"/>
      <c r="D98" s="36"/>
      <c r="E98" s="36"/>
      <c r="F98" s="36"/>
      <c r="G98" s="36"/>
      <c r="H98" s="36"/>
      <c r="I98" s="85"/>
      <c r="K98" s="46" t="s">
        <v>43</v>
      </c>
      <c r="L98" s="37">
        <v>8</v>
      </c>
      <c r="M98" s="36"/>
      <c r="N98" s="36"/>
      <c r="O98" s="36"/>
      <c r="P98" s="36"/>
      <c r="Q98" s="36"/>
      <c r="R98" s="36"/>
      <c r="S98" s="85"/>
      <c r="U98" s="43"/>
      <c r="V98" s="79"/>
      <c r="W98" s="56"/>
      <c r="X98" s="56"/>
      <c r="Y98" s="56"/>
      <c r="Z98" s="56"/>
      <c r="AA98" s="56"/>
      <c r="AB98" s="56"/>
      <c r="AC98" s="56"/>
      <c r="AD98" s="69"/>
      <c r="AF98" s="79"/>
      <c r="AG98" s="56"/>
      <c r="AH98" s="56"/>
      <c r="AI98" s="56"/>
      <c r="AJ98" s="56"/>
      <c r="AK98" s="56"/>
      <c r="AL98" s="56"/>
      <c r="AM98" s="56"/>
      <c r="AN98" s="69"/>
      <c r="AO98" s="42"/>
    </row>
    <row r="99" spans="1:41" ht="15.75" thickBot="1" x14ac:dyDescent="0.3">
      <c r="A99" s="45"/>
      <c r="B99" s="36"/>
      <c r="C99" s="36"/>
      <c r="D99" s="36"/>
      <c r="E99" s="36"/>
      <c r="F99" s="36"/>
      <c r="G99" s="36"/>
      <c r="H99" s="36"/>
      <c r="I99" s="85"/>
      <c r="K99" s="45"/>
      <c r="L99" s="36"/>
      <c r="M99" s="36"/>
      <c r="N99" s="36"/>
      <c r="O99" s="36"/>
      <c r="P99" s="36"/>
      <c r="Q99" s="36"/>
      <c r="R99" s="36"/>
      <c r="S99" s="85"/>
      <c r="U99" s="43"/>
      <c r="V99" s="79" t="s">
        <v>44</v>
      </c>
      <c r="W99" s="56"/>
      <c r="X99" s="56"/>
      <c r="Y99" s="56"/>
      <c r="Z99" s="56"/>
      <c r="AA99" s="56"/>
      <c r="AB99" s="56"/>
      <c r="AC99" s="56"/>
      <c r="AD99" s="69"/>
      <c r="AF99" s="79" t="s">
        <v>44</v>
      </c>
      <c r="AG99" s="56"/>
      <c r="AH99" s="56"/>
      <c r="AI99" s="56"/>
      <c r="AJ99" s="56"/>
      <c r="AK99" s="56"/>
      <c r="AL99" s="56"/>
      <c r="AM99" s="56"/>
      <c r="AN99" s="69"/>
      <c r="AO99" s="42"/>
    </row>
    <row r="100" spans="1:41" ht="15.75" thickBot="1" x14ac:dyDescent="0.3">
      <c r="A100" s="45" t="s">
        <v>44</v>
      </c>
      <c r="B100" s="36"/>
      <c r="C100" s="36"/>
      <c r="D100" s="36"/>
      <c r="E100" s="36"/>
      <c r="F100" s="36"/>
      <c r="G100" s="36"/>
      <c r="H100" s="36"/>
      <c r="I100" s="85"/>
      <c r="K100" s="45" t="s">
        <v>44</v>
      </c>
      <c r="L100" s="36"/>
      <c r="M100" s="36"/>
      <c r="N100" s="36"/>
      <c r="O100" s="36"/>
      <c r="P100" s="36"/>
      <c r="Q100" s="36"/>
      <c r="R100" s="36"/>
      <c r="S100" s="85"/>
      <c r="U100" s="43"/>
      <c r="V100" s="81"/>
      <c r="W100" s="55" t="s">
        <v>49</v>
      </c>
      <c r="X100" s="55" t="s">
        <v>50</v>
      </c>
      <c r="Y100" s="55" t="s">
        <v>51</v>
      </c>
      <c r="Z100" s="55" t="s">
        <v>52</v>
      </c>
      <c r="AA100" s="55" t="s">
        <v>53</v>
      </c>
      <c r="AB100" s="56"/>
      <c r="AC100" s="56"/>
      <c r="AD100" s="69"/>
      <c r="AF100" s="81"/>
      <c r="AG100" s="55" t="s">
        <v>49</v>
      </c>
      <c r="AH100" s="55" t="s">
        <v>50</v>
      </c>
      <c r="AI100" s="55" t="s">
        <v>51</v>
      </c>
      <c r="AJ100" s="55" t="s">
        <v>52</v>
      </c>
      <c r="AK100" s="55" t="s">
        <v>53</v>
      </c>
      <c r="AL100" s="56"/>
      <c r="AM100" s="56"/>
      <c r="AN100" s="69"/>
      <c r="AO100" s="42"/>
    </row>
    <row r="101" spans="1:41" x14ac:dyDescent="0.25">
      <c r="A101" s="47"/>
      <c r="B101" s="38" t="s">
        <v>49</v>
      </c>
      <c r="C101" s="38" t="s">
        <v>50</v>
      </c>
      <c r="D101" s="38" t="s">
        <v>51</v>
      </c>
      <c r="E101" s="38" t="s">
        <v>52</v>
      </c>
      <c r="F101" s="38" t="s">
        <v>53</v>
      </c>
      <c r="G101" s="36"/>
      <c r="H101" s="36"/>
      <c r="I101" s="85"/>
      <c r="K101" s="47"/>
      <c r="L101" s="38" t="s">
        <v>49</v>
      </c>
      <c r="M101" s="38" t="s">
        <v>50</v>
      </c>
      <c r="N101" s="38" t="s">
        <v>51</v>
      </c>
      <c r="O101" s="38" t="s">
        <v>52</v>
      </c>
      <c r="P101" s="38" t="s">
        <v>53</v>
      </c>
      <c r="Q101" s="36"/>
      <c r="R101" s="36"/>
      <c r="S101" s="85"/>
      <c r="U101" s="43"/>
      <c r="V101" s="79" t="s">
        <v>45</v>
      </c>
      <c r="W101" s="56">
        <v>3</v>
      </c>
      <c r="X101" s="56">
        <v>5.0036050927573725E-3</v>
      </c>
      <c r="Y101" s="56">
        <v>1.6678683642524575E-3</v>
      </c>
      <c r="Z101" s="56">
        <v>0.186157365415207</v>
      </c>
      <c r="AA101" s="56">
        <v>0.90205899983546889</v>
      </c>
      <c r="AB101" s="56"/>
      <c r="AC101" s="56"/>
      <c r="AD101" s="69"/>
      <c r="AF101" s="79" t="s">
        <v>45</v>
      </c>
      <c r="AG101" s="56">
        <v>2</v>
      </c>
      <c r="AH101" s="56">
        <v>4.4716576232604471E-3</v>
      </c>
      <c r="AI101" s="56">
        <v>2.2358288116302236E-3</v>
      </c>
      <c r="AJ101" s="56">
        <v>0.28828853508056235</v>
      </c>
      <c r="AK101" s="56">
        <v>0.75803189860720466</v>
      </c>
      <c r="AL101" s="56"/>
      <c r="AM101" s="56"/>
      <c r="AN101" s="69"/>
      <c r="AO101" s="42"/>
    </row>
    <row r="102" spans="1:41" x14ac:dyDescent="0.25">
      <c r="A102" s="45" t="s">
        <v>45</v>
      </c>
      <c r="B102" s="36">
        <v>3</v>
      </c>
      <c r="C102" s="36">
        <v>8.6601994804060608E-4</v>
      </c>
      <c r="D102" s="36">
        <v>2.8867331601353536E-4</v>
      </c>
      <c r="E102" s="36">
        <v>0.20399548640751705</v>
      </c>
      <c r="F102" s="36">
        <v>0.8887783463440162</v>
      </c>
      <c r="G102" s="36"/>
      <c r="H102" s="36"/>
      <c r="I102" s="85"/>
      <c r="K102" s="45" t="s">
        <v>45</v>
      </c>
      <c r="L102" s="36">
        <v>2</v>
      </c>
      <c r="M102" s="36">
        <v>6.4958983255847171E-4</v>
      </c>
      <c r="N102" s="36">
        <v>3.2479491627923586E-4</v>
      </c>
      <c r="O102" s="36">
        <v>0.27633576691557449</v>
      </c>
      <c r="P102" s="36">
        <v>0.76943165859455087</v>
      </c>
      <c r="Q102" s="36"/>
      <c r="R102" s="36"/>
      <c r="S102" s="85"/>
      <c r="U102" s="43"/>
      <c r="V102" s="79" t="s">
        <v>46</v>
      </c>
      <c r="W102" s="56">
        <v>6</v>
      </c>
      <c r="X102" s="56">
        <v>5.3756724388500973E-2</v>
      </c>
      <c r="Y102" s="56">
        <v>8.9594540647501622E-3</v>
      </c>
      <c r="Z102" s="56"/>
      <c r="AA102" s="56"/>
      <c r="AB102" s="56"/>
      <c r="AC102" s="56"/>
      <c r="AD102" s="69"/>
      <c r="AF102" s="79" t="s">
        <v>46</v>
      </c>
      <c r="AG102" s="56">
        <v>7</v>
      </c>
      <c r="AH102" s="56">
        <v>5.4288671857997899E-2</v>
      </c>
      <c r="AI102" s="56">
        <v>7.7555245511425567E-3</v>
      </c>
      <c r="AJ102" s="56"/>
      <c r="AK102" s="56"/>
      <c r="AL102" s="56"/>
      <c r="AM102" s="56"/>
      <c r="AN102" s="69"/>
      <c r="AO102" s="42"/>
    </row>
    <row r="103" spans="1:41" ht="15.75" thickBot="1" x14ac:dyDescent="0.3">
      <c r="A103" s="45" t="s">
        <v>46</v>
      </c>
      <c r="B103" s="36">
        <v>4</v>
      </c>
      <c r="C103" s="36">
        <v>5.6603863369184427E-3</v>
      </c>
      <c r="D103" s="36">
        <v>1.4150965842296107E-3</v>
      </c>
      <c r="E103" s="36"/>
      <c r="F103" s="36"/>
      <c r="G103" s="36"/>
      <c r="H103" s="36"/>
      <c r="I103" s="85"/>
      <c r="K103" s="45" t="s">
        <v>46</v>
      </c>
      <c r="L103" s="36">
        <v>5</v>
      </c>
      <c r="M103" s="36">
        <v>5.8768164524005771E-3</v>
      </c>
      <c r="N103" s="36">
        <v>1.1753632904801155E-3</v>
      </c>
      <c r="O103" s="36"/>
      <c r="P103" s="36"/>
      <c r="Q103" s="36"/>
      <c r="R103" s="36"/>
      <c r="S103" s="85"/>
      <c r="U103" s="43"/>
      <c r="V103" s="80" t="s">
        <v>47</v>
      </c>
      <c r="W103" s="58">
        <v>9</v>
      </c>
      <c r="X103" s="58">
        <v>5.8760329481258346E-2</v>
      </c>
      <c r="Y103" s="58"/>
      <c r="Z103" s="58"/>
      <c r="AA103" s="58"/>
      <c r="AB103" s="56"/>
      <c r="AC103" s="56"/>
      <c r="AD103" s="69"/>
      <c r="AF103" s="80" t="s">
        <v>47</v>
      </c>
      <c r="AG103" s="58">
        <v>9</v>
      </c>
      <c r="AH103" s="58">
        <v>5.8760329481258346E-2</v>
      </c>
      <c r="AI103" s="58"/>
      <c r="AJ103" s="58"/>
      <c r="AK103" s="58"/>
      <c r="AL103" s="56"/>
      <c r="AM103" s="56"/>
      <c r="AN103" s="69"/>
      <c r="AO103" s="42"/>
    </row>
    <row r="104" spans="1:41" ht="15.75" thickBot="1" x14ac:dyDescent="0.3">
      <c r="A104" s="46" t="s">
        <v>47</v>
      </c>
      <c r="B104" s="37">
        <v>7</v>
      </c>
      <c r="C104" s="37">
        <v>6.5264062849590488E-3</v>
      </c>
      <c r="D104" s="37"/>
      <c r="E104" s="37"/>
      <c r="F104" s="37"/>
      <c r="G104" s="36"/>
      <c r="H104" s="36"/>
      <c r="I104" s="85"/>
      <c r="K104" s="46" t="s">
        <v>47</v>
      </c>
      <c r="L104" s="37">
        <v>7</v>
      </c>
      <c r="M104" s="37">
        <v>6.5264062849590488E-3</v>
      </c>
      <c r="N104" s="37"/>
      <c r="O104" s="37"/>
      <c r="P104" s="37"/>
      <c r="Q104" s="36"/>
      <c r="R104" s="36"/>
      <c r="S104" s="85"/>
      <c r="U104" s="43"/>
      <c r="V104" s="79"/>
      <c r="W104" s="56"/>
      <c r="X104" s="56"/>
      <c r="Y104" s="56"/>
      <c r="Z104" s="56"/>
      <c r="AA104" s="56"/>
      <c r="AB104" s="56"/>
      <c r="AC104" s="56"/>
      <c r="AD104" s="69"/>
      <c r="AF104" s="79"/>
      <c r="AG104" s="56"/>
      <c r="AH104" s="56"/>
      <c r="AI104" s="56"/>
      <c r="AJ104" s="56"/>
      <c r="AK104" s="56"/>
      <c r="AL104" s="56"/>
      <c r="AM104" s="56"/>
      <c r="AN104" s="69"/>
      <c r="AO104" s="42"/>
    </row>
    <row r="105" spans="1:41" ht="15.75" thickBot="1" x14ac:dyDescent="0.3">
      <c r="A105" s="45"/>
      <c r="B105" s="36"/>
      <c r="C105" s="36"/>
      <c r="D105" s="36"/>
      <c r="E105" s="36"/>
      <c r="F105" s="36"/>
      <c r="G105" s="36"/>
      <c r="H105" s="36"/>
      <c r="I105" s="85"/>
      <c r="K105" s="45"/>
      <c r="L105" s="36"/>
      <c r="M105" s="36"/>
      <c r="N105" s="36"/>
      <c r="O105" s="36"/>
      <c r="P105" s="36"/>
      <c r="Q105" s="36"/>
      <c r="R105" s="36"/>
      <c r="S105" s="85"/>
      <c r="U105" s="43"/>
      <c r="V105" s="81"/>
      <c r="W105" s="55" t="s">
        <v>54</v>
      </c>
      <c r="X105" s="55" t="s">
        <v>42</v>
      </c>
      <c r="Y105" s="55" t="s">
        <v>55</v>
      </c>
      <c r="Z105" s="55" t="s">
        <v>56</v>
      </c>
      <c r="AA105" s="55" t="s">
        <v>57</v>
      </c>
      <c r="AB105" s="55" t="s">
        <v>58</v>
      </c>
      <c r="AC105" s="55" t="s">
        <v>59</v>
      </c>
      <c r="AD105" s="70" t="s">
        <v>60</v>
      </c>
      <c r="AF105" s="81"/>
      <c r="AG105" s="55" t="s">
        <v>54</v>
      </c>
      <c r="AH105" s="55" t="s">
        <v>42</v>
      </c>
      <c r="AI105" s="55" t="s">
        <v>55</v>
      </c>
      <c r="AJ105" s="55" t="s">
        <v>56</v>
      </c>
      <c r="AK105" s="55" t="s">
        <v>57</v>
      </c>
      <c r="AL105" s="55" t="s">
        <v>58</v>
      </c>
      <c r="AM105" s="55" t="s">
        <v>59</v>
      </c>
      <c r="AN105" s="70" t="s">
        <v>60</v>
      </c>
      <c r="AO105" s="42"/>
    </row>
    <row r="106" spans="1:41" x14ac:dyDescent="0.25">
      <c r="A106" s="47"/>
      <c r="B106" s="38" t="s">
        <v>54</v>
      </c>
      <c r="C106" s="38" t="s">
        <v>42</v>
      </c>
      <c r="D106" s="38" t="s">
        <v>55</v>
      </c>
      <c r="E106" s="38" t="s">
        <v>56</v>
      </c>
      <c r="F106" s="38" t="s">
        <v>57</v>
      </c>
      <c r="G106" s="38" t="s">
        <v>58</v>
      </c>
      <c r="H106" s="38" t="s">
        <v>59</v>
      </c>
      <c r="I106" s="86" t="s">
        <v>60</v>
      </c>
      <c r="K106" s="47"/>
      <c r="L106" s="38" t="s">
        <v>54</v>
      </c>
      <c r="M106" s="38" t="s">
        <v>42</v>
      </c>
      <c r="N106" s="38" t="s">
        <v>55</v>
      </c>
      <c r="O106" s="38" t="s">
        <v>56</v>
      </c>
      <c r="P106" s="38" t="s">
        <v>57</v>
      </c>
      <c r="Q106" s="38" t="s">
        <v>58</v>
      </c>
      <c r="R106" s="38" t="s">
        <v>59</v>
      </c>
      <c r="S106" s="86" t="s">
        <v>60</v>
      </c>
      <c r="U106" s="43"/>
      <c r="V106" s="79" t="s">
        <v>48</v>
      </c>
      <c r="W106" s="56">
        <v>0.42814835434613419</v>
      </c>
      <c r="X106" s="56">
        <v>1.6526805677790279</v>
      </c>
      <c r="Y106" s="56">
        <v>0.25906298088898438</v>
      </c>
      <c r="Z106" s="56">
        <v>0.80424553987598801</v>
      </c>
      <c r="AA106" s="56">
        <v>-3.6158153131093664</v>
      </c>
      <c r="AB106" s="56">
        <v>4.4721120218016344</v>
      </c>
      <c r="AC106" s="56">
        <v>-3.6158153131093664</v>
      </c>
      <c r="AD106" s="69">
        <v>4.4721120218016344</v>
      </c>
      <c r="AF106" s="79" t="s">
        <v>48</v>
      </c>
      <c r="AG106" s="56">
        <v>0.64357981910051965</v>
      </c>
      <c r="AH106" s="56">
        <v>1.2991081148641923</v>
      </c>
      <c r="AI106" s="56">
        <v>0.49540127702750819</v>
      </c>
      <c r="AJ106" s="56">
        <v>0.63548825103702822</v>
      </c>
      <c r="AK106" s="56">
        <v>-2.4283227347483347</v>
      </c>
      <c r="AL106" s="56">
        <v>3.7154823729493742</v>
      </c>
      <c r="AM106" s="56">
        <v>-2.4283227347483347</v>
      </c>
      <c r="AN106" s="69">
        <v>3.7154823729493742</v>
      </c>
      <c r="AO106" s="42"/>
    </row>
    <row r="107" spans="1:41" x14ac:dyDescent="0.25">
      <c r="A107" s="45" t="s">
        <v>48</v>
      </c>
      <c r="B107" s="36">
        <v>0.44315056053283225</v>
      </c>
      <c r="C107" s="36">
        <v>0.68998753765872778</v>
      </c>
      <c r="D107" s="36">
        <v>0.64225878924789703</v>
      </c>
      <c r="E107" s="36">
        <v>0.55566487256096186</v>
      </c>
      <c r="F107" s="36">
        <v>-1.4725619610472205</v>
      </c>
      <c r="G107" s="36">
        <v>2.3588630821128849</v>
      </c>
      <c r="H107" s="36">
        <v>-1.4725619610472205</v>
      </c>
      <c r="I107" s="85">
        <v>2.3588630821128849</v>
      </c>
      <c r="K107" s="45" t="s">
        <v>48</v>
      </c>
      <c r="L107" s="36">
        <v>0.28329220513309655</v>
      </c>
      <c r="M107" s="36">
        <v>0.50660594256428382</v>
      </c>
      <c r="N107" s="36">
        <v>0.55919637203456074</v>
      </c>
      <c r="O107" s="36">
        <v>0.60014762478353634</v>
      </c>
      <c r="P107" s="36">
        <v>-1.0189798286480656</v>
      </c>
      <c r="Q107" s="36">
        <v>1.5855642389142588</v>
      </c>
      <c r="R107" s="36">
        <v>-1.0189798286480656</v>
      </c>
      <c r="S107" s="85">
        <v>1.5855642389142588</v>
      </c>
      <c r="U107" s="43"/>
      <c r="V107" s="79" t="s">
        <v>37</v>
      </c>
      <c r="W107" s="56">
        <v>3.921592385207169E-4</v>
      </c>
      <c r="X107" s="56">
        <v>1.6094179863835065E-3</v>
      </c>
      <c r="Y107" s="56">
        <v>0.24366525156210705</v>
      </c>
      <c r="Z107" s="56">
        <v>0.81560753550602494</v>
      </c>
      <c r="AA107" s="56">
        <v>-3.5459447058069581E-3</v>
      </c>
      <c r="AB107" s="56">
        <v>4.3302631828483918E-3</v>
      </c>
      <c r="AC107" s="56">
        <v>-3.5459447058069581E-3</v>
      </c>
      <c r="AD107" s="69">
        <v>4.3302631828483918E-3</v>
      </c>
      <c r="AF107" s="79" t="s">
        <v>31</v>
      </c>
      <c r="AG107" s="56">
        <v>4.7479791414302393E-3</v>
      </c>
      <c r="AH107" s="56">
        <v>6.253228730966248E-3</v>
      </c>
      <c r="AI107" s="56">
        <v>0.7592844186105091</v>
      </c>
      <c r="AJ107" s="56">
        <v>0.47247158887010721</v>
      </c>
      <c r="AK107" s="56">
        <v>-1.0038557166569324E-2</v>
      </c>
      <c r="AL107" s="56">
        <v>1.9534515449429805E-2</v>
      </c>
      <c r="AM107" s="56">
        <v>-1.0038557166569324E-2</v>
      </c>
      <c r="AN107" s="69">
        <v>1.9534515449429805E-2</v>
      </c>
      <c r="AO107" s="42"/>
    </row>
    <row r="108" spans="1:41" x14ac:dyDescent="0.25">
      <c r="A108" s="45" t="s">
        <v>37</v>
      </c>
      <c r="B108" s="36">
        <v>-2.8481620073576662E-4</v>
      </c>
      <c r="C108" s="36">
        <v>7.2828084037392148E-4</v>
      </c>
      <c r="D108" s="36">
        <v>-0.39108017806638073</v>
      </c>
      <c r="E108" s="36">
        <v>0.71567524101372504</v>
      </c>
      <c r="F108" s="36">
        <v>-2.3068479752012764E-3</v>
      </c>
      <c r="G108" s="36">
        <v>1.737215573729743E-3</v>
      </c>
      <c r="H108" s="36">
        <v>-2.3068479752012764E-3</v>
      </c>
      <c r="I108" s="85">
        <v>1.737215573729743E-3</v>
      </c>
      <c r="K108" s="87" t="s">
        <v>31</v>
      </c>
      <c r="L108" s="88">
        <v>2.0046254801827632E-3</v>
      </c>
      <c r="M108" s="88">
        <v>2.6975763571916393E-3</v>
      </c>
      <c r="N108" s="88">
        <v>0.7431209407060918</v>
      </c>
      <c r="O108" s="88">
        <v>0.49082788357226492</v>
      </c>
      <c r="P108" s="88">
        <v>-4.9297153038560439E-3</v>
      </c>
      <c r="Q108" s="88">
        <v>8.9389662642215713E-3</v>
      </c>
      <c r="R108" s="88">
        <v>-4.9297153038560439E-3</v>
      </c>
      <c r="S108" s="89">
        <v>8.9389662642215713E-3</v>
      </c>
      <c r="U108" s="43"/>
      <c r="V108" s="79" t="s">
        <v>31</v>
      </c>
      <c r="W108" s="56">
        <v>3.7330320070267471E-3</v>
      </c>
      <c r="X108" s="56">
        <v>7.9071495120645076E-3</v>
      </c>
      <c r="Y108" s="56">
        <v>0.4721084382344094</v>
      </c>
      <c r="Z108" s="56">
        <v>0.6535302839738022</v>
      </c>
      <c r="AA108" s="56">
        <v>-1.5615065842819058E-2</v>
      </c>
      <c r="AB108" s="56">
        <v>2.3081129856872554E-2</v>
      </c>
      <c r="AC108" s="56">
        <v>-1.5615065842819058E-2</v>
      </c>
      <c r="AD108" s="69">
        <v>2.3081129856872554E-2</v>
      </c>
      <c r="AF108" s="82" t="s">
        <v>28</v>
      </c>
      <c r="AG108" s="83">
        <v>-0.70719129743810538</v>
      </c>
      <c r="AH108" s="83">
        <v>1.3103676126057373</v>
      </c>
      <c r="AI108" s="83">
        <v>-0.5396892373063289</v>
      </c>
      <c r="AJ108" s="83">
        <v>0.60614490134070942</v>
      </c>
      <c r="AK108" s="83">
        <v>-3.8057183327073716</v>
      </c>
      <c r="AL108" s="83">
        <v>2.3913357378311604</v>
      </c>
      <c r="AM108" s="83">
        <v>-3.8057183327073716</v>
      </c>
      <c r="AN108" s="84">
        <v>2.3913357378311604</v>
      </c>
      <c r="AO108" s="42"/>
    </row>
    <row r="109" spans="1:41" ht="15.75" thickBot="1" x14ac:dyDescent="0.3">
      <c r="A109" s="45" t="s">
        <v>31</v>
      </c>
      <c r="B109" s="36">
        <v>3.0103012099181627E-3</v>
      </c>
      <c r="C109" s="36">
        <v>3.9209617059138314E-3</v>
      </c>
      <c r="D109" s="36">
        <v>0.76774562867519069</v>
      </c>
      <c r="E109" s="36">
        <v>0.48545090210078556</v>
      </c>
      <c r="F109" s="36">
        <v>-7.8760337261342839E-3</v>
      </c>
      <c r="G109" s="36">
        <v>1.3896636145970609E-2</v>
      </c>
      <c r="H109" s="36">
        <v>-7.8760337261342839E-3</v>
      </c>
      <c r="I109" s="85">
        <v>1.3896636145970609E-2</v>
      </c>
      <c r="K109" s="92" t="s">
        <v>28</v>
      </c>
      <c r="L109" s="93">
        <v>-0.25763465629440618</v>
      </c>
      <c r="M109" s="93">
        <v>0.51134310839321251</v>
      </c>
      <c r="N109" s="93">
        <v>-0.50383910932909326</v>
      </c>
      <c r="O109" s="93">
        <v>0.63578380759673225</v>
      </c>
      <c r="P109" s="93">
        <v>-1.5720839625078096</v>
      </c>
      <c r="Q109" s="93">
        <v>1.0568146499189974</v>
      </c>
      <c r="R109" s="94">
        <v>-1.5720839625078096</v>
      </c>
      <c r="S109" s="37">
        <v>1.0568146499189974</v>
      </c>
      <c r="U109" s="43"/>
      <c r="V109" s="82" t="s">
        <v>28</v>
      </c>
      <c r="W109" s="83">
        <v>-0.50014749207265108</v>
      </c>
      <c r="X109" s="83">
        <v>1.6448744284560257</v>
      </c>
      <c r="Y109" s="83">
        <v>-0.30406423944599736</v>
      </c>
      <c r="Z109" s="83">
        <v>0.77134822801651437</v>
      </c>
      <c r="AA109" s="83">
        <v>-4.5250102247070094</v>
      </c>
      <c r="AB109" s="83">
        <v>3.524715240561707</v>
      </c>
      <c r="AC109" s="83">
        <v>-4.5250102247070094</v>
      </c>
      <c r="AD109" s="84">
        <v>3.524715240561707</v>
      </c>
      <c r="AO109" s="42"/>
    </row>
    <row r="110" spans="1:41" x14ac:dyDescent="0.25">
      <c r="A110" s="87" t="s">
        <v>28</v>
      </c>
      <c r="B110" s="88">
        <v>-0.41520237720135267</v>
      </c>
      <c r="C110" s="88">
        <v>0.69074921083692331</v>
      </c>
      <c r="D110" s="88">
        <v>-0.60108990453754774</v>
      </c>
      <c r="E110" s="88">
        <v>0.58018240785391595</v>
      </c>
      <c r="F110" s="88">
        <v>-2.3330296425487669</v>
      </c>
      <c r="G110" s="88">
        <v>1.5026248881460618</v>
      </c>
      <c r="H110" s="88">
        <v>-2.3330296425487669</v>
      </c>
      <c r="I110" s="89">
        <v>1.5026248881460618</v>
      </c>
      <c r="U110" s="43"/>
      <c r="AO110" s="42"/>
    </row>
    <row r="111" spans="1:41" x14ac:dyDescent="0.25">
      <c r="A111" s="43"/>
      <c r="U111" s="43"/>
      <c r="AO111" s="42"/>
    </row>
    <row r="112" spans="1:41" x14ac:dyDescent="0.25">
      <c r="A112" s="48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48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49"/>
    </row>
  </sheetData>
  <mergeCells count="8">
    <mergeCell ref="V72:AD72"/>
    <mergeCell ref="AF72:AN72"/>
    <mergeCell ref="V92:AD92"/>
    <mergeCell ref="AF92:AN92"/>
    <mergeCell ref="A92:I92"/>
    <mergeCell ref="K92:S92"/>
    <mergeCell ref="K72:S72"/>
    <mergeCell ref="A72:I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downstream</vt:lpstr>
      <vt:lpstr>upstream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Hucke, Nicole (huck4481@vandals.uidaho.edu)</dc:creator>
  <cp:lastModifiedBy>Hucke, Nicole (huck4481@vandals.uidaho.edu)</cp:lastModifiedBy>
  <dcterms:created xsi:type="dcterms:W3CDTF">2015-06-05T18:17:20Z</dcterms:created>
  <dcterms:modified xsi:type="dcterms:W3CDTF">2026-06-30T01:22:56Z</dcterms:modified>
</cp:coreProperties>
</file>