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hysteresis\correlations\multiple_regressions\"/>
    </mc:Choice>
  </mc:AlternateContent>
  <xr:revisionPtr revIDLastSave="0" documentId="13_ncr:1_{E312A13F-57E1-4651-910C-C4EF7B13CC8D}" xr6:coauthVersionLast="47" xr6:coauthVersionMax="47" xr10:uidLastSave="{00000000-0000-0000-0000-000000000000}"/>
  <bookViews>
    <workbookView xWindow="-120" yWindow="-120" windowWidth="29040" windowHeight="15720" xr2:uid="{E38EDDB9-EDBE-4091-BB71-D763E20009C1}"/>
  </bookViews>
  <sheets>
    <sheet name="sum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1" i="1" l="1"/>
  <c r="U10" i="1"/>
  <c r="U9" i="1"/>
  <c r="U8" i="1"/>
  <c r="U7" i="1"/>
  <c r="U6" i="1"/>
  <c r="U5" i="1"/>
  <c r="U4" i="1"/>
  <c r="U3" i="1"/>
  <c r="O13" i="1"/>
  <c r="O12" i="1"/>
  <c r="O11" i="1"/>
  <c r="O10" i="1"/>
  <c r="O8" i="1"/>
  <c r="O7" i="1"/>
  <c r="O6" i="1"/>
  <c r="O5" i="1"/>
  <c r="O4" i="1"/>
  <c r="O3" i="1"/>
  <c r="I13" i="1"/>
  <c r="I12" i="1"/>
  <c r="I11" i="1"/>
  <c r="I10" i="1"/>
  <c r="I8" i="1"/>
  <c r="I7" i="1"/>
  <c r="I6" i="1"/>
  <c r="I5" i="1"/>
  <c r="I4" i="1"/>
  <c r="I3" i="1"/>
  <c r="C13" i="1"/>
  <c r="C12" i="1"/>
  <c r="C11" i="1"/>
  <c r="C10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<sst xmlns="http://schemas.openxmlformats.org/spreadsheetml/2006/main" count="830" uniqueCount="87">
  <si>
    <t>SSC (mg/L)</t>
  </si>
  <si>
    <t>Storm</t>
  </si>
  <si>
    <t>Langlois (2005)</t>
  </si>
  <si>
    <t>Log Langlois</t>
  </si>
  <si>
    <t>Lawler (2006)</t>
  </si>
  <si>
    <t xml:space="preserve">Aich (2014) </t>
  </si>
  <si>
    <t>st1_down</t>
  </si>
  <si>
    <t>st1_up</t>
  </si>
  <si>
    <t>st2_down</t>
  </si>
  <si>
    <t>st3_down</t>
  </si>
  <si>
    <t>st4_down</t>
  </si>
  <si>
    <t>st4_up</t>
  </si>
  <si>
    <t>st5_down</t>
  </si>
  <si>
    <t>st5_up</t>
  </si>
  <si>
    <t>st6_up</t>
  </si>
  <si>
    <t>st7_down</t>
  </si>
  <si>
    <t>st7_up</t>
  </si>
  <si>
    <t>DOC (mg/L)</t>
  </si>
  <si>
    <t>POC (mg/L)</t>
  </si>
  <si>
    <t>Turnidity FNU</t>
  </si>
  <si>
    <t>st6_down</t>
  </si>
  <si>
    <t>tau_c50 (interpolated)</t>
  </si>
  <si>
    <t>tau_c25</t>
  </si>
  <si>
    <t>Peak concentration (mg/L)</t>
  </si>
  <si>
    <t>Time between events τc exceedance (hrs)</t>
  </si>
  <si>
    <t>τpeak / τc50 interpolated</t>
  </si>
  <si>
    <t>τpeak / τc50 exceedance</t>
  </si>
  <si>
    <t>Time τ&gt;τc50 (hrs)</t>
  </si>
  <si>
    <t>E integral (total)</t>
  </si>
  <si>
    <t>Excess Balance</t>
  </si>
  <si>
    <r>
      <t xml:space="preserve">Time between events (no </t>
    </r>
    <r>
      <rPr>
        <b/>
        <sz val="10"/>
        <color theme="1"/>
        <rFont val="Aptos"/>
        <family val="2"/>
        <charset val="1"/>
      </rPr>
      <t>τ</t>
    </r>
    <r>
      <rPr>
        <b/>
        <sz val="10"/>
        <color theme="1"/>
        <rFont val="Aptos Narrow"/>
        <family val="2"/>
      </rPr>
      <t>c exceedance)</t>
    </r>
    <r>
      <rPr>
        <b/>
        <sz val="10"/>
        <color theme="1"/>
        <rFont val="Aptos Narrow"/>
        <family val="2"/>
        <scheme val="minor"/>
      </rPr>
      <t xml:space="preserve"> (hrs)</t>
    </r>
  </si>
  <si>
    <t>Aich SSC</t>
  </si>
  <si>
    <t>Aich Turb</t>
  </si>
  <si>
    <t>SSC HI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</si>
  <si>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</si>
  <si>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</si>
  <si>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</si>
  <si>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</si>
  <si>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</si>
  <si>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</si>
  <si>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</si>
  <si>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</si>
  <si>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</si>
  <si>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</si>
  <si>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</si>
  <si>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</si>
  <si>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</si>
  <si>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</si>
  <si>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</si>
  <si>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</si>
  <si>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</si>
  <si>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</si>
  <si>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</si>
  <si>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</si>
  <si>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</si>
  <si>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</si>
  <si>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</si>
  <si>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Turb HI</t>
  </si>
  <si>
    <t>Multiple Regression for SSC Aich HI - Three Variables</t>
  </si>
  <si>
    <t>Multiple Regression for Turbidity Aich HI - Three Variables</t>
  </si>
  <si>
    <t>Multiple Regression for SSC Aich HI - Two Variables</t>
  </si>
  <si>
    <t>Multiple Regression for Turbidity Aich HI - Two Variables</t>
  </si>
  <si>
    <t>POC HI</t>
  </si>
  <si>
    <t>Keeping ST4 down</t>
  </si>
  <si>
    <t>Keeping ST4 up</t>
  </si>
  <si>
    <t>DOC HI</t>
  </si>
  <si>
    <t>Multiple Regression for DOC Aich HI - Three Variables</t>
  </si>
  <si>
    <t>Multiple Regression for DOC Aich HI - Two Variables</t>
  </si>
  <si>
    <t>Multiple Regression for POC Aich HI - Three Variables</t>
  </si>
  <si>
    <t>Multiple Regression for POC Aich HI - Two Variables</t>
  </si>
  <si>
    <t>τpeak / τc50</t>
  </si>
  <si>
    <t>Event</t>
  </si>
  <si>
    <t xml:space="preserve">Aich SSC </t>
  </si>
  <si>
    <t>Event_3</t>
  </si>
  <si>
    <t>Event_4</t>
  </si>
  <si>
    <t>Event_5</t>
  </si>
  <si>
    <t>Event_6</t>
  </si>
  <si>
    <t>Event_8</t>
  </si>
  <si>
    <t>Event_9</t>
  </si>
  <si>
    <t>Event_10</t>
  </si>
  <si>
    <t>Event_12</t>
  </si>
  <si>
    <t>Event_13</t>
  </si>
  <si>
    <t>Event_14</t>
  </si>
  <si>
    <t>downstream</t>
  </si>
  <si>
    <t>downstream turbidity</t>
  </si>
  <si>
    <t xml:space="preserve">SSC HI </t>
  </si>
  <si>
    <t>tauc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</si>
</sst>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00000"/>
    <numFmt numFmtId="167" formatCode="0.000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"/>
      <family val="2"/>
      <charset val="1"/>
    </font>
    <font>
      <b/>
      <sz val="10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0" fillId="0" borderId="2" xfId="0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8" xfId="0" applyFont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13" xfId="0" applyBorder="1"/>
    <xf numFmtId="0" fontId="0" fillId="0" borderId="1" xfId="0" applyBorder="1"/>
    <xf numFmtId="0" fontId="0" fillId="0" borderId="14" xfId="0" applyBorder="1"/>
    <xf numFmtId="0" fontId="0" fillId="4" borderId="6" xfId="0" applyFill="1" applyBorder="1"/>
    <xf numFmtId="0" fontId="0" fillId="4" borderId="7" xfId="0" applyFill="1" applyBorder="1"/>
    <xf numFmtId="0" fontId="6" fillId="4" borderId="8" xfId="0" applyFont="1" applyFill="1" applyBorder="1" applyAlignment="1">
      <alignment horizontal="centerContinuous"/>
    </xf>
    <xf numFmtId="0" fontId="6" fillId="4" borderId="4" xfId="0" applyFont="1" applyFill="1" applyBorder="1" applyAlignment="1">
      <alignment horizontal="centerContinuous"/>
    </xf>
    <xf numFmtId="0" fontId="0" fillId="4" borderId="0" xfId="0" applyFill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2" xfId="0" applyFill="1" applyBorder="1"/>
    <xf numFmtId="0" fontId="6" fillId="4" borderId="8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0" fillId="4" borderId="13" xfId="0" applyFill="1" applyBorder="1"/>
    <xf numFmtId="0" fontId="0" fillId="4" borderId="1" xfId="0" applyFill="1" applyBorder="1"/>
    <xf numFmtId="0" fontId="0" fillId="4" borderId="14" xfId="0" applyFill="1" applyBorder="1"/>
    <xf numFmtId="0" fontId="6" fillId="4" borderId="13" xfId="0" applyFont="1" applyFill="1" applyBorder="1" applyAlignment="1">
      <alignment horizontal="centerContinuous"/>
    </xf>
    <xf numFmtId="0" fontId="6" fillId="4" borderId="1" xfId="0" applyFont="1" applyFill="1" applyBorder="1" applyAlignment="1">
      <alignment horizontal="centerContinuous"/>
    </xf>
    <xf numFmtId="0" fontId="0" fillId="2" borderId="6" xfId="0" applyFill="1" applyBorder="1"/>
    <xf numFmtId="0" fontId="0" fillId="2" borderId="7" xfId="0" applyFill="1" applyBorder="1"/>
    <xf numFmtId="0" fontId="6" fillId="2" borderId="8" xfId="0" applyFont="1" applyFill="1" applyBorder="1" applyAlignment="1">
      <alignment horizontal="centerContinuous"/>
    </xf>
    <xf numFmtId="0" fontId="6" fillId="2" borderId="4" xfId="0" applyFont="1" applyFill="1" applyBorder="1" applyAlignment="1">
      <alignment horizontal="centerContinuous"/>
    </xf>
    <xf numFmtId="0" fontId="0" fillId="2" borderId="0" xfId="0" applyFill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2" xfId="0" applyFill="1" applyBorder="1"/>
    <xf numFmtId="0" fontId="6" fillId="2" borderId="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13" xfId="0" applyFill="1" applyBorder="1"/>
    <xf numFmtId="0" fontId="0" fillId="2" borderId="1" xfId="0" applyFill="1" applyBorder="1"/>
    <xf numFmtId="0" fontId="0" fillId="2" borderId="14" xfId="0" applyFill="1" applyBorder="1"/>
    <xf numFmtId="0" fontId="0" fillId="7" borderId="0" xfId="0" applyFill="1"/>
    <xf numFmtId="0" fontId="0" fillId="7" borderId="10" xfId="0" applyFill="1" applyBorder="1"/>
    <xf numFmtId="0" fontId="2" fillId="7" borderId="0" xfId="0" applyFont="1" applyFill="1"/>
    <xf numFmtId="0" fontId="2" fillId="7" borderId="1" xfId="0" applyFont="1" applyFill="1" applyBorder="1"/>
    <xf numFmtId="164" fontId="2" fillId="7" borderId="0" xfId="0" applyNumberFormat="1" applyFont="1" applyFill="1"/>
    <xf numFmtId="164" fontId="2" fillId="7" borderId="1" xfId="0" applyNumberFormat="1" applyFont="1" applyFill="1" applyBorder="1"/>
    <xf numFmtId="0" fontId="6" fillId="9" borderId="8" xfId="0" applyFont="1" applyFill="1" applyBorder="1" applyAlignment="1">
      <alignment horizontal="centerContinuous"/>
    </xf>
    <xf numFmtId="0" fontId="6" fillId="9" borderId="4" xfId="0" applyFont="1" applyFill="1" applyBorder="1" applyAlignment="1">
      <alignment horizontal="centerContinuous"/>
    </xf>
    <xf numFmtId="0" fontId="0" fillId="9" borderId="0" xfId="0" applyFill="1"/>
    <xf numFmtId="0" fontId="0" fillId="9" borderId="9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2" xfId="0" applyFill="1" applyBorder="1"/>
    <xf numFmtId="0" fontId="6" fillId="9" borderId="8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0" fillId="9" borderId="13" xfId="0" applyFill="1" applyBorder="1"/>
    <xf numFmtId="0" fontId="0" fillId="9" borderId="1" xfId="0" applyFill="1" applyBorder="1"/>
    <xf numFmtId="0" fontId="0" fillId="9" borderId="14" xfId="0" applyFill="1" applyBorder="1"/>
    <xf numFmtId="0" fontId="0" fillId="9" borderId="6" xfId="0" applyFill="1" applyBorder="1"/>
    <xf numFmtId="0" fontId="0" fillId="9" borderId="7" xfId="0" applyFill="1" applyBorder="1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6" fillId="10" borderId="4" xfId="0" applyFont="1" applyFill="1" applyBorder="1" applyAlignment="1">
      <alignment horizontal="centerContinuous"/>
    </xf>
    <xf numFmtId="0" fontId="0" fillId="10" borderId="0" xfId="0" applyFill="1"/>
    <xf numFmtId="0" fontId="0" fillId="10" borderId="2" xfId="0" applyFill="1" applyBorder="1"/>
    <xf numFmtId="0" fontId="6" fillId="10" borderId="4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Continuous"/>
    </xf>
    <xf numFmtId="0" fontId="0" fillId="12" borderId="0" xfId="0" applyFill="1"/>
    <xf numFmtId="0" fontId="0" fillId="12" borderId="2" xfId="0" applyFill="1" applyBorder="1"/>
    <xf numFmtId="0" fontId="6" fillId="12" borderId="4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Continuous"/>
    </xf>
    <xf numFmtId="0" fontId="0" fillId="12" borderId="10" xfId="0" applyFill="1" applyBorder="1"/>
    <xf numFmtId="0" fontId="0" fillId="12" borderId="11" xfId="0" applyFill="1" applyBorder="1"/>
    <xf numFmtId="0" fontId="6" fillId="12" borderId="8" xfId="0" applyFont="1" applyFill="1" applyBorder="1" applyAlignment="1">
      <alignment horizontal="center"/>
    </xf>
    <xf numFmtId="0" fontId="0" fillId="12" borderId="13" xfId="0" applyFill="1" applyBorder="1"/>
    <xf numFmtId="0" fontId="0" fillId="12" borderId="1" xfId="0" applyFill="1" applyBorder="1"/>
    <xf numFmtId="0" fontId="2" fillId="7" borderId="2" xfId="0" applyFont="1" applyFill="1" applyBorder="1"/>
    <xf numFmtId="166" fontId="2" fillId="7" borderId="0" xfId="0" applyNumberFormat="1" applyFont="1" applyFill="1"/>
    <xf numFmtId="0" fontId="1" fillId="11" borderId="15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0" fillId="7" borderId="1" xfId="0" applyFill="1" applyBorder="1"/>
    <xf numFmtId="167" fontId="0" fillId="2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 turbidity vs SSC</a:t>
            </a:r>
          </a:p>
        </c:rich>
      </c:tx>
      <c:layout>
        <c:manualLayout>
          <c:xMode val="edge"/>
          <c:yMode val="edge"/>
          <c:x val="0.19017928528164749"/>
          <c:y val="4.4185196850393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88471633353523"/>
                  <c:y val="0.108886783888855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summer!$B$33:$B$40</c:f>
              <c:numCache>
                <c:formatCode>0.00000</c:formatCode>
                <c:ptCount val="8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6">
                  <c:v>-4.1760232547360499E-2</c:v>
                </c:pt>
                <c:pt idx="7">
                  <c:v>-7.8588218215967606E-2</c:v>
                </c:pt>
              </c:numCache>
            </c:numRef>
          </c:xVal>
          <c:yVal>
            <c:numRef>
              <c:f>summer!$C$33:$C$40</c:f>
              <c:numCache>
                <c:formatCode>0.00000</c:formatCode>
                <c:ptCount val="8"/>
                <c:pt idx="0">
                  <c:v>0.57681691180727601</c:v>
                </c:pt>
                <c:pt idx="1">
                  <c:v>0.54443871754473905</c:v>
                </c:pt>
                <c:pt idx="2">
                  <c:v>0.13984116014494999</c:v>
                </c:pt>
                <c:pt idx="3">
                  <c:v>8.9326261366187695E-2</c:v>
                </c:pt>
                <c:pt idx="4">
                  <c:v>4.6283799610675601E-2</c:v>
                </c:pt>
                <c:pt idx="5">
                  <c:v>3.0850994672477702E-2</c:v>
                </c:pt>
                <c:pt idx="7">
                  <c:v>6.7271555006068101E-2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8-413C-B9C4-7A2E9E547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924800"/>
        <c:axId val="1328926720"/>
      </c:scatterChart>
      <c:valAx>
        <c:axId val="132892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SSC 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926720"/>
        <c:crosses val="autoZero"/>
        <c:crossBetween val="midCat"/>
      </c:valAx>
      <c:valAx>
        <c:axId val="132892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Turbidity 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92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 to Excess Balance</a:t>
            </a:r>
          </a:p>
        </c:rich>
      </c:tx>
      <c:layout>
        <c:manualLayout>
          <c:xMode val="edge"/>
          <c:yMode val="edge"/>
          <c:x val="0.13872413146486859"/>
          <c:y val="3.2128514056224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summer!$B$32</c:f>
              <c:strCache>
                <c:ptCount val="1"/>
                <c:pt idx="0">
                  <c:v>Aich SSC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8103110507254469E-2"/>
                  <c:y val="0.30454596349370733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summer!$B$35:$B$40</c:f>
              <c:numCache>
                <c:formatCode>0.00000</c:formatCode>
                <c:ptCount val="6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</c:numCache>
            </c:numRef>
          </c:xVal>
          <c:yVal>
            <c:numRef>
              <c:f>summer!$G$35:$G$40</c:f>
              <c:numCache>
                <c:formatCode>0.000</c:formatCode>
                <c:ptCount val="6"/>
                <c:pt idx="0">
                  <c:v>0.30708458237534503</c:v>
                </c:pt>
                <c:pt idx="1">
                  <c:v>0.49664162355941199</c:v>
                </c:pt>
                <c:pt idx="2" formatCode="General">
                  <c:v>0</c:v>
                </c:pt>
                <c:pt idx="3" formatCode="General">
                  <c:v>0</c:v>
                </c:pt>
                <c:pt idx="4">
                  <c:v>-0.27417249103342101</c:v>
                </c:pt>
                <c:pt idx="5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BC-4CE6-9D5C-0962F6910D9E}"/>
            </c:ext>
          </c:extLst>
        </c:ser>
        <c:ser>
          <c:idx val="1"/>
          <c:order val="1"/>
          <c:tx>
            <c:strRef>
              <c:f>summer!$C$32</c:f>
              <c:strCache>
                <c:ptCount val="1"/>
                <c:pt idx="0">
                  <c:v>Aich Turb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213497257340415"/>
                  <c:y val="6.539544002782789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summer!$C$35:$C$40</c:f>
              <c:numCache>
                <c:formatCode>0.00000</c:formatCode>
                <c:ptCount val="6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</c:numCache>
            </c:numRef>
          </c:xVal>
          <c:yVal>
            <c:numRef>
              <c:f>summer!$G$35:$G$40</c:f>
              <c:numCache>
                <c:formatCode>0.000</c:formatCode>
                <c:ptCount val="6"/>
                <c:pt idx="0">
                  <c:v>0.30708458237534503</c:v>
                </c:pt>
                <c:pt idx="1">
                  <c:v>0.49664162355941199</c:v>
                </c:pt>
                <c:pt idx="2" formatCode="General">
                  <c:v>0</c:v>
                </c:pt>
                <c:pt idx="3" formatCode="General">
                  <c:v>0</c:v>
                </c:pt>
                <c:pt idx="4">
                  <c:v>-0.27417249103342101</c:v>
                </c:pt>
                <c:pt idx="5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BC-4CE6-9D5C-0962F6910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01104"/>
        <c:axId val="1425398704"/>
      </c:scatterChart>
      <c:valAx>
        <c:axId val="142540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98704"/>
        <c:crosses val="autoZero"/>
        <c:crossBetween val="midCat"/>
      </c:valAx>
      <c:valAx>
        <c:axId val="14253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Excess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0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 to E integral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summer!$B$32</c:f>
              <c:strCache>
                <c:ptCount val="1"/>
                <c:pt idx="0">
                  <c:v>Aich SSC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336640387769992"/>
                  <c:y val="-6.90455259357641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summer!$B$35:$B$40</c:f>
              <c:numCache>
                <c:formatCode>0.00000</c:formatCode>
                <c:ptCount val="6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</c:numCache>
            </c:numRef>
          </c:xVal>
          <c:yVal>
            <c:numRef>
              <c:f>summer!$D$35:$D$40</c:f>
              <c:numCache>
                <c:formatCode>0.00</c:formatCode>
                <c:ptCount val="6"/>
                <c:pt idx="0">
                  <c:v>28.480729852499898</c:v>
                </c:pt>
                <c:pt idx="1">
                  <c:v>0.666171575153233</c:v>
                </c:pt>
                <c:pt idx="2" formatCode="General">
                  <c:v>0</c:v>
                </c:pt>
                <c:pt idx="3" formatCode="General">
                  <c:v>0</c:v>
                </c:pt>
                <c:pt idx="4">
                  <c:v>5.7971200506894904</c:v>
                </c:pt>
                <c:pt idx="5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C-4E16-B307-CF0A2EAE0A15}"/>
            </c:ext>
          </c:extLst>
        </c:ser>
        <c:ser>
          <c:idx val="1"/>
          <c:order val="1"/>
          <c:tx>
            <c:strRef>
              <c:f>summer!$C$32</c:f>
              <c:strCache>
                <c:ptCount val="1"/>
                <c:pt idx="0">
                  <c:v>Aich Turb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0420976487484054E-2"/>
                  <c:y val="-3.309194618389237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summer!$C$35:$C$40</c:f>
              <c:numCache>
                <c:formatCode>0.00000</c:formatCode>
                <c:ptCount val="6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</c:numCache>
            </c:numRef>
          </c:xVal>
          <c:yVal>
            <c:numRef>
              <c:f>summer!$D$35:$D$40</c:f>
              <c:numCache>
                <c:formatCode>0.00</c:formatCode>
                <c:ptCount val="6"/>
                <c:pt idx="0">
                  <c:v>28.480729852499898</c:v>
                </c:pt>
                <c:pt idx="1">
                  <c:v>0.666171575153233</c:v>
                </c:pt>
                <c:pt idx="2" formatCode="General">
                  <c:v>0</c:v>
                </c:pt>
                <c:pt idx="3" formatCode="General">
                  <c:v>0</c:v>
                </c:pt>
                <c:pt idx="4">
                  <c:v>5.7971200506894904</c:v>
                </c:pt>
                <c:pt idx="5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4C-4E16-B307-CF0A2EAE0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01104"/>
        <c:axId val="1425398704"/>
      </c:scatterChart>
      <c:valAx>
        <c:axId val="142540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98704"/>
        <c:crosses val="autoZero"/>
        <c:crossBetween val="midCat"/>
      </c:valAx>
      <c:valAx>
        <c:axId val="14253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0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Aich HI to Time </a:t>
            </a:r>
            <a:r>
              <a:rPr lang="el-GR" sz="1200"/>
              <a:t> τ&gt;τ</a:t>
            </a:r>
            <a:r>
              <a:rPr lang="en-US" sz="1200"/>
              <a:t>c50 (hrs)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summer!$B$32</c:f>
              <c:strCache>
                <c:ptCount val="1"/>
                <c:pt idx="0">
                  <c:v>Aich SSC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2878539811504207E-2"/>
                  <c:y val="-0.10585459950036366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summer!$B$35:$B$40</c:f>
              <c:numCache>
                <c:formatCode>0.00000</c:formatCode>
                <c:ptCount val="6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</c:numCache>
            </c:numRef>
          </c:xVal>
          <c:yVal>
            <c:numRef>
              <c:f>summer!$E$35:$E$40</c:f>
              <c:numCache>
                <c:formatCode>0.00</c:formatCode>
                <c:ptCount val="6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4">
                  <c:v>4.5222851684946201</c:v>
                </c:pt>
                <c:pt idx="5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EA-4D12-A8AF-0889F9F208EB}"/>
            </c:ext>
          </c:extLst>
        </c:ser>
        <c:ser>
          <c:idx val="1"/>
          <c:order val="1"/>
          <c:tx>
            <c:strRef>
              <c:f>summer!$C$32</c:f>
              <c:strCache>
                <c:ptCount val="1"/>
                <c:pt idx="0">
                  <c:v>Aich Turb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440853573021244"/>
                  <c:y val="0.287553152241511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summer!$C$35:$C$40</c:f>
              <c:numCache>
                <c:formatCode>0.00000</c:formatCode>
                <c:ptCount val="6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</c:numCache>
            </c:numRef>
          </c:xVal>
          <c:yVal>
            <c:numRef>
              <c:f>summer!$E$35:$E$40</c:f>
              <c:numCache>
                <c:formatCode>0.00</c:formatCode>
                <c:ptCount val="6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4">
                  <c:v>4.5222851684946201</c:v>
                </c:pt>
                <c:pt idx="5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EA-4D12-A8AF-0889F9F20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01104"/>
        <c:axId val="1425398704"/>
      </c:scatterChart>
      <c:valAx>
        <c:axId val="142540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98704"/>
        <c:crosses val="autoZero"/>
        <c:crossBetween val="midCat"/>
      </c:valAx>
      <c:valAx>
        <c:axId val="14253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0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Aich HI to </a:t>
            </a:r>
            <a:r>
              <a:rPr lang="el-GR" sz="1200"/>
              <a:t> τ</a:t>
            </a:r>
            <a:r>
              <a:rPr lang="en-US" sz="1200"/>
              <a:t>peak/</a:t>
            </a:r>
            <a:r>
              <a:rPr lang="el-GR" sz="1200"/>
              <a:t>τ</a:t>
            </a:r>
            <a:r>
              <a:rPr lang="en-US" sz="1200"/>
              <a:t>c50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summer!$B$32</c:f>
              <c:strCache>
                <c:ptCount val="1"/>
                <c:pt idx="0">
                  <c:v>Aich SSC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137426075830086"/>
                  <c:y val="-8.8566532956965288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summer!$B$35:$B$40</c:f>
              <c:numCache>
                <c:formatCode>0.00000</c:formatCode>
                <c:ptCount val="6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4">
                  <c:v>-4.1760232547360499E-2</c:v>
                </c:pt>
                <c:pt idx="5">
                  <c:v>-7.8588218215967606E-2</c:v>
                </c:pt>
              </c:numCache>
            </c:numRef>
          </c:xVal>
          <c:yVal>
            <c:numRef>
              <c:f>summer!$F$35:$F$40</c:f>
              <c:numCache>
                <c:formatCode>0.00</c:formatCode>
                <c:ptCount val="6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5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AB-4B53-8BE6-7EF2FEEAFA29}"/>
            </c:ext>
          </c:extLst>
        </c:ser>
        <c:ser>
          <c:idx val="1"/>
          <c:order val="1"/>
          <c:tx>
            <c:strRef>
              <c:f>summer!$C$32</c:f>
              <c:strCache>
                <c:ptCount val="1"/>
                <c:pt idx="0">
                  <c:v>Aich Turb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661616790339789"/>
                  <c:y val="7.582350319417620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summer!$C$35:$C$40</c:f>
              <c:numCache>
                <c:formatCode>0.00000</c:formatCode>
                <c:ptCount val="6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5">
                  <c:v>6.7271555006068101E-2</c:v>
                </c:pt>
              </c:numCache>
            </c:numRef>
          </c:xVal>
          <c:yVal>
            <c:numRef>
              <c:f>summer!$F$35:$F$40</c:f>
              <c:numCache>
                <c:formatCode>0.00</c:formatCode>
                <c:ptCount val="6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5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AB-4B53-8BE6-7EF2FEEAF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01104"/>
        <c:axId val="1425398704"/>
      </c:scatterChart>
      <c:valAx>
        <c:axId val="142540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98704"/>
        <c:crosses val="autoZero"/>
        <c:crossBetween val="midCat"/>
      </c:valAx>
      <c:valAx>
        <c:axId val="14253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0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 to Excess Balance</a:t>
            </a:r>
          </a:p>
        </c:rich>
      </c:tx>
      <c:layout>
        <c:manualLayout>
          <c:xMode val="edge"/>
          <c:yMode val="edge"/>
          <c:x val="0.13872413146486859"/>
          <c:y val="3.2128514056224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summer!$B$32</c:f>
              <c:strCache>
                <c:ptCount val="1"/>
                <c:pt idx="0">
                  <c:v>Aich SSC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8103110507254469E-2"/>
                  <c:y val="0.30454596349370733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summer!$X$26:$X$36</c:f>
              <c:numCache>
                <c:formatCode>0.0000</c:formatCode>
                <c:ptCount val="11"/>
                <c:pt idx="0">
                  <c:v>8.8732929175135894E-2</c:v>
                </c:pt>
                <c:pt idx="1">
                  <c:v>0.10415722716452799</c:v>
                </c:pt>
                <c:pt idx="2">
                  <c:v>4.66251429291673E-2</c:v>
                </c:pt>
                <c:pt idx="3">
                  <c:v>9.0894558490112708E-3</c:v>
                </c:pt>
                <c:pt idx="4">
                  <c:v>2.0373962034653699E-2</c:v>
                </c:pt>
                <c:pt idx="5" formatCode="0.00000">
                  <c:v>0.17369777575697301</c:v>
                </c:pt>
                <c:pt idx="6" formatCode="0.00000">
                  <c:v>9.9143945152060597E-2</c:v>
                </c:pt>
                <c:pt idx="7" formatCode="0.00000">
                  <c:v>-4.1760232547360499E-2</c:v>
                </c:pt>
              </c:numCache>
            </c:numRef>
          </c:xVal>
          <c:yVal>
            <c:numRef>
              <c:f>summer!$Y$26:$Y$36</c:f>
              <c:numCache>
                <c:formatCode>0.000</c:formatCode>
                <c:ptCount val="11"/>
                <c:pt idx="0">
                  <c:v>0.19059894727801999</c:v>
                </c:pt>
                <c:pt idx="1">
                  <c:v>0.499861288181496</c:v>
                </c:pt>
                <c:pt idx="2">
                  <c:v>0.40695810522245701</c:v>
                </c:pt>
                <c:pt idx="3">
                  <c:v>5.4056282725128302E-2</c:v>
                </c:pt>
                <c:pt idx="4">
                  <c:v>0.45125668170602201</c:v>
                </c:pt>
                <c:pt idx="5">
                  <c:v>0.30708458237534503</c:v>
                </c:pt>
                <c:pt idx="6">
                  <c:v>0.49664162355941199</c:v>
                </c:pt>
                <c:pt idx="7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9F-4746-99B0-DAE35A17B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01104"/>
        <c:axId val="1425398704"/>
      </c:scatterChart>
      <c:valAx>
        <c:axId val="142540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98704"/>
        <c:crosses val="autoZero"/>
        <c:crossBetween val="midCat"/>
      </c:valAx>
      <c:valAx>
        <c:axId val="14253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Excess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0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 to Excess Balance </a:t>
            </a:r>
          </a:p>
        </c:rich>
      </c:tx>
      <c:layout>
        <c:manualLayout>
          <c:xMode val="edge"/>
          <c:yMode val="edge"/>
          <c:x val="0.13872413146486859"/>
          <c:y val="3.2128514056224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summer!$B$32</c:f>
              <c:strCache>
                <c:ptCount val="1"/>
                <c:pt idx="0">
                  <c:v>Aich SSC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243581664409654"/>
                  <c:y val="0.12231534509142031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summer!$X$40:$X$50</c:f>
              <c:numCache>
                <c:formatCode>0.0000</c:formatCode>
                <c:ptCount val="11"/>
                <c:pt idx="0">
                  <c:v>6.8212961854365706E-2</c:v>
                </c:pt>
                <c:pt idx="1">
                  <c:v>4.9611646415268197E-2</c:v>
                </c:pt>
                <c:pt idx="2">
                  <c:v>0.107447815904682</c:v>
                </c:pt>
                <c:pt idx="3">
                  <c:v>9.9852529707758195E-2</c:v>
                </c:pt>
                <c:pt idx="4">
                  <c:v>5.5815481283492403E-2</c:v>
                </c:pt>
                <c:pt idx="5">
                  <c:v>9.5391388976058394E-2</c:v>
                </c:pt>
                <c:pt idx="6">
                  <c:v>0.115227328160236</c:v>
                </c:pt>
                <c:pt idx="7">
                  <c:v>0.157732693122626</c:v>
                </c:pt>
                <c:pt idx="8">
                  <c:v>0.121156039239802</c:v>
                </c:pt>
                <c:pt idx="9" formatCode="0.00000">
                  <c:v>0.13984116014494999</c:v>
                </c:pt>
                <c:pt idx="10" formatCode="0.00000">
                  <c:v>8.9326261366187695E-2</c:v>
                </c:pt>
              </c:numCache>
            </c:numRef>
          </c:xVal>
          <c:yVal>
            <c:numRef>
              <c:f>summer!$Y$40:$Y$50</c:f>
              <c:numCache>
                <c:formatCode>0.000</c:formatCode>
                <c:ptCount val="11"/>
                <c:pt idx="0">
                  <c:v>-0.14571780115724001</c:v>
                </c:pt>
                <c:pt idx="1">
                  <c:v>0.15611461722769501</c:v>
                </c:pt>
                <c:pt idx="2">
                  <c:v>0.29322882322716898</c:v>
                </c:pt>
                <c:pt idx="3">
                  <c:v>0.499861288181496</c:v>
                </c:pt>
                <c:pt idx="4">
                  <c:v>0.40695810522245701</c:v>
                </c:pt>
                <c:pt idx="5">
                  <c:v>5.4056282725128302E-2</c:v>
                </c:pt>
                <c:pt idx="6">
                  <c:v>0.26690920736687102</c:v>
                </c:pt>
                <c:pt idx="7">
                  <c:v>0.45125668170602201</c:v>
                </c:pt>
                <c:pt idx="8">
                  <c:v>0.51242235468873398</c:v>
                </c:pt>
                <c:pt idx="9">
                  <c:v>0.30708458237534503</c:v>
                </c:pt>
                <c:pt idx="10">
                  <c:v>0.49664162355941199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67-455B-8925-885FDDCF6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01104"/>
        <c:axId val="1425398704"/>
      </c:scatterChart>
      <c:valAx>
        <c:axId val="142540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98704"/>
        <c:crosses val="autoZero"/>
        <c:crossBetween val="midCat"/>
      </c:valAx>
      <c:valAx>
        <c:axId val="14253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Excess 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0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Aich HI to tauc50</a:t>
            </a:r>
          </a:p>
        </c:rich>
      </c:tx>
      <c:layout>
        <c:manualLayout>
          <c:xMode val="edge"/>
          <c:yMode val="edge"/>
          <c:x val="0.39982271643120731"/>
          <c:y val="6.0855885081746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summer!$B$32</c:f>
              <c:strCache>
                <c:ptCount val="1"/>
                <c:pt idx="0">
                  <c:v>Aich SSC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5099092576287807E-3"/>
                  <c:y val="0.11335747884377513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summer!$AK$25:$AK$36</c:f>
              <c:numCache>
                <c:formatCode>0.00000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 formatCode="0.0000">
                  <c:v>8.8732929175135894E-2</c:v>
                </c:pt>
                <c:pt idx="4" formatCode="0.0000">
                  <c:v>0.10415722716452799</c:v>
                </c:pt>
                <c:pt idx="5" formatCode="0.0000">
                  <c:v>4.66251429291673E-2</c:v>
                </c:pt>
                <c:pt idx="6" formatCode="0.0000">
                  <c:v>9.0894558490112708E-3</c:v>
                </c:pt>
                <c:pt idx="7" formatCode="0.0000">
                  <c:v>2.0373962034653699E-2</c:v>
                </c:pt>
              </c:numCache>
            </c:numRef>
          </c:xVal>
          <c:yVal>
            <c:numRef>
              <c:f>summer!$AL$25:$AL$36</c:f>
              <c:numCache>
                <c:formatCode>0.000</c:formatCode>
                <c:ptCount val="12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 formatCode="General">
                  <c:v>113.72040256</c:v>
                </c:pt>
                <c:pt idx="4" formatCode="General">
                  <c:v>112.66319882000001</c:v>
                </c:pt>
                <c:pt idx="5" formatCode="General">
                  <c:v>114.89097618</c:v>
                </c:pt>
                <c:pt idx="6" formatCode="General">
                  <c:v>116.55531655999999</c:v>
                </c:pt>
                <c:pt idx="7" formatCode="General">
                  <c:v>115.75512236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B9-4DF5-9225-26CFBE56E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01104"/>
        <c:axId val="1425398704"/>
      </c:scatterChart>
      <c:valAx>
        <c:axId val="142540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98704"/>
        <c:crosses val="autoZero"/>
        <c:crossBetween val="midCat"/>
      </c:valAx>
      <c:valAx>
        <c:axId val="14253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0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332815</xdr:colOff>
      <xdr:row>31</xdr:row>
      <xdr:rowOff>144557</xdr:rowOff>
    </xdr:from>
    <xdr:to>
      <xdr:col>10</xdr:col>
      <xdr:colOff>907677</xdr:colOff>
      <xdr:row>44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DF08B7-5EB6-8E45-5835-85DBCA6E4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447879</xdr:colOff>
      <xdr:row>31</xdr:row>
      <xdr:rowOff>160564</xdr:rowOff>
    </xdr:from>
    <xdr:to>
      <xdr:col>21</xdr:col>
      <xdr:colOff>598714</xdr:colOff>
      <xdr:row>44</xdr:row>
      <xdr:rowOff>38419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481411-C99C-1388-33AF-5892E2EC7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940172</xdr:colOff>
      <xdr:row>31</xdr:row>
      <xdr:rowOff>159604</xdr:rowOff>
    </xdr:from>
    <xdr:to>
      <xdr:col>13</xdr:col>
      <xdr:colOff>123266</xdr:colOff>
      <xdr:row>44</xdr:row>
      <xdr:rowOff>40821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54A9EB-E3E3-4B5F-8F8B-CFE2AB4FD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630594</xdr:colOff>
      <xdr:row>31</xdr:row>
      <xdr:rowOff>162610</xdr:rowOff>
    </xdr:from>
    <xdr:to>
      <xdr:col>18</xdr:col>
      <xdr:colOff>348985</xdr:colOff>
      <xdr:row>44</xdr:row>
      <xdr:rowOff>52026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A0368E-6A52-4D02-A90A-84F40DBB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212862</xdr:colOff>
      <xdr:row>31</xdr:row>
      <xdr:rowOff>173815</xdr:rowOff>
    </xdr:from>
    <xdr:to>
      <xdr:col>15</xdr:col>
      <xdr:colOff>562697</xdr:colOff>
      <xdr:row>44</xdr:row>
      <xdr:rowOff>52027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91082D-C969-4C3B-A75F-AFD84B29E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463826</xdr:colOff>
      <xdr:row>23</xdr:row>
      <xdr:rowOff>99391</xdr:rowOff>
    </xdr:from>
    <xdr:to>
      <xdr:col>32</xdr:col>
      <xdr:colOff>142553</xdr:colOff>
      <xdr:row>35</xdr:row>
      <xdr:rowOff>167746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C3E7DA-50FA-4367-89CC-01AF1D1C4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356151</xdr:colOff>
      <xdr:row>36</xdr:row>
      <xdr:rowOff>149087</xdr:rowOff>
    </xdr:from>
    <xdr:to>
      <xdr:col>32</xdr:col>
      <xdr:colOff>34878</xdr:colOff>
      <xdr:row>49</xdr:row>
      <xdr:rowOff>176029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1A011B-1921-4A4F-A880-E0910DDB1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157371</xdr:colOff>
      <xdr:row>21</xdr:row>
      <xdr:rowOff>66261</xdr:rowOff>
    </xdr:from>
    <xdr:to>
      <xdr:col>43</xdr:col>
      <xdr:colOff>449010</xdr:colOff>
      <xdr:row>33</xdr:row>
      <xdr:rowOff>134616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168021-989C-4EBC-9C31-5B2D130EE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81AC-2E22-4548-82FA-02CE17CEE01D}">
  <dimension ref="A1:AL308"/>
  <sheetViews>
    <sheetView tabSelected="1" topLeftCell="B16" zoomScale="115" zoomScaleNormal="115" workbookViewId="0">
      <selection activeCell="H35" sqref="H35"/>
    </sheetView>
  </sheetViews>
  <sheetFormatPr defaultRowHeight="15" x14ac:dyDescent="0.25"/>
  <cols>
    <col min="1" max="1" width="21.28515625" customWidth="1"/>
    <col min="2" max="2" width="17.28515625" customWidth="1"/>
    <col min="3" max="3" width="17.85546875" customWidth="1"/>
    <col min="4" max="4" width="17.7109375" customWidth="1"/>
    <col min="5" max="5" width="22.5703125" customWidth="1"/>
    <col min="6" max="6" width="18.140625" customWidth="1"/>
    <col min="7" max="7" width="15.140625" customWidth="1"/>
    <col min="8" max="8" width="18.7109375" customWidth="1"/>
    <col min="9" max="9" width="14.5703125" customWidth="1"/>
    <col min="10" max="10" width="18.85546875" customWidth="1"/>
    <col min="11" max="11" width="14.85546875" customWidth="1"/>
    <col min="12" max="12" width="23.140625" bestFit="1" customWidth="1"/>
    <col min="13" max="13" width="15.140625" customWidth="1"/>
    <col min="14" max="14" width="15.85546875" customWidth="1"/>
    <col min="15" max="15" width="17.85546875" customWidth="1"/>
    <col min="16" max="16" width="15" customWidth="1"/>
    <col min="17" max="17" width="17" customWidth="1"/>
    <col min="19" max="19" width="13.7109375" customWidth="1"/>
    <col min="20" max="20" width="15.140625" customWidth="1"/>
    <col min="21" max="21" width="19.28515625" customWidth="1"/>
    <col min="22" max="22" width="14.85546875" customWidth="1"/>
    <col min="23" max="23" width="19.42578125" customWidth="1"/>
  </cols>
  <sheetData>
    <row r="1" spans="1:23" x14ac:dyDescent="0.25">
      <c r="A1" s="1" t="s">
        <v>0</v>
      </c>
      <c r="B1" s="1"/>
      <c r="C1" s="1"/>
      <c r="D1" s="1"/>
      <c r="E1" s="1"/>
      <c r="G1" s="1" t="s">
        <v>17</v>
      </c>
      <c r="H1" s="1"/>
      <c r="I1" s="1"/>
      <c r="J1" s="1"/>
      <c r="K1" s="1"/>
      <c r="M1" s="8" t="s">
        <v>18</v>
      </c>
      <c r="N1" s="8"/>
      <c r="O1" s="8"/>
      <c r="P1" s="8"/>
      <c r="Q1" s="8"/>
    </row>
    <row r="2" spans="1:2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G2" s="7" t="s">
        <v>1</v>
      </c>
      <c r="H2" s="2" t="s">
        <v>2</v>
      </c>
      <c r="I2" s="2" t="s">
        <v>3</v>
      </c>
      <c r="J2" s="2" t="s">
        <v>4</v>
      </c>
      <c r="K2" s="2" t="s">
        <v>5</v>
      </c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S2" s="2" t="s">
        <v>19</v>
      </c>
      <c r="T2" s="2" t="s">
        <v>2</v>
      </c>
      <c r="U2" s="2" t="s">
        <v>3</v>
      </c>
      <c r="V2" s="2" t="s">
        <v>4</v>
      </c>
      <c r="W2" s="2" t="s">
        <v>5</v>
      </c>
    </row>
    <row r="3" spans="1:23" x14ac:dyDescent="0.25">
      <c r="A3" s="3" t="s">
        <v>6</v>
      </c>
      <c r="B3" s="4">
        <v>5.5990042925280497</v>
      </c>
      <c r="C3" s="4">
        <f>LOG10(B3)</f>
        <v>0.74811080045096356</v>
      </c>
      <c r="D3" s="4">
        <v>0.90356607367203301</v>
      </c>
      <c r="E3" s="4">
        <v>0.78479742735639801</v>
      </c>
      <c r="G3" s="3" t="s">
        <v>6</v>
      </c>
      <c r="H3" s="6">
        <v>0.72480501026157895</v>
      </c>
      <c r="I3" s="6">
        <f>LOG10(H3)</f>
        <v>-0.13977881323213187</v>
      </c>
      <c r="J3" s="6">
        <v>-0.53321285069034396</v>
      </c>
      <c r="K3" s="6">
        <v>-0.69015600278604705</v>
      </c>
      <c r="M3" s="3" t="s">
        <v>6</v>
      </c>
      <c r="N3" s="4">
        <v>3.62123713456148</v>
      </c>
      <c r="O3" s="4">
        <f>LOG10(N3)</f>
        <v>0.55885696526424988</v>
      </c>
      <c r="P3" s="4">
        <v>0.87884003043687597</v>
      </c>
      <c r="Q3" s="4">
        <v>0.735611704001494</v>
      </c>
      <c r="S3" s="3" t="s">
        <v>6</v>
      </c>
      <c r="T3" s="4">
        <v>1.7878260187067601</v>
      </c>
      <c r="U3" s="4">
        <f>LOG10(T3)</f>
        <v>0.25232525339055556</v>
      </c>
      <c r="V3" s="4">
        <v>0.26654667808256899</v>
      </c>
      <c r="W3" s="4">
        <v>0.57681691180727601</v>
      </c>
    </row>
    <row r="4" spans="1:23" x14ac:dyDescent="0.25">
      <c r="A4" s="3" t="s">
        <v>7</v>
      </c>
      <c r="B4" s="4">
        <v>3.6150481998819401</v>
      </c>
      <c r="C4" s="4">
        <f t="shared" ref="C4:C13" si="0">LOG10(B4)</f>
        <v>0.55811409217085495</v>
      </c>
      <c r="D4" s="4">
        <v>0.84393866538764695</v>
      </c>
      <c r="E4" s="4">
        <v>0.73975142372925395</v>
      </c>
      <c r="G4" s="3" t="s">
        <v>7</v>
      </c>
      <c r="H4" s="6">
        <v>0.72236032128579997</v>
      </c>
      <c r="I4" s="6">
        <f t="shared" ref="I4:I13" si="1">LOG10(H4)</f>
        <v>-0.14124611751168054</v>
      </c>
      <c r="J4" s="6">
        <v>-0.54415401279001296</v>
      </c>
      <c r="K4" s="6">
        <v>-0.77189783394192801</v>
      </c>
      <c r="M4" s="3" t="s">
        <v>7</v>
      </c>
      <c r="N4" s="4">
        <v>3.1649110765038402</v>
      </c>
      <c r="O4" s="4">
        <f t="shared" ref="O4:O13" si="2">LOG10(N4)</f>
        <v>0.50036151229137671</v>
      </c>
      <c r="P4" s="4">
        <v>0.89370073497006797</v>
      </c>
      <c r="Q4" s="4">
        <v>0.76773815613843199</v>
      </c>
      <c r="S4" s="3" t="s">
        <v>7</v>
      </c>
      <c r="T4" s="4">
        <v>2.8770644107042802</v>
      </c>
      <c r="U4" s="4">
        <f t="shared" ref="U4:U11" si="3">LOG10(T4)</f>
        <v>0.45894958483099857</v>
      </c>
      <c r="V4" s="4">
        <v>0.541500872594741</v>
      </c>
      <c r="W4" s="4">
        <v>0.54443871754473905</v>
      </c>
    </row>
    <row r="5" spans="1:23" x14ac:dyDescent="0.25">
      <c r="A5" s="3" t="s">
        <v>8</v>
      </c>
      <c r="B5" s="4">
        <v>2.1746388039620901</v>
      </c>
      <c r="C5" s="4">
        <f t="shared" si="0"/>
        <v>0.33738713325723541</v>
      </c>
      <c r="D5" s="4">
        <v>0.90358482744648005</v>
      </c>
      <c r="E5" s="4">
        <v>0.17369777575697301</v>
      </c>
      <c r="G5" s="3" t="s">
        <v>8</v>
      </c>
      <c r="H5" s="6">
        <v>0.93103098270545204</v>
      </c>
      <c r="I5" s="6">
        <f t="shared" si="1"/>
        <v>-3.1035866393391235E-2</v>
      </c>
      <c r="J5" s="6">
        <v>0.356634245125801</v>
      </c>
      <c r="K5" s="6">
        <v>1.7836570943256701E-2</v>
      </c>
      <c r="M5" s="3" t="s">
        <v>8</v>
      </c>
      <c r="N5" s="4">
        <v>1.5737102771314899</v>
      </c>
      <c r="O5" s="4">
        <f t="shared" si="2"/>
        <v>0.19692478099339403</v>
      </c>
      <c r="P5" s="4">
        <v>0.86635228697468503</v>
      </c>
      <c r="Q5" s="4">
        <v>0.199680501000808</v>
      </c>
      <c r="S5" s="3" t="s">
        <v>8</v>
      </c>
      <c r="T5" s="4">
        <v>1.2050076272027901</v>
      </c>
      <c r="U5" s="4">
        <f t="shared" si="3"/>
        <v>8.0989795825078759E-2</v>
      </c>
      <c r="V5" s="4">
        <v>0.92674759673055396</v>
      </c>
      <c r="W5" s="4">
        <v>0.13984116014494999</v>
      </c>
    </row>
    <row r="6" spans="1:23" x14ac:dyDescent="0.25">
      <c r="A6" s="3" t="s">
        <v>9</v>
      </c>
      <c r="B6" s="4">
        <v>2.2792285281778502</v>
      </c>
      <c r="C6" s="4">
        <f t="shared" si="0"/>
        <v>0.35778787215309504</v>
      </c>
      <c r="D6" s="4">
        <v>0.663434225775831</v>
      </c>
      <c r="E6" s="4">
        <v>9.9143945152060597E-2</v>
      </c>
      <c r="G6" s="3" t="s">
        <v>9</v>
      </c>
      <c r="H6" s="6">
        <v>0.62021758140125105</v>
      </c>
      <c r="I6" s="6">
        <f t="shared" si="1"/>
        <v>-0.20745592691306838</v>
      </c>
      <c r="J6" s="6">
        <v>-0.834312574960141</v>
      </c>
      <c r="K6" s="6">
        <v>-0.54160608613664096</v>
      </c>
      <c r="M6" s="3" t="s">
        <v>9</v>
      </c>
      <c r="N6" s="4">
        <v>1.50347635019633</v>
      </c>
      <c r="O6" s="4">
        <f t="shared" si="2"/>
        <v>0.17709660100320529</v>
      </c>
      <c r="P6" s="4">
        <v>0.96614890517595997</v>
      </c>
      <c r="Q6" s="4">
        <v>0.12535086320927399</v>
      </c>
      <c r="S6" s="3" t="s">
        <v>9</v>
      </c>
      <c r="T6" s="4">
        <v>1.11910970408747</v>
      </c>
      <c r="U6" s="4">
        <f t="shared" si="3"/>
        <v>4.8872661635174883E-2</v>
      </c>
      <c r="V6" s="4">
        <v>0.156816283020727</v>
      </c>
      <c r="W6" s="4">
        <v>8.9326261366187695E-2</v>
      </c>
    </row>
    <row r="7" spans="1:23" x14ac:dyDescent="0.25">
      <c r="A7" s="3" t="s">
        <v>10</v>
      </c>
      <c r="B7" s="4">
        <v>1.4480475262282899</v>
      </c>
      <c r="C7" s="4">
        <f t="shared" si="0"/>
        <v>0.16078281603237832</v>
      </c>
      <c r="D7" s="4">
        <v>0.66475177086608195</v>
      </c>
      <c r="E7" s="4">
        <v>0.21234239309632399</v>
      </c>
      <c r="G7" s="3" t="s">
        <v>10</v>
      </c>
      <c r="H7" s="6">
        <v>0.77501210984665403</v>
      </c>
      <c r="I7" s="6">
        <f t="shared" si="1"/>
        <v>-0.11069151143112253</v>
      </c>
      <c r="J7" s="6">
        <v>-0.908415578463458</v>
      </c>
      <c r="K7" s="6">
        <v>-0.17637365181995501</v>
      </c>
      <c r="M7" s="3" t="s">
        <v>10</v>
      </c>
      <c r="N7" s="4">
        <v>1.46809780024647</v>
      </c>
      <c r="O7" s="4">
        <f t="shared" si="2"/>
        <v>0.16675498793195284</v>
      </c>
      <c r="P7" s="4">
        <v>0.61110995616383801</v>
      </c>
      <c r="Q7" s="4">
        <v>0.42964915677977999</v>
      </c>
      <c r="S7" s="3" t="s">
        <v>10</v>
      </c>
      <c r="T7" s="4">
        <v>1.4074954172257299</v>
      </c>
      <c r="U7" s="4">
        <f t="shared" si="3"/>
        <v>0.14844698947235901</v>
      </c>
      <c r="V7" s="4">
        <v>0.25880560171696498</v>
      </c>
      <c r="W7" s="4">
        <v>4.6283799610675601E-2</v>
      </c>
    </row>
    <row r="8" spans="1:23" x14ac:dyDescent="0.25">
      <c r="A8" s="3" t="s">
        <v>11</v>
      </c>
      <c r="B8" s="4">
        <v>1.45242884682964</v>
      </c>
      <c r="C8" s="4">
        <f t="shared" si="0"/>
        <v>0.16209486589117289</v>
      </c>
      <c r="D8" s="4">
        <v>0.238708102284336</v>
      </c>
      <c r="E8" s="4">
        <v>0.14477972148899501</v>
      </c>
      <c r="G8" s="3" t="s">
        <v>11</v>
      </c>
      <c r="H8" s="4">
        <v>1.0770799229366299</v>
      </c>
      <c r="I8" s="4">
        <f t="shared" si="1"/>
        <v>3.2247930598373005E-2</v>
      </c>
      <c r="J8" s="4">
        <v>0.64255712913469198</v>
      </c>
      <c r="K8" s="4">
        <v>0.41389016217674901</v>
      </c>
      <c r="M8" s="3" t="s">
        <v>11</v>
      </c>
      <c r="N8" s="4">
        <v>1.29322320004102</v>
      </c>
      <c r="O8" s="4">
        <f t="shared" si="2"/>
        <v>0.11167348712372607</v>
      </c>
      <c r="P8" s="4">
        <v>0.43470959470339599</v>
      </c>
      <c r="Q8" s="4">
        <v>0.36758406997509402</v>
      </c>
      <c r="S8" s="3" t="s">
        <v>11</v>
      </c>
      <c r="T8" s="4">
        <v>1.41606982531736</v>
      </c>
      <c r="U8" s="4">
        <f t="shared" si="3"/>
        <v>0.15108466860966069</v>
      </c>
      <c r="V8" s="4">
        <v>0.52921681534296305</v>
      </c>
      <c r="W8" s="4">
        <v>3.0850994672477702E-2</v>
      </c>
    </row>
    <row r="9" spans="1:23" x14ac:dyDescent="0.25">
      <c r="A9" s="3" t="s">
        <v>12</v>
      </c>
      <c r="B9" s="5"/>
      <c r="C9" s="5"/>
      <c r="D9" s="5"/>
      <c r="E9" s="5"/>
      <c r="G9" s="3" t="s">
        <v>12</v>
      </c>
      <c r="H9" s="5"/>
      <c r="I9" s="5"/>
      <c r="K9" s="5"/>
      <c r="M9" s="3" t="s">
        <v>12</v>
      </c>
      <c r="N9" s="5"/>
      <c r="O9" s="5"/>
      <c r="P9" s="5"/>
      <c r="Q9" s="5"/>
      <c r="S9" s="3" t="s">
        <v>12</v>
      </c>
      <c r="T9" s="4">
        <v>1.5689444337549201</v>
      </c>
      <c r="U9" s="4">
        <f t="shared" si="3"/>
        <v>0.19560756274503188</v>
      </c>
      <c r="V9" s="4">
        <v>0.71850105371235795</v>
      </c>
      <c r="W9" s="4">
        <v>0.164262280281398</v>
      </c>
    </row>
    <row r="10" spans="1:23" x14ac:dyDescent="0.25">
      <c r="A10" s="3" t="s">
        <v>13</v>
      </c>
      <c r="B10" s="4">
        <v>1.48474411958353</v>
      </c>
      <c r="C10" s="4">
        <f t="shared" si="0"/>
        <v>0.1716516139036095</v>
      </c>
      <c r="D10" s="4">
        <v>0.55431906321323399</v>
      </c>
      <c r="E10" s="4">
        <v>0.36516163611226798</v>
      </c>
      <c r="G10" s="3" t="s">
        <v>13</v>
      </c>
      <c r="H10" s="4">
        <v>1.69896635753922</v>
      </c>
      <c r="I10" s="6">
        <f t="shared" si="1"/>
        <v>0.23018477917526556</v>
      </c>
      <c r="J10" s="4">
        <v>1.0004694412552899</v>
      </c>
      <c r="K10" s="4">
        <v>0.39449354239977702</v>
      </c>
      <c r="M10" s="3" t="s">
        <v>13</v>
      </c>
      <c r="N10" s="4">
        <v>1.2870368477726899</v>
      </c>
      <c r="O10" s="4">
        <f t="shared" si="2"/>
        <v>0.10959098090226406</v>
      </c>
      <c r="P10" s="4">
        <v>0.29324836284144801</v>
      </c>
      <c r="Q10" s="4"/>
      <c r="S10" s="3" t="s">
        <v>20</v>
      </c>
      <c r="T10" s="4">
        <v>1.15872732148062</v>
      </c>
      <c r="U10" s="4">
        <f t="shared" si="3"/>
        <v>6.3981247258523458E-2</v>
      </c>
      <c r="V10" s="4">
        <v>0.40647074977609499</v>
      </c>
      <c r="W10" s="6">
        <v>-4.45444212598241E-2</v>
      </c>
    </row>
    <row r="11" spans="1:23" x14ac:dyDescent="0.25">
      <c r="A11" s="3" t="s">
        <v>14</v>
      </c>
      <c r="B11" s="4">
        <v>1.6588389001163999</v>
      </c>
      <c r="C11" s="4">
        <f t="shared" si="0"/>
        <v>0.21980421110710638</v>
      </c>
      <c r="D11" s="4">
        <v>0.49497785634638802</v>
      </c>
      <c r="E11" s="4">
        <v>4.1333778886518201E-2</v>
      </c>
      <c r="G11" s="3" t="s">
        <v>14</v>
      </c>
      <c r="H11" s="4">
        <v>0.68980819676752303</v>
      </c>
      <c r="I11" s="6">
        <f t="shared" si="1"/>
        <v>-0.16127164935721236</v>
      </c>
      <c r="J11" s="6">
        <v>-0.62247408500113799</v>
      </c>
      <c r="K11" s="6">
        <v>-0.17371472956907899</v>
      </c>
      <c r="M11" s="3" t="s">
        <v>14</v>
      </c>
      <c r="N11" s="4">
        <v>1.3490789487664501</v>
      </c>
      <c r="O11" s="4">
        <f t="shared" si="2"/>
        <v>0.13003736554318393</v>
      </c>
      <c r="P11" s="4">
        <v>0.20911471061197601</v>
      </c>
      <c r="Q11" s="4">
        <v>4.5262412029273197E-2</v>
      </c>
      <c r="S11" s="3" t="s">
        <v>16</v>
      </c>
      <c r="T11" s="4">
        <v>1.1637562782531401</v>
      </c>
      <c r="U11" s="4">
        <f t="shared" si="3"/>
        <v>6.5862036935340984E-2</v>
      </c>
      <c r="V11" s="4">
        <v>0.401331670241585</v>
      </c>
      <c r="W11" s="4">
        <v>6.7271555006068101E-2</v>
      </c>
    </row>
    <row r="12" spans="1:23" x14ac:dyDescent="0.25">
      <c r="A12" s="3" t="s">
        <v>15</v>
      </c>
      <c r="B12" s="6">
        <v>0.665445371933445</v>
      </c>
      <c r="C12" s="6">
        <f t="shared" si="0"/>
        <v>-0.17688759104076174</v>
      </c>
      <c r="D12" s="6">
        <v>-1.0305451800868599</v>
      </c>
      <c r="E12" s="6">
        <v>-4.1760232547360499E-2</v>
      </c>
      <c r="G12" s="3" t="s">
        <v>15</v>
      </c>
      <c r="H12" s="6">
        <v>0.66267278810022201</v>
      </c>
      <c r="I12" s="6">
        <f t="shared" si="1"/>
        <v>-0.17870086284870682</v>
      </c>
      <c r="J12" s="6">
        <v>-1.0273129897173701</v>
      </c>
      <c r="K12" s="6">
        <v>-4.74716361793363E-2</v>
      </c>
      <c r="M12" s="3" t="s">
        <v>15</v>
      </c>
      <c r="N12" s="6">
        <v>0.56520265738304298</v>
      </c>
      <c r="O12" s="6">
        <f t="shared" si="2"/>
        <v>-0.24779580491958866</v>
      </c>
      <c r="P12" s="6">
        <v>-1.0275595596207601</v>
      </c>
      <c r="Q12" s="6">
        <v>-6.6277814143714905E-2</v>
      </c>
    </row>
    <row r="13" spans="1:23" x14ac:dyDescent="0.25">
      <c r="A13" s="3" t="s">
        <v>16</v>
      </c>
      <c r="B13" s="6">
        <v>0.84619083652769</v>
      </c>
      <c r="C13" s="6">
        <f t="shared" si="0"/>
        <v>-7.2531681991024291E-2</v>
      </c>
      <c r="D13" s="6">
        <v>-0.57708462423306806</v>
      </c>
      <c r="E13" s="6">
        <v>-7.8588218215967606E-2</v>
      </c>
      <c r="G13" s="3" t="s">
        <v>16</v>
      </c>
      <c r="H13" s="4">
        <v>1.6537701478523501</v>
      </c>
      <c r="I13" s="4">
        <f t="shared" si="1"/>
        <v>0.21847514822975025</v>
      </c>
      <c r="J13" s="4">
        <v>0.384403035464087</v>
      </c>
      <c r="K13" s="4">
        <v>5.9760012226563401E-2</v>
      </c>
      <c r="M13" s="3" t="s">
        <v>16</v>
      </c>
      <c r="N13" s="6">
        <v>0.82233612818652901</v>
      </c>
      <c r="O13" s="6">
        <f t="shared" si="2"/>
        <v>-8.4950629201643507E-2</v>
      </c>
      <c r="P13" s="6">
        <v>-0.50591021290758598</v>
      </c>
      <c r="Q13" s="6">
        <v>-0.161754895727207</v>
      </c>
    </row>
    <row r="14" spans="1:23" x14ac:dyDescent="0.25">
      <c r="A14" s="3"/>
      <c r="B14" s="3"/>
      <c r="C14" s="3"/>
      <c r="D14" s="3"/>
      <c r="E14" s="3"/>
    </row>
    <row r="17" spans="1:38" ht="27" x14ac:dyDescent="0.25">
      <c r="B17" s="9" t="s">
        <v>21</v>
      </c>
      <c r="C17" s="12" t="s">
        <v>22</v>
      </c>
      <c r="D17" s="9" t="s">
        <v>23</v>
      </c>
      <c r="E17" s="9" t="s">
        <v>30</v>
      </c>
      <c r="F17" s="9" t="s">
        <v>24</v>
      </c>
      <c r="G17" s="13" t="s">
        <v>25</v>
      </c>
      <c r="H17" s="14" t="s">
        <v>26</v>
      </c>
      <c r="I17" s="9" t="s">
        <v>27</v>
      </c>
      <c r="J17" s="9" t="s">
        <v>28</v>
      </c>
      <c r="K17" s="9" t="s">
        <v>29</v>
      </c>
    </row>
    <row r="18" spans="1:38" x14ac:dyDescent="0.25">
      <c r="A18" s="3" t="s">
        <v>6</v>
      </c>
      <c r="B18" s="3"/>
      <c r="C18" s="3"/>
      <c r="D18" s="10">
        <v>562.32579999999996</v>
      </c>
      <c r="E18" s="10"/>
      <c r="F18" s="10"/>
      <c r="G18" s="3"/>
      <c r="I18" s="10"/>
      <c r="J18" s="10"/>
    </row>
    <row r="19" spans="1:38" x14ac:dyDescent="0.25">
      <c r="A19" s="3" t="s">
        <v>7</v>
      </c>
      <c r="D19" s="10">
        <v>359.22</v>
      </c>
      <c r="E19" s="3"/>
      <c r="F19" s="3"/>
      <c r="G19" s="3"/>
      <c r="I19" s="3"/>
      <c r="J19" s="3"/>
    </row>
    <row r="20" spans="1:38" x14ac:dyDescent="0.25">
      <c r="A20" s="3" t="s">
        <v>8</v>
      </c>
      <c r="B20" s="11">
        <v>66.912425378311355</v>
      </c>
      <c r="C20" s="11">
        <v>64.048876322946043</v>
      </c>
      <c r="D20" s="10">
        <v>57.726100000000002</v>
      </c>
      <c r="E20" s="3">
        <v>9023.75</v>
      </c>
      <c r="F20" s="3">
        <v>9023.75</v>
      </c>
      <c r="G20" s="11">
        <v>1.0628417845850735</v>
      </c>
      <c r="H20" s="10">
        <v>1.1737788669959504</v>
      </c>
      <c r="I20" s="10">
        <v>4</v>
      </c>
      <c r="J20" s="10">
        <v>28.480729852499898</v>
      </c>
      <c r="K20" s="11">
        <v>0.30708458237534503</v>
      </c>
    </row>
    <row r="21" spans="1:38" x14ac:dyDescent="0.25">
      <c r="A21" s="3" t="s">
        <v>9</v>
      </c>
      <c r="B21" s="11">
        <v>72.370164511034233</v>
      </c>
      <c r="C21" s="11">
        <v>69.142603119806424</v>
      </c>
      <c r="D21" s="10">
        <v>49.091801670000002</v>
      </c>
      <c r="E21" s="3">
        <v>118.5</v>
      </c>
      <c r="F21" s="3">
        <v>118.5</v>
      </c>
      <c r="G21" s="11">
        <v>1.0325844789064453</v>
      </c>
      <c r="H21" s="10">
        <v>1.0182769682576838</v>
      </c>
      <c r="I21" s="10">
        <v>1.1385255280790201</v>
      </c>
      <c r="J21" s="10">
        <v>0.666171575153233</v>
      </c>
      <c r="K21" s="11">
        <v>0.49664162355941199</v>
      </c>
    </row>
    <row r="22" spans="1:38" x14ac:dyDescent="0.25">
      <c r="A22" s="3" t="s">
        <v>10</v>
      </c>
      <c r="B22" s="11">
        <v>77.803592516854394</v>
      </c>
      <c r="C22" s="11">
        <v>69.014990506950269</v>
      </c>
      <c r="D22" s="10">
        <v>187</v>
      </c>
      <c r="E22" s="3">
        <v>2036.95</v>
      </c>
      <c r="F22" s="3">
        <v>2060.9499999999998</v>
      </c>
      <c r="G22" s="11">
        <v>1.025239233557502</v>
      </c>
      <c r="H22" s="10">
        <v>1</v>
      </c>
      <c r="I22" s="10">
        <v>0</v>
      </c>
      <c r="J22" s="10">
        <v>0</v>
      </c>
      <c r="K22" s="11"/>
    </row>
    <row r="23" spans="1:38" x14ac:dyDescent="0.25">
      <c r="A23" s="3" t="s">
        <v>11</v>
      </c>
      <c r="B23" s="11">
        <v>77.803592516854394</v>
      </c>
      <c r="C23" s="11">
        <v>69.014990506950269</v>
      </c>
      <c r="D23" s="10">
        <v>105.55555560000001</v>
      </c>
      <c r="E23" s="3">
        <v>2036.95</v>
      </c>
      <c r="F23" s="3">
        <v>2060.9499999999998</v>
      </c>
      <c r="G23" s="11">
        <v>1.025239233557502</v>
      </c>
      <c r="H23" s="10">
        <v>1</v>
      </c>
      <c r="I23" s="10">
        <v>0</v>
      </c>
      <c r="J23" s="10">
        <v>0</v>
      </c>
      <c r="K23" s="11"/>
      <c r="W23" t="s">
        <v>83</v>
      </c>
    </row>
    <row r="24" spans="1:38" x14ac:dyDescent="0.25">
      <c r="A24" s="3" t="s">
        <v>12</v>
      </c>
      <c r="B24" s="11"/>
      <c r="D24" s="10">
        <v>76.153846150000007</v>
      </c>
      <c r="E24" s="3">
        <v>365</v>
      </c>
      <c r="F24" s="3"/>
      <c r="G24" s="11"/>
      <c r="H24" s="10"/>
      <c r="I24" s="10"/>
      <c r="J24" s="10"/>
      <c r="K24" s="11"/>
      <c r="AK24" t="s">
        <v>85</v>
      </c>
      <c r="AL24" t="s">
        <v>86</v>
      </c>
    </row>
    <row r="25" spans="1:38" ht="27" x14ac:dyDescent="0.25">
      <c r="A25" s="3" t="s">
        <v>13</v>
      </c>
      <c r="B25" s="11"/>
      <c r="D25" s="10">
        <v>43.2</v>
      </c>
      <c r="E25" s="3">
        <v>365</v>
      </c>
      <c r="F25" s="3"/>
      <c r="G25" s="11"/>
      <c r="H25" s="10"/>
      <c r="I25" s="10"/>
      <c r="J25" s="10"/>
      <c r="K25" s="11"/>
      <c r="W25" s="2" t="s">
        <v>71</v>
      </c>
      <c r="X25" s="2" t="s">
        <v>72</v>
      </c>
      <c r="Y25" s="118" t="s">
        <v>29</v>
      </c>
      <c r="AJ25" s="3" t="s">
        <v>8</v>
      </c>
      <c r="AK25" s="4">
        <v>0.17369777575697301</v>
      </c>
      <c r="AL25" s="11">
        <v>66.912425378311355</v>
      </c>
    </row>
    <row r="26" spans="1:38" x14ac:dyDescent="0.25">
      <c r="A26" s="3" t="s">
        <v>14</v>
      </c>
      <c r="B26" s="11"/>
      <c r="D26" s="10">
        <v>77.894736839999993</v>
      </c>
      <c r="E26" s="3">
        <v>351.5</v>
      </c>
      <c r="F26" s="3"/>
      <c r="G26" s="11"/>
      <c r="H26" s="10"/>
      <c r="I26" s="10"/>
      <c r="J26" s="10"/>
      <c r="K26" s="11"/>
      <c r="W26" s="3" t="s">
        <v>76</v>
      </c>
      <c r="X26" s="116">
        <v>8.8732929175135894E-2</v>
      </c>
      <c r="Y26" s="11">
        <v>0.19059894727801999</v>
      </c>
      <c r="AJ26" s="3" t="s">
        <v>9</v>
      </c>
      <c r="AK26" s="4">
        <v>9.9143945152060597E-2</v>
      </c>
      <c r="AL26" s="11">
        <v>72.370164511034233</v>
      </c>
    </row>
    <row r="27" spans="1:38" x14ac:dyDescent="0.25">
      <c r="A27" s="3" t="s">
        <v>15</v>
      </c>
      <c r="B27" s="11">
        <v>66.341763171136677</v>
      </c>
      <c r="C27" s="11">
        <v>64.242932047955975</v>
      </c>
      <c r="D27" s="10">
        <v>37.6</v>
      </c>
      <c r="E27" s="3">
        <v>413.75</v>
      </c>
      <c r="F27" s="3">
        <v>1130.25</v>
      </c>
      <c r="G27" s="11">
        <v>1.063728040781146</v>
      </c>
      <c r="H27" s="10">
        <v>1.045397189964473</v>
      </c>
      <c r="I27" s="10">
        <v>4.5222851684946201</v>
      </c>
      <c r="J27" s="10">
        <v>5.7971200506894904</v>
      </c>
      <c r="K27" s="11">
        <v>-0.27417249103342101</v>
      </c>
      <c r="W27" s="3" t="s">
        <v>77</v>
      </c>
      <c r="X27" s="116">
        <v>0.10415722716452799</v>
      </c>
      <c r="Y27" s="11">
        <v>0.499861288181496</v>
      </c>
      <c r="AJ27" s="3" t="s">
        <v>10</v>
      </c>
      <c r="AK27" s="4">
        <v>0.21234239309632399</v>
      </c>
      <c r="AL27" s="11">
        <v>77.803592516854394</v>
      </c>
    </row>
    <row r="28" spans="1:38" x14ac:dyDescent="0.25">
      <c r="A28" s="3" t="s">
        <v>16</v>
      </c>
      <c r="B28" s="11">
        <v>66.341763171136677</v>
      </c>
      <c r="C28" s="11">
        <v>64.242932047955975</v>
      </c>
      <c r="D28" s="10">
        <v>30.76923077</v>
      </c>
      <c r="E28" s="3">
        <v>413.75</v>
      </c>
      <c r="F28" s="3">
        <v>1130.25</v>
      </c>
      <c r="G28" s="11">
        <v>1.063728040781146</v>
      </c>
      <c r="H28" s="10">
        <v>1.045397189964473</v>
      </c>
      <c r="I28" s="10">
        <v>4.5222851684946201</v>
      </c>
      <c r="J28" s="10">
        <v>5.7971200506894904</v>
      </c>
      <c r="K28" s="11">
        <v>-0.27417249103342101</v>
      </c>
      <c r="W28" s="3" t="s">
        <v>78</v>
      </c>
      <c r="X28" s="116">
        <v>4.66251429291673E-2</v>
      </c>
      <c r="Y28" s="11">
        <v>0.40695810522245701</v>
      </c>
      <c r="AJ28" s="3" t="s">
        <v>76</v>
      </c>
      <c r="AK28" s="117">
        <v>8.8732929175135894E-2</v>
      </c>
      <c r="AL28" s="3">
        <v>113.72040256</v>
      </c>
    </row>
    <row r="29" spans="1:38" x14ac:dyDescent="0.25">
      <c r="H29" s="10"/>
      <c r="W29" s="3" t="s">
        <v>79</v>
      </c>
      <c r="X29" s="116">
        <v>9.0894558490112708E-3</v>
      </c>
      <c r="Y29" s="11">
        <v>5.4056282725128302E-2</v>
      </c>
      <c r="AJ29" s="3" t="s">
        <v>77</v>
      </c>
      <c r="AK29" s="117">
        <v>0.10415722716452799</v>
      </c>
      <c r="AL29" s="3">
        <v>112.66319882000001</v>
      </c>
    </row>
    <row r="30" spans="1:38" x14ac:dyDescent="0.25">
      <c r="W30" s="3" t="s">
        <v>81</v>
      </c>
      <c r="X30" s="116">
        <v>2.0373962034653699E-2</v>
      </c>
      <c r="Y30" s="11">
        <v>0.45125668170602201</v>
      </c>
      <c r="AJ30" s="3" t="s">
        <v>78</v>
      </c>
      <c r="AK30" s="117">
        <v>4.66251429291673E-2</v>
      </c>
      <c r="AL30" s="3">
        <v>114.89097618</v>
      </c>
    </row>
    <row r="31" spans="1:38" x14ac:dyDescent="0.25">
      <c r="W31" s="3" t="s">
        <v>8</v>
      </c>
      <c r="X31" s="4">
        <v>0.17369777575697301</v>
      </c>
      <c r="Y31" s="11">
        <v>0.30708458237534503</v>
      </c>
      <c r="AJ31" s="3" t="s">
        <v>79</v>
      </c>
      <c r="AK31" s="117">
        <v>9.0894558490112708E-3</v>
      </c>
      <c r="AL31" s="3">
        <v>116.55531655999999</v>
      </c>
    </row>
    <row r="32" spans="1:38" ht="27" x14ac:dyDescent="0.25">
      <c r="B32" s="7" t="s">
        <v>31</v>
      </c>
      <c r="C32" s="2" t="s">
        <v>32</v>
      </c>
      <c r="D32" s="9" t="s">
        <v>28</v>
      </c>
      <c r="E32" s="9" t="s">
        <v>27</v>
      </c>
      <c r="F32" s="14" t="s">
        <v>26</v>
      </c>
      <c r="G32" s="7" t="s">
        <v>29</v>
      </c>
      <c r="W32" s="3" t="s">
        <v>9</v>
      </c>
      <c r="X32" s="4">
        <v>9.9143945152060597E-2</v>
      </c>
      <c r="Y32" s="11">
        <v>0.49664162355941199</v>
      </c>
      <c r="AJ32" s="3" t="s">
        <v>81</v>
      </c>
      <c r="AK32" s="117">
        <v>2.0373962034653699E-2</v>
      </c>
      <c r="AL32" s="3">
        <v>115.75512236</v>
      </c>
    </row>
    <row r="33" spans="1:25" x14ac:dyDescent="0.25">
      <c r="A33" s="3" t="s">
        <v>6</v>
      </c>
      <c r="B33" s="4">
        <v>0.78479742735639801</v>
      </c>
      <c r="C33" s="4">
        <v>0.57681691180727601</v>
      </c>
      <c r="E33" s="10"/>
      <c r="W33" s="3" t="s">
        <v>15</v>
      </c>
      <c r="X33" s="6">
        <v>-4.1760232547360499E-2</v>
      </c>
      <c r="Y33" s="11">
        <v>-0.27417249103342101</v>
      </c>
    </row>
    <row r="34" spans="1:25" x14ac:dyDescent="0.25">
      <c r="A34" s="3" t="s">
        <v>7</v>
      </c>
      <c r="B34" s="4">
        <v>0.73975142372925395</v>
      </c>
      <c r="C34" s="4">
        <v>0.54443871754473905</v>
      </c>
      <c r="E34" s="3"/>
      <c r="W34" s="3"/>
      <c r="X34" s="6"/>
      <c r="Y34" s="11"/>
    </row>
    <row r="35" spans="1:25" x14ac:dyDescent="0.25">
      <c r="A35" s="3" t="s">
        <v>8</v>
      </c>
      <c r="B35" s="4">
        <v>0.17369777575697301</v>
      </c>
      <c r="C35" s="4">
        <v>0.13984116014494999</v>
      </c>
      <c r="D35" s="10">
        <v>28.480729852499898</v>
      </c>
      <c r="E35" s="10">
        <v>4</v>
      </c>
      <c r="F35" s="10">
        <v>1.1737788669959504</v>
      </c>
      <c r="G35" s="11">
        <v>0.30708458237534503</v>
      </c>
    </row>
    <row r="36" spans="1:25" x14ac:dyDescent="0.25">
      <c r="A36" s="3" t="s">
        <v>9</v>
      </c>
      <c r="B36" s="4">
        <v>9.9143945152060597E-2</v>
      </c>
      <c r="C36" s="4">
        <v>8.9326261366187695E-2</v>
      </c>
      <c r="D36" s="10">
        <v>0.666171575153233</v>
      </c>
      <c r="E36" s="10">
        <v>1.1385255280790201</v>
      </c>
      <c r="F36" s="10">
        <v>1.0182769682576838</v>
      </c>
      <c r="G36" s="11">
        <v>0.49664162355941199</v>
      </c>
    </row>
    <row r="37" spans="1:25" x14ac:dyDescent="0.25">
      <c r="A37" s="3" t="s">
        <v>10</v>
      </c>
      <c r="B37" s="4">
        <v>0.21234239309632399</v>
      </c>
      <c r="C37" s="4">
        <v>4.6283799610675601E-2</v>
      </c>
      <c r="D37" s="3">
        <v>0</v>
      </c>
      <c r="E37" s="10">
        <v>0</v>
      </c>
      <c r="F37" s="10">
        <v>1</v>
      </c>
      <c r="G37" s="3">
        <v>0</v>
      </c>
    </row>
    <row r="38" spans="1:25" x14ac:dyDescent="0.25">
      <c r="A38" s="3" t="s">
        <v>11</v>
      </c>
      <c r="B38" s="4">
        <v>0.14477972148899501</v>
      </c>
      <c r="C38" s="4">
        <v>3.0850994672477702E-2</v>
      </c>
      <c r="D38" s="3">
        <v>0</v>
      </c>
      <c r="E38" s="10">
        <v>0</v>
      </c>
      <c r="F38" s="10">
        <v>1</v>
      </c>
      <c r="G38" s="3">
        <v>0</v>
      </c>
    </row>
    <row r="39" spans="1:25" x14ac:dyDescent="0.25">
      <c r="A39" s="3" t="s">
        <v>15</v>
      </c>
      <c r="B39" s="6">
        <v>-4.1760232547360499E-2</v>
      </c>
      <c r="D39" s="10">
        <v>5.7971200506894904</v>
      </c>
      <c r="E39" s="10">
        <v>4.5222851684946201</v>
      </c>
      <c r="F39" s="10"/>
      <c r="G39" s="11">
        <v>-0.27417249103342101</v>
      </c>
      <c r="W39" t="s">
        <v>84</v>
      </c>
    </row>
    <row r="40" spans="1:25" x14ac:dyDescent="0.25">
      <c r="A40" s="3" t="s">
        <v>16</v>
      </c>
      <c r="B40" s="6">
        <v>-7.8588218215967606E-2</v>
      </c>
      <c r="C40" s="4">
        <v>6.7271555006068101E-2</v>
      </c>
      <c r="D40" s="10">
        <v>5.7971200506894904</v>
      </c>
      <c r="E40" s="10">
        <v>4.5222851684946201</v>
      </c>
      <c r="F40" s="10">
        <v>1.045397189964473</v>
      </c>
      <c r="G40" s="11">
        <v>-0.27417249103342101</v>
      </c>
      <c r="W40" s="3" t="s">
        <v>73</v>
      </c>
      <c r="X40" s="116">
        <v>6.8212961854365706E-2</v>
      </c>
      <c r="Y40" s="11">
        <v>-0.14571780115724001</v>
      </c>
    </row>
    <row r="41" spans="1:25" x14ac:dyDescent="0.25">
      <c r="H41" s="10"/>
      <c r="W41" s="3" t="s">
        <v>74</v>
      </c>
      <c r="X41" s="116">
        <v>4.9611646415268197E-2</v>
      </c>
      <c r="Y41" s="11">
        <v>0.15611461722769501</v>
      </c>
    </row>
    <row r="42" spans="1:25" ht="27" x14ac:dyDescent="0.25">
      <c r="B42" s="2" t="s">
        <v>33</v>
      </c>
      <c r="C42" s="2" t="s">
        <v>57</v>
      </c>
      <c r="D42" s="2" t="s">
        <v>62</v>
      </c>
      <c r="E42" s="2" t="s">
        <v>65</v>
      </c>
      <c r="F42" s="9" t="s">
        <v>24</v>
      </c>
      <c r="G42" s="9" t="s">
        <v>27</v>
      </c>
      <c r="H42" s="9" t="s">
        <v>70</v>
      </c>
      <c r="W42" s="3" t="s">
        <v>75</v>
      </c>
      <c r="X42" s="116">
        <v>0.107447815904682</v>
      </c>
      <c r="Y42" s="11">
        <v>0.29322882322716898</v>
      </c>
    </row>
    <row r="43" spans="1:25" x14ac:dyDescent="0.25">
      <c r="A43" s="3" t="s">
        <v>8</v>
      </c>
      <c r="B43" s="4">
        <v>0.17369777575697301</v>
      </c>
      <c r="C43" s="4">
        <v>0.13984116014494999</v>
      </c>
      <c r="D43" s="4">
        <v>0.199680501000808</v>
      </c>
      <c r="E43" s="6">
        <v>1.7836570943256701E-2</v>
      </c>
      <c r="F43" s="3">
        <v>2000</v>
      </c>
      <c r="G43" s="10">
        <v>4</v>
      </c>
      <c r="H43" s="10">
        <v>1.1737788669959504</v>
      </c>
      <c r="W43" s="3" t="s">
        <v>77</v>
      </c>
      <c r="X43" s="116">
        <v>9.9852529707758195E-2</v>
      </c>
      <c r="Y43" s="11">
        <v>0.499861288181496</v>
      </c>
    </row>
    <row r="44" spans="1:25" x14ac:dyDescent="0.25">
      <c r="A44" s="3" t="s">
        <v>9</v>
      </c>
      <c r="B44" s="4">
        <v>9.9143945152060597E-2</v>
      </c>
      <c r="C44" s="4">
        <v>8.9326261366187695E-2</v>
      </c>
      <c r="D44" s="4">
        <v>0.12535086320927399</v>
      </c>
      <c r="E44" s="6">
        <v>-0.54160608613664096</v>
      </c>
      <c r="F44" s="3">
        <v>118.5</v>
      </c>
      <c r="G44" s="10">
        <v>1.1385255280790201</v>
      </c>
      <c r="H44" s="10">
        <v>1.0182769682576838</v>
      </c>
      <c r="W44" s="3" t="s">
        <v>78</v>
      </c>
      <c r="X44" s="116">
        <v>5.5815481283492403E-2</v>
      </c>
      <c r="Y44" s="11">
        <v>0.40695810522245701</v>
      </c>
    </row>
    <row r="45" spans="1:25" x14ac:dyDescent="0.25">
      <c r="A45" s="3" t="s">
        <v>10</v>
      </c>
      <c r="B45" s="4">
        <v>0.21234239309632399</v>
      </c>
      <c r="C45" s="4">
        <v>4.6283799610675601E-2</v>
      </c>
      <c r="D45" s="4">
        <v>0.42964915677977999</v>
      </c>
      <c r="E45" s="6">
        <v>-0.17637365181995501</v>
      </c>
      <c r="F45" s="3">
        <v>2060.9499999999998</v>
      </c>
      <c r="G45" s="10">
        <v>0</v>
      </c>
      <c r="H45" s="10">
        <v>1</v>
      </c>
      <c r="W45" s="3" t="s">
        <v>79</v>
      </c>
      <c r="X45" s="116">
        <v>9.5391388976058394E-2</v>
      </c>
      <c r="Y45" s="11">
        <v>5.4056282725128302E-2</v>
      </c>
    </row>
    <row r="46" spans="1:25" x14ac:dyDescent="0.25">
      <c r="A46" s="3" t="s">
        <v>11</v>
      </c>
      <c r="B46" s="4">
        <v>0.14477972148899501</v>
      </c>
      <c r="C46" s="4">
        <v>3.0850994672477702E-2</v>
      </c>
      <c r="D46" s="4">
        <v>0.36758406997509402</v>
      </c>
      <c r="E46" s="4">
        <v>0.41389016217674901</v>
      </c>
      <c r="F46" s="3">
        <v>2060.9499999999998</v>
      </c>
      <c r="G46" s="10">
        <v>0</v>
      </c>
      <c r="H46" s="10">
        <v>1</v>
      </c>
      <c r="W46" s="3" t="s">
        <v>80</v>
      </c>
      <c r="X46" s="116">
        <v>0.115227328160236</v>
      </c>
      <c r="Y46" s="11">
        <v>0.26690920736687102</v>
      </c>
    </row>
    <row r="47" spans="1:25" x14ac:dyDescent="0.25">
      <c r="A47" s="3" t="s">
        <v>16</v>
      </c>
      <c r="B47" s="6">
        <v>-7.8588218215967606E-2</v>
      </c>
      <c r="C47" s="4">
        <v>6.7271555006068101E-2</v>
      </c>
      <c r="D47" s="6">
        <v>-0.161754895727207</v>
      </c>
      <c r="E47" s="4">
        <v>5.9760012226563401E-2</v>
      </c>
      <c r="F47" s="3">
        <v>1130.25</v>
      </c>
      <c r="G47" s="10">
        <v>4.5222851684946201</v>
      </c>
      <c r="H47" s="10">
        <v>1.045397189964473</v>
      </c>
      <c r="W47" s="3" t="s">
        <v>81</v>
      </c>
      <c r="X47" s="116">
        <v>0.157732693122626</v>
      </c>
      <c r="Y47" s="11">
        <v>0.45125668170602201</v>
      </c>
    </row>
    <row r="48" spans="1:25" x14ac:dyDescent="0.25">
      <c r="A48" s="3"/>
      <c r="B48" s="5"/>
      <c r="C48" s="5"/>
      <c r="W48" s="3" t="s">
        <v>82</v>
      </c>
      <c r="X48" s="116">
        <v>0.121156039239802</v>
      </c>
      <c r="Y48" s="11">
        <v>0.51242235468873398</v>
      </c>
    </row>
    <row r="49" spans="1:25" x14ac:dyDescent="0.25">
      <c r="A49" s="3"/>
      <c r="B49" s="5"/>
      <c r="C49" s="5"/>
      <c r="W49" s="3" t="s">
        <v>8</v>
      </c>
      <c r="X49" s="4">
        <v>0.13984116014494999</v>
      </c>
      <c r="Y49" s="11">
        <v>0.30708458237534503</v>
      </c>
    </row>
    <row r="50" spans="1:25" x14ac:dyDescent="0.25">
      <c r="W50" s="3" t="s">
        <v>9</v>
      </c>
      <c r="X50" s="4">
        <v>8.9326261366187695E-2</v>
      </c>
      <c r="Y50" s="11">
        <v>0.49664162355941199</v>
      </c>
    </row>
    <row r="51" spans="1:25" ht="15.75" thickBot="1" x14ac:dyDescent="0.3">
      <c r="A51" s="106" t="s">
        <v>58</v>
      </c>
      <c r="B51" s="107"/>
      <c r="C51" s="107"/>
      <c r="D51" s="107"/>
      <c r="E51" s="107"/>
      <c r="F51" s="108"/>
      <c r="G51" s="30"/>
      <c r="H51" s="30"/>
      <c r="I51" s="31"/>
      <c r="K51" s="106" t="s">
        <v>60</v>
      </c>
      <c r="L51" s="107"/>
      <c r="M51" s="107"/>
      <c r="N51" s="107"/>
      <c r="O51" s="107"/>
      <c r="P51" s="108"/>
      <c r="Q51" s="30"/>
      <c r="R51" s="30"/>
      <c r="S51" s="31"/>
    </row>
    <row r="52" spans="1:25" x14ac:dyDescent="0.25">
      <c r="A52" s="45" t="s">
        <v>34</v>
      </c>
      <c r="B52" s="46"/>
      <c r="C52" s="34"/>
      <c r="D52" s="34"/>
      <c r="E52" s="34"/>
      <c r="F52" s="34"/>
      <c r="G52" s="34"/>
      <c r="H52" s="34"/>
      <c r="I52" s="35"/>
      <c r="K52" s="32" t="s">
        <v>34</v>
      </c>
      <c r="L52" s="33"/>
      <c r="M52" s="34"/>
      <c r="N52" s="34"/>
      <c r="O52" s="34"/>
      <c r="P52" s="34"/>
      <c r="Q52" s="34"/>
      <c r="R52" s="34"/>
      <c r="S52" s="35"/>
      <c r="W52" s="3"/>
      <c r="X52" s="4"/>
      <c r="Y52" s="3"/>
    </row>
    <row r="53" spans="1:25" x14ac:dyDescent="0.25">
      <c r="A53" s="36" t="s">
        <v>35</v>
      </c>
      <c r="B53" s="62">
        <v>0.97755658597168149</v>
      </c>
      <c r="C53" s="34"/>
      <c r="D53" s="34"/>
      <c r="E53" s="34"/>
      <c r="F53" s="34"/>
      <c r="G53" s="34"/>
      <c r="H53" s="34"/>
      <c r="I53" s="35"/>
      <c r="K53" s="36" t="s">
        <v>35</v>
      </c>
      <c r="L53" s="62">
        <v>0.97241921194307168</v>
      </c>
      <c r="M53" s="34"/>
      <c r="N53" s="34"/>
      <c r="O53" s="34"/>
      <c r="P53" s="34"/>
      <c r="Q53" s="34"/>
      <c r="R53" s="34"/>
      <c r="S53" s="35"/>
    </row>
    <row r="54" spans="1:25" ht="17.25" customHeight="1" x14ac:dyDescent="0.25">
      <c r="A54" s="36" t="s">
        <v>36</v>
      </c>
      <c r="B54" s="62">
        <v>0.95561687877660961</v>
      </c>
      <c r="C54" s="34"/>
      <c r="D54" s="34"/>
      <c r="E54" s="34"/>
      <c r="F54" s="34"/>
      <c r="G54" s="34"/>
      <c r="H54" s="34"/>
      <c r="I54" s="35"/>
      <c r="K54" s="36" t="s">
        <v>36</v>
      </c>
      <c r="L54" s="62">
        <v>0.94559912375598454</v>
      </c>
      <c r="M54" s="34"/>
      <c r="N54" s="34"/>
      <c r="O54" s="34"/>
      <c r="P54" s="34"/>
      <c r="Q54" s="34"/>
      <c r="R54" s="34"/>
      <c r="S54" s="35"/>
    </row>
    <row r="55" spans="1:25" ht="17.25" customHeight="1" x14ac:dyDescent="0.25">
      <c r="A55" s="36" t="s">
        <v>37</v>
      </c>
      <c r="B55" s="64">
        <v>0.82246751510643845</v>
      </c>
      <c r="C55" s="34"/>
      <c r="D55" s="34"/>
      <c r="E55" s="34"/>
      <c r="F55" s="34"/>
      <c r="G55" s="34"/>
      <c r="H55" s="34"/>
      <c r="I55" s="35"/>
      <c r="K55" s="36" t="s">
        <v>37</v>
      </c>
      <c r="L55" s="62">
        <v>0.89119824751196908</v>
      </c>
      <c r="M55" s="34"/>
      <c r="N55" s="34"/>
      <c r="O55" s="34"/>
      <c r="P55" s="34"/>
      <c r="Q55" s="34"/>
      <c r="R55" s="34"/>
      <c r="S55" s="35"/>
      <c r="V55" s="3"/>
      <c r="W55" s="116"/>
      <c r="X55" s="11"/>
    </row>
    <row r="56" spans="1:25" x14ac:dyDescent="0.25">
      <c r="A56" s="36" t="s">
        <v>38</v>
      </c>
      <c r="B56" s="34">
        <v>4.7774023248622149E-2</v>
      </c>
      <c r="C56" s="34"/>
      <c r="D56" s="34"/>
      <c r="E56" s="34"/>
      <c r="F56" s="34"/>
      <c r="G56" s="34"/>
      <c r="H56" s="34"/>
      <c r="I56" s="35"/>
      <c r="K56" s="36" t="s">
        <v>38</v>
      </c>
      <c r="L56" s="34">
        <v>3.7399934875677832E-2</v>
      </c>
      <c r="M56" s="34"/>
      <c r="N56" s="34"/>
      <c r="O56" s="34"/>
      <c r="P56" s="34"/>
      <c r="Q56" s="34"/>
      <c r="R56" s="34"/>
      <c r="S56" s="35"/>
      <c r="V56" s="3"/>
      <c r="W56" s="116"/>
      <c r="X56" s="11"/>
    </row>
    <row r="57" spans="1:25" ht="15.75" thickBot="1" x14ac:dyDescent="0.3">
      <c r="A57" s="37" t="s">
        <v>39</v>
      </c>
      <c r="B57" s="38">
        <v>5</v>
      </c>
      <c r="C57" s="34"/>
      <c r="D57" s="34"/>
      <c r="E57" s="34"/>
      <c r="F57" s="34"/>
      <c r="G57" s="34"/>
      <c r="H57" s="34"/>
      <c r="I57" s="35"/>
      <c r="K57" s="37" t="s">
        <v>39</v>
      </c>
      <c r="L57" s="38">
        <v>5</v>
      </c>
      <c r="M57" s="34"/>
      <c r="N57" s="34"/>
      <c r="O57" s="34"/>
      <c r="P57" s="34"/>
      <c r="Q57" s="34"/>
      <c r="R57" s="34"/>
      <c r="S57" s="35"/>
    </row>
    <row r="58" spans="1:25" x14ac:dyDescent="0.25">
      <c r="A58" s="36"/>
      <c r="B58" s="34"/>
      <c r="C58" s="34"/>
      <c r="D58" s="34"/>
      <c r="E58" s="34"/>
      <c r="F58" s="34"/>
      <c r="G58" s="34"/>
      <c r="H58" s="34"/>
      <c r="I58" s="35"/>
      <c r="K58" s="36"/>
      <c r="L58" s="34"/>
      <c r="M58" s="34"/>
      <c r="N58" s="34"/>
      <c r="O58" s="34"/>
      <c r="P58" s="34"/>
      <c r="Q58" s="34"/>
      <c r="R58" s="34"/>
      <c r="S58" s="35"/>
    </row>
    <row r="59" spans="1:25" ht="15.75" thickBot="1" x14ac:dyDescent="0.3">
      <c r="A59" s="36" t="s">
        <v>40</v>
      </c>
      <c r="B59" s="34"/>
      <c r="C59" s="34"/>
      <c r="D59" s="34"/>
      <c r="E59" s="34"/>
      <c r="F59" s="34"/>
      <c r="G59" s="34"/>
      <c r="H59" s="34"/>
      <c r="I59" s="35"/>
      <c r="K59" s="36" t="s">
        <v>40</v>
      </c>
      <c r="L59" s="34"/>
      <c r="M59" s="34"/>
      <c r="N59" s="34"/>
      <c r="O59" s="34"/>
      <c r="P59" s="34"/>
      <c r="Q59" s="34"/>
      <c r="R59" s="34"/>
      <c r="S59" s="35"/>
    </row>
    <row r="60" spans="1:25" x14ac:dyDescent="0.25">
      <c r="A60" s="39"/>
      <c r="B60" s="40" t="s">
        <v>45</v>
      </c>
      <c r="C60" s="40" t="s">
        <v>46</v>
      </c>
      <c r="D60" s="40" t="s">
        <v>47</v>
      </c>
      <c r="E60" s="40" t="s">
        <v>48</v>
      </c>
      <c r="F60" s="40" t="s">
        <v>49</v>
      </c>
      <c r="G60" s="34"/>
      <c r="H60" s="34"/>
      <c r="I60" s="35"/>
      <c r="K60" s="39"/>
      <c r="L60" s="40" t="s">
        <v>45</v>
      </c>
      <c r="M60" s="40" t="s">
        <v>46</v>
      </c>
      <c r="N60" s="40" t="s">
        <v>47</v>
      </c>
      <c r="O60" s="40" t="s">
        <v>48</v>
      </c>
      <c r="P60" s="40" t="s">
        <v>49</v>
      </c>
      <c r="Q60" s="34"/>
      <c r="R60" s="34"/>
      <c r="S60" s="35"/>
    </row>
    <row r="61" spans="1:25" x14ac:dyDescent="0.25">
      <c r="A61" s="36" t="s">
        <v>41</v>
      </c>
      <c r="B61" s="34">
        <v>3</v>
      </c>
      <c r="C61" s="34">
        <v>4.9141635302715855E-2</v>
      </c>
      <c r="D61" s="34">
        <v>1.6380545100905284E-2</v>
      </c>
      <c r="E61" s="34">
        <v>7.1770292582381527</v>
      </c>
      <c r="F61" s="34">
        <v>0.26623959505368427</v>
      </c>
      <c r="G61" s="34"/>
      <c r="H61" s="34"/>
      <c r="I61" s="35"/>
      <c r="K61" s="36" t="s">
        <v>41</v>
      </c>
      <c r="L61" s="34">
        <v>2</v>
      </c>
      <c r="M61" s="34">
        <v>4.862648234266586E-2</v>
      </c>
      <c r="N61" s="34">
        <v>2.431324117133293E-2</v>
      </c>
      <c r="O61" s="34">
        <v>17.38205685354211</v>
      </c>
      <c r="P61" s="34">
        <v>5.4400876244015427E-2</v>
      </c>
      <c r="Q61" s="34"/>
      <c r="R61" s="34"/>
      <c r="S61" s="35"/>
    </row>
    <row r="62" spans="1:25" x14ac:dyDescent="0.25">
      <c r="A62" s="36" t="s">
        <v>42</v>
      </c>
      <c r="B62" s="34">
        <v>1</v>
      </c>
      <c r="C62" s="34">
        <v>2.2823572973598898E-3</v>
      </c>
      <c r="D62" s="34">
        <v>2.2823572973598898E-3</v>
      </c>
      <c r="E62" s="34"/>
      <c r="F62" s="34"/>
      <c r="G62" s="34"/>
      <c r="H62" s="34"/>
      <c r="I62" s="35"/>
      <c r="K62" s="36" t="s">
        <v>42</v>
      </c>
      <c r="L62" s="34">
        <v>2</v>
      </c>
      <c r="M62" s="34">
        <v>2.797510257409886E-3</v>
      </c>
      <c r="N62" s="34">
        <v>1.398755128704943E-3</v>
      </c>
      <c r="O62" s="34"/>
      <c r="P62" s="34"/>
      <c r="Q62" s="34"/>
      <c r="R62" s="34"/>
      <c r="S62" s="35"/>
    </row>
    <row r="63" spans="1:25" ht="15.75" thickBot="1" x14ac:dyDescent="0.3">
      <c r="A63" s="37" t="s">
        <v>43</v>
      </c>
      <c r="B63" s="38">
        <v>4</v>
      </c>
      <c r="C63" s="38">
        <v>5.1423992600075748E-2</v>
      </c>
      <c r="D63" s="38"/>
      <c r="E63" s="38"/>
      <c r="F63" s="38"/>
      <c r="G63" s="34"/>
      <c r="H63" s="34"/>
      <c r="I63" s="35"/>
      <c r="K63" s="37" t="s">
        <v>43</v>
      </c>
      <c r="L63" s="38">
        <v>4</v>
      </c>
      <c r="M63" s="38">
        <v>5.1423992600075748E-2</v>
      </c>
      <c r="N63" s="38"/>
      <c r="O63" s="38"/>
      <c r="P63" s="38"/>
      <c r="Q63" s="34"/>
      <c r="R63" s="34"/>
      <c r="S63" s="35"/>
    </row>
    <row r="64" spans="1:25" ht="15.75" thickBot="1" x14ac:dyDescent="0.3">
      <c r="A64" s="36"/>
      <c r="B64" s="34"/>
      <c r="C64" s="34"/>
      <c r="D64" s="34"/>
      <c r="E64" s="34"/>
      <c r="F64" s="34"/>
      <c r="G64" s="34"/>
      <c r="H64" s="34"/>
      <c r="I64" s="35"/>
      <c r="K64" s="36"/>
      <c r="L64" s="34"/>
      <c r="M64" s="34"/>
      <c r="N64" s="34"/>
      <c r="O64" s="34"/>
      <c r="P64" s="34"/>
      <c r="Q64" s="34"/>
      <c r="R64" s="34"/>
      <c r="S64" s="35"/>
    </row>
    <row r="65" spans="1:19" x14ac:dyDescent="0.25">
      <c r="A65" s="39"/>
      <c r="B65" s="40" t="s">
        <v>50</v>
      </c>
      <c r="C65" s="40" t="s">
        <v>38</v>
      </c>
      <c r="D65" s="40" t="s">
        <v>51</v>
      </c>
      <c r="E65" s="40" t="s">
        <v>52</v>
      </c>
      <c r="F65" s="40" t="s">
        <v>53</v>
      </c>
      <c r="G65" s="40" t="s">
        <v>54</v>
      </c>
      <c r="H65" s="40" t="s">
        <v>55</v>
      </c>
      <c r="I65" s="41" t="s">
        <v>56</v>
      </c>
      <c r="K65" s="39"/>
      <c r="L65" s="40" t="s">
        <v>50</v>
      </c>
      <c r="M65" s="40" t="s">
        <v>38</v>
      </c>
      <c r="N65" s="40" t="s">
        <v>51</v>
      </c>
      <c r="O65" s="40" t="s">
        <v>52</v>
      </c>
      <c r="P65" s="40" t="s">
        <v>53</v>
      </c>
      <c r="Q65" s="40" t="s">
        <v>54</v>
      </c>
      <c r="R65" s="40" t="s">
        <v>55</v>
      </c>
      <c r="S65" s="41" t="s">
        <v>56</v>
      </c>
    </row>
    <row r="66" spans="1:19" x14ac:dyDescent="0.25">
      <c r="A66" s="36" t="s">
        <v>44</v>
      </c>
      <c r="B66" s="34">
        <v>-1.4328098063195889</v>
      </c>
      <c r="C66" s="34">
        <v>0.51073030012825582</v>
      </c>
      <c r="D66" s="34">
        <v>-2.8054137496047877</v>
      </c>
      <c r="E66" s="34">
        <v>0.21798661474500045</v>
      </c>
      <c r="F66" s="34">
        <v>-7.9222535647171624</v>
      </c>
      <c r="G66" s="34">
        <v>5.0566339520779851</v>
      </c>
      <c r="H66" s="34">
        <v>-7.9222535647171624</v>
      </c>
      <c r="I66" s="35">
        <v>5.0566339520779851</v>
      </c>
      <c r="K66" s="36" t="s">
        <v>44</v>
      </c>
      <c r="L66" s="34">
        <v>-1.5202832521950456</v>
      </c>
      <c r="M66" s="34">
        <v>0.37294066766258355</v>
      </c>
      <c r="N66" s="34">
        <v>-4.0764748498024233</v>
      </c>
      <c r="O66" s="66">
        <v>5.5238103903818891E-2</v>
      </c>
      <c r="P66" s="34">
        <v>-3.1249174339480481</v>
      </c>
      <c r="Q66" s="34">
        <v>8.4350929557956977E-2</v>
      </c>
      <c r="R66" s="34">
        <v>-3.1249174339480481</v>
      </c>
      <c r="S66" s="35">
        <v>8.4350929557956977E-2</v>
      </c>
    </row>
    <row r="67" spans="1:19" x14ac:dyDescent="0.25">
      <c r="A67" s="36" t="s">
        <v>24</v>
      </c>
      <c r="B67" s="34">
        <v>1.4929225959001575E-5</v>
      </c>
      <c r="C67" s="34">
        <v>3.1423966856174936E-5</v>
      </c>
      <c r="D67" s="34">
        <v>0.47509043105001625</v>
      </c>
      <c r="E67" s="34">
        <v>0.71764505054619276</v>
      </c>
      <c r="F67" s="34">
        <v>-3.8435013053832542E-4</v>
      </c>
      <c r="G67" s="34">
        <v>4.1420858245632856E-4</v>
      </c>
      <c r="H67" s="34">
        <v>-3.8435013053832542E-4</v>
      </c>
      <c r="I67" s="35">
        <v>4.1420858245632856E-4</v>
      </c>
      <c r="K67" s="36" t="s">
        <v>27</v>
      </c>
      <c r="L67" s="34">
        <v>-7.3123632053878201E-2</v>
      </c>
      <c r="M67" s="34">
        <v>1.243225194439678E-2</v>
      </c>
      <c r="N67" s="34">
        <v>-5.8817688364846124</v>
      </c>
      <c r="O67" s="66">
        <v>2.77099040292921E-2</v>
      </c>
      <c r="P67" s="34">
        <v>-0.12661529481937009</v>
      </c>
      <c r="Q67" s="34">
        <v>-1.9631969288386321E-2</v>
      </c>
      <c r="R67" s="34">
        <v>-0.12661529481937009</v>
      </c>
      <c r="S67" s="35">
        <v>-1.9631969288386321E-2</v>
      </c>
    </row>
    <row r="68" spans="1:19" x14ac:dyDescent="0.25">
      <c r="A68" s="36" t="s">
        <v>27</v>
      </c>
      <c r="B68" s="34">
        <v>-6.965716313865844E-2</v>
      </c>
      <c r="C68" s="34">
        <v>1.7476726989373994E-2</v>
      </c>
      <c r="D68" s="34">
        <v>-3.9857098632375854</v>
      </c>
      <c r="E68" s="34">
        <v>0.15649520625793062</v>
      </c>
      <c r="F68" s="34">
        <v>-0.29172003438387462</v>
      </c>
      <c r="G68" s="34">
        <v>0.15240570810655774</v>
      </c>
      <c r="H68" s="34">
        <v>-0.29172003438387462</v>
      </c>
      <c r="I68" s="35">
        <v>0.15240570810655774</v>
      </c>
      <c r="K68" s="42" t="s">
        <v>26</v>
      </c>
      <c r="L68" s="43">
        <v>1.6915140627162193</v>
      </c>
      <c r="M68" s="43">
        <v>0.37195060058187362</v>
      </c>
      <c r="N68" s="43">
        <v>4.5476847196107268</v>
      </c>
      <c r="O68" s="67">
        <v>4.5106203431118937E-2</v>
      </c>
      <c r="P68" s="43">
        <v>9.1139795790668332E-2</v>
      </c>
      <c r="Q68" s="43">
        <v>3.29188832964177</v>
      </c>
      <c r="R68" s="43">
        <v>9.1139795790668332E-2</v>
      </c>
      <c r="S68" s="44">
        <v>3.29188832964177</v>
      </c>
    </row>
    <row r="69" spans="1:19" x14ac:dyDescent="0.25">
      <c r="A69" s="42" t="s">
        <v>26</v>
      </c>
      <c r="B69" s="43">
        <v>1.580602475372044</v>
      </c>
      <c r="C69" s="43">
        <v>0.52937949681464858</v>
      </c>
      <c r="D69" s="43">
        <v>2.9857644372000673</v>
      </c>
      <c r="E69" s="43">
        <v>0.20574291510759737</v>
      </c>
      <c r="F69" s="43">
        <v>-5.145801794288027</v>
      </c>
      <c r="G69" s="43">
        <v>8.3070067450321154</v>
      </c>
      <c r="H69" s="43">
        <v>-5.145801794288027</v>
      </c>
      <c r="I69" s="44">
        <v>8.3070067450321154</v>
      </c>
    </row>
    <row r="72" spans="1:19" ht="15.75" thickBot="1" x14ac:dyDescent="0.3">
      <c r="A72" s="109" t="s">
        <v>59</v>
      </c>
      <c r="B72" s="110"/>
      <c r="C72" s="110"/>
      <c r="D72" s="110"/>
      <c r="E72" s="110"/>
      <c r="F72" s="111"/>
      <c r="G72" s="47"/>
      <c r="H72" s="47"/>
      <c r="I72" s="48"/>
      <c r="K72" s="109" t="s">
        <v>61</v>
      </c>
      <c r="L72" s="110"/>
      <c r="M72" s="110"/>
      <c r="N72" s="110"/>
      <c r="O72" s="110"/>
      <c r="P72" s="111"/>
      <c r="Q72" s="47"/>
      <c r="R72" s="47"/>
      <c r="S72" s="48"/>
    </row>
    <row r="73" spans="1:19" x14ac:dyDescent="0.25">
      <c r="A73" s="49" t="s">
        <v>34</v>
      </c>
      <c r="B73" s="50"/>
      <c r="C73" s="51"/>
      <c r="D73" s="51"/>
      <c r="E73" s="51"/>
      <c r="F73" s="51"/>
      <c r="G73" s="51"/>
      <c r="H73" s="51"/>
      <c r="I73" s="52"/>
      <c r="K73" s="49" t="s">
        <v>34</v>
      </c>
      <c r="L73" s="50"/>
      <c r="M73" s="51"/>
      <c r="N73" s="51"/>
      <c r="O73" s="51"/>
      <c r="P73" s="51"/>
      <c r="Q73" s="51"/>
      <c r="R73" s="51"/>
      <c r="S73" s="52"/>
    </row>
    <row r="74" spans="1:19" x14ac:dyDescent="0.25">
      <c r="A74" s="63" t="s">
        <v>35</v>
      </c>
      <c r="B74" s="64">
        <v>0.99174483304281391</v>
      </c>
      <c r="C74" s="51"/>
      <c r="D74" s="51"/>
      <c r="E74" s="51"/>
      <c r="F74" s="51"/>
      <c r="G74" s="51"/>
      <c r="H74" s="51"/>
      <c r="I74" s="52"/>
      <c r="K74" s="53" t="s">
        <v>35</v>
      </c>
      <c r="L74" s="62">
        <v>0.9051324063422912</v>
      </c>
      <c r="M74" s="51"/>
      <c r="N74" s="51"/>
      <c r="O74" s="51"/>
      <c r="P74" s="51"/>
      <c r="Q74" s="51"/>
      <c r="R74" s="51"/>
      <c r="S74" s="52"/>
    </row>
    <row r="75" spans="1:19" x14ac:dyDescent="0.25">
      <c r="A75" s="63" t="s">
        <v>36</v>
      </c>
      <c r="B75" s="64">
        <v>0.98355781386711894</v>
      </c>
      <c r="C75" s="51"/>
      <c r="D75" s="51"/>
      <c r="E75" s="51"/>
      <c r="F75" s="51"/>
      <c r="G75" s="51"/>
      <c r="H75" s="51"/>
      <c r="I75" s="52"/>
      <c r="K75" s="53" t="s">
        <v>36</v>
      </c>
      <c r="L75" s="62">
        <v>0.81926467301098649</v>
      </c>
      <c r="M75" s="51"/>
      <c r="N75" s="51"/>
      <c r="O75" s="51"/>
      <c r="P75" s="51"/>
      <c r="Q75" s="51"/>
      <c r="R75" s="51"/>
      <c r="S75" s="52"/>
    </row>
    <row r="76" spans="1:19" x14ac:dyDescent="0.25">
      <c r="A76" s="63" t="s">
        <v>37</v>
      </c>
      <c r="B76" s="64">
        <v>0.93423125546847574</v>
      </c>
      <c r="C76" s="51"/>
      <c r="D76" s="51"/>
      <c r="E76" s="51"/>
      <c r="F76" s="51"/>
      <c r="G76" s="51"/>
      <c r="H76" s="51"/>
      <c r="I76" s="52"/>
      <c r="K76" s="53" t="s">
        <v>37</v>
      </c>
      <c r="L76" s="64">
        <v>0.63852934602197298</v>
      </c>
      <c r="M76" s="51"/>
      <c r="N76" s="51"/>
      <c r="O76" s="51"/>
      <c r="P76" s="51"/>
      <c r="Q76" s="51"/>
      <c r="R76" s="51"/>
      <c r="S76" s="52"/>
    </row>
    <row r="77" spans="1:19" x14ac:dyDescent="0.25">
      <c r="A77" s="53" t="s">
        <v>38</v>
      </c>
      <c r="B77" s="51">
        <v>1.0912641024528977E-2</v>
      </c>
      <c r="C77" s="51"/>
      <c r="D77" s="51"/>
      <c r="E77" s="51"/>
      <c r="F77" s="51"/>
      <c r="G77" s="51"/>
      <c r="H77" s="51"/>
      <c r="I77" s="52"/>
      <c r="K77" s="53" t="s">
        <v>38</v>
      </c>
      <c r="L77" s="62">
        <v>2.5583303073969183E-2</v>
      </c>
      <c r="M77" s="51"/>
      <c r="N77" s="51"/>
      <c r="O77" s="51"/>
      <c r="P77" s="51"/>
      <c r="Q77" s="51"/>
      <c r="R77" s="51"/>
      <c r="S77" s="52"/>
    </row>
    <row r="78" spans="1:19" ht="15.75" thickBot="1" x14ac:dyDescent="0.3">
      <c r="A78" s="54" t="s">
        <v>39</v>
      </c>
      <c r="B78" s="55">
        <v>5</v>
      </c>
      <c r="C78" s="51"/>
      <c r="D78" s="51"/>
      <c r="E78" s="51"/>
      <c r="F78" s="51"/>
      <c r="G78" s="51"/>
      <c r="H78" s="51"/>
      <c r="I78" s="52"/>
      <c r="K78" s="54" t="s">
        <v>39</v>
      </c>
      <c r="L78" s="55">
        <v>5</v>
      </c>
      <c r="M78" s="51"/>
      <c r="N78" s="51"/>
      <c r="O78" s="51"/>
      <c r="P78" s="51"/>
      <c r="Q78" s="51"/>
      <c r="R78" s="51"/>
      <c r="S78" s="52"/>
    </row>
    <row r="79" spans="1:19" x14ac:dyDescent="0.25">
      <c r="A79" s="53"/>
      <c r="B79" s="51"/>
      <c r="C79" s="51"/>
      <c r="D79" s="51"/>
      <c r="E79" s="51"/>
      <c r="F79" s="51"/>
      <c r="G79" s="51"/>
      <c r="H79" s="51"/>
      <c r="I79" s="52"/>
      <c r="K79" s="53"/>
      <c r="L79" s="51"/>
      <c r="M79" s="51"/>
      <c r="N79" s="51"/>
      <c r="O79" s="51"/>
      <c r="P79" s="51"/>
      <c r="Q79" s="51"/>
      <c r="R79" s="51"/>
      <c r="S79" s="52"/>
    </row>
    <row r="80" spans="1:19" ht="15.75" thickBot="1" x14ac:dyDescent="0.3">
      <c r="A80" s="53" t="s">
        <v>40</v>
      </c>
      <c r="B80" s="51"/>
      <c r="C80" s="51"/>
      <c r="D80" s="51"/>
      <c r="E80" s="51"/>
      <c r="F80" s="51"/>
      <c r="G80" s="51"/>
      <c r="H80" s="51"/>
      <c r="I80" s="52"/>
      <c r="K80" s="53" t="s">
        <v>40</v>
      </c>
      <c r="L80" s="51"/>
      <c r="M80" s="51"/>
      <c r="N80" s="51"/>
      <c r="O80" s="51"/>
      <c r="P80" s="51"/>
      <c r="Q80" s="51"/>
      <c r="R80" s="51"/>
      <c r="S80" s="52"/>
    </row>
    <row r="81" spans="1:19" x14ac:dyDescent="0.25">
      <c r="A81" s="56"/>
      <c r="B81" s="57" t="s">
        <v>45</v>
      </c>
      <c r="C81" s="57" t="s">
        <v>46</v>
      </c>
      <c r="D81" s="57" t="s">
        <v>47</v>
      </c>
      <c r="E81" s="57" t="s">
        <v>48</v>
      </c>
      <c r="F81" s="57" t="s">
        <v>49</v>
      </c>
      <c r="G81" s="51"/>
      <c r="H81" s="51"/>
      <c r="I81" s="52"/>
      <c r="K81" s="56"/>
      <c r="L81" s="57" t="s">
        <v>45</v>
      </c>
      <c r="M81" s="57" t="s">
        <v>46</v>
      </c>
      <c r="N81" s="57" t="s">
        <v>47</v>
      </c>
      <c r="O81" s="57" t="s">
        <v>48</v>
      </c>
      <c r="P81" s="57" t="s">
        <v>49</v>
      </c>
      <c r="Q81" s="51"/>
      <c r="R81" s="51"/>
      <c r="S81" s="52"/>
    </row>
    <row r="82" spans="1:19" x14ac:dyDescent="0.25">
      <c r="A82" s="53" t="s">
        <v>41</v>
      </c>
      <c r="B82" s="51">
        <v>3</v>
      </c>
      <c r="C82" s="51">
        <v>7.1236089518328166E-3</v>
      </c>
      <c r="D82" s="51">
        <v>2.3745363172776057E-3</v>
      </c>
      <c r="E82" s="51">
        <v>19.939721030571128</v>
      </c>
      <c r="F82" s="51">
        <v>0.16281528705727075</v>
      </c>
      <c r="G82" s="51"/>
      <c r="H82" s="51"/>
      <c r="I82" s="52"/>
      <c r="K82" s="53" t="s">
        <v>41</v>
      </c>
      <c r="L82" s="51">
        <v>2</v>
      </c>
      <c r="M82" s="51">
        <v>5.9336838936139271E-3</v>
      </c>
      <c r="N82" s="51">
        <v>2.9668419468069636E-3</v>
      </c>
      <c r="O82" s="51">
        <v>4.5329526145200596</v>
      </c>
      <c r="P82" s="51">
        <v>0.18073532698901348</v>
      </c>
      <c r="Q82" s="51"/>
      <c r="R82" s="51"/>
      <c r="S82" s="52"/>
    </row>
    <row r="83" spans="1:19" x14ac:dyDescent="0.25">
      <c r="A83" s="53" t="s">
        <v>42</v>
      </c>
      <c r="B83" s="51">
        <v>1</v>
      </c>
      <c r="C83" s="51">
        <v>1.1908573413023283E-4</v>
      </c>
      <c r="D83" s="51">
        <v>1.1908573413023283E-4</v>
      </c>
      <c r="E83" s="51"/>
      <c r="F83" s="51"/>
      <c r="G83" s="51"/>
      <c r="H83" s="51"/>
      <c r="I83" s="52"/>
      <c r="K83" s="53" t="s">
        <v>42</v>
      </c>
      <c r="L83" s="51">
        <v>2</v>
      </c>
      <c r="M83" s="51">
        <v>1.3090107923491221E-3</v>
      </c>
      <c r="N83" s="51">
        <v>6.5450539617456103E-4</v>
      </c>
      <c r="O83" s="51"/>
      <c r="P83" s="51"/>
      <c r="Q83" s="51"/>
      <c r="R83" s="51"/>
      <c r="S83" s="52"/>
    </row>
    <row r="84" spans="1:19" ht="15.75" thickBot="1" x14ac:dyDescent="0.3">
      <c r="A84" s="54" t="s">
        <v>43</v>
      </c>
      <c r="B84" s="55">
        <v>4</v>
      </c>
      <c r="C84" s="55">
        <v>7.2426946859630494E-3</v>
      </c>
      <c r="D84" s="55"/>
      <c r="E84" s="55"/>
      <c r="F84" s="55"/>
      <c r="G84" s="51"/>
      <c r="H84" s="51"/>
      <c r="I84" s="52"/>
      <c r="K84" s="54" t="s">
        <v>43</v>
      </c>
      <c r="L84" s="55">
        <v>4</v>
      </c>
      <c r="M84" s="55">
        <v>7.2426946859630494E-3</v>
      </c>
      <c r="N84" s="55"/>
      <c r="O84" s="55"/>
      <c r="P84" s="55"/>
      <c r="Q84" s="51"/>
      <c r="R84" s="51"/>
      <c r="S84" s="52"/>
    </row>
    <row r="85" spans="1:19" ht="15.75" thickBot="1" x14ac:dyDescent="0.3">
      <c r="A85" s="53"/>
      <c r="B85" s="51"/>
      <c r="C85" s="51"/>
      <c r="D85" s="51"/>
      <c r="E85" s="51"/>
      <c r="F85" s="51"/>
      <c r="G85" s="51"/>
      <c r="H85" s="51"/>
      <c r="I85" s="52"/>
      <c r="K85" s="53"/>
      <c r="L85" s="51"/>
      <c r="M85" s="51"/>
      <c r="N85" s="51"/>
      <c r="O85" s="51"/>
      <c r="P85" s="51"/>
      <c r="Q85" s="51"/>
      <c r="R85" s="51"/>
      <c r="S85" s="52"/>
    </row>
    <row r="86" spans="1:19" x14ac:dyDescent="0.25">
      <c r="A86" s="56"/>
      <c r="B86" s="57" t="s">
        <v>50</v>
      </c>
      <c r="C86" s="57" t="s">
        <v>38</v>
      </c>
      <c r="D86" s="57" t="s">
        <v>51</v>
      </c>
      <c r="E86" s="57" t="s">
        <v>52</v>
      </c>
      <c r="F86" s="57" t="s">
        <v>53</v>
      </c>
      <c r="G86" s="57" t="s">
        <v>54</v>
      </c>
      <c r="H86" s="57" t="s">
        <v>55</v>
      </c>
      <c r="I86" s="58" t="s">
        <v>56</v>
      </c>
      <c r="K86" s="56"/>
      <c r="L86" s="57" t="s">
        <v>50</v>
      </c>
      <c r="M86" s="57" t="s">
        <v>38</v>
      </c>
      <c r="N86" s="57" t="s">
        <v>51</v>
      </c>
      <c r="O86" s="57" t="s">
        <v>52</v>
      </c>
      <c r="P86" s="57" t="s">
        <v>53</v>
      </c>
      <c r="Q86" s="57" t="s">
        <v>54</v>
      </c>
      <c r="R86" s="57" t="s">
        <v>55</v>
      </c>
      <c r="S86" s="58" t="s">
        <v>56</v>
      </c>
    </row>
    <row r="87" spans="1:19" x14ac:dyDescent="0.25">
      <c r="A87" s="53" t="s">
        <v>44</v>
      </c>
      <c r="B87" s="51">
        <v>-0.61199808073916095</v>
      </c>
      <c r="C87" s="51">
        <v>0.11666206960725968</v>
      </c>
      <c r="D87" s="51">
        <v>-5.2459045412055447</v>
      </c>
      <c r="E87" s="51">
        <v>0.11991688290533765</v>
      </c>
      <c r="F87" s="51">
        <v>-2.0943302221148672</v>
      </c>
      <c r="G87" s="51">
        <v>0.87033406063654528</v>
      </c>
      <c r="H87" s="51">
        <v>-2.0943302221148672</v>
      </c>
      <c r="I87" s="52">
        <v>0.87033406063654528</v>
      </c>
      <c r="K87" s="53" t="s">
        <v>44</v>
      </c>
      <c r="L87" s="51">
        <v>-0.47905432596660286</v>
      </c>
      <c r="M87" s="51">
        <v>0.25510884340135825</v>
      </c>
      <c r="N87" s="51">
        <v>-1.8778428829804035</v>
      </c>
      <c r="O87" s="64">
        <v>0.20119226083236808</v>
      </c>
      <c r="P87" s="51">
        <v>-1.5766990874106854</v>
      </c>
      <c r="Q87" s="51">
        <v>0.61859043547747961</v>
      </c>
      <c r="R87" s="51">
        <v>-1.5766990874106854</v>
      </c>
      <c r="S87" s="52">
        <v>0.61859043547747961</v>
      </c>
    </row>
    <row r="88" spans="1:19" x14ac:dyDescent="0.25">
      <c r="A88" s="53" t="s">
        <v>24</v>
      </c>
      <c r="B88" s="51">
        <v>-2.2689712689076966E-5</v>
      </c>
      <c r="C88" s="51">
        <v>7.1779273870978322E-6</v>
      </c>
      <c r="D88" s="51">
        <v>-3.1610395961738522</v>
      </c>
      <c r="E88" s="51">
        <v>0.19505390691861368</v>
      </c>
      <c r="F88" s="51">
        <v>-1.1389392765093758E-4</v>
      </c>
      <c r="G88" s="51">
        <v>6.8514502272783642E-5</v>
      </c>
      <c r="H88" s="51">
        <v>-1.1389392765093758E-4</v>
      </c>
      <c r="I88" s="52">
        <v>6.8514502272783642E-5</v>
      </c>
      <c r="K88" s="53" t="s">
        <v>27</v>
      </c>
      <c r="L88" s="51">
        <v>-5.4100962087400158E-5</v>
      </c>
      <c r="M88" s="51">
        <v>8.5042412625238838E-3</v>
      </c>
      <c r="N88" s="51">
        <v>-6.3616447860916055E-3</v>
      </c>
      <c r="O88" s="64">
        <v>0.99550168334432487</v>
      </c>
      <c r="P88" s="51">
        <v>-3.6644897844733813E-2</v>
      </c>
      <c r="Q88" s="51">
        <v>3.6536695920559019E-2</v>
      </c>
      <c r="R88" s="51">
        <v>-3.6644897844733813E-2</v>
      </c>
      <c r="S88" s="52">
        <v>3.6536695920559019E-2</v>
      </c>
    </row>
    <row r="89" spans="1:19" x14ac:dyDescent="0.25">
      <c r="A89" s="53" t="s">
        <v>27</v>
      </c>
      <c r="B89" s="51">
        <v>-5.322504290428012E-3</v>
      </c>
      <c r="C89" s="51">
        <v>3.9920700613012726E-3</v>
      </c>
      <c r="D89" s="51">
        <v>-1.3332692584791623</v>
      </c>
      <c r="E89" s="51">
        <v>0.40968021472479282</v>
      </c>
      <c r="F89" s="51">
        <v>-5.6046563810475493E-2</v>
      </c>
      <c r="G89" s="51">
        <v>4.5401555229619465E-2</v>
      </c>
      <c r="H89" s="51">
        <v>-5.6046563810475493E-2</v>
      </c>
      <c r="I89" s="52">
        <v>4.5401555229619465E-2</v>
      </c>
      <c r="K89" s="59" t="s">
        <v>26</v>
      </c>
      <c r="L89" s="60">
        <v>0.52876236721402869</v>
      </c>
      <c r="M89" s="60">
        <v>0.25443159125443449</v>
      </c>
      <c r="N89" s="60">
        <v>2.0782103535455247</v>
      </c>
      <c r="O89" s="65">
        <v>0.17326416929892174</v>
      </c>
      <c r="P89" s="60">
        <v>-0.56596841343136362</v>
      </c>
      <c r="Q89" s="60">
        <v>1.623493147859421</v>
      </c>
      <c r="R89" s="60">
        <v>-0.56596841343136362</v>
      </c>
      <c r="S89" s="61">
        <v>1.623493147859421</v>
      </c>
    </row>
    <row r="90" spans="1:19" x14ac:dyDescent="0.25">
      <c r="A90" s="59" t="s">
        <v>26</v>
      </c>
      <c r="B90" s="60">
        <v>0.69732784124729075</v>
      </c>
      <c r="C90" s="60">
        <v>0.12092195761743078</v>
      </c>
      <c r="D90" s="60">
        <v>5.7667594454058992</v>
      </c>
      <c r="E90" s="60">
        <v>0.10930773090971178</v>
      </c>
      <c r="F90" s="60">
        <v>-0.83913130933882552</v>
      </c>
      <c r="G90" s="60">
        <v>2.2337869918334068</v>
      </c>
      <c r="H90" s="60">
        <v>-0.83913130933882552</v>
      </c>
      <c r="I90" s="61">
        <v>2.2337869918334068</v>
      </c>
    </row>
    <row r="92" spans="1:19" ht="15.75" thickBot="1" x14ac:dyDescent="0.3">
      <c r="A92" s="112" t="s">
        <v>68</v>
      </c>
      <c r="B92" s="113"/>
      <c r="C92" s="113"/>
      <c r="D92" s="113"/>
      <c r="E92" s="113"/>
      <c r="F92" s="114"/>
      <c r="G92" s="81"/>
      <c r="H92" s="81"/>
      <c r="I92" s="82"/>
      <c r="K92" s="112" t="s">
        <v>69</v>
      </c>
      <c r="L92" s="113"/>
      <c r="M92" s="113"/>
      <c r="N92" s="113"/>
      <c r="O92" s="113"/>
      <c r="P92" s="114"/>
      <c r="Q92" s="81"/>
      <c r="R92" s="81"/>
      <c r="S92" s="82"/>
    </row>
    <row r="93" spans="1:19" x14ac:dyDescent="0.25">
      <c r="A93" s="68" t="s">
        <v>34</v>
      </c>
      <c r="B93" s="69"/>
      <c r="C93" s="70"/>
      <c r="D93" s="70"/>
      <c r="E93" s="70"/>
      <c r="F93" s="70"/>
      <c r="G93" s="70"/>
      <c r="H93" s="70"/>
      <c r="I93" s="71"/>
      <c r="K93" s="68" t="s">
        <v>34</v>
      </c>
      <c r="L93" s="69"/>
      <c r="M93" s="70"/>
      <c r="N93" s="70"/>
      <c r="O93" s="70"/>
      <c r="P93" s="70"/>
      <c r="Q93" s="70"/>
      <c r="R93" s="70"/>
      <c r="S93" s="71"/>
    </row>
    <row r="94" spans="1:19" x14ac:dyDescent="0.25">
      <c r="A94" s="72" t="s">
        <v>35</v>
      </c>
      <c r="B94" s="64">
        <v>0.99555121634540167</v>
      </c>
      <c r="C94" s="70"/>
      <c r="D94" s="70"/>
      <c r="E94" s="70"/>
      <c r="F94" s="70"/>
      <c r="G94" s="70"/>
      <c r="H94" s="70"/>
      <c r="I94" s="71"/>
      <c r="K94" s="72" t="s">
        <v>35</v>
      </c>
      <c r="L94" s="62">
        <v>0.95671564199685266</v>
      </c>
      <c r="M94" s="70"/>
      <c r="N94" s="70"/>
      <c r="O94" s="70"/>
      <c r="P94" s="70"/>
      <c r="Q94" s="70"/>
      <c r="R94" s="70"/>
      <c r="S94" s="71"/>
    </row>
    <row r="95" spans="1:19" x14ac:dyDescent="0.25">
      <c r="A95" s="72" t="s">
        <v>36</v>
      </c>
      <c r="B95" s="64">
        <v>0.99112222436680886</v>
      </c>
      <c r="C95" s="70"/>
      <c r="D95" s="70"/>
      <c r="E95" s="70"/>
      <c r="F95" s="70"/>
      <c r="G95" s="70"/>
      <c r="H95" s="70"/>
      <c r="I95" s="71"/>
      <c r="K95" s="72" t="s">
        <v>36</v>
      </c>
      <c r="L95" s="62">
        <v>0.91530481964145005</v>
      </c>
      <c r="M95" s="70"/>
      <c r="N95" s="70"/>
      <c r="O95" s="70"/>
      <c r="P95" s="70"/>
      <c r="Q95" s="70"/>
      <c r="R95" s="70"/>
      <c r="S95" s="71"/>
    </row>
    <row r="96" spans="1:19" x14ac:dyDescent="0.25">
      <c r="A96" s="72" t="s">
        <v>37</v>
      </c>
      <c r="B96" s="64">
        <v>0.96448889746723543</v>
      </c>
      <c r="C96" s="70"/>
      <c r="D96" s="70"/>
      <c r="E96" s="70"/>
      <c r="F96" s="70"/>
      <c r="G96" s="70"/>
      <c r="H96" s="70"/>
      <c r="I96" s="71"/>
      <c r="K96" s="72" t="s">
        <v>37</v>
      </c>
      <c r="L96" s="62">
        <v>0.8306096392829001</v>
      </c>
      <c r="M96" s="70"/>
      <c r="N96" s="70"/>
      <c r="O96" s="70"/>
      <c r="P96" s="70"/>
      <c r="Q96" s="70"/>
      <c r="R96" s="70"/>
      <c r="S96" s="71"/>
    </row>
    <row r="97" spans="1:19" x14ac:dyDescent="0.25">
      <c r="A97" s="72" t="s">
        <v>38</v>
      </c>
      <c r="B97" s="70">
        <v>4.3886643754525251E-2</v>
      </c>
      <c r="C97" s="70"/>
      <c r="D97" s="70"/>
      <c r="E97" s="70"/>
      <c r="F97" s="70"/>
      <c r="G97" s="70"/>
      <c r="H97" s="70"/>
      <c r="I97" s="71"/>
      <c r="K97" s="72" t="s">
        <v>38</v>
      </c>
      <c r="L97" s="70">
        <v>9.5850556253851485E-2</v>
      </c>
      <c r="M97" s="70"/>
      <c r="N97" s="70"/>
      <c r="O97" s="70"/>
      <c r="P97" s="70"/>
      <c r="Q97" s="70"/>
      <c r="R97" s="70"/>
      <c r="S97" s="71"/>
    </row>
    <row r="98" spans="1:19" ht="15.75" thickBot="1" x14ac:dyDescent="0.3">
      <c r="A98" s="73" t="s">
        <v>39</v>
      </c>
      <c r="B98" s="74">
        <v>5</v>
      </c>
      <c r="C98" s="70"/>
      <c r="D98" s="70"/>
      <c r="E98" s="70"/>
      <c r="F98" s="70"/>
      <c r="G98" s="70"/>
      <c r="H98" s="70"/>
      <c r="I98" s="71"/>
      <c r="K98" s="73" t="s">
        <v>39</v>
      </c>
      <c r="L98" s="74">
        <v>5</v>
      </c>
      <c r="M98" s="70"/>
      <c r="N98" s="70"/>
      <c r="O98" s="70"/>
      <c r="P98" s="70"/>
      <c r="Q98" s="70"/>
      <c r="R98" s="70"/>
      <c r="S98" s="71"/>
    </row>
    <row r="99" spans="1:19" x14ac:dyDescent="0.25">
      <c r="A99" s="72"/>
      <c r="B99" s="70"/>
      <c r="C99" s="70"/>
      <c r="D99" s="70"/>
      <c r="E99" s="70"/>
      <c r="F99" s="70"/>
      <c r="G99" s="70"/>
      <c r="H99" s="70"/>
      <c r="I99" s="71"/>
      <c r="K99" s="72"/>
      <c r="L99" s="70"/>
      <c r="M99" s="70"/>
      <c r="N99" s="70"/>
      <c r="O99" s="70"/>
      <c r="P99" s="70"/>
      <c r="Q99" s="70"/>
      <c r="R99" s="70"/>
      <c r="S99" s="71"/>
    </row>
    <row r="100" spans="1:19" ht="15.75" thickBot="1" x14ac:dyDescent="0.3">
      <c r="A100" s="72" t="s">
        <v>40</v>
      </c>
      <c r="B100" s="70"/>
      <c r="C100" s="70"/>
      <c r="D100" s="70"/>
      <c r="E100" s="70"/>
      <c r="F100" s="70"/>
      <c r="G100" s="70"/>
      <c r="H100" s="70"/>
      <c r="I100" s="71"/>
      <c r="K100" s="72" t="s">
        <v>40</v>
      </c>
      <c r="L100" s="70"/>
      <c r="M100" s="70"/>
      <c r="N100" s="70"/>
      <c r="O100" s="70"/>
      <c r="P100" s="70"/>
      <c r="Q100" s="70"/>
      <c r="R100" s="70"/>
      <c r="S100" s="71"/>
    </row>
    <row r="101" spans="1:19" x14ac:dyDescent="0.25">
      <c r="A101" s="75"/>
      <c r="B101" s="76" t="s">
        <v>45</v>
      </c>
      <c r="C101" s="76" t="s">
        <v>46</v>
      </c>
      <c r="D101" s="76" t="s">
        <v>47</v>
      </c>
      <c r="E101" s="76" t="s">
        <v>48</v>
      </c>
      <c r="F101" s="76" t="s">
        <v>49</v>
      </c>
      <c r="G101" s="70"/>
      <c r="H101" s="70"/>
      <c r="I101" s="71"/>
      <c r="K101" s="75"/>
      <c r="L101" s="76" t="s">
        <v>45</v>
      </c>
      <c r="M101" s="76" t="s">
        <v>46</v>
      </c>
      <c r="N101" s="76" t="s">
        <v>47</v>
      </c>
      <c r="O101" s="76" t="s">
        <v>48</v>
      </c>
      <c r="P101" s="76" t="s">
        <v>49</v>
      </c>
      <c r="Q101" s="70"/>
      <c r="R101" s="70"/>
      <c r="S101" s="71"/>
    </row>
    <row r="102" spans="1:19" x14ac:dyDescent="0.25">
      <c r="A102" s="72" t="s">
        <v>41</v>
      </c>
      <c r="B102" s="70">
        <v>3</v>
      </c>
      <c r="C102" s="70">
        <v>0.2150244216708149</v>
      </c>
      <c r="D102" s="70">
        <v>7.1674807223604961E-2</v>
      </c>
      <c r="E102" s="70">
        <v>37.213609403888846</v>
      </c>
      <c r="F102" s="70">
        <v>0.11978936719540251</v>
      </c>
      <c r="G102" s="70"/>
      <c r="H102" s="70"/>
      <c r="I102" s="71"/>
      <c r="K102" s="72" t="s">
        <v>41</v>
      </c>
      <c r="L102" s="70">
        <v>2</v>
      </c>
      <c r="M102" s="70">
        <v>0.19857580090250601</v>
      </c>
      <c r="N102" s="70">
        <v>9.9287900451253006E-2</v>
      </c>
      <c r="O102" s="70">
        <v>10.807047293205869</v>
      </c>
      <c r="P102" s="70">
        <v>8.4695180358549949E-2</v>
      </c>
      <c r="Q102" s="70"/>
      <c r="R102" s="70"/>
      <c r="S102" s="71"/>
    </row>
    <row r="103" spans="1:19" x14ac:dyDescent="0.25">
      <c r="A103" s="72" t="s">
        <v>42</v>
      </c>
      <c r="B103" s="70">
        <v>1</v>
      </c>
      <c r="C103" s="70">
        <v>1.9260375000366102E-3</v>
      </c>
      <c r="D103" s="70">
        <v>1.9260375000366102E-3</v>
      </c>
      <c r="E103" s="70"/>
      <c r="F103" s="70"/>
      <c r="G103" s="70"/>
      <c r="H103" s="70"/>
      <c r="I103" s="71"/>
      <c r="K103" s="72" t="s">
        <v>42</v>
      </c>
      <c r="L103" s="70">
        <v>2</v>
      </c>
      <c r="M103" s="70">
        <v>1.8374658268345494E-2</v>
      </c>
      <c r="N103" s="70">
        <v>9.1873291341727469E-3</v>
      </c>
      <c r="O103" s="70"/>
      <c r="P103" s="70"/>
      <c r="Q103" s="70"/>
      <c r="R103" s="70"/>
      <c r="S103" s="71"/>
    </row>
    <row r="104" spans="1:19" ht="15.75" thickBot="1" x14ac:dyDescent="0.3">
      <c r="A104" s="73" t="s">
        <v>43</v>
      </c>
      <c r="B104" s="74">
        <v>4</v>
      </c>
      <c r="C104" s="74">
        <v>0.21695045917085151</v>
      </c>
      <c r="D104" s="74"/>
      <c r="E104" s="74"/>
      <c r="F104" s="74"/>
      <c r="G104" s="70"/>
      <c r="H104" s="70"/>
      <c r="I104" s="71"/>
      <c r="K104" s="73" t="s">
        <v>43</v>
      </c>
      <c r="L104" s="74">
        <v>4</v>
      </c>
      <c r="M104" s="74">
        <v>0.21695045917085151</v>
      </c>
      <c r="N104" s="74"/>
      <c r="O104" s="74"/>
      <c r="P104" s="74"/>
      <c r="Q104" s="70"/>
      <c r="R104" s="70"/>
      <c r="S104" s="71"/>
    </row>
    <row r="105" spans="1:19" ht="15.75" thickBot="1" x14ac:dyDescent="0.3">
      <c r="A105" s="72"/>
      <c r="B105" s="70"/>
      <c r="C105" s="70"/>
      <c r="D105" s="70"/>
      <c r="E105" s="70"/>
      <c r="F105" s="70"/>
      <c r="G105" s="70"/>
      <c r="H105" s="70"/>
      <c r="I105" s="71"/>
      <c r="K105" s="72"/>
      <c r="L105" s="70"/>
      <c r="M105" s="70"/>
      <c r="N105" s="70"/>
      <c r="O105" s="70"/>
      <c r="P105" s="70"/>
      <c r="Q105" s="70"/>
      <c r="R105" s="70"/>
      <c r="S105" s="71"/>
    </row>
    <row r="106" spans="1:19" x14ac:dyDescent="0.25">
      <c r="A106" s="75"/>
      <c r="B106" s="76" t="s">
        <v>50</v>
      </c>
      <c r="C106" s="76" t="s">
        <v>38</v>
      </c>
      <c r="D106" s="76" t="s">
        <v>51</v>
      </c>
      <c r="E106" s="76" t="s">
        <v>52</v>
      </c>
      <c r="F106" s="76" t="s">
        <v>53</v>
      </c>
      <c r="G106" s="76" t="s">
        <v>54</v>
      </c>
      <c r="H106" s="76" t="s">
        <v>55</v>
      </c>
      <c r="I106" s="77" t="s">
        <v>56</v>
      </c>
      <c r="K106" s="75"/>
      <c r="L106" s="76" t="s">
        <v>50</v>
      </c>
      <c r="M106" s="76" t="s">
        <v>38</v>
      </c>
      <c r="N106" s="76" t="s">
        <v>51</v>
      </c>
      <c r="O106" s="76" t="s">
        <v>52</v>
      </c>
      <c r="P106" s="76" t="s">
        <v>53</v>
      </c>
      <c r="Q106" s="76" t="s">
        <v>54</v>
      </c>
      <c r="R106" s="76" t="s">
        <v>55</v>
      </c>
      <c r="S106" s="77" t="s">
        <v>56</v>
      </c>
    </row>
    <row r="107" spans="1:19" x14ac:dyDescent="0.25">
      <c r="A107" s="72" t="s">
        <v>44</v>
      </c>
      <c r="B107" s="70">
        <v>-1.5145431123602133</v>
      </c>
      <c r="C107" s="70">
        <v>0.46917209839589896</v>
      </c>
      <c r="D107" s="70">
        <v>-3.2281184613033074</v>
      </c>
      <c r="E107" s="70">
        <v>0.19124255202718543</v>
      </c>
      <c r="F107" s="70">
        <v>-7.4759398510792101</v>
      </c>
      <c r="G107" s="70">
        <v>4.4468536263587835</v>
      </c>
      <c r="H107" s="70">
        <v>-7.4759398510792101</v>
      </c>
      <c r="I107" s="71">
        <v>4.4468536263587835</v>
      </c>
      <c r="K107" s="72" t="s">
        <v>44</v>
      </c>
      <c r="L107" s="70">
        <v>-2.0088229317396125</v>
      </c>
      <c r="M107" s="70">
        <v>0.95579231792695796</v>
      </c>
      <c r="N107" s="70">
        <v>-2.1017357997777166</v>
      </c>
      <c r="O107" s="62">
        <v>0.17033613587827967</v>
      </c>
      <c r="P107" s="70">
        <v>-6.1212653575416045</v>
      </c>
      <c r="Q107" s="70">
        <v>2.10361949406238</v>
      </c>
      <c r="R107" s="70">
        <v>-6.1212653575416045</v>
      </c>
      <c r="S107" s="71">
        <v>2.10361949406238</v>
      </c>
    </row>
    <row r="108" spans="1:19" x14ac:dyDescent="0.25">
      <c r="A108" s="72" t="s">
        <v>24</v>
      </c>
      <c r="B108" s="70">
        <v>8.4359488032471081E-5</v>
      </c>
      <c r="C108" s="70">
        <v>2.8866993922491817E-5</v>
      </c>
      <c r="D108" s="70">
        <v>2.9223509818506628</v>
      </c>
      <c r="E108" s="70">
        <v>0.20989384700521088</v>
      </c>
      <c r="F108" s="70">
        <v>-2.824304468646209E-4</v>
      </c>
      <c r="G108" s="70">
        <v>4.5114942292956309E-4</v>
      </c>
      <c r="H108" s="70">
        <v>-2.824304468646209E-4</v>
      </c>
      <c r="I108" s="71">
        <v>4.5114942292956309E-4</v>
      </c>
      <c r="K108" s="72" t="s">
        <v>27</v>
      </c>
      <c r="L108" s="70">
        <v>-0.14359967749975946</v>
      </c>
      <c r="M108" s="70">
        <v>3.1862041159152178E-2</v>
      </c>
      <c r="N108" s="70">
        <v>-4.5069202184026222</v>
      </c>
      <c r="O108" s="62">
        <v>4.5870311681432331E-2</v>
      </c>
      <c r="P108" s="70">
        <v>-0.28069097586857539</v>
      </c>
      <c r="Q108" s="70">
        <v>-6.5083791309435701E-3</v>
      </c>
      <c r="R108" s="70">
        <v>-0.28069097586857539</v>
      </c>
      <c r="S108" s="71">
        <v>-6.5083791309435701E-3</v>
      </c>
    </row>
    <row r="109" spans="1:19" x14ac:dyDescent="0.25">
      <c r="A109" s="72" t="s">
        <v>27</v>
      </c>
      <c r="B109" s="70">
        <v>-0.12401195448106576</v>
      </c>
      <c r="C109" s="70">
        <v>1.6054643072161062E-2</v>
      </c>
      <c r="D109" s="70">
        <v>-7.7243669587462795</v>
      </c>
      <c r="E109" s="70">
        <v>8.1961218841203984E-2</v>
      </c>
      <c r="F109" s="70">
        <v>-0.32800553632215307</v>
      </c>
      <c r="G109" s="70">
        <v>7.9981627360021554E-2</v>
      </c>
      <c r="H109" s="70">
        <v>-0.32800553632215307</v>
      </c>
      <c r="I109" s="71">
        <v>7.9981627360021554E-2</v>
      </c>
      <c r="K109" s="78" t="s">
        <v>26</v>
      </c>
      <c r="L109" s="79">
        <v>2.3660190544303674</v>
      </c>
      <c r="M109" s="79">
        <v>0.95325492098415243</v>
      </c>
      <c r="N109" s="79">
        <v>2.4820423187405729</v>
      </c>
      <c r="O109" s="115">
        <v>0.13113982632319088</v>
      </c>
      <c r="P109" s="79">
        <v>-1.7355058334892055</v>
      </c>
      <c r="Q109" s="79">
        <v>6.4675439423499403</v>
      </c>
      <c r="R109" s="79">
        <v>-1.7355058334892055</v>
      </c>
      <c r="S109" s="80">
        <v>6.4675439423499403</v>
      </c>
    </row>
    <row r="110" spans="1:19" x14ac:dyDescent="0.25">
      <c r="A110" s="78" t="s">
        <v>26</v>
      </c>
      <c r="B110" s="79">
        <v>1.7392990388771292</v>
      </c>
      <c r="C110" s="79">
        <v>0.48630380712858157</v>
      </c>
      <c r="D110" s="79">
        <v>3.5765688308034331</v>
      </c>
      <c r="E110" s="79">
        <v>0.17356515173767323</v>
      </c>
      <c r="F110" s="79">
        <v>-4.4397766984798448</v>
      </c>
      <c r="G110" s="79">
        <v>7.9183747762341028</v>
      </c>
      <c r="H110" s="79">
        <v>-4.4397766984798448</v>
      </c>
      <c r="I110" s="80">
        <v>7.9183747762341028</v>
      </c>
    </row>
    <row r="112" spans="1:19" ht="15.75" thickBot="1" x14ac:dyDescent="0.3">
      <c r="A112" s="103" t="s">
        <v>66</v>
      </c>
      <c r="B112" s="104"/>
      <c r="C112" s="104"/>
      <c r="D112" s="104"/>
      <c r="E112" s="104"/>
      <c r="F112" s="105"/>
      <c r="K112" s="103" t="s">
        <v>67</v>
      </c>
      <c r="L112" s="104"/>
      <c r="M112" s="104"/>
      <c r="N112" s="104"/>
      <c r="O112" s="104"/>
      <c r="P112" s="105"/>
    </row>
    <row r="113" spans="1:19" x14ac:dyDescent="0.25">
      <c r="A113" s="87" t="s">
        <v>34</v>
      </c>
      <c r="B113" s="87"/>
      <c r="C113" s="88"/>
      <c r="D113" s="88"/>
      <c r="E113" s="88"/>
      <c r="F113" s="88"/>
      <c r="G113" s="88"/>
      <c r="H113" s="88"/>
      <c r="I113" s="88"/>
      <c r="K113" s="87" t="s">
        <v>34</v>
      </c>
      <c r="L113" s="87"/>
      <c r="M113" s="88"/>
      <c r="N113" s="88"/>
      <c r="O113" s="88"/>
      <c r="P113" s="88"/>
      <c r="Q113" s="88"/>
      <c r="R113" s="88"/>
      <c r="S113" s="88"/>
    </row>
    <row r="114" spans="1:19" x14ac:dyDescent="0.25">
      <c r="A114" s="88" t="s">
        <v>35</v>
      </c>
      <c r="B114" s="64">
        <v>0.80251317449149284</v>
      </c>
      <c r="C114" s="88"/>
      <c r="D114" s="88"/>
      <c r="E114" s="88"/>
      <c r="F114" s="88"/>
      <c r="G114" s="88"/>
      <c r="H114" s="88"/>
      <c r="I114" s="88"/>
      <c r="K114" s="62" t="s">
        <v>35</v>
      </c>
      <c r="L114" s="62">
        <v>6.5854470177421784E-2</v>
      </c>
      <c r="M114" s="88"/>
      <c r="N114" s="88"/>
      <c r="O114" s="88"/>
      <c r="P114" s="88"/>
      <c r="Q114" s="88"/>
      <c r="R114" s="88"/>
      <c r="S114" s="88"/>
    </row>
    <row r="115" spans="1:19" x14ac:dyDescent="0.25">
      <c r="A115" s="88" t="s">
        <v>36</v>
      </c>
      <c r="B115" s="64">
        <v>0.64402739523241326</v>
      </c>
      <c r="C115" s="88"/>
      <c r="D115" s="88"/>
      <c r="E115" s="88"/>
      <c r="F115" s="88"/>
      <c r="G115" s="88"/>
      <c r="H115" s="88"/>
      <c r="I115" s="88"/>
      <c r="K115" s="62" t="s">
        <v>36</v>
      </c>
      <c r="L115" s="62">
        <v>4.3368112423489346E-3</v>
      </c>
      <c r="M115" s="88"/>
      <c r="N115" s="88"/>
      <c r="O115" s="88"/>
      <c r="P115" s="88"/>
      <c r="Q115" s="88"/>
      <c r="R115" s="88"/>
      <c r="S115" s="88"/>
    </row>
    <row r="116" spans="1:19" x14ac:dyDescent="0.25">
      <c r="A116" s="88" t="s">
        <v>37</v>
      </c>
      <c r="B116" s="64">
        <v>-0.42389041907034697</v>
      </c>
      <c r="C116" s="88"/>
      <c r="D116" s="88"/>
      <c r="E116" s="88"/>
      <c r="F116" s="88"/>
      <c r="G116" s="88"/>
      <c r="H116" s="88"/>
      <c r="I116" s="88"/>
      <c r="K116" s="62" t="s">
        <v>37</v>
      </c>
      <c r="L116" s="62">
        <v>-0.99132637751530217</v>
      </c>
      <c r="M116" s="88"/>
      <c r="N116" s="88"/>
      <c r="O116" s="88"/>
      <c r="P116" s="88"/>
      <c r="Q116" s="88"/>
      <c r="R116" s="88"/>
      <c r="S116" s="88"/>
    </row>
    <row r="117" spans="1:19" x14ac:dyDescent="0.25">
      <c r="A117" s="88" t="s">
        <v>38</v>
      </c>
      <c r="B117" s="64">
        <v>0.41737954556610435</v>
      </c>
      <c r="C117" s="88"/>
      <c r="D117" s="88"/>
      <c r="E117" s="88"/>
      <c r="F117" s="88"/>
      <c r="G117" s="88"/>
      <c r="H117" s="88"/>
      <c r="I117" s="88"/>
      <c r="K117" s="62" t="s">
        <v>38</v>
      </c>
      <c r="L117" s="62">
        <v>0.49358744146054651</v>
      </c>
      <c r="M117" s="88"/>
      <c r="N117" s="88"/>
      <c r="O117" s="88"/>
      <c r="P117" s="88"/>
      <c r="Q117" s="88"/>
      <c r="R117" s="88"/>
      <c r="S117" s="88"/>
    </row>
    <row r="118" spans="1:19" ht="15.75" thickBot="1" x14ac:dyDescent="0.3">
      <c r="A118" s="89" t="s">
        <v>39</v>
      </c>
      <c r="B118" s="89">
        <v>5</v>
      </c>
      <c r="C118" s="88"/>
      <c r="D118" s="88"/>
      <c r="E118" s="88"/>
      <c r="F118" s="88"/>
      <c r="G118" s="88"/>
      <c r="H118" s="88"/>
      <c r="I118" s="88"/>
      <c r="K118" s="89" t="s">
        <v>39</v>
      </c>
      <c r="L118" s="89">
        <v>5</v>
      </c>
      <c r="M118" s="88"/>
      <c r="N118" s="88"/>
      <c r="O118" s="88"/>
      <c r="P118" s="88"/>
      <c r="Q118" s="88"/>
      <c r="R118" s="88"/>
      <c r="S118" s="88"/>
    </row>
    <row r="119" spans="1:19" x14ac:dyDescent="0.25">
      <c r="A119" s="88"/>
      <c r="B119" s="88"/>
      <c r="C119" s="88"/>
      <c r="D119" s="88"/>
      <c r="E119" s="88"/>
      <c r="F119" s="88"/>
      <c r="G119" s="88"/>
      <c r="H119" s="88"/>
      <c r="I119" s="88"/>
      <c r="K119" s="88"/>
      <c r="L119" s="88"/>
      <c r="M119" s="88"/>
      <c r="N119" s="88"/>
      <c r="O119" s="88"/>
      <c r="P119" s="88"/>
      <c r="Q119" s="88"/>
      <c r="R119" s="88"/>
      <c r="S119" s="88"/>
    </row>
    <row r="120" spans="1:19" ht="15.75" thickBot="1" x14ac:dyDescent="0.3">
      <c r="A120" s="88" t="s">
        <v>40</v>
      </c>
      <c r="B120" s="88"/>
      <c r="C120" s="88"/>
      <c r="D120" s="88"/>
      <c r="E120" s="88"/>
      <c r="F120" s="88"/>
      <c r="G120" s="88"/>
      <c r="H120" s="88"/>
      <c r="I120" s="88"/>
      <c r="K120" s="88" t="s">
        <v>40</v>
      </c>
      <c r="L120" s="88"/>
      <c r="M120" s="88"/>
      <c r="N120" s="88"/>
      <c r="O120" s="88"/>
      <c r="P120" s="88"/>
      <c r="Q120" s="88"/>
      <c r="R120" s="88"/>
      <c r="S120" s="88"/>
    </row>
    <row r="121" spans="1:19" x14ac:dyDescent="0.25">
      <c r="A121" s="90"/>
      <c r="B121" s="90" t="s">
        <v>45</v>
      </c>
      <c r="C121" s="90" t="s">
        <v>46</v>
      </c>
      <c r="D121" s="90" t="s">
        <v>47</v>
      </c>
      <c r="E121" s="90" t="s">
        <v>48</v>
      </c>
      <c r="F121" s="90" t="s">
        <v>49</v>
      </c>
      <c r="G121" s="88"/>
      <c r="H121" s="88"/>
      <c r="I121" s="88"/>
      <c r="K121" s="90"/>
      <c r="L121" s="90" t="s">
        <v>45</v>
      </c>
      <c r="M121" s="90" t="s">
        <v>46</v>
      </c>
      <c r="N121" s="90" t="s">
        <v>47</v>
      </c>
      <c r="O121" s="90" t="s">
        <v>48</v>
      </c>
      <c r="P121" s="90" t="s">
        <v>49</v>
      </c>
      <c r="Q121" s="88"/>
      <c r="R121" s="88"/>
      <c r="S121" s="88"/>
    </row>
    <row r="122" spans="1:19" x14ac:dyDescent="0.25">
      <c r="A122" s="88" t="s">
        <v>41</v>
      </c>
      <c r="B122" s="88">
        <v>3</v>
      </c>
      <c r="C122" s="88">
        <v>0.31517378607032875</v>
      </c>
      <c r="D122" s="88">
        <v>0.10505792869010959</v>
      </c>
      <c r="E122" s="88">
        <v>0.60306831350397172</v>
      </c>
      <c r="F122" s="88">
        <v>0.71180945338178059</v>
      </c>
      <c r="G122" s="88"/>
      <c r="H122" s="88"/>
      <c r="I122" s="88"/>
      <c r="K122" s="88" t="s">
        <v>41</v>
      </c>
      <c r="L122" s="88">
        <v>2</v>
      </c>
      <c r="M122" s="88">
        <v>2.1223463921596353E-3</v>
      </c>
      <c r="N122" s="88">
        <v>1.0611731960798176E-3</v>
      </c>
      <c r="O122" s="88">
        <v>4.3557010958296402E-3</v>
      </c>
      <c r="P122" s="88">
        <v>0.99566318875765103</v>
      </c>
      <c r="Q122" s="88"/>
      <c r="R122" s="88"/>
      <c r="S122" s="88"/>
    </row>
    <row r="123" spans="1:19" x14ac:dyDescent="0.25">
      <c r="A123" s="88" t="s">
        <v>42</v>
      </c>
      <c r="B123" s="88">
        <v>1</v>
      </c>
      <c r="C123" s="88">
        <v>0.17420568505696776</v>
      </c>
      <c r="D123" s="88">
        <v>0.17420568505696776</v>
      </c>
      <c r="E123" s="88"/>
      <c r="F123" s="88"/>
      <c r="G123" s="88"/>
      <c r="H123" s="88"/>
      <c r="I123" s="88"/>
      <c r="K123" s="88" t="s">
        <v>42</v>
      </c>
      <c r="L123" s="88">
        <v>2</v>
      </c>
      <c r="M123" s="88">
        <v>0.48725712473513688</v>
      </c>
      <c r="N123" s="88">
        <v>0.24362856236756844</v>
      </c>
      <c r="O123" s="88"/>
      <c r="P123" s="88"/>
      <c r="Q123" s="88"/>
      <c r="R123" s="88"/>
      <c r="S123" s="88"/>
    </row>
    <row r="124" spans="1:19" ht="15.75" thickBot="1" x14ac:dyDescent="0.3">
      <c r="A124" s="89" t="s">
        <v>43</v>
      </c>
      <c r="B124" s="89">
        <v>4</v>
      </c>
      <c r="C124" s="89">
        <v>0.48937947112729652</v>
      </c>
      <c r="D124" s="89"/>
      <c r="E124" s="89"/>
      <c r="F124" s="89"/>
      <c r="G124" s="88"/>
      <c r="H124" s="88"/>
      <c r="I124" s="88"/>
      <c r="K124" s="89" t="s">
        <v>43</v>
      </c>
      <c r="L124" s="89">
        <v>4</v>
      </c>
      <c r="M124" s="89">
        <v>0.48937947112729652</v>
      </c>
      <c r="N124" s="89"/>
      <c r="O124" s="89"/>
      <c r="P124" s="89"/>
      <c r="Q124" s="88"/>
      <c r="R124" s="88"/>
      <c r="S124" s="88"/>
    </row>
    <row r="125" spans="1:19" ht="15.75" thickBot="1" x14ac:dyDescent="0.3">
      <c r="A125" s="88"/>
      <c r="B125" s="88"/>
      <c r="C125" s="88"/>
      <c r="D125" s="88"/>
      <c r="E125" s="88"/>
      <c r="F125" s="88"/>
      <c r="G125" s="88"/>
      <c r="H125" s="88"/>
      <c r="I125" s="88"/>
      <c r="K125" s="88"/>
      <c r="L125" s="88"/>
      <c r="M125" s="88"/>
      <c r="N125" s="88"/>
      <c r="O125" s="88"/>
      <c r="P125" s="88"/>
      <c r="Q125" s="88"/>
      <c r="R125" s="88"/>
      <c r="S125" s="88"/>
    </row>
    <row r="126" spans="1:19" x14ac:dyDescent="0.25">
      <c r="A126" s="90"/>
      <c r="B126" s="90" t="s">
        <v>50</v>
      </c>
      <c r="C126" s="90" t="s">
        <v>38</v>
      </c>
      <c r="D126" s="90" t="s">
        <v>51</v>
      </c>
      <c r="E126" s="90" t="s">
        <v>52</v>
      </c>
      <c r="F126" s="90" t="s">
        <v>53</v>
      </c>
      <c r="G126" s="90" t="s">
        <v>54</v>
      </c>
      <c r="H126" s="90" t="s">
        <v>55</v>
      </c>
      <c r="I126" s="90" t="s">
        <v>56</v>
      </c>
      <c r="K126" s="90"/>
      <c r="L126" s="90" t="s">
        <v>50</v>
      </c>
      <c r="M126" s="90" t="s">
        <v>38</v>
      </c>
      <c r="N126" s="90" t="s">
        <v>51</v>
      </c>
      <c r="O126" s="90" t="s">
        <v>52</v>
      </c>
      <c r="P126" s="90" t="s">
        <v>53</v>
      </c>
      <c r="Q126" s="90" t="s">
        <v>54</v>
      </c>
      <c r="R126" s="90" t="s">
        <v>55</v>
      </c>
      <c r="S126" s="90" t="s">
        <v>56</v>
      </c>
    </row>
    <row r="127" spans="1:19" x14ac:dyDescent="0.25">
      <c r="A127" s="88" t="s">
        <v>44</v>
      </c>
      <c r="B127" s="88">
        <v>1.8244078539184891</v>
      </c>
      <c r="C127" s="88">
        <v>4.4620144186939381</v>
      </c>
      <c r="D127" s="88">
        <v>0.4088753828932058</v>
      </c>
      <c r="E127" s="88">
        <v>0.75290617258510972</v>
      </c>
      <c r="F127" s="88">
        <v>-54.870860885770263</v>
      </c>
      <c r="G127" s="88">
        <v>58.519676593607237</v>
      </c>
      <c r="H127" s="88">
        <v>-54.870860885770263</v>
      </c>
      <c r="I127" s="88">
        <v>58.519676593607237</v>
      </c>
      <c r="K127" s="88" t="s">
        <v>44</v>
      </c>
      <c r="L127" s="88">
        <v>-0.33192593451897928</v>
      </c>
      <c r="M127" s="88">
        <v>4.9219024198856012</v>
      </c>
      <c r="N127" s="88">
        <v>-6.7438544327478589E-2</v>
      </c>
      <c r="O127" s="88">
        <v>0.95236787445736226</v>
      </c>
      <c r="P127" s="88">
        <v>-21.509162817000252</v>
      </c>
      <c r="Q127" s="88">
        <v>20.845310947962297</v>
      </c>
      <c r="R127" s="88">
        <v>-21.509162817000252</v>
      </c>
      <c r="S127" s="88">
        <v>20.845310947962297</v>
      </c>
    </row>
    <row r="128" spans="1:19" x14ac:dyDescent="0.25">
      <c r="A128" s="88" t="s">
        <v>24</v>
      </c>
      <c r="B128" s="88">
        <v>3.6802476509783578E-4</v>
      </c>
      <c r="C128" s="88">
        <v>2.7453666479079487E-4</v>
      </c>
      <c r="D128" s="88">
        <v>1.3405304729635352</v>
      </c>
      <c r="E128" s="88">
        <v>0.40802174881122688</v>
      </c>
      <c r="F128" s="88">
        <v>-3.1202943053205701E-3</v>
      </c>
      <c r="G128" s="88">
        <v>3.8563438355162412E-3</v>
      </c>
      <c r="H128" s="88">
        <v>-3.1202943053205701E-3</v>
      </c>
      <c r="I128" s="88">
        <v>3.8563438355162412E-3</v>
      </c>
      <c r="K128" s="88" t="s">
        <v>27</v>
      </c>
      <c r="L128" s="88">
        <v>1.9778459465069295E-3</v>
      </c>
      <c r="M128" s="88">
        <v>0.164075243692961</v>
      </c>
      <c r="N128" s="88">
        <v>1.2054505615777922E-2</v>
      </c>
      <c r="O128" s="88">
        <v>0.9914764869698921</v>
      </c>
      <c r="P128" s="88">
        <v>-0.70398094921332022</v>
      </c>
      <c r="Q128" s="88">
        <v>0.70793664110633414</v>
      </c>
      <c r="R128" s="88">
        <v>-0.70398094921332022</v>
      </c>
      <c r="S128" s="88">
        <v>0.70793664110633414</v>
      </c>
    </row>
    <row r="129" spans="1:20" ht="15.75" thickBot="1" x14ac:dyDescent="0.3">
      <c r="A129" s="88" t="s">
        <v>27</v>
      </c>
      <c r="B129" s="88">
        <v>8.7430796537926972E-2</v>
      </c>
      <c r="C129" s="88">
        <v>0.15268608069382489</v>
      </c>
      <c r="D129" s="88">
        <v>0.57261798941089037</v>
      </c>
      <c r="E129" s="88">
        <v>0.66893079380409215</v>
      </c>
      <c r="F129" s="88">
        <v>-1.8526298051219041</v>
      </c>
      <c r="G129" s="88">
        <v>2.0274913981977583</v>
      </c>
      <c r="H129" s="88">
        <v>-1.8526298051219041</v>
      </c>
      <c r="I129" s="88">
        <v>2.0274913981977583</v>
      </c>
      <c r="K129" s="89" t="s">
        <v>26</v>
      </c>
      <c r="L129" s="89">
        <v>0.26998410828702279</v>
      </c>
      <c r="M129" s="89">
        <v>4.9088359619127093</v>
      </c>
      <c r="N129" s="89">
        <v>5.4999619132073116E-2</v>
      </c>
      <c r="O129" s="89">
        <v>0.96113877364050326</v>
      </c>
      <c r="P129" s="89">
        <v>-20.851032343129031</v>
      </c>
      <c r="Q129" s="89">
        <v>21.391000559703077</v>
      </c>
      <c r="R129" s="89">
        <v>-20.851032343129031</v>
      </c>
      <c r="S129" s="89">
        <v>21.391000559703077</v>
      </c>
    </row>
    <row r="130" spans="1:20" ht="15.75" thickBot="1" x14ac:dyDescent="0.3">
      <c r="A130" s="89" t="s">
        <v>26</v>
      </c>
      <c r="B130" s="89">
        <v>-2.4641302383684769</v>
      </c>
      <c r="C130" s="89">
        <v>4.6249438248616306</v>
      </c>
      <c r="D130" s="89">
        <v>-0.53279138767533007</v>
      </c>
      <c r="E130" s="89">
        <v>0.68835214792035537</v>
      </c>
      <c r="F130" s="89">
        <v>-61.229613370367289</v>
      </c>
      <c r="G130" s="89">
        <v>56.301352893630337</v>
      </c>
      <c r="H130" s="89">
        <v>-61.229613370367289</v>
      </c>
      <c r="I130" s="89">
        <v>56.301352893630337</v>
      </c>
    </row>
    <row r="134" spans="1:20" ht="27" x14ac:dyDescent="0.25">
      <c r="A134" s="86" t="s">
        <v>63</v>
      </c>
      <c r="B134" s="83" t="s">
        <v>33</v>
      </c>
      <c r="C134" s="83" t="s">
        <v>57</v>
      </c>
      <c r="D134" s="83" t="s">
        <v>62</v>
      </c>
      <c r="E134" s="83" t="s">
        <v>65</v>
      </c>
      <c r="F134" s="84" t="s">
        <v>24</v>
      </c>
      <c r="G134" s="84" t="s">
        <v>27</v>
      </c>
      <c r="H134" s="84" t="s">
        <v>26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20"/>
    </row>
    <row r="135" spans="1:20" x14ac:dyDescent="0.25">
      <c r="A135" s="85" t="s">
        <v>8</v>
      </c>
      <c r="B135" s="4">
        <v>0.17369777575697301</v>
      </c>
      <c r="C135" s="4">
        <v>0.13984116014494999</v>
      </c>
      <c r="D135" s="4">
        <v>0.199680501000808</v>
      </c>
      <c r="E135" s="6">
        <v>1.7836570943256701E-2</v>
      </c>
      <c r="F135" s="3">
        <v>2000</v>
      </c>
      <c r="G135" s="10">
        <v>4</v>
      </c>
      <c r="H135" s="10">
        <v>1.1737788669959504</v>
      </c>
      <c r="T135" s="22"/>
    </row>
    <row r="136" spans="1:20" x14ac:dyDescent="0.25">
      <c r="A136" s="85" t="s">
        <v>9</v>
      </c>
      <c r="B136" s="4">
        <v>9.9143945152060597E-2</v>
      </c>
      <c r="C136" s="4">
        <v>8.9326261366187695E-2</v>
      </c>
      <c r="D136" s="4">
        <v>0.12535086320927399</v>
      </c>
      <c r="E136" s="6">
        <v>-0.54160608613664096</v>
      </c>
      <c r="F136" s="3">
        <v>118.5</v>
      </c>
      <c r="G136" s="10">
        <v>1.1385255280790201</v>
      </c>
      <c r="H136" s="10">
        <v>1.0182769682576838</v>
      </c>
      <c r="T136" s="22"/>
    </row>
    <row r="137" spans="1:20" x14ac:dyDescent="0.25">
      <c r="A137" s="85" t="s">
        <v>10</v>
      </c>
      <c r="B137" s="4">
        <v>0.21234239309632399</v>
      </c>
      <c r="C137" s="4">
        <v>4.6283799610675601E-2</v>
      </c>
      <c r="D137" s="4">
        <v>0.42964915677977999</v>
      </c>
      <c r="E137" s="6">
        <v>-0.17637365181995501</v>
      </c>
      <c r="F137" s="3">
        <v>2060.9499999999998</v>
      </c>
      <c r="G137" s="10">
        <v>0</v>
      </c>
      <c r="H137" s="10">
        <v>1</v>
      </c>
      <c r="T137" s="22"/>
    </row>
    <row r="138" spans="1:20" x14ac:dyDescent="0.25">
      <c r="A138" s="85" t="s">
        <v>16</v>
      </c>
      <c r="B138" s="6">
        <v>-7.8588218215967606E-2</v>
      </c>
      <c r="C138" s="4">
        <v>6.7271555006068101E-2</v>
      </c>
      <c r="D138" s="6">
        <v>-0.161754895727207</v>
      </c>
      <c r="E138" s="4">
        <v>5.9760012226563401E-2</v>
      </c>
      <c r="F138" s="3">
        <v>1130.25</v>
      </c>
      <c r="G138" s="10">
        <v>4.5222851684946201</v>
      </c>
      <c r="H138" s="10">
        <v>1.045397189964473</v>
      </c>
      <c r="T138" s="22"/>
    </row>
    <row r="139" spans="1:20" x14ac:dyDescent="0.25">
      <c r="A139" s="23"/>
      <c r="T139" s="22"/>
    </row>
    <row r="140" spans="1:20" ht="15.75" thickBot="1" x14ac:dyDescent="0.3">
      <c r="A140" s="106" t="s">
        <v>58</v>
      </c>
      <c r="B140" s="107"/>
      <c r="C140" s="107"/>
      <c r="D140" s="107"/>
      <c r="E140" s="107"/>
      <c r="F140" s="108"/>
      <c r="G140" s="19"/>
      <c r="H140" s="19"/>
      <c r="I140" s="20"/>
      <c r="K140" s="106" t="s">
        <v>60</v>
      </c>
      <c r="L140" s="107"/>
      <c r="M140" s="107"/>
      <c r="N140" s="107"/>
      <c r="O140" s="107"/>
      <c r="P140" s="108"/>
      <c r="T140" s="22"/>
    </row>
    <row r="141" spans="1:20" x14ac:dyDescent="0.25">
      <c r="A141" s="21" t="s">
        <v>34</v>
      </c>
      <c r="B141" s="17"/>
      <c r="I141" s="22"/>
      <c r="K141" s="33" t="s">
        <v>34</v>
      </c>
      <c r="L141" s="33"/>
      <c r="M141" s="34"/>
      <c r="N141" s="34"/>
      <c r="O141" s="34"/>
      <c r="P141" s="34"/>
      <c r="Q141" s="34"/>
      <c r="R141" s="34"/>
      <c r="S141" s="34"/>
      <c r="T141" s="22"/>
    </row>
    <row r="142" spans="1:20" x14ac:dyDescent="0.25">
      <c r="A142" s="23" t="s">
        <v>35</v>
      </c>
      <c r="B142">
        <v>1</v>
      </c>
      <c r="I142" s="22"/>
      <c r="K142" s="34" t="s">
        <v>35</v>
      </c>
      <c r="L142" s="62">
        <v>0.98344472159812157</v>
      </c>
      <c r="M142" s="34"/>
      <c r="N142" s="34"/>
      <c r="O142" s="34"/>
      <c r="P142" s="34"/>
      <c r="Q142" s="34"/>
      <c r="R142" s="34"/>
      <c r="S142" s="34"/>
      <c r="T142" s="22"/>
    </row>
    <row r="143" spans="1:20" x14ac:dyDescent="0.25">
      <c r="A143" s="23" t="s">
        <v>36</v>
      </c>
      <c r="B143">
        <v>1</v>
      </c>
      <c r="I143" s="22"/>
      <c r="K143" s="34" t="s">
        <v>36</v>
      </c>
      <c r="L143" s="62">
        <v>0.96716352043920695</v>
      </c>
      <c r="M143" s="34"/>
      <c r="N143" s="34"/>
      <c r="O143" s="34"/>
      <c r="P143" s="34"/>
      <c r="Q143" s="34"/>
      <c r="R143" s="34"/>
      <c r="S143" s="34"/>
      <c r="T143" s="22"/>
    </row>
    <row r="144" spans="1:20" x14ac:dyDescent="0.25">
      <c r="A144" s="23" t="s">
        <v>37</v>
      </c>
      <c r="B144">
        <v>65535</v>
      </c>
      <c r="I144" s="22"/>
      <c r="K144" s="34" t="s">
        <v>37</v>
      </c>
      <c r="L144" s="62">
        <v>0.90149056131762073</v>
      </c>
      <c r="M144" s="34"/>
      <c r="N144" s="34"/>
      <c r="O144" s="34"/>
      <c r="P144" s="34"/>
      <c r="Q144" s="34"/>
      <c r="R144" s="34"/>
      <c r="S144" s="34"/>
      <c r="T144" s="22"/>
    </row>
    <row r="145" spans="1:20" x14ac:dyDescent="0.25">
      <c r="A145" s="23" t="s">
        <v>38</v>
      </c>
      <c r="B145">
        <v>0</v>
      </c>
      <c r="I145" s="22"/>
      <c r="K145" s="34" t="s">
        <v>38</v>
      </c>
      <c r="L145" s="62">
        <v>4.0493398647546308E-2</v>
      </c>
      <c r="M145" s="34"/>
      <c r="N145" s="34"/>
      <c r="O145" s="34"/>
      <c r="P145" s="34"/>
      <c r="Q145" s="34"/>
      <c r="R145" s="34"/>
      <c r="S145" s="34"/>
      <c r="T145" s="22"/>
    </row>
    <row r="146" spans="1:20" ht="15.75" thickBot="1" x14ac:dyDescent="0.3">
      <c r="A146" s="24" t="s">
        <v>39</v>
      </c>
      <c r="B146" s="15">
        <v>4</v>
      </c>
      <c r="I146" s="22"/>
      <c r="K146" s="38" t="s">
        <v>39</v>
      </c>
      <c r="L146" s="38">
        <v>4</v>
      </c>
      <c r="M146" s="34"/>
      <c r="N146" s="34"/>
      <c r="O146" s="34"/>
      <c r="P146" s="34"/>
      <c r="Q146" s="34"/>
      <c r="R146" s="34"/>
      <c r="S146" s="34"/>
      <c r="T146" s="22"/>
    </row>
    <row r="147" spans="1:20" x14ac:dyDescent="0.25">
      <c r="A147" s="23"/>
      <c r="I147" s="22"/>
      <c r="K147" s="34"/>
      <c r="L147" s="34"/>
      <c r="M147" s="34"/>
      <c r="N147" s="34"/>
      <c r="O147" s="34"/>
      <c r="P147" s="34"/>
      <c r="Q147" s="34"/>
      <c r="R147" s="34"/>
      <c r="S147" s="34"/>
      <c r="T147" s="22"/>
    </row>
    <row r="148" spans="1:20" ht="15.75" thickBot="1" x14ac:dyDescent="0.3">
      <c r="A148" s="23" t="s">
        <v>40</v>
      </c>
      <c r="I148" s="22"/>
      <c r="K148" s="34" t="s">
        <v>40</v>
      </c>
      <c r="L148" s="34"/>
      <c r="M148" s="34"/>
      <c r="N148" s="34"/>
      <c r="O148" s="34"/>
      <c r="P148" s="34"/>
      <c r="Q148" s="34"/>
      <c r="R148" s="34"/>
      <c r="S148" s="34"/>
      <c r="T148" s="22"/>
    </row>
    <row r="149" spans="1:20" x14ac:dyDescent="0.25">
      <c r="A149" s="25"/>
      <c r="B149" s="16" t="s">
        <v>45</v>
      </c>
      <c r="C149" s="16" t="s">
        <v>46</v>
      </c>
      <c r="D149" s="16" t="s">
        <v>47</v>
      </c>
      <c r="E149" s="16" t="s">
        <v>48</v>
      </c>
      <c r="F149" s="16" t="s">
        <v>49</v>
      </c>
      <c r="I149" s="22"/>
      <c r="K149" s="40"/>
      <c r="L149" s="40" t="s">
        <v>45</v>
      </c>
      <c r="M149" s="40" t="s">
        <v>46</v>
      </c>
      <c r="N149" s="40" t="s">
        <v>47</v>
      </c>
      <c r="O149" s="40" t="s">
        <v>48</v>
      </c>
      <c r="P149" s="40" t="s">
        <v>49</v>
      </c>
      <c r="Q149" s="34"/>
      <c r="R149" s="34"/>
      <c r="S149" s="34"/>
      <c r="T149" s="22"/>
    </row>
    <row r="150" spans="1:20" x14ac:dyDescent="0.25">
      <c r="A150" s="23" t="s">
        <v>41</v>
      </c>
      <c r="B150">
        <v>3</v>
      </c>
      <c r="C150">
        <v>4.9935783493274682E-2</v>
      </c>
      <c r="D150">
        <v>1.6645261164424895E-2</v>
      </c>
      <c r="E150" t="e">
        <v>#NUM!</v>
      </c>
      <c r="F150" t="e">
        <v>#NUM!</v>
      </c>
      <c r="I150" s="22"/>
      <c r="K150" s="34" t="s">
        <v>41</v>
      </c>
      <c r="L150" s="34">
        <v>2</v>
      </c>
      <c r="M150" s="34">
        <v>4.829606815924558E-2</v>
      </c>
      <c r="N150" s="34">
        <v>2.414803407962279E-2</v>
      </c>
      <c r="O150" s="34">
        <v>14.726967284184806</v>
      </c>
      <c r="P150" s="34">
        <v>0.18120838711492671</v>
      </c>
      <c r="Q150" s="34"/>
      <c r="R150" s="34"/>
      <c r="S150" s="34"/>
      <c r="T150" s="22"/>
    </row>
    <row r="151" spans="1:20" x14ac:dyDescent="0.25">
      <c r="A151" s="23" t="s">
        <v>42</v>
      </c>
      <c r="B151">
        <v>0</v>
      </c>
      <c r="C151">
        <v>0</v>
      </c>
      <c r="D151">
        <v>65535</v>
      </c>
      <c r="I151" s="22"/>
      <c r="K151" s="34" t="s">
        <v>42</v>
      </c>
      <c r="L151" s="34">
        <v>1</v>
      </c>
      <c r="M151" s="34">
        <v>1.6397153340291051E-3</v>
      </c>
      <c r="N151" s="34">
        <v>1.6397153340291051E-3</v>
      </c>
      <c r="O151" s="34"/>
      <c r="P151" s="34"/>
      <c r="Q151" s="34"/>
      <c r="R151" s="34"/>
      <c r="S151" s="34"/>
      <c r="T151" s="22"/>
    </row>
    <row r="152" spans="1:20" ht="15.75" thickBot="1" x14ac:dyDescent="0.3">
      <c r="A152" s="24" t="s">
        <v>43</v>
      </c>
      <c r="B152" s="15">
        <v>3</v>
      </c>
      <c r="C152" s="15">
        <v>4.9935783493274682E-2</v>
      </c>
      <c r="D152" s="15"/>
      <c r="E152" s="15"/>
      <c r="F152" s="15"/>
      <c r="I152" s="22"/>
      <c r="K152" s="38" t="s">
        <v>43</v>
      </c>
      <c r="L152" s="38">
        <v>3</v>
      </c>
      <c r="M152" s="38">
        <v>4.9935783493274682E-2</v>
      </c>
      <c r="N152" s="38"/>
      <c r="O152" s="38"/>
      <c r="P152" s="38"/>
      <c r="Q152" s="34"/>
      <c r="R152" s="34"/>
      <c r="S152" s="34"/>
      <c r="T152" s="22"/>
    </row>
    <row r="153" spans="1:20" ht="15.75" thickBot="1" x14ac:dyDescent="0.3">
      <c r="A153" s="23"/>
      <c r="I153" s="22"/>
      <c r="K153" s="34"/>
      <c r="L153" s="34"/>
      <c r="M153" s="34"/>
      <c r="N153" s="34"/>
      <c r="O153" s="34"/>
      <c r="P153" s="34"/>
      <c r="Q153" s="34"/>
      <c r="R153" s="34"/>
      <c r="S153" s="34"/>
      <c r="T153" s="22"/>
    </row>
    <row r="154" spans="1:20" x14ac:dyDescent="0.25">
      <c r="A154" s="25"/>
      <c r="B154" s="16" t="s">
        <v>50</v>
      </c>
      <c r="C154" s="16" t="s">
        <v>38</v>
      </c>
      <c r="D154" s="16" t="s">
        <v>51</v>
      </c>
      <c r="E154" s="16" t="s">
        <v>52</v>
      </c>
      <c r="F154" s="16" t="s">
        <v>53</v>
      </c>
      <c r="G154" s="16" t="s">
        <v>54</v>
      </c>
      <c r="H154" s="16" t="s">
        <v>55</v>
      </c>
      <c r="I154" s="26" t="s">
        <v>56</v>
      </c>
      <c r="K154" s="40"/>
      <c r="L154" s="40" t="s">
        <v>50</v>
      </c>
      <c r="M154" s="40" t="s">
        <v>38</v>
      </c>
      <c r="N154" s="40" t="s">
        <v>51</v>
      </c>
      <c r="O154" s="40" t="s">
        <v>52</v>
      </c>
      <c r="P154" s="40" t="s">
        <v>53</v>
      </c>
      <c r="Q154" s="40" t="s">
        <v>54</v>
      </c>
      <c r="R154" s="40" t="s">
        <v>55</v>
      </c>
      <c r="S154" s="40" t="s">
        <v>56</v>
      </c>
      <c r="T154" s="22"/>
    </row>
    <row r="155" spans="1:20" x14ac:dyDescent="0.25">
      <c r="A155" s="23" t="s">
        <v>44</v>
      </c>
      <c r="B155">
        <v>-1.3175374054368152</v>
      </c>
      <c r="C155">
        <v>0</v>
      </c>
      <c r="D155">
        <v>65535</v>
      </c>
      <c r="E155" t="e">
        <v>#NUM!</v>
      </c>
      <c r="F155" t="e">
        <v>#VALUE!</v>
      </c>
      <c r="G155" t="e">
        <v>#VALUE!</v>
      </c>
      <c r="H155">
        <v>-1.3175374054368152</v>
      </c>
      <c r="I155" s="22">
        <v>-1.3175374054368152</v>
      </c>
      <c r="K155" s="34" t="s">
        <v>44</v>
      </c>
      <c r="L155" s="34">
        <v>-1.5000840631688797</v>
      </c>
      <c r="M155" s="34">
        <v>0.40450262541525489</v>
      </c>
      <c r="N155" s="34">
        <v>-3.7084655794975898</v>
      </c>
      <c r="O155" s="34">
        <v>0.16767843390268145</v>
      </c>
      <c r="P155" s="34">
        <v>-6.6397772380152951</v>
      </c>
      <c r="Q155" s="34">
        <v>3.6396091116775353</v>
      </c>
      <c r="R155" s="34">
        <v>-6.6397772380152951</v>
      </c>
      <c r="S155" s="34">
        <v>3.6396091116775353</v>
      </c>
      <c r="T155" s="22"/>
    </row>
    <row r="156" spans="1:20" x14ac:dyDescent="0.25">
      <c r="A156" s="23" t="s">
        <v>24</v>
      </c>
      <c r="B156">
        <v>2.9281691122202578E-5</v>
      </c>
      <c r="C156">
        <v>0</v>
      </c>
      <c r="D156">
        <v>65535</v>
      </c>
      <c r="E156" t="e">
        <v>#NUM!</v>
      </c>
      <c r="F156">
        <v>2.9281691122202578E-5</v>
      </c>
      <c r="G156">
        <v>2.9281691122202578E-5</v>
      </c>
      <c r="H156">
        <v>2.9281691122202578E-5</v>
      </c>
      <c r="I156" s="22">
        <v>2.9281691122202578E-5</v>
      </c>
      <c r="K156" s="34" t="s">
        <v>27</v>
      </c>
      <c r="L156" s="34">
        <v>-7.7486159443467637E-2</v>
      </c>
      <c r="M156" s="34">
        <v>1.4427061319202759E-2</v>
      </c>
      <c r="N156" s="34">
        <v>-5.3708900051829493</v>
      </c>
      <c r="O156" s="34">
        <v>0.11718964211184096</v>
      </c>
      <c r="P156" s="34">
        <v>-0.26079935430660467</v>
      </c>
      <c r="Q156" s="34">
        <v>0.10582703541966938</v>
      </c>
      <c r="R156" s="34">
        <v>-0.26079935430660467</v>
      </c>
      <c r="S156" s="34">
        <v>0.10582703541966938</v>
      </c>
      <c r="T156" s="22"/>
    </row>
    <row r="157" spans="1:20" ht="15.75" thickBot="1" x14ac:dyDescent="0.3">
      <c r="A157" s="23" t="s">
        <v>27</v>
      </c>
      <c r="B157">
        <v>-7.3058362905520716E-2</v>
      </c>
      <c r="C157">
        <v>0</v>
      </c>
      <c r="D157">
        <v>65535</v>
      </c>
      <c r="E157" t="e">
        <v>#NUM!</v>
      </c>
      <c r="F157">
        <v>-7.3058362905520716E-2</v>
      </c>
      <c r="G157">
        <v>-7.3058362905520716E-2</v>
      </c>
      <c r="H157">
        <v>-7.3058362905520716E-2</v>
      </c>
      <c r="I157" s="22">
        <v>-7.3058362905520716E-2</v>
      </c>
      <c r="K157" s="38" t="s">
        <v>26</v>
      </c>
      <c r="L157" s="38">
        <v>1.688634947424454</v>
      </c>
      <c r="M157" s="38">
        <v>0.40273035536174234</v>
      </c>
      <c r="N157" s="38">
        <v>4.1929666461513202</v>
      </c>
      <c r="O157" s="38">
        <v>0.14904612496909223</v>
      </c>
      <c r="P157" s="38">
        <v>-3.4285394012742394</v>
      </c>
      <c r="Q157" s="38">
        <v>6.8058092961231473</v>
      </c>
      <c r="R157" s="38">
        <v>-3.4285394012742394</v>
      </c>
      <c r="S157" s="38">
        <v>6.8058092961231473</v>
      </c>
      <c r="T157" s="22"/>
    </row>
    <row r="158" spans="1:20" x14ac:dyDescent="0.25">
      <c r="A158" s="27" t="s">
        <v>26</v>
      </c>
      <c r="B158" s="28">
        <v>1.4695316972148358</v>
      </c>
      <c r="C158" s="28">
        <v>0</v>
      </c>
      <c r="D158" s="28">
        <v>65535</v>
      </c>
      <c r="E158" s="28" t="e">
        <v>#NUM!</v>
      </c>
      <c r="F158" s="28">
        <v>1.4695316972148358</v>
      </c>
      <c r="G158" s="28">
        <v>1.4695316972148358</v>
      </c>
      <c r="H158" s="28">
        <v>1.4695316972148358</v>
      </c>
      <c r="I158" s="29">
        <v>1.4695316972148358</v>
      </c>
      <c r="T158" s="22"/>
    </row>
    <row r="159" spans="1:20" x14ac:dyDescent="0.25">
      <c r="A159" s="23"/>
      <c r="T159" s="22"/>
    </row>
    <row r="160" spans="1:20" ht="15.75" thickBot="1" x14ac:dyDescent="0.3">
      <c r="A160" s="109" t="s">
        <v>59</v>
      </c>
      <c r="B160" s="110"/>
      <c r="C160" s="110"/>
      <c r="D160" s="110"/>
      <c r="E160" s="110"/>
      <c r="F160" s="111"/>
      <c r="G160" s="19"/>
      <c r="H160" s="19"/>
      <c r="I160" s="20"/>
      <c r="K160" s="109" t="s">
        <v>61</v>
      </c>
      <c r="L160" s="110"/>
      <c r="M160" s="110"/>
      <c r="N160" s="110"/>
      <c r="O160" s="110"/>
      <c r="P160" s="111"/>
      <c r="T160" s="22"/>
    </row>
    <row r="161" spans="1:20" x14ac:dyDescent="0.25">
      <c r="A161" s="21" t="s">
        <v>34</v>
      </c>
      <c r="B161" s="17"/>
      <c r="I161" s="22"/>
      <c r="K161" s="50" t="s">
        <v>34</v>
      </c>
      <c r="L161" s="50"/>
      <c r="M161" s="51"/>
      <c r="N161" s="51"/>
      <c r="O161" s="51"/>
      <c r="P161" s="51"/>
      <c r="Q161" s="51"/>
      <c r="R161" s="51"/>
      <c r="S161" s="51"/>
      <c r="T161" s="22"/>
    </row>
    <row r="162" spans="1:20" x14ac:dyDescent="0.25">
      <c r="A162" s="23" t="s">
        <v>35</v>
      </c>
      <c r="B162">
        <v>1</v>
      </c>
      <c r="I162" s="22"/>
      <c r="K162" s="51" t="s">
        <v>35</v>
      </c>
      <c r="L162" s="62">
        <v>0.92252196294763389</v>
      </c>
      <c r="M162" s="51"/>
      <c r="N162" s="51"/>
      <c r="O162" s="51"/>
      <c r="P162" s="51"/>
      <c r="Q162" s="51"/>
      <c r="R162" s="51"/>
      <c r="S162" s="51"/>
      <c r="T162" s="22"/>
    </row>
    <row r="163" spans="1:20" x14ac:dyDescent="0.25">
      <c r="A163" s="23" t="s">
        <v>36</v>
      </c>
      <c r="B163">
        <v>1</v>
      </c>
      <c r="I163" s="22"/>
      <c r="K163" s="51" t="s">
        <v>36</v>
      </c>
      <c r="L163" s="62">
        <v>0.85104677212075552</v>
      </c>
      <c r="M163" s="51"/>
      <c r="N163" s="51"/>
      <c r="O163" s="51"/>
      <c r="P163" s="51"/>
      <c r="Q163" s="51"/>
      <c r="R163" s="51"/>
      <c r="S163" s="51"/>
      <c r="T163" s="22"/>
    </row>
    <row r="164" spans="1:20" x14ac:dyDescent="0.25">
      <c r="A164" s="23" t="s">
        <v>37</v>
      </c>
      <c r="B164">
        <v>65535</v>
      </c>
      <c r="I164" s="22"/>
      <c r="K164" s="51" t="s">
        <v>37</v>
      </c>
      <c r="L164" s="62">
        <v>0.55314031636226657</v>
      </c>
      <c r="M164" s="51"/>
      <c r="N164" s="51"/>
      <c r="O164" s="51"/>
      <c r="P164" s="51"/>
      <c r="Q164" s="51"/>
      <c r="R164" s="51"/>
      <c r="S164" s="51"/>
      <c r="T164" s="22"/>
    </row>
    <row r="165" spans="1:20" x14ac:dyDescent="0.25">
      <c r="A165" s="23" t="s">
        <v>38</v>
      </c>
      <c r="B165">
        <v>0</v>
      </c>
      <c r="I165" s="22"/>
      <c r="K165" s="51" t="s">
        <v>38</v>
      </c>
      <c r="L165" s="62">
        <v>2.6843709982234731E-2</v>
      </c>
      <c r="M165" s="51"/>
      <c r="N165" s="51"/>
      <c r="O165" s="51"/>
      <c r="P165" s="51"/>
      <c r="Q165" s="51"/>
      <c r="R165" s="51"/>
      <c r="S165" s="51"/>
      <c r="T165" s="22"/>
    </row>
    <row r="166" spans="1:20" ht="15.75" thickBot="1" x14ac:dyDescent="0.3">
      <c r="A166" s="24" t="s">
        <v>39</v>
      </c>
      <c r="B166" s="15">
        <v>4</v>
      </c>
      <c r="I166" s="22"/>
      <c r="K166" s="55" t="s">
        <v>39</v>
      </c>
      <c r="L166" s="55">
        <v>4</v>
      </c>
      <c r="M166" s="51"/>
      <c r="N166" s="51"/>
      <c r="O166" s="51"/>
      <c r="P166" s="51"/>
      <c r="Q166" s="51"/>
      <c r="R166" s="51"/>
      <c r="S166" s="51"/>
      <c r="T166" s="22"/>
    </row>
    <row r="167" spans="1:20" x14ac:dyDescent="0.25">
      <c r="A167" s="23"/>
      <c r="I167" s="22"/>
      <c r="K167" s="51"/>
      <c r="L167" s="51"/>
      <c r="M167" s="51"/>
      <c r="N167" s="51"/>
      <c r="O167" s="51"/>
      <c r="P167" s="51"/>
      <c r="Q167" s="51"/>
      <c r="R167" s="51"/>
      <c r="S167" s="51"/>
      <c r="T167" s="22"/>
    </row>
    <row r="168" spans="1:20" ht="15.75" thickBot="1" x14ac:dyDescent="0.3">
      <c r="A168" s="23" t="s">
        <v>40</v>
      </c>
      <c r="I168" s="22"/>
      <c r="K168" s="51" t="s">
        <v>40</v>
      </c>
      <c r="L168" s="51"/>
      <c r="M168" s="51"/>
      <c r="N168" s="51"/>
      <c r="O168" s="51"/>
      <c r="P168" s="51"/>
      <c r="Q168" s="51"/>
      <c r="R168" s="51"/>
      <c r="S168" s="51"/>
      <c r="T168" s="22"/>
    </row>
    <row r="169" spans="1:20" x14ac:dyDescent="0.25">
      <c r="A169" s="25"/>
      <c r="B169" s="16" t="s">
        <v>45</v>
      </c>
      <c r="C169" s="16" t="s">
        <v>46</v>
      </c>
      <c r="D169" s="16" t="s">
        <v>47</v>
      </c>
      <c r="E169" s="16" t="s">
        <v>48</v>
      </c>
      <c r="F169" s="16" t="s">
        <v>49</v>
      </c>
      <c r="I169" s="22"/>
      <c r="K169" s="57"/>
      <c r="L169" s="57" t="s">
        <v>45</v>
      </c>
      <c r="M169" s="57" t="s">
        <v>46</v>
      </c>
      <c r="N169" s="57" t="s">
        <v>47</v>
      </c>
      <c r="O169" s="57" t="s">
        <v>48</v>
      </c>
      <c r="P169" s="57" t="s">
        <v>49</v>
      </c>
      <c r="Q169" s="51"/>
      <c r="R169" s="51"/>
      <c r="S169" s="51"/>
      <c r="T169" s="22"/>
    </row>
    <row r="170" spans="1:20" x14ac:dyDescent="0.25">
      <c r="A170" s="23" t="s">
        <v>41</v>
      </c>
      <c r="B170">
        <v>3</v>
      </c>
      <c r="C170">
        <v>4.8376579404811708E-3</v>
      </c>
      <c r="D170">
        <v>1.6125526468270569E-3</v>
      </c>
      <c r="E170" t="e">
        <v>#NUM!</v>
      </c>
      <c r="F170" t="e">
        <v>#NUM!</v>
      </c>
      <c r="I170" s="22"/>
      <c r="K170" s="51" t="s">
        <v>41</v>
      </c>
      <c r="L170" s="51">
        <v>2</v>
      </c>
      <c r="M170" s="51">
        <v>4.1170731748708424E-3</v>
      </c>
      <c r="N170" s="51">
        <v>2.0585365874354212E-3</v>
      </c>
      <c r="O170" s="51">
        <v>2.8567584074468462</v>
      </c>
      <c r="P170" s="51">
        <v>0.38594459172171924</v>
      </c>
      <c r="Q170" s="51"/>
      <c r="R170" s="51"/>
      <c r="S170" s="51"/>
      <c r="T170" s="22"/>
    </row>
    <row r="171" spans="1:20" x14ac:dyDescent="0.25">
      <c r="A171" s="23" t="s">
        <v>42</v>
      </c>
      <c r="B171">
        <v>0</v>
      </c>
      <c r="C171">
        <v>0</v>
      </c>
      <c r="D171">
        <v>65535</v>
      </c>
      <c r="I171" s="22"/>
      <c r="K171" s="51" t="s">
        <v>42</v>
      </c>
      <c r="L171" s="51">
        <v>1</v>
      </c>
      <c r="M171" s="51">
        <v>7.2058476561032852E-4</v>
      </c>
      <c r="N171" s="51">
        <v>7.2058476561032852E-4</v>
      </c>
      <c r="O171" s="51"/>
      <c r="P171" s="51"/>
      <c r="Q171" s="51"/>
      <c r="R171" s="51"/>
      <c r="S171" s="51"/>
      <c r="T171" s="22"/>
    </row>
    <row r="172" spans="1:20" ht="15.75" thickBot="1" x14ac:dyDescent="0.3">
      <c r="A172" s="24" t="s">
        <v>43</v>
      </c>
      <c r="B172" s="15">
        <v>3</v>
      </c>
      <c r="C172" s="15">
        <v>4.8376579404811708E-3</v>
      </c>
      <c r="D172" s="15"/>
      <c r="E172" s="15"/>
      <c r="F172" s="15"/>
      <c r="I172" s="22"/>
      <c r="K172" s="55" t="s">
        <v>43</v>
      </c>
      <c r="L172" s="55">
        <v>3</v>
      </c>
      <c r="M172" s="55">
        <v>4.8376579404811708E-3</v>
      </c>
      <c r="N172" s="55"/>
      <c r="O172" s="55"/>
      <c r="P172" s="55"/>
      <c r="Q172" s="51"/>
      <c r="R172" s="51"/>
      <c r="S172" s="51"/>
      <c r="T172" s="22"/>
    </row>
    <row r="173" spans="1:20" ht="15.75" thickBot="1" x14ac:dyDescent="0.3">
      <c r="A173" s="23"/>
      <c r="I173" s="22"/>
      <c r="K173" s="51"/>
      <c r="L173" s="51"/>
      <c r="M173" s="51"/>
      <c r="N173" s="51"/>
      <c r="O173" s="51"/>
      <c r="P173" s="51"/>
      <c r="Q173" s="51"/>
      <c r="R173" s="51"/>
      <c r="S173" s="51"/>
      <c r="T173" s="22"/>
    </row>
    <row r="174" spans="1:20" x14ac:dyDescent="0.25">
      <c r="A174" s="25"/>
      <c r="B174" s="16" t="s">
        <v>50</v>
      </c>
      <c r="C174" s="16" t="s">
        <v>38</v>
      </c>
      <c r="D174" s="16" t="s">
        <v>51</v>
      </c>
      <c r="E174" s="16" t="s">
        <v>52</v>
      </c>
      <c r="F174" s="16" t="s">
        <v>53</v>
      </c>
      <c r="G174" s="16" t="s">
        <v>54</v>
      </c>
      <c r="H174" s="16" t="s">
        <v>55</v>
      </c>
      <c r="I174" s="26" t="s">
        <v>56</v>
      </c>
      <c r="K174" s="57"/>
      <c r="L174" s="57" t="s">
        <v>50</v>
      </c>
      <c r="M174" s="57" t="s">
        <v>38</v>
      </c>
      <c r="N174" s="57" t="s">
        <v>51</v>
      </c>
      <c r="O174" s="57" t="s">
        <v>52</v>
      </c>
      <c r="P174" s="57" t="s">
        <v>53</v>
      </c>
      <c r="Q174" s="57" t="s">
        <v>54</v>
      </c>
      <c r="R174" s="57" t="s">
        <v>55</v>
      </c>
      <c r="S174" s="57" t="s">
        <v>56</v>
      </c>
      <c r="T174" s="22"/>
    </row>
    <row r="175" spans="1:20" x14ac:dyDescent="0.25">
      <c r="A175" s="23" t="s">
        <v>44</v>
      </c>
      <c r="B175">
        <v>-0.58566732093852858</v>
      </c>
      <c r="C175">
        <v>0</v>
      </c>
      <c r="D175">
        <v>65535</v>
      </c>
      <c r="E175" t="e">
        <v>#NUM!</v>
      </c>
      <c r="F175" t="e">
        <v>#VALUE!</v>
      </c>
      <c r="G175" t="e">
        <v>#VALUE!</v>
      </c>
      <c r="H175">
        <v>-0.58566732093852858</v>
      </c>
      <c r="I175" s="22">
        <v>-0.58566732093852858</v>
      </c>
      <c r="K175" s="51" t="s">
        <v>44</v>
      </c>
      <c r="L175" s="51">
        <v>-0.46465427431734158</v>
      </c>
      <c r="M175" s="51">
        <v>0.26815114380026467</v>
      </c>
      <c r="N175" s="51">
        <v>-1.7328073553303371</v>
      </c>
      <c r="O175" s="51">
        <v>0.33321296445106541</v>
      </c>
      <c r="P175" s="51">
        <v>-3.8718376076829295</v>
      </c>
      <c r="Q175" s="51">
        <v>2.9425290590482462</v>
      </c>
      <c r="R175" s="51">
        <v>-3.8718376076829295</v>
      </c>
      <c r="S175" s="51">
        <v>2.9425290590482462</v>
      </c>
      <c r="T175" s="22"/>
    </row>
    <row r="176" spans="1:20" x14ac:dyDescent="0.25">
      <c r="A176" s="23" t="s">
        <v>24</v>
      </c>
      <c r="B176">
        <v>-1.9411292964449999E-5</v>
      </c>
      <c r="C176">
        <v>0</v>
      </c>
      <c r="D176">
        <v>65535</v>
      </c>
      <c r="E176" t="e">
        <v>#NUM!</v>
      </c>
      <c r="F176">
        <v>-1.9411292964449999E-5</v>
      </c>
      <c r="G176">
        <v>-1.9411292964449999E-5</v>
      </c>
      <c r="H176">
        <v>-1.9411292964449999E-5</v>
      </c>
      <c r="I176" s="22">
        <v>-1.9411292964449999E-5</v>
      </c>
      <c r="K176" s="51" t="s">
        <v>27</v>
      </c>
      <c r="L176" s="51">
        <v>-3.16415749208118E-3</v>
      </c>
      <c r="M176" s="51">
        <v>9.5639255504196274E-3</v>
      </c>
      <c r="N176" s="51">
        <v>-0.33084296562119819</v>
      </c>
      <c r="O176" s="51">
        <v>0.79659517533009883</v>
      </c>
      <c r="P176" s="51">
        <v>-0.12468535361724534</v>
      </c>
      <c r="Q176" s="51">
        <v>0.11835703863308297</v>
      </c>
      <c r="R176" s="51">
        <v>-0.12468535361724534</v>
      </c>
      <c r="S176" s="51">
        <v>0.11835703863308297</v>
      </c>
      <c r="T176" s="22"/>
    </row>
    <row r="177" spans="1:20" ht="15.75" thickBot="1" x14ac:dyDescent="0.3">
      <c r="A177" s="23" t="s">
        <v>27</v>
      </c>
      <c r="B177">
        <v>-6.0994133632796552E-3</v>
      </c>
      <c r="C177">
        <v>0</v>
      </c>
      <c r="D177">
        <v>65535</v>
      </c>
      <c r="E177" t="e">
        <v>#NUM!</v>
      </c>
      <c r="F177">
        <v>-6.0994133632796552E-3</v>
      </c>
      <c r="G177">
        <v>-6.0994133632796552E-3</v>
      </c>
      <c r="H177">
        <v>-6.0994133632796552E-3</v>
      </c>
      <c r="I177" s="22">
        <v>-6.0994133632796552E-3</v>
      </c>
      <c r="K177" s="55" t="s">
        <v>26</v>
      </c>
      <c r="L177" s="55">
        <v>0.52670983882529532</v>
      </c>
      <c r="M177" s="55">
        <v>0.26697627814522851</v>
      </c>
      <c r="N177" s="55">
        <v>1.9728713070858608</v>
      </c>
      <c r="O177" s="55">
        <v>0.29865922638173731</v>
      </c>
      <c r="P177" s="55">
        <v>-2.865545410989903</v>
      </c>
      <c r="Q177" s="55">
        <v>3.9189650886404936</v>
      </c>
      <c r="R177" s="55">
        <v>-2.865545410989903</v>
      </c>
      <c r="S177" s="55">
        <v>3.9189650886404936</v>
      </c>
      <c r="T177" s="22"/>
    </row>
    <row r="178" spans="1:20" x14ac:dyDescent="0.25">
      <c r="A178" s="27" t="s">
        <v>26</v>
      </c>
      <c r="B178" s="28">
        <v>0.67195682478428731</v>
      </c>
      <c r="C178" s="28">
        <v>0</v>
      </c>
      <c r="D178" s="28">
        <v>65535</v>
      </c>
      <c r="E178" s="28" t="e">
        <v>#NUM!</v>
      </c>
      <c r="F178" s="28">
        <v>0.67195682478428731</v>
      </c>
      <c r="G178" s="28">
        <v>0.67195682478428731</v>
      </c>
      <c r="H178" s="28">
        <v>0.67195682478428731</v>
      </c>
      <c r="I178" s="29">
        <v>0.67195682478428731</v>
      </c>
      <c r="T178" s="22"/>
    </row>
    <row r="179" spans="1:20" x14ac:dyDescent="0.25">
      <c r="A179" s="23"/>
      <c r="T179" s="22"/>
    </row>
    <row r="180" spans="1:20" ht="15.75" thickBot="1" x14ac:dyDescent="0.3">
      <c r="A180" s="112" t="s">
        <v>68</v>
      </c>
      <c r="B180" s="113"/>
      <c r="C180" s="113"/>
      <c r="D180" s="113"/>
      <c r="E180" s="113"/>
      <c r="F180" s="114"/>
      <c r="G180" s="19"/>
      <c r="H180" s="19"/>
      <c r="I180" s="20"/>
      <c r="K180" s="112" t="s">
        <v>69</v>
      </c>
      <c r="L180" s="113"/>
      <c r="M180" s="113"/>
      <c r="N180" s="113"/>
      <c r="O180" s="113"/>
      <c r="P180" s="114"/>
      <c r="T180" s="22"/>
    </row>
    <row r="181" spans="1:20" x14ac:dyDescent="0.25">
      <c r="A181" s="21" t="s">
        <v>34</v>
      </c>
      <c r="B181" s="17"/>
      <c r="I181" s="22"/>
      <c r="K181" s="69" t="s">
        <v>34</v>
      </c>
      <c r="L181" s="69"/>
      <c r="M181" s="70"/>
      <c r="N181" s="70"/>
      <c r="O181" s="70"/>
      <c r="P181" s="70"/>
      <c r="Q181" s="70"/>
      <c r="R181" s="70"/>
      <c r="S181" s="70"/>
      <c r="T181" s="22"/>
    </row>
    <row r="182" spans="1:20" x14ac:dyDescent="0.25">
      <c r="A182" s="23" t="s">
        <v>35</v>
      </c>
      <c r="B182">
        <v>1</v>
      </c>
      <c r="I182" s="22"/>
      <c r="K182" s="70" t="s">
        <v>35</v>
      </c>
      <c r="L182" s="62">
        <v>0.94764820514366632</v>
      </c>
      <c r="M182" s="70"/>
      <c r="N182" s="70"/>
      <c r="O182" s="70"/>
      <c r="P182" s="70"/>
      <c r="Q182" s="70"/>
      <c r="R182" s="70"/>
      <c r="S182" s="70"/>
      <c r="T182" s="22"/>
    </row>
    <row r="183" spans="1:20" x14ac:dyDescent="0.25">
      <c r="A183" s="23" t="s">
        <v>36</v>
      </c>
      <c r="B183">
        <v>1</v>
      </c>
      <c r="I183" s="22"/>
      <c r="K183" s="70" t="s">
        <v>36</v>
      </c>
      <c r="L183" s="62">
        <v>0.89803712071201225</v>
      </c>
      <c r="M183" s="70"/>
      <c r="N183" s="70"/>
      <c r="O183" s="70"/>
      <c r="P183" s="70"/>
      <c r="Q183" s="70"/>
      <c r="R183" s="70"/>
      <c r="S183" s="70"/>
      <c r="T183" s="22"/>
    </row>
    <row r="184" spans="1:20" x14ac:dyDescent="0.25">
      <c r="A184" s="23" t="s">
        <v>37</v>
      </c>
      <c r="B184">
        <v>65535</v>
      </c>
      <c r="I184" s="22"/>
      <c r="K184" s="70" t="s">
        <v>37</v>
      </c>
      <c r="L184" s="62">
        <v>0.69411136213603664</v>
      </c>
      <c r="M184" s="70"/>
      <c r="N184" s="70"/>
      <c r="O184" s="70"/>
      <c r="P184" s="70"/>
      <c r="Q184" s="70"/>
      <c r="R184" s="70"/>
      <c r="S184" s="70"/>
      <c r="T184" s="22"/>
    </row>
    <row r="185" spans="1:20" x14ac:dyDescent="0.25">
      <c r="A185" s="23" t="s">
        <v>38</v>
      </c>
      <c r="B185">
        <v>0</v>
      </c>
      <c r="I185" s="22"/>
      <c r="K185" s="70" t="s">
        <v>38</v>
      </c>
      <c r="L185" s="70">
        <v>0.1348928838666591</v>
      </c>
      <c r="M185" s="70"/>
      <c r="N185" s="70"/>
      <c r="O185" s="70"/>
      <c r="P185" s="70"/>
      <c r="Q185" s="70"/>
      <c r="R185" s="70"/>
      <c r="S185" s="70"/>
      <c r="T185" s="22"/>
    </row>
    <row r="186" spans="1:20" ht="15.75" thickBot="1" x14ac:dyDescent="0.3">
      <c r="A186" s="24" t="s">
        <v>39</v>
      </c>
      <c r="B186" s="15">
        <v>4</v>
      </c>
      <c r="I186" s="22"/>
      <c r="K186" s="74" t="s">
        <v>39</v>
      </c>
      <c r="L186" s="74">
        <v>4</v>
      </c>
      <c r="M186" s="70"/>
      <c r="N186" s="70"/>
      <c r="O186" s="70"/>
      <c r="P186" s="70"/>
      <c r="Q186" s="70"/>
      <c r="R186" s="70"/>
      <c r="S186" s="70"/>
      <c r="T186" s="22"/>
    </row>
    <row r="187" spans="1:20" x14ac:dyDescent="0.25">
      <c r="A187" s="23"/>
      <c r="I187" s="22"/>
      <c r="K187" s="70"/>
      <c r="L187" s="70"/>
      <c r="M187" s="70"/>
      <c r="N187" s="70"/>
      <c r="O187" s="70"/>
      <c r="P187" s="70"/>
      <c r="Q187" s="70"/>
      <c r="R187" s="70"/>
      <c r="S187" s="70"/>
      <c r="T187" s="22"/>
    </row>
    <row r="188" spans="1:20" ht="15.75" thickBot="1" x14ac:dyDescent="0.3">
      <c r="A188" s="23" t="s">
        <v>40</v>
      </c>
      <c r="I188" s="22"/>
      <c r="K188" s="70" t="s">
        <v>40</v>
      </c>
      <c r="L188" s="70"/>
      <c r="M188" s="70"/>
      <c r="N188" s="70"/>
      <c r="O188" s="70"/>
      <c r="P188" s="70"/>
      <c r="Q188" s="70"/>
      <c r="R188" s="70"/>
      <c r="S188" s="70"/>
      <c r="T188" s="22"/>
    </row>
    <row r="189" spans="1:20" x14ac:dyDescent="0.25">
      <c r="A189" s="25"/>
      <c r="B189" s="16" t="s">
        <v>45</v>
      </c>
      <c r="C189" s="16" t="s">
        <v>46</v>
      </c>
      <c r="D189" s="16" t="s">
        <v>47</v>
      </c>
      <c r="E189" s="16" t="s">
        <v>48</v>
      </c>
      <c r="F189" s="16" t="s">
        <v>49</v>
      </c>
      <c r="I189" s="22"/>
      <c r="K189" s="76"/>
      <c r="L189" s="76" t="s">
        <v>45</v>
      </c>
      <c r="M189" s="76" t="s">
        <v>46</v>
      </c>
      <c r="N189" s="76" t="s">
        <v>47</v>
      </c>
      <c r="O189" s="76" t="s">
        <v>48</v>
      </c>
      <c r="P189" s="76" t="s">
        <v>49</v>
      </c>
      <c r="Q189" s="70"/>
      <c r="R189" s="70"/>
      <c r="S189" s="70"/>
      <c r="T189" s="22"/>
    </row>
    <row r="190" spans="1:20" x14ac:dyDescent="0.25">
      <c r="A190" s="23" t="s">
        <v>41</v>
      </c>
      <c r="B190">
        <v>3</v>
      </c>
      <c r="C190">
        <v>0.17845798632726179</v>
      </c>
      <c r="D190">
        <v>5.9485995442420593E-2</v>
      </c>
      <c r="E190" t="e">
        <v>#NUM!</v>
      </c>
      <c r="F190" t="e">
        <v>#NUM!</v>
      </c>
      <c r="I190" s="22"/>
      <c r="K190" s="70" t="s">
        <v>41</v>
      </c>
      <c r="L190" s="70">
        <v>2</v>
      </c>
      <c r="M190" s="70">
        <v>0.16026189620939782</v>
      </c>
      <c r="N190" s="70">
        <v>8.013094810469891E-2</v>
      </c>
      <c r="O190" s="70">
        <v>4.4037453972614973</v>
      </c>
      <c r="P190" s="70">
        <v>0.31931626843615069</v>
      </c>
      <c r="Q190" s="70"/>
      <c r="R190" s="70"/>
      <c r="S190" s="70"/>
      <c r="T190" s="22"/>
    </row>
    <row r="191" spans="1:20" x14ac:dyDescent="0.25">
      <c r="A191" s="23" t="s">
        <v>42</v>
      </c>
      <c r="B191">
        <v>0</v>
      </c>
      <c r="C191">
        <v>0</v>
      </c>
      <c r="D191">
        <v>65535</v>
      </c>
      <c r="I191" s="22"/>
      <c r="K191" s="70" t="s">
        <v>42</v>
      </c>
      <c r="L191" s="70">
        <v>1</v>
      </c>
      <c r="M191" s="70">
        <v>1.8196090117863977E-2</v>
      </c>
      <c r="N191" s="70">
        <v>1.8196090117863977E-2</v>
      </c>
      <c r="O191" s="70"/>
      <c r="P191" s="70"/>
      <c r="Q191" s="70"/>
      <c r="R191" s="70"/>
      <c r="S191" s="70"/>
      <c r="T191" s="22"/>
    </row>
    <row r="192" spans="1:20" ht="15.75" thickBot="1" x14ac:dyDescent="0.3">
      <c r="A192" s="24" t="s">
        <v>43</v>
      </c>
      <c r="B192" s="15">
        <v>3</v>
      </c>
      <c r="C192" s="15">
        <v>0.17845798632726179</v>
      </c>
      <c r="D192" s="15"/>
      <c r="E192" s="15"/>
      <c r="F192" s="15"/>
      <c r="I192" s="22"/>
      <c r="K192" s="74" t="s">
        <v>43</v>
      </c>
      <c r="L192" s="74">
        <v>3</v>
      </c>
      <c r="M192" s="74">
        <v>0.17845798632726179</v>
      </c>
      <c r="N192" s="74"/>
      <c r="O192" s="74"/>
      <c r="P192" s="74"/>
      <c r="Q192" s="70"/>
      <c r="R192" s="70"/>
      <c r="S192" s="70"/>
      <c r="T192" s="22"/>
    </row>
    <row r="193" spans="1:20" ht="15.75" thickBot="1" x14ac:dyDescent="0.3">
      <c r="A193" s="23"/>
      <c r="I193" s="22"/>
      <c r="K193" s="70"/>
      <c r="L193" s="70"/>
      <c r="M193" s="70"/>
      <c r="N193" s="70"/>
      <c r="O193" s="70"/>
      <c r="P193" s="70"/>
      <c r="Q193" s="70"/>
      <c r="R193" s="70"/>
      <c r="S193" s="70"/>
      <c r="T193" s="22"/>
    </row>
    <row r="194" spans="1:20" x14ac:dyDescent="0.25">
      <c r="A194" s="25"/>
      <c r="B194" s="16" t="s">
        <v>50</v>
      </c>
      <c r="C194" s="16" t="s">
        <v>38</v>
      </c>
      <c r="D194" s="16" t="s">
        <v>51</v>
      </c>
      <c r="E194" s="16" t="s">
        <v>52</v>
      </c>
      <c r="F194" s="16" t="s">
        <v>53</v>
      </c>
      <c r="G194" s="16" t="s">
        <v>54</v>
      </c>
      <c r="H194" s="16" t="s">
        <v>55</v>
      </c>
      <c r="I194" s="26" t="s">
        <v>56</v>
      </c>
      <c r="K194" s="76"/>
      <c r="L194" s="76" t="s">
        <v>50</v>
      </c>
      <c r="M194" s="76" t="s">
        <v>38</v>
      </c>
      <c r="N194" s="76" t="s">
        <v>51</v>
      </c>
      <c r="O194" s="76" t="s">
        <v>52</v>
      </c>
      <c r="P194" s="76" t="s">
        <v>53</v>
      </c>
      <c r="Q194" s="76" t="s">
        <v>54</v>
      </c>
      <c r="R194" s="76" t="s">
        <v>55</v>
      </c>
      <c r="S194" s="76" t="s">
        <v>56</v>
      </c>
      <c r="T194" s="22"/>
    </row>
    <row r="195" spans="1:20" x14ac:dyDescent="0.25">
      <c r="A195" s="23" t="s">
        <v>44</v>
      </c>
      <c r="B195">
        <v>-1.4086504441638614</v>
      </c>
      <c r="C195">
        <v>0</v>
      </c>
      <c r="D195">
        <v>65535</v>
      </c>
      <c r="E195" t="e">
        <v>#NUM!</v>
      </c>
      <c r="F195" t="e">
        <v>#VALUE!</v>
      </c>
      <c r="G195" t="e">
        <v>#VALUE!</v>
      </c>
      <c r="H195">
        <v>-1.4086504441638614</v>
      </c>
      <c r="I195" s="22">
        <v>-1.4086504441638614</v>
      </c>
      <c r="K195" s="70" t="s">
        <v>44</v>
      </c>
      <c r="L195" s="70">
        <v>-2.0167556149850894</v>
      </c>
      <c r="M195" s="70">
        <v>1.3474918751282687</v>
      </c>
      <c r="N195" s="70">
        <v>-1.4966736736673183</v>
      </c>
      <c r="O195" s="70">
        <v>0.37498665604485787</v>
      </c>
      <c r="P195" s="70">
        <v>-19.138263260696835</v>
      </c>
      <c r="Q195" s="70">
        <v>15.104752030726655</v>
      </c>
      <c r="R195" s="70">
        <v>-19.138263260696835</v>
      </c>
      <c r="S195" s="70">
        <v>15.104752030726655</v>
      </c>
      <c r="T195" s="22"/>
    </row>
    <row r="196" spans="1:20" x14ac:dyDescent="0.25">
      <c r="A196" s="23" t="s">
        <v>24</v>
      </c>
      <c r="B196">
        <v>9.7544090935572874E-5</v>
      </c>
      <c r="C196">
        <v>0</v>
      </c>
      <c r="D196">
        <v>65535</v>
      </c>
      <c r="E196" t="e">
        <v>#NUM!</v>
      </c>
      <c r="F196">
        <v>9.7544090935572874E-5</v>
      </c>
      <c r="G196">
        <v>9.7544090935572874E-5</v>
      </c>
      <c r="H196">
        <v>9.7544090935572874E-5</v>
      </c>
      <c r="I196" s="22">
        <v>9.7544090935572874E-5</v>
      </c>
      <c r="K196" s="70" t="s">
        <v>27</v>
      </c>
      <c r="L196" s="70">
        <v>-0.14188641327481924</v>
      </c>
      <c r="M196" s="70">
        <v>4.8059880673570275E-2</v>
      </c>
      <c r="N196" s="70">
        <v>-2.9522839275971671</v>
      </c>
      <c r="O196" s="70">
        <v>0.20791455577560572</v>
      </c>
      <c r="P196" s="70">
        <v>-0.75254509670932912</v>
      </c>
      <c r="Q196" s="70">
        <v>0.4687722701596907</v>
      </c>
      <c r="R196" s="70">
        <v>-0.75254509670932912</v>
      </c>
      <c r="S196" s="70">
        <v>0.4687722701596907</v>
      </c>
      <c r="T196" s="22"/>
    </row>
    <row r="197" spans="1:20" ht="15.75" thickBot="1" x14ac:dyDescent="0.3">
      <c r="A197" s="23" t="s">
        <v>27</v>
      </c>
      <c r="B197">
        <v>-0.12713639810871361</v>
      </c>
      <c r="C197">
        <v>0</v>
      </c>
      <c r="D197">
        <v>65535</v>
      </c>
      <c r="E197" t="e">
        <v>#NUM!</v>
      </c>
      <c r="F197">
        <v>-0.12713639810871361</v>
      </c>
      <c r="G197">
        <v>-0.12713639810871361</v>
      </c>
      <c r="H197">
        <v>-0.12713639810871361</v>
      </c>
      <c r="I197" s="22">
        <v>-0.12713639810871361</v>
      </c>
      <c r="K197" s="74" t="s">
        <v>26</v>
      </c>
      <c r="L197" s="74">
        <v>2.3671497488165221</v>
      </c>
      <c r="M197" s="74">
        <v>1.3415880333542143</v>
      </c>
      <c r="N197" s="74">
        <v>1.7644386279282895</v>
      </c>
      <c r="O197" s="74">
        <v>0.32825005084645686</v>
      </c>
      <c r="P197" s="74">
        <v>-14.679342474584104</v>
      </c>
      <c r="Q197" s="74">
        <v>19.41364197221715</v>
      </c>
      <c r="R197" s="74">
        <v>-14.679342474584104</v>
      </c>
      <c r="S197" s="74">
        <v>19.41364197221715</v>
      </c>
      <c r="T197" s="22"/>
    </row>
    <row r="198" spans="1:20" x14ac:dyDescent="0.25">
      <c r="A198" s="27" t="s">
        <v>26</v>
      </c>
      <c r="B198" s="28">
        <v>1.6372661067299727</v>
      </c>
      <c r="C198" s="28">
        <v>0</v>
      </c>
      <c r="D198" s="28">
        <v>65535</v>
      </c>
      <c r="E198" s="28" t="e">
        <v>#NUM!</v>
      </c>
      <c r="F198" s="28">
        <v>1.6372661067299727</v>
      </c>
      <c r="G198" s="28">
        <v>1.6372661067299727</v>
      </c>
      <c r="H198" s="28">
        <v>1.6372661067299727</v>
      </c>
      <c r="I198" s="29">
        <v>1.6372661067299727</v>
      </c>
      <c r="T198" s="22"/>
    </row>
    <row r="199" spans="1:20" x14ac:dyDescent="0.25">
      <c r="A199" s="23"/>
      <c r="T199" s="22"/>
    </row>
    <row r="200" spans="1:20" ht="15.75" thickBot="1" x14ac:dyDescent="0.3">
      <c r="A200" s="103" t="s">
        <v>66</v>
      </c>
      <c r="B200" s="104"/>
      <c r="C200" s="104"/>
      <c r="D200" s="104"/>
      <c r="E200" s="104"/>
      <c r="F200" s="105"/>
      <c r="K200" s="103" t="s">
        <v>67</v>
      </c>
      <c r="L200" s="104"/>
      <c r="M200" s="104"/>
      <c r="N200" s="104"/>
      <c r="O200" s="104"/>
      <c r="P200" s="105"/>
      <c r="T200" s="22"/>
    </row>
    <row r="201" spans="1:20" x14ac:dyDescent="0.25">
      <c r="A201" s="95" t="s">
        <v>34</v>
      </c>
      <c r="B201" s="91"/>
      <c r="C201" s="92"/>
      <c r="D201" s="92"/>
      <c r="E201" s="92"/>
      <c r="F201" s="92"/>
      <c r="G201" s="92"/>
      <c r="H201" s="92"/>
      <c r="I201" s="92"/>
      <c r="K201" s="91" t="s">
        <v>34</v>
      </c>
      <c r="L201" s="91"/>
      <c r="M201" s="92"/>
      <c r="N201" s="92"/>
      <c r="O201" s="92"/>
      <c r="P201" s="92"/>
      <c r="Q201" s="92"/>
      <c r="R201" s="92"/>
      <c r="S201" s="92"/>
      <c r="T201" s="22"/>
    </row>
    <row r="202" spans="1:20" x14ac:dyDescent="0.25">
      <c r="A202" s="96" t="s">
        <v>35</v>
      </c>
      <c r="B202" s="92">
        <v>1</v>
      </c>
      <c r="C202" s="92"/>
      <c r="D202" s="92"/>
      <c r="E202" s="92"/>
      <c r="F202" s="92"/>
      <c r="G202" s="92"/>
      <c r="H202" s="92"/>
      <c r="I202" s="92"/>
      <c r="K202" s="92" t="s">
        <v>35</v>
      </c>
      <c r="L202" s="62">
        <v>0.70811169406088981</v>
      </c>
      <c r="M202" s="92"/>
      <c r="N202" s="92"/>
      <c r="O202" s="92"/>
      <c r="P202" s="92"/>
      <c r="Q202" s="92"/>
      <c r="R202" s="92"/>
      <c r="S202" s="92"/>
      <c r="T202" s="22"/>
    </row>
    <row r="203" spans="1:20" x14ac:dyDescent="0.25">
      <c r="A203" s="96" t="s">
        <v>36</v>
      </c>
      <c r="B203" s="92">
        <v>1</v>
      </c>
      <c r="C203" s="92"/>
      <c r="D203" s="92"/>
      <c r="E203" s="92"/>
      <c r="F203" s="92"/>
      <c r="G203" s="92"/>
      <c r="H203" s="92"/>
      <c r="I203" s="92"/>
      <c r="K203" s="92" t="s">
        <v>36</v>
      </c>
      <c r="L203" s="62">
        <v>0.50142217126578315</v>
      </c>
      <c r="M203" s="92"/>
      <c r="N203" s="92"/>
      <c r="O203" s="92"/>
      <c r="P203" s="92"/>
      <c r="Q203" s="92"/>
      <c r="R203" s="92"/>
      <c r="S203" s="92"/>
      <c r="T203" s="22"/>
    </row>
    <row r="204" spans="1:20" x14ac:dyDescent="0.25">
      <c r="A204" s="96" t="s">
        <v>37</v>
      </c>
      <c r="B204" s="92">
        <v>65535</v>
      </c>
      <c r="C204" s="92"/>
      <c r="D204" s="92"/>
      <c r="E204" s="92"/>
      <c r="F204" s="92"/>
      <c r="G204" s="92"/>
      <c r="H204" s="92"/>
      <c r="I204" s="92"/>
      <c r="K204" s="92" t="s">
        <v>37</v>
      </c>
      <c r="L204" s="62">
        <v>-0.49573348620265056</v>
      </c>
      <c r="M204" s="92"/>
      <c r="N204" s="92"/>
      <c r="O204" s="92"/>
      <c r="P204" s="92"/>
      <c r="Q204" s="92"/>
      <c r="R204" s="92"/>
      <c r="S204" s="92"/>
      <c r="T204" s="22"/>
    </row>
    <row r="205" spans="1:20" x14ac:dyDescent="0.25">
      <c r="A205" s="96" t="s">
        <v>38</v>
      </c>
      <c r="B205" s="92">
        <v>0</v>
      </c>
      <c r="C205" s="92"/>
      <c r="D205" s="92"/>
      <c r="E205" s="92"/>
      <c r="F205" s="92"/>
      <c r="G205" s="92"/>
      <c r="H205" s="92"/>
      <c r="I205" s="92"/>
      <c r="K205" s="92" t="s">
        <v>38</v>
      </c>
      <c r="L205" s="92">
        <v>0.33553635289195244</v>
      </c>
      <c r="M205" s="92"/>
      <c r="N205" s="92"/>
      <c r="O205" s="92"/>
      <c r="P205" s="92"/>
      <c r="Q205" s="92"/>
      <c r="R205" s="92"/>
      <c r="S205" s="92"/>
      <c r="T205" s="22"/>
    </row>
    <row r="206" spans="1:20" ht="15.75" thickBot="1" x14ac:dyDescent="0.3">
      <c r="A206" s="97" t="s">
        <v>39</v>
      </c>
      <c r="B206" s="93">
        <v>4</v>
      </c>
      <c r="C206" s="92"/>
      <c r="D206" s="92"/>
      <c r="E206" s="92"/>
      <c r="F206" s="92"/>
      <c r="G206" s="92"/>
      <c r="H206" s="92"/>
      <c r="I206" s="92"/>
      <c r="K206" s="93" t="s">
        <v>39</v>
      </c>
      <c r="L206" s="93">
        <v>4</v>
      </c>
      <c r="M206" s="92"/>
      <c r="N206" s="92"/>
      <c r="O206" s="92"/>
      <c r="P206" s="92"/>
      <c r="Q206" s="92"/>
      <c r="R206" s="92"/>
      <c r="S206" s="92"/>
      <c r="T206" s="22"/>
    </row>
    <row r="207" spans="1:20" x14ac:dyDescent="0.25">
      <c r="A207" s="96"/>
      <c r="B207" s="92"/>
      <c r="C207" s="92"/>
      <c r="D207" s="92"/>
      <c r="E207" s="92"/>
      <c r="F207" s="92"/>
      <c r="G207" s="92"/>
      <c r="H207" s="92"/>
      <c r="I207" s="92"/>
      <c r="K207" s="92"/>
      <c r="L207" s="92"/>
      <c r="M207" s="92"/>
      <c r="N207" s="92"/>
      <c r="O207" s="92"/>
      <c r="P207" s="92"/>
      <c r="Q207" s="92"/>
      <c r="R207" s="92"/>
      <c r="S207" s="92"/>
      <c r="T207" s="22"/>
    </row>
    <row r="208" spans="1:20" ht="15.75" thickBot="1" x14ac:dyDescent="0.3">
      <c r="A208" s="96" t="s">
        <v>40</v>
      </c>
      <c r="B208" s="92"/>
      <c r="C208" s="92"/>
      <c r="D208" s="92"/>
      <c r="E208" s="92"/>
      <c r="F208" s="92"/>
      <c r="G208" s="92"/>
      <c r="H208" s="92"/>
      <c r="I208" s="92"/>
      <c r="K208" s="92" t="s">
        <v>40</v>
      </c>
      <c r="L208" s="92"/>
      <c r="M208" s="92"/>
      <c r="N208" s="92"/>
      <c r="O208" s="92"/>
      <c r="P208" s="92"/>
      <c r="Q208" s="92"/>
      <c r="R208" s="92"/>
      <c r="S208" s="92"/>
      <c r="T208" s="22"/>
    </row>
    <row r="209" spans="1:20" x14ac:dyDescent="0.25">
      <c r="A209" s="98"/>
      <c r="B209" s="94" t="s">
        <v>45</v>
      </c>
      <c r="C209" s="94" t="s">
        <v>46</v>
      </c>
      <c r="D209" s="94" t="s">
        <v>47</v>
      </c>
      <c r="E209" s="94" t="s">
        <v>48</v>
      </c>
      <c r="F209" s="94" t="s">
        <v>49</v>
      </c>
      <c r="G209" s="92"/>
      <c r="H209" s="92"/>
      <c r="I209" s="92"/>
      <c r="K209" s="94"/>
      <c r="L209" s="94" t="s">
        <v>45</v>
      </c>
      <c r="M209" s="94" t="s">
        <v>46</v>
      </c>
      <c r="N209" s="94" t="s">
        <v>47</v>
      </c>
      <c r="O209" s="94" t="s">
        <v>48</v>
      </c>
      <c r="P209" s="94" t="s">
        <v>49</v>
      </c>
      <c r="Q209" s="92"/>
      <c r="R209" s="92"/>
      <c r="S209" s="92"/>
      <c r="T209" s="22"/>
    </row>
    <row r="210" spans="1:20" x14ac:dyDescent="0.25">
      <c r="A210" s="96" t="s">
        <v>41</v>
      </c>
      <c r="B210" s="92">
        <v>3</v>
      </c>
      <c r="C210" s="92">
        <v>0.22581157368722415</v>
      </c>
      <c r="D210" s="92">
        <v>7.5270524562408056E-2</v>
      </c>
      <c r="E210" s="92" t="e">
        <v>#NUM!</v>
      </c>
      <c r="F210" s="92" t="e">
        <v>#NUM!</v>
      </c>
      <c r="G210" s="92"/>
      <c r="H210" s="92"/>
      <c r="I210" s="92"/>
      <c r="K210" s="92" t="s">
        <v>41</v>
      </c>
      <c r="L210" s="92">
        <v>2</v>
      </c>
      <c r="M210" s="92">
        <v>0.11322692957519132</v>
      </c>
      <c r="N210" s="92">
        <v>5.6613464787595658E-2</v>
      </c>
      <c r="O210" s="92">
        <v>0.50285245589318261</v>
      </c>
      <c r="P210" s="92">
        <v>0.7061004381348428</v>
      </c>
      <c r="Q210" s="92"/>
      <c r="R210" s="92"/>
      <c r="S210" s="92"/>
      <c r="T210" s="22"/>
    </row>
    <row r="211" spans="1:20" x14ac:dyDescent="0.25">
      <c r="A211" s="96" t="s">
        <v>42</v>
      </c>
      <c r="B211" s="92">
        <v>0</v>
      </c>
      <c r="C211" s="92">
        <v>0</v>
      </c>
      <c r="D211" s="92">
        <v>65535</v>
      </c>
      <c r="E211" s="92"/>
      <c r="F211" s="92"/>
      <c r="G211" s="92"/>
      <c r="H211" s="92"/>
      <c r="I211" s="92"/>
      <c r="K211" s="92" t="s">
        <v>42</v>
      </c>
      <c r="L211" s="92">
        <v>1</v>
      </c>
      <c r="M211" s="92">
        <v>0.11258464411203284</v>
      </c>
      <c r="N211" s="92">
        <v>0.11258464411203284</v>
      </c>
      <c r="O211" s="92"/>
      <c r="P211" s="92"/>
      <c r="Q211" s="92"/>
      <c r="R211" s="92"/>
      <c r="S211" s="92"/>
      <c r="T211" s="22"/>
    </row>
    <row r="212" spans="1:20" ht="15.75" thickBot="1" x14ac:dyDescent="0.3">
      <c r="A212" s="97" t="s">
        <v>43</v>
      </c>
      <c r="B212" s="93">
        <v>3</v>
      </c>
      <c r="C212" s="93">
        <v>0.22581157368722415</v>
      </c>
      <c r="D212" s="93"/>
      <c r="E212" s="93"/>
      <c r="F212" s="93"/>
      <c r="G212" s="92"/>
      <c r="H212" s="92"/>
      <c r="I212" s="92"/>
      <c r="K212" s="93" t="s">
        <v>43</v>
      </c>
      <c r="L212" s="93">
        <v>3</v>
      </c>
      <c r="M212" s="93">
        <v>0.22581157368722415</v>
      </c>
      <c r="N212" s="93"/>
      <c r="O212" s="93"/>
      <c r="P212" s="93"/>
      <c r="Q212" s="92"/>
      <c r="R212" s="92"/>
      <c r="S212" s="92"/>
      <c r="T212" s="22"/>
    </row>
    <row r="213" spans="1:20" ht="15.75" thickBot="1" x14ac:dyDescent="0.3">
      <c r="A213" s="96"/>
      <c r="B213" s="92"/>
      <c r="C213" s="92"/>
      <c r="D213" s="92"/>
      <c r="E213" s="92"/>
      <c r="F213" s="92"/>
      <c r="G213" s="92"/>
      <c r="H213" s="92"/>
      <c r="I213" s="92"/>
      <c r="K213" s="92"/>
      <c r="L213" s="92"/>
      <c r="M213" s="92"/>
      <c r="N213" s="92"/>
      <c r="O213" s="92"/>
      <c r="P213" s="92"/>
      <c r="Q213" s="92"/>
      <c r="R213" s="92"/>
      <c r="S213" s="92"/>
      <c r="T213" s="22"/>
    </row>
    <row r="214" spans="1:20" x14ac:dyDescent="0.25">
      <c r="A214" s="98"/>
      <c r="B214" s="94" t="s">
        <v>50</v>
      </c>
      <c r="C214" s="94" t="s">
        <v>38</v>
      </c>
      <c r="D214" s="94" t="s">
        <v>51</v>
      </c>
      <c r="E214" s="94" t="s">
        <v>52</v>
      </c>
      <c r="F214" s="94" t="s">
        <v>53</v>
      </c>
      <c r="G214" s="94" t="s">
        <v>54</v>
      </c>
      <c r="H214" s="94" t="s">
        <v>55</v>
      </c>
      <c r="I214" s="94" t="s">
        <v>56</v>
      </c>
      <c r="K214" s="94"/>
      <c r="L214" s="94" t="s">
        <v>50</v>
      </c>
      <c r="M214" s="94" t="s">
        <v>38</v>
      </c>
      <c r="N214" s="94" t="s">
        <v>51</v>
      </c>
      <c r="O214" s="94" t="s">
        <v>52</v>
      </c>
      <c r="P214" s="94" t="s">
        <v>53</v>
      </c>
      <c r="Q214" s="94" t="s">
        <v>54</v>
      </c>
      <c r="R214" s="94" t="s">
        <v>55</v>
      </c>
      <c r="S214" s="94" t="s">
        <v>56</v>
      </c>
      <c r="T214" s="22"/>
    </row>
    <row r="215" spans="1:20" x14ac:dyDescent="0.25">
      <c r="A215" s="96" t="s">
        <v>44</v>
      </c>
      <c r="B215" s="92">
        <v>0.81732620106327336</v>
      </c>
      <c r="C215" s="92">
        <v>0</v>
      </c>
      <c r="D215" s="92">
        <v>65535</v>
      </c>
      <c r="E215" s="92" t="e">
        <v>#NUM!</v>
      </c>
      <c r="F215" s="92" t="e">
        <v>#VALUE!</v>
      </c>
      <c r="G215" s="92" t="e">
        <v>#VALUE!</v>
      </c>
      <c r="H215" s="92">
        <v>0.81732620106327336</v>
      </c>
      <c r="I215" s="92">
        <v>0.81732620106327336</v>
      </c>
      <c r="K215" s="92" t="s">
        <v>44</v>
      </c>
      <c r="L215" s="92">
        <v>-0.69529170244145222</v>
      </c>
      <c r="M215" s="92">
        <v>3.351789185402902</v>
      </c>
      <c r="N215" s="92">
        <v>-0.2074389718391178</v>
      </c>
      <c r="O215" s="92">
        <v>0.86978701542677372</v>
      </c>
      <c r="P215" s="92">
        <v>-43.283811324666971</v>
      </c>
      <c r="Q215" s="92">
        <v>41.893227919784067</v>
      </c>
      <c r="R215" s="92">
        <v>-43.283811324666971</v>
      </c>
      <c r="S215" s="92">
        <v>41.893227919784067</v>
      </c>
      <c r="T215" s="22"/>
    </row>
    <row r="216" spans="1:20" x14ac:dyDescent="0.25">
      <c r="A216" s="96" t="s">
        <v>24</v>
      </c>
      <c r="B216" s="92">
        <v>2.4263391500352327E-4</v>
      </c>
      <c r="C216" s="92">
        <v>0</v>
      </c>
      <c r="D216" s="92">
        <v>65535</v>
      </c>
      <c r="E216" s="92" t="e">
        <v>#NUM!</v>
      </c>
      <c r="F216" s="92">
        <v>2.4263391500352327E-4</v>
      </c>
      <c r="G216" s="92">
        <v>2.4263391500352327E-4</v>
      </c>
      <c r="H216" s="92">
        <v>2.4263391500352327E-4</v>
      </c>
      <c r="I216" s="92">
        <v>2.4263391500352327E-4</v>
      </c>
      <c r="K216" s="92" t="s">
        <v>27</v>
      </c>
      <c r="L216" s="92">
        <v>8.0455903305523158E-2</v>
      </c>
      <c r="M216" s="92">
        <v>0.11954549876457905</v>
      </c>
      <c r="N216" s="92">
        <v>0.67301491178655726</v>
      </c>
      <c r="O216" s="92">
        <v>0.62287620301292768</v>
      </c>
      <c r="P216" s="92">
        <v>-1.4385136792853386</v>
      </c>
      <c r="Q216" s="92">
        <v>1.599425485896385</v>
      </c>
      <c r="R216" s="92">
        <v>-1.4385136792853386</v>
      </c>
      <c r="S216" s="92">
        <v>1.599425485896385</v>
      </c>
      <c r="T216" s="22"/>
    </row>
    <row r="217" spans="1:20" ht="15.75" thickBot="1" x14ac:dyDescent="0.3">
      <c r="A217" s="96" t="s">
        <v>27</v>
      </c>
      <c r="B217" s="92">
        <v>0.11714550584103063</v>
      </c>
      <c r="C217" s="92">
        <v>0</v>
      </c>
      <c r="D217" s="92">
        <v>65535</v>
      </c>
      <c r="E217" s="92" t="e">
        <v>#NUM!</v>
      </c>
      <c r="F217" s="92">
        <v>0.11714550584103063</v>
      </c>
      <c r="G217" s="92">
        <v>0.11714550584103063</v>
      </c>
      <c r="H217" s="92">
        <v>0.11714550584103063</v>
      </c>
      <c r="I217" s="92">
        <v>0.11714550584103063</v>
      </c>
      <c r="K217" s="93" t="s">
        <v>26</v>
      </c>
      <c r="L217" s="93">
        <v>0.32177687766871671</v>
      </c>
      <c r="M217" s="93">
        <v>3.3371038033417135</v>
      </c>
      <c r="N217" s="93">
        <v>9.6423994167186333E-2</v>
      </c>
      <c r="O217" s="93">
        <v>0.93880376991042902</v>
      </c>
      <c r="P217" s="93">
        <v>-42.080147273458387</v>
      </c>
      <c r="Q217" s="93">
        <v>42.723701028795823</v>
      </c>
      <c r="R217" s="93">
        <v>-42.080147273458387</v>
      </c>
      <c r="S217" s="93">
        <v>42.723701028795823</v>
      </c>
      <c r="T217" s="22"/>
    </row>
    <row r="218" spans="1:20" x14ac:dyDescent="0.25">
      <c r="A218" s="99" t="s">
        <v>26</v>
      </c>
      <c r="B218" s="100">
        <v>-1.4937562200097396</v>
      </c>
      <c r="C218" s="100">
        <v>0</v>
      </c>
      <c r="D218" s="100">
        <v>65535</v>
      </c>
      <c r="E218" s="100" t="e">
        <v>#NUM!</v>
      </c>
      <c r="F218" s="100">
        <v>-1.4937562200097396</v>
      </c>
      <c r="G218" s="100">
        <v>-1.4937562200097396</v>
      </c>
      <c r="H218" s="100">
        <v>-1.4937562200097396</v>
      </c>
      <c r="I218" s="100">
        <v>-1.4937562200097396</v>
      </c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9"/>
    </row>
    <row r="222" spans="1:20" x14ac:dyDescent="0.25">
      <c r="A222" s="18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20"/>
    </row>
    <row r="223" spans="1:20" ht="27" x14ac:dyDescent="0.25">
      <c r="A223" s="86" t="s">
        <v>64</v>
      </c>
      <c r="B223" s="2" t="s">
        <v>33</v>
      </c>
      <c r="C223" s="2" t="s">
        <v>57</v>
      </c>
      <c r="D223" s="2" t="s">
        <v>62</v>
      </c>
      <c r="E223" s="2" t="s">
        <v>65</v>
      </c>
      <c r="F223" s="9" t="s">
        <v>24</v>
      </c>
      <c r="G223" s="9" t="s">
        <v>27</v>
      </c>
      <c r="H223" s="9" t="s">
        <v>26</v>
      </c>
      <c r="T223" s="22"/>
    </row>
    <row r="224" spans="1:20" x14ac:dyDescent="0.25">
      <c r="A224" s="85" t="s">
        <v>8</v>
      </c>
      <c r="B224" s="4">
        <v>0.17369777575697301</v>
      </c>
      <c r="C224" s="4">
        <v>0.13984116014494999</v>
      </c>
      <c r="D224" s="4">
        <v>0.199680501000808</v>
      </c>
      <c r="E224" s="6">
        <v>1.7836570943256701E-2</v>
      </c>
      <c r="F224" s="3">
        <v>2000</v>
      </c>
      <c r="G224" s="10">
        <v>4</v>
      </c>
      <c r="H224" s="10">
        <v>1.1737788669959504</v>
      </c>
      <c r="T224" s="22"/>
    </row>
    <row r="225" spans="1:20" x14ac:dyDescent="0.25">
      <c r="A225" s="85" t="s">
        <v>9</v>
      </c>
      <c r="B225" s="4">
        <v>9.9143945152060597E-2</v>
      </c>
      <c r="C225" s="4">
        <v>8.9326261366187695E-2</v>
      </c>
      <c r="D225" s="4">
        <v>0.12535086320927399</v>
      </c>
      <c r="E225" s="6">
        <v>-0.54160608613664096</v>
      </c>
      <c r="F225" s="3">
        <v>118.5</v>
      </c>
      <c r="G225" s="10">
        <v>1.1385255280790201</v>
      </c>
      <c r="H225" s="10">
        <v>1.0182769682576838</v>
      </c>
      <c r="T225" s="22"/>
    </row>
    <row r="226" spans="1:20" x14ac:dyDescent="0.25">
      <c r="A226" s="85" t="s">
        <v>11</v>
      </c>
      <c r="B226" s="4">
        <v>0.14477972148899501</v>
      </c>
      <c r="C226" s="4">
        <v>3.0850994672477702E-2</v>
      </c>
      <c r="D226" s="4">
        <v>0.36758406997509402</v>
      </c>
      <c r="E226" s="4">
        <v>0.41389016217674901</v>
      </c>
      <c r="F226" s="3">
        <v>2060.9499999999998</v>
      </c>
      <c r="G226" s="10">
        <v>0</v>
      </c>
      <c r="H226" s="10">
        <v>1</v>
      </c>
      <c r="T226" s="22"/>
    </row>
    <row r="227" spans="1:20" x14ac:dyDescent="0.25">
      <c r="A227" s="85" t="s">
        <v>16</v>
      </c>
      <c r="B227" s="6">
        <v>-7.8588218215967606E-2</v>
      </c>
      <c r="C227" s="4">
        <v>6.7271555006068101E-2</v>
      </c>
      <c r="D227" s="6">
        <v>-0.161754895727207</v>
      </c>
      <c r="E227" s="4">
        <v>5.9760012226563401E-2</v>
      </c>
      <c r="F227" s="3">
        <v>1130.25</v>
      </c>
      <c r="G227" s="10">
        <v>4.5222851684946201</v>
      </c>
      <c r="H227" s="10">
        <v>1.045397189964473</v>
      </c>
      <c r="T227" s="22"/>
    </row>
    <row r="228" spans="1:20" x14ac:dyDescent="0.25">
      <c r="A228" s="23"/>
      <c r="T228" s="22"/>
    </row>
    <row r="229" spans="1:20" x14ac:dyDescent="0.25">
      <c r="A229" s="23"/>
      <c r="T229" s="22"/>
    </row>
    <row r="230" spans="1:20" ht="15.75" thickBot="1" x14ac:dyDescent="0.3">
      <c r="A230" s="106" t="s">
        <v>58</v>
      </c>
      <c r="B230" s="107"/>
      <c r="C230" s="107"/>
      <c r="D230" s="107"/>
      <c r="E230" s="107"/>
      <c r="F230" s="108"/>
      <c r="K230" s="106" t="s">
        <v>60</v>
      </c>
      <c r="L230" s="107"/>
      <c r="M230" s="107"/>
      <c r="N230" s="107"/>
      <c r="O230" s="107"/>
      <c r="P230" s="108"/>
      <c r="Q230" s="34"/>
      <c r="R230" s="34"/>
      <c r="S230" s="34"/>
      <c r="T230" s="22"/>
    </row>
    <row r="231" spans="1:20" x14ac:dyDescent="0.25">
      <c r="A231" s="21" t="s">
        <v>34</v>
      </c>
      <c r="B231" s="17"/>
      <c r="K231" s="33" t="s">
        <v>34</v>
      </c>
      <c r="L231" s="33"/>
      <c r="M231" s="34"/>
      <c r="N231" s="34"/>
      <c r="O231" s="34"/>
      <c r="P231" s="34"/>
      <c r="Q231" s="34"/>
      <c r="R231" s="34"/>
      <c r="S231" s="34"/>
      <c r="T231" s="22"/>
    </row>
    <row r="232" spans="1:20" x14ac:dyDescent="0.25">
      <c r="A232" s="23" t="s">
        <v>35</v>
      </c>
      <c r="B232">
        <v>1</v>
      </c>
      <c r="K232" s="34" t="s">
        <v>35</v>
      </c>
      <c r="L232" s="102">
        <v>0.9999917170038648</v>
      </c>
      <c r="M232" s="34"/>
      <c r="N232" s="34"/>
      <c r="O232" s="34"/>
      <c r="P232" s="34"/>
      <c r="Q232" s="34"/>
      <c r="R232" s="34"/>
      <c r="S232" s="34"/>
      <c r="T232" s="22"/>
    </row>
    <row r="233" spans="1:20" x14ac:dyDescent="0.25">
      <c r="A233" s="23" t="s">
        <v>36</v>
      </c>
      <c r="B233">
        <v>1</v>
      </c>
      <c r="K233" s="34" t="s">
        <v>36</v>
      </c>
      <c r="L233" s="102">
        <v>0.99998343407633761</v>
      </c>
      <c r="M233" s="34"/>
      <c r="N233" s="34"/>
      <c r="O233" s="34"/>
      <c r="P233" s="34"/>
      <c r="Q233" s="34"/>
      <c r="R233" s="34"/>
      <c r="S233" s="34"/>
      <c r="T233" s="22"/>
    </row>
    <row r="234" spans="1:20" x14ac:dyDescent="0.25">
      <c r="A234" s="23" t="s">
        <v>37</v>
      </c>
      <c r="B234">
        <v>65535</v>
      </c>
      <c r="K234" s="34" t="s">
        <v>37</v>
      </c>
      <c r="L234" s="102">
        <v>0.9999503022290126</v>
      </c>
      <c r="M234" s="34"/>
      <c r="N234" s="34"/>
      <c r="O234" s="34"/>
      <c r="P234" s="34"/>
      <c r="Q234" s="34"/>
      <c r="R234" s="34"/>
      <c r="S234" s="34"/>
      <c r="T234" s="22"/>
    </row>
    <row r="235" spans="1:20" x14ac:dyDescent="0.25">
      <c r="A235" s="23" t="s">
        <v>38</v>
      </c>
      <c r="B235">
        <v>0</v>
      </c>
      <c r="K235" s="34" t="s">
        <v>38</v>
      </c>
      <c r="L235" s="34">
        <v>7.9759754076907941E-4</v>
      </c>
      <c r="M235" s="34"/>
      <c r="N235" s="34"/>
      <c r="O235" s="34"/>
      <c r="P235" s="34"/>
      <c r="Q235" s="34"/>
      <c r="R235" s="34"/>
      <c r="S235" s="34"/>
      <c r="T235" s="22"/>
    </row>
    <row r="236" spans="1:20" ht="15.75" thickBot="1" x14ac:dyDescent="0.3">
      <c r="A236" s="24" t="s">
        <v>39</v>
      </c>
      <c r="B236" s="15">
        <v>4</v>
      </c>
      <c r="K236" s="38" t="s">
        <v>39</v>
      </c>
      <c r="L236" s="38">
        <v>4</v>
      </c>
      <c r="M236" s="34"/>
      <c r="N236" s="34"/>
      <c r="O236" s="34"/>
      <c r="P236" s="34"/>
      <c r="Q236" s="34"/>
      <c r="R236" s="34"/>
      <c r="S236" s="34"/>
      <c r="T236" s="22"/>
    </row>
    <row r="237" spans="1:20" x14ac:dyDescent="0.25">
      <c r="A237" s="23"/>
      <c r="K237" s="34"/>
      <c r="L237" s="34"/>
      <c r="M237" s="34"/>
      <c r="N237" s="34"/>
      <c r="O237" s="34"/>
      <c r="P237" s="34"/>
      <c r="Q237" s="34"/>
      <c r="R237" s="34"/>
      <c r="S237" s="34"/>
      <c r="T237" s="22"/>
    </row>
    <row r="238" spans="1:20" ht="15.75" thickBot="1" x14ac:dyDescent="0.3">
      <c r="A238" s="23" t="s">
        <v>40</v>
      </c>
      <c r="K238" s="34" t="s">
        <v>40</v>
      </c>
      <c r="L238" s="34"/>
      <c r="M238" s="34"/>
      <c r="N238" s="34"/>
      <c r="O238" s="34"/>
      <c r="P238" s="34"/>
      <c r="Q238" s="34"/>
      <c r="R238" s="34"/>
      <c r="S238" s="34"/>
      <c r="T238" s="22"/>
    </row>
    <row r="239" spans="1:20" x14ac:dyDescent="0.25">
      <c r="A239" s="25"/>
      <c r="B239" s="16" t="s">
        <v>45</v>
      </c>
      <c r="C239" s="16" t="s">
        <v>46</v>
      </c>
      <c r="D239" s="16" t="s">
        <v>47</v>
      </c>
      <c r="E239" s="16" t="s">
        <v>48</v>
      </c>
      <c r="F239" s="16" t="s">
        <v>49</v>
      </c>
      <c r="K239" s="40"/>
      <c r="L239" s="40" t="s">
        <v>45</v>
      </c>
      <c r="M239" s="40" t="s">
        <v>46</v>
      </c>
      <c r="N239" s="40" t="s">
        <v>47</v>
      </c>
      <c r="O239" s="40" t="s">
        <v>48</v>
      </c>
      <c r="P239" s="40" t="s">
        <v>49</v>
      </c>
      <c r="Q239" s="34"/>
      <c r="R239" s="34"/>
      <c r="S239" s="34"/>
      <c r="T239" s="22"/>
    </row>
    <row r="240" spans="1:20" x14ac:dyDescent="0.25">
      <c r="A240" s="23" t="s">
        <v>41</v>
      </c>
      <c r="B240">
        <v>3</v>
      </c>
      <c r="C240">
        <v>3.840183318520507E-2</v>
      </c>
      <c r="D240">
        <v>1.2800611061735023E-2</v>
      </c>
      <c r="E240" t="e">
        <v>#NUM!</v>
      </c>
      <c r="F240" t="e">
        <v>#NUM!</v>
      </c>
      <c r="K240" s="34" t="s">
        <v>41</v>
      </c>
      <c r="L240" s="34">
        <v>2</v>
      </c>
      <c r="M240" s="34">
        <v>3.8401197023368028E-2</v>
      </c>
      <c r="N240" s="34">
        <v>1.9200598511684014E-2</v>
      </c>
      <c r="O240" s="34">
        <v>30181.940182070488</v>
      </c>
      <c r="P240" s="34">
        <v>4.0701257551041866E-3</v>
      </c>
      <c r="Q240" s="34"/>
      <c r="R240" s="34"/>
      <c r="S240" s="34"/>
      <c r="T240" s="22"/>
    </row>
    <row r="241" spans="1:20" x14ac:dyDescent="0.25">
      <c r="A241" s="23" t="s">
        <v>42</v>
      </c>
      <c r="B241">
        <v>0</v>
      </c>
      <c r="C241">
        <v>0</v>
      </c>
      <c r="D241">
        <v>65535</v>
      </c>
      <c r="K241" s="34" t="s">
        <v>42</v>
      </c>
      <c r="L241" s="34">
        <v>1</v>
      </c>
      <c r="M241" s="34">
        <v>6.3616183704088331E-7</v>
      </c>
      <c r="N241" s="34">
        <v>6.3616183704088331E-7</v>
      </c>
      <c r="O241" s="34"/>
      <c r="P241" s="34"/>
      <c r="Q241" s="34"/>
      <c r="R241" s="34"/>
      <c r="S241" s="34"/>
      <c r="T241" s="22"/>
    </row>
    <row r="242" spans="1:20" ht="15.75" thickBot="1" x14ac:dyDescent="0.3">
      <c r="A242" s="24" t="s">
        <v>43</v>
      </c>
      <c r="B242" s="15">
        <v>3</v>
      </c>
      <c r="C242" s="15">
        <v>3.840183318520507E-2</v>
      </c>
      <c r="D242" s="15"/>
      <c r="E242" s="15"/>
      <c r="F242" s="15"/>
      <c r="K242" s="38" t="s">
        <v>43</v>
      </c>
      <c r="L242" s="38">
        <v>3</v>
      </c>
      <c r="M242" s="38">
        <v>3.840183318520507E-2</v>
      </c>
      <c r="N242" s="38"/>
      <c r="O242" s="38"/>
      <c r="P242" s="38"/>
      <c r="Q242" s="34"/>
      <c r="R242" s="34"/>
      <c r="S242" s="34"/>
      <c r="T242" s="22"/>
    </row>
    <row r="243" spans="1:20" ht="15.75" thickBot="1" x14ac:dyDescent="0.3">
      <c r="A243" s="23"/>
      <c r="K243" s="34"/>
      <c r="L243" s="34"/>
      <c r="M243" s="34"/>
      <c r="N243" s="34"/>
      <c r="O243" s="34"/>
      <c r="P243" s="34"/>
      <c r="Q243" s="34"/>
      <c r="R243" s="34"/>
      <c r="S243" s="34"/>
      <c r="T243" s="22"/>
    </row>
    <row r="244" spans="1:20" x14ac:dyDescent="0.25">
      <c r="A244" s="25"/>
      <c r="B244" s="16" t="s">
        <v>50</v>
      </c>
      <c r="C244" s="16" t="s">
        <v>38</v>
      </c>
      <c r="D244" s="16" t="s">
        <v>51</v>
      </c>
      <c r="E244" s="16" t="s">
        <v>52</v>
      </c>
      <c r="F244" s="16" t="s">
        <v>53</v>
      </c>
      <c r="G244" s="16" t="s">
        <v>54</v>
      </c>
      <c r="H244" s="16" t="s">
        <v>55</v>
      </c>
      <c r="I244" s="16" t="s">
        <v>56</v>
      </c>
      <c r="K244" s="40"/>
      <c r="L244" s="40" t="s">
        <v>50</v>
      </c>
      <c r="M244" s="40" t="s">
        <v>38</v>
      </c>
      <c r="N244" s="40" t="s">
        <v>51</v>
      </c>
      <c r="O244" s="40" t="s">
        <v>52</v>
      </c>
      <c r="P244" s="40" t="s">
        <v>53</v>
      </c>
      <c r="Q244" s="40" t="s">
        <v>54</v>
      </c>
      <c r="R244" s="40" t="s">
        <v>55</v>
      </c>
      <c r="S244" s="40" t="s">
        <v>56</v>
      </c>
      <c r="T244" s="22"/>
    </row>
    <row r="245" spans="1:20" x14ac:dyDescent="0.25">
      <c r="A245" s="23" t="s">
        <v>44</v>
      </c>
      <c r="B245">
        <v>-1.548082207202363</v>
      </c>
      <c r="C245">
        <v>0</v>
      </c>
      <c r="D245">
        <v>65535</v>
      </c>
      <c r="E245" t="e">
        <v>#NUM!</v>
      </c>
      <c r="F245" t="e">
        <v>#VALUE!</v>
      </c>
      <c r="G245" t="e">
        <v>#VALUE!</v>
      </c>
      <c r="H245">
        <v>-1.548082207202363</v>
      </c>
      <c r="I245">
        <v>-1.548082207202363</v>
      </c>
      <c r="K245" s="34" t="s">
        <v>44</v>
      </c>
      <c r="L245" s="34">
        <v>-1.5516778245164342</v>
      </c>
      <c r="M245" s="34">
        <v>7.9674788988202926E-3</v>
      </c>
      <c r="N245" s="34">
        <v>-194.75141939141926</v>
      </c>
      <c r="O245" s="64">
        <v>3.2688551358314886E-3</v>
      </c>
      <c r="P245" s="34">
        <v>-1.6529142426359966</v>
      </c>
      <c r="Q245" s="34">
        <v>-1.4504414063968718</v>
      </c>
      <c r="R245" s="34">
        <v>-1.6529142426359966</v>
      </c>
      <c r="S245" s="34">
        <v>-1.4504414063968718</v>
      </c>
      <c r="T245" s="22"/>
    </row>
    <row r="246" spans="1:20" x14ac:dyDescent="0.25">
      <c r="A246" s="23" t="s">
        <v>24</v>
      </c>
      <c r="B246">
        <v>5.7676079580053731E-7</v>
      </c>
      <c r="C246">
        <v>0</v>
      </c>
      <c r="D246">
        <v>65535</v>
      </c>
      <c r="E246" t="e">
        <v>#NUM!</v>
      </c>
      <c r="F246">
        <v>5.7676079580053731E-7</v>
      </c>
      <c r="G246">
        <v>5.7676079580053731E-7</v>
      </c>
      <c r="H246">
        <v>5.7676079580053731E-7</v>
      </c>
      <c r="I246">
        <v>5.7676079580053731E-7</v>
      </c>
      <c r="K246" s="34" t="s">
        <v>27</v>
      </c>
      <c r="L246" s="34">
        <v>-6.6343177578250659E-2</v>
      </c>
      <c r="M246" s="34">
        <v>2.8416949461015657E-4</v>
      </c>
      <c r="N246" s="34">
        <v>-233.46340418863338</v>
      </c>
      <c r="O246" s="64">
        <v>2.7268337035206086E-3</v>
      </c>
      <c r="P246" s="34">
        <v>-6.9953893356542604E-2</v>
      </c>
      <c r="Q246" s="34">
        <v>-6.2732461799958714E-2</v>
      </c>
      <c r="R246" s="34">
        <v>-6.9953893356542604E-2</v>
      </c>
      <c r="S246" s="34">
        <v>-6.2732461799958714E-2</v>
      </c>
      <c r="T246" s="22"/>
    </row>
    <row r="247" spans="1:20" ht="15.75" thickBot="1" x14ac:dyDescent="0.3">
      <c r="A247" s="23" t="s">
        <v>27</v>
      </c>
      <c r="B247">
        <v>-6.6255963371796164E-2</v>
      </c>
      <c r="C247">
        <v>0</v>
      </c>
      <c r="D247">
        <v>65535</v>
      </c>
      <c r="E247" t="e">
        <v>#NUM!</v>
      </c>
      <c r="F247">
        <v>-6.6255963371796164E-2</v>
      </c>
      <c r="G247">
        <v>-6.6255963371796164E-2</v>
      </c>
      <c r="H247">
        <v>-6.6255963371796164E-2</v>
      </c>
      <c r="I247">
        <v>-6.6255963371796164E-2</v>
      </c>
      <c r="K247" s="38" t="s">
        <v>26</v>
      </c>
      <c r="L247" s="38">
        <v>1.6959889252036107</v>
      </c>
      <c r="M247" s="38">
        <v>7.9325705363841367E-3</v>
      </c>
      <c r="N247" s="38">
        <v>213.80067374436291</v>
      </c>
      <c r="O247" s="101">
        <v>2.9776104953216694E-3</v>
      </c>
      <c r="P247" s="38">
        <v>1.5951960598841666</v>
      </c>
      <c r="Q247" s="38">
        <v>1.7967817905230548</v>
      </c>
      <c r="R247" s="38">
        <v>1.5951960598841666</v>
      </c>
      <c r="S247" s="38">
        <v>1.7967817905230548</v>
      </c>
      <c r="T247" s="22"/>
    </row>
    <row r="248" spans="1:20" ht="15.75" thickBot="1" x14ac:dyDescent="0.3">
      <c r="A248" s="24" t="s">
        <v>26</v>
      </c>
      <c r="B248" s="15">
        <v>1.6916732535292529</v>
      </c>
      <c r="C248" s="15">
        <v>0</v>
      </c>
      <c r="D248" s="15">
        <v>65535</v>
      </c>
      <c r="E248" s="15" t="e">
        <v>#NUM!</v>
      </c>
      <c r="F248" s="15">
        <v>1.6916732535292529</v>
      </c>
      <c r="G248" s="15">
        <v>1.6916732535292529</v>
      </c>
      <c r="H248" s="15">
        <v>1.6916732535292529</v>
      </c>
      <c r="I248" s="15">
        <v>1.6916732535292529</v>
      </c>
      <c r="T248" s="22"/>
    </row>
    <row r="249" spans="1:20" x14ac:dyDescent="0.25">
      <c r="A249" s="23"/>
      <c r="T249" s="22"/>
    </row>
    <row r="250" spans="1:20" ht="15.75" thickBot="1" x14ac:dyDescent="0.3">
      <c r="A250" s="109" t="s">
        <v>59</v>
      </c>
      <c r="B250" s="110"/>
      <c r="C250" s="110"/>
      <c r="D250" s="110"/>
      <c r="E250" s="110"/>
      <c r="F250" s="111"/>
      <c r="K250" s="109" t="s">
        <v>61</v>
      </c>
      <c r="L250" s="110"/>
      <c r="M250" s="110"/>
      <c r="N250" s="110"/>
      <c r="O250" s="110"/>
      <c r="P250" s="111"/>
      <c r="T250" s="22"/>
    </row>
    <row r="251" spans="1:20" x14ac:dyDescent="0.25">
      <c r="A251" s="21" t="s">
        <v>34</v>
      </c>
      <c r="B251" s="17"/>
      <c r="K251" s="50" t="s">
        <v>34</v>
      </c>
      <c r="L251" s="50"/>
      <c r="M251" s="51"/>
      <c r="N251" s="51"/>
      <c r="O251" s="51"/>
      <c r="P251" s="51"/>
      <c r="Q251" s="51"/>
      <c r="R251" s="51"/>
      <c r="S251" s="51"/>
      <c r="T251" s="22"/>
    </row>
    <row r="252" spans="1:20" x14ac:dyDescent="0.25">
      <c r="A252" s="23" t="s">
        <v>35</v>
      </c>
      <c r="B252">
        <v>1</v>
      </c>
      <c r="K252" s="51" t="s">
        <v>35</v>
      </c>
      <c r="L252" s="62">
        <v>0.89054850300800481</v>
      </c>
      <c r="M252" s="51"/>
      <c r="N252" s="51"/>
      <c r="O252" s="51"/>
      <c r="P252" s="51"/>
      <c r="Q252" s="51"/>
      <c r="R252" s="51"/>
      <c r="S252" s="51"/>
      <c r="T252" s="22"/>
    </row>
    <row r="253" spans="1:20" x14ac:dyDescent="0.25">
      <c r="A253" s="23" t="s">
        <v>36</v>
      </c>
      <c r="B253">
        <v>1</v>
      </c>
      <c r="K253" s="51" t="s">
        <v>36</v>
      </c>
      <c r="L253" s="62">
        <v>0.79307663620979829</v>
      </c>
      <c r="M253" s="51"/>
      <c r="N253" s="51"/>
      <c r="O253" s="51"/>
      <c r="P253" s="51"/>
      <c r="Q253" s="51"/>
      <c r="R253" s="51"/>
      <c r="S253" s="51"/>
      <c r="T253" s="22"/>
    </row>
    <row r="254" spans="1:20" x14ac:dyDescent="0.25">
      <c r="A254" s="23" t="s">
        <v>37</v>
      </c>
      <c r="B254">
        <v>65535</v>
      </c>
      <c r="K254" s="51" t="s">
        <v>37</v>
      </c>
      <c r="L254" s="62">
        <v>0.37922990862939487</v>
      </c>
      <c r="M254" s="51"/>
      <c r="N254" s="51"/>
      <c r="O254" s="51"/>
      <c r="P254" s="51"/>
      <c r="Q254" s="51"/>
      <c r="R254" s="51"/>
      <c r="S254" s="51"/>
      <c r="T254" s="22"/>
    </row>
    <row r="255" spans="1:20" x14ac:dyDescent="0.25">
      <c r="A255" s="23" t="s">
        <v>38</v>
      </c>
      <c r="B255">
        <v>0</v>
      </c>
      <c r="K255" s="51" t="s">
        <v>38</v>
      </c>
      <c r="L255" s="51">
        <v>3.5911106826854763E-2</v>
      </c>
      <c r="M255" s="51"/>
      <c r="N255" s="51"/>
      <c r="O255" s="51"/>
      <c r="P255" s="51"/>
      <c r="Q255" s="51"/>
      <c r="R255" s="51"/>
      <c r="S255" s="51"/>
      <c r="T255" s="22"/>
    </row>
    <row r="256" spans="1:20" ht="15.75" thickBot="1" x14ac:dyDescent="0.3">
      <c r="A256" s="24" t="s">
        <v>39</v>
      </c>
      <c r="B256" s="15">
        <v>4</v>
      </c>
      <c r="K256" s="55" t="s">
        <v>39</v>
      </c>
      <c r="L256" s="55">
        <v>4</v>
      </c>
      <c r="M256" s="51"/>
      <c r="N256" s="51"/>
      <c r="O256" s="51"/>
      <c r="P256" s="51"/>
      <c r="Q256" s="51"/>
      <c r="R256" s="51"/>
      <c r="S256" s="51"/>
      <c r="T256" s="22"/>
    </row>
    <row r="257" spans="1:20" x14ac:dyDescent="0.25">
      <c r="A257" s="23"/>
      <c r="K257" s="51"/>
      <c r="L257" s="51"/>
      <c r="M257" s="51"/>
      <c r="N257" s="51"/>
      <c r="O257" s="51"/>
      <c r="P257" s="51"/>
      <c r="Q257" s="51"/>
      <c r="R257" s="51"/>
      <c r="S257" s="51"/>
      <c r="T257" s="22"/>
    </row>
    <row r="258" spans="1:20" ht="15.75" thickBot="1" x14ac:dyDescent="0.3">
      <c r="A258" s="23" t="s">
        <v>40</v>
      </c>
      <c r="K258" s="51" t="s">
        <v>40</v>
      </c>
      <c r="L258" s="51"/>
      <c r="M258" s="51"/>
      <c r="N258" s="51"/>
      <c r="O258" s="51"/>
      <c r="P258" s="51"/>
      <c r="Q258" s="51"/>
      <c r="R258" s="51"/>
      <c r="S258" s="51"/>
      <c r="T258" s="22"/>
    </row>
    <row r="259" spans="1:20" x14ac:dyDescent="0.25">
      <c r="A259" s="25"/>
      <c r="B259" s="16" t="s">
        <v>45</v>
      </c>
      <c r="C259" s="16" t="s">
        <v>46</v>
      </c>
      <c r="D259" s="16" t="s">
        <v>47</v>
      </c>
      <c r="E259" s="16" t="s">
        <v>48</v>
      </c>
      <c r="F259" s="16" t="s">
        <v>49</v>
      </c>
      <c r="K259" s="57"/>
      <c r="L259" s="57" t="s">
        <v>45</v>
      </c>
      <c r="M259" s="57" t="s">
        <v>46</v>
      </c>
      <c r="N259" s="57" t="s">
        <v>47</v>
      </c>
      <c r="O259" s="57" t="s">
        <v>48</v>
      </c>
      <c r="P259" s="57" t="s">
        <v>49</v>
      </c>
      <c r="Q259" s="51"/>
      <c r="R259" s="51"/>
      <c r="S259" s="51"/>
      <c r="T259" s="22"/>
    </row>
    <row r="260" spans="1:20" x14ac:dyDescent="0.25">
      <c r="A260" s="23" t="s">
        <v>41</v>
      </c>
      <c r="B260">
        <v>3</v>
      </c>
      <c r="C260">
        <v>6.2322957152257576E-3</v>
      </c>
      <c r="D260">
        <v>2.0774319050752524E-3</v>
      </c>
      <c r="E260" t="e">
        <v>#NUM!</v>
      </c>
      <c r="F260" t="e">
        <v>#NUM!</v>
      </c>
      <c r="K260" s="51" t="s">
        <v>41</v>
      </c>
      <c r="L260" s="51">
        <v>2</v>
      </c>
      <c r="M260" s="51">
        <v>4.9426881216959829E-3</v>
      </c>
      <c r="N260" s="51">
        <v>2.4713440608479915E-3</v>
      </c>
      <c r="O260" s="51">
        <v>1.9163535274196821</v>
      </c>
      <c r="P260" s="51">
        <v>0.45488829814604126</v>
      </c>
      <c r="Q260" s="51"/>
      <c r="R260" s="51"/>
      <c r="S260" s="51"/>
      <c r="T260" s="22"/>
    </row>
    <row r="261" spans="1:20" x14ac:dyDescent="0.25">
      <c r="A261" s="23" t="s">
        <v>42</v>
      </c>
      <c r="B261">
        <v>0</v>
      </c>
      <c r="C261">
        <v>0</v>
      </c>
      <c r="D261">
        <v>65535</v>
      </c>
      <c r="K261" s="51" t="s">
        <v>42</v>
      </c>
      <c r="L261" s="51">
        <v>1</v>
      </c>
      <c r="M261" s="51">
        <v>1.2896075935297747E-3</v>
      </c>
      <c r="N261" s="51">
        <v>1.2896075935297747E-3</v>
      </c>
      <c r="O261" s="51"/>
      <c r="P261" s="51"/>
      <c r="Q261" s="51"/>
      <c r="R261" s="51"/>
      <c r="S261" s="51"/>
      <c r="T261" s="22"/>
    </row>
    <row r="262" spans="1:20" ht="15.75" thickBot="1" x14ac:dyDescent="0.3">
      <c r="A262" s="24" t="s">
        <v>43</v>
      </c>
      <c r="B262" s="15">
        <v>3</v>
      </c>
      <c r="C262" s="15">
        <v>6.2322957152257576E-3</v>
      </c>
      <c r="D262" s="15"/>
      <c r="E262" s="15"/>
      <c r="F262" s="15"/>
      <c r="K262" s="55" t="s">
        <v>43</v>
      </c>
      <c r="L262" s="55">
        <v>3</v>
      </c>
      <c r="M262" s="55">
        <v>6.2322957152257576E-3</v>
      </c>
      <c r="N262" s="55"/>
      <c r="O262" s="55"/>
      <c r="P262" s="55"/>
      <c r="Q262" s="51"/>
      <c r="R262" s="51"/>
      <c r="S262" s="51"/>
      <c r="T262" s="22"/>
    </row>
    <row r="263" spans="1:20" ht="15.75" thickBot="1" x14ac:dyDescent="0.3">
      <c r="A263" s="23"/>
      <c r="K263" s="51"/>
      <c r="L263" s="51"/>
      <c r="M263" s="51"/>
      <c r="N263" s="51"/>
      <c r="O263" s="51"/>
      <c r="P263" s="51"/>
      <c r="Q263" s="51"/>
      <c r="R263" s="51"/>
      <c r="S263" s="51"/>
      <c r="T263" s="22"/>
    </row>
    <row r="264" spans="1:20" x14ac:dyDescent="0.25">
      <c r="A264" s="25"/>
      <c r="B264" s="16" t="s">
        <v>50</v>
      </c>
      <c r="C264" s="16" t="s">
        <v>38</v>
      </c>
      <c r="D264" s="16" t="s">
        <v>51</v>
      </c>
      <c r="E264" s="16" t="s">
        <v>52</v>
      </c>
      <c r="F264" s="16" t="s">
        <v>53</v>
      </c>
      <c r="G264" s="16" t="s">
        <v>54</v>
      </c>
      <c r="H264" s="16" t="s">
        <v>55</v>
      </c>
      <c r="I264" s="16" t="s">
        <v>56</v>
      </c>
      <c r="K264" s="57"/>
      <c r="L264" s="57" t="s">
        <v>50</v>
      </c>
      <c r="M264" s="57" t="s">
        <v>38</v>
      </c>
      <c r="N264" s="57" t="s">
        <v>51</v>
      </c>
      <c r="O264" s="57" t="s">
        <v>52</v>
      </c>
      <c r="P264" s="57" t="s">
        <v>53</v>
      </c>
      <c r="Q264" s="57" t="s">
        <v>54</v>
      </c>
      <c r="R264" s="57" t="s">
        <v>55</v>
      </c>
      <c r="S264" s="57" t="s">
        <v>56</v>
      </c>
      <c r="T264" s="22"/>
    </row>
    <row r="265" spans="1:20" x14ac:dyDescent="0.25">
      <c r="A265" s="23" t="s">
        <v>44</v>
      </c>
      <c r="B265">
        <v>-0.63832884053979377</v>
      </c>
      <c r="C265">
        <v>0</v>
      </c>
      <c r="D265">
        <v>65535</v>
      </c>
      <c r="E265" t="e">
        <v>#NUM!</v>
      </c>
      <c r="F265" t="e">
        <v>#VALUE!</v>
      </c>
      <c r="G265" t="e">
        <v>#VALUE!</v>
      </c>
      <c r="H265">
        <v>-0.63832884053979377</v>
      </c>
      <c r="I265">
        <v>-0.63832884053979377</v>
      </c>
      <c r="K265" s="51" t="s">
        <v>44</v>
      </c>
      <c r="L265" s="51">
        <v>-0.47643942780464649</v>
      </c>
      <c r="M265" s="51">
        <v>0.3587285206526038</v>
      </c>
      <c r="N265" s="51">
        <v>-1.3281336731685047</v>
      </c>
      <c r="O265" s="51">
        <v>0.41086018399183027</v>
      </c>
      <c r="P265" s="51">
        <v>-5.0345174559217076</v>
      </c>
      <c r="Q265" s="51">
        <v>4.0816386003124139</v>
      </c>
      <c r="R265" s="51">
        <v>-5.0345174559217076</v>
      </c>
      <c r="S265" s="51">
        <v>4.0816386003124139</v>
      </c>
      <c r="T265" s="22"/>
    </row>
    <row r="266" spans="1:20" x14ac:dyDescent="0.25">
      <c r="A266" s="23" t="s">
        <v>24</v>
      </c>
      <c r="B266">
        <v>-2.596813241370395E-5</v>
      </c>
      <c r="C266">
        <v>0</v>
      </c>
      <c r="D266">
        <v>65535</v>
      </c>
      <c r="E266" t="e">
        <v>#NUM!</v>
      </c>
      <c r="F266">
        <v>-2.596813241370395E-5</v>
      </c>
      <c r="G266">
        <v>-2.596813241370395E-5</v>
      </c>
      <c r="H266">
        <v>-2.596813241370395E-5</v>
      </c>
      <c r="I266">
        <v>-2.596813241370395E-5</v>
      </c>
      <c r="K266" s="51" t="s">
        <v>27</v>
      </c>
      <c r="L266" s="51">
        <v>-6.1885456866754313E-4</v>
      </c>
      <c r="M266" s="51">
        <v>1.2794474100357299E-2</v>
      </c>
      <c r="N266" s="51">
        <v>-4.8368894556616512E-2</v>
      </c>
      <c r="O266" s="51">
        <v>0.96923138530983466</v>
      </c>
      <c r="P266" s="51">
        <v>-0.16318806197949207</v>
      </c>
      <c r="Q266" s="51">
        <v>0.161950352842157</v>
      </c>
      <c r="R266" s="51">
        <v>-0.16318806197949207</v>
      </c>
      <c r="S266" s="51">
        <v>0.161950352842157</v>
      </c>
      <c r="T266" s="22"/>
    </row>
    <row r="267" spans="1:20" ht="15.75" thickBot="1" x14ac:dyDescent="0.3">
      <c r="A267" s="23" t="s">
        <v>27</v>
      </c>
      <c r="B267">
        <v>-4.54559521757638E-3</v>
      </c>
      <c r="C267">
        <v>0</v>
      </c>
      <c r="D267">
        <v>65535</v>
      </c>
      <c r="E267" t="e">
        <v>#NUM!</v>
      </c>
      <c r="F267">
        <v>-4.54559521757638E-3</v>
      </c>
      <c r="G267">
        <v>-4.54559521757638E-3</v>
      </c>
      <c r="H267">
        <v>-4.54559521757638E-3</v>
      </c>
      <c r="I267">
        <v>-4.54559521757638E-3</v>
      </c>
      <c r="K267" s="55" t="s">
        <v>26</v>
      </c>
      <c r="L267" s="55">
        <v>0.52838964961260682</v>
      </c>
      <c r="M267" s="55">
        <v>0.3571568032531412</v>
      </c>
      <c r="N267" s="55">
        <v>1.4794332483654282</v>
      </c>
      <c r="O267" s="55">
        <v>0.37840131351861683</v>
      </c>
      <c r="P267" s="55">
        <v>-4.0097178154394735</v>
      </c>
      <c r="Q267" s="55">
        <v>5.0664971146646876</v>
      </c>
      <c r="R267" s="55">
        <v>-4.0097178154394735</v>
      </c>
      <c r="S267" s="55">
        <v>5.0664971146646876</v>
      </c>
      <c r="T267" s="22"/>
    </row>
    <row r="268" spans="1:20" ht="15.75" thickBot="1" x14ac:dyDescent="0.3">
      <c r="A268" s="24" t="s">
        <v>26</v>
      </c>
      <c r="B268" s="15">
        <v>0.72269885771029463</v>
      </c>
      <c r="C268" s="15">
        <v>0</v>
      </c>
      <c r="D268" s="15">
        <v>65535</v>
      </c>
      <c r="E268" s="15" t="e">
        <v>#NUM!</v>
      </c>
      <c r="F268" s="15">
        <v>0.72269885771029463</v>
      </c>
      <c r="G268" s="15">
        <v>0.72269885771029463</v>
      </c>
      <c r="H268" s="15">
        <v>0.72269885771029463</v>
      </c>
      <c r="I268" s="15">
        <v>0.72269885771029463</v>
      </c>
      <c r="T268" s="22"/>
    </row>
    <row r="269" spans="1:20" x14ac:dyDescent="0.25">
      <c r="A269" s="23"/>
      <c r="T269" s="22"/>
    </row>
    <row r="270" spans="1:20" ht="15.75" thickBot="1" x14ac:dyDescent="0.3">
      <c r="A270" s="112" t="s">
        <v>59</v>
      </c>
      <c r="B270" s="113"/>
      <c r="C270" s="113"/>
      <c r="D270" s="113"/>
      <c r="E270" s="113"/>
      <c r="F270" s="114"/>
      <c r="K270" s="112" t="s">
        <v>61</v>
      </c>
      <c r="L270" s="113"/>
      <c r="M270" s="113"/>
      <c r="N270" s="113"/>
      <c r="O270" s="113"/>
      <c r="P270" s="114"/>
      <c r="T270" s="22"/>
    </row>
    <row r="271" spans="1:20" x14ac:dyDescent="0.25">
      <c r="A271" s="21" t="s">
        <v>34</v>
      </c>
      <c r="B271" s="17"/>
      <c r="K271" s="69" t="s">
        <v>34</v>
      </c>
      <c r="L271" s="69"/>
      <c r="M271" s="70"/>
      <c r="N271" s="70"/>
      <c r="O271" s="70"/>
      <c r="P271" s="70"/>
      <c r="Q271" s="70"/>
      <c r="R271" s="70"/>
      <c r="S271" s="70"/>
      <c r="T271" s="22"/>
    </row>
    <row r="272" spans="1:20" x14ac:dyDescent="0.25">
      <c r="A272" s="23" t="s">
        <v>35</v>
      </c>
      <c r="B272">
        <v>1</v>
      </c>
      <c r="K272" s="70" t="s">
        <v>35</v>
      </c>
      <c r="L272" s="62">
        <v>0.9663500475895741</v>
      </c>
      <c r="M272" s="70"/>
      <c r="N272" s="70"/>
      <c r="O272" s="70"/>
      <c r="P272" s="70"/>
      <c r="Q272" s="70"/>
      <c r="R272" s="70"/>
      <c r="S272" s="70"/>
      <c r="T272" s="22"/>
    </row>
    <row r="273" spans="1:20" x14ac:dyDescent="0.25">
      <c r="A273" s="23" t="s">
        <v>36</v>
      </c>
      <c r="B273">
        <v>1</v>
      </c>
      <c r="K273" s="70" t="s">
        <v>36</v>
      </c>
      <c r="L273" s="62">
        <v>0.93383241447637211</v>
      </c>
      <c r="M273" s="70"/>
      <c r="N273" s="70"/>
      <c r="O273" s="70"/>
      <c r="P273" s="70"/>
      <c r="Q273" s="70"/>
      <c r="R273" s="70"/>
      <c r="S273" s="70"/>
      <c r="T273" s="22"/>
    </row>
    <row r="274" spans="1:20" x14ac:dyDescent="0.25">
      <c r="A274" s="23" t="s">
        <v>37</v>
      </c>
      <c r="B274">
        <v>65535</v>
      </c>
      <c r="K274" s="70" t="s">
        <v>37</v>
      </c>
      <c r="L274" s="62">
        <v>0.80149724342911632</v>
      </c>
      <c r="M274" s="70"/>
      <c r="N274" s="70"/>
      <c r="O274" s="70"/>
      <c r="P274" s="70"/>
      <c r="Q274" s="70"/>
      <c r="R274" s="70"/>
      <c r="S274" s="70"/>
      <c r="T274" s="22"/>
    </row>
    <row r="275" spans="1:20" x14ac:dyDescent="0.25">
      <c r="A275" s="23" t="s">
        <v>38</v>
      </c>
      <c r="B275">
        <v>0</v>
      </c>
      <c r="K275" s="70" t="s">
        <v>38</v>
      </c>
      <c r="L275" s="70">
        <v>9.8427136097051643E-2</v>
      </c>
      <c r="M275" s="70"/>
      <c r="N275" s="70"/>
      <c r="O275" s="70"/>
      <c r="P275" s="70"/>
      <c r="Q275" s="70"/>
      <c r="R275" s="70"/>
      <c r="S275" s="70"/>
      <c r="T275" s="22"/>
    </row>
    <row r="276" spans="1:20" ht="15.75" thickBot="1" x14ac:dyDescent="0.3">
      <c r="A276" s="24" t="s">
        <v>39</v>
      </c>
      <c r="B276" s="15">
        <v>4</v>
      </c>
      <c r="K276" s="74" t="s">
        <v>39</v>
      </c>
      <c r="L276" s="74">
        <v>4</v>
      </c>
      <c r="M276" s="70"/>
      <c r="N276" s="70"/>
      <c r="O276" s="70"/>
      <c r="P276" s="70"/>
      <c r="Q276" s="70"/>
      <c r="R276" s="70"/>
      <c r="S276" s="70"/>
      <c r="T276" s="22"/>
    </row>
    <row r="277" spans="1:20" x14ac:dyDescent="0.25">
      <c r="A277" s="23"/>
      <c r="K277" s="70"/>
      <c r="L277" s="70"/>
      <c r="M277" s="70"/>
      <c r="N277" s="70"/>
      <c r="O277" s="70"/>
      <c r="P277" s="70"/>
      <c r="Q277" s="70"/>
      <c r="R277" s="70"/>
      <c r="S277" s="70"/>
      <c r="T277" s="22"/>
    </row>
    <row r="278" spans="1:20" ht="15.75" thickBot="1" x14ac:dyDescent="0.3">
      <c r="A278" s="23" t="s">
        <v>40</v>
      </c>
      <c r="K278" s="70" t="s">
        <v>40</v>
      </c>
      <c r="L278" s="70"/>
      <c r="M278" s="70"/>
      <c r="N278" s="70"/>
      <c r="O278" s="70"/>
      <c r="P278" s="70"/>
      <c r="Q278" s="70"/>
      <c r="R278" s="70"/>
      <c r="S278" s="70"/>
      <c r="T278" s="22"/>
    </row>
    <row r="279" spans="1:20" x14ac:dyDescent="0.25">
      <c r="A279" s="25"/>
      <c r="B279" s="16" t="s">
        <v>45</v>
      </c>
      <c r="C279" s="16" t="s">
        <v>46</v>
      </c>
      <c r="D279" s="16" t="s">
        <v>47</v>
      </c>
      <c r="E279" s="16" t="s">
        <v>48</v>
      </c>
      <c r="F279" s="16" t="s">
        <v>49</v>
      </c>
      <c r="K279" s="76"/>
      <c r="L279" s="76" t="s">
        <v>45</v>
      </c>
      <c r="M279" s="76" t="s">
        <v>46</v>
      </c>
      <c r="N279" s="76" t="s">
        <v>47</v>
      </c>
      <c r="O279" s="76" t="s">
        <v>48</v>
      </c>
      <c r="P279" s="76" t="s">
        <v>49</v>
      </c>
      <c r="Q279" s="70"/>
      <c r="R279" s="70"/>
      <c r="S279" s="70"/>
      <c r="T279" s="22"/>
    </row>
    <row r="280" spans="1:20" x14ac:dyDescent="0.25">
      <c r="A280" s="23" t="s">
        <v>41</v>
      </c>
      <c r="B280">
        <v>3</v>
      </c>
      <c r="C280">
        <v>0.14641460835544703</v>
      </c>
      <c r="D280">
        <v>4.8804869451815676E-2</v>
      </c>
      <c r="E280" t="e">
        <v>#NUM!</v>
      </c>
      <c r="F280" t="e">
        <v>#NUM!</v>
      </c>
      <c r="K280" s="70" t="s">
        <v>41</v>
      </c>
      <c r="L280" s="70">
        <v>2</v>
      </c>
      <c r="M280" s="70">
        <v>0.13672670723517952</v>
      </c>
      <c r="N280" s="70">
        <v>6.8363353617589759E-2</v>
      </c>
      <c r="O280" s="70">
        <v>7.0565701248302926</v>
      </c>
      <c r="P280" s="70">
        <v>0.25723060767262501</v>
      </c>
      <c r="Q280" s="70"/>
      <c r="R280" s="70"/>
      <c r="S280" s="70"/>
      <c r="T280" s="22"/>
    </row>
    <row r="281" spans="1:20" x14ac:dyDescent="0.25">
      <c r="A281" s="23" t="s">
        <v>42</v>
      </c>
      <c r="B281">
        <v>0</v>
      </c>
      <c r="C281">
        <v>0</v>
      </c>
      <c r="D281">
        <v>65535</v>
      </c>
      <c r="K281" s="70" t="s">
        <v>42</v>
      </c>
      <c r="L281" s="70">
        <v>1</v>
      </c>
      <c r="M281" s="70">
        <v>9.6879011202675273E-3</v>
      </c>
      <c r="N281" s="70">
        <v>9.6879011202675273E-3</v>
      </c>
      <c r="O281" s="70"/>
      <c r="P281" s="70"/>
      <c r="Q281" s="70"/>
      <c r="R281" s="70"/>
      <c r="S281" s="70"/>
      <c r="T281" s="22"/>
    </row>
    <row r="282" spans="1:20" ht="15.75" thickBot="1" x14ac:dyDescent="0.3">
      <c r="A282" s="24" t="s">
        <v>43</v>
      </c>
      <c r="B282" s="15">
        <v>3</v>
      </c>
      <c r="C282" s="15">
        <v>0.14641460835544703</v>
      </c>
      <c r="D282" s="15"/>
      <c r="E282" s="15"/>
      <c r="F282" s="15"/>
      <c r="K282" s="74" t="s">
        <v>43</v>
      </c>
      <c r="L282" s="74">
        <v>3</v>
      </c>
      <c r="M282" s="74">
        <v>0.14641460835544703</v>
      </c>
      <c r="N282" s="74"/>
      <c r="O282" s="74"/>
      <c r="P282" s="74"/>
      <c r="Q282" s="70"/>
      <c r="R282" s="70"/>
      <c r="S282" s="70"/>
      <c r="T282" s="22"/>
    </row>
    <row r="283" spans="1:20" ht="15.75" thickBot="1" x14ac:dyDescent="0.3">
      <c r="A283" s="23"/>
      <c r="K283" s="70"/>
      <c r="L283" s="70"/>
      <c r="M283" s="70"/>
      <c r="N283" s="70"/>
      <c r="O283" s="70"/>
      <c r="P283" s="70"/>
      <c r="Q283" s="70"/>
      <c r="R283" s="70"/>
      <c r="S283" s="70"/>
      <c r="T283" s="22"/>
    </row>
    <row r="284" spans="1:20" x14ac:dyDescent="0.25">
      <c r="A284" s="25"/>
      <c r="B284" s="16" t="s">
        <v>50</v>
      </c>
      <c r="C284" s="16" t="s">
        <v>38</v>
      </c>
      <c r="D284" s="16" t="s">
        <v>51</v>
      </c>
      <c r="E284" s="16" t="s">
        <v>52</v>
      </c>
      <c r="F284" s="16" t="s">
        <v>53</v>
      </c>
      <c r="G284" s="16" t="s">
        <v>54</v>
      </c>
      <c r="H284" s="16" t="s">
        <v>55</v>
      </c>
      <c r="I284" s="16" t="s">
        <v>56</v>
      </c>
      <c r="K284" s="76"/>
      <c r="L284" s="76" t="s">
        <v>50</v>
      </c>
      <c r="M284" s="76" t="s">
        <v>38</v>
      </c>
      <c r="N284" s="76" t="s">
        <v>51</v>
      </c>
      <c r="O284" s="76" t="s">
        <v>52</v>
      </c>
      <c r="P284" s="76" t="s">
        <v>53</v>
      </c>
      <c r="Q284" s="76" t="s">
        <v>54</v>
      </c>
      <c r="R284" s="76" t="s">
        <v>55</v>
      </c>
      <c r="S284" s="76" t="s">
        <v>56</v>
      </c>
      <c r="T284" s="22"/>
    </row>
    <row r="285" spans="1:20" x14ac:dyDescent="0.25">
      <c r="A285" s="23" t="s">
        <v>44</v>
      </c>
      <c r="B285">
        <v>-1.6204357805565646</v>
      </c>
      <c r="C285">
        <v>0</v>
      </c>
      <c r="D285">
        <v>65535</v>
      </c>
      <c r="E285" t="e">
        <v>#NUM!</v>
      </c>
      <c r="F285" t="e">
        <v>#VALUE!</v>
      </c>
      <c r="G285" t="e">
        <v>#VALUE!</v>
      </c>
      <c r="H285">
        <v>-1.6204357805565646</v>
      </c>
      <c r="I285">
        <v>-1.6204357805565646</v>
      </c>
      <c r="K285" s="70" t="s">
        <v>44</v>
      </c>
      <c r="L285" s="70">
        <v>-2.0641511841719784</v>
      </c>
      <c r="M285" s="70">
        <v>0.98322285343106219</v>
      </c>
      <c r="N285" s="70">
        <v>-2.0993726671109201</v>
      </c>
      <c r="O285" s="70">
        <v>0.28299989539179421</v>
      </c>
      <c r="P285" s="70">
        <v>-14.55718206115295</v>
      </c>
      <c r="Q285" s="70">
        <v>10.428879692808994</v>
      </c>
      <c r="R285" s="70">
        <v>-14.55718206115295</v>
      </c>
      <c r="S285" s="70">
        <v>10.428879692808994</v>
      </c>
      <c r="T285" s="22"/>
    </row>
    <row r="286" spans="1:20" x14ac:dyDescent="0.25">
      <c r="A286" s="23" t="s">
        <v>24</v>
      </c>
      <c r="B286">
        <v>7.1174885129369261E-5</v>
      </c>
      <c r="C286">
        <v>0</v>
      </c>
      <c r="D286">
        <v>65535</v>
      </c>
      <c r="E286" t="e">
        <v>#NUM!</v>
      </c>
      <c r="F286">
        <v>7.1174885129369261E-5</v>
      </c>
      <c r="G286">
        <v>7.1174885129369261E-5</v>
      </c>
      <c r="H286">
        <v>7.1174885129369261E-5</v>
      </c>
      <c r="I286">
        <v>7.1174885129369261E-5</v>
      </c>
      <c r="K286" s="70" t="s">
        <v>27</v>
      </c>
      <c r="L286" s="70">
        <v>-0.13165013752854293</v>
      </c>
      <c r="M286" s="70">
        <v>3.5067798094831563E-2</v>
      </c>
      <c r="N286" s="70">
        <v>-3.7541603602407552</v>
      </c>
      <c r="O286" s="70">
        <v>0.16572897874550382</v>
      </c>
      <c r="P286" s="70">
        <v>-0.57722875976831012</v>
      </c>
      <c r="Q286" s="70">
        <v>0.31392848471122425</v>
      </c>
      <c r="R286" s="70">
        <v>-0.57722875976831012</v>
      </c>
      <c r="S286" s="70">
        <v>0.31392848471122425</v>
      </c>
      <c r="T286" s="22"/>
    </row>
    <row r="287" spans="1:20" ht="15.75" thickBot="1" x14ac:dyDescent="0.3">
      <c r="A287" s="23" t="s">
        <v>27</v>
      </c>
      <c r="B287">
        <v>-0.12088751085341785</v>
      </c>
      <c r="C287">
        <v>0</v>
      </c>
      <c r="D287">
        <v>65535</v>
      </c>
      <c r="E287" t="e">
        <v>#NUM!</v>
      </c>
      <c r="F287">
        <v>-0.12088751085341785</v>
      </c>
      <c r="G287">
        <v>-0.12088751085341785</v>
      </c>
      <c r="H287">
        <v>-0.12088751085341785</v>
      </c>
      <c r="I287">
        <v>-0.12088751085341785</v>
      </c>
      <c r="K287" s="74" t="s">
        <v>26</v>
      </c>
      <c r="L287" s="74">
        <v>2.3739053323120332</v>
      </c>
      <c r="M287" s="74">
        <v>0.97891500396463127</v>
      </c>
      <c r="N287" s="74">
        <v>2.4250372327501926</v>
      </c>
      <c r="O287" s="74">
        <v>0.24899474815599887</v>
      </c>
      <c r="P287" s="74">
        <v>-10.064389127375847</v>
      </c>
      <c r="Q287" s="74">
        <v>14.812199791999912</v>
      </c>
      <c r="R287" s="74">
        <v>-10.064389127375847</v>
      </c>
      <c r="S287" s="74">
        <v>14.812199791999912</v>
      </c>
      <c r="T287" s="22"/>
    </row>
    <row r="288" spans="1:20" ht="15.75" thickBot="1" x14ac:dyDescent="0.3">
      <c r="A288" s="24" t="s">
        <v>26</v>
      </c>
      <c r="B288" s="15">
        <v>1.841331971024285</v>
      </c>
      <c r="C288" s="15">
        <v>0</v>
      </c>
      <c r="D288" s="15">
        <v>65535</v>
      </c>
      <c r="E288" s="15" t="e">
        <v>#NUM!</v>
      </c>
      <c r="F288" s="15">
        <v>1.841331971024285</v>
      </c>
      <c r="G288" s="15">
        <v>1.841331971024285</v>
      </c>
      <c r="H288" s="15">
        <v>1.841331971024285</v>
      </c>
      <c r="I288" s="15">
        <v>1.841331971024285</v>
      </c>
      <c r="T288" s="22"/>
    </row>
    <row r="289" spans="1:20" x14ac:dyDescent="0.25">
      <c r="A289" s="23"/>
      <c r="T289" s="22"/>
    </row>
    <row r="290" spans="1:20" ht="15.75" thickBot="1" x14ac:dyDescent="0.3">
      <c r="A290" s="103" t="s">
        <v>66</v>
      </c>
      <c r="B290" s="104"/>
      <c r="C290" s="104"/>
      <c r="D290" s="104"/>
      <c r="E290" s="104"/>
      <c r="F290" s="105"/>
      <c r="K290" s="103" t="s">
        <v>67</v>
      </c>
      <c r="L290" s="104"/>
      <c r="M290" s="104"/>
      <c r="N290" s="104"/>
      <c r="O290" s="104"/>
      <c r="P290" s="105"/>
      <c r="T290" s="22"/>
    </row>
    <row r="291" spans="1:20" x14ac:dyDescent="0.25">
      <c r="A291" s="95" t="s">
        <v>34</v>
      </c>
      <c r="B291" s="91"/>
      <c r="C291" s="92"/>
      <c r="D291" s="92"/>
      <c r="E291" s="92"/>
      <c r="F291" s="92"/>
      <c r="G291" s="92"/>
      <c r="H291" s="92"/>
      <c r="I291" s="92"/>
      <c r="K291" s="91" t="s">
        <v>34</v>
      </c>
      <c r="L291" s="91"/>
      <c r="M291" s="92"/>
      <c r="N291" s="92"/>
      <c r="O291" s="92"/>
      <c r="P291" s="92"/>
      <c r="Q291" s="92"/>
      <c r="R291" s="92"/>
      <c r="S291" s="92"/>
      <c r="T291" s="22"/>
    </row>
    <row r="292" spans="1:20" x14ac:dyDescent="0.25">
      <c r="A292" s="96" t="s">
        <v>35</v>
      </c>
      <c r="B292" s="92">
        <v>1</v>
      </c>
      <c r="C292" s="92"/>
      <c r="D292" s="92"/>
      <c r="E292" s="92"/>
      <c r="F292" s="92"/>
      <c r="G292" s="92"/>
      <c r="H292" s="92"/>
      <c r="I292" s="92"/>
      <c r="K292" s="92" t="s">
        <v>35</v>
      </c>
      <c r="L292" s="92">
        <v>7.0346393176705227E-2</v>
      </c>
      <c r="M292" s="92"/>
      <c r="N292" s="92"/>
      <c r="O292" s="92"/>
      <c r="P292" s="92"/>
      <c r="Q292" s="92"/>
      <c r="R292" s="92"/>
      <c r="S292" s="92"/>
      <c r="T292" s="22"/>
    </row>
    <row r="293" spans="1:20" x14ac:dyDescent="0.25">
      <c r="A293" s="96" t="s">
        <v>36</v>
      </c>
      <c r="B293" s="92">
        <v>1</v>
      </c>
      <c r="C293" s="92"/>
      <c r="D293" s="92"/>
      <c r="E293" s="92"/>
      <c r="F293" s="92"/>
      <c r="G293" s="92"/>
      <c r="H293" s="92"/>
      <c r="I293" s="92"/>
      <c r="K293" s="92" t="s">
        <v>36</v>
      </c>
      <c r="L293" s="92">
        <v>4.9486150329715994E-3</v>
      </c>
      <c r="M293" s="92"/>
      <c r="N293" s="92"/>
      <c r="O293" s="92"/>
      <c r="P293" s="92"/>
      <c r="Q293" s="92"/>
      <c r="R293" s="92"/>
      <c r="S293" s="92"/>
      <c r="T293" s="22"/>
    </row>
    <row r="294" spans="1:20" x14ac:dyDescent="0.25">
      <c r="A294" s="96" t="s">
        <v>37</v>
      </c>
      <c r="B294" s="92">
        <v>65535</v>
      </c>
      <c r="C294" s="92"/>
      <c r="D294" s="92"/>
      <c r="E294" s="92"/>
      <c r="F294" s="92"/>
      <c r="G294" s="92"/>
      <c r="H294" s="92"/>
      <c r="I294" s="92"/>
      <c r="K294" s="92" t="s">
        <v>37</v>
      </c>
      <c r="L294" s="92">
        <v>-1.9851541549010852</v>
      </c>
      <c r="M294" s="92"/>
      <c r="N294" s="92"/>
      <c r="O294" s="92"/>
      <c r="P294" s="92"/>
      <c r="Q294" s="92"/>
      <c r="R294" s="92"/>
      <c r="S294" s="92"/>
      <c r="T294" s="22"/>
    </row>
    <row r="295" spans="1:20" x14ac:dyDescent="0.25">
      <c r="A295" s="96" t="s">
        <v>38</v>
      </c>
      <c r="B295" s="92">
        <v>0</v>
      </c>
      <c r="C295" s="92"/>
      <c r="D295" s="92"/>
      <c r="E295" s="92"/>
      <c r="F295" s="92"/>
      <c r="G295" s="92"/>
      <c r="H295" s="92"/>
      <c r="I295" s="92"/>
      <c r="K295" s="92" t="s">
        <v>38</v>
      </c>
      <c r="L295" s="92">
        <v>0.68234020779456384</v>
      </c>
      <c r="M295" s="92"/>
      <c r="N295" s="92"/>
      <c r="O295" s="92"/>
      <c r="P295" s="92"/>
      <c r="Q295" s="92"/>
      <c r="R295" s="92"/>
      <c r="S295" s="92"/>
      <c r="T295" s="22"/>
    </row>
    <row r="296" spans="1:20" ht="15.75" thickBot="1" x14ac:dyDescent="0.3">
      <c r="A296" s="97" t="s">
        <v>39</v>
      </c>
      <c r="B296" s="93">
        <v>4</v>
      </c>
      <c r="C296" s="92"/>
      <c r="D296" s="92"/>
      <c r="E296" s="92"/>
      <c r="F296" s="92"/>
      <c r="G296" s="92"/>
      <c r="H296" s="92"/>
      <c r="I296" s="92"/>
      <c r="K296" s="93" t="s">
        <v>39</v>
      </c>
      <c r="L296" s="93">
        <v>4</v>
      </c>
      <c r="M296" s="92"/>
      <c r="N296" s="92"/>
      <c r="O296" s="92"/>
      <c r="P296" s="92"/>
      <c r="Q296" s="92"/>
      <c r="R296" s="92"/>
      <c r="S296" s="92"/>
      <c r="T296" s="22"/>
    </row>
    <row r="297" spans="1:20" x14ac:dyDescent="0.25">
      <c r="A297" s="96"/>
      <c r="B297" s="92"/>
      <c r="C297" s="92"/>
      <c r="D297" s="92"/>
      <c r="E297" s="92"/>
      <c r="F297" s="92"/>
      <c r="G297" s="92"/>
      <c r="H297" s="92"/>
      <c r="I297" s="92"/>
      <c r="K297" s="92"/>
      <c r="L297" s="92"/>
      <c r="M297" s="92"/>
      <c r="N297" s="92"/>
      <c r="O297" s="92"/>
      <c r="P297" s="92"/>
      <c r="Q297" s="92"/>
      <c r="R297" s="92"/>
      <c r="S297" s="92"/>
      <c r="T297" s="22"/>
    </row>
    <row r="298" spans="1:20" ht="15.75" thickBot="1" x14ac:dyDescent="0.3">
      <c r="A298" s="96" t="s">
        <v>40</v>
      </c>
      <c r="B298" s="92"/>
      <c r="C298" s="92"/>
      <c r="D298" s="92"/>
      <c r="E298" s="92"/>
      <c r="F298" s="92"/>
      <c r="G298" s="92"/>
      <c r="H298" s="92"/>
      <c r="I298" s="92"/>
      <c r="K298" s="92" t="s">
        <v>40</v>
      </c>
      <c r="L298" s="92"/>
      <c r="M298" s="92"/>
      <c r="N298" s="92"/>
      <c r="O298" s="92"/>
      <c r="P298" s="92"/>
      <c r="Q298" s="92"/>
      <c r="R298" s="92"/>
      <c r="S298" s="92"/>
      <c r="T298" s="22"/>
    </row>
    <row r="299" spans="1:20" x14ac:dyDescent="0.25">
      <c r="A299" s="98"/>
      <c r="B299" s="94" t="s">
        <v>45</v>
      </c>
      <c r="C299" s="94" t="s">
        <v>46</v>
      </c>
      <c r="D299" s="94" t="s">
        <v>47</v>
      </c>
      <c r="E299" s="94" t="s">
        <v>48</v>
      </c>
      <c r="F299" s="94" t="s">
        <v>49</v>
      </c>
      <c r="G299" s="92"/>
      <c r="H299" s="92"/>
      <c r="I299" s="92"/>
      <c r="K299" s="94"/>
      <c r="L299" s="94" t="s">
        <v>45</v>
      </c>
      <c r="M299" s="94" t="s">
        <v>46</v>
      </c>
      <c r="N299" s="94" t="s">
        <v>47</v>
      </c>
      <c r="O299" s="94" t="s">
        <v>48</v>
      </c>
      <c r="P299" s="94" t="s">
        <v>49</v>
      </c>
      <c r="Q299" s="92"/>
      <c r="R299" s="92"/>
      <c r="S299" s="92"/>
      <c r="T299" s="22"/>
    </row>
    <row r="300" spans="1:20" x14ac:dyDescent="0.25">
      <c r="A300" s="96" t="s">
        <v>41</v>
      </c>
      <c r="B300" s="92">
        <v>3</v>
      </c>
      <c r="C300" s="92">
        <v>0.46790363413097114</v>
      </c>
      <c r="D300" s="92">
        <v>0.15596787804365705</v>
      </c>
      <c r="E300" s="92" t="e">
        <v>#NUM!</v>
      </c>
      <c r="F300" s="92" t="e">
        <v>#NUM!</v>
      </c>
      <c r="G300" s="92"/>
      <c r="H300" s="92"/>
      <c r="I300" s="92"/>
      <c r="K300" s="92" t="s">
        <v>41</v>
      </c>
      <c r="L300" s="92">
        <v>2</v>
      </c>
      <c r="M300" s="92">
        <v>2.3154749578425671E-3</v>
      </c>
      <c r="N300" s="92">
        <v>1.1577374789212835E-3</v>
      </c>
      <c r="O300" s="92">
        <v>2.4866128059987448E-3</v>
      </c>
      <c r="P300" s="92">
        <v>0.99752262378706402</v>
      </c>
      <c r="Q300" s="92"/>
      <c r="R300" s="92"/>
      <c r="S300" s="92"/>
      <c r="T300" s="22"/>
    </row>
    <row r="301" spans="1:20" x14ac:dyDescent="0.25">
      <c r="A301" s="96" t="s">
        <v>42</v>
      </c>
      <c r="B301" s="92">
        <v>0</v>
      </c>
      <c r="C301" s="92">
        <v>0</v>
      </c>
      <c r="D301" s="92">
        <v>65535</v>
      </c>
      <c r="E301" s="92"/>
      <c r="F301" s="92"/>
      <c r="G301" s="92"/>
      <c r="H301" s="92"/>
      <c r="I301" s="92"/>
      <c r="K301" s="92" t="s">
        <v>42</v>
      </c>
      <c r="L301" s="92">
        <v>1</v>
      </c>
      <c r="M301" s="92">
        <v>0.46558815917312857</v>
      </c>
      <c r="N301" s="92">
        <v>0.46558815917312857</v>
      </c>
      <c r="O301" s="92"/>
      <c r="P301" s="92"/>
      <c r="Q301" s="92"/>
      <c r="R301" s="92"/>
      <c r="S301" s="92"/>
      <c r="T301" s="22"/>
    </row>
    <row r="302" spans="1:20" ht="15.75" thickBot="1" x14ac:dyDescent="0.3">
      <c r="A302" s="97" t="s">
        <v>43</v>
      </c>
      <c r="B302" s="93">
        <v>3</v>
      </c>
      <c r="C302" s="93">
        <v>0.46790363413097114</v>
      </c>
      <c r="D302" s="93"/>
      <c r="E302" s="93"/>
      <c r="F302" s="93"/>
      <c r="G302" s="92"/>
      <c r="H302" s="92"/>
      <c r="I302" s="92"/>
      <c r="K302" s="93" t="s">
        <v>43</v>
      </c>
      <c r="L302" s="93">
        <v>3</v>
      </c>
      <c r="M302" s="93">
        <v>0.46790363413097114</v>
      </c>
      <c r="N302" s="93"/>
      <c r="O302" s="93"/>
      <c r="P302" s="93"/>
      <c r="Q302" s="92"/>
      <c r="R302" s="92"/>
      <c r="S302" s="92"/>
      <c r="T302" s="22"/>
    </row>
    <row r="303" spans="1:20" ht="15.75" thickBot="1" x14ac:dyDescent="0.3">
      <c r="A303" s="96"/>
      <c r="B303" s="92"/>
      <c r="C303" s="92"/>
      <c r="D303" s="92"/>
      <c r="E303" s="92"/>
      <c r="F303" s="92"/>
      <c r="G303" s="92"/>
      <c r="H303" s="92"/>
      <c r="I303" s="92"/>
      <c r="K303" s="92"/>
      <c r="L303" s="92"/>
      <c r="M303" s="92"/>
      <c r="N303" s="92"/>
      <c r="O303" s="92"/>
      <c r="P303" s="92"/>
      <c r="Q303" s="92"/>
      <c r="R303" s="92"/>
      <c r="S303" s="92"/>
      <c r="T303" s="22"/>
    </row>
    <row r="304" spans="1:20" x14ac:dyDescent="0.25">
      <c r="A304" s="98"/>
      <c r="B304" s="94" t="s">
        <v>50</v>
      </c>
      <c r="C304" s="94" t="s">
        <v>38</v>
      </c>
      <c r="D304" s="94" t="s">
        <v>51</v>
      </c>
      <c r="E304" s="94" t="s">
        <v>52</v>
      </c>
      <c r="F304" s="94" t="s">
        <v>53</v>
      </c>
      <c r="G304" s="94" t="s">
        <v>54</v>
      </c>
      <c r="H304" s="94" t="s">
        <v>55</v>
      </c>
      <c r="I304" s="94" t="s">
        <v>56</v>
      </c>
      <c r="K304" s="94"/>
      <c r="L304" s="94" t="s">
        <v>50</v>
      </c>
      <c r="M304" s="94" t="s">
        <v>38</v>
      </c>
      <c r="N304" s="94" t="s">
        <v>51</v>
      </c>
      <c r="O304" s="94" t="s">
        <v>52</v>
      </c>
      <c r="P304" s="94" t="s">
        <v>53</v>
      </c>
      <c r="Q304" s="94" t="s">
        <v>54</v>
      </c>
      <c r="R304" s="94" t="s">
        <v>55</v>
      </c>
      <c r="S304" s="94" t="s">
        <v>56</v>
      </c>
      <c r="T304" s="22"/>
    </row>
    <row r="305" spans="1:20" x14ac:dyDescent="0.25">
      <c r="A305" s="96" t="s">
        <v>44</v>
      </c>
      <c r="B305" s="92">
        <v>2.8314895067737074</v>
      </c>
      <c r="C305" s="92">
        <v>0</v>
      </c>
      <c r="D305" s="92">
        <v>65535</v>
      </c>
      <c r="E305" s="92" t="e">
        <v>#NUM!</v>
      </c>
      <c r="F305" s="92" t="e">
        <v>#VALUE!</v>
      </c>
      <c r="G305" s="92" t="e">
        <v>#VALUE!</v>
      </c>
      <c r="H305" s="92">
        <v>2.8314895067737074</v>
      </c>
      <c r="I305" s="92">
        <v>2.8314895067737074</v>
      </c>
      <c r="K305" s="92" t="s">
        <v>44</v>
      </c>
      <c r="L305" s="92">
        <v>-0.2445408717395553</v>
      </c>
      <c r="M305" s="92">
        <v>6.816133362419464</v>
      </c>
      <c r="N305" s="92">
        <v>-3.5876773345988752E-2</v>
      </c>
      <c r="O305" s="92">
        <v>0.97716992854724105</v>
      </c>
      <c r="P305" s="92">
        <v>-86.851726883712175</v>
      </c>
      <c r="Q305" s="92">
        <v>86.362645140233056</v>
      </c>
      <c r="R305" s="92">
        <v>-86.851726883712175</v>
      </c>
      <c r="S305" s="92">
        <v>86.362645140233056</v>
      </c>
      <c r="T305" s="22"/>
    </row>
    <row r="306" spans="1:20" x14ac:dyDescent="0.25">
      <c r="A306" s="96" t="s">
        <v>24</v>
      </c>
      <c r="B306" s="92">
        <v>4.934156151921485E-4</v>
      </c>
      <c r="C306" s="92">
        <v>0</v>
      </c>
      <c r="D306" s="92">
        <v>65535</v>
      </c>
      <c r="E306" s="92" t="e">
        <v>#NUM!</v>
      </c>
      <c r="F306" s="92">
        <v>4.934156151921485E-4</v>
      </c>
      <c r="G306" s="92">
        <v>4.934156151921485E-4</v>
      </c>
      <c r="H306" s="92">
        <v>4.934156151921485E-4</v>
      </c>
      <c r="I306" s="92">
        <v>4.934156151921485E-4</v>
      </c>
      <c r="K306" s="92" t="s">
        <v>27</v>
      </c>
      <c r="L306" s="92">
        <v>-1.6895175605121937E-2</v>
      </c>
      <c r="M306" s="92">
        <v>0.24310540352745202</v>
      </c>
      <c r="N306" s="92">
        <v>-6.9497326509297824E-2</v>
      </c>
      <c r="O306" s="92">
        <v>0.95582765214327692</v>
      </c>
      <c r="P306" s="92">
        <v>-3.1058422052952959</v>
      </c>
      <c r="Q306" s="92">
        <v>3.0720518540850521</v>
      </c>
      <c r="R306" s="92">
        <v>-3.1058422052952959</v>
      </c>
      <c r="S306" s="92">
        <v>3.0720518540850521</v>
      </c>
      <c r="T306" s="22"/>
    </row>
    <row r="307" spans="1:20" ht="15.75" thickBot="1" x14ac:dyDescent="0.3">
      <c r="A307" s="96" t="s">
        <v>27</v>
      </c>
      <c r="B307" s="92">
        <v>5.7716087234823417E-2</v>
      </c>
      <c r="C307" s="92">
        <v>0</v>
      </c>
      <c r="D307" s="92">
        <v>65535</v>
      </c>
      <c r="E307" s="92" t="e">
        <v>#NUM!</v>
      </c>
      <c r="F307" s="92">
        <v>5.7716087234823417E-2</v>
      </c>
      <c r="G307" s="92">
        <v>5.7716087234823417E-2</v>
      </c>
      <c r="H307" s="92">
        <v>5.7716087234823417E-2</v>
      </c>
      <c r="I307" s="92">
        <v>5.7716087234823417E-2</v>
      </c>
      <c r="K307" s="93" t="s">
        <v>26</v>
      </c>
      <c r="L307" s="93">
        <v>0.25752857503793392</v>
      </c>
      <c r="M307" s="93">
        <v>6.7862694547957192</v>
      </c>
      <c r="N307" s="93">
        <v>3.7948474747925565E-2</v>
      </c>
      <c r="O307" s="93">
        <v>0.97585283753241803</v>
      </c>
      <c r="P307" s="93">
        <v>-85.970200512445174</v>
      </c>
      <c r="Q307" s="93">
        <v>86.48525766252105</v>
      </c>
      <c r="R307" s="93">
        <v>-85.970200512445174</v>
      </c>
      <c r="S307" s="93">
        <v>86.48525766252105</v>
      </c>
      <c r="T307" s="22"/>
    </row>
    <row r="308" spans="1:20" x14ac:dyDescent="0.25">
      <c r="A308" s="99" t="s">
        <v>26</v>
      </c>
      <c r="B308" s="100">
        <v>-3.4345042567272173</v>
      </c>
      <c r="C308" s="100">
        <v>0</v>
      </c>
      <c r="D308" s="100">
        <v>65535</v>
      </c>
      <c r="E308" s="100" t="e">
        <v>#NUM!</v>
      </c>
      <c r="F308" s="100">
        <v>-3.4345042567272173</v>
      </c>
      <c r="G308" s="100">
        <v>-3.4345042567272173</v>
      </c>
      <c r="H308" s="100">
        <v>-3.4345042567272173</v>
      </c>
      <c r="I308" s="100">
        <v>-3.4345042567272173</v>
      </c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9"/>
    </row>
  </sheetData>
  <mergeCells count="24">
    <mergeCell ref="K250:P250"/>
    <mergeCell ref="K270:P270"/>
    <mergeCell ref="A51:F51"/>
    <mergeCell ref="A72:F72"/>
    <mergeCell ref="K51:P51"/>
    <mergeCell ref="K72:P72"/>
    <mergeCell ref="A92:F92"/>
    <mergeCell ref="K92:P92"/>
    <mergeCell ref="A112:F112"/>
    <mergeCell ref="K112:P112"/>
    <mergeCell ref="A200:F200"/>
    <mergeCell ref="K200:P200"/>
    <mergeCell ref="A290:F290"/>
    <mergeCell ref="K290:P290"/>
    <mergeCell ref="A140:F140"/>
    <mergeCell ref="A160:F160"/>
    <mergeCell ref="A180:F180"/>
    <mergeCell ref="K140:P140"/>
    <mergeCell ref="K160:P160"/>
    <mergeCell ref="K180:P180"/>
    <mergeCell ref="A230:F230"/>
    <mergeCell ref="A250:F250"/>
    <mergeCell ref="A270:F270"/>
    <mergeCell ref="K230:P2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2026-06-29T04:13:38Z</dcterms:created>
  <dcterms:modified xsi:type="dcterms:W3CDTF">2026-06-30T01:22:53Z</dcterms:modified>
</cp:coreProperties>
</file>