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hysteresis\correlations\multiple_regressions\"/>
    </mc:Choice>
  </mc:AlternateContent>
  <xr:revisionPtr revIDLastSave="0" documentId="8_{42240731-2242-4D3A-9CDF-8E0F4B0FC088}" xr6:coauthVersionLast="47" xr6:coauthVersionMax="47" xr10:uidLastSave="{00000000-0000-0000-0000-000000000000}"/>
  <bookViews>
    <workbookView xWindow="-120" yWindow="-120" windowWidth="29040" windowHeight="15720" xr2:uid="{45D0A2E9-A66C-4C74-B9CB-F5D4797C5B3E}"/>
  </bookViews>
  <sheets>
    <sheet name="tauc correlations (no st7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4" i="1" l="1"/>
  <c r="K73" i="1"/>
  <c r="K72" i="1"/>
  <c r="K71" i="1"/>
  <c r="K70" i="1"/>
  <c r="K69" i="1"/>
  <c r="K66" i="1"/>
  <c r="J66" i="1"/>
  <c r="K65" i="1"/>
  <c r="J65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2" i="1"/>
  <c r="K51" i="1"/>
  <c r="K47" i="1"/>
  <c r="K46" i="1"/>
  <c r="K45" i="1"/>
  <c r="K44" i="1"/>
  <c r="K43" i="1"/>
  <c r="K42" i="1"/>
  <c r="K39" i="1"/>
  <c r="K38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5" i="1"/>
  <c r="J25" i="1"/>
  <c r="K24" i="1"/>
  <c r="J24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BC9" i="1"/>
  <c r="BB9" i="1"/>
  <c r="K9" i="1"/>
  <c r="J9" i="1"/>
  <c r="BC8" i="1"/>
  <c r="BB8" i="1"/>
  <c r="K8" i="1"/>
  <c r="J8" i="1"/>
  <c r="BC7" i="1"/>
  <c r="BB7" i="1"/>
  <c r="BC6" i="1"/>
  <c r="BB6" i="1"/>
  <c r="BC5" i="1"/>
  <c r="BB5" i="1"/>
  <c r="J5" i="1"/>
  <c r="J4" i="1"/>
  <c r="BC3" i="1"/>
  <c r="BB3" i="1"/>
  <c r="K3" i="1"/>
  <c r="J3" i="1"/>
  <c r="BC2" i="1"/>
  <c r="BB2" i="1"/>
  <c r="K2" i="1"/>
  <c r="J2" i="1"/>
</calcChain>
</file>

<file path=xl/sharedStrings.xml><?xml version="1.0" encoding="utf-8"?>
<sst xmlns="http://schemas.openxmlformats.org/spreadsheetml/2006/main" count="331" uniqueCount="76">
  <si>
    <t xml:space="preserve">Aich Hysteresis </t>
  </si>
  <si>
    <t>SSC HI</t>
  </si>
  <si>
    <t>POC HI</t>
  </si>
  <si>
    <t>Turb HI</t>
  </si>
  <si>
    <t>DOC HI</t>
  </si>
  <si>
    <t>τpeak / τc50 exceedance</t>
  </si>
  <si>
    <t>Time τ &gt; τc (hrs)</t>
  </si>
  <si>
    <t>Rise Time τ&gt;τc (hrs)</t>
  </si>
  <si>
    <t>Fall Time τ&gt;τc (hrs)</t>
  </si>
  <si>
    <t>∆time τ&gt;τc (hrs)</t>
  </si>
  <si>
    <t xml:space="preserve">% rise time </t>
  </si>
  <si>
    <t xml:space="preserve">Excess Integral Rise </t>
  </si>
  <si>
    <t>τpeak / τc (exceed)</t>
  </si>
  <si>
    <t>RiseTime τ &gt; τc (hrs)</t>
  </si>
  <si>
    <t>FallTime τ &gt; τc (hrs)</t>
  </si>
  <si>
    <t xml:space="preserve">% fall time </t>
  </si>
  <si>
    <t xml:space="preserve">Excess Balance </t>
  </si>
  <si>
    <t>st2_down</t>
  </si>
  <si>
    <t>Event_3</t>
  </si>
  <si>
    <t>st3_down</t>
  </si>
  <si>
    <t>Event_4</t>
  </si>
  <si>
    <t>st4_down</t>
  </si>
  <si>
    <t>Event_5</t>
  </si>
  <si>
    <t>st4_up</t>
  </si>
  <si>
    <t>Event_6</t>
  </si>
  <si>
    <t>Down Event_6</t>
  </si>
  <si>
    <t>Down Event_3</t>
  </si>
  <si>
    <t>Event_8</t>
  </si>
  <si>
    <t>Down Event_8</t>
  </si>
  <si>
    <t>Event_9</t>
  </si>
  <si>
    <t>Down Event_9</t>
  </si>
  <si>
    <t>Event_10</t>
  </si>
  <si>
    <t>Down Event_10</t>
  </si>
  <si>
    <t>Event_12</t>
  </si>
  <si>
    <t>Down Event_13</t>
  </si>
  <si>
    <t>Event_13</t>
  </si>
  <si>
    <t>Event_14</t>
  </si>
  <si>
    <t>st2</t>
  </si>
  <si>
    <t>st3</t>
  </si>
  <si>
    <t>Regression Statistics</t>
  </si>
  <si>
    <t>Up Event_3</t>
  </si>
  <si>
    <t>st4</t>
  </si>
  <si>
    <t>Multiple R</t>
  </si>
  <si>
    <t>Up Event_8</t>
  </si>
  <si>
    <t>st7</t>
  </si>
  <si>
    <t>R Square</t>
  </si>
  <si>
    <t>Up Event_9</t>
  </si>
  <si>
    <t>Adjusted R Square</t>
  </si>
  <si>
    <t>Up Event_10</t>
  </si>
  <si>
    <t>Standard Error</t>
  </si>
  <si>
    <t>Up Event_12</t>
  </si>
  <si>
    <t>Observations</t>
  </si>
  <si>
    <t>Up Event_13</t>
  </si>
  <si>
    <t>Up Event_14</t>
  </si>
  <si>
    <t>ANOVA</t>
  </si>
  <si>
    <t>df</t>
  </si>
  <si>
    <t>SS</t>
  </si>
  <si>
    <t>MS</t>
  </si>
  <si>
    <t>F</t>
  </si>
  <si>
    <t>Significance F</t>
  </si>
  <si>
    <t>Upstream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</si>
  <si>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</si>
  <si>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</si>
  <si>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</si>
  <si>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</si>
  <si>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</si>
  <si>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</si>
  <si>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</si>
  <si>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</si>
  <si>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</si>
  <si>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</si>
  <si>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</si>
  <si>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Downstream</t>
  </si>
  <si>
    <t>Summer Down, Spring Up</t>
  </si>
  <si>
    <t>SUMMARY OUTPUT</t>
  </si>
  <si>
    <t xml:space="preserve">Summer Up, Spring Down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</si>
</sst>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/>
    <xf numFmtId="0" fontId="3" fillId="0" borderId="2" xfId="0" applyFont="1" applyBorder="1" applyAlignment="1">
      <alignment horizontal="centerContinuous"/>
    </xf>
    <xf numFmtId="2" fontId="4" fillId="2" borderId="0" xfId="0" applyNumberFormat="1" applyFont="1" applyFill="1" applyAlignment="1">
      <alignment horizontal="center"/>
    </xf>
    <xf numFmtId="0" fontId="0" fillId="0" borderId="3" xfId="0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A-4EE1-AE97-62E66C1EF193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st7)'!$F$2:$F$20</c:f>
              <c:numCache>
                <c:formatCode>0.00</c:formatCode>
                <c:ptCount val="19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3">
                  <c:v>1</c:v>
                </c:pt>
                <c:pt idx="6">
                  <c:v>1.0078290838208943</c:v>
                </c:pt>
                <c:pt idx="7">
                  <c:v>1.0119508062412015</c:v>
                </c:pt>
                <c:pt idx="8">
                  <c:v>1.0239451393319936</c:v>
                </c:pt>
                <c:pt idx="9">
                  <c:v>1.0275460447393339</c:v>
                </c:pt>
                <c:pt idx="10">
                  <c:v>1.0275826446035865</c:v>
                </c:pt>
                <c:pt idx="11">
                  <c:v>1.111235100018195</c:v>
                </c:pt>
                <c:pt idx="12">
                  <c:v>1.0078290838208943</c:v>
                </c:pt>
                <c:pt idx="13">
                  <c:v>1.0239451393319936</c:v>
                </c:pt>
                <c:pt idx="14">
                  <c:v>1.0275460447393339</c:v>
                </c:pt>
                <c:pt idx="15">
                  <c:v>1.0275826446035865</c:v>
                </c:pt>
                <c:pt idx="16">
                  <c:v>1.0572093304532362</c:v>
                </c:pt>
                <c:pt idx="17">
                  <c:v>1.111235100018195</c:v>
                </c:pt>
                <c:pt idx="18">
                  <c:v>1.0519758315193652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7A-4EE1-AE97-62E66C1EF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48-4EF6-B450-96F6B7C82B20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st7)'!$F$24:$F$34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48-4EF6-B450-96F6B7C82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24-48EA-9C2C-095F4F820B02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st7)'!$F$38:$F$47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24-48EA-9C2C-095F4F82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F8-423B-AE98-68620CD63AED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st7)'!$F$51:$F$61</c:f>
              <c:numCache>
                <c:formatCode>0.00</c:formatCode>
                <c:ptCount val="11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1.0239451393319936</c:v>
                </c:pt>
                <c:pt idx="6">
                  <c:v>1.0275460447393339</c:v>
                </c:pt>
                <c:pt idx="7">
                  <c:v>1.0275826446035865</c:v>
                </c:pt>
                <c:pt idx="8">
                  <c:v>1.0572093304532362</c:v>
                </c:pt>
                <c:pt idx="9">
                  <c:v>1.111235100018195</c:v>
                </c:pt>
                <c:pt idx="10">
                  <c:v>1.0519758315193652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F8-423B-AE98-68620CD6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 tau peak/tc (exceed)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0-47E9-BA0E-51FE74EF7CE5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st7)'!$F$65:$F$74</c:f>
              <c:numCache>
                <c:formatCode>0.00</c:formatCode>
                <c:ptCount val="10"/>
                <c:pt idx="0">
                  <c:v>1.1737788669959504</c:v>
                </c:pt>
                <c:pt idx="1">
                  <c:v>1.0182769682576838</c:v>
                </c:pt>
                <c:pt idx="2">
                  <c:v>1</c:v>
                </c:pt>
                <c:pt idx="4">
                  <c:v>1.0078290838208943</c:v>
                </c:pt>
                <c:pt idx="5">
                  <c:v>1.0119508062412015</c:v>
                </c:pt>
                <c:pt idx="6">
                  <c:v>1.0239451393319936</c:v>
                </c:pt>
                <c:pt idx="7">
                  <c:v>1.0275460447393339</c:v>
                </c:pt>
                <c:pt idx="8">
                  <c:v>1.0275826446035865</c:v>
                </c:pt>
                <c:pt idx="9">
                  <c:v>1.111235100018195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60-47E9-BA0E-51FE74EF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HI to</a:t>
            </a:r>
            <a:r>
              <a:rPr lang="en-US" sz="1100" baseline="0"/>
              <a:t> t</a:t>
            </a:r>
            <a:r>
              <a:rPr lang="en-US" sz="1100"/>
              <a:t>ime </a:t>
            </a:r>
            <a:r>
              <a:rPr lang="el-GR" sz="1100"/>
              <a:t>τ &gt; 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2143771127179526E-2"/>
                  <c:y val="-0.320008384368620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0-42F5-B9F1-083952CB886A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819101071817555"/>
                  <c:y val="-8.9515893846602509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st7)'!$G$2:$G$20</c:f>
              <c:numCache>
                <c:formatCode>0.00</c:formatCode>
                <c:ptCount val="19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3">
                  <c:v>0</c:v>
                </c:pt>
                <c:pt idx="6">
                  <c:v>2.4954469283408098</c:v>
                </c:pt>
                <c:pt idx="7">
                  <c:v>8.1761484496582497</c:v>
                </c:pt>
                <c:pt idx="8">
                  <c:v>19.594840851392899</c:v>
                </c:pt>
                <c:pt idx="9">
                  <c:v>17.2552427011953</c:v>
                </c:pt>
                <c:pt idx="10">
                  <c:v>17.024424898784201</c:v>
                </c:pt>
                <c:pt idx="11">
                  <c:v>21.9579587943592</c:v>
                </c:pt>
                <c:pt idx="12">
                  <c:v>2.4954469283408098</c:v>
                </c:pt>
                <c:pt idx="13">
                  <c:v>19.594840851392899</c:v>
                </c:pt>
                <c:pt idx="14">
                  <c:v>17.2552427011953</c:v>
                </c:pt>
                <c:pt idx="15">
                  <c:v>17.024424898784201</c:v>
                </c:pt>
                <c:pt idx="16">
                  <c:v>15.1069524712688</c:v>
                </c:pt>
                <c:pt idx="17">
                  <c:v>21.9579587943592</c:v>
                </c:pt>
                <c:pt idx="18">
                  <c:v>16.640165980770899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10-42F5-B9F1-083952CB8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2F-4498-BDBD-F6732E03E46E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st7)'!$G$24:$G$34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2F-4498-BDBD-F6732E03E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574983725931359E-2"/>
                  <c:y val="-0.33615723630558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9-47D5-B2C4-60F58E9C9133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st7)'!$G$38:$G$47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9-47D5-B2C4-60F58E9C9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 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6-4E6A-BCCF-963500E9B467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st7)'!$G$51:$G$61</c:f>
              <c:numCache>
                <c:formatCode>0.00</c:formatCode>
                <c:ptCount val="11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19.594840851392899</c:v>
                </c:pt>
                <c:pt idx="6">
                  <c:v>17.2552427011953</c:v>
                </c:pt>
                <c:pt idx="7">
                  <c:v>17.024424898784201</c:v>
                </c:pt>
                <c:pt idx="8">
                  <c:v>15.1069524712688</c:v>
                </c:pt>
                <c:pt idx="9">
                  <c:v>21.9579587943592</c:v>
                </c:pt>
                <c:pt idx="10">
                  <c:v>16.640165980770899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06-4E6A-BCCF-963500E9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 to 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 &gt; 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073178452924234"/>
                  <c:y val="-6.888204169172369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BD-4236-8154-18A3DCAECABD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st7)'!$G$65:$G$74</c:f>
              <c:numCache>
                <c:formatCode>0.00</c:formatCode>
                <c:ptCount val="10"/>
                <c:pt idx="0">
                  <c:v>4</c:v>
                </c:pt>
                <c:pt idx="1">
                  <c:v>1.1385255280790201</c:v>
                </c:pt>
                <c:pt idx="2">
                  <c:v>0</c:v>
                </c:pt>
                <c:pt idx="4">
                  <c:v>2.4954469283408098</c:v>
                </c:pt>
                <c:pt idx="5">
                  <c:v>8.1761484496582497</c:v>
                </c:pt>
                <c:pt idx="6">
                  <c:v>19.594840851392899</c:v>
                </c:pt>
                <c:pt idx="7">
                  <c:v>17.2552427011953</c:v>
                </c:pt>
                <c:pt idx="8">
                  <c:v>17.024424898784201</c:v>
                </c:pt>
                <c:pt idx="9">
                  <c:v>21.9579587943592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D-4236-8154-18A3DCAE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∆time </a:t>
            </a:r>
            <a:r>
              <a:rPr lang="el-GR" sz="1100"/>
              <a:t>τ&gt;τ</a:t>
            </a:r>
            <a:r>
              <a:rPr lang="en-US" sz="1100"/>
              <a:t>c (hrs)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F-48C6-9C4B-D396528D39C7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st7)'!$J$2:$J$20</c:f>
              <c:numCache>
                <c:formatCode>0.00</c:formatCode>
                <c:ptCount val="19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3">
                  <c:v>0</c:v>
                </c:pt>
                <c:pt idx="6">
                  <c:v>1.194091358120922</c:v>
                </c:pt>
                <c:pt idx="7">
                  <c:v>-1.9243966466520197</c:v>
                </c:pt>
                <c:pt idx="8">
                  <c:v>-8.5529249332917008</c:v>
                </c:pt>
                <c:pt idx="9">
                  <c:v>-6.8910153198931301</c:v>
                </c:pt>
                <c:pt idx="10">
                  <c:v>-4.3261384988685592</c:v>
                </c:pt>
                <c:pt idx="11">
                  <c:v>-7.4420412056407592</c:v>
                </c:pt>
                <c:pt idx="12">
                  <c:v>1.194091358120922</c:v>
                </c:pt>
                <c:pt idx="13">
                  <c:v>-8.5529249332917008</c:v>
                </c:pt>
                <c:pt idx="14">
                  <c:v>-6.8910153198931301</c:v>
                </c:pt>
                <c:pt idx="15">
                  <c:v>-4.3261384988685592</c:v>
                </c:pt>
                <c:pt idx="16">
                  <c:v>-8.6900508235792202</c:v>
                </c:pt>
                <c:pt idx="17">
                  <c:v>-7.4420412056407592</c:v>
                </c:pt>
                <c:pt idx="18">
                  <c:v>-8.2060847497882605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AF-48C6-9C4B-D396528D3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39-4FA8-9507-01EEDCF4EF91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st7)'!$J$24:$J$34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39-4FA8-9507-01EEDCF4E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E-4DE7-95C8-0109BE0316F1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st7)'!$J$38:$J$47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5E-4DE7-95C8-0109BE031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3-4F8C-9856-59B63D584F09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st7)'!$J$51:$J$61</c:f>
              <c:numCache>
                <c:formatCode>0.00</c:formatCode>
                <c:ptCount val="11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-8.5529249332917008</c:v>
                </c:pt>
                <c:pt idx="6">
                  <c:v>-6.8910153198931301</c:v>
                </c:pt>
                <c:pt idx="7">
                  <c:v>-4.3261384988685592</c:v>
                </c:pt>
                <c:pt idx="8">
                  <c:v>-8.6900508235792202</c:v>
                </c:pt>
                <c:pt idx="9">
                  <c:v>-7.4420412056407592</c:v>
                </c:pt>
                <c:pt idx="10">
                  <c:v>-8.2060847497882605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73-4F8C-9856-59B63D584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∆time </a:t>
            </a:r>
            <a:r>
              <a:rPr lang="el-G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τ&gt;τ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(hrs)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3945997306741127E-2"/>
                  <c:y val="0.145055045202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0-4992-8415-BF0C96D4E596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st7)'!$J$65:$J$74</c:f>
              <c:numCache>
                <c:formatCode>0.00</c:formatCode>
                <c:ptCount val="10"/>
                <c:pt idx="0">
                  <c:v>-1.5</c:v>
                </c:pt>
                <c:pt idx="1">
                  <c:v>-0.63852552807902296</c:v>
                </c:pt>
                <c:pt idx="2">
                  <c:v>0</c:v>
                </c:pt>
                <c:pt idx="4">
                  <c:v>1.194091358120922</c:v>
                </c:pt>
                <c:pt idx="5">
                  <c:v>-1.9243966466520197</c:v>
                </c:pt>
                <c:pt idx="6">
                  <c:v>-8.5529249332917008</c:v>
                </c:pt>
                <c:pt idx="7">
                  <c:v>-6.8910153198931301</c:v>
                </c:pt>
                <c:pt idx="8">
                  <c:v>-4.3261384988685592</c:v>
                </c:pt>
                <c:pt idx="9">
                  <c:v>-7.4420412056407592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0-4992-8415-BF0C96D4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∆% rise time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27-4DCC-9806-E902863F9359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st7)'!$K$2:$K$20</c:f>
              <c:numCache>
                <c:formatCode>0.00</c:formatCode>
                <c:ptCount val="19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3">
                  <c:v>0</c:v>
                </c:pt>
                <c:pt idx="6">
                  <c:v>0.73925400788123874</c:v>
                </c:pt>
                <c:pt idx="7">
                  <c:v>0.3823164318443566</c:v>
                </c:pt>
                <c:pt idx="8">
                  <c:v>0.28175569278268175</c:v>
                </c:pt>
                <c:pt idx="9">
                  <c:v>0.30032111285760682</c:v>
                </c:pt>
                <c:pt idx="10">
                  <c:v>0.37294318238093693</c:v>
                </c:pt>
                <c:pt idx="11">
                  <c:v>0.33053886576304825</c:v>
                </c:pt>
                <c:pt idx="12">
                  <c:v>0.73925400788123874</c:v>
                </c:pt>
                <c:pt idx="13">
                  <c:v>0.28175569278268175</c:v>
                </c:pt>
                <c:pt idx="14">
                  <c:v>0.30032111285760682</c:v>
                </c:pt>
                <c:pt idx="15">
                  <c:v>0.37294318238093693</c:v>
                </c:pt>
                <c:pt idx="16">
                  <c:v>0.21238240008676676</c:v>
                </c:pt>
                <c:pt idx="17">
                  <c:v>0.33053886576304825</c:v>
                </c:pt>
                <c:pt idx="18">
                  <c:v>0.25342539373492318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27-4DCC-9806-E902863F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4-4228-B278-C99C0FDF9135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st7)'!$K$24:$K$34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4-4228-B278-C99C0FDF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7909438949630335E-2"/>
                  <c:y val="2.611576259034184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22-40A4-9D1D-6541C1328FEF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st7)'!$K$38:$K$47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22-40A4-9D1D-6541C1328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62178170071276"/>
                  <c:y val="0.1170195392242635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A9-457F-8AAF-E1519B9943AA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st7)'!$K$51:$K$61</c:f>
              <c:numCache>
                <c:formatCode>0.00</c:formatCode>
                <c:ptCount val="11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0.28175569278268175</c:v>
                </c:pt>
                <c:pt idx="6">
                  <c:v>0.30032111285760682</c:v>
                </c:pt>
                <c:pt idx="7">
                  <c:v>0.37294318238093693</c:v>
                </c:pt>
                <c:pt idx="8">
                  <c:v>0.21238240008676676</c:v>
                </c:pt>
                <c:pt idx="9">
                  <c:v>0.33053886576304825</c:v>
                </c:pt>
                <c:pt idx="10">
                  <c:v>0.25342539373492318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A9-457F-8AAF-E1519B994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rise time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674756867580907"/>
                  <c:y val="-3.785156009488483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A2-49CE-B679-3DE7202C11AA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8045374015748031"/>
                  <c:y val="-0.1229556722076407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st7)'!$K$65:$K$74</c:f>
              <c:numCache>
                <c:formatCode>0.00</c:formatCode>
                <c:ptCount val="10"/>
                <c:pt idx="0">
                  <c:v>0.3125</c:v>
                </c:pt>
                <c:pt idx="1">
                  <c:v>0.2195822525137518</c:v>
                </c:pt>
                <c:pt idx="2">
                  <c:v>0</c:v>
                </c:pt>
                <c:pt idx="4">
                  <c:v>0.73925400788123874</c:v>
                </c:pt>
                <c:pt idx="5">
                  <c:v>0.3823164318443566</c:v>
                </c:pt>
                <c:pt idx="6">
                  <c:v>0.28175569278268175</c:v>
                </c:pt>
                <c:pt idx="7">
                  <c:v>0.30032111285760682</c:v>
                </c:pt>
                <c:pt idx="8">
                  <c:v>0.37294318238093693</c:v>
                </c:pt>
                <c:pt idx="9">
                  <c:v>0.33053886576304825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A2-49CE-B679-3DE7202C1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</a:t>
            </a:r>
            <a:r>
              <a:rPr lang="en-US" baseline="0"/>
              <a:t> to excess balance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st7)'!$BI$1</c:f>
              <c:strCache>
                <c:ptCount val="1"/>
                <c:pt idx="0">
                  <c:v>Turb HI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7965163445478405"/>
                  <c:y val="-0.25003135024788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st7)'!$BI$2:$BI$9</c:f>
              <c:numCache>
                <c:formatCode>0.00</c:formatCode>
                <c:ptCount val="8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0.11077055296162799</c:v>
                </c:pt>
                <c:pt idx="4">
                  <c:v>5.5397551503622099E-2</c:v>
                </c:pt>
                <c:pt idx="5">
                  <c:v>6.9883057908481996E-2</c:v>
                </c:pt>
                <c:pt idx="6">
                  <c:v>7.8645648239850305E-2</c:v>
                </c:pt>
                <c:pt idx="7">
                  <c:v>0.101236914763633</c:v>
                </c:pt>
              </c:numCache>
            </c:numRef>
          </c:xVal>
          <c:yVal>
            <c:numRef>
              <c:f>'tauc correlations (no st7)'!$BQ$2:$BQ$9</c:f>
              <c:numCache>
                <c:formatCode>0.000</c:formatCode>
                <c:ptCount val="8"/>
                <c:pt idx="0">
                  <c:v>0.30708458237534503</c:v>
                </c:pt>
                <c:pt idx="1">
                  <c:v>0.49664162355941199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F-4B1F-B659-CAB41874BBA8}"/>
            </c:ext>
          </c:extLst>
        </c:ser>
        <c:ser>
          <c:idx val="1"/>
          <c:order val="1"/>
          <c:tx>
            <c:strRef>
              <c:f>'tauc correlations (no st7)'!$AW$1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113130286866635"/>
                  <c:y val="-4.8543671624380287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st7)'!$AW$2:$AW$9</c:f>
              <c:numCache>
                <c:formatCode>0.00</c:formatCode>
                <c:ptCount val="8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8.8732929175135894E-2</c:v>
                </c:pt>
                <c:pt idx="4">
                  <c:v>0.10415722716452799</c:v>
                </c:pt>
                <c:pt idx="5">
                  <c:v>4.66251429291673E-2</c:v>
                </c:pt>
                <c:pt idx="6">
                  <c:v>9.0894558490112708E-3</c:v>
                </c:pt>
                <c:pt idx="7">
                  <c:v>2.0373962034653699E-2</c:v>
                </c:pt>
              </c:numCache>
            </c:numRef>
          </c:xVal>
          <c:yVal>
            <c:numRef>
              <c:f>'tauc correlations (no st7)'!$BE$2:$BE$9</c:f>
              <c:numCache>
                <c:formatCode>0.000</c:formatCode>
                <c:ptCount val="8"/>
                <c:pt idx="0">
                  <c:v>0.30708458237534503</c:v>
                </c:pt>
                <c:pt idx="1">
                  <c:v>0.49664162355941199</c:v>
                </c:pt>
                <c:pt idx="3">
                  <c:v>0.19059894727801999</c:v>
                </c:pt>
                <c:pt idx="4">
                  <c:v>0.499861288181496</c:v>
                </c:pt>
                <c:pt idx="5">
                  <c:v>0.40695810522245701</c:v>
                </c:pt>
                <c:pt idx="6">
                  <c:v>5.4056282725128302E-2</c:v>
                </c:pt>
                <c:pt idx="7">
                  <c:v>0.45125668170602201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9F-4B1F-B659-CAB41874B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840191"/>
        <c:axId val="1738622415"/>
      </c:scatterChart>
      <c:valAx>
        <c:axId val="180784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2415"/>
        <c:crosses val="autoZero"/>
        <c:crossBetween val="midCat"/>
      </c:valAx>
      <c:valAx>
        <c:axId val="17386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84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duration balance - All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5.3082677165354329E-2"/>
                  <c:y val="-0.230456673080116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st7)'!$L$2:$L$19</c:f>
              <c:numCache>
                <c:formatCode>0.00</c:formatCode>
                <c:ptCount val="18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3">
                  <c:v>0</c:v>
                </c:pt>
                <c:pt idx="6">
                  <c:v>1.1131942168706099</c:v>
                </c:pt>
                <c:pt idx="7">
                  <c:v>2.2065870384902602</c:v>
                </c:pt>
                <c:pt idx="8">
                  <c:v>8.4763382350991101</c:v>
                </c:pt>
                <c:pt idx="9">
                  <c:v>9.5412825319663295</c:v>
                </c:pt>
                <c:pt idx="10">
                  <c:v>14.7819327483883</c:v>
                </c:pt>
                <c:pt idx="11">
                  <c:v>48.251680680319097</c:v>
                </c:pt>
                <c:pt idx="12">
                  <c:v>1.1131942168706099</c:v>
                </c:pt>
                <c:pt idx="13">
                  <c:v>8.4763382350991101</c:v>
                </c:pt>
                <c:pt idx="14">
                  <c:v>9.5412825319663295</c:v>
                </c:pt>
                <c:pt idx="15">
                  <c:v>14.7819327483883</c:v>
                </c:pt>
                <c:pt idx="16">
                  <c:v>15.671540073004801</c:v>
                </c:pt>
                <c:pt idx="17">
                  <c:v>48.251680680319097</c:v>
                </c:pt>
              </c:numCache>
            </c:numRef>
          </c:xVal>
          <c:yVal>
            <c:numRef>
              <c:f>'tauc correlations (no st7)'!$B$2:$B$20</c:f>
              <c:numCache>
                <c:formatCode>0.00</c:formatCode>
                <c:ptCount val="19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3">
                  <c:v>0.14477972148899501</c:v>
                </c:pt>
                <c:pt idx="7">
                  <c:v>8.8732929175135894E-2</c:v>
                </c:pt>
                <c:pt idx="8">
                  <c:v>0.10415722716452799</c:v>
                </c:pt>
                <c:pt idx="9">
                  <c:v>4.66251429291673E-2</c:v>
                </c:pt>
                <c:pt idx="10">
                  <c:v>9.0894558490112708E-3</c:v>
                </c:pt>
                <c:pt idx="11">
                  <c:v>2.0373962034653699E-2</c:v>
                </c:pt>
                <c:pt idx="12">
                  <c:v>0.14608753400636901</c:v>
                </c:pt>
                <c:pt idx="13">
                  <c:v>1.0119527368219401E-2</c:v>
                </c:pt>
                <c:pt idx="14">
                  <c:v>4.5646344187588998E-2</c:v>
                </c:pt>
                <c:pt idx="15">
                  <c:v>1.47909285306715E-2</c:v>
                </c:pt>
                <c:pt idx="16">
                  <c:v>2.0282132481243099E-2</c:v>
                </c:pt>
                <c:pt idx="17">
                  <c:v>3.6679485231980898E-2</c:v>
                </c:pt>
                <c:pt idx="18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C3-495E-BA46-CAF1339A9C57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4037959317585303"/>
                  <c:y val="-0.2088091486460096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st7)'!$L$2:$L$19</c:f>
              <c:numCache>
                <c:formatCode>0.00</c:formatCode>
                <c:ptCount val="18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3">
                  <c:v>0</c:v>
                </c:pt>
                <c:pt idx="6">
                  <c:v>1.1131942168706099</c:v>
                </c:pt>
                <c:pt idx="7">
                  <c:v>2.2065870384902602</c:v>
                </c:pt>
                <c:pt idx="8">
                  <c:v>8.4763382350991101</c:v>
                </c:pt>
                <c:pt idx="9">
                  <c:v>9.5412825319663295</c:v>
                </c:pt>
                <c:pt idx="10">
                  <c:v>14.7819327483883</c:v>
                </c:pt>
                <c:pt idx="11">
                  <c:v>48.251680680319097</c:v>
                </c:pt>
                <c:pt idx="12">
                  <c:v>1.1131942168706099</c:v>
                </c:pt>
                <c:pt idx="13">
                  <c:v>8.4763382350991101</c:v>
                </c:pt>
                <c:pt idx="14">
                  <c:v>9.5412825319663295</c:v>
                </c:pt>
                <c:pt idx="15">
                  <c:v>14.7819327483883</c:v>
                </c:pt>
                <c:pt idx="16">
                  <c:v>15.671540073004801</c:v>
                </c:pt>
                <c:pt idx="17">
                  <c:v>48.251680680319097</c:v>
                </c:pt>
              </c:numCache>
            </c:numRef>
          </c:xVal>
          <c:yVal>
            <c:numRef>
              <c:f>'tauc correlations (no st7)'!$D$2:$D$20</c:f>
              <c:numCache>
                <c:formatCode>0.00</c:formatCode>
                <c:ptCount val="19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6">
                  <c:v>0.11077055296162799</c:v>
                </c:pt>
                <c:pt idx="7">
                  <c:v>0.15621819275209001</c:v>
                </c:pt>
                <c:pt idx="8">
                  <c:v>5.5397551503622099E-2</c:v>
                </c:pt>
                <c:pt idx="9">
                  <c:v>6.9883057908481996E-2</c:v>
                </c:pt>
                <c:pt idx="10">
                  <c:v>7.8645648239850305E-2</c:v>
                </c:pt>
                <c:pt idx="11">
                  <c:v>0.101236914763633</c:v>
                </c:pt>
                <c:pt idx="12">
                  <c:v>6.8212961854365706E-2</c:v>
                </c:pt>
                <c:pt idx="13">
                  <c:v>9.9852529707758195E-2</c:v>
                </c:pt>
                <c:pt idx="14">
                  <c:v>5.5815481283492403E-2</c:v>
                </c:pt>
                <c:pt idx="15">
                  <c:v>9.5391388976058394E-2</c:v>
                </c:pt>
                <c:pt idx="16">
                  <c:v>0.115227328160236</c:v>
                </c:pt>
                <c:pt idx="17">
                  <c:v>0.157732693122626</c:v>
                </c:pt>
                <c:pt idx="18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C3-495E-BA46-CAF1339A9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Upstream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54151509063358E-2"/>
                  <c:y val="0.2314268008165646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st7)'!$L$24:$L$34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st7)'!$B$24:$B$35</c:f>
              <c:numCache>
                <c:formatCode>0.00</c:formatCode>
                <c:ptCount val="12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4B-4959-8910-D6A538DECB68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st7)'!$L$24:$L$34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st7)'!$D$24:$D$34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4B-4959-8910-D6A538DEC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CMP</a:t>
            </a:r>
            <a:r>
              <a:rPr lang="en-US" sz="1100"/>
              <a:t>- Downstream</a:t>
            </a:r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18374036523266"/>
                  <c:y val="-5.847573123888785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st7)'!$L$38:$L$47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st7)'!$B$38:$B$47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5-4D07-8EFB-E7FBF15150A0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2024621846361744"/>
                  <c:y val="-0.2430401064104145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st7)'!$L$38:$L$47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st7)'!$D$38:$D$47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05-4D07-8EFB-E7FBF151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619999707719351"/>
                  <c:y val="-0.51398794322669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st7)'!$L$51:$L$61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st7)'!$B$51:$B$61</c:f>
              <c:numCache>
                <c:formatCode>0.00</c:formatCode>
                <c:ptCount val="11"/>
                <c:pt idx="0">
                  <c:v>0.17369777575697301</c:v>
                </c:pt>
                <c:pt idx="1">
                  <c:v>9.9143945152060597E-2</c:v>
                </c:pt>
                <c:pt idx="2">
                  <c:v>0.21234239309632399</c:v>
                </c:pt>
                <c:pt idx="4">
                  <c:v>0.14608753400636901</c:v>
                </c:pt>
                <c:pt idx="5">
                  <c:v>1.0119527368219401E-2</c:v>
                </c:pt>
                <c:pt idx="6">
                  <c:v>4.5646344187588998E-2</c:v>
                </c:pt>
                <c:pt idx="7">
                  <c:v>1.47909285306715E-2</c:v>
                </c:pt>
                <c:pt idx="8">
                  <c:v>2.0282132481243099E-2</c:v>
                </c:pt>
                <c:pt idx="9">
                  <c:v>3.6679485231980898E-2</c:v>
                </c:pt>
                <c:pt idx="10">
                  <c:v>7.7980025652416296E-2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94-4E14-9FA0-1A8C368C7050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5496470432189191E-2"/>
                  <c:y val="-7.937591134441528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st7)'!$L$51:$L$61</c:f>
              <c:numCache>
                <c:formatCode>0.00</c:formatCode>
                <c:ptCount val="11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8.4763382350991101</c:v>
                </c:pt>
                <c:pt idx="6">
                  <c:v>9.5412825319663295</c:v>
                </c:pt>
                <c:pt idx="7">
                  <c:v>14.7819327483883</c:v>
                </c:pt>
                <c:pt idx="8">
                  <c:v>15.671540073004801</c:v>
                </c:pt>
                <c:pt idx="9">
                  <c:v>48.251680680319097</c:v>
                </c:pt>
                <c:pt idx="10">
                  <c:v>12.8326939779569</c:v>
                </c:pt>
              </c:numCache>
            </c:numRef>
          </c:xVal>
          <c:yVal>
            <c:numRef>
              <c:f>'tauc correlations (no st7)'!$D$51:$D$61</c:f>
              <c:numCache>
                <c:formatCode>0.00</c:formatCode>
                <c:ptCount val="11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4">
                  <c:v>6.8212961854365706E-2</c:v>
                </c:pt>
                <c:pt idx="5">
                  <c:v>9.9852529707758195E-2</c:v>
                </c:pt>
                <c:pt idx="6">
                  <c:v>5.5815481283492403E-2</c:v>
                </c:pt>
                <c:pt idx="7">
                  <c:v>9.5391388976058394E-2</c:v>
                </c:pt>
                <c:pt idx="8">
                  <c:v>0.115227328160236</c:v>
                </c:pt>
                <c:pt idx="9">
                  <c:v>0.157732693122626</c:v>
                </c:pt>
                <c:pt idx="10">
                  <c:v>0.121156039239802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94-4E14-9FA0-1A8C368C7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duration balance </a:t>
            </a:r>
            <a:r>
              <a:rPr lang="en-US" sz="1100"/>
              <a:t>- SM D,</a:t>
            </a:r>
            <a:r>
              <a:rPr lang="en-US" sz="1100" baseline="0"/>
              <a:t> SP U </a:t>
            </a:r>
            <a:endParaRPr lang="en-US" sz="1100"/>
          </a:p>
        </c:rich>
      </c:tx>
      <c:layout>
        <c:manualLayout>
          <c:xMode val="edge"/>
          <c:yMode val="edge"/>
          <c:x val="0.1690184114896746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'tauc correlations (no st7)'!$B$1</c:f>
              <c:strCache>
                <c:ptCount val="1"/>
                <c:pt idx="0">
                  <c:v>SSC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674756867580907"/>
                  <c:y val="-3.785156009488483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st7)'!$L$65:$L$74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st7)'!$B$65:$B$74</c:f>
              <c:numCache>
                <c:formatCode>0.00</c:formatCode>
                <c:ptCount val="10"/>
                <c:pt idx="0">
                  <c:v>0.17369777575697301</c:v>
                </c:pt>
                <c:pt idx="1">
                  <c:v>9.9143945152060597E-2</c:v>
                </c:pt>
                <c:pt idx="2">
                  <c:v>0.14477972148899501</c:v>
                </c:pt>
                <c:pt idx="5">
                  <c:v>8.8732929175135894E-2</c:v>
                </c:pt>
                <c:pt idx="6">
                  <c:v>0.10415722716452799</c:v>
                </c:pt>
                <c:pt idx="7">
                  <c:v>4.66251429291673E-2</c:v>
                </c:pt>
                <c:pt idx="8">
                  <c:v>9.0894558490112708E-3</c:v>
                </c:pt>
                <c:pt idx="9">
                  <c:v>2.0373962034653699E-2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B-4EEA-A857-D8010F184C32}"/>
            </c:ext>
          </c:extLst>
        </c:ser>
        <c:ser>
          <c:idx val="2"/>
          <c:order val="1"/>
          <c:tx>
            <c:strRef>
              <c:f>'tauc correlations (no st7)'!$D$1</c:f>
              <c:strCache>
                <c:ptCount val="1"/>
                <c:pt idx="0">
                  <c:v>Turb HI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843138260874093E-2"/>
                  <c:y val="-0.2391493864582048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'tauc correlations (no st7)'!$L$65:$L$74</c:f>
              <c:numCache>
                <c:formatCode>0.00</c:formatCode>
                <c:ptCount val="10"/>
                <c:pt idx="0">
                  <c:v>9.8673684099999903</c:v>
                </c:pt>
                <c:pt idx="1">
                  <c:v>0.16766152125</c:v>
                </c:pt>
                <c:pt idx="2">
                  <c:v>0</c:v>
                </c:pt>
                <c:pt idx="4">
                  <c:v>1.1131942168706099</c:v>
                </c:pt>
                <c:pt idx="5">
                  <c:v>2.2065870384902602</c:v>
                </c:pt>
                <c:pt idx="6">
                  <c:v>8.4763382350991101</c:v>
                </c:pt>
                <c:pt idx="7">
                  <c:v>9.5412825319663295</c:v>
                </c:pt>
                <c:pt idx="8">
                  <c:v>14.7819327483883</c:v>
                </c:pt>
                <c:pt idx="9">
                  <c:v>48.251680680319097</c:v>
                </c:pt>
              </c:numCache>
            </c:numRef>
          </c:xVal>
          <c:yVal>
            <c:numRef>
              <c:f>'tauc correlations (no st7)'!$D$65:$D$74</c:f>
              <c:numCache>
                <c:formatCode>0.00</c:formatCode>
                <c:ptCount val="10"/>
                <c:pt idx="0">
                  <c:v>0.13984116014494999</c:v>
                </c:pt>
                <c:pt idx="1">
                  <c:v>8.9326261366187695E-2</c:v>
                </c:pt>
                <c:pt idx="2">
                  <c:v>3.0850994672477702E-2</c:v>
                </c:pt>
                <c:pt idx="4">
                  <c:v>0.11077055296162799</c:v>
                </c:pt>
                <c:pt idx="5">
                  <c:v>0.15621819275209001</c:v>
                </c:pt>
                <c:pt idx="6">
                  <c:v>5.5397551503622099E-2</c:v>
                </c:pt>
                <c:pt idx="7">
                  <c:v>6.9883057908481996E-2</c:v>
                </c:pt>
                <c:pt idx="8">
                  <c:v>7.8645648239850305E-2</c:v>
                </c:pt>
                <c:pt idx="9">
                  <c:v>0.101236914763633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CB-4EEA-A857-D8010F184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42495"/>
        <c:axId val="1522966767"/>
      </c:scatterChart>
      <c:valAx>
        <c:axId val="19306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966767"/>
        <c:crosses val="autoZero"/>
        <c:crossBetween val="midCat"/>
      </c:valAx>
      <c:valAx>
        <c:axId val="152296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4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344983</xdr:colOff>
      <xdr:row>0</xdr:row>
      <xdr:rowOff>175292</xdr:rowOff>
    </xdr:from>
    <xdr:to>
      <xdr:col>18</xdr:col>
      <xdr:colOff>367394</xdr:colOff>
      <xdr:row>13</xdr:row>
      <xdr:rowOff>27374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DB2A3-6490-416D-B2C9-CDBBB7844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311365</xdr:colOff>
      <xdr:row>13</xdr:row>
      <xdr:rowOff>62114</xdr:rowOff>
    </xdr:from>
    <xdr:to>
      <xdr:col>18</xdr:col>
      <xdr:colOff>333776</xdr:colOff>
      <xdr:row>27</xdr:row>
      <xdr:rowOff>3844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B85F9F-31B2-4075-A8DE-963ECACEF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322570</xdr:colOff>
      <xdr:row>27</xdr:row>
      <xdr:rowOff>84526</xdr:rowOff>
    </xdr:from>
    <xdr:to>
      <xdr:col>18</xdr:col>
      <xdr:colOff>344981</xdr:colOff>
      <xdr:row>41</xdr:row>
      <xdr:rowOff>26255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C1E152-54C7-4269-B30F-CB0E06335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277747</xdr:colOff>
      <xdr:row>41</xdr:row>
      <xdr:rowOff>129350</xdr:rowOff>
    </xdr:from>
    <xdr:to>
      <xdr:col>18</xdr:col>
      <xdr:colOff>300158</xdr:colOff>
      <xdr:row>55</xdr:row>
      <xdr:rowOff>71080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25F226-7FA7-4BF8-92D0-B8E535AC2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300159</xdr:colOff>
      <xdr:row>55</xdr:row>
      <xdr:rowOff>151762</xdr:rowOff>
    </xdr:from>
    <xdr:to>
      <xdr:col>18</xdr:col>
      <xdr:colOff>322570</xdr:colOff>
      <xdr:row>69</xdr:row>
      <xdr:rowOff>93491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860FB4-F3E3-46EE-A44F-D6FEA5E22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414620</xdr:colOff>
      <xdr:row>0</xdr:row>
      <xdr:rowOff>212912</xdr:rowOff>
    </xdr:from>
    <xdr:to>
      <xdr:col>23</xdr:col>
      <xdr:colOff>437032</xdr:colOff>
      <xdr:row>13</xdr:row>
      <xdr:rowOff>64994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636E84-AAE9-4BBB-B7D0-6625EB08E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425825</xdr:colOff>
      <xdr:row>13</xdr:row>
      <xdr:rowOff>99734</xdr:rowOff>
    </xdr:from>
    <xdr:to>
      <xdr:col>23</xdr:col>
      <xdr:colOff>448237</xdr:colOff>
      <xdr:row>27</xdr:row>
      <xdr:rowOff>41464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97959C-1CA0-4BD4-9159-1B4B56D8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437030</xdr:colOff>
      <xdr:row>27</xdr:row>
      <xdr:rowOff>122146</xdr:rowOff>
    </xdr:from>
    <xdr:to>
      <xdr:col>23</xdr:col>
      <xdr:colOff>459442</xdr:colOff>
      <xdr:row>41</xdr:row>
      <xdr:rowOff>63875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28B56B-8B2F-4B27-B0ED-BD083F529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392207</xdr:colOff>
      <xdr:row>41</xdr:row>
      <xdr:rowOff>166970</xdr:rowOff>
    </xdr:from>
    <xdr:to>
      <xdr:col>23</xdr:col>
      <xdr:colOff>414619</xdr:colOff>
      <xdr:row>55</xdr:row>
      <xdr:rowOff>108700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08918AE-1084-4ABA-9AC3-9D4E721AC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414619</xdr:colOff>
      <xdr:row>55</xdr:row>
      <xdr:rowOff>189382</xdr:rowOff>
    </xdr:from>
    <xdr:to>
      <xdr:col>23</xdr:col>
      <xdr:colOff>437031</xdr:colOff>
      <xdr:row>69</xdr:row>
      <xdr:rowOff>131111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D66E46-F008-402B-82CC-DDD11FBF5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515471</xdr:colOff>
      <xdr:row>0</xdr:row>
      <xdr:rowOff>224118</xdr:rowOff>
    </xdr:from>
    <xdr:to>
      <xdr:col>28</xdr:col>
      <xdr:colOff>537883</xdr:colOff>
      <xdr:row>13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68C869-55A7-411D-BD4C-B1D7A0546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526676</xdr:colOff>
      <xdr:row>13</xdr:row>
      <xdr:rowOff>110940</xdr:rowOff>
    </xdr:from>
    <xdr:to>
      <xdr:col>28</xdr:col>
      <xdr:colOff>549088</xdr:colOff>
      <xdr:row>27</xdr:row>
      <xdr:rowOff>52670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0E3E35D-4510-4DF3-A24E-98D4555DD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537881</xdr:colOff>
      <xdr:row>27</xdr:row>
      <xdr:rowOff>133352</xdr:rowOff>
    </xdr:from>
    <xdr:to>
      <xdr:col>28</xdr:col>
      <xdr:colOff>560293</xdr:colOff>
      <xdr:row>41</xdr:row>
      <xdr:rowOff>75081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4E4DAA-959C-4BDD-BF1E-79F527183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493058</xdr:colOff>
      <xdr:row>41</xdr:row>
      <xdr:rowOff>178176</xdr:rowOff>
    </xdr:from>
    <xdr:to>
      <xdr:col>28</xdr:col>
      <xdr:colOff>515470</xdr:colOff>
      <xdr:row>55</xdr:row>
      <xdr:rowOff>119906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53F47E-9EEE-46FC-8B18-8709DF7B0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23</xdr:col>
      <xdr:colOff>515470</xdr:colOff>
      <xdr:row>56</xdr:row>
      <xdr:rowOff>10088</xdr:rowOff>
    </xdr:from>
    <xdr:to>
      <xdr:col>28</xdr:col>
      <xdr:colOff>537882</xdr:colOff>
      <xdr:row>69</xdr:row>
      <xdr:rowOff>142317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AB98618-4948-4015-9998-6DC3A0405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90449</xdr:colOff>
      <xdr:row>0</xdr:row>
      <xdr:rowOff>163285</xdr:rowOff>
    </xdr:from>
    <xdr:to>
      <xdr:col>34</xdr:col>
      <xdr:colOff>112861</xdr:colOff>
      <xdr:row>13</xdr:row>
      <xdr:rowOff>15367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F0227A7-97BC-4DDD-AFF8-40C9BA347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29</xdr:col>
      <xdr:colOff>101654</xdr:colOff>
      <xdr:row>13</xdr:row>
      <xdr:rowOff>50107</xdr:rowOff>
    </xdr:from>
    <xdr:to>
      <xdr:col>34</xdr:col>
      <xdr:colOff>124066</xdr:colOff>
      <xdr:row>26</xdr:row>
      <xdr:rowOff>182337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FB66CD0-7E56-4578-847A-89A171100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29</xdr:col>
      <xdr:colOff>112859</xdr:colOff>
      <xdr:row>27</xdr:row>
      <xdr:rowOff>72519</xdr:rowOff>
    </xdr:from>
    <xdr:to>
      <xdr:col>34</xdr:col>
      <xdr:colOff>135271</xdr:colOff>
      <xdr:row>41</xdr:row>
      <xdr:rowOff>14248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80C6926-20E6-47D5-858B-AF53754CA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29</xdr:col>
      <xdr:colOff>68036</xdr:colOff>
      <xdr:row>41</xdr:row>
      <xdr:rowOff>117343</xdr:rowOff>
    </xdr:from>
    <xdr:to>
      <xdr:col>34</xdr:col>
      <xdr:colOff>90448</xdr:colOff>
      <xdr:row>55</xdr:row>
      <xdr:rowOff>59073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3713DCC-C2B1-4B35-A338-4C174C334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29</xdr:col>
      <xdr:colOff>90448</xdr:colOff>
      <xdr:row>55</xdr:row>
      <xdr:rowOff>139755</xdr:rowOff>
    </xdr:from>
    <xdr:to>
      <xdr:col>34</xdr:col>
      <xdr:colOff>112860</xdr:colOff>
      <xdr:row>69</xdr:row>
      <xdr:rowOff>81484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F7B705D-CA1B-4972-8E26-F1624E596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53</xdr:col>
      <xdr:colOff>600074</xdr:colOff>
      <xdr:row>10</xdr:row>
      <xdr:rowOff>157162</xdr:rowOff>
    </xdr:from>
    <xdr:to>
      <xdr:col>58</xdr:col>
      <xdr:colOff>133349</xdr:colOff>
      <xdr:row>24</xdr:row>
      <xdr:rowOff>61912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5401CDE-CB17-4B71-A698-3BEBE2D29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34</xdr:col>
      <xdr:colOff>212914</xdr:colOff>
      <xdr:row>0</xdr:row>
      <xdr:rowOff>155863</xdr:rowOff>
    </xdr:from>
    <xdr:to>
      <xdr:col>39</xdr:col>
      <xdr:colOff>381001</xdr:colOff>
      <xdr:row>13</xdr:row>
      <xdr:rowOff>7945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4A8E33-94BD-4B8A-80F0-25C7C0BD1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34</xdr:col>
      <xdr:colOff>224119</xdr:colOff>
      <xdr:row>13</xdr:row>
      <xdr:rowOff>42685</xdr:rowOff>
    </xdr:from>
    <xdr:to>
      <xdr:col>39</xdr:col>
      <xdr:colOff>392206</xdr:colOff>
      <xdr:row>26</xdr:row>
      <xdr:rowOff>174915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DEA236A-7D72-41E9-87B4-143AFA7BB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34</xdr:col>
      <xdr:colOff>235324</xdr:colOff>
      <xdr:row>27</xdr:row>
      <xdr:rowOff>65097</xdr:rowOff>
    </xdr:from>
    <xdr:to>
      <xdr:col>39</xdr:col>
      <xdr:colOff>403411</xdr:colOff>
      <xdr:row>41</xdr:row>
      <xdr:rowOff>6826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FA53D99-24BC-4BE8-811A-08E8BCFD8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190501</xdr:colOff>
      <xdr:row>41</xdr:row>
      <xdr:rowOff>109921</xdr:rowOff>
    </xdr:from>
    <xdr:to>
      <xdr:col>39</xdr:col>
      <xdr:colOff>358588</xdr:colOff>
      <xdr:row>55</xdr:row>
      <xdr:rowOff>51651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4205031-814E-4906-82EB-5C8E6184F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34</xdr:col>
      <xdr:colOff>212913</xdr:colOff>
      <xdr:row>55</xdr:row>
      <xdr:rowOff>132333</xdr:rowOff>
    </xdr:from>
    <xdr:to>
      <xdr:col>39</xdr:col>
      <xdr:colOff>381000</xdr:colOff>
      <xdr:row>69</xdr:row>
      <xdr:rowOff>74062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72E7D49-C177-4717-B70C-2CC2B1944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9D4C-F839-48FE-8429-4CA22E52E7DC}">
  <dimension ref="A1:BQ74"/>
  <sheetViews>
    <sheetView tabSelected="1" topLeftCell="AS1" zoomScaleNormal="100" workbookViewId="0">
      <selection activeCell="BO12" sqref="BO12"/>
    </sheetView>
  </sheetViews>
  <sheetFormatPr defaultRowHeight="15" x14ac:dyDescent="0.25"/>
  <cols>
    <col min="1" max="1" width="22.85546875" customWidth="1"/>
    <col min="6" max="6" width="13" customWidth="1"/>
    <col min="7" max="7" width="11.140625" customWidth="1"/>
    <col min="8" max="8" width="11.42578125" customWidth="1"/>
    <col min="48" max="48" width="16.140625" customWidth="1"/>
    <col min="50" max="50" width="14.85546875" customWidth="1"/>
    <col min="51" max="51" width="10" customWidth="1"/>
    <col min="52" max="53" width="11.28515625" customWidth="1"/>
    <col min="54" max="54" width="10.28515625" customWidth="1"/>
    <col min="55" max="55" width="10.7109375" customWidth="1"/>
    <col min="56" max="58" width="11.5703125" customWidth="1"/>
    <col min="60" max="60" width="13.85546875" customWidth="1"/>
  </cols>
  <sheetData>
    <row r="1" spans="1:69" ht="4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/>
      <c r="AP1" s="3" t="s">
        <v>12</v>
      </c>
      <c r="AQ1" s="3" t="s">
        <v>6</v>
      </c>
      <c r="AR1" s="3" t="s">
        <v>13</v>
      </c>
      <c r="AS1" s="3" t="s">
        <v>14</v>
      </c>
      <c r="AV1" s="1" t="s">
        <v>0</v>
      </c>
      <c r="AW1" s="2" t="s">
        <v>1</v>
      </c>
      <c r="AX1" s="2" t="s">
        <v>5</v>
      </c>
      <c r="AY1" s="3" t="s">
        <v>9</v>
      </c>
      <c r="AZ1" s="3" t="s">
        <v>7</v>
      </c>
      <c r="BA1" s="3" t="s">
        <v>8</v>
      </c>
      <c r="BB1" s="3" t="s">
        <v>10</v>
      </c>
      <c r="BC1" s="3" t="s">
        <v>15</v>
      </c>
      <c r="BD1" s="3" t="s">
        <v>6</v>
      </c>
      <c r="BE1" s="4" t="s">
        <v>16</v>
      </c>
      <c r="BF1" s="4"/>
      <c r="BH1" s="1" t="s">
        <v>0</v>
      </c>
      <c r="BI1" s="2" t="s">
        <v>3</v>
      </c>
      <c r="BJ1" s="2" t="s">
        <v>5</v>
      </c>
      <c r="BK1" s="3" t="s">
        <v>9</v>
      </c>
      <c r="BL1" s="3" t="s">
        <v>7</v>
      </c>
      <c r="BM1" s="3" t="s">
        <v>8</v>
      </c>
      <c r="BN1" s="3" t="s">
        <v>10</v>
      </c>
      <c r="BO1" s="3" t="s">
        <v>15</v>
      </c>
      <c r="BP1" s="3" t="s">
        <v>6</v>
      </c>
      <c r="BQ1" s="3" t="s">
        <v>16</v>
      </c>
    </row>
    <row r="2" spans="1:69" x14ac:dyDescent="0.25">
      <c r="A2" s="5" t="s">
        <v>17</v>
      </c>
      <c r="B2" s="6">
        <v>0.17369777575697301</v>
      </c>
      <c r="C2" s="6">
        <v>0.199680501000808</v>
      </c>
      <c r="D2" s="6">
        <v>0.13984116014494999</v>
      </c>
      <c r="E2" s="7">
        <v>1.7836570943256701E-2</v>
      </c>
      <c r="F2" s="8">
        <v>1.1737788669959504</v>
      </c>
      <c r="G2" s="8">
        <v>4</v>
      </c>
      <c r="H2" s="8">
        <v>1.25</v>
      </c>
      <c r="I2" s="8">
        <v>2.75</v>
      </c>
      <c r="J2" s="8">
        <f>H2-I2</f>
        <v>-1.5</v>
      </c>
      <c r="K2" s="8">
        <f>H2/G2</f>
        <v>0.3125</v>
      </c>
      <c r="L2" s="8">
        <v>9.8673684099999903</v>
      </c>
      <c r="M2" s="8"/>
      <c r="AO2" s="5" t="s">
        <v>18</v>
      </c>
      <c r="AP2" s="9">
        <v>1.0078290838208943</v>
      </c>
      <c r="AQ2" s="10">
        <v>2.4954469283408098</v>
      </c>
      <c r="AR2">
        <v>1.8447691432308699</v>
      </c>
      <c r="AS2">
        <v>0.650677785109948</v>
      </c>
      <c r="AV2" s="5" t="s">
        <v>17</v>
      </c>
      <c r="AW2" s="6">
        <v>0.17369777575697301</v>
      </c>
      <c r="AX2" s="8">
        <v>1.1737788669959504</v>
      </c>
      <c r="AY2" s="8">
        <v>-1.5</v>
      </c>
      <c r="AZ2" s="8">
        <v>1.25</v>
      </c>
      <c r="BA2" s="8">
        <v>2.75</v>
      </c>
      <c r="BB2" s="10">
        <f>AZ2/BD2</f>
        <v>0.3125</v>
      </c>
      <c r="BC2" s="10">
        <f>BA2/BD2</f>
        <v>0.6875</v>
      </c>
      <c r="BD2" s="8">
        <v>4</v>
      </c>
      <c r="BE2" s="10">
        <v>0.30708458237534503</v>
      </c>
      <c r="BF2" s="8"/>
      <c r="BH2" s="5" t="s">
        <v>17</v>
      </c>
      <c r="BI2" s="6">
        <v>0.13984116014494999</v>
      </c>
      <c r="BJ2" s="8">
        <v>1.1737788669959504</v>
      </c>
      <c r="BK2" s="8">
        <v>-1.5</v>
      </c>
      <c r="BL2" s="8">
        <v>1.25</v>
      </c>
      <c r="BM2" s="8">
        <v>2.75</v>
      </c>
      <c r="BN2" s="10">
        <v>0.3125</v>
      </c>
      <c r="BO2" s="10">
        <v>0.6875</v>
      </c>
      <c r="BP2" s="8">
        <v>4</v>
      </c>
      <c r="BQ2" s="10">
        <v>0.30708458237534503</v>
      </c>
    </row>
    <row r="3" spans="1:69" x14ac:dyDescent="0.25">
      <c r="A3" s="5" t="s">
        <v>19</v>
      </c>
      <c r="B3" s="6">
        <v>9.9143945152060597E-2</v>
      </c>
      <c r="C3" s="6">
        <v>0.12535086320927399</v>
      </c>
      <c r="D3" s="6">
        <v>8.9326261366187695E-2</v>
      </c>
      <c r="E3" s="7">
        <v>-0.54160608613664096</v>
      </c>
      <c r="F3" s="8">
        <v>1.0182769682576838</v>
      </c>
      <c r="G3" s="8">
        <v>1.1385255280790201</v>
      </c>
      <c r="H3" s="8">
        <v>0.25</v>
      </c>
      <c r="I3" s="8">
        <v>0.88852552807902296</v>
      </c>
      <c r="J3" s="8">
        <f>H3-I3</f>
        <v>-0.63852552807902296</v>
      </c>
      <c r="K3" s="8">
        <f t="shared" ref="K3:K66" si="0">H3/G3</f>
        <v>0.2195822525137518</v>
      </c>
      <c r="L3" s="8">
        <v>0.16766152125</v>
      </c>
      <c r="M3" s="8"/>
      <c r="AO3" s="5" t="s">
        <v>20</v>
      </c>
      <c r="AP3" s="9">
        <v>1.008246697022094</v>
      </c>
      <c r="AQ3" s="10">
        <v>4.9705418000804897</v>
      </c>
      <c r="AR3">
        <v>1.7381901583192201</v>
      </c>
      <c r="AS3">
        <v>3.2323516417612699</v>
      </c>
      <c r="AV3" s="5" t="s">
        <v>19</v>
      </c>
      <c r="AW3" s="6">
        <v>9.9143945152060597E-2</v>
      </c>
      <c r="AX3" s="8">
        <v>1.0182769682576838</v>
      </c>
      <c r="AY3" s="8">
        <v>-0.63852552807902296</v>
      </c>
      <c r="AZ3" s="8">
        <v>0.25</v>
      </c>
      <c r="BA3" s="8">
        <v>0.88852552807902296</v>
      </c>
      <c r="BB3" s="10">
        <f>AZ3/BD3</f>
        <v>0.2195822525137518</v>
      </c>
      <c r="BC3" s="10">
        <f>BA3/BD3</f>
        <v>0.7804177474862507</v>
      </c>
      <c r="BD3" s="8">
        <v>1.1385255280790201</v>
      </c>
      <c r="BE3" s="10">
        <v>0.49664162355941199</v>
      </c>
      <c r="BF3" s="8"/>
      <c r="BH3" s="5" t="s">
        <v>19</v>
      </c>
      <c r="BI3" s="6">
        <v>8.9326261366187695E-2</v>
      </c>
      <c r="BJ3" s="8">
        <v>1.0182769682576838</v>
      </c>
      <c r="BK3" s="8">
        <v>-0.63852552807902296</v>
      </c>
      <c r="BL3" s="8">
        <v>0.25</v>
      </c>
      <c r="BM3" s="8">
        <v>0.88852552807902296</v>
      </c>
      <c r="BN3" s="10">
        <v>0.2195822525137518</v>
      </c>
      <c r="BO3" s="10">
        <v>0.7804177474862507</v>
      </c>
      <c r="BP3" s="8">
        <v>1.1385255280790201</v>
      </c>
      <c r="BQ3" s="10">
        <v>0.49664162355941199</v>
      </c>
    </row>
    <row r="4" spans="1:69" x14ac:dyDescent="0.25">
      <c r="A4" s="5" t="s">
        <v>21</v>
      </c>
      <c r="B4" s="6">
        <v>0.21234239309632399</v>
      </c>
      <c r="C4" s="6">
        <v>0.42964915677977999</v>
      </c>
      <c r="D4" s="6">
        <v>4.6283799610675601E-2</v>
      </c>
      <c r="E4" s="7">
        <v>-0.17637365181995501</v>
      </c>
      <c r="F4" s="8">
        <v>1</v>
      </c>
      <c r="G4" s="8">
        <v>0</v>
      </c>
      <c r="H4" s="8">
        <v>0</v>
      </c>
      <c r="I4" s="8">
        <v>0</v>
      </c>
      <c r="J4" s="8">
        <f t="shared" ref="J4:J20" si="1">H4-I4</f>
        <v>0</v>
      </c>
      <c r="K4" s="8">
        <v>0</v>
      </c>
      <c r="L4" s="8">
        <v>0</v>
      </c>
      <c r="M4" s="8"/>
      <c r="AO4" s="5" t="s">
        <v>22</v>
      </c>
      <c r="AP4" s="9">
        <v>1.0490052443540898</v>
      </c>
      <c r="AQ4" s="10">
        <v>18.738059749368901</v>
      </c>
      <c r="AR4">
        <v>7.75</v>
      </c>
      <c r="AS4">
        <v>10.988059749368899</v>
      </c>
      <c r="AV4" s="5" t="s">
        <v>21</v>
      </c>
      <c r="AW4" s="6">
        <v>0.21234239309632399</v>
      </c>
      <c r="AX4" s="8">
        <v>1</v>
      </c>
      <c r="AY4" s="8">
        <v>0</v>
      </c>
      <c r="AZ4" s="8">
        <v>0</v>
      </c>
      <c r="BA4" s="8">
        <v>0</v>
      </c>
      <c r="BB4" s="10">
        <v>0</v>
      </c>
      <c r="BC4" s="10">
        <v>0</v>
      </c>
      <c r="BD4" s="8">
        <v>0</v>
      </c>
      <c r="BE4" s="8"/>
      <c r="BF4" s="8"/>
      <c r="BH4" s="5" t="s">
        <v>21</v>
      </c>
      <c r="BI4" s="6">
        <v>4.6283799610675601E-2</v>
      </c>
      <c r="BJ4" s="8">
        <v>1</v>
      </c>
      <c r="BK4" s="8">
        <v>0</v>
      </c>
      <c r="BL4" s="8">
        <v>0</v>
      </c>
      <c r="BM4" s="8">
        <v>0</v>
      </c>
      <c r="BN4" s="10">
        <v>0</v>
      </c>
      <c r="BO4" s="10">
        <v>0</v>
      </c>
      <c r="BP4" s="8">
        <v>0</v>
      </c>
      <c r="BQ4" s="8"/>
    </row>
    <row r="5" spans="1:69" x14ac:dyDescent="0.25">
      <c r="A5" s="5" t="s">
        <v>23</v>
      </c>
      <c r="B5" s="6">
        <v>0.14477972148899501</v>
      </c>
      <c r="C5" s="6">
        <v>0.36758406997509402</v>
      </c>
      <c r="D5" s="6">
        <v>3.0850994672477702E-2</v>
      </c>
      <c r="E5" s="6">
        <v>0.41389016217674901</v>
      </c>
      <c r="F5" s="8">
        <v>1</v>
      </c>
      <c r="G5" s="8">
        <v>0</v>
      </c>
      <c r="H5" s="8">
        <v>0</v>
      </c>
      <c r="I5" s="8">
        <v>0</v>
      </c>
      <c r="J5" s="8">
        <f t="shared" si="1"/>
        <v>0</v>
      </c>
      <c r="K5" s="8">
        <v>0</v>
      </c>
      <c r="L5" s="8">
        <v>0</v>
      </c>
      <c r="M5" s="8"/>
      <c r="AO5" s="5" t="s">
        <v>24</v>
      </c>
      <c r="AP5" s="9">
        <v>1.0119508062412015</v>
      </c>
      <c r="AQ5" s="10">
        <v>8.1761484496582497</v>
      </c>
      <c r="AR5">
        <v>3.1258759015031101</v>
      </c>
      <c r="AS5">
        <v>5.0502725481551298</v>
      </c>
      <c r="AV5" s="5" t="s">
        <v>25</v>
      </c>
      <c r="AW5" s="6">
        <v>8.8732929175135894E-2</v>
      </c>
      <c r="AX5" s="8">
        <v>1.0119508062412015</v>
      </c>
      <c r="AY5" s="8">
        <v>-1.9243966466520197</v>
      </c>
      <c r="AZ5" s="8">
        <v>3.1258759015031101</v>
      </c>
      <c r="BA5" s="8">
        <v>5.0502725481551298</v>
      </c>
      <c r="BB5" s="10">
        <f>AZ5/BD5</f>
        <v>0.3823164318443566</v>
      </c>
      <c r="BC5" s="10">
        <f>BA5/BD5</f>
        <v>0.61768356815564218</v>
      </c>
      <c r="BD5" s="8">
        <v>8.1761484496582497</v>
      </c>
      <c r="BE5" s="10">
        <v>0.19059894727801999</v>
      </c>
      <c r="BF5" s="8"/>
      <c r="BH5" s="5" t="s">
        <v>26</v>
      </c>
      <c r="BI5" s="6">
        <v>0.11077055296162799</v>
      </c>
      <c r="BJ5" s="8">
        <v>1.0078290838208943</v>
      </c>
      <c r="BK5" s="8">
        <v>1.194091358120922</v>
      </c>
      <c r="BL5" s="8">
        <v>1.8447691432308699</v>
      </c>
      <c r="BM5" s="8">
        <v>0.650677785109948</v>
      </c>
      <c r="BN5" s="10">
        <v>0.73925400788123874</v>
      </c>
      <c r="BO5" s="10">
        <v>0.26074599211876454</v>
      </c>
      <c r="BP5" s="8">
        <v>2.4954469283408098</v>
      </c>
      <c r="BQ5" s="10"/>
    </row>
    <row r="6" spans="1:69" x14ac:dyDescent="0.25">
      <c r="A6" s="5"/>
      <c r="B6" s="7"/>
      <c r="C6" s="7"/>
      <c r="D6" s="11"/>
      <c r="E6" s="7"/>
      <c r="F6" s="8"/>
      <c r="G6" s="8"/>
      <c r="H6" s="8"/>
      <c r="I6" s="8"/>
      <c r="J6" s="8"/>
      <c r="K6" s="8"/>
      <c r="L6" s="8"/>
      <c r="M6" s="8"/>
      <c r="AO6" s="5" t="s">
        <v>27</v>
      </c>
      <c r="AP6" s="9">
        <v>1.0239451393319936</v>
      </c>
      <c r="AQ6" s="10">
        <v>19.594840851392899</v>
      </c>
      <c r="AR6">
        <v>5.5209579590505999</v>
      </c>
      <c r="AS6">
        <v>14.073882892342301</v>
      </c>
      <c r="AV6" s="5" t="s">
        <v>28</v>
      </c>
      <c r="AW6" s="6">
        <v>0.10415722716452799</v>
      </c>
      <c r="AX6" s="8">
        <v>1.0239451393319936</v>
      </c>
      <c r="AY6" s="8">
        <v>-8.5529249332917008</v>
      </c>
      <c r="AZ6" s="8">
        <v>5.5209579590505999</v>
      </c>
      <c r="BA6" s="8">
        <v>14.073882892342301</v>
      </c>
      <c r="BB6" s="10">
        <f>AZ6/BD6</f>
        <v>0.28175569278268175</v>
      </c>
      <c r="BC6" s="10">
        <f>BA6/BD6</f>
        <v>0.71824430721731836</v>
      </c>
      <c r="BD6" s="8">
        <v>19.594840851392899</v>
      </c>
      <c r="BE6" s="10">
        <v>0.499861288181496</v>
      </c>
      <c r="BF6" s="8"/>
      <c r="BH6" s="5" t="s">
        <v>28</v>
      </c>
      <c r="BI6" s="6">
        <v>5.5397551503622099E-2</v>
      </c>
      <c r="BJ6" s="8">
        <v>1.0239451393319936</v>
      </c>
      <c r="BK6" s="8">
        <v>-8.5529249332917008</v>
      </c>
      <c r="BL6" s="8">
        <v>5.5209579590505999</v>
      </c>
      <c r="BM6" s="8">
        <v>14.073882892342301</v>
      </c>
      <c r="BN6" s="10">
        <v>0.28175569278268175</v>
      </c>
      <c r="BO6" s="10">
        <v>0.71824430721731836</v>
      </c>
      <c r="BP6" s="8">
        <v>19.594840851392899</v>
      </c>
      <c r="BQ6" s="10">
        <v>0.499861288181496</v>
      </c>
    </row>
    <row r="7" spans="1:69" x14ac:dyDescent="0.25">
      <c r="A7" s="5"/>
      <c r="B7" s="7"/>
      <c r="C7" s="7"/>
      <c r="D7" s="6"/>
      <c r="E7" s="6"/>
      <c r="F7" s="8"/>
      <c r="G7" s="8"/>
      <c r="H7" s="8"/>
      <c r="I7" s="8"/>
      <c r="J7" s="8"/>
      <c r="K7" s="8"/>
      <c r="L7" s="8"/>
      <c r="M7" s="8"/>
      <c r="AO7" s="5" t="s">
        <v>29</v>
      </c>
      <c r="AP7" s="9">
        <v>1.0275460447393339</v>
      </c>
      <c r="AQ7" s="10">
        <v>17.2552427011953</v>
      </c>
      <c r="AR7">
        <v>5.1821136906510699</v>
      </c>
      <c r="AS7">
        <v>12.0731290105442</v>
      </c>
      <c r="AV7" s="5" t="s">
        <v>30</v>
      </c>
      <c r="AW7" s="6">
        <v>4.66251429291673E-2</v>
      </c>
      <c r="AX7" s="8">
        <v>1.0275460447393339</v>
      </c>
      <c r="AY7" s="8">
        <v>-6.8910153198931301</v>
      </c>
      <c r="AZ7" s="8">
        <v>5.1821136906510699</v>
      </c>
      <c r="BA7" s="8">
        <v>12.0731290105442</v>
      </c>
      <c r="BB7" s="10">
        <f>AZ7/BD7</f>
        <v>0.30032111285760682</v>
      </c>
      <c r="BC7" s="10">
        <f>BA7/BD7</f>
        <v>0.69967888714239146</v>
      </c>
      <c r="BD7" s="8">
        <v>17.2552427011953</v>
      </c>
      <c r="BE7" s="10">
        <v>0.40695810522245701</v>
      </c>
      <c r="BF7" s="8"/>
      <c r="BH7" s="5" t="s">
        <v>30</v>
      </c>
      <c r="BI7" s="6">
        <v>6.9883057908481996E-2</v>
      </c>
      <c r="BJ7" s="8">
        <v>1.0275460447393339</v>
      </c>
      <c r="BK7" s="8">
        <v>-6.8910153198931301</v>
      </c>
      <c r="BL7" s="8">
        <v>5.1821136906510699</v>
      </c>
      <c r="BM7" s="8">
        <v>12.0731290105442</v>
      </c>
      <c r="BN7" s="10">
        <v>0.30032111285760682</v>
      </c>
      <c r="BO7" s="10">
        <v>0.69967888714239146</v>
      </c>
      <c r="BP7" s="8">
        <v>17.2552427011953</v>
      </c>
      <c r="BQ7" s="10">
        <v>0.40695810522245701</v>
      </c>
    </row>
    <row r="8" spans="1:69" x14ac:dyDescent="0.25">
      <c r="A8" s="5" t="s">
        <v>26</v>
      </c>
      <c r="B8" s="11"/>
      <c r="C8" s="11"/>
      <c r="D8" s="6">
        <v>0.11077055296162799</v>
      </c>
      <c r="E8" s="11"/>
      <c r="F8" s="8">
        <v>1.0078290838208943</v>
      </c>
      <c r="G8" s="8">
        <v>2.4954469283408098</v>
      </c>
      <c r="H8" s="8">
        <v>1.8447691432308699</v>
      </c>
      <c r="I8" s="8">
        <v>0.650677785109948</v>
      </c>
      <c r="J8" s="8">
        <f t="shared" si="1"/>
        <v>1.194091358120922</v>
      </c>
      <c r="K8" s="8">
        <f t="shared" si="0"/>
        <v>0.73925400788123874</v>
      </c>
      <c r="L8" s="8">
        <v>1.1131942168706099</v>
      </c>
      <c r="M8" s="8"/>
      <c r="AO8" s="5" t="s">
        <v>31</v>
      </c>
      <c r="AP8" s="9">
        <v>1.0275826446035865</v>
      </c>
      <c r="AQ8" s="10">
        <v>17.024424898784201</v>
      </c>
      <c r="AR8">
        <v>6.3491431999578403</v>
      </c>
      <c r="AS8">
        <v>10.675281698826399</v>
      </c>
      <c r="AV8" s="5" t="s">
        <v>32</v>
      </c>
      <c r="AW8" s="6">
        <v>9.0894558490112708E-3</v>
      </c>
      <c r="AX8" s="8">
        <v>1.0275826446035865</v>
      </c>
      <c r="AY8" s="8">
        <v>-4.3261384988685592</v>
      </c>
      <c r="AZ8" s="8">
        <v>6.3491431999578403</v>
      </c>
      <c r="BA8" s="8">
        <v>10.675281698826399</v>
      </c>
      <c r="BB8" s="10">
        <f>AZ8/BD8</f>
        <v>0.37294318238093693</v>
      </c>
      <c r="BC8" s="10">
        <f>BA8/BD8</f>
        <v>0.62705681761906529</v>
      </c>
      <c r="BD8" s="8">
        <v>17.024424898784201</v>
      </c>
      <c r="BE8" s="10">
        <v>5.4056282725128302E-2</v>
      </c>
      <c r="BF8" s="8"/>
      <c r="BH8" s="5" t="s">
        <v>32</v>
      </c>
      <c r="BI8" s="6">
        <v>7.8645648239850305E-2</v>
      </c>
      <c r="BJ8" s="8">
        <v>1.0275826446035865</v>
      </c>
      <c r="BK8" s="8">
        <v>-4.3261384988685592</v>
      </c>
      <c r="BL8" s="8">
        <v>6.3491431999578403</v>
      </c>
      <c r="BM8" s="8">
        <v>10.675281698826399</v>
      </c>
      <c r="BN8" s="10">
        <v>0.37294318238093693</v>
      </c>
      <c r="BO8" s="10">
        <v>0.62705681761906529</v>
      </c>
      <c r="BP8" s="8">
        <v>17.024424898784201</v>
      </c>
      <c r="BQ8" s="10">
        <v>5.4056282725128302E-2</v>
      </c>
    </row>
    <row r="9" spans="1:69" x14ac:dyDescent="0.25">
      <c r="A9" s="5" t="s">
        <v>25</v>
      </c>
      <c r="B9" s="6">
        <v>8.8732929175135894E-2</v>
      </c>
      <c r="C9" s="11"/>
      <c r="D9" s="6">
        <v>0.15621819275209001</v>
      </c>
      <c r="E9" s="6">
        <v>1.20306787922476E-2</v>
      </c>
      <c r="F9" s="8">
        <v>1.0119508062412015</v>
      </c>
      <c r="G9" s="8">
        <v>8.1761484496582497</v>
      </c>
      <c r="H9" s="8">
        <v>3.1258759015031101</v>
      </c>
      <c r="I9" s="8">
        <v>5.0502725481551298</v>
      </c>
      <c r="J9" s="8">
        <f t="shared" si="1"/>
        <v>-1.9243966466520197</v>
      </c>
      <c r="K9" s="8">
        <f t="shared" si="0"/>
        <v>0.3823164318443566</v>
      </c>
      <c r="L9" s="8">
        <v>2.2065870384902602</v>
      </c>
      <c r="M9" s="8"/>
      <c r="AO9" s="5" t="s">
        <v>33</v>
      </c>
      <c r="AP9" s="9">
        <v>1.0572093304532362</v>
      </c>
      <c r="AQ9" s="10">
        <v>15.1069524712688</v>
      </c>
      <c r="AR9">
        <v>3.20845082384478</v>
      </c>
      <c r="AS9">
        <v>11.898501647424</v>
      </c>
      <c r="AV9" s="5" t="s">
        <v>34</v>
      </c>
      <c r="AW9" s="6">
        <v>2.0373962034653699E-2</v>
      </c>
      <c r="AX9" s="8">
        <v>1.111235100018195</v>
      </c>
      <c r="AY9" s="8">
        <v>-7.4420412056407592</v>
      </c>
      <c r="AZ9" s="8">
        <v>7.2579587943592401</v>
      </c>
      <c r="BA9" s="8">
        <v>14.7</v>
      </c>
      <c r="BB9" s="10">
        <f>AZ9/BD9</f>
        <v>0.33053886576304825</v>
      </c>
      <c r="BC9" s="10">
        <f>BA9/BD9</f>
        <v>0.66946113423695353</v>
      </c>
      <c r="BD9" s="8">
        <v>21.9579587943592</v>
      </c>
      <c r="BE9" s="10">
        <v>0.45125668170602201</v>
      </c>
      <c r="BF9" s="8"/>
      <c r="BH9" s="5" t="s">
        <v>34</v>
      </c>
      <c r="BI9" s="6">
        <v>0.101236914763633</v>
      </c>
      <c r="BJ9" s="8">
        <v>1.111235100018195</v>
      </c>
      <c r="BK9" s="8">
        <v>-7.4420412056407592</v>
      </c>
      <c r="BL9" s="8">
        <v>7.2579587943592401</v>
      </c>
      <c r="BM9" s="8">
        <v>14.7</v>
      </c>
      <c r="BN9" s="10">
        <v>0.33053886576304825</v>
      </c>
      <c r="BO9" s="10">
        <v>0.66946113423695353</v>
      </c>
      <c r="BP9" s="8">
        <v>21.9579587943592</v>
      </c>
      <c r="BQ9" s="10">
        <v>0.45125668170602201</v>
      </c>
    </row>
    <row r="10" spans="1:69" x14ac:dyDescent="0.25">
      <c r="A10" s="5" t="s">
        <v>28</v>
      </c>
      <c r="B10" s="6">
        <v>0.10415722716452799</v>
      </c>
      <c r="C10" s="11"/>
      <c r="D10" s="6">
        <v>5.5397551503622099E-2</v>
      </c>
      <c r="E10" s="6">
        <v>2.8615745110634201E-2</v>
      </c>
      <c r="F10" s="8">
        <v>1.0239451393319936</v>
      </c>
      <c r="G10" s="8">
        <v>19.594840851392899</v>
      </c>
      <c r="H10" s="8">
        <v>5.5209579590505999</v>
      </c>
      <c r="I10" s="8">
        <v>14.073882892342301</v>
      </c>
      <c r="J10" s="8">
        <f t="shared" si="1"/>
        <v>-8.5529249332917008</v>
      </c>
      <c r="K10" s="8">
        <f t="shared" si="0"/>
        <v>0.28175569278268175</v>
      </c>
      <c r="L10" s="8">
        <v>8.4763382350991101</v>
      </c>
      <c r="AO10" s="5" t="s">
        <v>35</v>
      </c>
      <c r="AP10" s="9">
        <v>1.111235100018195</v>
      </c>
      <c r="AQ10" s="10">
        <v>21.9579587943592</v>
      </c>
      <c r="AR10">
        <v>7.2579587943592401</v>
      </c>
      <c r="AS10">
        <v>14.7</v>
      </c>
    </row>
    <row r="11" spans="1:69" x14ac:dyDescent="0.25">
      <c r="A11" s="5" t="s">
        <v>30</v>
      </c>
      <c r="B11" s="6">
        <v>4.66251429291673E-2</v>
      </c>
      <c r="C11" s="11"/>
      <c r="D11" s="6">
        <v>6.9883057908481996E-2</v>
      </c>
      <c r="E11" s="6">
        <v>4.4113621235337297E-2</v>
      </c>
      <c r="F11" s="8">
        <v>1.0275460447393339</v>
      </c>
      <c r="G11" s="8">
        <v>17.2552427011953</v>
      </c>
      <c r="H11" s="8">
        <v>5.1821136906510699</v>
      </c>
      <c r="I11" s="8">
        <v>12.0731290105442</v>
      </c>
      <c r="J11" s="8">
        <f t="shared" si="1"/>
        <v>-6.8910153198931301</v>
      </c>
      <c r="K11" s="8">
        <f t="shared" si="0"/>
        <v>0.30032111285760682</v>
      </c>
      <c r="L11" s="8">
        <v>9.5412825319663295</v>
      </c>
      <c r="AO11" s="5" t="s">
        <v>36</v>
      </c>
      <c r="AP11" s="9">
        <v>1.0519758315193652</v>
      </c>
      <c r="AQ11" s="10">
        <v>16.640165980770899</v>
      </c>
      <c r="AR11">
        <v>4.2170406154913396</v>
      </c>
      <c r="AS11">
        <v>12.423125365279599</v>
      </c>
    </row>
    <row r="12" spans="1:69" ht="15.75" thickBot="1" x14ac:dyDescent="0.3">
      <c r="A12" s="5" t="s">
        <v>32</v>
      </c>
      <c r="B12" s="6">
        <v>9.0894558490112708E-3</v>
      </c>
      <c r="C12" s="11"/>
      <c r="D12" s="6">
        <v>7.8645648239850305E-2</v>
      </c>
      <c r="E12" s="7">
        <v>-8.0536265843332393E-3</v>
      </c>
      <c r="F12" s="8">
        <v>1.0275826446035865</v>
      </c>
      <c r="G12" s="8">
        <v>17.024424898784201</v>
      </c>
      <c r="H12" s="8">
        <v>6.3491431999578403</v>
      </c>
      <c r="I12" s="8">
        <v>10.675281698826399</v>
      </c>
      <c r="J12" s="8">
        <f t="shared" si="1"/>
        <v>-4.3261384988685592</v>
      </c>
      <c r="K12" s="8">
        <f t="shared" si="0"/>
        <v>0.37294318238093693</v>
      </c>
      <c r="L12" s="8">
        <v>14.7819327483883</v>
      </c>
      <c r="AO12" t="s">
        <v>37</v>
      </c>
      <c r="AP12">
        <v>1.1737788669959499</v>
      </c>
      <c r="AQ12">
        <v>4</v>
      </c>
      <c r="AR12">
        <v>1.25</v>
      </c>
      <c r="AS12">
        <v>2.75</v>
      </c>
    </row>
    <row r="13" spans="1:69" x14ac:dyDescent="0.25">
      <c r="A13" s="5" t="s">
        <v>34</v>
      </c>
      <c r="B13" s="6">
        <v>2.0373962034653699E-2</v>
      </c>
      <c r="C13" s="11"/>
      <c r="D13" s="6">
        <v>0.101236914763633</v>
      </c>
      <c r="E13" s="6">
        <v>2.7450804091866201E-2</v>
      </c>
      <c r="F13" s="8">
        <v>1.111235100018195</v>
      </c>
      <c r="G13" s="8">
        <v>21.9579587943592</v>
      </c>
      <c r="H13" s="8">
        <v>7.2579587943592401</v>
      </c>
      <c r="I13" s="8">
        <v>14.7</v>
      </c>
      <c r="J13" s="8">
        <f t="shared" si="1"/>
        <v>-7.4420412056407592</v>
      </c>
      <c r="K13" s="8">
        <f t="shared" si="0"/>
        <v>0.33053886576304825</v>
      </c>
      <c r="L13" s="8">
        <v>48.251680680319097</v>
      </c>
      <c r="AO13" t="s">
        <v>38</v>
      </c>
      <c r="AP13">
        <v>1.01827696825768</v>
      </c>
      <c r="AQ13">
        <v>1.1385255280790201</v>
      </c>
      <c r="AR13">
        <v>0.25</v>
      </c>
      <c r="AS13">
        <v>0.88852552807902296</v>
      </c>
      <c r="AV13" s="12" t="s">
        <v>39</v>
      </c>
      <c r="AW13" s="12"/>
      <c r="BH13" s="12" t="s">
        <v>39</v>
      </c>
      <c r="BI13" s="12"/>
    </row>
    <row r="14" spans="1:69" x14ac:dyDescent="0.25">
      <c r="A14" s="5" t="s">
        <v>40</v>
      </c>
      <c r="B14" s="6">
        <v>0.14608753400636901</v>
      </c>
      <c r="C14" s="11"/>
      <c r="D14" s="6">
        <v>6.8212961854365706E-2</v>
      </c>
      <c r="E14" s="7">
        <v>-4.2076076707890497E-3</v>
      </c>
      <c r="F14" s="8">
        <v>1.0078290838208943</v>
      </c>
      <c r="G14" s="8">
        <v>2.4954469283408098</v>
      </c>
      <c r="H14" s="8">
        <v>1.8447691432308699</v>
      </c>
      <c r="I14" s="8">
        <v>0.650677785109948</v>
      </c>
      <c r="J14" s="8">
        <f t="shared" si="1"/>
        <v>1.194091358120922</v>
      </c>
      <c r="K14" s="8">
        <f t="shared" si="0"/>
        <v>0.73925400788123874</v>
      </c>
      <c r="L14" s="8">
        <v>1.1131942168706099</v>
      </c>
      <c r="AO14" t="s">
        <v>41</v>
      </c>
      <c r="AP14">
        <v>1</v>
      </c>
      <c r="AQ14">
        <v>0</v>
      </c>
      <c r="AR14">
        <v>0</v>
      </c>
      <c r="AS14">
        <v>0</v>
      </c>
      <c r="AV14" t="s">
        <v>42</v>
      </c>
      <c r="AW14">
        <v>0.63939641425597205</v>
      </c>
      <c r="BH14" t="s">
        <v>42</v>
      </c>
      <c r="BI14">
        <v>0.85582878233347637</v>
      </c>
    </row>
    <row r="15" spans="1:69" x14ac:dyDescent="0.25">
      <c r="A15" s="5" t="s">
        <v>43</v>
      </c>
      <c r="B15" s="13">
        <v>1.0119527368219401E-2</v>
      </c>
      <c r="C15" s="11"/>
      <c r="D15" s="6">
        <v>9.9852529707758195E-2</v>
      </c>
      <c r="E15" s="6">
        <v>4.4857179056258203E-2</v>
      </c>
      <c r="F15" s="8">
        <v>1.0239451393319936</v>
      </c>
      <c r="G15" s="8">
        <v>19.594840851392899</v>
      </c>
      <c r="H15" s="8">
        <v>5.5209579590505999</v>
      </c>
      <c r="I15" s="8">
        <v>14.073882892342301</v>
      </c>
      <c r="J15" s="8">
        <f>H15-I15</f>
        <v>-8.5529249332917008</v>
      </c>
      <c r="K15" s="8">
        <f t="shared" si="0"/>
        <v>0.28175569278268175</v>
      </c>
      <c r="L15" s="8">
        <v>8.4763382350991101</v>
      </c>
      <c r="AO15" t="s">
        <v>44</v>
      </c>
      <c r="AP15">
        <v>1.0453971899644701</v>
      </c>
      <c r="AQ15">
        <v>4.5222851684946201</v>
      </c>
      <c r="AR15">
        <v>2.1335248576486401</v>
      </c>
      <c r="AS15">
        <v>2.3887603108459801</v>
      </c>
      <c r="AV15" t="s">
        <v>45</v>
      </c>
      <c r="AW15">
        <v>0.40882777456339459</v>
      </c>
      <c r="BH15" t="s">
        <v>45</v>
      </c>
      <c r="BI15">
        <v>0.73244290467040096</v>
      </c>
    </row>
    <row r="16" spans="1:69" x14ac:dyDescent="0.25">
      <c r="A16" s="5" t="s">
        <v>46</v>
      </c>
      <c r="B16" s="6">
        <v>4.5646344187588998E-2</v>
      </c>
      <c r="C16" s="11"/>
      <c r="D16" s="6">
        <v>5.5815481283492403E-2</v>
      </c>
      <c r="E16" s="6">
        <v>7.6664996000854094E-2</v>
      </c>
      <c r="F16" s="8">
        <v>1.0275460447393339</v>
      </c>
      <c r="G16" s="8">
        <v>17.2552427011953</v>
      </c>
      <c r="H16" s="8">
        <v>5.1821136906510699</v>
      </c>
      <c r="I16" s="8">
        <v>12.0731290105442</v>
      </c>
      <c r="J16" s="8">
        <f t="shared" si="1"/>
        <v>-6.8910153198931301</v>
      </c>
      <c r="K16" s="8">
        <f t="shared" si="0"/>
        <v>0.30032111285760682</v>
      </c>
      <c r="L16" s="8">
        <v>9.5412825319663295</v>
      </c>
      <c r="AV16" t="s">
        <v>47</v>
      </c>
      <c r="AW16">
        <v>0.17235888438875246</v>
      </c>
      <c r="BH16" t="s">
        <v>47</v>
      </c>
      <c r="BI16">
        <v>0.62542006653856141</v>
      </c>
    </row>
    <row r="17" spans="1:68" x14ac:dyDescent="0.25">
      <c r="A17" s="5" t="s">
        <v>48</v>
      </c>
      <c r="B17" s="6">
        <v>1.47909285306715E-2</v>
      </c>
      <c r="C17" s="11"/>
      <c r="D17" s="6">
        <v>9.5391388976058394E-2</v>
      </c>
      <c r="E17" s="6">
        <v>2.1219861817338499E-2</v>
      </c>
      <c r="F17" s="8">
        <v>1.0275826446035865</v>
      </c>
      <c r="G17" s="8">
        <v>17.024424898784201</v>
      </c>
      <c r="H17" s="8">
        <v>6.3491431999578403</v>
      </c>
      <c r="I17" s="8">
        <v>10.675281698826399</v>
      </c>
      <c r="J17" s="8">
        <f t="shared" si="1"/>
        <v>-4.3261384988685592</v>
      </c>
      <c r="K17" s="8">
        <f t="shared" si="0"/>
        <v>0.37294318238093693</v>
      </c>
      <c r="L17" s="8">
        <v>14.7819327483883</v>
      </c>
      <c r="AV17" t="s">
        <v>49</v>
      </c>
      <c r="AW17">
        <v>6.4684848620225263E-2</v>
      </c>
      <c r="BH17" t="s">
        <v>49</v>
      </c>
      <c r="BI17">
        <v>1.8767280512430116E-2</v>
      </c>
    </row>
    <row r="18" spans="1:68" ht="15.75" thickBot="1" x14ac:dyDescent="0.3">
      <c r="A18" s="5" t="s">
        <v>50</v>
      </c>
      <c r="B18" s="6">
        <v>2.0282132481243099E-2</v>
      </c>
      <c r="C18" s="11"/>
      <c r="D18" s="6">
        <v>0.115227328160236</v>
      </c>
      <c r="E18" s="6">
        <v>3.1629539106965802E-2</v>
      </c>
      <c r="F18" s="8">
        <v>1.0572093304532362</v>
      </c>
      <c r="G18" s="8">
        <v>15.1069524712688</v>
      </c>
      <c r="H18" s="8">
        <v>3.20845082384478</v>
      </c>
      <c r="I18" s="8">
        <v>11.898501647424</v>
      </c>
      <c r="J18" s="8">
        <f t="shared" si="1"/>
        <v>-8.6900508235792202</v>
      </c>
      <c r="K18" s="8">
        <f>H18/G18</f>
        <v>0.21238240008676676</v>
      </c>
      <c r="L18" s="8">
        <v>15.671540073004801</v>
      </c>
      <c r="AV18" s="14" t="s">
        <v>51</v>
      </c>
      <c r="AW18" s="14">
        <v>8</v>
      </c>
      <c r="BH18" s="14" t="s">
        <v>51</v>
      </c>
      <c r="BI18" s="14">
        <v>8</v>
      </c>
    </row>
    <row r="19" spans="1:68" x14ac:dyDescent="0.25">
      <c r="A19" s="5" t="s">
        <v>52</v>
      </c>
      <c r="B19" s="6">
        <v>3.6679485231980898E-2</v>
      </c>
      <c r="C19" s="11"/>
      <c r="D19" s="6">
        <v>0.157732693122626</v>
      </c>
      <c r="E19" s="6">
        <v>4.3964016574286002E-2</v>
      </c>
      <c r="F19" s="8">
        <v>1.111235100018195</v>
      </c>
      <c r="G19" s="8">
        <v>21.9579587943592</v>
      </c>
      <c r="H19" s="8">
        <v>7.2579587943592401</v>
      </c>
      <c r="I19" s="8">
        <v>14.7</v>
      </c>
      <c r="J19" s="8">
        <f t="shared" si="1"/>
        <v>-7.4420412056407592</v>
      </c>
      <c r="K19" s="8">
        <f t="shared" si="0"/>
        <v>0.33053886576304825</v>
      </c>
      <c r="L19" s="8">
        <v>48.251680680319097</v>
      </c>
    </row>
    <row r="20" spans="1:68" ht="15.75" thickBot="1" x14ac:dyDescent="0.3">
      <c r="A20" s="5" t="s">
        <v>53</v>
      </c>
      <c r="B20" s="6">
        <v>7.7980025652416296E-2</v>
      </c>
      <c r="C20" s="11"/>
      <c r="D20" s="6">
        <v>0.121156039239802</v>
      </c>
      <c r="E20" s="6">
        <v>5.3048699734524599E-2</v>
      </c>
      <c r="F20" s="8">
        <v>1.0519758315193652</v>
      </c>
      <c r="G20" s="8">
        <v>16.640165980770899</v>
      </c>
      <c r="H20" s="8">
        <v>4.2170406154913396</v>
      </c>
      <c r="I20" s="8">
        <v>12.423125365279599</v>
      </c>
      <c r="J20" s="8">
        <f t="shared" si="1"/>
        <v>-8.2060847497882605</v>
      </c>
      <c r="K20" s="8">
        <f t="shared" si="0"/>
        <v>0.25342539373492318</v>
      </c>
      <c r="L20" s="8">
        <v>12.8326939779569</v>
      </c>
      <c r="AV20" t="s">
        <v>54</v>
      </c>
      <c r="BH20" t="s">
        <v>54</v>
      </c>
    </row>
    <row r="21" spans="1:68" x14ac:dyDescent="0.25">
      <c r="K21" s="8"/>
      <c r="AV21" s="15"/>
      <c r="AW21" s="15" t="s">
        <v>55</v>
      </c>
      <c r="AX21" s="15" t="s">
        <v>56</v>
      </c>
      <c r="AY21" s="15" t="s">
        <v>57</v>
      </c>
      <c r="AZ21" s="15" t="s">
        <v>58</v>
      </c>
      <c r="BA21" s="15" t="s">
        <v>59</v>
      </c>
      <c r="BH21" s="15"/>
      <c r="BI21" s="15" t="s">
        <v>55</v>
      </c>
      <c r="BJ21" s="15" t="s">
        <v>56</v>
      </c>
      <c r="BK21" s="15" t="s">
        <v>57</v>
      </c>
      <c r="BL21" s="15" t="s">
        <v>58</v>
      </c>
      <c r="BM21" s="15" t="s">
        <v>59</v>
      </c>
    </row>
    <row r="22" spans="1:68" x14ac:dyDescent="0.25">
      <c r="A22" s="5" t="s">
        <v>60</v>
      </c>
      <c r="K22" s="8"/>
      <c r="M22" s="8"/>
      <c r="AV22" t="s">
        <v>61</v>
      </c>
      <c r="AW22">
        <v>2</v>
      </c>
      <c r="AX22">
        <v>1.4467767056885978E-2</v>
      </c>
      <c r="AY22">
        <v>7.233883528442989E-3</v>
      </c>
      <c r="AZ22">
        <v>1.7288860884045176</v>
      </c>
      <c r="BA22">
        <v>0.26871075823374896</v>
      </c>
      <c r="BH22" t="s">
        <v>61</v>
      </c>
      <c r="BI22">
        <v>2</v>
      </c>
      <c r="BJ22">
        <v>4.8209208234898174E-3</v>
      </c>
      <c r="BK22">
        <v>2.4104604117449087E-3</v>
      </c>
      <c r="BL22">
        <v>6.8438000473143603</v>
      </c>
      <c r="BM22">
        <v>3.7028931578258539E-2</v>
      </c>
    </row>
    <row r="23" spans="1:68" ht="38.25" x14ac:dyDescent="0.25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4" t="s">
        <v>11</v>
      </c>
      <c r="M23" s="4"/>
      <c r="AV23" t="s">
        <v>62</v>
      </c>
      <c r="AW23">
        <v>5</v>
      </c>
      <c r="AX23">
        <v>2.0920648205107296E-2</v>
      </c>
      <c r="AY23">
        <v>4.184129641021459E-3</v>
      </c>
      <c r="BH23" t="s">
        <v>62</v>
      </c>
      <c r="BI23">
        <v>5</v>
      </c>
      <c r="BJ23">
        <v>1.7610540891611962E-3</v>
      </c>
      <c r="BK23">
        <v>3.5221081783223926E-4</v>
      </c>
    </row>
    <row r="24" spans="1:68" ht="15.75" thickBot="1" x14ac:dyDescent="0.3">
      <c r="A24" s="5" t="s">
        <v>17</v>
      </c>
      <c r="B24" s="6">
        <v>0.17369777575697301</v>
      </c>
      <c r="C24" s="6">
        <v>0.199680501000808</v>
      </c>
      <c r="D24" s="6">
        <v>0.13984116014494999</v>
      </c>
      <c r="E24" s="7">
        <v>1.7836570943256701E-2</v>
      </c>
      <c r="F24" s="8">
        <v>1.1737788669959504</v>
      </c>
      <c r="G24" s="8">
        <v>4</v>
      </c>
      <c r="H24" s="8">
        <v>1.25</v>
      </c>
      <c r="I24" s="8">
        <v>2.75</v>
      </c>
      <c r="J24" s="8">
        <f>H24-I24</f>
        <v>-1.5</v>
      </c>
      <c r="K24" s="8">
        <f t="shared" si="0"/>
        <v>0.3125</v>
      </c>
      <c r="L24" s="8">
        <v>9.8673684099999903</v>
      </c>
      <c r="M24" s="8"/>
      <c r="AV24" s="14" t="s">
        <v>63</v>
      </c>
      <c r="AW24" s="14">
        <v>7</v>
      </c>
      <c r="AX24" s="14">
        <v>3.5388415261993274E-2</v>
      </c>
      <c r="AY24" s="14"/>
      <c r="AZ24" s="14"/>
      <c r="BA24" s="14"/>
      <c r="BH24" s="14" t="s">
        <v>63</v>
      </c>
      <c r="BI24" s="14">
        <v>7</v>
      </c>
      <c r="BJ24" s="14">
        <v>6.5819749126510138E-3</v>
      </c>
      <c r="BK24" s="14"/>
      <c r="BL24" s="14"/>
      <c r="BM24" s="14"/>
    </row>
    <row r="25" spans="1:68" ht="15.75" thickBot="1" x14ac:dyDescent="0.3">
      <c r="A25" s="5" t="s">
        <v>19</v>
      </c>
      <c r="B25" s="6">
        <v>9.9143945152060597E-2</v>
      </c>
      <c r="C25" s="6">
        <v>0.12535086320927399</v>
      </c>
      <c r="D25" s="6">
        <v>8.9326261366187695E-2</v>
      </c>
      <c r="E25" s="7">
        <v>-0.54160608613664096</v>
      </c>
      <c r="F25" s="8">
        <v>1.0182769682576838</v>
      </c>
      <c r="G25" s="8">
        <v>1.1385255280790201</v>
      </c>
      <c r="H25" s="8">
        <v>0.25</v>
      </c>
      <c r="I25" s="8">
        <v>0.88852552807902296</v>
      </c>
      <c r="J25" s="8">
        <f t="shared" ref="J25" si="2">H25-I25</f>
        <v>-0.63852552807902296</v>
      </c>
      <c r="K25" s="8">
        <f t="shared" si="0"/>
        <v>0.2195822525137518</v>
      </c>
      <c r="L25" s="8">
        <v>0.16766152125</v>
      </c>
      <c r="M25" s="8"/>
    </row>
    <row r="26" spans="1:68" x14ac:dyDescent="0.25">
      <c r="A26" s="5" t="s">
        <v>23</v>
      </c>
      <c r="B26" s="6">
        <v>0.14477972148899501</v>
      </c>
      <c r="C26" s="6">
        <v>0.36758406997509402</v>
      </c>
      <c r="D26" s="6">
        <v>3.0850994672477702E-2</v>
      </c>
      <c r="E26" s="6">
        <v>0.41389016217674901</v>
      </c>
      <c r="F26" s="8">
        <v>1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/>
      <c r="AV26" s="15"/>
      <c r="AW26" s="15" t="s">
        <v>64</v>
      </c>
      <c r="AX26" s="15" t="s">
        <v>49</v>
      </c>
      <c r="AY26" s="15" t="s">
        <v>65</v>
      </c>
      <c r="AZ26" s="15" t="s">
        <v>66</v>
      </c>
      <c r="BA26" s="15" t="s">
        <v>67</v>
      </c>
      <c r="BB26" s="15" t="s">
        <v>68</v>
      </c>
      <c r="BC26" s="15" t="s">
        <v>69</v>
      </c>
      <c r="BD26" s="15" t="s">
        <v>70</v>
      </c>
      <c r="BE26" s="16"/>
      <c r="BF26" s="16"/>
      <c r="BH26" s="15"/>
      <c r="BI26" s="15" t="s">
        <v>64</v>
      </c>
      <c r="BJ26" s="15" t="s">
        <v>49</v>
      </c>
      <c r="BK26" s="15" t="s">
        <v>65</v>
      </c>
      <c r="BL26" s="15" t="s">
        <v>66</v>
      </c>
      <c r="BM26" s="15" t="s">
        <v>67</v>
      </c>
      <c r="BN26" s="15" t="s">
        <v>68</v>
      </c>
      <c r="BO26" s="15" t="s">
        <v>69</v>
      </c>
      <c r="BP26" s="15" t="s">
        <v>70</v>
      </c>
    </row>
    <row r="27" spans="1:68" x14ac:dyDescent="0.25">
      <c r="A27" s="5"/>
      <c r="B27" s="7"/>
      <c r="C27" s="7"/>
      <c r="D27" s="6"/>
      <c r="E27" s="6"/>
      <c r="F27" s="8"/>
      <c r="G27" s="8"/>
      <c r="H27" s="8"/>
      <c r="I27" s="8"/>
      <c r="J27" s="8"/>
      <c r="K27" s="8"/>
      <c r="L27" s="8"/>
      <c r="M27" s="8"/>
      <c r="AV27" t="s">
        <v>71</v>
      </c>
      <c r="AW27">
        <v>5.3747127857290411E-3</v>
      </c>
      <c r="AX27">
        <v>0.42394412367598661</v>
      </c>
      <c r="AY27">
        <v>1.2677880139310161E-2</v>
      </c>
      <c r="AZ27">
        <v>0.99037509317035732</v>
      </c>
      <c r="BA27">
        <v>-1.0844083508605176</v>
      </c>
      <c r="BB27">
        <v>1.0951577764319758</v>
      </c>
      <c r="BC27">
        <v>-1.0844083508605176</v>
      </c>
      <c r="BD27">
        <v>1.0951577764319758</v>
      </c>
      <c r="BH27" t="s">
        <v>71</v>
      </c>
      <c r="BI27">
        <v>-0.32689409363662331</v>
      </c>
      <c r="BJ27">
        <v>0.12267471559175999</v>
      </c>
      <c r="BK27">
        <v>-2.6647226533988446</v>
      </c>
      <c r="BL27">
        <v>4.4630178982072201E-2</v>
      </c>
      <c r="BM27">
        <v>-0.64223948922865259</v>
      </c>
      <c r="BN27">
        <v>-1.1548698044594019E-2</v>
      </c>
      <c r="BO27">
        <v>-0.64223948922865259</v>
      </c>
      <c r="BP27">
        <v>-1.1548698044594019E-2</v>
      </c>
    </row>
    <row r="28" spans="1:68" x14ac:dyDescent="0.25">
      <c r="A28" s="5" t="s">
        <v>40</v>
      </c>
      <c r="B28" s="6">
        <v>0.14608753400636901</v>
      </c>
      <c r="C28" s="11"/>
      <c r="D28" s="6">
        <v>6.8212961854365706E-2</v>
      </c>
      <c r="E28" s="7">
        <v>-4.2076076707890497E-3</v>
      </c>
      <c r="F28" s="8">
        <v>1.0078290838208943</v>
      </c>
      <c r="G28" s="8">
        <v>2.4954469283408098</v>
      </c>
      <c r="H28" s="8">
        <v>1.8447691432308699</v>
      </c>
      <c r="I28" s="8">
        <v>0.650677785109948</v>
      </c>
      <c r="J28" s="8">
        <f t="shared" ref="J28" si="3">H28-I28</f>
        <v>1.194091358120922</v>
      </c>
      <c r="K28" s="8">
        <f t="shared" si="0"/>
        <v>0.73925400788123874</v>
      </c>
      <c r="L28" s="8">
        <v>1.1131942168706099</v>
      </c>
      <c r="M28" s="8"/>
      <c r="AV28" t="s">
        <v>5</v>
      </c>
      <c r="AW28">
        <v>0.13498255527153569</v>
      </c>
      <c r="AX28">
        <v>0.40435368428213525</v>
      </c>
      <c r="AY28">
        <v>0.3338229884344332</v>
      </c>
      <c r="AZ28">
        <v>0.75205857744634208</v>
      </c>
      <c r="BA28">
        <v>-0.90444168071674247</v>
      </c>
      <c r="BB28">
        <v>1.174406791259814</v>
      </c>
      <c r="BC28">
        <v>-0.90444168071674247</v>
      </c>
      <c r="BD28">
        <v>1.174406791259814</v>
      </c>
      <c r="BH28" t="s">
        <v>5</v>
      </c>
      <c r="BI28">
        <v>0.40566234813340601</v>
      </c>
      <c r="BJ28">
        <v>0.11754346848379646</v>
      </c>
      <c r="BK28">
        <v>3.4511687749738913</v>
      </c>
      <c r="BL28">
        <v>1.8214687571889758E-2</v>
      </c>
      <c r="BM28">
        <v>0.10350724315126919</v>
      </c>
      <c r="BN28">
        <v>0.70781745311554278</v>
      </c>
      <c r="BO28">
        <v>0.10350724315126919</v>
      </c>
      <c r="BP28">
        <v>0.70781745311554278</v>
      </c>
    </row>
    <row r="29" spans="1:68" ht="15.75" thickBot="1" x14ac:dyDescent="0.3">
      <c r="A29" s="5" t="s">
        <v>43</v>
      </c>
      <c r="B29" s="13">
        <v>1.0119527368219401E-2</v>
      </c>
      <c r="C29" s="11"/>
      <c r="D29" s="6">
        <v>9.9852529707758195E-2</v>
      </c>
      <c r="E29" s="6">
        <v>4.4857179056258203E-2</v>
      </c>
      <c r="F29" s="8">
        <v>1.0239451393319936</v>
      </c>
      <c r="G29" s="8">
        <v>19.594840851392899</v>
      </c>
      <c r="H29" s="8">
        <v>5.5209579590505999</v>
      </c>
      <c r="I29" s="8">
        <v>14.073882892342301</v>
      </c>
      <c r="J29" s="8">
        <f>H29-I29</f>
        <v>-8.5529249332917008</v>
      </c>
      <c r="K29" s="8">
        <f t="shared" si="0"/>
        <v>0.28175569278268175</v>
      </c>
      <c r="L29" s="8">
        <v>8.4763382350991101</v>
      </c>
      <c r="M29" s="8"/>
      <c r="AV29" s="14" t="s">
        <v>9</v>
      </c>
      <c r="AW29" s="14">
        <v>1.349066245094353E-2</v>
      </c>
      <c r="AX29" s="14">
        <v>7.3017895684816016E-3</v>
      </c>
      <c r="AY29" s="14">
        <v>1.8475830239173678</v>
      </c>
      <c r="AZ29" s="14">
        <v>0.12393324186321493</v>
      </c>
      <c r="BA29" s="14">
        <v>-5.279185181434002E-3</v>
      </c>
      <c r="BB29" s="14">
        <v>3.2260510083321065E-2</v>
      </c>
      <c r="BC29" s="14">
        <v>-5.279185181434002E-3</v>
      </c>
      <c r="BD29" s="14">
        <v>3.2260510083321065E-2</v>
      </c>
      <c r="BH29" s="14" t="s">
        <v>9</v>
      </c>
      <c r="BI29" s="14">
        <v>3.4467300774050262E-3</v>
      </c>
      <c r="BJ29" s="14">
        <v>1.8990316718521831E-3</v>
      </c>
      <c r="BK29" s="14">
        <v>1.8149934666667913</v>
      </c>
      <c r="BL29" s="14">
        <v>0.12923914396194949</v>
      </c>
      <c r="BM29" s="14">
        <v>-1.4348862435562592E-3</v>
      </c>
      <c r="BN29" s="14">
        <v>8.3283463983663125E-3</v>
      </c>
      <c r="BO29" s="14">
        <v>-1.4348862435562592E-3</v>
      </c>
      <c r="BP29" s="14">
        <v>8.3283463983663125E-3</v>
      </c>
    </row>
    <row r="30" spans="1:68" x14ac:dyDescent="0.25">
      <c r="A30" s="5" t="s">
        <v>46</v>
      </c>
      <c r="B30" s="6">
        <v>4.5646344187588998E-2</v>
      </c>
      <c r="C30" s="11"/>
      <c r="D30" s="6">
        <v>5.5815481283492403E-2</v>
      </c>
      <c r="E30" s="6">
        <v>7.6664996000854094E-2</v>
      </c>
      <c r="F30" s="8">
        <v>1.0275460447393339</v>
      </c>
      <c r="G30" s="8">
        <v>17.2552427011953</v>
      </c>
      <c r="H30" s="8">
        <v>5.1821136906510699</v>
      </c>
      <c r="I30" s="8">
        <v>12.0731290105442</v>
      </c>
      <c r="J30" s="8">
        <f t="shared" ref="J30:J34" si="4">H30-I30</f>
        <v>-6.8910153198931301</v>
      </c>
      <c r="K30" s="8">
        <f t="shared" si="0"/>
        <v>0.30032111285760682</v>
      </c>
      <c r="L30" s="8">
        <v>9.5412825319663295</v>
      </c>
      <c r="M30" s="8"/>
    </row>
    <row r="31" spans="1:68" x14ac:dyDescent="0.25">
      <c r="A31" s="5" t="s">
        <v>48</v>
      </c>
      <c r="B31" s="6">
        <v>1.47909285306715E-2</v>
      </c>
      <c r="C31" s="11"/>
      <c r="D31" s="6">
        <v>9.5391388976058394E-2</v>
      </c>
      <c r="E31" s="6">
        <v>2.1219861817338499E-2</v>
      </c>
      <c r="F31" s="8">
        <v>1.0275826446035865</v>
      </c>
      <c r="G31" s="8">
        <v>17.024424898784201</v>
      </c>
      <c r="H31" s="8">
        <v>6.3491431999578403</v>
      </c>
      <c r="I31" s="8">
        <v>10.675281698826399</v>
      </c>
      <c r="J31" s="8">
        <f t="shared" si="4"/>
        <v>-4.3261384988685592</v>
      </c>
      <c r="K31" s="8">
        <f t="shared" si="0"/>
        <v>0.37294318238093693</v>
      </c>
      <c r="L31" s="8">
        <v>14.7819327483883</v>
      </c>
      <c r="M31" s="8"/>
    </row>
    <row r="32" spans="1:68" ht="15.75" thickBot="1" x14ac:dyDescent="0.3">
      <c r="A32" s="5" t="s">
        <v>50</v>
      </c>
      <c r="B32" s="6">
        <v>2.0282132481243099E-2</v>
      </c>
      <c r="C32" s="11"/>
      <c r="D32" s="6">
        <v>0.115227328160236</v>
      </c>
      <c r="E32" s="6">
        <v>3.1629539106965802E-2</v>
      </c>
      <c r="F32" s="8">
        <v>1.0572093304532362</v>
      </c>
      <c r="G32" s="8">
        <v>15.1069524712688</v>
      </c>
      <c r="H32" s="8">
        <v>3.20845082384478</v>
      </c>
      <c r="I32" s="8">
        <v>11.898501647424</v>
      </c>
      <c r="J32" s="8">
        <f t="shared" si="4"/>
        <v>-8.6900508235792202</v>
      </c>
      <c r="K32" s="8">
        <f t="shared" si="0"/>
        <v>0.21238240008676676</v>
      </c>
      <c r="L32" s="8">
        <v>15.671540073004801</v>
      </c>
      <c r="M32" s="8"/>
    </row>
    <row r="33" spans="1:68" x14ac:dyDescent="0.25">
      <c r="A33" s="5" t="s">
        <v>52</v>
      </c>
      <c r="B33" s="6">
        <v>3.6679485231980898E-2</v>
      </c>
      <c r="C33" s="11"/>
      <c r="D33" s="6">
        <v>0.157732693122626</v>
      </c>
      <c r="E33" s="6">
        <v>4.3964016574286002E-2</v>
      </c>
      <c r="F33" s="8">
        <v>1.111235100018195</v>
      </c>
      <c r="G33" s="8">
        <v>21.9579587943592</v>
      </c>
      <c r="H33" s="8">
        <v>7.2579587943592401</v>
      </c>
      <c r="I33" s="8">
        <v>14.7</v>
      </c>
      <c r="J33" s="8">
        <f t="shared" si="4"/>
        <v>-7.4420412056407592</v>
      </c>
      <c r="K33" s="8">
        <f t="shared" si="0"/>
        <v>0.33053886576304825</v>
      </c>
      <c r="L33" s="8">
        <v>48.251680680319097</v>
      </c>
      <c r="M33" s="8"/>
      <c r="AV33" s="12" t="s">
        <v>39</v>
      </c>
      <c r="AW33" s="12"/>
      <c r="BH33" s="12" t="s">
        <v>39</v>
      </c>
      <c r="BI33" s="12"/>
    </row>
    <row r="34" spans="1:68" x14ac:dyDescent="0.25">
      <c r="A34" s="5" t="s">
        <v>53</v>
      </c>
      <c r="B34" s="6">
        <v>7.7980025652416296E-2</v>
      </c>
      <c r="C34" s="11"/>
      <c r="D34" s="6">
        <v>0.121156039239802</v>
      </c>
      <c r="E34" s="6">
        <v>5.3048699734524599E-2</v>
      </c>
      <c r="F34" s="8">
        <v>1.0519758315193652</v>
      </c>
      <c r="G34" s="8">
        <v>16.640165980770899</v>
      </c>
      <c r="H34" s="8">
        <v>4.2170406154913396</v>
      </c>
      <c r="I34" s="8">
        <v>12.423125365279599</v>
      </c>
      <c r="J34" s="8">
        <f t="shared" si="4"/>
        <v>-8.2060847497882605</v>
      </c>
      <c r="K34" s="8">
        <f t="shared" si="0"/>
        <v>0.25342539373492318</v>
      </c>
      <c r="L34" s="8">
        <v>12.8326939779569</v>
      </c>
      <c r="M34" s="8"/>
      <c r="AV34" t="s">
        <v>42</v>
      </c>
      <c r="AW34">
        <v>0.48937075406756869</v>
      </c>
      <c r="BH34" t="s">
        <v>42</v>
      </c>
      <c r="BI34">
        <v>0.80843962775308564</v>
      </c>
    </row>
    <row r="35" spans="1:68" x14ac:dyDescent="0.25">
      <c r="K35" s="8"/>
      <c r="L35" s="8"/>
      <c r="M35" s="8"/>
      <c r="AV35" t="s">
        <v>45</v>
      </c>
      <c r="AW35">
        <v>0.23948373493666078</v>
      </c>
      <c r="BH35" t="s">
        <v>45</v>
      </c>
      <c r="BI35">
        <v>0.65357463172154762</v>
      </c>
    </row>
    <row r="36" spans="1:68" x14ac:dyDescent="0.25">
      <c r="A36" s="5" t="s">
        <v>72</v>
      </c>
      <c r="K36" s="8"/>
      <c r="L36" s="8"/>
      <c r="M36" s="8"/>
      <c r="AV36" t="s">
        <v>47</v>
      </c>
      <c r="AW36">
        <v>-1.4021686751118959E-2</v>
      </c>
      <c r="BH36" t="s">
        <v>47</v>
      </c>
      <c r="BI36">
        <v>0.51500448441016666</v>
      </c>
    </row>
    <row r="37" spans="1:68" ht="38.25" x14ac:dyDescent="0.25">
      <c r="A37" s="1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3" t="s">
        <v>6</v>
      </c>
      <c r="H37" s="3" t="s">
        <v>7</v>
      </c>
      <c r="I37" s="3" t="s">
        <v>8</v>
      </c>
      <c r="J37" s="3" t="s">
        <v>9</v>
      </c>
      <c r="K37" s="3" t="s">
        <v>10</v>
      </c>
      <c r="L37" s="4" t="s">
        <v>11</v>
      </c>
      <c r="M37" s="4"/>
      <c r="AV37" t="s">
        <v>49</v>
      </c>
      <c r="AW37">
        <v>8.1058264596785917E-2</v>
      </c>
      <c r="BH37" t="s">
        <v>49</v>
      </c>
      <c r="BI37">
        <v>2.1354920197063074E-2</v>
      </c>
    </row>
    <row r="38" spans="1:68" ht="15.75" thickBot="1" x14ac:dyDescent="0.3">
      <c r="A38" s="5" t="s">
        <v>17</v>
      </c>
      <c r="B38" s="6">
        <v>0.17369777575697301</v>
      </c>
      <c r="C38" s="6">
        <v>0.199680501000808</v>
      </c>
      <c r="D38" s="6">
        <v>0.13984116014494999</v>
      </c>
      <c r="E38" s="7">
        <v>1.7836570943256701E-2</v>
      </c>
      <c r="F38" s="8">
        <v>1.1737788669959504</v>
      </c>
      <c r="G38" s="8">
        <v>4</v>
      </c>
      <c r="H38" s="8">
        <v>1.25</v>
      </c>
      <c r="I38" s="8">
        <v>2.75</v>
      </c>
      <c r="J38" s="8">
        <v>-1.5</v>
      </c>
      <c r="K38" s="8">
        <f t="shared" si="0"/>
        <v>0.3125</v>
      </c>
      <c r="L38" s="8">
        <v>9.8673684099999903</v>
      </c>
      <c r="M38" s="8"/>
      <c r="AV38" s="14" t="s">
        <v>51</v>
      </c>
      <c r="AW38" s="14">
        <v>9</v>
      </c>
      <c r="BH38" s="14" t="s">
        <v>51</v>
      </c>
      <c r="BI38" s="14">
        <v>8</v>
      </c>
    </row>
    <row r="39" spans="1:68" x14ac:dyDescent="0.25">
      <c r="A39" s="5" t="s">
        <v>19</v>
      </c>
      <c r="B39" s="6">
        <v>9.9143945152060597E-2</v>
      </c>
      <c r="C39" s="6">
        <v>0.12535086320927399</v>
      </c>
      <c r="D39" s="6">
        <v>8.9326261366187695E-2</v>
      </c>
      <c r="E39" s="7">
        <v>-0.54160608613664096</v>
      </c>
      <c r="F39" s="8">
        <v>1.0182769682576838</v>
      </c>
      <c r="G39" s="8">
        <v>1.1385255280790201</v>
      </c>
      <c r="H39" s="8">
        <v>0.25</v>
      </c>
      <c r="I39" s="8">
        <v>0.88852552807902296</v>
      </c>
      <c r="J39" s="8">
        <v>-0.63852552807902296</v>
      </c>
      <c r="K39" s="8">
        <f t="shared" si="0"/>
        <v>0.2195822525137518</v>
      </c>
      <c r="L39" s="8">
        <v>0.16766152125</v>
      </c>
      <c r="M39" s="8"/>
    </row>
    <row r="40" spans="1:68" ht="15.75" thickBot="1" x14ac:dyDescent="0.3">
      <c r="A40" s="5" t="s">
        <v>21</v>
      </c>
      <c r="B40" s="6">
        <v>0.21234239309632399</v>
      </c>
      <c r="C40" s="6">
        <v>0.42964915677977999</v>
      </c>
      <c r="D40" s="6">
        <v>4.6283799610675601E-2</v>
      </c>
      <c r="E40" s="7">
        <v>-0.17637365181995501</v>
      </c>
      <c r="F40" s="8">
        <v>1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/>
      <c r="AV40" t="s">
        <v>54</v>
      </c>
      <c r="BH40" t="s">
        <v>54</v>
      </c>
    </row>
    <row r="41" spans="1:68" x14ac:dyDescent="0.25">
      <c r="A41" s="5"/>
      <c r="B41" s="7"/>
      <c r="C41" s="7"/>
      <c r="D41" s="11"/>
      <c r="E41" s="7"/>
      <c r="F41" s="8"/>
      <c r="G41" s="8"/>
      <c r="H41" s="8"/>
      <c r="I41" s="8"/>
      <c r="J41" s="8"/>
      <c r="K41" s="8"/>
      <c r="L41" s="8"/>
      <c r="M41" s="8"/>
      <c r="AV41" s="15"/>
      <c r="AW41" s="15" t="s">
        <v>55</v>
      </c>
      <c r="AX41" s="15" t="s">
        <v>56</v>
      </c>
      <c r="AY41" s="15" t="s">
        <v>57</v>
      </c>
      <c r="AZ41" s="15" t="s">
        <v>58</v>
      </c>
      <c r="BA41" s="15" t="s">
        <v>59</v>
      </c>
      <c r="BH41" s="15"/>
      <c r="BI41" s="15" t="s">
        <v>55</v>
      </c>
      <c r="BJ41" s="15" t="s">
        <v>56</v>
      </c>
      <c r="BK41" s="15" t="s">
        <v>57</v>
      </c>
      <c r="BL41" s="15" t="s">
        <v>58</v>
      </c>
      <c r="BM41" s="15" t="s">
        <v>59</v>
      </c>
    </row>
    <row r="42" spans="1:68" x14ac:dyDescent="0.25">
      <c r="A42" s="5" t="s">
        <v>26</v>
      </c>
      <c r="B42" s="11"/>
      <c r="C42" s="11"/>
      <c r="D42" s="6">
        <v>0.11077055296162799</v>
      </c>
      <c r="E42" s="11"/>
      <c r="F42" s="8">
        <v>1.0078290838208943</v>
      </c>
      <c r="G42" s="8">
        <v>2.4954469283408098</v>
      </c>
      <c r="H42" s="8">
        <v>1.8447691432308699</v>
      </c>
      <c r="I42" s="8">
        <v>0.650677785109948</v>
      </c>
      <c r="J42" s="8">
        <v>1.194091358120922</v>
      </c>
      <c r="K42" s="8">
        <f t="shared" si="0"/>
        <v>0.73925400788123874</v>
      </c>
      <c r="L42" s="8">
        <v>1.1131942168706099</v>
      </c>
      <c r="M42" s="8"/>
      <c r="AV42" t="s">
        <v>61</v>
      </c>
      <c r="AW42">
        <v>2</v>
      </c>
      <c r="AX42">
        <v>1.2414046547808623E-2</v>
      </c>
      <c r="AY42">
        <v>6.2070232739043114E-3</v>
      </c>
      <c r="AZ42">
        <v>0.94468880918693632</v>
      </c>
      <c r="BA42">
        <v>0.43987119192687779</v>
      </c>
      <c r="BH42" t="s">
        <v>61</v>
      </c>
      <c r="BI42">
        <v>2</v>
      </c>
      <c r="BJ42">
        <v>4.3018118295363519E-3</v>
      </c>
      <c r="BK42">
        <v>2.150905914768176E-3</v>
      </c>
      <c r="BL42">
        <v>4.7165615711795423</v>
      </c>
      <c r="BM42">
        <v>7.0635694298182949E-2</v>
      </c>
    </row>
    <row r="43" spans="1:68" x14ac:dyDescent="0.25">
      <c r="A43" s="5" t="s">
        <v>25</v>
      </c>
      <c r="B43" s="6">
        <v>8.8732929175135894E-2</v>
      </c>
      <c r="C43" s="11"/>
      <c r="D43" s="6">
        <v>0.15621819275209001</v>
      </c>
      <c r="E43" s="6">
        <v>1.20306787922476E-2</v>
      </c>
      <c r="F43" s="8">
        <v>1.0119508062412015</v>
      </c>
      <c r="G43" s="8">
        <v>8.1761484496582497</v>
      </c>
      <c r="H43" s="8">
        <v>3.1258759015031101</v>
      </c>
      <c r="I43" s="8">
        <v>5.0502725481551298</v>
      </c>
      <c r="J43" s="8">
        <v>-1.9243966466520197</v>
      </c>
      <c r="K43" s="8">
        <f t="shared" si="0"/>
        <v>0.3823164318443566</v>
      </c>
      <c r="L43" s="8">
        <v>2.2065870384902602</v>
      </c>
      <c r="M43" s="8"/>
      <c r="AV43" t="s">
        <v>62</v>
      </c>
      <c r="AW43">
        <v>6</v>
      </c>
      <c r="AX43">
        <v>3.9422653556655335E-2</v>
      </c>
      <c r="AY43">
        <v>6.5704422594425561E-3</v>
      </c>
      <c r="BH43" t="s">
        <v>62</v>
      </c>
      <c r="BI43">
        <v>5</v>
      </c>
      <c r="BJ43">
        <v>2.2801630831146623E-3</v>
      </c>
      <c r="BK43">
        <v>4.5603261662293244E-4</v>
      </c>
    </row>
    <row r="44" spans="1:68" ht="15.75" thickBot="1" x14ac:dyDescent="0.3">
      <c r="A44" s="5" t="s">
        <v>28</v>
      </c>
      <c r="B44" s="6">
        <v>0.10415722716452799</v>
      </c>
      <c r="C44" s="11"/>
      <c r="D44" s="6">
        <v>5.5397551503622099E-2</v>
      </c>
      <c r="E44" s="6">
        <v>2.8615745110634201E-2</v>
      </c>
      <c r="F44" s="8">
        <v>1.0239451393319936</v>
      </c>
      <c r="G44" s="8">
        <v>19.594840851392899</v>
      </c>
      <c r="H44" s="8">
        <v>5.5209579590505999</v>
      </c>
      <c r="I44" s="8">
        <v>14.073882892342301</v>
      </c>
      <c r="J44" s="8">
        <v>-8.5529249332917008</v>
      </c>
      <c r="K44" s="8">
        <f t="shared" si="0"/>
        <v>0.28175569278268175</v>
      </c>
      <c r="L44" s="8">
        <v>8.4763382350991101</v>
      </c>
      <c r="M44" s="8"/>
      <c r="AV44" s="14" t="s">
        <v>63</v>
      </c>
      <c r="AW44" s="14">
        <v>8</v>
      </c>
      <c r="AX44" s="14">
        <v>5.1836700104463958E-2</v>
      </c>
      <c r="AY44" s="14"/>
      <c r="AZ44" s="14"/>
      <c r="BA44" s="14"/>
      <c r="BH44" s="14" t="s">
        <v>63</v>
      </c>
      <c r="BI44" s="14">
        <v>7</v>
      </c>
      <c r="BJ44" s="14">
        <v>6.5819749126510146E-3</v>
      </c>
      <c r="BK44" s="14"/>
      <c r="BL44" s="14"/>
      <c r="BM44" s="14"/>
    </row>
    <row r="45" spans="1:68" ht="15.75" thickBot="1" x14ac:dyDescent="0.3">
      <c r="A45" s="5" t="s">
        <v>30</v>
      </c>
      <c r="B45" s="6">
        <v>4.66251429291673E-2</v>
      </c>
      <c r="C45" s="11"/>
      <c r="D45" s="6">
        <v>6.9883057908481996E-2</v>
      </c>
      <c r="E45" s="6">
        <v>4.4113621235337297E-2</v>
      </c>
      <c r="F45" s="8">
        <v>1.0275460447393339</v>
      </c>
      <c r="G45" s="8">
        <v>17.2552427011953</v>
      </c>
      <c r="H45" s="8">
        <v>5.1821136906510699</v>
      </c>
      <c r="I45" s="8">
        <v>12.0731290105442</v>
      </c>
      <c r="J45" s="8">
        <v>-6.8910153198931301</v>
      </c>
      <c r="K45" s="8">
        <f t="shared" si="0"/>
        <v>0.30032111285760682</v>
      </c>
      <c r="L45" s="8">
        <v>9.5412825319663295</v>
      </c>
      <c r="M45" s="8"/>
    </row>
    <row r="46" spans="1:68" x14ac:dyDescent="0.25">
      <c r="A46" s="5" t="s">
        <v>32</v>
      </c>
      <c r="B46" s="6">
        <v>9.0894558490112708E-3</v>
      </c>
      <c r="C46" s="11"/>
      <c r="D46" s="6">
        <v>7.8645648239850305E-2</v>
      </c>
      <c r="E46" s="7">
        <v>-8.0536265843332393E-3</v>
      </c>
      <c r="F46" s="8">
        <v>1.0275826446035865</v>
      </c>
      <c r="G46" s="8">
        <v>17.024424898784201</v>
      </c>
      <c r="H46" s="8">
        <v>6.3491431999578403</v>
      </c>
      <c r="I46" s="8">
        <v>10.675281698826399</v>
      </c>
      <c r="J46" s="8">
        <v>-4.3261384988685592</v>
      </c>
      <c r="K46" s="8">
        <f t="shared" si="0"/>
        <v>0.37294318238093693</v>
      </c>
      <c r="L46" s="8">
        <v>14.7819327483883</v>
      </c>
      <c r="M46" s="8"/>
      <c r="AV46" s="15"/>
      <c r="AW46" s="15" t="s">
        <v>64</v>
      </c>
      <c r="AX46" s="15" t="s">
        <v>49</v>
      </c>
      <c r="AY46" s="15" t="s">
        <v>65</v>
      </c>
      <c r="AZ46" s="15" t="s">
        <v>66</v>
      </c>
      <c r="BA46" s="15" t="s">
        <v>67</v>
      </c>
      <c r="BB46" s="15" t="s">
        <v>68</v>
      </c>
      <c r="BC46" s="15" t="s">
        <v>69</v>
      </c>
      <c r="BD46" s="15" t="s">
        <v>70</v>
      </c>
      <c r="BE46" s="16"/>
      <c r="BF46" s="16"/>
      <c r="BH46" s="15"/>
      <c r="BI46" s="15" t="s">
        <v>64</v>
      </c>
      <c r="BJ46" s="15" t="s">
        <v>49</v>
      </c>
      <c r="BK46" s="15" t="s">
        <v>65</v>
      </c>
      <c r="BL46" s="15" t="s">
        <v>66</v>
      </c>
      <c r="BM46" s="15" t="s">
        <v>67</v>
      </c>
      <c r="BN46" s="15" t="s">
        <v>68</v>
      </c>
      <c r="BO46" s="15" t="s">
        <v>69</v>
      </c>
      <c r="BP46" s="15" t="s">
        <v>70</v>
      </c>
    </row>
    <row r="47" spans="1:68" x14ac:dyDescent="0.25">
      <c r="A47" s="5" t="s">
        <v>34</v>
      </c>
      <c r="B47" s="6">
        <v>2.0373962034653699E-2</v>
      </c>
      <c r="C47" s="11"/>
      <c r="D47" s="6">
        <v>0.101236914763633</v>
      </c>
      <c r="E47" s="6">
        <v>2.7450804091866201E-2</v>
      </c>
      <c r="F47" s="8">
        <v>1.111235100018195</v>
      </c>
      <c r="G47" s="8">
        <v>21.9579587943592</v>
      </c>
      <c r="H47" s="8">
        <v>7.2579587943592401</v>
      </c>
      <c r="I47" s="8">
        <v>14.7</v>
      </c>
      <c r="J47" s="8">
        <v>-7.4420412056407592</v>
      </c>
      <c r="K47" s="8">
        <f t="shared" si="0"/>
        <v>0.33053886576304825</v>
      </c>
      <c r="L47" s="8">
        <v>48.251680680319097</v>
      </c>
      <c r="M47" s="8"/>
      <c r="AV47" t="s">
        <v>71</v>
      </c>
      <c r="AW47">
        <v>-3.7153468647480391E-2</v>
      </c>
      <c r="AX47">
        <v>0.53084668963576975</v>
      </c>
      <c r="AY47">
        <v>-6.9989074760874043E-2</v>
      </c>
      <c r="AZ47">
        <v>0.94647674698858308</v>
      </c>
      <c r="BA47">
        <v>-1.336088524658321</v>
      </c>
      <c r="BB47">
        <v>1.2617815873633602</v>
      </c>
      <c r="BC47">
        <v>-1.336088524658321</v>
      </c>
      <c r="BD47">
        <v>1.2617815873633602</v>
      </c>
      <c r="BH47" t="s">
        <v>71</v>
      </c>
      <c r="BI47">
        <v>-0.31783730190634446</v>
      </c>
      <c r="BJ47">
        <v>0.13933086421503724</v>
      </c>
      <c r="BK47">
        <v>-2.2811693855268715</v>
      </c>
      <c r="BL47">
        <v>7.1433539506165974E-2</v>
      </c>
      <c r="BM47">
        <v>-0.67599869060102902</v>
      </c>
      <c r="BN47">
        <v>4.0324086788340097E-2</v>
      </c>
      <c r="BO47">
        <v>-0.67599869060102902</v>
      </c>
      <c r="BP47">
        <v>4.0324086788340097E-2</v>
      </c>
    </row>
    <row r="48" spans="1:68" x14ac:dyDescent="0.25">
      <c r="K48" s="8"/>
      <c r="L48" s="8"/>
      <c r="M48" s="8"/>
      <c r="AV48" t="s">
        <v>5</v>
      </c>
      <c r="AW48">
        <v>0.15629388026054086</v>
      </c>
      <c r="AX48">
        <v>0.50694423610723038</v>
      </c>
      <c r="AY48">
        <v>0.30830586310775432</v>
      </c>
      <c r="AZ48">
        <v>0.76827290458907793</v>
      </c>
      <c r="BA48">
        <v>-1.0841539789398749</v>
      </c>
      <c r="BB48">
        <v>1.3967417394609567</v>
      </c>
      <c r="BC48">
        <v>-1.0841539789398749</v>
      </c>
      <c r="BD48">
        <v>1.3967417394609567</v>
      </c>
      <c r="BH48" t="s">
        <v>5</v>
      </c>
      <c r="BI48">
        <v>0.39577834821354096</v>
      </c>
      <c r="BJ48">
        <v>0.13351643930761767</v>
      </c>
      <c r="BK48">
        <v>2.9642667993989873</v>
      </c>
      <c r="BL48">
        <v>3.13639480730745E-2</v>
      </c>
      <c r="BM48">
        <v>5.2563414570540479E-2</v>
      </c>
      <c r="BN48">
        <v>0.73899328185654145</v>
      </c>
      <c r="BO48">
        <v>5.2563414570540479E-2</v>
      </c>
      <c r="BP48">
        <v>0.73899328185654145</v>
      </c>
    </row>
    <row r="49" spans="1:68" ht="15.75" thickBot="1" x14ac:dyDescent="0.3">
      <c r="A49" s="5" t="s">
        <v>73</v>
      </c>
      <c r="K49" s="8"/>
      <c r="L49" s="8"/>
      <c r="M49" s="8"/>
      <c r="AV49" s="14" t="s">
        <v>6</v>
      </c>
      <c r="AW49" s="14">
        <v>-4.5755113050218923E-3</v>
      </c>
      <c r="AX49" s="14">
        <v>3.3660004022408939E-3</v>
      </c>
      <c r="AY49" s="14">
        <v>-1.3593317760674579</v>
      </c>
      <c r="AZ49" s="14">
        <v>0.22290940119196909</v>
      </c>
      <c r="BA49" s="14">
        <v>-1.281181758022387E-2</v>
      </c>
      <c r="BB49" s="14">
        <v>3.6607949701800858E-3</v>
      </c>
      <c r="BC49" s="14">
        <v>-1.281181758022387E-2</v>
      </c>
      <c r="BD49" s="14">
        <v>3.6607949701800858E-3</v>
      </c>
      <c r="BH49" s="14" t="s">
        <v>6</v>
      </c>
      <c r="BI49" s="14">
        <v>-1.0372276668328196E-3</v>
      </c>
      <c r="BJ49" s="14">
        <v>8.7477052432087445E-4</v>
      </c>
      <c r="BK49" s="14">
        <v>-1.1857140106979123</v>
      </c>
      <c r="BL49" s="14">
        <v>0.28900777821946655</v>
      </c>
      <c r="BM49" s="14">
        <v>-3.2858968870021149E-3</v>
      </c>
      <c r="BN49" s="14">
        <v>1.2114415533364755E-3</v>
      </c>
      <c r="BO49" s="14">
        <v>-3.2858968870021149E-3</v>
      </c>
      <c r="BP49" s="14">
        <v>1.2114415533364755E-3</v>
      </c>
    </row>
    <row r="50" spans="1:68" ht="38.25" x14ac:dyDescent="0.25">
      <c r="A50" s="1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3" t="s">
        <v>6</v>
      </c>
      <c r="H50" s="3" t="s">
        <v>7</v>
      </c>
      <c r="I50" s="3" t="s">
        <v>8</v>
      </c>
      <c r="J50" s="3" t="s">
        <v>9</v>
      </c>
      <c r="K50" s="3" t="s">
        <v>10</v>
      </c>
      <c r="L50" s="4" t="s">
        <v>11</v>
      </c>
      <c r="M50" s="4"/>
      <c r="AV50" t="s">
        <v>74</v>
      </c>
      <c r="BH50" t="s">
        <v>74</v>
      </c>
    </row>
    <row r="51" spans="1:68" ht="15.75" thickBot="1" x14ac:dyDescent="0.3">
      <c r="A51" s="5" t="s">
        <v>17</v>
      </c>
      <c r="B51" s="6">
        <v>0.17369777575697301</v>
      </c>
      <c r="C51" s="6">
        <v>0.199680501000808</v>
      </c>
      <c r="D51" s="6">
        <v>0.13984116014494999</v>
      </c>
      <c r="E51" s="7">
        <v>1.7836570943256701E-2</v>
      </c>
      <c r="F51" s="8">
        <v>1.1737788669959504</v>
      </c>
      <c r="G51" s="8">
        <v>4</v>
      </c>
      <c r="H51" s="8">
        <v>1.25</v>
      </c>
      <c r="I51" s="8">
        <v>2.75</v>
      </c>
      <c r="J51" s="8">
        <v>-1.5</v>
      </c>
      <c r="K51" s="8">
        <f t="shared" si="0"/>
        <v>0.3125</v>
      </c>
      <c r="L51" s="8">
        <v>9.8673684099999903</v>
      </c>
      <c r="M51" s="8"/>
    </row>
    <row r="52" spans="1:68" x14ac:dyDescent="0.25">
      <c r="A52" s="5" t="s">
        <v>19</v>
      </c>
      <c r="B52" s="6">
        <v>9.9143945152060597E-2</v>
      </c>
      <c r="C52" s="6">
        <v>0.12535086320927399</v>
      </c>
      <c r="D52" s="6">
        <v>8.9326261366187695E-2</v>
      </c>
      <c r="E52" s="7">
        <v>-0.54160608613664096</v>
      </c>
      <c r="F52" s="8">
        <v>1.0182769682576838</v>
      </c>
      <c r="G52" s="8">
        <v>1.1385255280790201</v>
      </c>
      <c r="H52" s="8">
        <v>0.25</v>
      </c>
      <c r="I52" s="8">
        <v>0.88852552807902296</v>
      </c>
      <c r="J52" s="8">
        <v>-0.63852552807902296</v>
      </c>
      <c r="K52" s="8">
        <f t="shared" si="0"/>
        <v>0.2195822525137518</v>
      </c>
      <c r="L52" s="8">
        <v>0.16766152125</v>
      </c>
      <c r="M52" s="8"/>
      <c r="AV52" s="12" t="s">
        <v>39</v>
      </c>
      <c r="AW52" s="12"/>
      <c r="BH52" s="12" t="s">
        <v>39</v>
      </c>
      <c r="BI52" s="12"/>
    </row>
    <row r="53" spans="1:68" x14ac:dyDescent="0.25">
      <c r="A53" s="5" t="s">
        <v>21</v>
      </c>
      <c r="B53" s="6">
        <v>0.21234239309632399</v>
      </c>
      <c r="C53" s="6">
        <v>0.42964915677977999</v>
      </c>
      <c r="D53" s="6">
        <v>4.6283799610675601E-2</v>
      </c>
      <c r="E53" s="7">
        <v>-0.17637365181995501</v>
      </c>
      <c r="F53" s="8">
        <v>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/>
      <c r="AV53" t="s">
        <v>42</v>
      </c>
      <c r="AW53">
        <v>0.84932579024205879</v>
      </c>
      <c r="BH53" t="s">
        <v>42</v>
      </c>
      <c r="BI53">
        <v>0.91216011160202104</v>
      </c>
    </row>
    <row r="54" spans="1:68" x14ac:dyDescent="0.25">
      <c r="A54" s="5"/>
      <c r="B54" s="7"/>
      <c r="C54" s="7"/>
      <c r="D54" s="11"/>
      <c r="E54" s="7"/>
      <c r="F54" s="8"/>
      <c r="G54" s="8"/>
      <c r="H54" s="8"/>
      <c r="I54" s="8"/>
      <c r="J54" s="8"/>
      <c r="K54" s="8"/>
      <c r="L54" s="8"/>
      <c r="M54" s="8"/>
      <c r="AV54" t="s">
        <v>45</v>
      </c>
      <c r="AW54">
        <v>0.7213542979702976</v>
      </c>
      <c r="BH54" t="s">
        <v>45</v>
      </c>
      <c r="BI54">
        <v>0.83203606919781148</v>
      </c>
    </row>
    <row r="55" spans="1:68" x14ac:dyDescent="0.25">
      <c r="A55" s="5" t="s">
        <v>40</v>
      </c>
      <c r="B55" s="6">
        <v>0.14608753400636901</v>
      </c>
      <c r="C55" s="11"/>
      <c r="D55" s="6">
        <v>6.8212961854365706E-2</v>
      </c>
      <c r="E55" s="7">
        <v>-4.2076076707890497E-3</v>
      </c>
      <c r="F55" s="8">
        <v>1.0078290838208943</v>
      </c>
      <c r="G55" s="8">
        <v>2.4954469283408098</v>
      </c>
      <c r="H55" s="8">
        <v>1.8447691432308699</v>
      </c>
      <c r="I55" s="8">
        <v>0.650677785109948</v>
      </c>
      <c r="J55" s="8">
        <f t="shared" ref="J55" si="5">H55-I55</f>
        <v>1.194091358120922</v>
      </c>
      <c r="K55" s="8">
        <f t="shared" si="0"/>
        <v>0.73925400788123874</v>
      </c>
      <c r="L55" s="8">
        <v>1.1131942168706099</v>
      </c>
      <c r="M55" s="8"/>
      <c r="AV55" t="s">
        <v>47</v>
      </c>
      <c r="AW55">
        <v>0.62847239729373017</v>
      </c>
      <c r="BH55" t="s">
        <v>47</v>
      </c>
      <c r="BI55">
        <v>0.76485049687693607</v>
      </c>
    </row>
    <row r="56" spans="1:68" x14ac:dyDescent="0.25">
      <c r="A56" s="5" t="s">
        <v>43</v>
      </c>
      <c r="B56" s="13">
        <v>1.0119527368219401E-2</v>
      </c>
      <c r="C56" s="11"/>
      <c r="D56" s="6">
        <v>9.9852529707758195E-2</v>
      </c>
      <c r="E56" s="6">
        <v>4.4857179056258203E-2</v>
      </c>
      <c r="F56" s="8">
        <v>1.0239451393319936</v>
      </c>
      <c r="G56" s="8">
        <v>19.594840851392899</v>
      </c>
      <c r="H56" s="8">
        <v>5.5209579590505999</v>
      </c>
      <c r="I56" s="8">
        <v>14.073882892342301</v>
      </c>
      <c r="J56" s="8">
        <f>H56-I56</f>
        <v>-8.5529249332917008</v>
      </c>
      <c r="K56" s="8">
        <f t="shared" si="0"/>
        <v>0.28175569278268175</v>
      </c>
      <c r="L56" s="8">
        <v>8.4763382350991101</v>
      </c>
      <c r="M56" s="8"/>
      <c r="AV56" t="s">
        <v>49</v>
      </c>
      <c r="AW56">
        <v>4.9064708449678154E-2</v>
      </c>
      <c r="BH56" t="s">
        <v>49</v>
      </c>
      <c r="BI56">
        <v>1.4869662933437701E-2</v>
      </c>
    </row>
    <row r="57" spans="1:68" ht="15.75" thickBot="1" x14ac:dyDescent="0.3">
      <c r="A57" s="5" t="s">
        <v>46</v>
      </c>
      <c r="B57" s="6">
        <v>4.5646344187588998E-2</v>
      </c>
      <c r="C57" s="11"/>
      <c r="D57" s="6">
        <v>5.5815481283492403E-2</v>
      </c>
      <c r="E57" s="6">
        <v>7.6664996000854094E-2</v>
      </c>
      <c r="F57" s="8">
        <v>1.0275460447393339</v>
      </c>
      <c r="G57" s="8">
        <v>17.2552427011953</v>
      </c>
      <c r="H57" s="8">
        <v>5.1821136906510699</v>
      </c>
      <c r="I57" s="8">
        <v>12.0731290105442</v>
      </c>
      <c r="J57" s="8">
        <f t="shared" ref="J57:J61" si="6">H57-I57</f>
        <v>-6.8910153198931301</v>
      </c>
      <c r="K57" s="8">
        <f t="shared" si="0"/>
        <v>0.30032111285760682</v>
      </c>
      <c r="L57" s="8">
        <v>9.5412825319663295</v>
      </c>
      <c r="M57" s="8"/>
      <c r="AV57" s="14" t="s">
        <v>51</v>
      </c>
      <c r="AW57" s="14">
        <v>9</v>
      </c>
      <c r="BH57" s="14" t="s">
        <v>51</v>
      </c>
      <c r="BI57" s="14">
        <v>8</v>
      </c>
    </row>
    <row r="58" spans="1:68" x14ac:dyDescent="0.25">
      <c r="A58" s="5" t="s">
        <v>48</v>
      </c>
      <c r="B58" s="6">
        <v>1.47909285306715E-2</v>
      </c>
      <c r="C58" s="11"/>
      <c r="D58" s="6">
        <v>9.5391388976058394E-2</v>
      </c>
      <c r="E58" s="6">
        <v>2.1219861817338499E-2</v>
      </c>
      <c r="F58" s="8">
        <v>1.0275826446035865</v>
      </c>
      <c r="G58" s="8">
        <v>17.024424898784201</v>
      </c>
      <c r="H58" s="8">
        <v>6.3491431999578403</v>
      </c>
      <c r="I58" s="8">
        <v>10.675281698826399</v>
      </c>
      <c r="J58" s="8">
        <f t="shared" si="6"/>
        <v>-4.3261384988685592</v>
      </c>
      <c r="K58" s="8">
        <f t="shared" si="0"/>
        <v>0.37294318238093693</v>
      </c>
      <c r="L58" s="8">
        <v>14.7819327483883</v>
      </c>
      <c r="M58" s="8"/>
    </row>
    <row r="59" spans="1:68" ht="15.75" thickBot="1" x14ac:dyDescent="0.3">
      <c r="A59" s="5" t="s">
        <v>50</v>
      </c>
      <c r="B59" s="6">
        <v>2.0282132481243099E-2</v>
      </c>
      <c r="C59" s="11"/>
      <c r="D59" s="6">
        <v>0.115227328160236</v>
      </c>
      <c r="E59" s="6">
        <v>3.1629539106965802E-2</v>
      </c>
      <c r="F59" s="8">
        <v>1.0572093304532362</v>
      </c>
      <c r="G59" s="8">
        <v>15.1069524712688</v>
      </c>
      <c r="H59" s="8">
        <v>3.20845082384478</v>
      </c>
      <c r="I59" s="8">
        <v>11.898501647424</v>
      </c>
      <c r="J59" s="8">
        <f t="shared" si="6"/>
        <v>-8.6900508235792202</v>
      </c>
      <c r="K59" s="8">
        <f t="shared" si="0"/>
        <v>0.21238240008676676</v>
      </c>
      <c r="L59" s="8">
        <v>15.671540073004801</v>
      </c>
      <c r="M59" s="8"/>
      <c r="AV59" t="s">
        <v>54</v>
      </c>
      <c r="BH59" t="s">
        <v>54</v>
      </c>
    </row>
    <row r="60" spans="1:68" x14ac:dyDescent="0.25">
      <c r="A60" s="5" t="s">
        <v>52</v>
      </c>
      <c r="B60" s="6">
        <v>3.6679485231980898E-2</v>
      </c>
      <c r="C60" s="11"/>
      <c r="D60" s="6">
        <v>0.157732693122626</v>
      </c>
      <c r="E60" s="6">
        <v>4.3964016574286002E-2</v>
      </c>
      <c r="F60" s="8">
        <v>1.111235100018195</v>
      </c>
      <c r="G60" s="8">
        <v>21.9579587943592</v>
      </c>
      <c r="H60" s="8">
        <v>7.2579587943592401</v>
      </c>
      <c r="I60" s="8">
        <v>14.7</v>
      </c>
      <c r="J60" s="8">
        <f t="shared" si="6"/>
        <v>-7.4420412056407592</v>
      </c>
      <c r="K60" s="8">
        <f t="shared" si="0"/>
        <v>0.33053886576304825</v>
      </c>
      <c r="L60" s="8">
        <v>48.251680680319097</v>
      </c>
      <c r="M60" s="8"/>
      <c r="AV60" s="15"/>
      <c r="AW60" s="15" t="s">
        <v>55</v>
      </c>
      <c r="AX60" s="15" t="s">
        <v>56</v>
      </c>
      <c r="AY60" s="15" t="s">
        <v>57</v>
      </c>
      <c r="AZ60" s="15" t="s">
        <v>58</v>
      </c>
      <c r="BA60" s="15" t="s">
        <v>59</v>
      </c>
      <c r="BH60" s="15"/>
      <c r="BI60" s="15" t="s">
        <v>55</v>
      </c>
      <c r="BJ60" s="15" t="s">
        <v>56</v>
      </c>
      <c r="BK60" s="15" t="s">
        <v>57</v>
      </c>
      <c r="BL60" s="15" t="s">
        <v>58</v>
      </c>
      <c r="BM60" s="15" t="s">
        <v>59</v>
      </c>
    </row>
    <row r="61" spans="1:68" x14ac:dyDescent="0.25">
      <c r="A61" s="5" t="s">
        <v>53</v>
      </c>
      <c r="B61" s="6">
        <v>7.7980025652416296E-2</v>
      </c>
      <c r="C61" s="11"/>
      <c r="D61" s="6">
        <v>0.121156039239802</v>
      </c>
      <c r="E61" s="6">
        <v>5.3048699734524599E-2</v>
      </c>
      <c r="F61" s="8">
        <v>1.0519758315193652</v>
      </c>
      <c r="G61" s="8">
        <v>16.640165980770899</v>
      </c>
      <c r="H61" s="8">
        <v>4.2170406154913396</v>
      </c>
      <c r="I61" s="8">
        <v>12.423125365279599</v>
      </c>
      <c r="J61" s="8">
        <f t="shared" si="6"/>
        <v>-8.2060847497882605</v>
      </c>
      <c r="K61" s="8">
        <f t="shared" si="0"/>
        <v>0.25342539373492318</v>
      </c>
      <c r="L61" s="8">
        <v>12.8326939779569</v>
      </c>
      <c r="M61" s="8"/>
      <c r="AV61" t="s">
        <v>61</v>
      </c>
      <c r="AW61">
        <v>2</v>
      </c>
      <c r="AX61">
        <v>3.7392626412952448E-2</v>
      </c>
      <c r="AY61">
        <v>1.8696313206476224E-2</v>
      </c>
      <c r="AZ61">
        <v>7.7663602135166334</v>
      </c>
      <c r="BA61">
        <v>2.1635007296750559E-2</v>
      </c>
      <c r="BH61" t="s">
        <v>61</v>
      </c>
      <c r="BI61">
        <v>2</v>
      </c>
      <c r="BJ61">
        <v>5.4764405338807581E-3</v>
      </c>
      <c r="BK61">
        <v>2.7382202669403791E-3</v>
      </c>
      <c r="BL61">
        <v>12.384147971889607</v>
      </c>
      <c r="BM61">
        <v>1.1562189268396628E-2</v>
      </c>
    </row>
    <row r="62" spans="1:68" x14ac:dyDescent="0.25">
      <c r="K62" s="8"/>
      <c r="L62" s="8"/>
      <c r="M62" s="8"/>
      <c r="AV62" t="s">
        <v>62</v>
      </c>
      <c r="AW62">
        <v>6</v>
      </c>
      <c r="AX62">
        <v>1.4444073691511513E-2</v>
      </c>
      <c r="AY62">
        <v>2.4073456152519188E-3</v>
      </c>
      <c r="BH62" t="s">
        <v>62</v>
      </c>
      <c r="BI62">
        <v>5</v>
      </c>
      <c r="BJ62">
        <v>1.1055343787702554E-3</v>
      </c>
      <c r="BK62">
        <v>2.2110687575405109E-4</v>
      </c>
    </row>
    <row r="63" spans="1:68" ht="15.75" thickBot="1" x14ac:dyDescent="0.3">
      <c r="A63" s="5" t="s">
        <v>75</v>
      </c>
      <c r="K63" s="8"/>
      <c r="L63" s="8"/>
      <c r="M63" s="8"/>
      <c r="AV63" s="14" t="s">
        <v>63</v>
      </c>
      <c r="AW63" s="14">
        <v>8</v>
      </c>
      <c r="AX63" s="14">
        <v>5.1836700104463965E-2</v>
      </c>
      <c r="AY63" s="14"/>
      <c r="AZ63" s="14"/>
      <c r="BA63" s="14"/>
      <c r="BH63" s="14" t="s">
        <v>63</v>
      </c>
      <c r="BI63" s="14">
        <v>7</v>
      </c>
      <c r="BJ63" s="14">
        <v>6.5819749126510138E-3</v>
      </c>
      <c r="BK63" s="14"/>
      <c r="BL63" s="14"/>
      <c r="BM63" s="14"/>
    </row>
    <row r="64" spans="1:68" ht="39" thickBot="1" x14ac:dyDescent="0.3">
      <c r="A64" s="1" t="s">
        <v>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3" t="s">
        <v>6</v>
      </c>
      <c r="H64" s="3" t="s">
        <v>7</v>
      </c>
      <c r="I64" s="3" t="s">
        <v>8</v>
      </c>
      <c r="J64" s="3" t="s">
        <v>9</v>
      </c>
      <c r="K64" s="3" t="s">
        <v>10</v>
      </c>
      <c r="L64" s="4" t="s">
        <v>11</v>
      </c>
      <c r="M64" s="4"/>
    </row>
    <row r="65" spans="1:68" x14ac:dyDescent="0.25">
      <c r="A65" s="5" t="s">
        <v>17</v>
      </c>
      <c r="B65" s="6">
        <v>0.17369777575697301</v>
      </c>
      <c r="C65" s="6">
        <v>0.199680501000808</v>
      </c>
      <c r="D65" s="6">
        <v>0.13984116014494999</v>
      </c>
      <c r="E65" s="7">
        <v>1.7836570943256701E-2</v>
      </c>
      <c r="F65" s="8">
        <v>1.1737788669959504</v>
      </c>
      <c r="G65" s="8">
        <v>4</v>
      </c>
      <c r="H65" s="8">
        <v>1.25</v>
      </c>
      <c r="I65" s="8">
        <v>2.75</v>
      </c>
      <c r="J65" s="8">
        <f>H65-I65</f>
        <v>-1.5</v>
      </c>
      <c r="K65" s="8">
        <f t="shared" si="0"/>
        <v>0.3125</v>
      </c>
      <c r="L65" s="8">
        <v>9.8673684099999903</v>
      </c>
      <c r="M65" s="8"/>
      <c r="AV65" s="15"/>
      <c r="AW65" s="15" t="s">
        <v>64</v>
      </c>
      <c r="AX65" s="15" t="s">
        <v>49</v>
      </c>
      <c r="AY65" s="15" t="s">
        <v>65</v>
      </c>
      <c r="AZ65" s="15" t="s">
        <v>66</v>
      </c>
      <c r="BA65" s="15" t="s">
        <v>67</v>
      </c>
      <c r="BB65" s="15" t="s">
        <v>68</v>
      </c>
      <c r="BC65" s="15" t="s">
        <v>69</v>
      </c>
      <c r="BD65" s="15" t="s">
        <v>70</v>
      </c>
      <c r="BE65" s="16"/>
      <c r="BF65" s="16"/>
      <c r="BH65" s="15"/>
      <c r="BI65" s="15" t="s">
        <v>64</v>
      </c>
      <c r="BJ65" s="15" t="s">
        <v>49</v>
      </c>
      <c r="BK65" s="15" t="s">
        <v>65</v>
      </c>
      <c r="BL65" s="15" t="s">
        <v>66</v>
      </c>
      <c r="BM65" s="15" t="s">
        <v>67</v>
      </c>
      <c r="BN65" s="15" t="s">
        <v>68</v>
      </c>
      <c r="BO65" s="15" t="s">
        <v>69</v>
      </c>
      <c r="BP65" s="15" t="s">
        <v>70</v>
      </c>
    </row>
    <row r="66" spans="1:68" x14ac:dyDescent="0.25">
      <c r="A66" s="5" t="s">
        <v>19</v>
      </c>
      <c r="B66" s="6">
        <v>9.9143945152060597E-2</v>
      </c>
      <c r="C66" s="6">
        <v>0.12535086320927399</v>
      </c>
      <c r="D66" s="6">
        <v>8.9326261366187695E-2</v>
      </c>
      <c r="E66" s="7">
        <v>-0.54160608613664096</v>
      </c>
      <c r="F66" s="8">
        <v>1.0182769682576838</v>
      </c>
      <c r="G66" s="8">
        <v>1.1385255280790201</v>
      </c>
      <c r="H66" s="8">
        <v>0.25</v>
      </c>
      <c r="I66" s="8">
        <v>0.88852552807902296</v>
      </c>
      <c r="J66" s="8">
        <f t="shared" ref="J66" si="7">H66-I66</f>
        <v>-0.63852552807902296</v>
      </c>
      <c r="K66" s="8">
        <f t="shared" si="0"/>
        <v>0.2195822525137518</v>
      </c>
      <c r="L66" s="8">
        <v>0.16766152125</v>
      </c>
      <c r="M66" s="8"/>
      <c r="AV66" t="s">
        <v>71</v>
      </c>
      <c r="AW66">
        <v>-0.21589435791032491</v>
      </c>
      <c r="AX66">
        <v>0.32480924299683162</v>
      </c>
      <c r="AY66">
        <v>-0.66468046265675662</v>
      </c>
      <c r="AZ66">
        <v>0.5309563140617849</v>
      </c>
      <c r="BA66">
        <v>-1.0106739439606984</v>
      </c>
      <c r="BB66">
        <v>0.57888522814004872</v>
      </c>
      <c r="BC66">
        <v>-1.0106739439606984</v>
      </c>
      <c r="BD66">
        <v>0.57888522814004872</v>
      </c>
      <c r="BH66" t="s">
        <v>71</v>
      </c>
      <c r="BI66">
        <v>-0.32738206045642781</v>
      </c>
      <c r="BJ66">
        <v>9.706802832371221E-2</v>
      </c>
      <c r="BK66">
        <v>-3.3727074311702432</v>
      </c>
      <c r="BL66">
        <v>1.9831094741875301E-2</v>
      </c>
      <c r="BM66">
        <v>-0.57690337088639376</v>
      </c>
      <c r="BN66">
        <v>-7.7860750026461867E-2</v>
      </c>
      <c r="BO66">
        <v>-0.57690337088639376</v>
      </c>
      <c r="BP66">
        <v>-7.7860750026461867E-2</v>
      </c>
    </row>
    <row r="67" spans="1:68" x14ac:dyDescent="0.25">
      <c r="A67" s="5" t="s">
        <v>23</v>
      </c>
      <c r="B67" s="6">
        <v>0.14477972148899501</v>
      </c>
      <c r="C67" s="6">
        <v>0.36758406997509402</v>
      </c>
      <c r="D67" s="6">
        <v>3.0850994672477702E-2</v>
      </c>
      <c r="E67" s="6">
        <v>0.41389016217674901</v>
      </c>
      <c r="F67" s="8">
        <v>1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/>
      <c r="AV67" t="s">
        <v>5</v>
      </c>
      <c r="AW67">
        <v>0.43275382393399581</v>
      </c>
      <c r="AX67">
        <v>0.3172485846531849</v>
      </c>
      <c r="AY67">
        <v>1.3640843328176888</v>
      </c>
      <c r="AZ67">
        <v>0.22149192279350693</v>
      </c>
      <c r="BA67">
        <v>-0.34352549761285051</v>
      </c>
      <c r="BB67">
        <v>1.2090331454808421</v>
      </c>
      <c r="BC67">
        <v>-0.34352549761285051</v>
      </c>
      <c r="BD67">
        <v>1.2090331454808421</v>
      </c>
      <c r="BH67" t="s">
        <v>5</v>
      </c>
      <c r="BI67">
        <v>0.37057009676235214</v>
      </c>
      <c r="BJ67">
        <v>9.2178985676072869E-2</v>
      </c>
      <c r="BK67">
        <v>4.0201147153492922</v>
      </c>
      <c r="BL67">
        <v>1.0119639985013064E-2</v>
      </c>
      <c r="BM67">
        <v>0.13361647055605916</v>
      </c>
      <c r="BN67">
        <v>0.6075237229686451</v>
      </c>
      <c r="BO67">
        <v>0.13361647055605916</v>
      </c>
      <c r="BP67">
        <v>0.6075237229686451</v>
      </c>
    </row>
    <row r="68" spans="1:68" ht="15.75" thickBot="1" x14ac:dyDescent="0.3">
      <c r="A68" s="5"/>
      <c r="B68" s="7"/>
      <c r="C68" s="7"/>
      <c r="D68" s="6"/>
      <c r="E68" s="6"/>
      <c r="F68" s="8"/>
      <c r="G68" s="8"/>
      <c r="H68" s="8"/>
      <c r="I68" s="8"/>
      <c r="J68" s="8"/>
      <c r="K68" s="8"/>
      <c r="L68" s="8"/>
      <c r="M68" s="8"/>
      <c r="AV68" s="14" t="s">
        <v>10</v>
      </c>
      <c r="AW68" s="14">
        <v>-0.535089924150702</v>
      </c>
      <c r="AX68" s="14">
        <v>0.13626864204884859</v>
      </c>
      <c r="AY68" s="14">
        <v>-3.9267282340634675</v>
      </c>
      <c r="AZ68" s="14">
        <v>7.741818907155102E-3</v>
      </c>
      <c r="BA68" s="14">
        <v>-0.86852727931946139</v>
      </c>
      <c r="BB68" s="14">
        <v>-0.20165256898194267</v>
      </c>
      <c r="BC68" s="14">
        <v>-0.86852727931946139</v>
      </c>
      <c r="BD68" s="14">
        <v>-0.20165256898194267</v>
      </c>
      <c r="BH68" s="14" t="s">
        <v>10</v>
      </c>
      <c r="BI68" s="14">
        <v>7.8723011754401689E-2</v>
      </c>
      <c r="BJ68" s="14">
        <v>2.7470846564143551E-2</v>
      </c>
      <c r="BK68" s="14">
        <v>2.8656929654710845</v>
      </c>
      <c r="BL68" s="14">
        <v>3.5171350932203846E-2</v>
      </c>
      <c r="BM68" s="14">
        <v>8.1069525670619952E-3</v>
      </c>
      <c r="BN68" s="14">
        <v>0.14933907094174137</v>
      </c>
      <c r="BO68" s="14">
        <v>8.1069525670619952E-3</v>
      </c>
      <c r="BP68" s="14">
        <v>0.14933907094174137</v>
      </c>
    </row>
    <row r="69" spans="1:68" x14ac:dyDescent="0.25">
      <c r="A69" s="5" t="s">
        <v>26</v>
      </c>
      <c r="B69" s="11"/>
      <c r="C69" s="11"/>
      <c r="D69" s="6">
        <v>0.11077055296162799</v>
      </c>
      <c r="E69" s="11"/>
      <c r="F69" s="8">
        <v>1.0078290838208943</v>
      </c>
      <c r="G69" s="8">
        <v>2.4954469283408098</v>
      </c>
      <c r="H69" s="8">
        <v>1.8447691432308699</v>
      </c>
      <c r="I69" s="8">
        <v>0.650677785109948</v>
      </c>
      <c r="J69" s="8">
        <v>1.194091358120922</v>
      </c>
      <c r="K69" s="8">
        <f t="shared" ref="K69:K74" si="8">H69/G69</f>
        <v>0.73925400788123874</v>
      </c>
      <c r="L69" s="8">
        <v>1.1131942168706099</v>
      </c>
      <c r="M69" s="8"/>
    </row>
    <row r="70" spans="1:68" x14ac:dyDescent="0.25">
      <c r="A70" s="5" t="s">
        <v>25</v>
      </c>
      <c r="B70" s="6">
        <v>8.8732929175135894E-2</v>
      </c>
      <c r="C70" s="11"/>
      <c r="D70" s="6">
        <v>0.15621819275209001</v>
      </c>
      <c r="E70" s="6">
        <v>1.20306787922476E-2</v>
      </c>
      <c r="F70" s="8">
        <v>1.0119508062412015</v>
      </c>
      <c r="G70" s="8">
        <v>8.1761484496582497</v>
      </c>
      <c r="H70" s="8">
        <v>3.1258759015031101</v>
      </c>
      <c r="I70" s="8">
        <v>5.0502725481551298</v>
      </c>
      <c r="J70" s="8">
        <v>-1.9243966466520197</v>
      </c>
      <c r="K70" s="8">
        <f t="shared" si="8"/>
        <v>0.3823164318443566</v>
      </c>
      <c r="L70" s="8">
        <v>2.2065870384902602</v>
      </c>
      <c r="M70" s="8"/>
    </row>
    <row r="71" spans="1:68" x14ac:dyDescent="0.25">
      <c r="A71" s="5" t="s">
        <v>28</v>
      </c>
      <c r="B71" s="6">
        <v>0.10415722716452799</v>
      </c>
      <c r="C71" s="11"/>
      <c r="D71" s="6">
        <v>5.5397551503622099E-2</v>
      </c>
      <c r="E71" s="6">
        <v>2.8615745110634201E-2</v>
      </c>
      <c r="F71" s="8">
        <v>1.0239451393319936</v>
      </c>
      <c r="G71" s="8">
        <v>19.594840851392899</v>
      </c>
      <c r="H71" s="8">
        <v>5.5209579590505999</v>
      </c>
      <c r="I71" s="8">
        <v>14.073882892342301</v>
      </c>
      <c r="J71" s="8">
        <v>-8.5529249332917008</v>
      </c>
      <c r="K71" s="8">
        <f t="shared" si="8"/>
        <v>0.28175569278268175</v>
      </c>
      <c r="L71" s="8">
        <v>8.4763382350991101</v>
      </c>
      <c r="M71" s="8"/>
    </row>
    <row r="72" spans="1:68" x14ac:dyDescent="0.25">
      <c r="A72" s="5" t="s">
        <v>30</v>
      </c>
      <c r="B72" s="6">
        <v>4.66251429291673E-2</v>
      </c>
      <c r="C72" s="11"/>
      <c r="D72" s="6">
        <v>6.9883057908481996E-2</v>
      </c>
      <c r="E72" s="6">
        <v>4.4113621235337297E-2</v>
      </c>
      <c r="F72" s="8">
        <v>1.0275460447393339</v>
      </c>
      <c r="G72" s="8">
        <v>17.2552427011953</v>
      </c>
      <c r="H72" s="8">
        <v>5.1821136906510699</v>
      </c>
      <c r="I72" s="8">
        <v>12.0731290105442</v>
      </c>
      <c r="J72" s="8">
        <v>-6.8910153198931301</v>
      </c>
      <c r="K72" s="8">
        <f t="shared" si="8"/>
        <v>0.30032111285760682</v>
      </c>
      <c r="L72" s="8">
        <v>9.5412825319663295</v>
      </c>
      <c r="M72" s="8"/>
    </row>
    <row r="73" spans="1:68" x14ac:dyDescent="0.25">
      <c r="A73" s="5" t="s">
        <v>32</v>
      </c>
      <c r="B73" s="6">
        <v>9.0894558490112708E-3</v>
      </c>
      <c r="C73" s="11"/>
      <c r="D73" s="6">
        <v>7.8645648239850305E-2</v>
      </c>
      <c r="E73" s="7">
        <v>-8.0536265843332393E-3</v>
      </c>
      <c r="F73" s="8">
        <v>1.0275826446035865</v>
      </c>
      <c r="G73" s="8">
        <v>17.024424898784201</v>
      </c>
      <c r="H73" s="8">
        <v>6.3491431999578403</v>
      </c>
      <c r="I73" s="8">
        <v>10.675281698826399</v>
      </c>
      <c r="J73" s="8">
        <v>-4.3261384988685592</v>
      </c>
      <c r="K73" s="8">
        <f t="shared" si="8"/>
        <v>0.37294318238093693</v>
      </c>
      <c r="L73" s="8">
        <v>14.7819327483883</v>
      </c>
      <c r="M73" s="8"/>
    </row>
    <row r="74" spans="1:68" x14ac:dyDescent="0.25">
      <c r="A74" s="5" t="s">
        <v>34</v>
      </c>
      <c r="B74" s="6">
        <v>2.0373962034653699E-2</v>
      </c>
      <c r="C74" s="11"/>
      <c r="D74" s="6">
        <v>0.101236914763633</v>
      </c>
      <c r="E74" s="6">
        <v>2.7450804091866201E-2</v>
      </c>
      <c r="F74" s="8">
        <v>1.111235100018195</v>
      </c>
      <c r="G74" s="8">
        <v>21.9579587943592</v>
      </c>
      <c r="H74" s="8">
        <v>7.2579587943592401</v>
      </c>
      <c r="I74" s="8">
        <v>14.7</v>
      </c>
      <c r="J74" s="8">
        <v>-7.4420412056407592</v>
      </c>
      <c r="K74" s="8">
        <f t="shared" si="8"/>
        <v>0.33053886576304825</v>
      </c>
      <c r="L74" s="8">
        <v>48.251680680319097</v>
      </c>
      <c r="M7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tauc correlations (no st7)</vt:lpstr>
    </vt:vector>
  </TitlesOfParts>
  <Company>University of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2026-07-06T18:00:30Z</dcterms:created>
  <dcterms:modified xsi:type="dcterms:W3CDTF">2026-07-06T20:51:59Z</dcterms:modified>
</cp:coreProperties>
</file>