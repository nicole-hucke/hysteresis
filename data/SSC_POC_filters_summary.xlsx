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data\"/>
    </mc:Choice>
  </mc:AlternateContent>
  <xr:revisionPtr revIDLastSave="0" documentId="13_ncr:1_{05D6649E-26A5-4661-8856-273B59372962}" xr6:coauthVersionLast="47" xr6:coauthVersionMax="47" xr10:uidLastSave="{00000000-0000-0000-0000-000000000000}"/>
  <bookViews>
    <workbookView xWindow="-120" yWindow="-120" windowWidth="29040" windowHeight="15720" tabRatio="623" xr2:uid="{FEC01F85-CDE9-417C-893C-E562E5565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76" i="1"/>
  <c r="H60" i="1"/>
  <c r="H62" i="1"/>
  <c r="H66" i="1"/>
  <c r="H68" i="1"/>
  <c r="H69" i="1"/>
  <c r="H70" i="1"/>
  <c r="H52" i="1"/>
  <c r="H57" i="1"/>
  <c r="H58" i="1"/>
  <c r="H49" i="1"/>
  <c r="H51" i="1"/>
  <c r="H45" i="1"/>
  <c r="H20" i="1"/>
  <c r="H21" i="1"/>
  <c r="H22" i="1"/>
  <c r="H23" i="1"/>
  <c r="H24" i="1"/>
  <c r="H25" i="1"/>
  <c r="H26" i="1"/>
  <c r="H33" i="1"/>
  <c r="H34" i="1"/>
  <c r="H35" i="1"/>
  <c r="H36" i="1"/>
  <c r="H37" i="1"/>
  <c r="H38" i="1"/>
  <c r="H40" i="1"/>
  <c r="H41" i="1"/>
  <c r="H42" i="1"/>
  <c r="H43" i="1"/>
  <c r="H14" i="1"/>
  <c r="H29" i="1"/>
  <c r="H15" i="1"/>
  <c r="H16" i="1"/>
  <c r="H17" i="1"/>
  <c r="H18" i="1"/>
  <c r="H19" i="1"/>
  <c r="H77" i="1"/>
  <c r="H78" i="1"/>
  <c r="H79" i="1"/>
  <c r="H81" i="1"/>
  <c r="H82" i="1"/>
  <c r="H83" i="1"/>
  <c r="H84" i="1"/>
  <c r="H85" i="1"/>
  <c r="H71" i="1"/>
  <c r="H72" i="1"/>
  <c r="H73" i="1"/>
  <c r="H50" i="1"/>
  <c r="H53" i="1"/>
  <c r="H54" i="1"/>
  <c r="H55" i="1"/>
  <c r="H56" i="1"/>
  <c r="H39" i="1"/>
  <c r="H47" i="1"/>
  <c r="F33" i="1"/>
  <c r="H2" i="1"/>
  <c r="H4" i="1"/>
  <c r="F2" i="1"/>
  <c r="E2" i="1"/>
  <c r="H27" i="1"/>
  <c r="H28" i="1"/>
  <c r="H30" i="1"/>
  <c r="H31" i="1"/>
  <c r="H32" i="1"/>
  <c r="H3" i="1"/>
  <c r="H5" i="1"/>
  <c r="H6" i="1"/>
  <c r="H7" i="1"/>
  <c r="H8" i="1"/>
  <c r="H9" i="1"/>
  <c r="H10" i="1"/>
  <c r="H11" i="1"/>
  <c r="H12" i="1"/>
  <c r="H13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F38" i="1" l="1"/>
  <c r="F39" i="1"/>
  <c r="E28" i="1" l="1"/>
  <c r="F28" i="1" s="1"/>
  <c r="E29" i="1"/>
  <c r="E33" i="1" l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34" i="1"/>
  <c r="F34" i="1" s="1"/>
  <c r="E35" i="1"/>
  <c r="F35" i="1" s="1"/>
  <c r="E36" i="1"/>
  <c r="F36" i="1" s="1"/>
  <c r="E37" i="1"/>
  <c r="F37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F29" i="1"/>
  <c r="E30" i="1"/>
  <c r="F30" i="1" s="1"/>
  <c r="E31" i="1"/>
  <c r="F31" i="1" s="1"/>
  <c r="E32" i="1"/>
  <c r="F32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</calcChain>
</file>

<file path=xl/sharedStrings.xml><?xml version="1.0" encoding="utf-8"?>
<sst xmlns="http://schemas.openxmlformats.org/spreadsheetml/2006/main" count="116" uniqueCount="116">
  <si>
    <t>Volume filtered (mL)</t>
  </si>
  <si>
    <t>Sample ID</t>
  </si>
  <si>
    <t>pre-filter weight (g)</t>
  </si>
  <si>
    <t>post-filter weight (g)</t>
  </si>
  <si>
    <t>SS concentration (mg/L)</t>
  </si>
  <si>
    <t>S-2 B#1</t>
  </si>
  <si>
    <t>S-2 B#2</t>
  </si>
  <si>
    <t>S-2 B#3</t>
  </si>
  <si>
    <t>S-2 B#19</t>
  </si>
  <si>
    <t>Storm 1 (2021)</t>
  </si>
  <si>
    <t>DST201</t>
  </si>
  <si>
    <t>DST202</t>
  </si>
  <si>
    <t>DST203</t>
  </si>
  <si>
    <t>DST204</t>
  </si>
  <si>
    <t>DST205</t>
  </si>
  <si>
    <t>DST206</t>
  </si>
  <si>
    <t>DST207</t>
  </si>
  <si>
    <t>Storm 2 (2022)</t>
  </si>
  <si>
    <t>ST5-D1</t>
  </si>
  <si>
    <t>ST5-D2</t>
  </si>
  <si>
    <t>ST5-D3</t>
  </si>
  <si>
    <t>ST5-D4</t>
  </si>
  <si>
    <t>ST5-D5</t>
  </si>
  <si>
    <t>DST301</t>
  </si>
  <si>
    <t>DST302</t>
  </si>
  <si>
    <t>DST303</t>
  </si>
  <si>
    <t>DST304</t>
  </si>
  <si>
    <t>DST305</t>
  </si>
  <si>
    <t>DST306</t>
  </si>
  <si>
    <t>DST307</t>
  </si>
  <si>
    <t>DST308</t>
  </si>
  <si>
    <t>ST5-U1</t>
  </si>
  <si>
    <t>ST5-U2</t>
  </si>
  <si>
    <t>ST5-U3</t>
  </si>
  <si>
    <t>ST5-U4</t>
  </si>
  <si>
    <t>ST5-U5</t>
  </si>
  <si>
    <t>ST5-U6</t>
  </si>
  <si>
    <t>ST5-U7</t>
  </si>
  <si>
    <t>ST5-U8</t>
  </si>
  <si>
    <t>ST5-U9</t>
  </si>
  <si>
    <t>ST5-U10</t>
  </si>
  <si>
    <t>ST5-U11</t>
  </si>
  <si>
    <t>ST5-U12</t>
  </si>
  <si>
    <t>ST4-D2</t>
  </si>
  <si>
    <t>ST4-D3</t>
  </si>
  <si>
    <t>ST4-D4</t>
  </si>
  <si>
    <t>ST4-D5</t>
  </si>
  <si>
    <t>ST4-U1</t>
  </si>
  <si>
    <t>ST4-U2</t>
  </si>
  <si>
    <t>ST4-U3</t>
  </si>
  <si>
    <t>ST4-U4</t>
  </si>
  <si>
    <t>ST4-U5</t>
  </si>
  <si>
    <t>ST4-U6</t>
  </si>
  <si>
    <t>ST4-U7</t>
  </si>
  <si>
    <t>ST4-U9</t>
  </si>
  <si>
    <t>ST4-U11</t>
  </si>
  <si>
    <t>ST4-U14</t>
  </si>
  <si>
    <t>ST6-U1</t>
  </si>
  <si>
    <t>ST6-U2</t>
  </si>
  <si>
    <t>ST6-U3</t>
  </si>
  <si>
    <t>ST6-U4</t>
  </si>
  <si>
    <t>ST6-U5</t>
  </si>
  <si>
    <t>ST6-U8</t>
  </si>
  <si>
    <t>ST6-U10</t>
  </si>
  <si>
    <t>ST7-D1</t>
  </si>
  <si>
    <t>ST7-D2</t>
  </si>
  <si>
    <t>ST7-D3</t>
  </si>
  <si>
    <t>ST7-D4</t>
  </si>
  <si>
    <t>ST7-D5</t>
  </si>
  <si>
    <t>ST7-D6</t>
  </si>
  <si>
    <t>ST7-U1</t>
  </si>
  <si>
    <t>ST7-U2</t>
  </si>
  <si>
    <t>ST7-U3</t>
  </si>
  <si>
    <t>ST7-U5</t>
  </si>
  <si>
    <t>ST7-U7</t>
  </si>
  <si>
    <t>Storm 3 (2022)</t>
  </si>
  <si>
    <t>Storm 5 (2023)</t>
  </si>
  <si>
    <t>Storm 4 (2023)</t>
  </si>
  <si>
    <t>Storm 6 (2023)</t>
  </si>
  <si>
    <t>Storm 7 (2023)</t>
  </si>
  <si>
    <t>Lab ID</t>
  </si>
  <si>
    <t>ST4-D1</t>
  </si>
  <si>
    <t>ST4-D6</t>
  </si>
  <si>
    <t>ST4-D7</t>
  </si>
  <si>
    <t>ST5-U13</t>
  </si>
  <si>
    <t>ST6-U13</t>
  </si>
  <si>
    <t>DateTime</t>
  </si>
  <si>
    <t>ST7-U10</t>
  </si>
  <si>
    <t>DOC</t>
  </si>
  <si>
    <t>POC</t>
  </si>
  <si>
    <t>Total sediment on filter - (inorganic + organic) (g)</t>
  </si>
  <si>
    <t>mgC</t>
  </si>
  <si>
    <t>VC-BER-20</t>
  </si>
  <si>
    <t>VC-BER-21</t>
  </si>
  <si>
    <t>VC-BER-22</t>
  </si>
  <si>
    <t>VC-BER-23</t>
  </si>
  <si>
    <t>VC-BER-24</t>
  </si>
  <si>
    <t>VC-BER-25</t>
  </si>
  <si>
    <t>VC-BER-26</t>
  </si>
  <si>
    <t>VC-BER-27</t>
  </si>
  <si>
    <t>VC-BER-28</t>
  </si>
  <si>
    <t>VC-BER-29</t>
  </si>
  <si>
    <t>VC-BER-30</t>
  </si>
  <si>
    <t>VC-BER-31</t>
  </si>
  <si>
    <t>ST1-D1</t>
  </si>
  <si>
    <t>ST1-D2</t>
  </si>
  <si>
    <t>ST1-D5</t>
  </si>
  <si>
    <t>ST1-D6</t>
  </si>
  <si>
    <t>ST1-D10</t>
  </si>
  <si>
    <t>ST1-S18</t>
  </si>
  <si>
    <t>ST1-U1</t>
  </si>
  <si>
    <t>ST1-U3</t>
  </si>
  <si>
    <t>ST1-U8</t>
  </si>
  <si>
    <t>ST1-U11</t>
  </si>
  <si>
    <t>ST1-U15</t>
  </si>
  <si>
    <t>ST1-U24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</si>
</sst>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MS Sans Serif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4" borderId="0" xfId="0" applyFill="1"/>
    <xf numFmtId="0" fontId="0" fillId="6" borderId="1" xfId="0" applyFill="1" applyBorder="1" applyAlignment="1">
      <alignment horizontal="center"/>
    </xf>
    <xf numFmtId="0" fontId="0" fillId="2" borderId="0" xfId="0" applyFill="1"/>
    <xf numFmtId="164" fontId="0" fillId="6" borderId="1" xfId="0" applyNumberFormat="1" applyFill="1" applyBorder="1" applyAlignment="1">
      <alignment horizontal="center"/>
    </xf>
    <xf numFmtId="0" fontId="0" fillId="3" borderId="0" xfId="0" applyFill="1"/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7" borderId="0" xfId="0" applyFill="1"/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2" fontId="0" fillId="0" borderId="1" xfId="0" applyNumberFormat="1" applyBorder="1"/>
    <xf numFmtId="164" fontId="0" fillId="3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164" fontId="5" fillId="6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 wrapText="1"/>
    </xf>
    <xf numFmtId="2" fontId="4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wrapText="1"/>
    </xf>
    <xf numFmtId="2" fontId="4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2">
    <cellStyle name="Normal" xfId="0" builtinId="0"/>
    <cellStyle name="Normal 2" xfId="1" xr:uid="{3F80D62D-5502-4543-BE7F-0A823B4B8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195B-C2B1-40DF-A713-EC36D1F92D07}">
  <dimension ref="A1:L87"/>
  <sheetViews>
    <sheetView tabSelected="1" zoomScaleNormal="100" workbookViewId="0">
      <selection activeCell="O23" sqref="O23"/>
    </sheetView>
  </sheetViews>
  <sheetFormatPr defaultRowHeight="15" x14ac:dyDescent="0.25"/>
  <cols>
    <col min="1" max="1" width="26.7109375" style="5" customWidth="1"/>
    <col min="2" max="2" width="15.42578125" style="5" customWidth="1"/>
    <col min="3" max="3" width="16.28515625" style="5" customWidth="1"/>
    <col min="4" max="4" width="12.7109375" style="5" customWidth="1"/>
    <col min="5" max="5" width="22.42578125" style="5" customWidth="1"/>
    <col min="6" max="9" width="16.85546875" style="5" customWidth="1"/>
    <col min="10" max="10" width="12.140625" customWidth="1"/>
    <col min="11" max="11" width="18" customWidth="1"/>
    <col min="12" max="12" width="18.42578125" customWidth="1"/>
  </cols>
  <sheetData>
    <row r="1" spans="1:12" ht="44.25" customHeight="1" x14ac:dyDescent="0.25">
      <c r="A1" s="25" t="s">
        <v>1</v>
      </c>
      <c r="B1" s="26" t="s">
        <v>0</v>
      </c>
      <c r="C1" s="24" t="s">
        <v>2</v>
      </c>
      <c r="D1" s="24" t="s">
        <v>3</v>
      </c>
      <c r="E1" s="24" t="s">
        <v>90</v>
      </c>
      <c r="F1" s="24" t="s">
        <v>4</v>
      </c>
      <c r="G1" s="24" t="s">
        <v>91</v>
      </c>
      <c r="H1" s="24" t="s">
        <v>89</v>
      </c>
      <c r="I1" s="24" t="s">
        <v>88</v>
      </c>
      <c r="J1" s="24" t="s">
        <v>80</v>
      </c>
      <c r="K1" s="24" t="s">
        <v>86</v>
      </c>
    </row>
    <row r="2" spans="1:12" x14ac:dyDescent="0.25">
      <c r="A2" s="4" t="s">
        <v>104</v>
      </c>
      <c r="B2" s="4">
        <v>240.43</v>
      </c>
      <c r="C2" s="4">
        <v>0.24310000000000001</v>
      </c>
      <c r="D2" s="4">
        <v>0.37830000000000003</v>
      </c>
      <c r="E2" s="4">
        <f>D2-C2</f>
        <v>0.13520000000000001</v>
      </c>
      <c r="F2" s="17">
        <f>E2/B2*1000*1000</f>
        <v>562.3258328827518</v>
      </c>
      <c r="G2" s="28">
        <v>12.42059499105352</v>
      </c>
      <c r="H2" s="29">
        <f>G2/B2*1000</f>
        <v>51.659921769552554</v>
      </c>
      <c r="I2" s="38">
        <v>9.1790000000000003</v>
      </c>
      <c r="J2" s="4" t="s">
        <v>92</v>
      </c>
      <c r="K2" s="20">
        <v>44400.659722222219</v>
      </c>
      <c r="L2" s="6" t="s">
        <v>9</v>
      </c>
    </row>
    <row r="3" spans="1:12" x14ac:dyDescent="0.25">
      <c r="A3" s="4" t="s">
        <v>105</v>
      </c>
      <c r="B3" s="4">
        <v>257.18</v>
      </c>
      <c r="C3" s="4">
        <v>0.2412</v>
      </c>
      <c r="D3" s="4">
        <v>0.377</v>
      </c>
      <c r="E3" s="4">
        <f t="shared" ref="E3:E37" si="0">D3-C3</f>
        <v>0.1358</v>
      </c>
      <c r="F3" s="17">
        <f t="shared" ref="F3:F32" si="1">E3/B3*1000*1000</f>
        <v>528.03483941208492</v>
      </c>
      <c r="G3" s="28">
        <v>12.917667659613238</v>
      </c>
      <c r="H3" s="29">
        <f t="shared" ref="H3:H12" si="2">G3/B3*1000</f>
        <v>50.228119059076278</v>
      </c>
      <c r="I3" s="38">
        <v>12.625</v>
      </c>
      <c r="J3" s="4" t="s">
        <v>93</v>
      </c>
      <c r="K3" s="20">
        <v>44400.67291666667</v>
      </c>
      <c r="L3" s="7" t="s">
        <v>17</v>
      </c>
    </row>
    <row r="4" spans="1:12" x14ac:dyDescent="0.25">
      <c r="A4" s="4" t="s">
        <v>106</v>
      </c>
      <c r="B4" s="4">
        <v>279.39000000000004</v>
      </c>
      <c r="C4" s="4">
        <v>0.23849999999999999</v>
      </c>
      <c r="D4" s="4">
        <v>0.27850000000000003</v>
      </c>
      <c r="E4" s="4">
        <f t="shared" si="0"/>
        <v>4.0000000000000036E-2</v>
      </c>
      <c r="F4" s="17">
        <f t="shared" si="1"/>
        <v>143.16904685207069</v>
      </c>
      <c r="G4" s="28">
        <v>4.05181995661607</v>
      </c>
      <c r="H4" s="29">
        <f>G4/B4*1000</f>
        <v>14.502380030123016</v>
      </c>
      <c r="I4" s="38">
        <v>13.388</v>
      </c>
      <c r="J4" s="4" t="s">
        <v>103</v>
      </c>
      <c r="K4" s="20">
        <v>44400.694444444445</v>
      </c>
      <c r="L4" s="12" t="s">
        <v>75</v>
      </c>
    </row>
    <row r="5" spans="1:12" x14ac:dyDescent="0.25">
      <c r="A5" s="4" t="s">
        <v>107</v>
      </c>
      <c r="B5" s="4">
        <v>297.24</v>
      </c>
      <c r="C5" s="4">
        <v>0.24379999999999999</v>
      </c>
      <c r="D5" s="4">
        <v>0.26840000000000003</v>
      </c>
      <c r="E5" s="4">
        <f t="shared" si="0"/>
        <v>2.4600000000000039E-2</v>
      </c>
      <c r="F5" s="17">
        <f t="shared" si="1"/>
        <v>82.761404925313002</v>
      </c>
      <c r="G5" s="28">
        <v>3.4720828614205299</v>
      </c>
      <c r="H5" s="29">
        <f t="shared" si="2"/>
        <v>11.68107543204323</v>
      </c>
      <c r="I5" s="38">
        <v>12.997</v>
      </c>
      <c r="J5" s="4" t="s">
        <v>94</v>
      </c>
      <c r="K5" s="20">
        <v>44400.704861111109</v>
      </c>
      <c r="L5" s="9" t="s">
        <v>77</v>
      </c>
    </row>
    <row r="6" spans="1:12" x14ac:dyDescent="0.25">
      <c r="A6" s="4" t="s">
        <v>108</v>
      </c>
      <c r="B6" s="4">
        <v>262.73</v>
      </c>
      <c r="C6" s="4">
        <v>0.2414</v>
      </c>
      <c r="D6" s="4">
        <v>0.25109999999999999</v>
      </c>
      <c r="E6" s="4">
        <f t="shared" si="0"/>
        <v>9.6999999999999864E-3</v>
      </c>
      <c r="F6" s="17">
        <f t="shared" si="1"/>
        <v>36.920031971986397</v>
      </c>
      <c r="G6" s="28">
        <v>1.6843076180902734</v>
      </c>
      <c r="H6" s="29">
        <f t="shared" si="2"/>
        <v>6.4107928979951785</v>
      </c>
      <c r="I6" s="38">
        <v>12.868</v>
      </c>
      <c r="J6" s="4" t="s">
        <v>95</v>
      </c>
      <c r="K6" s="20">
        <v>44400.804861111108</v>
      </c>
      <c r="L6" s="11" t="s">
        <v>76</v>
      </c>
    </row>
    <row r="7" spans="1:12" x14ac:dyDescent="0.25">
      <c r="A7" s="4" t="s">
        <v>109</v>
      </c>
      <c r="B7" s="4">
        <v>272.58000000000004</v>
      </c>
      <c r="C7" s="4">
        <v>0.23980000000000001</v>
      </c>
      <c r="D7" s="4">
        <v>0.24579999999999999</v>
      </c>
      <c r="E7" s="4">
        <f t="shared" si="0"/>
        <v>5.9999999999999776E-3</v>
      </c>
      <c r="F7" s="17">
        <f t="shared" si="1"/>
        <v>22.011886418665991</v>
      </c>
      <c r="G7" s="28">
        <v>1.3097205793723499</v>
      </c>
      <c r="H7" s="29">
        <f t="shared" si="2"/>
        <v>4.8049034388889487</v>
      </c>
      <c r="I7" s="38">
        <v>11.551</v>
      </c>
      <c r="J7" s="4" t="s">
        <v>96</v>
      </c>
      <c r="K7" s="20">
        <v>44400.876388888886</v>
      </c>
      <c r="L7" s="16" t="s">
        <v>78</v>
      </c>
    </row>
    <row r="8" spans="1:12" x14ac:dyDescent="0.25">
      <c r="A8" s="4" t="s">
        <v>110</v>
      </c>
      <c r="B8" s="4">
        <v>223.25</v>
      </c>
      <c r="C8" s="4">
        <v>0.24010000000000001</v>
      </c>
      <c r="D8" s="4">
        <v>0.2555</v>
      </c>
      <c r="E8" s="4">
        <f t="shared" si="0"/>
        <v>1.5399999999999997E-2</v>
      </c>
      <c r="F8" s="17">
        <f t="shared" si="1"/>
        <v>68.980963045912645</v>
      </c>
      <c r="G8" s="28">
        <v>2.4792040459396865</v>
      </c>
      <c r="H8" s="29">
        <f t="shared" si="2"/>
        <v>11.105057316639133</v>
      </c>
      <c r="I8" s="38">
        <v>4.5220000000000002</v>
      </c>
      <c r="J8" s="4" t="s">
        <v>97</v>
      </c>
      <c r="K8" s="20">
        <v>44400.620833333334</v>
      </c>
      <c r="L8" s="15" t="s">
        <v>79</v>
      </c>
    </row>
    <row r="9" spans="1:12" x14ac:dyDescent="0.25">
      <c r="A9" s="4" t="s">
        <v>111</v>
      </c>
      <c r="B9" s="4">
        <v>207.27</v>
      </c>
      <c r="C9" s="4">
        <v>0.24149999999999999</v>
      </c>
      <c r="D9" s="4">
        <v>0.26729999999999998</v>
      </c>
      <c r="E9" s="4">
        <f t="shared" si="0"/>
        <v>2.579999999999999E-2</v>
      </c>
      <c r="F9" s="17">
        <f t="shared" si="1"/>
        <v>124.47532204371103</v>
      </c>
      <c r="G9" s="28">
        <v>6.1584312598812998</v>
      </c>
      <c r="H9" s="29">
        <f t="shared" si="2"/>
        <v>29.712120711541949</v>
      </c>
      <c r="I9" s="38">
        <v>4.4359999999999999</v>
      </c>
      <c r="J9" s="4" t="s">
        <v>98</v>
      </c>
      <c r="K9" s="20">
        <v>44400.626388888886</v>
      </c>
    </row>
    <row r="10" spans="1:12" x14ac:dyDescent="0.25">
      <c r="A10" s="4" t="s">
        <v>112</v>
      </c>
      <c r="B10" s="4">
        <v>254.43999999999997</v>
      </c>
      <c r="C10" s="4">
        <v>0.2419</v>
      </c>
      <c r="D10" s="4">
        <v>0.33329999999999999</v>
      </c>
      <c r="E10" s="4">
        <f t="shared" si="0"/>
        <v>9.1399999999999981E-2</v>
      </c>
      <c r="F10" s="17">
        <f t="shared" si="1"/>
        <v>359.22024838861807</v>
      </c>
      <c r="G10" s="28">
        <v>10.503118006915519</v>
      </c>
      <c r="H10" s="29">
        <f t="shared" si="2"/>
        <v>41.279350758196514</v>
      </c>
      <c r="I10" s="38">
        <v>12.442</v>
      </c>
      <c r="J10" s="4" t="s">
        <v>100</v>
      </c>
      <c r="K10" s="20">
        <v>44400.675694444442</v>
      </c>
    </row>
    <row r="11" spans="1:12" ht="13.15" customHeight="1" x14ac:dyDescent="0.25">
      <c r="A11" s="4" t="s">
        <v>113</v>
      </c>
      <c r="B11" s="4">
        <v>315.87000000000006</v>
      </c>
      <c r="C11" s="4">
        <v>0.24010000000000001</v>
      </c>
      <c r="D11" s="4">
        <v>0.26729999999999998</v>
      </c>
      <c r="E11" s="4">
        <f t="shared" si="0"/>
        <v>2.7199999999999974E-2</v>
      </c>
      <c r="F11" s="17">
        <f t="shared" si="1"/>
        <v>86.111374932725383</v>
      </c>
      <c r="G11" s="28">
        <v>3.0083665576103797</v>
      </c>
      <c r="H11" s="29">
        <f t="shared" si="2"/>
        <v>9.5240654624066199</v>
      </c>
      <c r="I11" s="38">
        <v>12.977</v>
      </c>
      <c r="J11" s="4" t="s">
        <v>101</v>
      </c>
      <c r="K11" s="20">
        <v>44400.706944444442</v>
      </c>
    </row>
    <row r="12" spans="1:12" x14ac:dyDescent="0.25">
      <c r="A12" s="4" t="s">
        <v>114</v>
      </c>
      <c r="B12" s="4">
        <v>222.95000000000002</v>
      </c>
      <c r="C12" s="4">
        <v>0.2437</v>
      </c>
      <c r="D12" s="4">
        <v>0.252</v>
      </c>
      <c r="E12" s="4">
        <f>D12-C12</f>
        <v>8.3000000000000018E-3</v>
      </c>
      <c r="F12" s="17">
        <f>E12/B12*1000*1000</f>
        <v>37.228078044404583</v>
      </c>
      <c r="G12" s="28">
        <v>1.4577906907522695</v>
      </c>
      <c r="H12" s="29">
        <f t="shared" si="2"/>
        <v>6.5386440491243301</v>
      </c>
      <c r="I12" s="38">
        <v>13.108000000000001</v>
      </c>
      <c r="J12" s="4" t="s">
        <v>99</v>
      </c>
      <c r="K12" s="20">
        <v>44400.748611111114</v>
      </c>
    </row>
    <row r="13" spans="1:12" ht="16.149999999999999" customHeight="1" x14ac:dyDescent="0.25">
      <c r="A13" s="4" t="s">
        <v>115</v>
      </c>
      <c r="B13" s="4">
        <v>213.57</v>
      </c>
      <c r="C13" s="4">
        <v>0.24249999999999999</v>
      </c>
      <c r="D13" s="4">
        <v>0.249</v>
      </c>
      <c r="E13" s="4">
        <f t="shared" si="0"/>
        <v>6.5000000000000058E-3</v>
      </c>
      <c r="F13" s="17">
        <f t="shared" si="1"/>
        <v>30.434986187198604</v>
      </c>
      <c r="G13" s="28">
        <v>1.2189465182507433</v>
      </c>
      <c r="H13" s="29">
        <f>G13/B13*1000</f>
        <v>5.7074800685992573</v>
      </c>
      <c r="I13" s="38">
        <v>12.073</v>
      </c>
      <c r="J13" s="4" t="s">
        <v>102</v>
      </c>
      <c r="K13" s="20">
        <v>44400.842361111114</v>
      </c>
    </row>
    <row r="14" spans="1:12" ht="15.75" x14ac:dyDescent="0.25">
      <c r="A14" s="3" t="s">
        <v>10</v>
      </c>
      <c r="B14" s="3">
        <v>119.53</v>
      </c>
      <c r="C14" s="3">
        <v>0.24010000000000001</v>
      </c>
      <c r="D14" s="3">
        <v>0.247</v>
      </c>
      <c r="E14" s="3">
        <f t="shared" si="0"/>
        <v>6.8999999999999895E-3</v>
      </c>
      <c r="F14" s="18">
        <f t="shared" si="1"/>
        <v>57.726093867648203</v>
      </c>
      <c r="G14" s="30">
        <v>0.81093355630223884</v>
      </c>
      <c r="H14" s="31">
        <f>G14/B14*1000</f>
        <v>6.7843516799317234</v>
      </c>
      <c r="I14" s="39">
        <v>4.9130000000000003</v>
      </c>
      <c r="J14" s="32">
        <v>95</v>
      </c>
      <c r="K14" s="20">
        <v>44776.626388888886</v>
      </c>
    </row>
    <row r="15" spans="1:12" ht="15.75" x14ac:dyDescent="0.25">
      <c r="A15" s="3" t="s">
        <v>11</v>
      </c>
      <c r="B15" s="3">
        <v>118.59</v>
      </c>
      <c r="C15" s="3">
        <v>0.2432</v>
      </c>
      <c r="D15" s="3">
        <v>0.24890000000000001</v>
      </c>
      <c r="E15" s="3">
        <f t="shared" si="0"/>
        <v>5.7000000000000106E-3</v>
      </c>
      <c r="F15" s="18">
        <f t="shared" si="1"/>
        <v>48.064760941057514</v>
      </c>
      <c r="G15" s="30">
        <v>0.67779828329961622</v>
      </c>
      <c r="H15" s="31">
        <f t="shared" ref="H15:H77" si="3">G15/B15*1000</f>
        <v>5.7154758689570473</v>
      </c>
      <c r="I15" s="39">
        <v>6.55</v>
      </c>
      <c r="J15" s="32">
        <v>96</v>
      </c>
      <c r="K15" s="20">
        <v>44776.636805555558</v>
      </c>
    </row>
    <row r="16" spans="1:12" ht="15.75" x14ac:dyDescent="0.25">
      <c r="A16" s="3" t="s">
        <v>12</v>
      </c>
      <c r="B16" s="3">
        <v>120.51</v>
      </c>
      <c r="C16" s="3">
        <v>0.23480000000000001</v>
      </c>
      <c r="D16" s="3">
        <v>0.2369</v>
      </c>
      <c r="E16" s="3">
        <f t="shared" si="0"/>
        <v>2.0999999999999908E-3</v>
      </c>
      <c r="F16" s="18">
        <f t="shared" si="1"/>
        <v>17.425939756036765</v>
      </c>
      <c r="G16" s="30">
        <v>0.3795284226614497</v>
      </c>
      <c r="H16" s="31">
        <f t="shared" si="3"/>
        <v>3.1493521090486243</v>
      </c>
      <c r="I16" s="39">
        <v>8.0350000000000001</v>
      </c>
      <c r="J16" s="32">
        <v>97</v>
      </c>
      <c r="K16" s="20">
        <v>44776.657638888886</v>
      </c>
    </row>
    <row r="17" spans="1:11" ht="15.75" x14ac:dyDescent="0.25">
      <c r="A17" s="3" t="s">
        <v>13</v>
      </c>
      <c r="B17" s="3">
        <v>122.31</v>
      </c>
      <c r="C17" s="3">
        <v>0.23319999999999999</v>
      </c>
      <c r="D17" s="3">
        <v>0.2346</v>
      </c>
      <c r="E17" s="3">
        <f t="shared" si="0"/>
        <v>1.4000000000000123E-3</v>
      </c>
      <c r="F17" s="18">
        <f t="shared" si="1"/>
        <v>11.446324912108677</v>
      </c>
      <c r="G17" s="30">
        <v>0.25540994636617004</v>
      </c>
      <c r="H17" s="31">
        <f t="shared" si="3"/>
        <v>2.0882180227795768</v>
      </c>
      <c r="I17" s="39">
        <v>8.6910000000000007</v>
      </c>
      <c r="J17" s="32">
        <v>98</v>
      </c>
      <c r="K17" s="20">
        <v>44776.678472222222</v>
      </c>
    </row>
    <row r="18" spans="1:11" ht="15.75" x14ac:dyDescent="0.25">
      <c r="A18" s="3" t="s">
        <v>14</v>
      </c>
      <c r="B18" s="3">
        <v>121.81</v>
      </c>
      <c r="C18" s="3">
        <v>0.24129999999999999</v>
      </c>
      <c r="D18" s="3">
        <v>0.248</v>
      </c>
      <c r="E18" s="3">
        <f t="shared" si="0"/>
        <v>6.7000000000000115E-3</v>
      </c>
      <c r="F18" s="18">
        <f t="shared" si="1"/>
        <v>55.003694277973992</v>
      </c>
      <c r="G18" s="30">
        <v>0.63223097869840805</v>
      </c>
      <c r="H18" s="31">
        <f t="shared" si="3"/>
        <v>5.1903043978196211</v>
      </c>
      <c r="I18" s="39">
        <v>8.1240000000000006</v>
      </c>
      <c r="J18" s="32">
        <v>99</v>
      </c>
      <c r="K18" s="20">
        <v>44776.751388888886</v>
      </c>
    </row>
    <row r="19" spans="1:11" ht="15.75" x14ac:dyDescent="0.25">
      <c r="A19" s="3" t="s">
        <v>15</v>
      </c>
      <c r="B19" s="3">
        <v>122.5</v>
      </c>
      <c r="C19" s="3">
        <v>0.2417</v>
      </c>
      <c r="D19" s="3">
        <v>0.24249999999999999</v>
      </c>
      <c r="E19" s="3">
        <f t="shared" si="0"/>
        <v>7.9999999999999516E-4</v>
      </c>
      <c r="F19" s="18">
        <f t="shared" si="1"/>
        <v>6.5306122448979194</v>
      </c>
      <c r="G19" s="30">
        <v>0.26461862273170189</v>
      </c>
      <c r="H19" s="31">
        <f>G19/B19*1000</f>
        <v>2.1601520222996071</v>
      </c>
      <c r="I19" s="39">
        <v>8.0730000000000004</v>
      </c>
      <c r="J19" s="32">
        <v>100</v>
      </c>
      <c r="K19" s="20">
        <v>44776.761805555558</v>
      </c>
    </row>
    <row r="20" spans="1:11" ht="15.75" x14ac:dyDescent="0.25">
      <c r="A20" s="3" t="s">
        <v>16</v>
      </c>
      <c r="B20" s="3">
        <v>117.35</v>
      </c>
      <c r="C20" s="3">
        <v>0.23710000000000001</v>
      </c>
      <c r="D20" s="3">
        <v>0.2424</v>
      </c>
      <c r="E20" s="3">
        <f t="shared" si="0"/>
        <v>5.2999999999999992E-3</v>
      </c>
      <c r="F20" s="18">
        <f t="shared" si="1"/>
        <v>45.164039198977413</v>
      </c>
      <c r="G20" s="30">
        <v>0.64059153994189177</v>
      </c>
      <c r="H20" s="31">
        <f t="shared" si="3"/>
        <v>5.4588115887677189</v>
      </c>
      <c r="I20" s="39">
        <v>3.1280000000000001</v>
      </c>
      <c r="J20" s="32">
        <v>101</v>
      </c>
      <c r="K20" s="20">
        <v>44776.793055555558</v>
      </c>
    </row>
    <row r="21" spans="1:11" ht="15.75" x14ac:dyDescent="0.25">
      <c r="A21" s="8" t="s">
        <v>5</v>
      </c>
      <c r="B21" s="8">
        <v>117.93</v>
      </c>
      <c r="C21" s="8">
        <v>0.24030000000000001</v>
      </c>
      <c r="D21" s="8">
        <v>0.24129999999999999</v>
      </c>
      <c r="E21" s="8">
        <f t="shared" si="0"/>
        <v>9.9999999999997313E-4</v>
      </c>
      <c r="F21" s="10">
        <f t="shared" si="1"/>
        <v>8.4796065462560257</v>
      </c>
      <c r="G21" s="27">
        <v>0.17978326915702031</v>
      </c>
      <c r="H21" s="33">
        <f t="shared" si="3"/>
        <v>1.5244913860512195</v>
      </c>
      <c r="I21" s="40">
        <v>3.359</v>
      </c>
      <c r="J21" s="34">
        <v>102</v>
      </c>
      <c r="K21" s="20">
        <v>44781.571527777778</v>
      </c>
    </row>
    <row r="22" spans="1:11" ht="15.75" x14ac:dyDescent="0.25">
      <c r="A22" s="8" t="s">
        <v>6</v>
      </c>
      <c r="B22" s="8">
        <v>121</v>
      </c>
      <c r="C22" s="8">
        <v>0.24199999999999999</v>
      </c>
      <c r="D22" s="8">
        <v>0.24329999999999999</v>
      </c>
      <c r="E22" s="8">
        <f t="shared" si="0"/>
        <v>1.2999999999999956E-3</v>
      </c>
      <c r="F22" s="10">
        <f t="shared" si="1"/>
        <v>10.743801652892525</v>
      </c>
      <c r="G22" s="27">
        <v>0.20670824007668936</v>
      </c>
      <c r="H22" s="33">
        <f t="shared" si="3"/>
        <v>1.7083325626172676</v>
      </c>
      <c r="I22" s="40">
        <v>3.4239999999999999</v>
      </c>
      <c r="J22" s="34">
        <v>103</v>
      </c>
      <c r="K22" s="20">
        <v>44781.581944444442</v>
      </c>
    </row>
    <row r="23" spans="1:11" ht="15.75" x14ac:dyDescent="0.25">
      <c r="A23" s="8" t="s">
        <v>7</v>
      </c>
      <c r="B23" s="8">
        <v>120.98</v>
      </c>
      <c r="C23" s="8">
        <v>0.23780000000000001</v>
      </c>
      <c r="D23" s="8">
        <v>0.2402</v>
      </c>
      <c r="E23" s="8">
        <f t="shared" si="0"/>
        <v>2.3999999999999855E-3</v>
      </c>
      <c r="F23" s="10">
        <f t="shared" si="1"/>
        <v>19.837989750371843</v>
      </c>
      <c r="G23" s="27">
        <v>0.37004991918953345</v>
      </c>
      <c r="H23" s="33">
        <f t="shared" si="3"/>
        <v>3.0587693766699737</v>
      </c>
      <c r="I23" s="40">
        <v>3.9</v>
      </c>
      <c r="J23" s="34">
        <v>104</v>
      </c>
      <c r="K23" s="20">
        <v>44781.592361111114</v>
      </c>
    </row>
    <row r="24" spans="1:11" ht="15.75" x14ac:dyDescent="0.25">
      <c r="A24" s="8" t="s">
        <v>23</v>
      </c>
      <c r="B24" s="8">
        <v>122.22</v>
      </c>
      <c r="C24" s="8">
        <v>0.2427</v>
      </c>
      <c r="D24" s="8">
        <v>0.2487</v>
      </c>
      <c r="E24" s="8">
        <f t="shared" si="0"/>
        <v>6.0000000000000053E-3</v>
      </c>
      <c r="F24" s="10">
        <f t="shared" si="1"/>
        <v>49.091801669121296</v>
      </c>
      <c r="G24" s="27">
        <v>0.65572150300064624</v>
      </c>
      <c r="H24" s="33">
        <f t="shared" si="3"/>
        <v>5.365091662580971</v>
      </c>
      <c r="I24" s="40">
        <v>5.2789999999999999</v>
      </c>
      <c r="J24" s="34">
        <v>105</v>
      </c>
      <c r="K24" s="20">
        <v>44781.602777777778</v>
      </c>
    </row>
    <row r="25" spans="1:11" ht="15.75" x14ac:dyDescent="0.25">
      <c r="A25" s="8" t="s">
        <v>24</v>
      </c>
      <c r="B25" s="8">
        <v>121.52</v>
      </c>
      <c r="C25" s="8">
        <v>0.23899999999999999</v>
      </c>
      <c r="D25" s="8">
        <v>0.24329999999999999</v>
      </c>
      <c r="E25" s="8">
        <f t="shared" si="0"/>
        <v>4.2999999999999983E-3</v>
      </c>
      <c r="F25" s="10">
        <f t="shared" si="1"/>
        <v>35.385121790651731</v>
      </c>
      <c r="G25" s="27">
        <v>0.62239773814796806</v>
      </c>
      <c r="H25" s="33">
        <f t="shared" si="3"/>
        <v>5.1217720387423311</v>
      </c>
      <c r="I25" s="40">
        <v>7.2069999999999999</v>
      </c>
      <c r="J25" s="34">
        <v>106</v>
      </c>
      <c r="K25" s="20">
        <v>44781.613194444442</v>
      </c>
    </row>
    <row r="26" spans="1:11" ht="15.75" x14ac:dyDescent="0.25">
      <c r="A26" s="8" t="s">
        <v>25</v>
      </c>
      <c r="B26" s="8">
        <v>122.46</v>
      </c>
      <c r="C26" s="8">
        <v>0.23760000000000001</v>
      </c>
      <c r="D26" s="8">
        <v>0.24049999999999999</v>
      </c>
      <c r="E26" s="8">
        <f t="shared" si="0"/>
        <v>2.8999999999999859E-3</v>
      </c>
      <c r="F26" s="10">
        <f t="shared" si="1"/>
        <v>23.681202025150956</v>
      </c>
      <c r="G26" s="27">
        <v>0.27757088646634936</v>
      </c>
      <c r="H26" s="33">
        <f t="shared" si="3"/>
        <v>2.2666249098999622</v>
      </c>
      <c r="I26" s="40">
        <v>7.75</v>
      </c>
      <c r="J26" s="34">
        <v>107</v>
      </c>
      <c r="K26" s="20">
        <v>44781.640972222223</v>
      </c>
    </row>
    <row r="27" spans="1:11" ht="15.75" x14ac:dyDescent="0.25">
      <c r="A27" s="8" t="s">
        <v>26</v>
      </c>
      <c r="B27" s="8">
        <v>121.35</v>
      </c>
      <c r="C27" s="8">
        <v>0.24160000000000001</v>
      </c>
      <c r="D27" s="8">
        <v>0.24279999999999999</v>
      </c>
      <c r="E27" s="8">
        <f t="shared" si="0"/>
        <v>1.1999999999999789E-3</v>
      </c>
      <c r="F27" s="10">
        <f t="shared" si="1"/>
        <v>9.8887515451172572</v>
      </c>
      <c r="G27" s="27">
        <v>0.23932675048380125</v>
      </c>
      <c r="H27" s="33">
        <f t="shared" si="3"/>
        <v>1.9722023113621858</v>
      </c>
      <c r="I27" s="40">
        <v>8.41</v>
      </c>
      <c r="J27" s="34">
        <v>108</v>
      </c>
      <c r="K27" s="20">
        <v>44781.675694444442</v>
      </c>
    </row>
    <row r="28" spans="1:11" ht="15.75" x14ac:dyDescent="0.25">
      <c r="A28" s="8" t="s">
        <v>27</v>
      </c>
      <c r="B28" s="8">
        <v>119.95</v>
      </c>
      <c r="C28" s="8">
        <v>0.24410000000000001</v>
      </c>
      <c r="D28" s="10">
        <v>0.24505360250000002</v>
      </c>
      <c r="E28" s="10">
        <f t="shared" si="0"/>
        <v>9.5360250000001145E-4</v>
      </c>
      <c r="F28" s="10">
        <f t="shared" si="1"/>
        <v>7.9500000000000943</v>
      </c>
      <c r="G28" s="27">
        <v>0.18463063927826467</v>
      </c>
      <c r="H28" s="33">
        <f t="shared" si="3"/>
        <v>1.5392300064882425</v>
      </c>
      <c r="I28" s="40">
        <v>2.7050000000000001</v>
      </c>
      <c r="J28" s="35">
        <v>110</v>
      </c>
      <c r="K28" s="20">
        <v>44781.696527777778</v>
      </c>
    </row>
    <row r="29" spans="1:11" ht="15.75" x14ac:dyDescent="0.25">
      <c r="A29" s="8" t="s">
        <v>28</v>
      </c>
      <c r="B29" s="8">
        <v>122.53</v>
      </c>
      <c r="C29" s="8">
        <v>0.2424</v>
      </c>
      <c r="D29" s="8">
        <v>0.2429</v>
      </c>
      <c r="E29" s="8">
        <f t="shared" si="0"/>
        <v>5.0000000000000044E-4</v>
      </c>
      <c r="F29" s="10">
        <f t="shared" si="1"/>
        <v>4.080633314290381</v>
      </c>
      <c r="G29" s="27">
        <v>0.18608289987021998</v>
      </c>
      <c r="H29" s="33">
        <f>G29/B29*1000</f>
        <v>1.5186721608603606</v>
      </c>
      <c r="I29" s="40">
        <v>8.4209999999999994</v>
      </c>
      <c r="J29" s="34">
        <v>111</v>
      </c>
      <c r="K29" s="20">
        <v>44781.706944444442</v>
      </c>
    </row>
    <row r="30" spans="1:11" ht="15.75" x14ac:dyDescent="0.25">
      <c r="A30" s="8" t="s">
        <v>29</v>
      </c>
      <c r="B30" s="8">
        <v>121.54</v>
      </c>
      <c r="C30" s="8">
        <v>0.23649999999999999</v>
      </c>
      <c r="D30" s="8">
        <v>0.23669999999999999</v>
      </c>
      <c r="E30" s="8">
        <f t="shared" si="0"/>
        <v>2.0000000000000573E-4</v>
      </c>
      <c r="F30" s="10">
        <f t="shared" si="1"/>
        <v>1.6455487905216861</v>
      </c>
      <c r="G30" s="27">
        <v>0.19585625568188858</v>
      </c>
      <c r="H30" s="33">
        <f t="shared" si="3"/>
        <v>1.6114551232671432</v>
      </c>
      <c r="I30" s="40">
        <v>8.1829999999999998</v>
      </c>
      <c r="J30" s="34">
        <v>112</v>
      </c>
      <c r="K30" s="20">
        <v>44781.727777777778</v>
      </c>
    </row>
    <row r="31" spans="1:11" ht="15.75" x14ac:dyDescent="0.25">
      <c r="A31" s="8" t="s">
        <v>30</v>
      </c>
      <c r="B31" s="8">
        <v>118.38</v>
      </c>
      <c r="C31" s="8">
        <v>0.23619999999999999</v>
      </c>
      <c r="D31" s="8">
        <v>0.23630000000000001</v>
      </c>
      <c r="E31" s="8">
        <f t="shared" si="0"/>
        <v>1.0000000000001674E-4</v>
      </c>
      <c r="F31" s="10">
        <f t="shared" si="1"/>
        <v>0.84473728670397652</v>
      </c>
      <c r="G31" s="27">
        <v>0.20604215861937406</v>
      </c>
      <c r="H31" s="33">
        <f t="shared" si="3"/>
        <v>1.7405149401873126</v>
      </c>
      <c r="I31" s="40">
        <v>2.742</v>
      </c>
      <c r="J31" s="34">
        <v>113</v>
      </c>
      <c r="K31" s="20">
        <v>44781.748611111114</v>
      </c>
    </row>
    <row r="32" spans="1:11" ht="15.75" x14ac:dyDescent="0.25">
      <c r="A32" s="8" t="s">
        <v>8</v>
      </c>
      <c r="B32" s="8">
        <v>122.39</v>
      </c>
      <c r="C32" s="8">
        <v>0.23980000000000001</v>
      </c>
      <c r="D32" s="8">
        <v>0.24049999999999999</v>
      </c>
      <c r="E32" s="8">
        <f t="shared" si="0"/>
        <v>6.9999999999997842E-4</v>
      </c>
      <c r="F32" s="10">
        <f t="shared" si="1"/>
        <v>5.7194215213659483</v>
      </c>
      <c r="G32" s="27">
        <v>0.18269018151077018</v>
      </c>
      <c r="H32" s="33">
        <f t="shared" si="3"/>
        <v>1.4926887941071181</v>
      </c>
      <c r="I32" s="40">
        <v>8.0850000000000009</v>
      </c>
      <c r="J32" s="34">
        <v>114</v>
      </c>
      <c r="K32" s="20">
        <v>44781.759027777778</v>
      </c>
    </row>
    <row r="33" spans="1:11" x14ac:dyDescent="0.25">
      <c r="A33" s="1" t="s">
        <v>81</v>
      </c>
      <c r="B33" s="1">
        <v>100</v>
      </c>
      <c r="C33" s="1">
        <v>0.2336</v>
      </c>
      <c r="D33" s="1">
        <v>0.25230000000000002</v>
      </c>
      <c r="E33" s="1">
        <f t="shared" si="0"/>
        <v>1.8700000000000022E-2</v>
      </c>
      <c r="F33" s="19">
        <f>E33/B33*1000*1000</f>
        <v>187.00000000000023</v>
      </c>
      <c r="G33" s="36">
        <v>2.9943162613702401</v>
      </c>
      <c r="H33" s="37">
        <f>G33/B33*1000</f>
        <v>29.943162613702402</v>
      </c>
      <c r="I33" s="41">
        <v>22.763000000000002</v>
      </c>
      <c r="J33" s="1">
        <v>439</v>
      </c>
      <c r="K33" s="20">
        <v>45136.619444444441</v>
      </c>
    </row>
    <row r="34" spans="1:11" x14ac:dyDescent="0.25">
      <c r="A34" s="1" t="s">
        <v>43</v>
      </c>
      <c r="B34" s="1">
        <v>90</v>
      </c>
      <c r="C34" s="1">
        <v>0.2349</v>
      </c>
      <c r="D34" s="1">
        <v>0.24479999999999999</v>
      </c>
      <c r="E34" s="1">
        <f t="shared" si="0"/>
        <v>9.8999999999999921E-3</v>
      </c>
      <c r="F34" s="19">
        <f t="shared" ref="F34:F50" si="4">E34/B34*1000*1000</f>
        <v>109.9999999999999</v>
      </c>
      <c r="G34" s="36">
        <v>0.86155236948536007</v>
      </c>
      <c r="H34" s="37">
        <f t="shared" si="3"/>
        <v>9.5728041053928887</v>
      </c>
      <c r="I34" s="41">
        <v>3.1280000000000001</v>
      </c>
      <c r="J34" s="1">
        <v>440</v>
      </c>
      <c r="K34" s="20">
        <v>45136.629861111112</v>
      </c>
    </row>
    <row r="35" spans="1:11" x14ac:dyDescent="0.25">
      <c r="A35" s="1" t="s">
        <v>44</v>
      </c>
      <c r="B35" s="1">
        <v>90</v>
      </c>
      <c r="C35" s="1">
        <v>0.23330000000000001</v>
      </c>
      <c r="D35" s="1">
        <v>0.23810000000000001</v>
      </c>
      <c r="E35" s="1">
        <f t="shared" si="0"/>
        <v>4.7999999999999987E-3</v>
      </c>
      <c r="F35" s="19">
        <f t="shared" si="4"/>
        <v>53.333333333333321</v>
      </c>
      <c r="G35" s="36">
        <v>0.62402435211444007</v>
      </c>
      <c r="H35" s="37">
        <f t="shared" si="3"/>
        <v>6.9336039123826678</v>
      </c>
      <c r="I35" s="41">
        <v>3.5529999999999999</v>
      </c>
      <c r="J35" s="1">
        <v>441</v>
      </c>
      <c r="K35" s="20">
        <v>45136.640277777777</v>
      </c>
    </row>
    <row r="36" spans="1:11" x14ac:dyDescent="0.25">
      <c r="A36" s="1" t="s">
        <v>45</v>
      </c>
      <c r="B36" s="1">
        <v>100</v>
      </c>
      <c r="C36" s="1">
        <v>0.23699999999999999</v>
      </c>
      <c r="D36" s="1">
        <v>0.245</v>
      </c>
      <c r="E36" s="1">
        <f t="shared" si="0"/>
        <v>8.0000000000000071E-3</v>
      </c>
      <c r="F36" s="19">
        <f t="shared" si="4"/>
        <v>80.000000000000071</v>
      </c>
      <c r="G36" s="36">
        <v>0.74831808175628001</v>
      </c>
      <c r="H36" s="37">
        <f t="shared" si="3"/>
        <v>7.4831808175628005</v>
      </c>
      <c r="I36" s="41">
        <v>3.9260000000000002</v>
      </c>
      <c r="J36" s="1">
        <v>442</v>
      </c>
      <c r="K36" s="20">
        <v>45136.650694444441</v>
      </c>
    </row>
    <row r="37" spans="1:11" x14ac:dyDescent="0.25">
      <c r="A37" s="1" t="s">
        <v>46</v>
      </c>
      <c r="B37" s="1">
        <v>90</v>
      </c>
      <c r="C37" s="1">
        <v>0.2404</v>
      </c>
      <c r="D37" s="1">
        <v>0.24429999999999999</v>
      </c>
      <c r="E37" s="1">
        <f t="shared" si="0"/>
        <v>3.8999999999999868E-3</v>
      </c>
      <c r="F37" s="19">
        <f t="shared" si="4"/>
        <v>43.333333333333179</v>
      </c>
      <c r="G37" s="36">
        <v>0.53337838091197998</v>
      </c>
      <c r="H37" s="37">
        <f t="shared" si="3"/>
        <v>5.9264264545775553</v>
      </c>
      <c r="I37" s="41">
        <v>4.1580000000000004</v>
      </c>
      <c r="J37" s="1">
        <v>443</v>
      </c>
      <c r="K37" s="20">
        <v>45136.661111111112</v>
      </c>
    </row>
    <row r="38" spans="1:11" x14ac:dyDescent="0.25">
      <c r="A38" s="1" t="s">
        <v>82</v>
      </c>
      <c r="B38" s="1">
        <v>90</v>
      </c>
      <c r="C38" s="1">
        <v>0.23810000000000001</v>
      </c>
      <c r="D38" s="1">
        <v>0.24640000000000001</v>
      </c>
      <c r="E38" s="1">
        <v>8.3000000000000018E-3</v>
      </c>
      <c r="F38" s="19">
        <f t="shared" si="4"/>
        <v>92.222222222222243</v>
      </c>
      <c r="G38" s="36">
        <v>0.74561143823581988</v>
      </c>
      <c r="H38" s="37">
        <f t="shared" si="3"/>
        <v>8.2845715359535532</v>
      </c>
      <c r="I38" s="41">
        <v>4.5709999999999997</v>
      </c>
      <c r="J38" s="1">
        <v>444</v>
      </c>
      <c r="K38" s="20">
        <v>45136.671527777777</v>
      </c>
    </row>
    <row r="39" spans="1:11" x14ac:dyDescent="0.25">
      <c r="A39" s="1" t="s">
        <v>83</v>
      </c>
      <c r="B39" s="1">
        <v>90</v>
      </c>
      <c r="C39" s="1">
        <v>0.24129999999999999</v>
      </c>
      <c r="D39" s="1">
        <v>0.246</v>
      </c>
      <c r="E39" s="1">
        <v>4.7000000000000097E-3</v>
      </c>
      <c r="F39" s="19">
        <f t="shared" si="4"/>
        <v>52.222222222222328</v>
      </c>
      <c r="G39" s="36">
        <v>0.93145151485235989</v>
      </c>
      <c r="H39" s="37">
        <f t="shared" si="3"/>
        <v>10.349461276137333</v>
      </c>
      <c r="I39" s="41">
        <v>5.15</v>
      </c>
      <c r="J39" s="1">
        <v>445</v>
      </c>
      <c r="K39" s="20">
        <v>45136.681944444441</v>
      </c>
    </row>
    <row r="40" spans="1:11" x14ac:dyDescent="0.25">
      <c r="A40" s="1" t="s">
        <v>47</v>
      </c>
      <c r="B40" s="1">
        <v>90</v>
      </c>
      <c r="C40" s="1">
        <v>0.23680000000000001</v>
      </c>
      <c r="D40" s="1">
        <v>0.24579999999999999</v>
      </c>
      <c r="E40" s="1">
        <f t="shared" ref="E40:E49" si="5">D40-C40</f>
        <v>8.9999999999999802E-3</v>
      </c>
      <c r="F40" s="19">
        <f t="shared" si="4"/>
        <v>99.999999999999773</v>
      </c>
      <c r="G40" s="36">
        <v>1.2514082631396399</v>
      </c>
      <c r="H40" s="37">
        <f t="shared" si="3"/>
        <v>13.904536257107111</v>
      </c>
      <c r="I40" s="41">
        <v>8.5760000000000005</v>
      </c>
      <c r="J40" s="1">
        <v>446</v>
      </c>
      <c r="K40" s="20">
        <v>45136.636111111111</v>
      </c>
    </row>
    <row r="41" spans="1:11" x14ac:dyDescent="0.25">
      <c r="A41" s="1" t="s">
        <v>48</v>
      </c>
      <c r="B41" s="1">
        <v>90</v>
      </c>
      <c r="C41" s="1">
        <v>0.23449999999999999</v>
      </c>
      <c r="D41" s="1">
        <v>0.24399999999999999</v>
      </c>
      <c r="E41" s="1">
        <f t="shared" si="5"/>
        <v>9.5000000000000084E-3</v>
      </c>
      <c r="F41" s="19">
        <f t="shared" si="4"/>
        <v>105.55555555555566</v>
      </c>
      <c r="G41" s="36">
        <v>1.00317261593764</v>
      </c>
      <c r="H41" s="37">
        <f t="shared" si="3"/>
        <v>11.14636239930711</v>
      </c>
      <c r="I41" s="41">
        <v>4.0309999999999997</v>
      </c>
      <c r="J41" s="1">
        <v>447</v>
      </c>
      <c r="K41" s="20">
        <v>45136.646527777775</v>
      </c>
    </row>
    <row r="42" spans="1:11" x14ac:dyDescent="0.25">
      <c r="A42" s="1" t="s">
        <v>49</v>
      </c>
      <c r="B42" s="1">
        <v>90</v>
      </c>
      <c r="C42" s="1">
        <v>0.23069999999999999</v>
      </c>
      <c r="D42" s="1">
        <v>0.23519999999999999</v>
      </c>
      <c r="E42" s="1">
        <f t="shared" si="5"/>
        <v>4.500000000000004E-3</v>
      </c>
      <c r="F42" s="19">
        <f t="shared" si="4"/>
        <v>50.000000000000043</v>
      </c>
      <c r="G42" s="36">
        <v>0.67066455629003996</v>
      </c>
      <c r="H42" s="37">
        <f t="shared" si="3"/>
        <v>7.4518284032226658</v>
      </c>
      <c r="I42" s="41">
        <v>4.1859999999999999</v>
      </c>
      <c r="J42" s="1">
        <v>448</v>
      </c>
      <c r="K42" s="20">
        <v>45136.656944444447</v>
      </c>
    </row>
    <row r="43" spans="1:11" x14ac:dyDescent="0.25">
      <c r="A43" s="1" t="s">
        <v>50</v>
      </c>
      <c r="B43" s="1">
        <v>90</v>
      </c>
      <c r="C43" s="1">
        <v>0.23380000000000001</v>
      </c>
      <c r="D43" s="1">
        <v>0.24</v>
      </c>
      <c r="E43" s="1">
        <f t="shared" si="5"/>
        <v>6.1999999999999833E-3</v>
      </c>
      <c r="F43" s="19">
        <f t="shared" si="4"/>
        <v>68.888888888888701</v>
      </c>
      <c r="G43" s="36">
        <v>0.67506134010429997</v>
      </c>
      <c r="H43" s="37">
        <f t="shared" si="3"/>
        <v>7.5006815567144436</v>
      </c>
      <c r="I43" s="41">
        <v>4.351</v>
      </c>
      <c r="J43" s="1">
        <v>449</v>
      </c>
      <c r="K43" s="20">
        <v>45136.667361111111</v>
      </c>
    </row>
    <row r="44" spans="1:11" x14ac:dyDescent="0.25">
      <c r="A44" s="1" t="s">
        <v>51</v>
      </c>
      <c r="B44" s="1">
        <v>90</v>
      </c>
      <c r="C44" s="1">
        <v>0.23300000000000001</v>
      </c>
      <c r="D44" s="1">
        <v>0.23760000000000001</v>
      </c>
      <c r="E44" s="1">
        <f t="shared" si="5"/>
        <v>4.599999999999993E-3</v>
      </c>
      <c r="F44" s="19">
        <f t="shared" si="4"/>
        <v>51.111111111111029</v>
      </c>
      <c r="G44" s="36">
        <v>0</v>
      </c>
      <c r="H44" s="37"/>
      <c r="I44" s="41">
        <v>4.3109999999999999</v>
      </c>
      <c r="J44" s="1">
        <v>450</v>
      </c>
      <c r="K44" s="20">
        <v>45136.677777777775</v>
      </c>
    </row>
    <row r="45" spans="1:11" x14ac:dyDescent="0.25">
      <c r="A45" s="1" t="s">
        <v>52</v>
      </c>
      <c r="B45" s="1">
        <v>95</v>
      </c>
      <c r="C45" s="1">
        <v>0.2319</v>
      </c>
      <c r="D45" s="1">
        <v>0.23619999999999999</v>
      </c>
      <c r="E45" s="1">
        <f t="shared" si="5"/>
        <v>4.2999999999999983E-3</v>
      </c>
      <c r="F45" s="19">
        <f t="shared" si="4"/>
        <v>45.263157894736821</v>
      </c>
      <c r="G45" s="36">
        <v>0.56237380340356002</v>
      </c>
      <c r="H45" s="37">
        <f t="shared" si="3"/>
        <v>5.9197242463532636</v>
      </c>
      <c r="I45" s="41">
        <v>4.4720000000000004</v>
      </c>
      <c r="J45" s="1">
        <v>451</v>
      </c>
      <c r="K45" s="20">
        <v>45136.688194444447</v>
      </c>
    </row>
    <row r="46" spans="1:11" x14ac:dyDescent="0.25">
      <c r="A46" s="1" t="s">
        <v>53</v>
      </c>
      <c r="B46" s="1">
        <v>120</v>
      </c>
      <c r="C46" s="1">
        <v>0.2349</v>
      </c>
      <c r="D46" s="1">
        <v>0.23730000000000001</v>
      </c>
      <c r="E46" s="1">
        <f t="shared" si="5"/>
        <v>2.4000000000000132E-3</v>
      </c>
      <c r="F46" s="19">
        <f t="shared" si="4"/>
        <v>20.00000000000011</v>
      </c>
      <c r="G46" s="36">
        <v>0</v>
      </c>
      <c r="H46" s="37"/>
      <c r="I46" s="41">
        <v>4.6630000000000003</v>
      </c>
      <c r="J46" s="1">
        <v>452</v>
      </c>
      <c r="K46" s="20">
        <v>45136.698611111111</v>
      </c>
    </row>
    <row r="47" spans="1:11" x14ac:dyDescent="0.25">
      <c r="A47" s="1" t="s">
        <v>54</v>
      </c>
      <c r="B47" s="1">
        <v>110</v>
      </c>
      <c r="C47" s="1">
        <v>0.2311</v>
      </c>
      <c r="D47" s="1">
        <v>0.23280000000000001</v>
      </c>
      <c r="E47" s="1">
        <f t="shared" si="5"/>
        <v>1.7000000000000071E-3</v>
      </c>
      <c r="F47" s="19">
        <f t="shared" si="4"/>
        <v>15.454545454545519</v>
      </c>
      <c r="G47" s="36">
        <v>0.32430437517212002</v>
      </c>
      <c r="H47" s="37">
        <f t="shared" si="3"/>
        <v>2.9482215924738182</v>
      </c>
      <c r="I47" s="41">
        <v>4.9740000000000002</v>
      </c>
      <c r="J47" s="1">
        <v>453</v>
      </c>
      <c r="K47" s="20">
        <v>45136.719444444447</v>
      </c>
    </row>
    <row r="48" spans="1:11" x14ac:dyDescent="0.25">
      <c r="A48" s="1" t="s">
        <v>55</v>
      </c>
      <c r="B48" s="1">
        <v>100</v>
      </c>
      <c r="C48" s="1">
        <v>0.22989999999999999</v>
      </c>
      <c r="D48" s="1">
        <v>0.23250000000000001</v>
      </c>
      <c r="E48" s="1">
        <f t="shared" si="5"/>
        <v>2.600000000000019E-3</v>
      </c>
      <c r="F48" s="19">
        <f t="shared" si="4"/>
        <v>26.000000000000188</v>
      </c>
      <c r="G48" s="36">
        <v>0</v>
      </c>
      <c r="H48" s="37"/>
      <c r="I48" s="41">
        <v>4.9390000000000001</v>
      </c>
      <c r="J48" s="1">
        <v>454</v>
      </c>
      <c r="K48" s="20">
        <v>45136.740277777775</v>
      </c>
    </row>
    <row r="49" spans="1:11" x14ac:dyDescent="0.25">
      <c r="A49" s="1" t="s">
        <v>56</v>
      </c>
      <c r="B49" s="1">
        <v>100</v>
      </c>
      <c r="C49" s="1">
        <v>0.22919999999999999</v>
      </c>
      <c r="D49" s="1">
        <v>0.23130000000000001</v>
      </c>
      <c r="E49" s="1">
        <f t="shared" si="5"/>
        <v>2.1000000000000185E-3</v>
      </c>
      <c r="F49" s="19">
        <f t="shared" si="4"/>
        <v>21.000000000000185</v>
      </c>
      <c r="G49" s="36">
        <v>0.42750517220431999</v>
      </c>
      <c r="H49" s="37">
        <f t="shared" si="3"/>
        <v>4.2750517220431998</v>
      </c>
      <c r="I49" s="41">
        <v>5.2530000000000001</v>
      </c>
      <c r="J49" s="1">
        <v>455</v>
      </c>
      <c r="K49" s="20">
        <v>45136.771527777775</v>
      </c>
    </row>
    <row r="50" spans="1:11" x14ac:dyDescent="0.25">
      <c r="A50" s="2" t="s">
        <v>18</v>
      </c>
      <c r="B50" s="2">
        <v>260</v>
      </c>
      <c r="C50" s="2">
        <v>0.2351</v>
      </c>
      <c r="D50" s="2">
        <v>0.25490000000000002</v>
      </c>
      <c r="E50" s="2">
        <f t="shared" ref="E50:E67" si="6">D50-C50</f>
        <v>1.9800000000000012E-2</v>
      </c>
      <c r="F50" s="21">
        <f t="shared" si="4"/>
        <v>76.153846153846203</v>
      </c>
      <c r="G50" s="42">
        <v>2.0222215051616801</v>
      </c>
      <c r="H50" s="43">
        <f t="shared" si="3"/>
        <v>7.7777750198526157</v>
      </c>
      <c r="I50" s="44">
        <v>4.4729999999999999</v>
      </c>
      <c r="J50" s="2">
        <v>456</v>
      </c>
      <c r="K50" s="20">
        <v>45151.78125</v>
      </c>
    </row>
    <row r="51" spans="1:11" x14ac:dyDescent="0.25">
      <c r="A51" s="2" t="s">
        <v>19</v>
      </c>
      <c r="B51" s="2">
        <v>250</v>
      </c>
      <c r="C51" s="2">
        <v>0.2339</v>
      </c>
      <c r="D51" s="2">
        <v>0.2442</v>
      </c>
      <c r="E51" s="2">
        <f t="shared" si="6"/>
        <v>1.0300000000000004E-2</v>
      </c>
      <c r="F51" s="21">
        <f t="shared" ref="F51:F67" si="7">E51/B51*1000*1000</f>
        <v>41.200000000000017</v>
      </c>
      <c r="G51" s="42">
        <v>1.1336781018156401</v>
      </c>
      <c r="H51" s="43">
        <f t="shared" si="3"/>
        <v>4.5347124072625604</v>
      </c>
      <c r="I51" s="44">
        <v>3.9359999999999999</v>
      </c>
      <c r="J51" s="2">
        <v>457</v>
      </c>
      <c r="K51" s="20">
        <v>45151.790277777778</v>
      </c>
    </row>
    <row r="52" spans="1:11" x14ac:dyDescent="0.25">
      <c r="A52" s="2" t="s">
        <v>20</v>
      </c>
      <c r="B52" s="2">
        <v>250</v>
      </c>
      <c r="C52" s="2">
        <v>0.23799999999999999</v>
      </c>
      <c r="D52" s="2">
        <v>0.24790000000000001</v>
      </c>
      <c r="E52" s="2">
        <f t="shared" si="6"/>
        <v>9.9000000000000199E-3</v>
      </c>
      <c r="F52" s="21">
        <f t="shared" si="7"/>
        <v>39.60000000000008</v>
      </c>
      <c r="G52" s="42">
        <v>1.4723180433944001</v>
      </c>
      <c r="H52" s="43">
        <f t="shared" si="3"/>
        <v>5.8892721735776004</v>
      </c>
      <c r="I52" s="44">
        <v>3.9430000000000001</v>
      </c>
      <c r="J52" s="2">
        <v>458</v>
      </c>
      <c r="K52" s="20">
        <v>45151.793055555558</v>
      </c>
    </row>
    <row r="53" spans="1:11" x14ac:dyDescent="0.25">
      <c r="A53" s="2" t="s">
        <v>21</v>
      </c>
      <c r="B53" s="2">
        <v>250</v>
      </c>
      <c r="C53" s="2">
        <v>0.23469999999999999</v>
      </c>
      <c r="D53" s="2">
        <v>0.24160000000000001</v>
      </c>
      <c r="E53" s="2">
        <f t="shared" si="6"/>
        <v>6.9000000000000172E-3</v>
      </c>
      <c r="F53" s="21">
        <f t="shared" si="7"/>
        <v>27.600000000000069</v>
      </c>
      <c r="G53" s="42">
        <v>1.2008849810370801</v>
      </c>
      <c r="H53" s="43">
        <f t="shared" si="3"/>
        <v>4.8035399241483203</v>
      </c>
      <c r="I53" s="44">
        <v>4.0389999999999997</v>
      </c>
      <c r="J53" s="2">
        <v>459</v>
      </c>
      <c r="K53" s="20">
        <v>45151.798611111109</v>
      </c>
    </row>
    <row r="54" spans="1:11" x14ac:dyDescent="0.25">
      <c r="A54" s="2" t="s">
        <v>22</v>
      </c>
      <c r="B54" s="2">
        <v>240</v>
      </c>
      <c r="C54" s="2">
        <v>0.2374</v>
      </c>
      <c r="D54" s="2">
        <v>0.2424</v>
      </c>
      <c r="E54" s="2">
        <f t="shared" si="6"/>
        <v>5.0000000000000044E-3</v>
      </c>
      <c r="F54" s="21">
        <f t="shared" si="7"/>
        <v>20.833333333333353</v>
      </c>
      <c r="G54" s="42">
        <v>0.70097364508676874</v>
      </c>
      <c r="H54" s="43">
        <f t="shared" si="3"/>
        <v>2.9207235211948697</v>
      </c>
      <c r="I54" s="44">
        <v>2.786</v>
      </c>
      <c r="J54" s="2">
        <v>460</v>
      </c>
      <c r="K54" s="20">
        <v>45151.876388888886</v>
      </c>
    </row>
    <row r="55" spans="1:11" x14ac:dyDescent="0.25">
      <c r="A55" s="2" t="s">
        <v>31</v>
      </c>
      <c r="B55" s="2">
        <v>250</v>
      </c>
      <c r="C55" s="2">
        <v>0.2374</v>
      </c>
      <c r="D55" s="2">
        <v>0.2482</v>
      </c>
      <c r="E55" s="2">
        <f t="shared" si="6"/>
        <v>1.0800000000000004E-2</v>
      </c>
      <c r="F55" s="21">
        <f t="shared" si="7"/>
        <v>43.200000000000017</v>
      </c>
      <c r="G55" s="42">
        <v>1.3888700852562501</v>
      </c>
      <c r="H55" s="43">
        <f t="shared" si="3"/>
        <v>5.5554803410250004</v>
      </c>
      <c r="I55" s="44">
        <v>9.9</v>
      </c>
      <c r="J55" s="2">
        <v>461</v>
      </c>
      <c r="K55" s="20">
        <v>45151.78125</v>
      </c>
    </row>
    <row r="56" spans="1:11" x14ac:dyDescent="0.25">
      <c r="A56" s="2" t="s">
        <v>32</v>
      </c>
      <c r="B56" s="2">
        <v>260</v>
      </c>
      <c r="C56" s="2">
        <v>0.2281</v>
      </c>
      <c r="D56" s="2">
        <v>0.23569999999999999</v>
      </c>
      <c r="E56" s="2">
        <f t="shared" si="6"/>
        <v>7.5999999999999956E-3</v>
      </c>
      <c r="F56" s="21">
        <f t="shared" si="7"/>
        <v>29.230769230769212</v>
      </c>
      <c r="G56" s="42">
        <v>1.3211677463677476</v>
      </c>
      <c r="H56" s="43">
        <f t="shared" si="3"/>
        <v>5.0814144091067215</v>
      </c>
      <c r="I56" s="44">
        <v>3.379</v>
      </c>
      <c r="J56" s="2">
        <v>462</v>
      </c>
      <c r="K56" s="20">
        <v>45151.791666666664</v>
      </c>
    </row>
    <row r="57" spans="1:11" x14ac:dyDescent="0.25">
      <c r="A57" s="2" t="s">
        <v>33</v>
      </c>
      <c r="B57" s="2">
        <v>260</v>
      </c>
      <c r="C57" s="2">
        <v>0.2384</v>
      </c>
      <c r="D57" s="2">
        <v>0.24490000000000001</v>
      </c>
      <c r="E57" s="2">
        <f t="shared" si="6"/>
        <v>6.5000000000000058E-3</v>
      </c>
      <c r="F57" s="21">
        <f t="shared" si="7"/>
        <v>25.000000000000021</v>
      </c>
      <c r="G57" s="42">
        <v>1.243345664936105</v>
      </c>
      <c r="H57" s="43">
        <f t="shared" si="3"/>
        <v>4.7820987112927114</v>
      </c>
      <c r="I57" s="44">
        <v>3.1909999999999998</v>
      </c>
      <c r="J57" s="2">
        <v>463</v>
      </c>
      <c r="K57" s="20">
        <v>45151.802083333336</v>
      </c>
    </row>
    <row r="58" spans="1:11" x14ac:dyDescent="0.25">
      <c r="A58" s="2" t="s">
        <v>34</v>
      </c>
      <c r="B58" s="2">
        <v>240</v>
      </c>
      <c r="C58" s="2">
        <v>0.23130000000000001</v>
      </c>
      <c r="D58" s="2">
        <v>0.23699999999999999</v>
      </c>
      <c r="E58" s="2">
        <f t="shared" si="6"/>
        <v>5.6999999999999829E-3</v>
      </c>
      <c r="F58" s="21">
        <f t="shared" si="7"/>
        <v>23.749999999999932</v>
      </c>
      <c r="G58" s="42">
        <v>0.96877795638711239</v>
      </c>
      <c r="H58" s="43">
        <f t="shared" si="3"/>
        <v>4.036574818279635</v>
      </c>
      <c r="I58" s="44">
        <v>3.1280000000000001</v>
      </c>
      <c r="J58" s="2">
        <v>464</v>
      </c>
      <c r="K58" s="20">
        <v>45151.8125</v>
      </c>
    </row>
    <row r="59" spans="1:11" x14ac:dyDescent="0.25">
      <c r="A59" s="2" t="s">
        <v>35</v>
      </c>
      <c r="B59" s="2">
        <v>90</v>
      </c>
      <c r="C59" s="2">
        <v>0.23319999999999999</v>
      </c>
      <c r="D59" s="2">
        <v>0.23519999999999999</v>
      </c>
      <c r="E59" s="2">
        <f t="shared" si="6"/>
        <v>2.0000000000000018E-3</v>
      </c>
      <c r="F59" s="21">
        <f t="shared" si="7"/>
        <v>22.222222222222243</v>
      </c>
      <c r="G59" s="42">
        <v>0</v>
      </c>
      <c r="H59" s="43"/>
      <c r="I59" s="44">
        <v>3.3319999999999999</v>
      </c>
      <c r="J59" s="2">
        <v>465</v>
      </c>
      <c r="K59" s="20">
        <v>45151.822916666664</v>
      </c>
    </row>
    <row r="60" spans="1:11" x14ac:dyDescent="0.25">
      <c r="A60" s="2" t="s">
        <v>36</v>
      </c>
      <c r="B60" s="2">
        <v>90</v>
      </c>
      <c r="C60" s="2">
        <v>0.2298</v>
      </c>
      <c r="D60" s="2">
        <v>0.23180000000000001</v>
      </c>
      <c r="E60" s="2">
        <f t="shared" si="6"/>
        <v>2.0000000000000018E-3</v>
      </c>
      <c r="F60" s="21">
        <f t="shared" si="7"/>
        <v>22.222222222222243</v>
      </c>
      <c r="G60" s="42">
        <v>0.46451618132306999</v>
      </c>
      <c r="H60" s="43">
        <f t="shared" si="3"/>
        <v>5.1612909035896664</v>
      </c>
      <c r="I60" s="44">
        <v>3.1309999999999998</v>
      </c>
      <c r="J60" s="2">
        <v>466</v>
      </c>
      <c r="K60" s="20">
        <v>45151.833333333336</v>
      </c>
    </row>
    <row r="61" spans="1:11" x14ac:dyDescent="0.25">
      <c r="A61" s="2" t="s">
        <v>37</v>
      </c>
      <c r="B61" s="2">
        <v>105</v>
      </c>
      <c r="C61" s="2">
        <v>0.2283</v>
      </c>
      <c r="D61" s="2">
        <v>0.2306</v>
      </c>
      <c r="E61" s="2">
        <f t="shared" si="6"/>
        <v>2.2999999999999965E-3</v>
      </c>
      <c r="F61" s="21">
        <f t="shared" si="7"/>
        <v>21.90476190476187</v>
      </c>
      <c r="G61" s="42">
        <v>0</v>
      </c>
      <c r="H61" s="43"/>
      <c r="I61" s="44">
        <v>3.286</v>
      </c>
      <c r="J61" s="2">
        <v>467</v>
      </c>
      <c r="K61" s="20">
        <v>45151.84375</v>
      </c>
    </row>
    <row r="62" spans="1:11" x14ac:dyDescent="0.25">
      <c r="A62" s="2" t="s">
        <v>38</v>
      </c>
      <c r="B62" s="2">
        <v>100</v>
      </c>
      <c r="C62" s="2">
        <v>0.22900000000000001</v>
      </c>
      <c r="D62" s="2">
        <v>0.23080000000000001</v>
      </c>
      <c r="E62" s="2">
        <f t="shared" si="6"/>
        <v>1.799999999999996E-3</v>
      </c>
      <c r="F62" s="21">
        <f t="shared" si="7"/>
        <v>17.999999999999961</v>
      </c>
      <c r="G62" s="42">
        <v>0.51244036630343248</v>
      </c>
      <c r="H62" s="43">
        <f t="shared" si="3"/>
        <v>5.1244036630343253</v>
      </c>
      <c r="I62" s="44">
        <v>2.9169999999999998</v>
      </c>
      <c r="J62" s="2">
        <v>468</v>
      </c>
      <c r="K62" s="20">
        <v>45151.854166666664</v>
      </c>
    </row>
    <row r="63" spans="1:11" x14ac:dyDescent="0.25">
      <c r="A63" s="2" t="s">
        <v>39</v>
      </c>
      <c r="B63" s="2">
        <v>200</v>
      </c>
      <c r="C63" s="2">
        <v>0.23630000000000001</v>
      </c>
      <c r="D63" s="2">
        <v>0.2404</v>
      </c>
      <c r="E63" s="2">
        <f t="shared" si="6"/>
        <v>4.0999999999999925E-3</v>
      </c>
      <c r="F63" s="21">
        <f t="shared" si="7"/>
        <v>20.499999999999964</v>
      </c>
      <c r="G63" s="42">
        <v>0</v>
      </c>
      <c r="H63" s="43"/>
      <c r="I63" s="44">
        <v>2.548</v>
      </c>
      <c r="J63" s="2">
        <v>469</v>
      </c>
      <c r="K63" s="20">
        <v>45151.864583333336</v>
      </c>
    </row>
    <row r="64" spans="1:11" x14ac:dyDescent="0.25">
      <c r="A64" s="2" t="s">
        <v>40</v>
      </c>
      <c r="B64" s="2">
        <v>215</v>
      </c>
      <c r="C64" s="2">
        <v>0.2341</v>
      </c>
      <c r="D64" s="2">
        <v>0.23680000000000001</v>
      </c>
      <c r="E64" s="2">
        <f t="shared" si="6"/>
        <v>2.7000000000000079E-3</v>
      </c>
      <c r="F64" s="21">
        <f t="shared" si="7"/>
        <v>12.558139534883757</v>
      </c>
      <c r="G64" s="42">
        <v>0</v>
      </c>
      <c r="H64" s="43"/>
      <c r="I64" s="44">
        <v>2.5049999999999999</v>
      </c>
      <c r="J64" s="2">
        <v>470</v>
      </c>
      <c r="K64" s="20">
        <v>45151.875</v>
      </c>
    </row>
    <row r="65" spans="1:11" x14ac:dyDescent="0.25">
      <c r="A65" s="2" t="s">
        <v>41</v>
      </c>
      <c r="B65" s="2">
        <v>250</v>
      </c>
      <c r="C65" s="2">
        <v>0.22919999999999999</v>
      </c>
      <c r="D65" s="2">
        <v>0.23369999999999999</v>
      </c>
      <c r="E65" s="2">
        <f t="shared" si="6"/>
        <v>4.500000000000004E-3</v>
      </c>
      <c r="F65" s="21">
        <f t="shared" si="7"/>
        <v>18.000000000000014</v>
      </c>
      <c r="G65" s="42">
        <v>0</v>
      </c>
      <c r="H65" s="43"/>
      <c r="I65" s="44">
        <v>2.508</v>
      </c>
      <c r="J65" s="2">
        <v>471</v>
      </c>
      <c r="K65" s="20">
        <v>45151.885416666664</v>
      </c>
    </row>
    <row r="66" spans="1:11" x14ac:dyDescent="0.25">
      <c r="A66" s="2" t="s">
        <v>42</v>
      </c>
      <c r="B66" s="2">
        <v>250</v>
      </c>
      <c r="C66" s="2">
        <v>0.23760000000000001</v>
      </c>
      <c r="D66" s="2">
        <v>0.24260000000000001</v>
      </c>
      <c r="E66" s="2">
        <f t="shared" si="6"/>
        <v>5.0000000000000044E-3</v>
      </c>
      <c r="F66" s="21">
        <f t="shared" si="7"/>
        <v>20.000000000000018</v>
      </c>
      <c r="G66" s="42">
        <v>0.81061645169894003</v>
      </c>
      <c r="H66" s="43">
        <f t="shared" si="3"/>
        <v>3.2424658067957601</v>
      </c>
      <c r="I66" s="44">
        <v>2.4820000000000002</v>
      </c>
      <c r="J66" s="2">
        <v>472</v>
      </c>
      <c r="K66" s="20">
        <v>45151.895833333336</v>
      </c>
    </row>
    <row r="67" spans="1:11" x14ac:dyDescent="0.25">
      <c r="A67" s="2" t="s">
        <v>84</v>
      </c>
      <c r="B67" s="2">
        <v>120</v>
      </c>
      <c r="C67" s="2">
        <v>0.2329</v>
      </c>
      <c r="D67" s="2">
        <v>0.2349</v>
      </c>
      <c r="E67" s="2">
        <f t="shared" si="6"/>
        <v>2.0000000000000018E-3</v>
      </c>
      <c r="F67" s="21">
        <f t="shared" si="7"/>
        <v>16.666666666666682</v>
      </c>
      <c r="G67" s="42">
        <v>0</v>
      </c>
      <c r="H67" s="43"/>
      <c r="I67" s="44">
        <v>3.1379999999999999</v>
      </c>
      <c r="J67" s="2">
        <v>473</v>
      </c>
      <c r="K67" s="20">
        <v>45151.90625</v>
      </c>
    </row>
    <row r="68" spans="1:11" x14ac:dyDescent="0.25">
      <c r="A68" s="13" t="s">
        <v>57</v>
      </c>
      <c r="B68" s="13">
        <v>190</v>
      </c>
      <c r="C68" s="13">
        <v>0.23569999999999999</v>
      </c>
      <c r="D68" s="13">
        <v>0.2505</v>
      </c>
      <c r="E68" s="13">
        <f t="shared" ref="E68:E75" si="8">D68-C68</f>
        <v>1.4800000000000008E-2</v>
      </c>
      <c r="F68" s="22">
        <f t="shared" ref="F68:F75" si="9">E68/B68*1000*1000</f>
        <v>77.894736842105289</v>
      </c>
      <c r="G68" s="45">
        <v>2.4072173760262299</v>
      </c>
      <c r="H68" s="46">
        <f t="shared" si="3"/>
        <v>12.669565136980157</v>
      </c>
      <c r="I68" s="47">
        <v>3.1040000000000001</v>
      </c>
      <c r="J68" s="13">
        <v>476</v>
      </c>
      <c r="K68" s="20">
        <v>45166.513888888891</v>
      </c>
    </row>
    <row r="69" spans="1:11" x14ac:dyDescent="0.25">
      <c r="A69" s="13" t="s">
        <v>58</v>
      </c>
      <c r="B69" s="13">
        <v>200</v>
      </c>
      <c r="C69" s="13">
        <v>0.23250000000000001</v>
      </c>
      <c r="D69" s="13">
        <v>0.24110000000000001</v>
      </c>
      <c r="E69" s="13">
        <f t="shared" si="8"/>
        <v>8.5999999999999965E-3</v>
      </c>
      <c r="F69" s="22">
        <f t="shared" si="9"/>
        <v>42.999999999999986</v>
      </c>
      <c r="G69" s="45">
        <v>1.25426288924901</v>
      </c>
      <c r="H69" s="46">
        <f t="shared" si="3"/>
        <v>6.2713144462450501</v>
      </c>
      <c r="I69" s="47">
        <v>3.3050000000000002</v>
      </c>
      <c r="J69" s="13">
        <v>477</v>
      </c>
      <c r="K69" s="20">
        <v>45166.524305555555</v>
      </c>
    </row>
    <row r="70" spans="1:11" x14ac:dyDescent="0.25">
      <c r="A70" s="13" t="s">
        <v>59</v>
      </c>
      <c r="B70" s="13">
        <v>200</v>
      </c>
      <c r="C70" s="13">
        <v>0.2399</v>
      </c>
      <c r="D70" s="13">
        <v>0.24709999999999999</v>
      </c>
      <c r="E70" s="13">
        <f t="shared" si="8"/>
        <v>7.1999999999999842E-3</v>
      </c>
      <c r="F70" s="22">
        <f t="shared" si="9"/>
        <v>35.999999999999922</v>
      </c>
      <c r="G70" s="45">
        <v>1.13454858480537</v>
      </c>
      <c r="H70" s="46">
        <f t="shared" si="3"/>
        <v>5.6727429240268501</v>
      </c>
      <c r="I70" s="47">
        <v>3.3359999999999999</v>
      </c>
      <c r="J70" s="13">
        <v>478</v>
      </c>
      <c r="K70" s="20">
        <v>45166.534722222219</v>
      </c>
    </row>
    <row r="71" spans="1:11" x14ac:dyDescent="0.25">
      <c r="A71" s="13" t="s">
        <v>60</v>
      </c>
      <c r="B71" s="13">
        <v>215</v>
      </c>
      <c r="C71" s="13">
        <v>0.2288</v>
      </c>
      <c r="D71" s="13">
        <v>0.23499999999999999</v>
      </c>
      <c r="E71" s="13">
        <f t="shared" si="8"/>
        <v>6.1999999999999833E-3</v>
      </c>
      <c r="F71" s="22">
        <f t="shared" si="9"/>
        <v>28.837209302325505</v>
      </c>
      <c r="G71" s="45">
        <v>0.99956471075489506</v>
      </c>
      <c r="H71" s="46">
        <f t="shared" si="3"/>
        <v>4.6491381895576511</v>
      </c>
      <c r="I71" s="47">
        <v>3.1989999999999998</v>
      </c>
      <c r="J71" s="13">
        <v>479</v>
      </c>
      <c r="K71" s="20">
        <v>45166.545138888891</v>
      </c>
    </row>
    <row r="72" spans="1:11" x14ac:dyDescent="0.25">
      <c r="A72" s="13" t="s">
        <v>61</v>
      </c>
      <c r="B72" s="13">
        <v>220</v>
      </c>
      <c r="C72" s="13">
        <v>0.23330000000000001</v>
      </c>
      <c r="D72" s="13">
        <v>0.23980000000000001</v>
      </c>
      <c r="E72" s="13">
        <f t="shared" si="8"/>
        <v>6.5000000000000058E-3</v>
      </c>
      <c r="F72" s="22">
        <f t="shared" si="9"/>
        <v>29.545454545454572</v>
      </c>
      <c r="G72" s="45">
        <v>1.1932436975735501</v>
      </c>
      <c r="H72" s="46">
        <f t="shared" si="3"/>
        <v>5.4238349889706816</v>
      </c>
      <c r="I72" s="47">
        <v>3.226</v>
      </c>
      <c r="J72" s="13">
        <v>480</v>
      </c>
      <c r="K72" s="20">
        <v>45166.555555555555</v>
      </c>
    </row>
    <row r="73" spans="1:11" x14ac:dyDescent="0.25">
      <c r="A73" s="13" t="s">
        <v>62</v>
      </c>
      <c r="B73" s="13">
        <v>190</v>
      </c>
      <c r="C73" s="13">
        <v>0.2316</v>
      </c>
      <c r="D73" s="13">
        <v>0.23669999999999999</v>
      </c>
      <c r="E73" s="13">
        <f t="shared" si="8"/>
        <v>5.0999999999999934E-3</v>
      </c>
      <c r="F73" s="22">
        <f t="shared" si="9"/>
        <v>26.842105263157862</v>
      </c>
      <c r="G73" s="45">
        <v>0.85419170023644253</v>
      </c>
      <c r="H73" s="46">
        <f t="shared" si="3"/>
        <v>4.495745790718118</v>
      </c>
      <c r="I73" s="47">
        <v>3.206</v>
      </c>
      <c r="J73" s="13">
        <v>481</v>
      </c>
      <c r="K73" s="20">
        <v>45166.586805555555</v>
      </c>
    </row>
    <row r="74" spans="1:11" x14ac:dyDescent="0.25">
      <c r="A74" s="13" t="s">
        <v>63</v>
      </c>
      <c r="B74" s="13">
        <v>200</v>
      </c>
      <c r="C74" s="13">
        <v>0.22189999999999999</v>
      </c>
      <c r="D74" s="13">
        <v>0.22670000000000001</v>
      </c>
      <c r="E74" s="13">
        <f t="shared" si="8"/>
        <v>4.8000000000000265E-3</v>
      </c>
      <c r="F74" s="22">
        <f t="shared" si="9"/>
        <v>24.000000000000131</v>
      </c>
      <c r="G74" s="45">
        <v>0</v>
      </c>
      <c r="H74" s="46"/>
      <c r="I74" s="47">
        <v>3.262</v>
      </c>
      <c r="J74" s="13">
        <v>482</v>
      </c>
      <c r="K74" s="20">
        <v>45166.607638888891</v>
      </c>
    </row>
    <row r="75" spans="1:11" x14ac:dyDescent="0.25">
      <c r="A75" s="13" t="s">
        <v>85</v>
      </c>
      <c r="B75" s="13">
        <v>140</v>
      </c>
      <c r="C75" s="13">
        <v>0.2235</v>
      </c>
      <c r="D75" s="13">
        <v>0.2268</v>
      </c>
      <c r="E75" s="13">
        <f t="shared" si="8"/>
        <v>3.2999999999999974E-3</v>
      </c>
      <c r="F75" s="22">
        <f t="shared" si="9"/>
        <v>23.571428571428555</v>
      </c>
      <c r="G75" s="45">
        <v>0</v>
      </c>
      <c r="H75" s="46"/>
      <c r="I75" s="47">
        <v>4.2779999999999996</v>
      </c>
      <c r="J75" s="13">
        <v>483</v>
      </c>
      <c r="K75" s="20">
        <v>45166.638888888891</v>
      </c>
    </row>
    <row r="76" spans="1:11" x14ac:dyDescent="0.25">
      <c r="A76" s="14" t="s">
        <v>64</v>
      </c>
      <c r="B76" s="14">
        <v>250</v>
      </c>
      <c r="C76" s="14">
        <v>0.23899999999999999</v>
      </c>
      <c r="D76" s="14">
        <v>0.24840000000000001</v>
      </c>
      <c r="E76" s="14">
        <f t="shared" ref="E76:E87" si="10">D76-C76</f>
        <v>9.4000000000000195E-3</v>
      </c>
      <c r="F76" s="23">
        <f t="shared" ref="F76:F87" si="11">E76/B76*1000*1000</f>
        <v>37.60000000000008</v>
      </c>
      <c r="G76" s="27">
        <v>1.3348544727944125</v>
      </c>
      <c r="H76" s="33">
        <f t="shared" si="3"/>
        <v>5.33941789117765</v>
      </c>
      <c r="I76" s="48">
        <v>5.4009999999999998</v>
      </c>
      <c r="J76" s="8">
        <v>484</v>
      </c>
      <c r="K76" s="20">
        <v>45183.744444444441</v>
      </c>
    </row>
    <row r="77" spans="1:11" x14ac:dyDescent="0.25">
      <c r="A77" s="14" t="s">
        <v>65</v>
      </c>
      <c r="B77" s="14">
        <v>260</v>
      </c>
      <c r="C77" s="14">
        <v>0.2356</v>
      </c>
      <c r="D77" s="14">
        <v>0.24379999999999999</v>
      </c>
      <c r="E77" s="14">
        <f t="shared" si="10"/>
        <v>8.1999999999999851E-3</v>
      </c>
      <c r="F77" s="23">
        <f t="shared" si="11"/>
        <v>31.53846153846148</v>
      </c>
      <c r="G77" s="27">
        <v>1.1993748002938676</v>
      </c>
      <c r="H77" s="33">
        <f t="shared" si="3"/>
        <v>4.6129800011302597</v>
      </c>
      <c r="I77" s="48">
        <v>4.8639999999999999</v>
      </c>
      <c r="J77" s="8">
        <v>485</v>
      </c>
      <c r="K77" s="20">
        <v>45183.754861111112</v>
      </c>
    </row>
    <row r="78" spans="1:11" x14ac:dyDescent="0.25">
      <c r="A78" s="14" t="s">
        <v>66</v>
      </c>
      <c r="B78" s="14">
        <v>260</v>
      </c>
      <c r="C78" s="14">
        <v>0.23300000000000001</v>
      </c>
      <c r="D78" s="14">
        <v>0.24030000000000001</v>
      </c>
      <c r="E78" s="14">
        <f t="shared" si="10"/>
        <v>7.3000000000000009E-3</v>
      </c>
      <c r="F78" s="23">
        <f t="shared" si="11"/>
        <v>28.076923076923084</v>
      </c>
      <c r="G78" s="27">
        <v>1.1397797508432075</v>
      </c>
      <c r="H78" s="33">
        <f t="shared" ref="H78:H87" si="12">G78/B78*1000</f>
        <v>4.3837682724738745</v>
      </c>
      <c r="I78" s="48">
        <v>4.6319999999999997</v>
      </c>
      <c r="J78" s="8">
        <v>486</v>
      </c>
      <c r="K78" s="20">
        <v>45183.765277777777</v>
      </c>
    </row>
    <row r="79" spans="1:11" x14ac:dyDescent="0.25">
      <c r="A79" s="14" t="s">
        <v>67</v>
      </c>
      <c r="B79" s="14">
        <v>250</v>
      </c>
      <c r="C79" s="14">
        <v>0.2351</v>
      </c>
      <c r="D79" s="14">
        <v>0.24099999999999999</v>
      </c>
      <c r="E79" s="14">
        <f t="shared" si="10"/>
        <v>5.8999999999999886E-3</v>
      </c>
      <c r="F79" s="23">
        <f t="shared" si="11"/>
        <v>23.599999999999955</v>
      </c>
      <c r="G79" s="27">
        <v>1.0275484426400625</v>
      </c>
      <c r="H79" s="33">
        <f t="shared" si="12"/>
        <v>4.11019377056025</v>
      </c>
      <c r="I79" s="48">
        <v>4.1559999999999997</v>
      </c>
      <c r="J79" s="8">
        <v>487</v>
      </c>
      <c r="K79" s="20">
        <v>45183.775694444441</v>
      </c>
    </row>
    <row r="80" spans="1:11" x14ac:dyDescent="0.25">
      <c r="A80" s="14" t="s">
        <v>68</v>
      </c>
      <c r="B80" s="14">
        <v>255</v>
      </c>
      <c r="C80" s="14">
        <v>0.23710000000000001</v>
      </c>
      <c r="D80" s="14">
        <v>0.24249999999999999</v>
      </c>
      <c r="E80" s="14">
        <f t="shared" si="10"/>
        <v>5.3999999999999881E-3</v>
      </c>
      <c r="F80" s="23">
        <f t="shared" si="11"/>
        <v>21.176470588235247</v>
      </c>
      <c r="G80" s="27">
        <v>0</v>
      </c>
      <c r="H80" s="33"/>
      <c r="I80" s="48">
        <v>3.2890000000000001</v>
      </c>
      <c r="J80" s="8">
        <v>488</v>
      </c>
      <c r="K80" s="20">
        <v>45183.786111111112</v>
      </c>
    </row>
    <row r="81" spans="1:11" x14ac:dyDescent="0.25">
      <c r="A81" s="14" t="s">
        <v>69</v>
      </c>
      <c r="B81" s="14">
        <v>255</v>
      </c>
      <c r="C81" s="14">
        <v>0.23580000000000001</v>
      </c>
      <c r="D81" s="14">
        <v>0.2417</v>
      </c>
      <c r="E81" s="14">
        <f t="shared" si="10"/>
        <v>5.8999999999999886E-3</v>
      </c>
      <c r="F81" s="23">
        <f t="shared" si="11"/>
        <v>23.137254901960741</v>
      </c>
      <c r="G81" s="27">
        <v>0.95984970198324493</v>
      </c>
      <c r="H81" s="33">
        <f t="shared" si="12"/>
        <v>3.7641164783656667</v>
      </c>
      <c r="I81" s="48">
        <v>8.7289999999999992</v>
      </c>
      <c r="J81" s="8">
        <v>489</v>
      </c>
      <c r="K81" s="20">
        <v>45183.79791666667</v>
      </c>
    </row>
    <row r="82" spans="1:11" x14ac:dyDescent="0.25">
      <c r="A82" s="14" t="s">
        <v>70</v>
      </c>
      <c r="B82" s="14">
        <v>260</v>
      </c>
      <c r="C82" s="14">
        <v>0.23469999999999999</v>
      </c>
      <c r="D82" s="14">
        <v>0.2427</v>
      </c>
      <c r="E82" s="14">
        <f t="shared" si="10"/>
        <v>8.0000000000000071E-3</v>
      </c>
      <c r="F82" s="23">
        <f t="shared" si="11"/>
        <v>30.769230769230795</v>
      </c>
      <c r="G82" s="27">
        <v>1.3355551810699124</v>
      </c>
      <c r="H82" s="33">
        <f t="shared" si="12"/>
        <v>5.1367506964227401</v>
      </c>
      <c r="I82" s="48">
        <v>8.7050000000000001</v>
      </c>
      <c r="J82" s="8">
        <v>490</v>
      </c>
      <c r="K82" s="20">
        <v>45183.739583333336</v>
      </c>
    </row>
    <row r="83" spans="1:11" x14ac:dyDescent="0.25">
      <c r="A83" s="14" t="s">
        <v>71</v>
      </c>
      <c r="B83" s="14">
        <v>265</v>
      </c>
      <c r="C83" s="14">
        <v>0.24060000000000001</v>
      </c>
      <c r="D83" s="14">
        <v>0.24859999999999999</v>
      </c>
      <c r="E83" s="14">
        <f t="shared" si="10"/>
        <v>7.9999999999999793E-3</v>
      </c>
      <c r="F83" s="23">
        <f t="shared" si="11"/>
        <v>30.188679245282938</v>
      </c>
      <c r="G83" s="27">
        <v>1.1113195373306999</v>
      </c>
      <c r="H83" s="33">
        <f t="shared" si="12"/>
        <v>4.1936586314366027</v>
      </c>
      <c r="I83" s="48">
        <v>3.1509999999999998</v>
      </c>
      <c r="J83" s="8">
        <v>491</v>
      </c>
      <c r="K83" s="20">
        <v>45183.75</v>
      </c>
    </row>
    <row r="84" spans="1:11" x14ac:dyDescent="0.25">
      <c r="A84" s="14" t="s">
        <v>72</v>
      </c>
      <c r="B84" s="14">
        <v>240</v>
      </c>
      <c r="C84" s="14">
        <v>0.2384</v>
      </c>
      <c r="D84" s="14">
        <v>0.24540000000000001</v>
      </c>
      <c r="E84" s="14">
        <f t="shared" si="10"/>
        <v>7.0000000000000062E-3</v>
      </c>
      <c r="F84" s="23">
        <f t="shared" si="11"/>
        <v>29.166666666666696</v>
      </c>
      <c r="G84" s="27">
        <v>1.0044204297234951</v>
      </c>
      <c r="H84" s="33">
        <f t="shared" si="12"/>
        <v>4.1850851238478963</v>
      </c>
      <c r="I84" s="48">
        <v>2.3119999999999998</v>
      </c>
      <c r="J84" s="8">
        <v>492</v>
      </c>
      <c r="K84" s="20">
        <v>45183.760416666664</v>
      </c>
    </row>
    <row r="85" spans="1:11" x14ac:dyDescent="0.25">
      <c r="A85" s="14" t="s">
        <v>73</v>
      </c>
      <c r="B85" s="14">
        <v>240</v>
      </c>
      <c r="C85" s="14">
        <v>0.23369999999999999</v>
      </c>
      <c r="D85" s="14">
        <v>0.23860000000000001</v>
      </c>
      <c r="E85" s="14">
        <f t="shared" si="10"/>
        <v>4.9000000000000155E-3</v>
      </c>
      <c r="F85" s="23">
        <f t="shared" si="11"/>
        <v>20.416666666666732</v>
      </c>
      <c r="G85" s="27">
        <v>0.71189129550605745</v>
      </c>
      <c r="H85" s="33">
        <f t="shared" si="12"/>
        <v>2.9662137312752392</v>
      </c>
      <c r="I85" s="48">
        <v>0.74299999999999999</v>
      </c>
      <c r="J85" s="8">
        <v>493</v>
      </c>
      <c r="K85" s="20">
        <v>45183.78125</v>
      </c>
    </row>
    <row r="86" spans="1:11" x14ac:dyDescent="0.25">
      <c r="A86" s="14" t="s">
        <v>74</v>
      </c>
      <c r="B86" s="14">
        <v>250</v>
      </c>
      <c r="C86" s="14">
        <v>0.2354</v>
      </c>
      <c r="D86" s="14">
        <v>0.2399</v>
      </c>
      <c r="E86" s="14">
        <f t="shared" si="10"/>
        <v>4.500000000000004E-3</v>
      </c>
      <c r="F86" s="23">
        <f t="shared" si="11"/>
        <v>18.000000000000014</v>
      </c>
      <c r="G86" s="27">
        <v>0</v>
      </c>
      <c r="H86" s="33"/>
      <c r="I86" s="48"/>
      <c r="J86" s="8">
        <v>494</v>
      </c>
      <c r="K86" s="20">
        <v>45183.802083333336</v>
      </c>
    </row>
    <row r="87" spans="1:11" x14ac:dyDescent="0.25">
      <c r="A87" s="14" t="s">
        <v>87</v>
      </c>
      <c r="B87" s="14">
        <v>100</v>
      </c>
      <c r="C87" s="14">
        <v>0.23680000000000001</v>
      </c>
      <c r="D87" s="14">
        <v>0.2387</v>
      </c>
      <c r="E87" s="14">
        <f t="shared" si="10"/>
        <v>1.899999999999985E-3</v>
      </c>
      <c r="F87" s="23">
        <f t="shared" si="11"/>
        <v>18.999999999999851</v>
      </c>
      <c r="G87" s="27">
        <v>0.47449365167919122</v>
      </c>
      <c r="H87" s="33">
        <f t="shared" si="12"/>
        <v>4.7449365167919124</v>
      </c>
      <c r="I87" s="48">
        <v>0</v>
      </c>
      <c r="J87" s="8">
        <v>495</v>
      </c>
      <c r="K87" s="20">
        <v>45183.833333333336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2025-02-04T19:41:41Z</dcterms:created>
  <dcterms:modified xsi:type="dcterms:W3CDTF">2026-05-20T04:36:07Z</dcterms:modified>
</cp:coreProperties>
</file>