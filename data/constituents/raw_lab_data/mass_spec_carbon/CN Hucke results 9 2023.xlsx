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col\Documents\hysteresis\data\constituents\raw_lab_data\mass_spec_carbon\"/>
    </mc:Choice>
  </mc:AlternateContent>
  <xr:revisionPtr revIDLastSave="0" documentId="13_ncr:1_{3A577690-7A4A-437B-B8CD-B8107A73EDBF}" xr6:coauthVersionLast="47" xr6:coauthVersionMax="47" xr10:uidLastSave="{00000000-0000-0000-0000-000000000000}"/>
  <bookViews>
    <workbookView xWindow="14295" yWindow="0" windowWidth="14610" windowHeight="15585" firstSheet="5" activeTab="10" xr2:uid="{00000000-000D-0000-FFFF-FFFF00000000}"/>
  </bookViews>
  <sheets>
    <sheet name="Calibration-run 10" sheetId="28" r:id="rId1"/>
    <sheet name="Calibration-run 9" sheetId="27" r:id="rId2"/>
    <sheet name="Calibration-run 8" sheetId="24" r:id="rId3"/>
    <sheet name="Calibration-run 7" sheetId="26" r:id="rId4"/>
    <sheet name="Calibration-run 6" sheetId="25" r:id="rId5"/>
    <sheet name="Calibration-run 5" sheetId="23" r:id="rId6"/>
    <sheet name="Calibration-run 4" sheetId="22" r:id="rId7"/>
    <sheet name="Calibration-run 3" sheetId="21" r:id="rId8"/>
    <sheet name="Calibration-run 2" sheetId="20" r:id="rId9"/>
    <sheet name="Calibration-run 1" sheetId="19" r:id="rId10"/>
    <sheet name="Results" sheetId="5" r:id="rId11"/>
  </sheets>
  <externalReferences>
    <externalReference r:id="rId12"/>
    <externalReference r:id="rId13"/>
  </externalReferences>
  <definedNames>
    <definedName name="R_2Element" localSheetId="9">[1]Experiment!$H$25</definedName>
    <definedName name="R_2Element" localSheetId="0">[1]Experiment!$H$25</definedName>
    <definedName name="R_2Element" localSheetId="8">[1]Experiment!$H$25</definedName>
    <definedName name="R_2Element" localSheetId="7">[1]Experiment!$H$25</definedName>
    <definedName name="R_2Element" localSheetId="6">[1]Experiment!$H$25</definedName>
    <definedName name="R_2Element" localSheetId="5">[1]Experiment!$H$25</definedName>
    <definedName name="R_2Element" localSheetId="4">[1]Experiment!$H$25</definedName>
    <definedName name="R_2Element" localSheetId="3">[1]Experiment!$H$25</definedName>
    <definedName name="R_2Element" localSheetId="2">[1]Experiment!$H$25</definedName>
    <definedName name="R_2Element" localSheetId="1">[1]Experiment!$H$25</definedName>
    <definedName name="R_2Element">[2]Experiment!$H$25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44" i="5" l="1"/>
  <c r="AA145" i="5"/>
  <c r="AA143" i="5"/>
  <c r="AA142" i="5"/>
  <c r="AA141" i="5"/>
  <c r="AA140" i="5"/>
  <c r="AA139" i="5"/>
  <c r="AA138" i="5"/>
  <c r="AA137" i="5"/>
  <c r="AA136" i="5"/>
  <c r="AA135" i="5"/>
  <c r="AA134" i="5"/>
  <c r="AA133" i="5"/>
  <c r="AA132" i="5"/>
  <c r="AA104" i="5"/>
  <c r="AA103" i="5"/>
  <c r="AA102" i="5"/>
  <c r="AA101" i="5"/>
  <c r="AA100" i="5"/>
  <c r="AA99" i="5"/>
  <c r="AA98" i="5"/>
  <c r="AA97" i="5"/>
  <c r="AA96" i="5"/>
  <c r="AA95" i="5"/>
  <c r="V93" i="5"/>
  <c r="AA94" i="5"/>
  <c r="AA64" i="5"/>
  <c r="AA63" i="5"/>
  <c r="AA62" i="5"/>
  <c r="AA61" i="5"/>
  <c r="AA60" i="5"/>
  <c r="AA59" i="5"/>
  <c r="V57" i="5"/>
  <c r="AA58" i="5"/>
  <c r="V70" i="5"/>
  <c r="AA57" i="5"/>
  <c r="AA56" i="5"/>
  <c r="AA55" i="5"/>
  <c r="V55" i="5"/>
  <c r="V319" i="5"/>
  <c r="W319" i="5"/>
  <c r="V320" i="5"/>
  <c r="W320" i="5"/>
  <c r="V321" i="5"/>
  <c r="W321" i="5"/>
  <c r="V322" i="5"/>
  <c r="W322" i="5"/>
  <c r="V323" i="5"/>
  <c r="W323" i="5"/>
  <c r="V324" i="5"/>
  <c r="W324" i="5"/>
  <c r="V325" i="5"/>
  <c r="W325" i="5"/>
  <c r="V326" i="5"/>
  <c r="W326" i="5"/>
  <c r="V327" i="5"/>
  <c r="W327" i="5"/>
  <c r="V328" i="5"/>
  <c r="W328" i="5"/>
  <c r="W318" i="5"/>
  <c r="V318" i="5"/>
  <c r="Q95" i="28"/>
  <c r="I84" i="28"/>
  <c r="R95" i="28"/>
  <c r="P95" i="28"/>
  <c r="N95" i="28"/>
  <c r="L95" i="28"/>
  <c r="K95" i="28"/>
  <c r="J95" i="28"/>
  <c r="I95" i="28"/>
  <c r="H95" i="28"/>
  <c r="R87" i="28"/>
  <c r="S87" i="28" s="1"/>
  <c r="P87" i="28"/>
  <c r="N87" i="28"/>
  <c r="M87" i="28"/>
  <c r="K87" i="28"/>
  <c r="J87" i="28"/>
  <c r="I87" i="28"/>
  <c r="H87" i="28"/>
  <c r="R94" i="28"/>
  <c r="S94" i="28" s="1"/>
  <c r="Q94" i="28"/>
  <c r="P94" i="28"/>
  <c r="N94" i="28"/>
  <c r="O94" i="28" s="1"/>
  <c r="L94" i="28"/>
  <c r="K94" i="28"/>
  <c r="M94" i="28" s="1"/>
  <c r="J94" i="28"/>
  <c r="I94" i="28"/>
  <c r="H94" i="28"/>
  <c r="R86" i="28"/>
  <c r="S86" i="28" s="1"/>
  <c r="P86" i="28"/>
  <c r="N86" i="28"/>
  <c r="O86" i="28" s="1"/>
  <c r="K86" i="28"/>
  <c r="M86" i="28" s="1"/>
  <c r="J86" i="28"/>
  <c r="I86" i="28"/>
  <c r="H86" i="28"/>
  <c r="R93" i="28"/>
  <c r="S93" i="28" s="1"/>
  <c r="P93" i="28"/>
  <c r="N93" i="28"/>
  <c r="L93" i="28"/>
  <c r="Q93" i="28" s="1"/>
  <c r="K93" i="28"/>
  <c r="M93" i="28" s="1"/>
  <c r="J93" i="28"/>
  <c r="I93" i="28"/>
  <c r="H93" i="28"/>
  <c r="R92" i="28"/>
  <c r="S92" i="28" s="1"/>
  <c r="P92" i="28"/>
  <c r="N92" i="28"/>
  <c r="L92" i="28"/>
  <c r="Q92" i="28" s="1"/>
  <c r="K92" i="28"/>
  <c r="M92" i="28" s="1"/>
  <c r="J92" i="28"/>
  <c r="I92" i="28"/>
  <c r="H92" i="28"/>
  <c r="R91" i="28"/>
  <c r="S91" i="28" s="1"/>
  <c r="P91" i="28"/>
  <c r="N91" i="28"/>
  <c r="L91" i="28"/>
  <c r="Q91" i="28" s="1"/>
  <c r="K91" i="28"/>
  <c r="M91" i="28" s="1"/>
  <c r="J91" i="28"/>
  <c r="I91" i="28"/>
  <c r="H91" i="28"/>
  <c r="R90" i="28"/>
  <c r="S90" i="28" s="1"/>
  <c r="P90" i="28"/>
  <c r="N90" i="28"/>
  <c r="L90" i="28"/>
  <c r="Q90" i="28" s="1"/>
  <c r="K90" i="28"/>
  <c r="M90" i="28" s="1"/>
  <c r="J90" i="28"/>
  <c r="I90" i="28"/>
  <c r="H90" i="28"/>
  <c r="R89" i="28"/>
  <c r="S89" i="28" s="1"/>
  <c r="P89" i="28"/>
  <c r="N89" i="28"/>
  <c r="O89" i="28" s="1"/>
  <c r="L89" i="28"/>
  <c r="Q89" i="28" s="1"/>
  <c r="K89" i="28"/>
  <c r="M89" i="28" s="1"/>
  <c r="J89" i="28"/>
  <c r="I89" i="28"/>
  <c r="H89" i="28"/>
  <c r="R88" i="28"/>
  <c r="S88" i="28" s="1"/>
  <c r="P88" i="28"/>
  <c r="N88" i="28"/>
  <c r="M88" i="28"/>
  <c r="L88" i="28"/>
  <c r="Q88" i="28" s="1"/>
  <c r="K88" i="28"/>
  <c r="J88" i="28"/>
  <c r="I88" i="28"/>
  <c r="H88" i="28"/>
  <c r="H84" i="28" s="1"/>
  <c r="P81" i="28"/>
  <c r="O81" i="28"/>
  <c r="N81" i="28"/>
  <c r="L81" i="28"/>
  <c r="Q81" i="28" s="1"/>
  <c r="K81" i="28"/>
  <c r="M81" i="28" s="1"/>
  <c r="P42" i="28"/>
  <c r="N42" i="28"/>
  <c r="O42" i="28" s="1"/>
  <c r="L42" i="28"/>
  <c r="Q42" i="28" s="1"/>
  <c r="K42" i="28"/>
  <c r="M42" i="28" s="1"/>
  <c r="P54" i="28"/>
  <c r="N54" i="28"/>
  <c r="O54" i="28" s="1"/>
  <c r="K54" i="28"/>
  <c r="M54" i="28" s="1"/>
  <c r="P53" i="28"/>
  <c r="N53" i="28"/>
  <c r="O53" i="28" s="1"/>
  <c r="L53" i="28"/>
  <c r="Q53" i="28" s="1"/>
  <c r="K53" i="28"/>
  <c r="M53" i="28" s="1"/>
  <c r="F22" i="28"/>
  <c r="F23" i="28"/>
  <c r="D18" i="28"/>
  <c r="D17" i="28"/>
  <c r="D15" i="28"/>
  <c r="R82" i="28"/>
  <c r="S82" i="28" s="1"/>
  <c r="P82" i="28"/>
  <c r="N82" i="28"/>
  <c r="M82" i="28"/>
  <c r="J82" i="28"/>
  <c r="H82" i="28"/>
  <c r="R81" i="28"/>
  <c r="J81" i="28"/>
  <c r="H81" i="28"/>
  <c r="R80" i="28"/>
  <c r="S80" i="28" s="1"/>
  <c r="P80" i="28"/>
  <c r="N80" i="28"/>
  <c r="M80" i="28"/>
  <c r="J80" i="28"/>
  <c r="H80" i="28"/>
  <c r="R79" i="28"/>
  <c r="S79" i="28" s="1"/>
  <c r="P79" i="28"/>
  <c r="N79" i="28"/>
  <c r="M79" i="28"/>
  <c r="J79" i="28"/>
  <c r="H79" i="28"/>
  <c r="R78" i="28"/>
  <c r="S78" i="28" s="1"/>
  <c r="P78" i="28"/>
  <c r="N78" i="28"/>
  <c r="M78" i="28"/>
  <c r="J78" i="28"/>
  <c r="H78" i="28"/>
  <c r="R77" i="28"/>
  <c r="P77" i="28"/>
  <c r="N77" i="28"/>
  <c r="O77" i="28" s="1"/>
  <c r="M77" i="28"/>
  <c r="J77" i="28"/>
  <c r="H77" i="28"/>
  <c r="R76" i="28"/>
  <c r="S76" i="28" s="1"/>
  <c r="P76" i="28"/>
  <c r="N76" i="28"/>
  <c r="M76" i="28"/>
  <c r="J76" i="28"/>
  <c r="H76" i="28"/>
  <c r="R75" i="28"/>
  <c r="S75" i="28" s="1"/>
  <c r="P75" i="28"/>
  <c r="N75" i="28"/>
  <c r="M75" i="28"/>
  <c r="J75" i="28"/>
  <c r="H75" i="28"/>
  <c r="R74" i="28"/>
  <c r="S74" i="28" s="1"/>
  <c r="P74" i="28"/>
  <c r="N74" i="28"/>
  <c r="M74" i="28"/>
  <c r="J74" i="28"/>
  <c r="H74" i="28"/>
  <c r="R73" i="28"/>
  <c r="S73" i="28" s="1"/>
  <c r="P73" i="28"/>
  <c r="N73" i="28"/>
  <c r="M73" i="28"/>
  <c r="J73" i="28"/>
  <c r="H73" i="28"/>
  <c r="R72" i="28"/>
  <c r="S72" i="28" s="1"/>
  <c r="P72" i="28"/>
  <c r="N72" i="28"/>
  <c r="M72" i="28"/>
  <c r="J72" i="28"/>
  <c r="H72" i="28"/>
  <c r="R71" i="28"/>
  <c r="S71" i="28" s="1"/>
  <c r="P71" i="28"/>
  <c r="N71" i="28"/>
  <c r="M71" i="28"/>
  <c r="J71" i="28"/>
  <c r="H71" i="28"/>
  <c r="R70" i="28"/>
  <c r="S70" i="28" s="1"/>
  <c r="P70" i="28"/>
  <c r="N70" i="28"/>
  <c r="M70" i="28"/>
  <c r="J70" i="28"/>
  <c r="H70" i="28"/>
  <c r="R69" i="28"/>
  <c r="S69" i="28" s="1"/>
  <c r="P69" i="28"/>
  <c r="N69" i="28"/>
  <c r="M69" i="28"/>
  <c r="J69" i="28"/>
  <c r="H69" i="28"/>
  <c r="R68" i="28"/>
  <c r="S68" i="28" s="1"/>
  <c r="P68" i="28"/>
  <c r="N68" i="28"/>
  <c r="M68" i="28"/>
  <c r="J68" i="28"/>
  <c r="H68" i="28"/>
  <c r="R67" i="28"/>
  <c r="S67" i="28" s="1"/>
  <c r="P67" i="28"/>
  <c r="N67" i="28"/>
  <c r="K67" i="28"/>
  <c r="M67" i="28" s="1"/>
  <c r="J67" i="28"/>
  <c r="H67" i="28"/>
  <c r="R66" i="28"/>
  <c r="S66" i="28" s="1"/>
  <c r="P66" i="28"/>
  <c r="N66" i="28"/>
  <c r="L66" i="28"/>
  <c r="Q66" i="28" s="1"/>
  <c r="K66" i="28"/>
  <c r="M66" i="28" s="1"/>
  <c r="J66" i="28"/>
  <c r="H66" i="28"/>
  <c r="R65" i="28"/>
  <c r="S65" i="28" s="1"/>
  <c r="P65" i="28"/>
  <c r="N65" i="28"/>
  <c r="M65" i="28"/>
  <c r="J65" i="28"/>
  <c r="H65" i="28"/>
  <c r="R64" i="28"/>
  <c r="S64" i="28" s="1"/>
  <c r="P64" i="28"/>
  <c r="N64" i="28"/>
  <c r="M64" i="28"/>
  <c r="J64" i="28"/>
  <c r="H64" i="28"/>
  <c r="R63" i="28"/>
  <c r="S63" i="28" s="1"/>
  <c r="P63" i="28"/>
  <c r="N63" i="28"/>
  <c r="M63" i="28"/>
  <c r="J63" i="28"/>
  <c r="H63" i="28"/>
  <c r="R62" i="28"/>
  <c r="P62" i="28"/>
  <c r="N62" i="28"/>
  <c r="O62" i="28" s="1"/>
  <c r="M62" i="28"/>
  <c r="J62" i="28"/>
  <c r="H62" i="28"/>
  <c r="R61" i="28"/>
  <c r="S61" i="28" s="1"/>
  <c r="P61" i="28"/>
  <c r="N61" i="28"/>
  <c r="M61" i="28"/>
  <c r="J61" i="28"/>
  <c r="H61" i="28"/>
  <c r="R60" i="28"/>
  <c r="P60" i="28"/>
  <c r="N60" i="28"/>
  <c r="O60" i="28" s="1"/>
  <c r="M60" i="28"/>
  <c r="J60" i="28"/>
  <c r="H60" i="28"/>
  <c r="R59" i="28"/>
  <c r="S59" i="28" s="1"/>
  <c r="P59" i="28"/>
  <c r="N59" i="28"/>
  <c r="M59" i="28"/>
  <c r="J59" i="28"/>
  <c r="H59" i="28"/>
  <c r="R58" i="28"/>
  <c r="S58" i="28" s="1"/>
  <c r="P58" i="28"/>
  <c r="N58" i="28"/>
  <c r="M58" i="28"/>
  <c r="J58" i="28"/>
  <c r="H58" i="28"/>
  <c r="R57" i="28"/>
  <c r="S57" i="28" s="1"/>
  <c r="P57" i="28"/>
  <c r="N57" i="28"/>
  <c r="M57" i="28"/>
  <c r="J57" i="28"/>
  <c r="H57" i="28"/>
  <c r="R56" i="28"/>
  <c r="S56" i="28" s="1"/>
  <c r="P56" i="28"/>
  <c r="N56" i="28"/>
  <c r="M56" i="28"/>
  <c r="J56" i="28"/>
  <c r="H56" i="28"/>
  <c r="R55" i="28"/>
  <c r="S55" i="28" s="1"/>
  <c r="P55" i="28"/>
  <c r="N55" i="28"/>
  <c r="M55" i="28"/>
  <c r="J55" i="28"/>
  <c r="H55" i="28"/>
  <c r="R54" i="28"/>
  <c r="S54" i="28" s="1"/>
  <c r="J54" i="28"/>
  <c r="H54" i="28"/>
  <c r="R53" i="28"/>
  <c r="S53" i="28" s="1"/>
  <c r="J53" i="28"/>
  <c r="H53" i="28"/>
  <c r="R52" i="28"/>
  <c r="S52" i="28" s="1"/>
  <c r="P52" i="28"/>
  <c r="N52" i="28"/>
  <c r="M52" i="28"/>
  <c r="J52" i="28"/>
  <c r="H52" i="28"/>
  <c r="R51" i="28"/>
  <c r="S51" i="28" s="1"/>
  <c r="P51" i="28"/>
  <c r="N51" i="28"/>
  <c r="M51" i="28"/>
  <c r="J51" i="28"/>
  <c r="H51" i="28"/>
  <c r="R50" i="28"/>
  <c r="S50" i="28" s="1"/>
  <c r="P50" i="28"/>
  <c r="N50" i="28"/>
  <c r="M50" i="28"/>
  <c r="J50" i="28"/>
  <c r="H50" i="28"/>
  <c r="R49" i="28"/>
  <c r="S49" i="28" s="1"/>
  <c r="P49" i="28"/>
  <c r="N49" i="28"/>
  <c r="M49" i="28"/>
  <c r="J49" i="28"/>
  <c r="H49" i="28"/>
  <c r="R48" i="28"/>
  <c r="S48" i="28" s="1"/>
  <c r="P48" i="28"/>
  <c r="N48" i="28"/>
  <c r="O48" i="28" s="1"/>
  <c r="M48" i="28"/>
  <c r="J48" i="28"/>
  <c r="H48" i="28"/>
  <c r="R47" i="28"/>
  <c r="S47" i="28" s="1"/>
  <c r="P47" i="28"/>
  <c r="N47" i="28"/>
  <c r="M47" i="28"/>
  <c r="J47" i="28"/>
  <c r="H47" i="28"/>
  <c r="R46" i="28"/>
  <c r="S46" i="28" s="1"/>
  <c r="P46" i="28"/>
  <c r="N46" i="28"/>
  <c r="O46" i="28" s="1"/>
  <c r="M46" i="28"/>
  <c r="J46" i="28"/>
  <c r="H46" i="28"/>
  <c r="R45" i="28"/>
  <c r="S45" i="28" s="1"/>
  <c r="P45" i="28"/>
  <c r="N45" i="28"/>
  <c r="M45" i="28"/>
  <c r="J45" i="28"/>
  <c r="H45" i="28"/>
  <c r="R44" i="28"/>
  <c r="S44" i="28" s="1"/>
  <c r="P44" i="28"/>
  <c r="N44" i="28"/>
  <c r="O44" i="28" s="1"/>
  <c r="M44" i="28"/>
  <c r="J44" i="28"/>
  <c r="H44" i="28"/>
  <c r="R43" i="28"/>
  <c r="S43" i="28" s="1"/>
  <c r="P43" i="28"/>
  <c r="N43" i="28"/>
  <c r="M43" i="28"/>
  <c r="J43" i="28"/>
  <c r="H43" i="28"/>
  <c r="R42" i="28"/>
  <c r="S42" i="28" s="1"/>
  <c r="J42" i="28"/>
  <c r="H42" i="28"/>
  <c r="R41" i="28"/>
  <c r="S41" i="28" s="1"/>
  <c r="P41" i="28"/>
  <c r="N41" i="28"/>
  <c r="M41" i="28"/>
  <c r="J41" i="28"/>
  <c r="H41" i="28"/>
  <c r="R40" i="28"/>
  <c r="S40" i="28" s="1"/>
  <c r="P40" i="28"/>
  <c r="N40" i="28"/>
  <c r="M40" i="28"/>
  <c r="J40" i="28"/>
  <c r="H40" i="28"/>
  <c r="R39" i="28"/>
  <c r="P39" i="28"/>
  <c r="N39" i="28"/>
  <c r="O39" i="28" s="1"/>
  <c r="M39" i="28"/>
  <c r="J39" i="28"/>
  <c r="H39" i="28"/>
  <c r="R38" i="28"/>
  <c r="S38" i="28" s="1"/>
  <c r="P38" i="28"/>
  <c r="N38" i="28"/>
  <c r="M38" i="28"/>
  <c r="J38" i="28"/>
  <c r="H38" i="28"/>
  <c r="R37" i="28"/>
  <c r="S37" i="28" s="1"/>
  <c r="P37" i="28"/>
  <c r="N37" i="28"/>
  <c r="M37" i="28"/>
  <c r="J37" i="28"/>
  <c r="H37" i="28"/>
  <c r="R36" i="28"/>
  <c r="S36" i="28" s="1"/>
  <c r="P36" i="28"/>
  <c r="N36" i="28"/>
  <c r="L36" i="28"/>
  <c r="Q36" i="28" s="1"/>
  <c r="K36" i="28"/>
  <c r="M36" i="28" s="1"/>
  <c r="J36" i="28"/>
  <c r="H36" i="28"/>
  <c r="R35" i="28"/>
  <c r="S35" i="28" s="1"/>
  <c r="P35" i="28"/>
  <c r="N35" i="28"/>
  <c r="O35" i="28" s="1"/>
  <c r="L35" i="28"/>
  <c r="Q35" i="28" s="1"/>
  <c r="K35" i="28"/>
  <c r="M35" i="28" s="1"/>
  <c r="J35" i="28"/>
  <c r="H35" i="28"/>
  <c r="R34" i="28"/>
  <c r="S34" i="28" s="1"/>
  <c r="P34" i="28"/>
  <c r="N34" i="28"/>
  <c r="L34" i="28"/>
  <c r="Q34" i="28" s="1"/>
  <c r="K34" i="28"/>
  <c r="M34" i="28" s="1"/>
  <c r="J34" i="28"/>
  <c r="H34" i="28"/>
  <c r="R33" i="28"/>
  <c r="S33" i="28" s="1"/>
  <c r="P33" i="28"/>
  <c r="N33" i="28"/>
  <c r="L33" i="28"/>
  <c r="Q33" i="28" s="1"/>
  <c r="K33" i="28"/>
  <c r="M33" i="28" s="1"/>
  <c r="J33" i="28"/>
  <c r="H33" i="28"/>
  <c r="J14" i="28"/>
  <c r="J12" i="28"/>
  <c r="J11" i="28"/>
  <c r="F14" i="27"/>
  <c r="D27" i="27" s="1"/>
  <c r="I91" i="27" s="1"/>
  <c r="R96" i="27"/>
  <c r="S96" i="27" s="1"/>
  <c r="P96" i="27"/>
  <c r="N96" i="27"/>
  <c r="L96" i="27"/>
  <c r="Q96" i="27" s="1"/>
  <c r="K96" i="27"/>
  <c r="M96" i="27" s="1"/>
  <c r="J96" i="27"/>
  <c r="H96" i="27"/>
  <c r="R88" i="27"/>
  <c r="S88" i="27" s="1"/>
  <c r="P88" i="27"/>
  <c r="N88" i="27"/>
  <c r="K88" i="27"/>
  <c r="M88" i="27" s="1"/>
  <c r="J88" i="27"/>
  <c r="H88" i="27"/>
  <c r="R87" i="27"/>
  <c r="S87" i="27" s="1"/>
  <c r="P87" i="27"/>
  <c r="N87" i="27"/>
  <c r="K87" i="27"/>
  <c r="M87" i="27" s="1"/>
  <c r="J87" i="27"/>
  <c r="H87" i="27"/>
  <c r="R95" i="27"/>
  <c r="S95" i="27" s="1"/>
  <c r="P95" i="27"/>
  <c r="N95" i="27"/>
  <c r="O95" i="27" s="1"/>
  <c r="M95" i="27"/>
  <c r="L95" i="27"/>
  <c r="Q95" i="27" s="1"/>
  <c r="K95" i="27"/>
  <c r="J95" i="27"/>
  <c r="H95" i="27"/>
  <c r="R86" i="27"/>
  <c r="S86" i="27" s="1"/>
  <c r="P86" i="27"/>
  <c r="N86" i="27"/>
  <c r="K86" i="27"/>
  <c r="M86" i="27" s="1"/>
  <c r="J86" i="27"/>
  <c r="H86" i="27"/>
  <c r="R94" i="27"/>
  <c r="S94" i="27" s="1"/>
  <c r="Q94" i="27"/>
  <c r="P94" i="27"/>
  <c r="N94" i="27"/>
  <c r="O94" i="27" s="1"/>
  <c r="L94" i="27"/>
  <c r="K94" i="27"/>
  <c r="M94" i="27" s="1"/>
  <c r="J94" i="27"/>
  <c r="H94" i="27"/>
  <c r="R93" i="27"/>
  <c r="S93" i="27" s="1"/>
  <c r="Q93" i="27"/>
  <c r="P93" i="27"/>
  <c r="N93" i="27"/>
  <c r="O93" i="27" s="1"/>
  <c r="M93" i="27"/>
  <c r="L93" i="27"/>
  <c r="K93" i="27"/>
  <c r="J93" i="27"/>
  <c r="H93" i="27"/>
  <c r="R92" i="27"/>
  <c r="S92" i="27" s="1"/>
  <c r="P92" i="27"/>
  <c r="N92" i="27"/>
  <c r="T92" i="27" s="1"/>
  <c r="L92" i="27"/>
  <c r="Q92" i="27" s="1"/>
  <c r="K92" i="27"/>
  <c r="M92" i="27" s="1"/>
  <c r="J92" i="27"/>
  <c r="H92" i="27"/>
  <c r="S91" i="27"/>
  <c r="R91" i="27"/>
  <c r="Q91" i="27"/>
  <c r="P91" i="27"/>
  <c r="N91" i="27"/>
  <c r="L91" i="27"/>
  <c r="K91" i="27"/>
  <c r="M91" i="27" s="1"/>
  <c r="J91" i="27"/>
  <c r="H91" i="27"/>
  <c r="R90" i="27"/>
  <c r="S90" i="27" s="1"/>
  <c r="P90" i="27"/>
  <c r="N90" i="27"/>
  <c r="O90" i="27" s="1"/>
  <c r="L90" i="27"/>
  <c r="Q90" i="27" s="1"/>
  <c r="K90" i="27"/>
  <c r="M90" i="27" s="1"/>
  <c r="J90" i="27"/>
  <c r="H90" i="27"/>
  <c r="R89" i="27"/>
  <c r="S89" i="27" s="1"/>
  <c r="P89" i="27"/>
  <c r="N89" i="27"/>
  <c r="M89" i="27"/>
  <c r="L89" i="27"/>
  <c r="Q89" i="27" s="1"/>
  <c r="K89" i="27"/>
  <c r="J89" i="27"/>
  <c r="H89" i="27"/>
  <c r="D18" i="27"/>
  <c r="D17" i="27"/>
  <c r="D15" i="27"/>
  <c r="P77" i="27"/>
  <c r="N77" i="27"/>
  <c r="O77" i="27" s="1"/>
  <c r="K77" i="27"/>
  <c r="M77" i="27" s="1"/>
  <c r="P56" i="27"/>
  <c r="N56" i="27"/>
  <c r="O56" i="27" s="1"/>
  <c r="K56" i="27"/>
  <c r="M56" i="27" s="1"/>
  <c r="P78" i="27"/>
  <c r="N78" i="27"/>
  <c r="O78" i="27" s="1"/>
  <c r="L78" i="27"/>
  <c r="Q78" i="27" s="1"/>
  <c r="K78" i="27"/>
  <c r="M78" i="27" s="1"/>
  <c r="P40" i="27"/>
  <c r="N40" i="27"/>
  <c r="O40" i="27" s="1"/>
  <c r="L40" i="27"/>
  <c r="Q40" i="27" s="1"/>
  <c r="K40" i="27"/>
  <c r="M40" i="27" s="1"/>
  <c r="P55" i="27"/>
  <c r="N55" i="27"/>
  <c r="O55" i="27" s="1"/>
  <c r="M55" i="27"/>
  <c r="L55" i="27"/>
  <c r="Q55" i="27" s="1"/>
  <c r="K55" i="27"/>
  <c r="R82" i="27"/>
  <c r="S82" i="27" s="1"/>
  <c r="P82" i="27"/>
  <c r="N82" i="27"/>
  <c r="M82" i="27"/>
  <c r="J82" i="27"/>
  <c r="H82" i="27"/>
  <c r="R81" i="27"/>
  <c r="S81" i="27" s="1"/>
  <c r="P81" i="27"/>
  <c r="N81" i="27"/>
  <c r="M81" i="27"/>
  <c r="J81" i="27"/>
  <c r="H81" i="27"/>
  <c r="R80" i="27"/>
  <c r="P80" i="27"/>
  <c r="N80" i="27"/>
  <c r="O80" i="27" s="1"/>
  <c r="L80" i="27"/>
  <c r="M80" i="27"/>
  <c r="J80" i="27"/>
  <c r="H80" i="27"/>
  <c r="R79" i="27"/>
  <c r="S79" i="27" s="1"/>
  <c r="P79" i="27"/>
  <c r="N79" i="27"/>
  <c r="M79" i="27"/>
  <c r="J79" i="27"/>
  <c r="H79" i="27"/>
  <c r="R78" i="27"/>
  <c r="S78" i="27" s="1"/>
  <c r="J78" i="27"/>
  <c r="H78" i="27"/>
  <c r="R77" i="27"/>
  <c r="S77" i="27" s="1"/>
  <c r="J77" i="27"/>
  <c r="H77" i="27"/>
  <c r="R76" i="27"/>
  <c r="S76" i="27" s="1"/>
  <c r="P76" i="27"/>
  <c r="N76" i="27"/>
  <c r="M76" i="27"/>
  <c r="J76" i="27"/>
  <c r="H76" i="27"/>
  <c r="R75" i="27"/>
  <c r="S75" i="27" s="1"/>
  <c r="P75" i="27"/>
  <c r="N75" i="27"/>
  <c r="O75" i="27" s="1"/>
  <c r="M75" i="27"/>
  <c r="J75" i="27"/>
  <c r="H75" i="27"/>
  <c r="R74" i="27"/>
  <c r="S74" i="27" s="1"/>
  <c r="P74" i="27"/>
  <c r="N74" i="27"/>
  <c r="M74" i="27"/>
  <c r="J74" i="27"/>
  <c r="H74" i="27"/>
  <c r="R73" i="27"/>
  <c r="S73" i="27" s="1"/>
  <c r="P73" i="27"/>
  <c r="N73" i="27"/>
  <c r="O73" i="27" s="1"/>
  <c r="M73" i="27"/>
  <c r="J73" i="27"/>
  <c r="H73" i="27"/>
  <c r="R72" i="27"/>
  <c r="S72" i="27" s="1"/>
  <c r="P72" i="27"/>
  <c r="N72" i="27"/>
  <c r="M72" i="27"/>
  <c r="J72" i="27"/>
  <c r="H72" i="27"/>
  <c r="R71" i="27"/>
  <c r="S71" i="27" s="1"/>
  <c r="P71" i="27"/>
  <c r="N71" i="27"/>
  <c r="O71" i="27" s="1"/>
  <c r="M71" i="27"/>
  <c r="J71" i="27"/>
  <c r="H71" i="27"/>
  <c r="R70" i="27"/>
  <c r="S70" i="27" s="1"/>
  <c r="P70" i="27"/>
  <c r="N70" i="27"/>
  <c r="M70" i="27"/>
  <c r="J70" i="27"/>
  <c r="H70" i="27"/>
  <c r="R69" i="27"/>
  <c r="S69" i="27" s="1"/>
  <c r="P69" i="27"/>
  <c r="N69" i="27"/>
  <c r="M69" i="27"/>
  <c r="J69" i="27"/>
  <c r="H69" i="27"/>
  <c r="R68" i="27"/>
  <c r="S68" i="27" s="1"/>
  <c r="P68" i="27"/>
  <c r="N68" i="27"/>
  <c r="M68" i="27"/>
  <c r="J68" i="27"/>
  <c r="H68" i="27"/>
  <c r="R67" i="27"/>
  <c r="S67" i="27" s="1"/>
  <c r="P67" i="27"/>
  <c r="N67" i="27"/>
  <c r="K67" i="27"/>
  <c r="M67" i="27" s="1"/>
  <c r="J67" i="27"/>
  <c r="H67" i="27"/>
  <c r="R66" i="27"/>
  <c r="S66" i="27" s="1"/>
  <c r="P66" i="27"/>
  <c r="N66" i="27"/>
  <c r="O66" i="27" s="1"/>
  <c r="L66" i="27"/>
  <c r="Q66" i="27" s="1"/>
  <c r="K66" i="27"/>
  <c r="M66" i="27" s="1"/>
  <c r="J66" i="27"/>
  <c r="H66" i="27"/>
  <c r="R65" i="27"/>
  <c r="S65" i="27" s="1"/>
  <c r="P65" i="27"/>
  <c r="N65" i="27"/>
  <c r="M65" i="27"/>
  <c r="J65" i="27"/>
  <c r="H65" i="27"/>
  <c r="R64" i="27"/>
  <c r="S64" i="27" s="1"/>
  <c r="P64" i="27"/>
  <c r="N64" i="27"/>
  <c r="M64" i="27"/>
  <c r="J64" i="27"/>
  <c r="H64" i="27"/>
  <c r="R63" i="27"/>
  <c r="S63" i="27" s="1"/>
  <c r="P63" i="27"/>
  <c r="N63" i="27"/>
  <c r="M63" i="27"/>
  <c r="J63" i="27"/>
  <c r="H63" i="27"/>
  <c r="R62" i="27"/>
  <c r="S62" i="27" s="1"/>
  <c r="P62" i="27"/>
  <c r="N62" i="27"/>
  <c r="M62" i="27"/>
  <c r="J62" i="27"/>
  <c r="H62" i="27"/>
  <c r="R61" i="27"/>
  <c r="S61" i="27" s="1"/>
  <c r="P61" i="27"/>
  <c r="N61" i="27"/>
  <c r="M61" i="27"/>
  <c r="J61" i="27"/>
  <c r="H61" i="27"/>
  <c r="R60" i="27"/>
  <c r="S60" i="27" s="1"/>
  <c r="P60" i="27"/>
  <c r="N60" i="27"/>
  <c r="M60" i="27"/>
  <c r="J60" i="27"/>
  <c r="H60" i="27"/>
  <c r="R59" i="27"/>
  <c r="S59" i="27" s="1"/>
  <c r="P59" i="27"/>
  <c r="N59" i="27"/>
  <c r="M59" i="27"/>
  <c r="J59" i="27"/>
  <c r="H59" i="27"/>
  <c r="R58" i="27"/>
  <c r="S58" i="27" s="1"/>
  <c r="P58" i="27"/>
  <c r="N58" i="27"/>
  <c r="M58" i="27"/>
  <c r="J58" i="27"/>
  <c r="H58" i="27"/>
  <c r="R57" i="27"/>
  <c r="S57" i="27" s="1"/>
  <c r="P57" i="27"/>
  <c r="N57" i="27"/>
  <c r="M57" i="27"/>
  <c r="J57" i="27"/>
  <c r="H57" i="27"/>
  <c r="R56" i="27"/>
  <c r="S56" i="27" s="1"/>
  <c r="J56" i="27"/>
  <c r="H56" i="27"/>
  <c r="R55" i="27"/>
  <c r="S55" i="27" s="1"/>
  <c r="J55" i="27"/>
  <c r="H55" i="27"/>
  <c r="R54" i="27"/>
  <c r="S54" i="27" s="1"/>
  <c r="P54" i="27"/>
  <c r="N54" i="27"/>
  <c r="M54" i="27"/>
  <c r="J54" i="27"/>
  <c r="H54" i="27"/>
  <c r="R53" i="27"/>
  <c r="S53" i="27" s="1"/>
  <c r="P53" i="27"/>
  <c r="N53" i="27"/>
  <c r="M53" i="27"/>
  <c r="J53" i="27"/>
  <c r="H53" i="27"/>
  <c r="R52" i="27"/>
  <c r="S52" i="27" s="1"/>
  <c r="P52" i="27"/>
  <c r="N52" i="27"/>
  <c r="M52" i="27"/>
  <c r="J52" i="27"/>
  <c r="H52" i="27"/>
  <c r="R51" i="27"/>
  <c r="S51" i="27" s="1"/>
  <c r="P51" i="27"/>
  <c r="N51" i="27"/>
  <c r="O51" i="27" s="1"/>
  <c r="M51" i="27"/>
  <c r="J51" i="27"/>
  <c r="H51" i="27"/>
  <c r="R50" i="27"/>
  <c r="S50" i="27" s="1"/>
  <c r="P50" i="27"/>
  <c r="N50" i="27"/>
  <c r="M50" i="27"/>
  <c r="J50" i="27"/>
  <c r="H50" i="27"/>
  <c r="R49" i="27"/>
  <c r="S49" i="27" s="1"/>
  <c r="P49" i="27"/>
  <c r="N49" i="27"/>
  <c r="M49" i="27"/>
  <c r="J49" i="27"/>
  <c r="H49" i="27"/>
  <c r="R48" i="27"/>
  <c r="S48" i="27" s="1"/>
  <c r="P48" i="27"/>
  <c r="N48" i="27"/>
  <c r="M48" i="27"/>
  <c r="J48" i="27"/>
  <c r="H48" i="27"/>
  <c r="R47" i="27"/>
  <c r="S47" i="27" s="1"/>
  <c r="P47" i="27"/>
  <c r="N47" i="27"/>
  <c r="M47" i="27"/>
  <c r="J47" i="27"/>
  <c r="H47" i="27"/>
  <c r="R46" i="27"/>
  <c r="S46" i="27" s="1"/>
  <c r="P46" i="27"/>
  <c r="N46" i="27"/>
  <c r="M46" i="27"/>
  <c r="J46" i="27"/>
  <c r="H46" i="27"/>
  <c r="R45" i="27"/>
  <c r="S45" i="27" s="1"/>
  <c r="P45" i="27"/>
  <c r="N45" i="27"/>
  <c r="M45" i="27"/>
  <c r="J45" i="27"/>
  <c r="H45" i="27"/>
  <c r="R44" i="27"/>
  <c r="S44" i="27" s="1"/>
  <c r="P44" i="27"/>
  <c r="N44" i="27"/>
  <c r="M44" i="27"/>
  <c r="J44" i="27"/>
  <c r="H44" i="27"/>
  <c r="R43" i="27"/>
  <c r="S43" i="27" s="1"/>
  <c r="P43" i="27"/>
  <c r="N43" i="27"/>
  <c r="M43" i="27"/>
  <c r="J43" i="27"/>
  <c r="H43" i="27"/>
  <c r="R42" i="27"/>
  <c r="S42" i="27" s="1"/>
  <c r="P42" i="27"/>
  <c r="N42" i="27"/>
  <c r="M42" i="27"/>
  <c r="J42" i="27"/>
  <c r="H42" i="27"/>
  <c r="R41" i="27"/>
  <c r="S41" i="27" s="1"/>
  <c r="P41" i="27"/>
  <c r="N41" i="27"/>
  <c r="M41" i="27"/>
  <c r="J41" i="27"/>
  <c r="H41" i="27"/>
  <c r="R40" i="27"/>
  <c r="S40" i="27" s="1"/>
  <c r="J40" i="27"/>
  <c r="H40" i="27"/>
  <c r="R39" i="27"/>
  <c r="S39" i="27" s="1"/>
  <c r="P39" i="27"/>
  <c r="N39" i="27"/>
  <c r="O39" i="27" s="1"/>
  <c r="M39" i="27"/>
  <c r="J39" i="27"/>
  <c r="H39" i="27"/>
  <c r="R38" i="27"/>
  <c r="S38" i="27" s="1"/>
  <c r="P38" i="27"/>
  <c r="N38" i="27"/>
  <c r="M38" i="27"/>
  <c r="J38" i="27"/>
  <c r="H38" i="27"/>
  <c r="R37" i="27"/>
  <c r="S37" i="27" s="1"/>
  <c r="P37" i="27"/>
  <c r="N37" i="27"/>
  <c r="O37" i="27" s="1"/>
  <c r="M37" i="27"/>
  <c r="J37" i="27"/>
  <c r="H37" i="27"/>
  <c r="R36" i="27"/>
  <c r="S36" i="27" s="1"/>
  <c r="P36" i="27"/>
  <c r="N36" i="27"/>
  <c r="L36" i="27"/>
  <c r="Q36" i="27" s="1"/>
  <c r="K36" i="27"/>
  <c r="M36" i="27" s="1"/>
  <c r="J36" i="27"/>
  <c r="H36" i="27"/>
  <c r="R35" i="27"/>
  <c r="S35" i="27" s="1"/>
  <c r="P35" i="27"/>
  <c r="N35" i="27"/>
  <c r="L35" i="27"/>
  <c r="Q35" i="27" s="1"/>
  <c r="K35" i="27"/>
  <c r="M35" i="27" s="1"/>
  <c r="J35" i="27"/>
  <c r="H35" i="27"/>
  <c r="R34" i="27"/>
  <c r="S34" i="27" s="1"/>
  <c r="P34" i="27"/>
  <c r="N34" i="27"/>
  <c r="O34" i="27" s="1"/>
  <c r="L34" i="27"/>
  <c r="Q34" i="27" s="1"/>
  <c r="K34" i="27"/>
  <c r="M34" i="27" s="1"/>
  <c r="J34" i="27"/>
  <c r="H34" i="27"/>
  <c r="R33" i="27"/>
  <c r="S33" i="27" s="1"/>
  <c r="P33" i="27"/>
  <c r="N33" i="27"/>
  <c r="L33" i="27"/>
  <c r="Q33" i="27" s="1"/>
  <c r="K33" i="27"/>
  <c r="M33" i="27" s="1"/>
  <c r="J33" i="27"/>
  <c r="H33" i="27"/>
  <c r="J14" i="27"/>
  <c r="J12" i="27"/>
  <c r="J11" i="27"/>
  <c r="T88" i="28" l="1"/>
  <c r="O88" i="28"/>
  <c r="T91" i="27"/>
  <c r="T87" i="27"/>
  <c r="T90" i="28"/>
  <c r="O90" i="28"/>
  <c r="T89" i="27"/>
  <c r="S84" i="28"/>
  <c r="T93" i="28"/>
  <c r="T89" i="28"/>
  <c r="O93" i="28"/>
  <c r="T91" i="28"/>
  <c r="T86" i="28"/>
  <c r="T87" i="28"/>
  <c r="T92" i="28"/>
  <c r="T94" i="28"/>
  <c r="O87" i="28"/>
  <c r="O92" i="28"/>
  <c r="O91" i="28"/>
  <c r="T36" i="28"/>
  <c r="T38" i="28"/>
  <c r="T68" i="28"/>
  <c r="T70" i="28"/>
  <c r="T72" i="28"/>
  <c r="T74" i="28"/>
  <c r="T50" i="28"/>
  <c r="T52" i="28"/>
  <c r="T54" i="28"/>
  <c r="T78" i="28"/>
  <c r="T33" i="28"/>
  <c r="T58" i="28"/>
  <c r="T42" i="28"/>
  <c r="T55" i="28"/>
  <c r="T64" i="28"/>
  <c r="T80" i="28"/>
  <c r="T60" i="28"/>
  <c r="T76" i="28"/>
  <c r="T48" i="28"/>
  <c r="T40" i="28"/>
  <c r="T62" i="28"/>
  <c r="T35" i="28"/>
  <c r="O40" i="28"/>
  <c r="T56" i="28"/>
  <c r="T46" i="28"/>
  <c r="O56" i="28"/>
  <c r="O58" i="28"/>
  <c r="O76" i="28"/>
  <c r="T44" i="28"/>
  <c r="O72" i="28"/>
  <c r="O74" i="28"/>
  <c r="T82" i="28"/>
  <c r="O33" i="28"/>
  <c r="T34" i="28"/>
  <c r="O38" i="28"/>
  <c r="O52" i="28"/>
  <c r="S60" i="28"/>
  <c r="S62" i="28"/>
  <c r="O64" i="28"/>
  <c r="O68" i="28"/>
  <c r="O70" i="28"/>
  <c r="O78" i="28"/>
  <c r="O80" i="28"/>
  <c r="O36" i="28"/>
  <c r="O50" i="28"/>
  <c r="O55" i="28"/>
  <c r="I81" i="28"/>
  <c r="I56" i="28"/>
  <c r="I39" i="28"/>
  <c r="I37" i="28"/>
  <c r="I79" i="28"/>
  <c r="I77" i="28"/>
  <c r="I75" i="28"/>
  <c r="I73" i="28"/>
  <c r="I71" i="28"/>
  <c r="I69" i="28"/>
  <c r="I65" i="28"/>
  <c r="I63" i="28"/>
  <c r="I61" i="28"/>
  <c r="I59" i="28"/>
  <c r="I57" i="28"/>
  <c r="I55" i="28"/>
  <c r="I53" i="28"/>
  <c r="I51" i="28"/>
  <c r="I49" i="28"/>
  <c r="I47" i="28"/>
  <c r="I45" i="28"/>
  <c r="I43" i="28"/>
  <c r="I41" i="28"/>
  <c r="I36" i="28"/>
  <c r="I58" i="28"/>
  <c r="T59" i="28"/>
  <c r="O59" i="28"/>
  <c r="I66" i="28"/>
  <c r="O34" i="28"/>
  <c r="T39" i="28"/>
  <c r="S39" i="28"/>
  <c r="T41" i="28"/>
  <c r="O41" i="28"/>
  <c r="T43" i="28"/>
  <c r="O43" i="28"/>
  <c r="T45" i="28"/>
  <c r="O45" i="28"/>
  <c r="T47" i="28"/>
  <c r="O47" i="28"/>
  <c r="T49" i="28"/>
  <c r="O49" i="28"/>
  <c r="I60" i="28"/>
  <c r="T61" i="28"/>
  <c r="O61" i="28"/>
  <c r="T66" i="28"/>
  <c r="O66" i="28"/>
  <c r="I72" i="28"/>
  <c r="T73" i="28"/>
  <c r="O73" i="28"/>
  <c r="I78" i="28"/>
  <c r="I80" i="28"/>
  <c r="T81" i="28"/>
  <c r="S81" i="28"/>
  <c r="I54" i="28"/>
  <c r="I33" i="28"/>
  <c r="T37" i="28"/>
  <c r="I38" i="28"/>
  <c r="I42" i="28"/>
  <c r="I44" i="28"/>
  <c r="I46" i="28"/>
  <c r="I48" i="28"/>
  <c r="I50" i="28"/>
  <c r="T51" i="28"/>
  <c r="O51" i="28"/>
  <c r="I62" i="28"/>
  <c r="T63" i="28"/>
  <c r="O63" i="28"/>
  <c r="I67" i="28"/>
  <c r="T67" i="28"/>
  <c r="O67" i="28"/>
  <c r="I74" i="28"/>
  <c r="T75" i="28"/>
  <c r="O75" i="28"/>
  <c r="I70" i="28"/>
  <c r="T71" i="28"/>
  <c r="O71" i="28"/>
  <c r="T79" i="28"/>
  <c r="O79" i="28"/>
  <c r="I34" i="28"/>
  <c r="I35" i="28"/>
  <c r="I40" i="28"/>
  <c r="I52" i="28"/>
  <c r="T53" i="28"/>
  <c r="T57" i="28"/>
  <c r="O57" i="28"/>
  <c r="I64" i="28"/>
  <c r="T65" i="28"/>
  <c r="O65" i="28"/>
  <c r="I68" i="28"/>
  <c r="T69" i="28"/>
  <c r="O69" i="28"/>
  <c r="I76" i="28"/>
  <c r="T77" i="28"/>
  <c r="S77" i="28"/>
  <c r="I82" i="28"/>
  <c r="O82" i="28"/>
  <c r="O37" i="28"/>
  <c r="T88" i="27"/>
  <c r="T86" i="27"/>
  <c r="T96" i="27"/>
  <c r="O91" i="27"/>
  <c r="T93" i="27"/>
  <c r="O89" i="27"/>
  <c r="T90" i="27"/>
  <c r="O96" i="27"/>
  <c r="O88" i="27"/>
  <c r="I96" i="27"/>
  <c r="I88" i="27"/>
  <c r="I94" i="27"/>
  <c r="T95" i="27"/>
  <c r="I95" i="27"/>
  <c r="I87" i="27"/>
  <c r="O87" i="27"/>
  <c r="I93" i="27"/>
  <c r="T94" i="27"/>
  <c r="I86" i="27"/>
  <c r="O86" i="27"/>
  <c r="I89" i="27"/>
  <c r="I92" i="27"/>
  <c r="I90" i="27"/>
  <c r="O92" i="27"/>
  <c r="T59" i="27"/>
  <c r="T61" i="27"/>
  <c r="T80" i="27"/>
  <c r="T81" i="27"/>
  <c r="T33" i="27"/>
  <c r="T43" i="27"/>
  <c r="T45" i="27"/>
  <c r="T41" i="27"/>
  <c r="T77" i="27"/>
  <c r="T79" i="27"/>
  <c r="T42" i="27"/>
  <c r="T67" i="27"/>
  <c r="T69" i="27"/>
  <c r="T49" i="27"/>
  <c r="T35" i="27"/>
  <c r="T40" i="27"/>
  <c r="O49" i="27"/>
  <c r="T65" i="27"/>
  <c r="I33" i="27"/>
  <c r="I41" i="27"/>
  <c r="T39" i="27"/>
  <c r="O41" i="27"/>
  <c r="O69" i="27"/>
  <c r="T75" i="27"/>
  <c r="S80" i="27"/>
  <c r="O33" i="27"/>
  <c r="T34" i="27"/>
  <c r="O42" i="27"/>
  <c r="T51" i="27"/>
  <c r="T55" i="27"/>
  <c r="T66" i="27"/>
  <c r="T73" i="27"/>
  <c r="T37" i="27"/>
  <c r="T38" i="27"/>
  <c r="T47" i="27"/>
  <c r="T63" i="27"/>
  <c r="O67" i="27"/>
  <c r="T71" i="27"/>
  <c r="O81" i="27"/>
  <c r="O35" i="27"/>
  <c r="T57" i="27"/>
  <c r="O79" i="27"/>
  <c r="H84" i="27"/>
  <c r="T62" i="27"/>
  <c r="O62" i="27"/>
  <c r="T70" i="27"/>
  <c r="O70" i="27"/>
  <c r="I81" i="27"/>
  <c r="I67" i="27"/>
  <c r="I42" i="27"/>
  <c r="I40" i="27"/>
  <c r="I38" i="27"/>
  <c r="I35" i="27"/>
  <c r="I82" i="27"/>
  <c r="I80" i="27"/>
  <c r="I78" i="27"/>
  <c r="I76" i="27"/>
  <c r="I74" i="27"/>
  <c r="I72" i="27"/>
  <c r="I70" i="27"/>
  <c r="I68" i="27"/>
  <c r="I66" i="27"/>
  <c r="I64" i="27"/>
  <c r="I62" i="27"/>
  <c r="I60" i="27"/>
  <c r="I58" i="27"/>
  <c r="I56" i="27"/>
  <c r="I52" i="27"/>
  <c r="I50" i="27"/>
  <c r="I48" i="27"/>
  <c r="I46" i="27"/>
  <c r="I44" i="27"/>
  <c r="I34" i="27"/>
  <c r="I79" i="27"/>
  <c r="I77" i="27"/>
  <c r="I75" i="27"/>
  <c r="I73" i="27"/>
  <c r="I71" i="27"/>
  <c r="I69" i="27"/>
  <c r="I65" i="27"/>
  <c r="I63" i="27"/>
  <c r="I61" i="27"/>
  <c r="I59" i="27"/>
  <c r="I57" i="27"/>
  <c r="I55" i="27"/>
  <c r="I53" i="27"/>
  <c r="I51" i="27"/>
  <c r="I49" i="27"/>
  <c r="I47" i="27"/>
  <c r="I45" i="27"/>
  <c r="I43" i="27"/>
  <c r="I36" i="27"/>
  <c r="I37" i="27"/>
  <c r="T44" i="27"/>
  <c r="O44" i="27"/>
  <c r="T50" i="27"/>
  <c r="O50" i="27"/>
  <c r="T53" i="27"/>
  <c r="O53" i="27"/>
  <c r="T58" i="27"/>
  <c r="O58" i="27"/>
  <c r="T46" i="27"/>
  <c r="O46" i="27"/>
  <c r="I54" i="27"/>
  <c r="T54" i="27"/>
  <c r="O54" i="27"/>
  <c r="T60" i="27"/>
  <c r="O60" i="27"/>
  <c r="T72" i="27"/>
  <c r="O72" i="27"/>
  <c r="T82" i="27"/>
  <c r="O82" i="27"/>
  <c r="S84" i="27"/>
  <c r="T78" i="27"/>
  <c r="I39" i="27"/>
  <c r="T52" i="27"/>
  <c r="O52" i="27"/>
  <c r="T56" i="27"/>
  <c r="T64" i="27"/>
  <c r="O64" i="27"/>
  <c r="T68" i="27"/>
  <c r="O68" i="27"/>
  <c r="T76" i="27"/>
  <c r="O76" i="27"/>
  <c r="T48" i="27"/>
  <c r="O48" i="27"/>
  <c r="T36" i="27"/>
  <c r="O36" i="27"/>
  <c r="T74" i="27"/>
  <c r="O74" i="27"/>
  <c r="O43" i="27"/>
  <c r="O45" i="27"/>
  <c r="O47" i="27"/>
  <c r="O57" i="27"/>
  <c r="O59" i="27"/>
  <c r="O61" i="27"/>
  <c r="O63" i="27"/>
  <c r="O65" i="27"/>
  <c r="O38" i="27"/>
  <c r="W259" i="5"/>
  <c r="W258" i="5"/>
  <c r="W257" i="5"/>
  <c r="W256" i="5"/>
  <c r="W255" i="5"/>
  <c r="W254" i="5"/>
  <c r="W253" i="5"/>
  <c r="W252" i="5"/>
  <c r="W251" i="5"/>
  <c r="W250" i="5"/>
  <c r="W249" i="5"/>
  <c r="W248" i="5"/>
  <c r="W247" i="5"/>
  <c r="W246" i="5"/>
  <c r="W245" i="5"/>
  <c r="W244" i="5"/>
  <c r="W243" i="5"/>
  <c r="W242" i="5"/>
  <c r="W241" i="5"/>
  <c r="W240" i="5"/>
  <c r="W239" i="5"/>
  <c r="W238" i="5"/>
  <c r="W237" i="5"/>
  <c r="W236" i="5"/>
  <c r="W235" i="5"/>
  <c r="W234" i="5"/>
  <c r="W233" i="5"/>
  <c r="W232" i="5"/>
  <c r="W227" i="5"/>
  <c r="W226" i="5"/>
  <c r="W225" i="5"/>
  <c r="W224" i="5"/>
  <c r="W223" i="5"/>
  <c r="W222" i="5"/>
  <c r="W221" i="5"/>
  <c r="W220" i="5"/>
  <c r="W219" i="5"/>
  <c r="W218" i="5"/>
  <c r="W217" i="5"/>
  <c r="W216" i="5"/>
  <c r="W215" i="5"/>
  <c r="W214" i="5"/>
  <c r="W213" i="5"/>
  <c r="W212" i="5"/>
  <c r="W211" i="5"/>
  <c r="W210" i="5"/>
  <c r="W209" i="5"/>
  <c r="W208" i="5"/>
  <c r="W207" i="5"/>
  <c r="W206" i="5"/>
  <c r="W205" i="5"/>
  <c r="W204" i="5"/>
  <c r="W203" i="5"/>
  <c r="W202" i="5"/>
  <c r="W201" i="5"/>
  <c r="W200" i="5"/>
  <c r="W194" i="5"/>
  <c r="W193" i="5"/>
  <c r="W192" i="5"/>
  <c r="W191" i="5"/>
  <c r="W190" i="5"/>
  <c r="W189" i="5"/>
  <c r="W188" i="5"/>
  <c r="W187" i="5"/>
  <c r="W186" i="5"/>
  <c r="W185" i="5"/>
  <c r="W184" i="5"/>
  <c r="W183" i="5"/>
  <c r="W182" i="5"/>
  <c r="W181" i="5"/>
  <c r="W180" i="5"/>
  <c r="W179" i="5"/>
  <c r="W178" i="5"/>
  <c r="W177" i="5"/>
  <c r="W176" i="5"/>
  <c r="W175" i="5"/>
  <c r="W174" i="5"/>
  <c r="W173" i="5"/>
  <c r="W172" i="5"/>
  <c r="W171" i="5"/>
  <c r="W170" i="5"/>
  <c r="W169" i="5"/>
  <c r="W168" i="5"/>
  <c r="W167" i="5"/>
  <c r="W162" i="5"/>
  <c r="W161" i="5"/>
  <c r="W160" i="5"/>
  <c r="W159" i="5"/>
  <c r="W158" i="5"/>
  <c r="W157" i="5"/>
  <c r="W156" i="5"/>
  <c r="W155" i="5"/>
  <c r="W154" i="5"/>
  <c r="W153" i="5"/>
  <c r="W152" i="5"/>
  <c r="W151" i="5"/>
  <c r="W150" i="5"/>
  <c r="W149" i="5"/>
  <c r="W148" i="5"/>
  <c r="W147" i="5"/>
  <c r="W146" i="5"/>
  <c r="W145" i="5"/>
  <c r="W144" i="5"/>
  <c r="W143" i="5"/>
  <c r="W142" i="5"/>
  <c r="W141" i="5"/>
  <c r="W140" i="5"/>
  <c r="W139" i="5"/>
  <c r="W138" i="5"/>
  <c r="W137" i="5"/>
  <c r="W136" i="5"/>
  <c r="W135" i="5"/>
  <c r="W134" i="5"/>
  <c r="W133" i="5"/>
  <c r="W132" i="5"/>
  <c r="W131" i="5"/>
  <c r="W130" i="5"/>
  <c r="W125" i="5"/>
  <c r="W124" i="5"/>
  <c r="W123" i="5"/>
  <c r="W122" i="5"/>
  <c r="W121" i="5"/>
  <c r="W120" i="5"/>
  <c r="W119" i="5"/>
  <c r="W118" i="5"/>
  <c r="W117" i="5"/>
  <c r="W116" i="5"/>
  <c r="W115" i="5"/>
  <c r="W114" i="5"/>
  <c r="W113" i="5"/>
  <c r="W112" i="5"/>
  <c r="W111" i="5"/>
  <c r="W110" i="5"/>
  <c r="W109" i="5"/>
  <c r="W108" i="5"/>
  <c r="W107" i="5"/>
  <c r="W106" i="5"/>
  <c r="W105" i="5"/>
  <c r="W104" i="5"/>
  <c r="W103" i="5"/>
  <c r="W102" i="5"/>
  <c r="W101" i="5"/>
  <c r="W100" i="5"/>
  <c r="W99" i="5"/>
  <c r="W98" i="5"/>
  <c r="W97" i="5"/>
  <c r="W96" i="5"/>
  <c r="W95" i="5"/>
  <c r="W94" i="5"/>
  <c r="W93" i="5"/>
  <c r="W88" i="5"/>
  <c r="W87" i="5"/>
  <c r="W86" i="5"/>
  <c r="W85" i="5"/>
  <c r="W84" i="5"/>
  <c r="W83" i="5"/>
  <c r="W82" i="5"/>
  <c r="W81" i="5"/>
  <c r="W80" i="5"/>
  <c r="W79" i="5"/>
  <c r="W78" i="5"/>
  <c r="W77" i="5"/>
  <c r="W76" i="5"/>
  <c r="W75" i="5"/>
  <c r="W74" i="5"/>
  <c r="W73" i="5"/>
  <c r="W72" i="5"/>
  <c r="W71" i="5"/>
  <c r="W70" i="5"/>
  <c r="W69" i="5"/>
  <c r="W68" i="5"/>
  <c r="W63" i="5"/>
  <c r="W62" i="5"/>
  <c r="W61" i="5"/>
  <c r="W60" i="5"/>
  <c r="W59" i="5"/>
  <c r="W58" i="5"/>
  <c r="W57" i="5"/>
  <c r="W56" i="5"/>
  <c r="W55" i="5"/>
  <c r="V259" i="5"/>
  <c r="V258" i="5"/>
  <c r="V257" i="5"/>
  <c r="V256" i="5"/>
  <c r="V255" i="5"/>
  <c r="V254" i="5"/>
  <c r="V253" i="5"/>
  <c r="V252" i="5"/>
  <c r="V251" i="5"/>
  <c r="V250" i="5"/>
  <c r="V249" i="5"/>
  <c r="V248" i="5"/>
  <c r="V247" i="5"/>
  <c r="V246" i="5"/>
  <c r="V245" i="5"/>
  <c r="V244" i="5"/>
  <c r="V243" i="5"/>
  <c r="V242" i="5"/>
  <c r="V241" i="5"/>
  <c r="V240" i="5"/>
  <c r="V239" i="5"/>
  <c r="V238" i="5"/>
  <c r="V237" i="5"/>
  <c r="V236" i="5"/>
  <c r="V235" i="5"/>
  <c r="V234" i="5"/>
  <c r="V233" i="5"/>
  <c r="V232" i="5"/>
  <c r="V227" i="5"/>
  <c r="V226" i="5"/>
  <c r="V225" i="5"/>
  <c r="V224" i="5"/>
  <c r="V223" i="5"/>
  <c r="V222" i="5"/>
  <c r="V221" i="5"/>
  <c r="V220" i="5"/>
  <c r="V219" i="5"/>
  <c r="V218" i="5"/>
  <c r="V217" i="5"/>
  <c r="V216" i="5"/>
  <c r="V215" i="5"/>
  <c r="V214" i="5"/>
  <c r="V213" i="5"/>
  <c r="V212" i="5"/>
  <c r="V211" i="5"/>
  <c r="V210" i="5"/>
  <c r="V209" i="5"/>
  <c r="V208" i="5"/>
  <c r="V207" i="5"/>
  <c r="V206" i="5"/>
  <c r="V205" i="5"/>
  <c r="V204" i="5"/>
  <c r="V203" i="5"/>
  <c r="V202" i="5"/>
  <c r="V201" i="5"/>
  <c r="V200" i="5"/>
  <c r="V194" i="5"/>
  <c r="V193" i="5"/>
  <c r="V192" i="5"/>
  <c r="V191" i="5"/>
  <c r="V190" i="5"/>
  <c r="V189" i="5"/>
  <c r="V188" i="5"/>
  <c r="V187" i="5"/>
  <c r="V186" i="5"/>
  <c r="V185" i="5"/>
  <c r="V184" i="5"/>
  <c r="V183" i="5"/>
  <c r="V182" i="5"/>
  <c r="V181" i="5"/>
  <c r="V180" i="5"/>
  <c r="V179" i="5"/>
  <c r="V178" i="5"/>
  <c r="V177" i="5"/>
  <c r="V176" i="5"/>
  <c r="V175" i="5"/>
  <c r="V174" i="5"/>
  <c r="V173" i="5"/>
  <c r="V172" i="5"/>
  <c r="V171" i="5"/>
  <c r="V170" i="5"/>
  <c r="V169" i="5"/>
  <c r="V168" i="5"/>
  <c r="V167" i="5"/>
  <c r="V162" i="5"/>
  <c r="V161" i="5"/>
  <c r="V160" i="5"/>
  <c r="V159" i="5"/>
  <c r="V158" i="5"/>
  <c r="V157" i="5"/>
  <c r="V156" i="5"/>
  <c r="V155" i="5"/>
  <c r="V154" i="5"/>
  <c r="V153" i="5"/>
  <c r="V152" i="5"/>
  <c r="V151" i="5"/>
  <c r="V150" i="5"/>
  <c r="V149" i="5"/>
  <c r="V148" i="5"/>
  <c r="V147" i="5"/>
  <c r="V146" i="5"/>
  <c r="V145" i="5"/>
  <c r="V144" i="5"/>
  <c r="V143" i="5"/>
  <c r="V142" i="5"/>
  <c r="V141" i="5"/>
  <c r="V140" i="5"/>
  <c r="V139" i="5"/>
  <c r="V138" i="5"/>
  <c r="V137" i="5"/>
  <c r="V136" i="5"/>
  <c r="V135" i="5"/>
  <c r="V134" i="5"/>
  <c r="V133" i="5"/>
  <c r="V132" i="5"/>
  <c r="V131" i="5"/>
  <c r="V130" i="5"/>
  <c r="V125" i="5"/>
  <c r="V124" i="5"/>
  <c r="V123" i="5"/>
  <c r="V122" i="5"/>
  <c r="V121" i="5"/>
  <c r="V120" i="5"/>
  <c r="V119" i="5"/>
  <c r="V118" i="5"/>
  <c r="V117" i="5"/>
  <c r="V116" i="5"/>
  <c r="V115" i="5"/>
  <c r="V114" i="5"/>
  <c r="V113" i="5"/>
  <c r="V112" i="5"/>
  <c r="V111" i="5"/>
  <c r="V110" i="5"/>
  <c r="V109" i="5"/>
  <c r="V108" i="5"/>
  <c r="V107" i="5"/>
  <c r="V106" i="5"/>
  <c r="V105" i="5"/>
  <c r="V104" i="5"/>
  <c r="V103" i="5"/>
  <c r="V102" i="5"/>
  <c r="V101" i="5"/>
  <c r="V100" i="5"/>
  <c r="V99" i="5"/>
  <c r="V98" i="5"/>
  <c r="V97" i="5"/>
  <c r="V96" i="5"/>
  <c r="V95" i="5"/>
  <c r="V94" i="5"/>
  <c r="V88" i="5"/>
  <c r="V87" i="5"/>
  <c r="V86" i="5"/>
  <c r="V85" i="5"/>
  <c r="V84" i="5"/>
  <c r="V83" i="5"/>
  <c r="V82" i="5"/>
  <c r="V81" i="5"/>
  <c r="V80" i="5"/>
  <c r="V79" i="5"/>
  <c r="V78" i="5"/>
  <c r="V77" i="5"/>
  <c r="V76" i="5"/>
  <c r="V75" i="5"/>
  <c r="V74" i="5"/>
  <c r="V73" i="5"/>
  <c r="V72" i="5"/>
  <c r="V71" i="5"/>
  <c r="V69" i="5"/>
  <c r="V68" i="5"/>
  <c r="V56" i="5"/>
  <c r="V58" i="5"/>
  <c r="V59" i="5"/>
  <c r="V60" i="5"/>
  <c r="V61" i="5"/>
  <c r="V62" i="5"/>
  <c r="V63" i="5"/>
  <c r="O84" i="28" l="1"/>
  <c r="T84" i="28"/>
  <c r="O84" i="27"/>
  <c r="T84" i="27"/>
  <c r="I84" i="27"/>
  <c r="F14" i="21"/>
  <c r="D27" i="21" s="1"/>
  <c r="F14" i="22"/>
  <c r="D27" i="22" s="1"/>
  <c r="F14" i="23"/>
  <c r="D27" i="23" s="1"/>
  <c r="F23" i="26"/>
  <c r="F22" i="26"/>
  <c r="F14" i="24"/>
  <c r="D27" i="24" s="1"/>
  <c r="R95" i="26"/>
  <c r="S95" i="26" s="1"/>
  <c r="P95" i="26"/>
  <c r="N95" i="26"/>
  <c r="L95" i="26"/>
  <c r="Q95" i="26" s="1"/>
  <c r="K95" i="26"/>
  <c r="M95" i="26" s="1"/>
  <c r="J95" i="26"/>
  <c r="I95" i="26"/>
  <c r="R88" i="26"/>
  <c r="S88" i="26" s="1"/>
  <c r="P88" i="26"/>
  <c r="N88" i="26"/>
  <c r="K88" i="26"/>
  <c r="M88" i="26" s="1"/>
  <c r="J88" i="26"/>
  <c r="I88" i="26"/>
  <c r="H88" i="26"/>
  <c r="R87" i="26"/>
  <c r="S87" i="26" s="1"/>
  <c r="P87" i="26"/>
  <c r="N87" i="26"/>
  <c r="K87" i="26"/>
  <c r="M87" i="26" s="1"/>
  <c r="J87" i="26"/>
  <c r="I87" i="26"/>
  <c r="H87" i="26"/>
  <c r="R94" i="26"/>
  <c r="S94" i="26" s="1"/>
  <c r="P94" i="26"/>
  <c r="N94" i="26"/>
  <c r="O94" i="26" s="1"/>
  <c r="L94" i="26"/>
  <c r="Q94" i="26" s="1"/>
  <c r="K94" i="26"/>
  <c r="M94" i="26" s="1"/>
  <c r="J94" i="26"/>
  <c r="I94" i="26"/>
  <c r="H94" i="26"/>
  <c r="R86" i="26"/>
  <c r="S86" i="26" s="1"/>
  <c r="P86" i="26"/>
  <c r="N86" i="26"/>
  <c r="M86" i="26"/>
  <c r="K86" i="26"/>
  <c r="J86" i="26"/>
  <c r="I86" i="26"/>
  <c r="H86" i="26"/>
  <c r="R93" i="26"/>
  <c r="P93" i="26"/>
  <c r="N93" i="26"/>
  <c r="O93" i="26" s="1"/>
  <c r="L93" i="26"/>
  <c r="K93" i="26"/>
  <c r="M93" i="26" s="1"/>
  <c r="J93" i="26"/>
  <c r="H93" i="26"/>
  <c r="R92" i="26"/>
  <c r="S92" i="26" s="1"/>
  <c r="P92" i="26"/>
  <c r="N92" i="26"/>
  <c r="M92" i="26"/>
  <c r="L92" i="26"/>
  <c r="Q92" i="26" s="1"/>
  <c r="K92" i="26"/>
  <c r="J92" i="26"/>
  <c r="I92" i="26"/>
  <c r="H92" i="26"/>
  <c r="R91" i="26"/>
  <c r="S91" i="26" s="1"/>
  <c r="P91" i="26"/>
  <c r="N91" i="26"/>
  <c r="L91" i="26"/>
  <c r="Q91" i="26" s="1"/>
  <c r="K91" i="26"/>
  <c r="M91" i="26" s="1"/>
  <c r="J91" i="26"/>
  <c r="I91" i="26"/>
  <c r="H91" i="26"/>
  <c r="R90" i="26"/>
  <c r="S90" i="26" s="1"/>
  <c r="P90" i="26"/>
  <c r="N90" i="26"/>
  <c r="M90" i="26"/>
  <c r="L90" i="26"/>
  <c r="Q90" i="26" s="1"/>
  <c r="K90" i="26"/>
  <c r="J90" i="26"/>
  <c r="I90" i="26"/>
  <c r="I84" i="26" s="1"/>
  <c r="H90" i="26"/>
  <c r="R89" i="26"/>
  <c r="S89" i="26" s="1"/>
  <c r="Q89" i="26"/>
  <c r="P89" i="26"/>
  <c r="N89" i="26"/>
  <c r="L89" i="26"/>
  <c r="K89" i="26"/>
  <c r="M89" i="26" s="1"/>
  <c r="J89" i="26"/>
  <c r="I89" i="26"/>
  <c r="H89" i="26"/>
  <c r="H84" i="26" s="1"/>
  <c r="F23" i="25"/>
  <c r="F22" i="25"/>
  <c r="D18" i="26"/>
  <c r="D17" i="26"/>
  <c r="D15" i="26"/>
  <c r="R82" i="26"/>
  <c r="S82" i="26" s="1"/>
  <c r="Q82" i="26"/>
  <c r="P82" i="26"/>
  <c r="N82" i="26"/>
  <c r="M82" i="26"/>
  <c r="J82" i="26"/>
  <c r="I82" i="26"/>
  <c r="H82" i="26"/>
  <c r="R81" i="26"/>
  <c r="S81" i="26" s="1"/>
  <c r="P81" i="26"/>
  <c r="N81" i="26"/>
  <c r="O81" i="26" s="1"/>
  <c r="M81" i="26"/>
  <c r="J81" i="26"/>
  <c r="I81" i="26"/>
  <c r="H81" i="26"/>
  <c r="R80" i="26"/>
  <c r="S80" i="26" s="1"/>
  <c r="P80" i="26"/>
  <c r="N80" i="26"/>
  <c r="M80" i="26"/>
  <c r="J80" i="26"/>
  <c r="I80" i="26"/>
  <c r="H80" i="26"/>
  <c r="R79" i="26"/>
  <c r="S79" i="26" s="1"/>
  <c r="P79" i="26"/>
  <c r="N79" i="26"/>
  <c r="M79" i="26"/>
  <c r="J79" i="26"/>
  <c r="I79" i="26"/>
  <c r="H79" i="26"/>
  <c r="R78" i="26"/>
  <c r="S78" i="26" s="1"/>
  <c r="P78" i="26"/>
  <c r="N78" i="26"/>
  <c r="O78" i="26" s="1"/>
  <c r="L78" i="26"/>
  <c r="Q78" i="26" s="1"/>
  <c r="K78" i="26"/>
  <c r="M78" i="26" s="1"/>
  <c r="J78" i="26"/>
  <c r="I78" i="26"/>
  <c r="H78" i="26"/>
  <c r="R77" i="26"/>
  <c r="S77" i="26" s="1"/>
  <c r="P77" i="26"/>
  <c r="N77" i="26"/>
  <c r="M77" i="26"/>
  <c r="J77" i="26"/>
  <c r="I77" i="26"/>
  <c r="H77" i="26"/>
  <c r="R76" i="26"/>
  <c r="P76" i="26"/>
  <c r="N76" i="26"/>
  <c r="O76" i="26" s="1"/>
  <c r="M76" i="26"/>
  <c r="J76" i="26"/>
  <c r="I76" i="26"/>
  <c r="H76" i="26"/>
  <c r="R75" i="26"/>
  <c r="S75" i="26" s="1"/>
  <c r="P75" i="26"/>
  <c r="N75" i="26"/>
  <c r="K75" i="26"/>
  <c r="M75" i="26" s="1"/>
  <c r="J75" i="26"/>
  <c r="I75" i="26"/>
  <c r="H75" i="26"/>
  <c r="R74" i="26"/>
  <c r="S74" i="26" s="1"/>
  <c r="P74" i="26"/>
  <c r="N74" i="26"/>
  <c r="M74" i="26"/>
  <c r="J74" i="26"/>
  <c r="I74" i="26"/>
  <c r="H74" i="26"/>
  <c r="R73" i="26"/>
  <c r="S73" i="26" s="1"/>
  <c r="P73" i="26"/>
  <c r="N73" i="26"/>
  <c r="O73" i="26" s="1"/>
  <c r="M73" i="26"/>
  <c r="J73" i="26"/>
  <c r="I73" i="26"/>
  <c r="H73" i="26"/>
  <c r="R72" i="26"/>
  <c r="S72" i="26" s="1"/>
  <c r="P72" i="26"/>
  <c r="N72" i="26"/>
  <c r="M72" i="26"/>
  <c r="J72" i="26"/>
  <c r="I72" i="26"/>
  <c r="H72" i="26"/>
  <c r="R71" i="26"/>
  <c r="S71" i="26" s="1"/>
  <c r="P71" i="26"/>
  <c r="N71" i="26"/>
  <c r="M71" i="26"/>
  <c r="J71" i="26"/>
  <c r="I71" i="26"/>
  <c r="H71" i="26"/>
  <c r="R70" i="26"/>
  <c r="S70" i="26" s="1"/>
  <c r="P70" i="26"/>
  <c r="N70" i="26"/>
  <c r="M70" i="26"/>
  <c r="J70" i="26"/>
  <c r="I70" i="26"/>
  <c r="H70" i="26"/>
  <c r="R69" i="26"/>
  <c r="S69" i="26" s="1"/>
  <c r="P69" i="26"/>
  <c r="N69" i="26"/>
  <c r="M69" i="26"/>
  <c r="J69" i="26"/>
  <c r="I69" i="26"/>
  <c r="H69" i="26"/>
  <c r="R68" i="26"/>
  <c r="S68" i="26" s="1"/>
  <c r="P68" i="26"/>
  <c r="N68" i="26"/>
  <c r="M68" i="26"/>
  <c r="J68" i="26"/>
  <c r="I68" i="26"/>
  <c r="H68" i="26"/>
  <c r="R67" i="26"/>
  <c r="S67" i="26" s="1"/>
  <c r="P67" i="26"/>
  <c r="N67" i="26"/>
  <c r="K67" i="26"/>
  <c r="M67" i="26" s="1"/>
  <c r="J67" i="26"/>
  <c r="I67" i="26"/>
  <c r="H67" i="26"/>
  <c r="R66" i="26"/>
  <c r="S66" i="26" s="1"/>
  <c r="P66" i="26"/>
  <c r="N66" i="26"/>
  <c r="L66" i="26"/>
  <c r="Q66" i="26" s="1"/>
  <c r="K66" i="26"/>
  <c r="M66" i="26" s="1"/>
  <c r="J66" i="26"/>
  <c r="I66" i="26"/>
  <c r="H66" i="26"/>
  <c r="R65" i="26"/>
  <c r="S65" i="26" s="1"/>
  <c r="P65" i="26"/>
  <c r="N65" i="26"/>
  <c r="M65" i="26"/>
  <c r="J65" i="26"/>
  <c r="I65" i="26"/>
  <c r="H65" i="26"/>
  <c r="R64" i="26"/>
  <c r="S64" i="26" s="1"/>
  <c r="P64" i="26"/>
  <c r="N64" i="26"/>
  <c r="M64" i="26"/>
  <c r="J64" i="26"/>
  <c r="I64" i="26"/>
  <c r="H64" i="26"/>
  <c r="R63" i="26"/>
  <c r="S63" i="26" s="1"/>
  <c r="P63" i="26"/>
  <c r="N63" i="26"/>
  <c r="M63" i="26"/>
  <c r="J63" i="26"/>
  <c r="I63" i="26"/>
  <c r="H63" i="26"/>
  <c r="R62" i="26"/>
  <c r="S62" i="26" s="1"/>
  <c r="P62" i="26"/>
  <c r="N62" i="26"/>
  <c r="M62" i="26"/>
  <c r="J62" i="26"/>
  <c r="I62" i="26"/>
  <c r="H62" i="26"/>
  <c r="R61" i="26"/>
  <c r="S61" i="26" s="1"/>
  <c r="P61" i="26"/>
  <c r="N61" i="26"/>
  <c r="M61" i="26"/>
  <c r="J61" i="26"/>
  <c r="I61" i="26"/>
  <c r="H61" i="26"/>
  <c r="R60" i="26"/>
  <c r="S60" i="26" s="1"/>
  <c r="P60" i="26"/>
  <c r="N60" i="26"/>
  <c r="M60" i="26"/>
  <c r="J60" i="26"/>
  <c r="I60" i="26"/>
  <c r="H60" i="26"/>
  <c r="R59" i="26"/>
  <c r="S59" i="26" s="1"/>
  <c r="P59" i="26"/>
  <c r="N59" i="26"/>
  <c r="M59" i="26"/>
  <c r="J59" i="26"/>
  <c r="I59" i="26"/>
  <c r="H59" i="26"/>
  <c r="R58" i="26"/>
  <c r="S58" i="26" s="1"/>
  <c r="P58" i="26"/>
  <c r="N58" i="26"/>
  <c r="M58" i="26"/>
  <c r="J58" i="26"/>
  <c r="I58" i="26"/>
  <c r="H58" i="26"/>
  <c r="R57" i="26"/>
  <c r="S57" i="26" s="1"/>
  <c r="P57" i="26"/>
  <c r="N57" i="26"/>
  <c r="M57" i="26"/>
  <c r="J57" i="26"/>
  <c r="I57" i="26"/>
  <c r="H57" i="26"/>
  <c r="R56" i="26"/>
  <c r="S56" i="26" s="1"/>
  <c r="P56" i="26"/>
  <c r="N56" i="26"/>
  <c r="K56" i="26"/>
  <c r="M56" i="26" s="1"/>
  <c r="J56" i="26"/>
  <c r="I56" i="26"/>
  <c r="H56" i="26"/>
  <c r="R55" i="26"/>
  <c r="S55" i="26" s="1"/>
  <c r="P55" i="26"/>
  <c r="N55" i="26"/>
  <c r="L55" i="26"/>
  <c r="Q55" i="26" s="1"/>
  <c r="K55" i="26"/>
  <c r="M55" i="26" s="1"/>
  <c r="J55" i="26"/>
  <c r="I55" i="26"/>
  <c r="H55" i="26"/>
  <c r="R54" i="26"/>
  <c r="S54" i="26" s="1"/>
  <c r="P54" i="26"/>
  <c r="N54" i="26"/>
  <c r="M54" i="26"/>
  <c r="J54" i="26"/>
  <c r="I54" i="26"/>
  <c r="H54" i="26"/>
  <c r="R53" i="26"/>
  <c r="S53" i="26" s="1"/>
  <c r="P53" i="26"/>
  <c r="N53" i="26"/>
  <c r="M53" i="26"/>
  <c r="J53" i="26"/>
  <c r="I53" i="26"/>
  <c r="H53" i="26"/>
  <c r="R52" i="26"/>
  <c r="S52" i="26" s="1"/>
  <c r="P52" i="26"/>
  <c r="N52" i="26"/>
  <c r="M52" i="26"/>
  <c r="J52" i="26"/>
  <c r="I52" i="26"/>
  <c r="H52" i="26"/>
  <c r="R51" i="26"/>
  <c r="S51" i="26" s="1"/>
  <c r="P51" i="26"/>
  <c r="N51" i="26"/>
  <c r="M51" i="26"/>
  <c r="J51" i="26"/>
  <c r="I51" i="26"/>
  <c r="H51" i="26"/>
  <c r="R50" i="26"/>
  <c r="S50" i="26" s="1"/>
  <c r="P50" i="26"/>
  <c r="N50" i="26"/>
  <c r="M50" i="26"/>
  <c r="J50" i="26"/>
  <c r="I50" i="26"/>
  <c r="H50" i="26"/>
  <c r="R49" i="26"/>
  <c r="S49" i="26" s="1"/>
  <c r="P49" i="26"/>
  <c r="N49" i="26"/>
  <c r="M49" i="26"/>
  <c r="J49" i="26"/>
  <c r="I49" i="26"/>
  <c r="H49" i="26"/>
  <c r="R48" i="26"/>
  <c r="S48" i="26" s="1"/>
  <c r="P48" i="26"/>
  <c r="N48" i="26"/>
  <c r="M48" i="26"/>
  <c r="J48" i="26"/>
  <c r="I48" i="26"/>
  <c r="H48" i="26"/>
  <c r="R47" i="26"/>
  <c r="S47" i="26" s="1"/>
  <c r="P47" i="26"/>
  <c r="N47" i="26"/>
  <c r="M47" i="26"/>
  <c r="J47" i="26"/>
  <c r="I47" i="26"/>
  <c r="H47" i="26"/>
  <c r="R46" i="26"/>
  <c r="S46" i="26" s="1"/>
  <c r="P46" i="26"/>
  <c r="N46" i="26"/>
  <c r="M46" i="26"/>
  <c r="J46" i="26"/>
  <c r="I46" i="26"/>
  <c r="H46" i="26"/>
  <c r="R45" i="26"/>
  <c r="S45" i="26" s="1"/>
  <c r="P45" i="26"/>
  <c r="N45" i="26"/>
  <c r="M45" i="26"/>
  <c r="J45" i="26"/>
  <c r="I45" i="26"/>
  <c r="H45" i="26"/>
  <c r="R44" i="26"/>
  <c r="S44" i="26" s="1"/>
  <c r="P44" i="26"/>
  <c r="N44" i="26"/>
  <c r="M44" i="26"/>
  <c r="J44" i="26"/>
  <c r="I44" i="26"/>
  <c r="H44" i="26"/>
  <c r="R43" i="26"/>
  <c r="S43" i="26" s="1"/>
  <c r="P43" i="26"/>
  <c r="N43" i="26"/>
  <c r="O43" i="26" s="1"/>
  <c r="M43" i="26"/>
  <c r="J43" i="26"/>
  <c r="I43" i="26"/>
  <c r="H43" i="26"/>
  <c r="R42" i="26"/>
  <c r="S42" i="26" s="1"/>
  <c r="P42" i="26"/>
  <c r="N42" i="26"/>
  <c r="M42" i="26"/>
  <c r="J42" i="26"/>
  <c r="I42" i="26"/>
  <c r="H42" i="26"/>
  <c r="R41" i="26"/>
  <c r="S41" i="26" s="1"/>
  <c r="P41" i="26"/>
  <c r="N41" i="26"/>
  <c r="M41" i="26"/>
  <c r="J41" i="26"/>
  <c r="I41" i="26"/>
  <c r="H41" i="26"/>
  <c r="R40" i="26"/>
  <c r="S40" i="26" s="1"/>
  <c r="P40" i="26"/>
  <c r="N40" i="26"/>
  <c r="O40" i="26" s="1"/>
  <c r="L40" i="26"/>
  <c r="Q40" i="26" s="1"/>
  <c r="K40" i="26"/>
  <c r="M40" i="26" s="1"/>
  <c r="J40" i="26"/>
  <c r="I40" i="26"/>
  <c r="H40" i="26"/>
  <c r="R39" i="26"/>
  <c r="S39" i="26" s="1"/>
  <c r="P39" i="26"/>
  <c r="N39" i="26"/>
  <c r="M39" i="26"/>
  <c r="J39" i="26"/>
  <c r="I39" i="26"/>
  <c r="H39" i="26"/>
  <c r="R38" i="26"/>
  <c r="S38" i="26" s="1"/>
  <c r="P38" i="26"/>
  <c r="N38" i="26"/>
  <c r="M38" i="26"/>
  <c r="J38" i="26"/>
  <c r="I38" i="26"/>
  <c r="H38" i="26"/>
  <c r="R37" i="26"/>
  <c r="S37" i="26" s="1"/>
  <c r="P37" i="26"/>
  <c r="N37" i="26"/>
  <c r="M37" i="26"/>
  <c r="J37" i="26"/>
  <c r="I37" i="26"/>
  <c r="H37" i="26"/>
  <c r="R36" i="26"/>
  <c r="S36" i="26" s="1"/>
  <c r="P36" i="26"/>
  <c r="N36" i="26"/>
  <c r="L36" i="26"/>
  <c r="Q36" i="26" s="1"/>
  <c r="K36" i="26"/>
  <c r="M36" i="26" s="1"/>
  <c r="J36" i="26"/>
  <c r="I36" i="26"/>
  <c r="H36" i="26"/>
  <c r="R35" i="26"/>
  <c r="S35" i="26" s="1"/>
  <c r="P35" i="26"/>
  <c r="N35" i="26"/>
  <c r="O35" i="26" s="1"/>
  <c r="L35" i="26"/>
  <c r="Q35" i="26" s="1"/>
  <c r="K35" i="26"/>
  <c r="M35" i="26" s="1"/>
  <c r="J35" i="26"/>
  <c r="I35" i="26"/>
  <c r="H35" i="26"/>
  <c r="R34" i="26"/>
  <c r="S34" i="26" s="1"/>
  <c r="P34" i="26"/>
  <c r="N34" i="26"/>
  <c r="O34" i="26" s="1"/>
  <c r="L34" i="26"/>
  <c r="Q34" i="26" s="1"/>
  <c r="K34" i="26"/>
  <c r="M34" i="26" s="1"/>
  <c r="J34" i="26"/>
  <c r="I34" i="26"/>
  <c r="H34" i="26"/>
  <c r="J14" i="26"/>
  <c r="J12" i="26"/>
  <c r="J11" i="26"/>
  <c r="R96" i="25"/>
  <c r="S96" i="25" s="1"/>
  <c r="P96" i="25"/>
  <c r="N96" i="25"/>
  <c r="L96" i="25"/>
  <c r="Q96" i="25" s="1"/>
  <c r="K96" i="25"/>
  <c r="M96" i="25" s="1"/>
  <c r="J96" i="25"/>
  <c r="I96" i="25"/>
  <c r="H96" i="25"/>
  <c r="R88" i="25"/>
  <c r="S88" i="25" s="1"/>
  <c r="P88" i="25"/>
  <c r="N88" i="25"/>
  <c r="K88" i="25"/>
  <c r="M88" i="25" s="1"/>
  <c r="J88" i="25"/>
  <c r="I88" i="25"/>
  <c r="H88" i="25"/>
  <c r="R87" i="25"/>
  <c r="S87" i="25" s="1"/>
  <c r="P87" i="25"/>
  <c r="N87" i="25"/>
  <c r="K87" i="25"/>
  <c r="M87" i="25" s="1"/>
  <c r="J87" i="25"/>
  <c r="I87" i="25"/>
  <c r="H87" i="25"/>
  <c r="R95" i="25"/>
  <c r="S95" i="25" s="1"/>
  <c r="P95" i="25"/>
  <c r="N95" i="25"/>
  <c r="O95" i="25" s="1"/>
  <c r="L95" i="25"/>
  <c r="Q95" i="25" s="1"/>
  <c r="K95" i="25"/>
  <c r="M95" i="25" s="1"/>
  <c r="J95" i="25"/>
  <c r="I95" i="25"/>
  <c r="H95" i="25"/>
  <c r="R86" i="25"/>
  <c r="S86" i="25" s="1"/>
  <c r="P86" i="25"/>
  <c r="N86" i="25"/>
  <c r="M86" i="25"/>
  <c r="K86" i="25"/>
  <c r="J86" i="25"/>
  <c r="I86" i="25"/>
  <c r="H86" i="25"/>
  <c r="R94" i="25"/>
  <c r="S94" i="25" s="1"/>
  <c r="Q94" i="25"/>
  <c r="P94" i="25"/>
  <c r="N94" i="25"/>
  <c r="O94" i="25" s="1"/>
  <c r="M94" i="25"/>
  <c r="L94" i="25"/>
  <c r="K94" i="25"/>
  <c r="J94" i="25"/>
  <c r="I94" i="25"/>
  <c r="H94" i="25"/>
  <c r="R93" i="25"/>
  <c r="S93" i="25" s="1"/>
  <c r="P93" i="25"/>
  <c r="N93" i="25"/>
  <c r="L93" i="25"/>
  <c r="Q93" i="25" s="1"/>
  <c r="K93" i="25"/>
  <c r="M93" i="25" s="1"/>
  <c r="J93" i="25"/>
  <c r="I93" i="25"/>
  <c r="H93" i="25"/>
  <c r="R92" i="25"/>
  <c r="S92" i="25" s="1"/>
  <c r="P92" i="25"/>
  <c r="N92" i="25"/>
  <c r="L92" i="25"/>
  <c r="Q92" i="25" s="1"/>
  <c r="K92" i="25"/>
  <c r="M92" i="25" s="1"/>
  <c r="J92" i="25"/>
  <c r="I92" i="25"/>
  <c r="H92" i="25"/>
  <c r="R91" i="25"/>
  <c r="S91" i="25" s="1"/>
  <c r="P91" i="25"/>
  <c r="N91" i="25"/>
  <c r="L91" i="25"/>
  <c r="Q91" i="25" s="1"/>
  <c r="K91" i="25"/>
  <c r="M91" i="25" s="1"/>
  <c r="J91" i="25"/>
  <c r="I91" i="25"/>
  <c r="H91" i="25"/>
  <c r="R90" i="25"/>
  <c r="S90" i="25" s="1"/>
  <c r="Q90" i="25"/>
  <c r="P90" i="25"/>
  <c r="N90" i="25"/>
  <c r="L90" i="25"/>
  <c r="K90" i="25"/>
  <c r="M90" i="25" s="1"/>
  <c r="J90" i="25"/>
  <c r="I90" i="25"/>
  <c r="H90" i="25"/>
  <c r="R89" i="25"/>
  <c r="S89" i="25" s="1"/>
  <c r="P89" i="25"/>
  <c r="N89" i="25"/>
  <c r="O89" i="25" s="1"/>
  <c r="M89" i="25"/>
  <c r="L89" i="25"/>
  <c r="Q89" i="25" s="1"/>
  <c r="K89" i="25"/>
  <c r="J89" i="25"/>
  <c r="I89" i="25"/>
  <c r="H89" i="25"/>
  <c r="D18" i="25"/>
  <c r="D17" i="25"/>
  <c r="D15" i="25"/>
  <c r="P75" i="25"/>
  <c r="N75" i="25"/>
  <c r="O75" i="25" s="1"/>
  <c r="K75" i="25"/>
  <c r="M75" i="25" s="1"/>
  <c r="P56" i="25"/>
  <c r="N56" i="25"/>
  <c r="O56" i="25" s="1"/>
  <c r="K56" i="25"/>
  <c r="M56" i="25" s="1"/>
  <c r="P78" i="25"/>
  <c r="N78" i="25"/>
  <c r="O78" i="25" s="1"/>
  <c r="L78" i="25"/>
  <c r="Q78" i="25" s="1"/>
  <c r="K78" i="25"/>
  <c r="M78" i="25" s="1"/>
  <c r="P55" i="25"/>
  <c r="N55" i="25"/>
  <c r="O55" i="25" s="1"/>
  <c r="L55" i="25"/>
  <c r="Q55" i="25" s="1"/>
  <c r="K55" i="25"/>
  <c r="M55" i="25" s="1"/>
  <c r="P40" i="25"/>
  <c r="N40" i="25"/>
  <c r="O40" i="25" s="1"/>
  <c r="L40" i="25"/>
  <c r="Q40" i="25" s="1"/>
  <c r="K40" i="25"/>
  <c r="M40" i="25" s="1"/>
  <c r="R82" i="25"/>
  <c r="S82" i="25" s="1"/>
  <c r="Q82" i="25"/>
  <c r="P82" i="25"/>
  <c r="N82" i="25"/>
  <c r="M82" i="25"/>
  <c r="J82" i="25"/>
  <c r="I82" i="25"/>
  <c r="H82" i="25"/>
  <c r="R81" i="25"/>
  <c r="S81" i="25" s="1"/>
  <c r="P81" i="25"/>
  <c r="N81" i="25"/>
  <c r="M81" i="25"/>
  <c r="J81" i="25"/>
  <c r="I81" i="25"/>
  <c r="H81" i="25"/>
  <c r="R80" i="25"/>
  <c r="S80" i="25" s="1"/>
  <c r="P80" i="25"/>
  <c r="N80" i="25"/>
  <c r="O80" i="25" s="1"/>
  <c r="M80" i="25"/>
  <c r="J80" i="25"/>
  <c r="I80" i="25"/>
  <c r="H80" i="25"/>
  <c r="R79" i="25"/>
  <c r="S79" i="25" s="1"/>
  <c r="P79" i="25"/>
  <c r="N79" i="25"/>
  <c r="O79" i="25" s="1"/>
  <c r="M79" i="25"/>
  <c r="J79" i="25"/>
  <c r="I79" i="25"/>
  <c r="H79" i="25"/>
  <c r="R78" i="25"/>
  <c r="S78" i="25" s="1"/>
  <c r="J78" i="25"/>
  <c r="I78" i="25"/>
  <c r="H78" i="25"/>
  <c r="R77" i="25"/>
  <c r="S77" i="25" s="1"/>
  <c r="P77" i="25"/>
  <c r="N77" i="25"/>
  <c r="M77" i="25"/>
  <c r="J77" i="25"/>
  <c r="I77" i="25"/>
  <c r="H77" i="25"/>
  <c r="R76" i="25"/>
  <c r="S76" i="25" s="1"/>
  <c r="P76" i="25"/>
  <c r="N76" i="25"/>
  <c r="M76" i="25"/>
  <c r="J76" i="25"/>
  <c r="I76" i="25"/>
  <c r="H76" i="25"/>
  <c r="R75" i="25"/>
  <c r="S75" i="25" s="1"/>
  <c r="J75" i="25"/>
  <c r="I75" i="25"/>
  <c r="H75" i="25"/>
  <c r="R74" i="25"/>
  <c r="S74" i="25" s="1"/>
  <c r="P74" i="25"/>
  <c r="N74" i="25"/>
  <c r="M74" i="25"/>
  <c r="J74" i="25"/>
  <c r="I74" i="25"/>
  <c r="H74" i="25"/>
  <c r="R73" i="25"/>
  <c r="S73" i="25" s="1"/>
  <c r="P73" i="25"/>
  <c r="N73" i="25"/>
  <c r="O73" i="25" s="1"/>
  <c r="M73" i="25"/>
  <c r="J73" i="25"/>
  <c r="I73" i="25"/>
  <c r="H73" i="25"/>
  <c r="R72" i="25"/>
  <c r="S72" i="25" s="1"/>
  <c r="P72" i="25"/>
  <c r="N72" i="25"/>
  <c r="M72" i="25"/>
  <c r="J72" i="25"/>
  <c r="I72" i="25"/>
  <c r="H72" i="25"/>
  <c r="R71" i="25"/>
  <c r="S71" i="25" s="1"/>
  <c r="P71" i="25"/>
  <c r="N71" i="25"/>
  <c r="O71" i="25" s="1"/>
  <c r="M71" i="25"/>
  <c r="J71" i="25"/>
  <c r="I71" i="25"/>
  <c r="H71" i="25"/>
  <c r="R70" i="25"/>
  <c r="S70" i="25" s="1"/>
  <c r="P70" i="25"/>
  <c r="N70" i="25"/>
  <c r="M70" i="25"/>
  <c r="J70" i="25"/>
  <c r="I70" i="25"/>
  <c r="H70" i="25"/>
  <c r="R69" i="25"/>
  <c r="S69" i="25" s="1"/>
  <c r="P69" i="25"/>
  <c r="N69" i="25"/>
  <c r="M69" i="25"/>
  <c r="J69" i="25"/>
  <c r="I69" i="25"/>
  <c r="H69" i="25"/>
  <c r="R68" i="25"/>
  <c r="S68" i="25" s="1"/>
  <c r="P68" i="25"/>
  <c r="N68" i="25"/>
  <c r="O68" i="25" s="1"/>
  <c r="M68" i="25"/>
  <c r="J68" i="25"/>
  <c r="I68" i="25"/>
  <c r="H68" i="25"/>
  <c r="R67" i="25"/>
  <c r="S67" i="25" s="1"/>
  <c r="P67" i="25"/>
  <c r="N67" i="25"/>
  <c r="O67" i="25" s="1"/>
  <c r="K67" i="25"/>
  <c r="M67" i="25" s="1"/>
  <c r="J67" i="25"/>
  <c r="I67" i="25"/>
  <c r="H67" i="25"/>
  <c r="R66" i="25"/>
  <c r="S66" i="25" s="1"/>
  <c r="P66" i="25"/>
  <c r="N66" i="25"/>
  <c r="L66" i="25"/>
  <c r="Q66" i="25" s="1"/>
  <c r="K66" i="25"/>
  <c r="M66" i="25" s="1"/>
  <c r="J66" i="25"/>
  <c r="I66" i="25"/>
  <c r="H66" i="25"/>
  <c r="R65" i="25"/>
  <c r="S65" i="25" s="1"/>
  <c r="P65" i="25"/>
  <c r="N65" i="25"/>
  <c r="M65" i="25"/>
  <c r="J65" i="25"/>
  <c r="I65" i="25"/>
  <c r="H65" i="25"/>
  <c r="R64" i="25"/>
  <c r="S64" i="25" s="1"/>
  <c r="P64" i="25"/>
  <c r="N64" i="25"/>
  <c r="M64" i="25"/>
  <c r="J64" i="25"/>
  <c r="I64" i="25"/>
  <c r="H64" i="25"/>
  <c r="R63" i="25"/>
  <c r="S63" i="25" s="1"/>
  <c r="P63" i="25"/>
  <c r="N63" i="25"/>
  <c r="M63" i="25"/>
  <c r="J63" i="25"/>
  <c r="I63" i="25"/>
  <c r="H63" i="25"/>
  <c r="R62" i="25"/>
  <c r="S62" i="25" s="1"/>
  <c r="P62" i="25"/>
  <c r="N62" i="25"/>
  <c r="M62" i="25"/>
  <c r="J62" i="25"/>
  <c r="I62" i="25"/>
  <c r="H62" i="25"/>
  <c r="R61" i="25"/>
  <c r="S61" i="25" s="1"/>
  <c r="P61" i="25"/>
  <c r="N61" i="25"/>
  <c r="M61" i="25"/>
  <c r="J61" i="25"/>
  <c r="I61" i="25"/>
  <c r="H61" i="25"/>
  <c r="R60" i="25"/>
  <c r="S60" i="25" s="1"/>
  <c r="P60" i="25"/>
  <c r="N60" i="25"/>
  <c r="M60" i="25"/>
  <c r="J60" i="25"/>
  <c r="I60" i="25"/>
  <c r="H60" i="25"/>
  <c r="R59" i="25"/>
  <c r="S59" i="25" s="1"/>
  <c r="P59" i="25"/>
  <c r="N59" i="25"/>
  <c r="M59" i="25"/>
  <c r="J59" i="25"/>
  <c r="I59" i="25"/>
  <c r="H59" i="25"/>
  <c r="R58" i="25"/>
  <c r="S58" i="25" s="1"/>
  <c r="P58" i="25"/>
  <c r="N58" i="25"/>
  <c r="O58" i="25" s="1"/>
  <c r="M58" i="25"/>
  <c r="J58" i="25"/>
  <c r="I58" i="25"/>
  <c r="H58" i="25"/>
  <c r="R57" i="25"/>
  <c r="S57" i="25" s="1"/>
  <c r="P57" i="25"/>
  <c r="N57" i="25"/>
  <c r="O57" i="25" s="1"/>
  <c r="M57" i="25"/>
  <c r="J57" i="25"/>
  <c r="I57" i="25"/>
  <c r="H57" i="25"/>
  <c r="R56" i="25"/>
  <c r="S56" i="25" s="1"/>
  <c r="J56" i="25"/>
  <c r="I56" i="25"/>
  <c r="H56" i="25"/>
  <c r="R55" i="25"/>
  <c r="S55" i="25" s="1"/>
  <c r="J55" i="25"/>
  <c r="I55" i="25"/>
  <c r="H55" i="25"/>
  <c r="R54" i="25"/>
  <c r="S54" i="25" s="1"/>
  <c r="P54" i="25"/>
  <c r="N54" i="25"/>
  <c r="M54" i="25"/>
  <c r="J54" i="25"/>
  <c r="I54" i="25"/>
  <c r="H54" i="25"/>
  <c r="R53" i="25"/>
  <c r="S53" i="25" s="1"/>
  <c r="P53" i="25"/>
  <c r="N53" i="25"/>
  <c r="M53" i="25"/>
  <c r="J53" i="25"/>
  <c r="I53" i="25"/>
  <c r="H53" i="25"/>
  <c r="R52" i="25"/>
  <c r="S52" i="25" s="1"/>
  <c r="P52" i="25"/>
  <c r="N52" i="25"/>
  <c r="M52" i="25"/>
  <c r="J52" i="25"/>
  <c r="I52" i="25"/>
  <c r="H52" i="25"/>
  <c r="R51" i="25"/>
  <c r="S51" i="25" s="1"/>
  <c r="P51" i="25"/>
  <c r="N51" i="25"/>
  <c r="O51" i="25" s="1"/>
  <c r="M51" i="25"/>
  <c r="J51" i="25"/>
  <c r="I51" i="25"/>
  <c r="H51" i="25"/>
  <c r="R50" i="25"/>
  <c r="S50" i="25" s="1"/>
  <c r="P50" i="25"/>
  <c r="N50" i="25"/>
  <c r="M50" i="25"/>
  <c r="J50" i="25"/>
  <c r="I50" i="25"/>
  <c r="H50" i="25"/>
  <c r="R49" i="25"/>
  <c r="S49" i="25" s="1"/>
  <c r="P49" i="25"/>
  <c r="N49" i="25"/>
  <c r="O49" i="25" s="1"/>
  <c r="M49" i="25"/>
  <c r="J49" i="25"/>
  <c r="I49" i="25"/>
  <c r="H49" i="25"/>
  <c r="R48" i="25"/>
  <c r="S48" i="25" s="1"/>
  <c r="P48" i="25"/>
  <c r="N48" i="25"/>
  <c r="M48" i="25"/>
  <c r="J48" i="25"/>
  <c r="I48" i="25"/>
  <c r="H48" i="25"/>
  <c r="R47" i="25"/>
  <c r="S47" i="25" s="1"/>
  <c r="P47" i="25"/>
  <c r="N47" i="25"/>
  <c r="O47" i="25" s="1"/>
  <c r="M47" i="25"/>
  <c r="J47" i="25"/>
  <c r="I47" i="25"/>
  <c r="H47" i="25"/>
  <c r="R46" i="25"/>
  <c r="S46" i="25" s="1"/>
  <c r="P46" i="25"/>
  <c r="N46" i="25"/>
  <c r="M46" i="25"/>
  <c r="J46" i="25"/>
  <c r="I46" i="25"/>
  <c r="H46" i="25"/>
  <c r="R45" i="25"/>
  <c r="S45" i="25" s="1"/>
  <c r="P45" i="25"/>
  <c r="N45" i="25"/>
  <c r="M45" i="25"/>
  <c r="J45" i="25"/>
  <c r="I45" i="25"/>
  <c r="H45" i="25"/>
  <c r="R44" i="25"/>
  <c r="S44" i="25" s="1"/>
  <c r="P44" i="25"/>
  <c r="N44" i="25"/>
  <c r="M44" i="25"/>
  <c r="J44" i="25"/>
  <c r="I44" i="25"/>
  <c r="H44" i="25"/>
  <c r="R43" i="25"/>
  <c r="S43" i="25" s="1"/>
  <c r="P43" i="25"/>
  <c r="N43" i="25"/>
  <c r="M43" i="25"/>
  <c r="J43" i="25"/>
  <c r="I43" i="25"/>
  <c r="H43" i="25"/>
  <c r="R42" i="25"/>
  <c r="S42" i="25" s="1"/>
  <c r="P42" i="25"/>
  <c r="N42" i="25"/>
  <c r="M42" i="25"/>
  <c r="J42" i="25"/>
  <c r="I42" i="25"/>
  <c r="H42" i="25"/>
  <c r="R41" i="25"/>
  <c r="S41" i="25" s="1"/>
  <c r="P41" i="25"/>
  <c r="N41" i="25"/>
  <c r="M41" i="25"/>
  <c r="J41" i="25"/>
  <c r="I41" i="25"/>
  <c r="H41" i="25"/>
  <c r="R40" i="25"/>
  <c r="S40" i="25" s="1"/>
  <c r="J40" i="25"/>
  <c r="I40" i="25"/>
  <c r="H40" i="25"/>
  <c r="R39" i="25"/>
  <c r="S39" i="25" s="1"/>
  <c r="P39" i="25"/>
  <c r="N39" i="25"/>
  <c r="M39" i="25"/>
  <c r="J39" i="25"/>
  <c r="I39" i="25"/>
  <c r="H39" i="25"/>
  <c r="R38" i="25"/>
  <c r="S38" i="25" s="1"/>
  <c r="P38" i="25"/>
  <c r="N38" i="25"/>
  <c r="M38" i="25"/>
  <c r="J38" i="25"/>
  <c r="I38" i="25"/>
  <c r="H38" i="25"/>
  <c r="R37" i="25"/>
  <c r="S37" i="25" s="1"/>
  <c r="P37" i="25"/>
  <c r="N37" i="25"/>
  <c r="M37" i="25"/>
  <c r="J37" i="25"/>
  <c r="I37" i="25"/>
  <c r="H37" i="25"/>
  <c r="R36" i="25"/>
  <c r="S36" i="25" s="1"/>
  <c r="P36" i="25"/>
  <c r="N36" i="25"/>
  <c r="L36" i="25"/>
  <c r="Q36" i="25" s="1"/>
  <c r="K36" i="25"/>
  <c r="M36" i="25" s="1"/>
  <c r="J36" i="25"/>
  <c r="I36" i="25"/>
  <c r="H36" i="25"/>
  <c r="R35" i="25"/>
  <c r="S35" i="25" s="1"/>
  <c r="P35" i="25"/>
  <c r="N35" i="25"/>
  <c r="L35" i="25"/>
  <c r="Q35" i="25" s="1"/>
  <c r="K35" i="25"/>
  <c r="M35" i="25" s="1"/>
  <c r="J35" i="25"/>
  <c r="I35" i="25"/>
  <c r="H35" i="25"/>
  <c r="R34" i="25"/>
  <c r="S34" i="25" s="1"/>
  <c r="P34" i="25"/>
  <c r="N34" i="25"/>
  <c r="L34" i="25"/>
  <c r="Q34" i="25" s="1"/>
  <c r="K34" i="25"/>
  <c r="M34" i="25" s="1"/>
  <c r="J34" i="25"/>
  <c r="I34" i="25"/>
  <c r="H34" i="25"/>
  <c r="R33" i="25"/>
  <c r="S33" i="25" s="1"/>
  <c r="P33" i="25"/>
  <c r="N33" i="25"/>
  <c r="O33" i="25" s="1"/>
  <c r="L33" i="25"/>
  <c r="Q33" i="25" s="1"/>
  <c r="K33" i="25"/>
  <c r="M33" i="25" s="1"/>
  <c r="J33" i="25"/>
  <c r="I33" i="25"/>
  <c r="H33" i="25"/>
  <c r="J14" i="25"/>
  <c r="J12" i="25"/>
  <c r="J11" i="25"/>
  <c r="R88" i="24"/>
  <c r="S88" i="24" s="1"/>
  <c r="P88" i="24"/>
  <c r="N88" i="24"/>
  <c r="M88" i="24"/>
  <c r="K88" i="24"/>
  <c r="J88" i="24"/>
  <c r="H88" i="24"/>
  <c r="R96" i="24"/>
  <c r="S96" i="24" s="1"/>
  <c r="Q96" i="24"/>
  <c r="P96" i="24"/>
  <c r="N96" i="24"/>
  <c r="O96" i="24" s="1"/>
  <c r="M96" i="24"/>
  <c r="L96" i="24"/>
  <c r="K96" i="24"/>
  <c r="J96" i="24"/>
  <c r="H96" i="24"/>
  <c r="R87" i="24"/>
  <c r="S87" i="24" s="1"/>
  <c r="P87" i="24"/>
  <c r="N87" i="24"/>
  <c r="T87" i="24" s="1"/>
  <c r="K87" i="24"/>
  <c r="M87" i="24" s="1"/>
  <c r="J87" i="24"/>
  <c r="H87" i="24"/>
  <c r="R95" i="24"/>
  <c r="S95" i="24" s="1"/>
  <c r="P95" i="24"/>
  <c r="N95" i="24"/>
  <c r="O95" i="24" s="1"/>
  <c r="L95" i="24"/>
  <c r="Q95" i="24" s="1"/>
  <c r="K95" i="24"/>
  <c r="M95" i="24" s="1"/>
  <c r="J95" i="24"/>
  <c r="H95" i="24"/>
  <c r="R86" i="24"/>
  <c r="S86" i="24" s="1"/>
  <c r="P86" i="24"/>
  <c r="N86" i="24"/>
  <c r="T86" i="24" s="1"/>
  <c r="M86" i="24"/>
  <c r="K86" i="24"/>
  <c r="J86" i="24"/>
  <c r="H86" i="24"/>
  <c r="P94" i="24"/>
  <c r="N94" i="24"/>
  <c r="O94" i="24" s="1"/>
  <c r="L94" i="24"/>
  <c r="K94" i="24"/>
  <c r="M94" i="24" s="1"/>
  <c r="J94" i="24"/>
  <c r="H94" i="24"/>
  <c r="H84" i="24" s="1"/>
  <c r="R93" i="24"/>
  <c r="S93" i="24" s="1"/>
  <c r="P93" i="24"/>
  <c r="N93" i="24"/>
  <c r="L93" i="24"/>
  <c r="Q93" i="24" s="1"/>
  <c r="K93" i="24"/>
  <c r="M93" i="24" s="1"/>
  <c r="J93" i="24"/>
  <c r="P42" i="24"/>
  <c r="N42" i="24"/>
  <c r="O42" i="24" s="1"/>
  <c r="L42" i="24"/>
  <c r="Q42" i="24" s="1"/>
  <c r="K42" i="24"/>
  <c r="M42" i="24" s="1"/>
  <c r="M41" i="24"/>
  <c r="N41" i="24"/>
  <c r="O41" i="24" s="1"/>
  <c r="P41" i="24"/>
  <c r="R92" i="24"/>
  <c r="S92" i="24" s="1"/>
  <c r="P92" i="24"/>
  <c r="N92" i="24"/>
  <c r="L92" i="24"/>
  <c r="Q92" i="24" s="1"/>
  <c r="K92" i="24"/>
  <c r="M92" i="24" s="1"/>
  <c r="J92" i="24"/>
  <c r="H92" i="24"/>
  <c r="R91" i="24"/>
  <c r="S91" i="24" s="1"/>
  <c r="P91" i="24"/>
  <c r="N91" i="24"/>
  <c r="O91" i="24" s="1"/>
  <c r="L91" i="24"/>
  <c r="Q91" i="24" s="1"/>
  <c r="K91" i="24"/>
  <c r="M91" i="24" s="1"/>
  <c r="J91" i="24"/>
  <c r="H91" i="24"/>
  <c r="R90" i="24"/>
  <c r="S90" i="24" s="1"/>
  <c r="Q90" i="24"/>
  <c r="P90" i="24"/>
  <c r="N90" i="24"/>
  <c r="M90" i="24"/>
  <c r="L90" i="24"/>
  <c r="K90" i="24"/>
  <c r="J90" i="24"/>
  <c r="H90" i="24"/>
  <c r="R89" i="24"/>
  <c r="S89" i="24" s="1"/>
  <c r="P89" i="24"/>
  <c r="N89" i="24"/>
  <c r="L89" i="24"/>
  <c r="Q89" i="24" s="1"/>
  <c r="K89" i="24"/>
  <c r="M89" i="24" s="1"/>
  <c r="J89" i="24"/>
  <c r="H89" i="24"/>
  <c r="D18" i="24"/>
  <c r="D17" i="24"/>
  <c r="D15" i="24"/>
  <c r="I87" i="24" l="1"/>
  <c r="I89" i="24"/>
  <c r="I86" i="24"/>
  <c r="I92" i="24"/>
  <c r="I96" i="24"/>
  <c r="I90" i="24"/>
  <c r="I88" i="24"/>
  <c r="I91" i="24"/>
  <c r="I95" i="24"/>
  <c r="I93" i="24"/>
  <c r="S84" i="24"/>
  <c r="T93" i="24"/>
  <c r="T89" i="26"/>
  <c r="T90" i="26"/>
  <c r="T91" i="26"/>
  <c r="T92" i="26"/>
  <c r="S84" i="26"/>
  <c r="T87" i="26"/>
  <c r="T88" i="26"/>
  <c r="T95" i="26"/>
  <c r="O91" i="26"/>
  <c r="O92" i="26"/>
  <c r="O95" i="26"/>
  <c r="O90" i="26"/>
  <c r="T86" i="26"/>
  <c r="O88" i="26"/>
  <c r="T94" i="26"/>
  <c r="O87" i="26"/>
  <c r="O86" i="26"/>
  <c r="O89" i="26"/>
  <c r="T71" i="26"/>
  <c r="T69" i="26"/>
  <c r="T45" i="26"/>
  <c r="T49" i="26"/>
  <c r="T53" i="26"/>
  <c r="T41" i="26"/>
  <c r="T54" i="26"/>
  <c r="T59" i="26"/>
  <c r="T63" i="26"/>
  <c r="T47" i="26"/>
  <c r="T51" i="26"/>
  <c r="T57" i="26"/>
  <c r="T61" i="26"/>
  <c r="T67" i="26"/>
  <c r="T82" i="26"/>
  <c r="O53" i="26"/>
  <c r="T36" i="26"/>
  <c r="T52" i="26"/>
  <c r="T58" i="26"/>
  <c r="O59" i="26"/>
  <c r="T60" i="26"/>
  <c r="T65" i="26"/>
  <c r="T66" i="26"/>
  <c r="O67" i="26"/>
  <c r="T68" i="26"/>
  <c r="T74" i="26"/>
  <c r="T75" i="26"/>
  <c r="O41" i="26"/>
  <c r="T43" i="26"/>
  <c r="O45" i="26"/>
  <c r="T77" i="26"/>
  <c r="T79" i="26"/>
  <c r="O61" i="26"/>
  <c r="O69" i="26"/>
  <c r="T37" i="26"/>
  <c r="T38" i="26"/>
  <c r="T42" i="26"/>
  <c r="T44" i="26"/>
  <c r="T46" i="26"/>
  <c r="O47" i="26"/>
  <c r="T48" i="26"/>
  <c r="O49" i="26"/>
  <c r="T50" i="26"/>
  <c r="O51" i="26"/>
  <c r="T56" i="26"/>
  <c r="O57" i="26"/>
  <c r="T64" i="26"/>
  <c r="O65" i="26"/>
  <c r="T72" i="26"/>
  <c r="T73" i="26"/>
  <c r="T76" i="26"/>
  <c r="T80" i="26"/>
  <c r="T81" i="26"/>
  <c r="T34" i="26"/>
  <c r="T39" i="26"/>
  <c r="T55" i="26"/>
  <c r="T62" i="26"/>
  <c r="O63" i="26"/>
  <c r="O66" i="26"/>
  <c r="T70" i="26"/>
  <c r="O71" i="26"/>
  <c r="O79" i="26"/>
  <c r="T35" i="26"/>
  <c r="O36" i="26"/>
  <c r="T40" i="26"/>
  <c r="O42" i="26"/>
  <c r="O44" i="26"/>
  <c r="O46" i="26"/>
  <c r="O48" i="26"/>
  <c r="O50" i="26"/>
  <c r="O52" i="26"/>
  <c r="O54" i="26"/>
  <c r="O55" i="26"/>
  <c r="O56" i="26"/>
  <c r="O58" i="26"/>
  <c r="O60" i="26"/>
  <c r="O62" i="26"/>
  <c r="O64" i="26"/>
  <c r="O68" i="26"/>
  <c r="O70" i="26"/>
  <c r="O72" i="26"/>
  <c r="O74" i="26"/>
  <c r="S76" i="26"/>
  <c r="T78" i="26"/>
  <c r="O80" i="26"/>
  <c r="O82" i="26"/>
  <c r="O38" i="26"/>
  <c r="O37" i="26"/>
  <c r="O39" i="26"/>
  <c r="O75" i="26"/>
  <c r="O77" i="26"/>
  <c r="T91" i="25"/>
  <c r="T92" i="25"/>
  <c r="T90" i="25"/>
  <c r="T86" i="25"/>
  <c r="T87" i="25"/>
  <c r="T88" i="25"/>
  <c r="O92" i="25"/>
  <c r="O90" i="25"/>
  <c r="O91" i="25"/>
  <c r="T96" i="25"/>
  <c r="T93" i="25"/>
  <c r="O96" i="25"/>
  <c r="O88" i="25"/>
  <c r="T95" i="25"/>
  <c r="O87" i="25"/>
  <c r="T94" i="25"/>
  <c r="O86" i="25"/>
  <c r="O93" i="25"/>
  <c r="T89" i="25"/>
  <c r="T77" i="25"/>
  <c r="H84" i="25"/>
  <c r="T82" i="25"/>
  <c r="T46" i="25"/>
  <c r="T50" i="25"/>
  <c r="T59" i="25"/>
  <c r="T63" i="25"/>
  <c r="T45" i="25"/>
  <c r="T54" i="25"/>
  <c r="T62" i="25"/>
  <c r="T69" i="25"/>
  <c r="T78" i="25"/>
  <c r="T79" i="25"/>
  <c r="T39" i="25"/>
  <c r="T40" i="25"/>
  <c r="T41" i="25"/>
  <c r="T43" i="25"/>
  <c r="T60" i="25"/>
  <c r="T64" i="25"/>
  <c r="T70" i="25"/>
  <c r="T81" i="25"/>
  <c r="T36" i="25"/>
  <c r="T44" i="25"/>
  <c r="T52" i="25"/>
  <c r="T53" i="25"/>
  <c r="T61" i="25"/>
  <c r="T65" i="25"/>
  <c r="T66" i="25"/>
  <c r="T35" i="25"/>
  <c r="O59" i="25"/>
  <c r="T71" i="25"/>
  <c r="T72" i="25"/>
  <c r="T56" i="25"/>
  <c r="O65" i="25"/>
  <c r="O45" i="25"/>
  <c r="O63" i="25"/>
  <c r="O66" i="25"/>
  <c r="O69" i="25"/>
  <c r="T75" i="25"/>
  <c r="T76" i="25"/>
  <c r="O77" i="25"/>
  <c r="I84" i="25"/>
  <c r="O43" i="25"/>
  <c r="O61" i="25"/>
  <c r="T73" i="25"/>
  <c r="T74" i="25"/>
  <c r="T34" i="25"/>
  <c r="O34" i="25"/>
  <c r="T55" i="25"/>
  <c r="T57" i="25"/>
  <c r="T33" i="25"/>
  <c r="T58" i="25"/>
  <c r="T80" i="25"/>
  <c r="T47" i="25"/>
  <c r="T49" i="25"/>
  <c r="T51" i="25"/>
  <c r="T67" i="25"/>
  <c r="S84" i="25"/>
  <c r="T37" i="25"/>
  <c r="T38" i="25"/>
  <c r="T42" i="25"/>
  <c r="T48" i="25"/>
  <c r="T68" i="25"/>
  <c r="O81" i="25"/>
  <c r="O35" i="25"/>
  <c r="O37" i="25"/>
  <c r="O39" i="25"/>
  <c r="O41" i="25"/>
  <c r="O42" i="25"/>
  <c r="O36" i="25"/>
  <c r="O44" i="25"/>
  <c r="O46" i="25"/>
  <c r="O48" i="25"/>
  <c r="O50" i="25"/>
  <c r="O52" i="25"/>
  <c r="O53" i="25"/>
  <c r="O54" i="25"/>
  <c r="O60" i="25"/>
  <c r="O62" i="25"/>
  <c r="O64" i="25"/>
  <c r="O70" i="25"/>
  <c r="O72" i="25"/>
  <c r="O74" i="25"/>
  <c r="O76" i="25"/>
  <c r="O82" i="25"/>
  <c r="O38" i="25"/>
  <c r="T89" i="24"/>
  <c r="T92" i="24"/>
  <c r="T88" i="24"/>
  <c r="T91" i="24"/>
  <c r="T90" i="24"/>
  <c r="O92" i="24"/>
  <c r="O93" i="24"/>
  <c r="T96" i="24"/>
  <c r="O88" i="24"/>
  <c r="T95" i="24"/>
  <c r="O87" i="24"/>
  <c r="O86" i="24"/>
  <c r="O89" i="24"/>
  <c r="O90" i="24"/>
  <c r="P81" i="24"/>
  <c r="N81" i="24"/>
  <c r="O81" i="24" s="1"/>
  <c r="K81" i="24"/>
  <c r="M81" i="24" s="1"/>
  <c r="P80" i="24"/>
  <c r="N80" i="24"/>
  <c r="O80" i="24" s="1"/>
  <c r="L80" i="24"/>
  <c r="Q80" i="24" s="1"/>
  <c r="K80" i="24"/>
  <c r="M80" i="24" s="1"/>
  <c r="P67" i="24"/>
  <c r="N67" i="24"/>
  <c r="O67" i="24" s="1"/>
  <c r="M67" i="24"/>
  <c r="K67" i="24"/>
  <c r="P66" i="24"/>
  <c r="N66" i="24"/>
  <c r="O66" i="24" s="1"/>
  <c r="L66" i="24"/>
  <c r="Q66" i="24" s="1"/>
  <c r="K66" i="24"/>
  <c r="M66" i="24" s="1"/>
  <c r="R82" i="24"/>
  <c r="S82" i="24" s="1"/>
  <c r="Q82" i="24"/>
  <c r="P82" i="24"/>
  <c r="N82" i="24"/>
  <c r="O82" i="24" s="1"/>
  <c r="M82" i="24"/>
  <c r="J82" i="24"/>
  <c r="I82" i="24"/>
  <c r="H82" i="24"/>
  <c r="R81" i="24"/>
  <c r="S81" i="24" s="1"/>
  <c r="J81" i="24"/>
  <c r="I81" i="24"/>
  <c r="H81" i="24"/>
  <c r="R80" i="24"/>
  <c r="S80" i="24" s="1"/>
  <c r="J80" i="24"/>
  <c r="I80" i="24"/>
  <c r="H80" i="24"/>
  <c r="R79" i="24"/>
  <c r="S79" i="24" s="1"/>
  <c r="P79" i="24"/>
  <c r="N79" i="24"/>
  <c r="M79" i="24"/>
  <c r="J79" i="24"/>
  <c r="I79" i="24"/>
  <c r="H79" i="24"/>
  <c r="R78" i="24"/>
  <c r="S78" i="24" s="1"/>
  <c r="P78" i="24"/>
  <c r="N78" i="24"/>
  <c r="M78" i="24"/>
  <c r="J78" i="24"/>
  <c r="I78" i="24"/>
  <c r="H78" i="24"/>
  <c r="R77" i="24"/>
  <c r="S77" i="24" s="1"/>
  <c r="P77" i="24"/>
  <c r="N77" i="24"/>
  <c r="O77" i="24" s="1"/>
  <c r="M77" i="24"/>
  <c r="J77" i="24"/>
  <c r="I77" i="24"/>
  <c r="H77" i="24"/>
  <c r="R76" i="24"/>
  <c r="S76" i="24" s="1"/>
  <c r="P76" i="24"/>
  <c r="N76" i="24"/>
  <c r="O76" i="24" s="1"/>
  <c r="M76" i="24"/>
  <c r="J76" i="24"/>
  <c r="I76" i="24"/>
  <c r="H76" i="24"/>
  <c r="R75" i="24"/>
  <c r="S75" i="24" s="1"/>
  <c r="P75" i="24"/>
  <c r="N75" i="24"/>
  <c r="O75" i="24" s="1"/>
  <c r="M75" i="24"/>
  <c r="J75" i="24"/>
  <c r="I75" i="24"/>
  <c r="H75" i="24"/>
  <c r="R74" i="24"/>
  <c r="S74" i="24" s="1"/>
  <c r="P74" i="24"/>
  <c r="N74" i="24"/>
  <c r="M74" i="24"/>
  <c r="J74" i="24"/>
  <c r="I74" i="24"/>
  <c r="H74" i="24"/>
  <c r="R73" i="24"/>
  <c r="S73" i="24" s="1"/>
  <c r="P73" i="24"/>
  <c r="N73" i="24"/>
  <c r="O73" i="24" s="1"/>
  <c r="M73" i="24"/>
  <c r="J73" i="24"/>
  <c r="I73" i="24"/>
  <c r="H73" i="24"/>
  <c r="R72" i="24"/>
  <c r="S72" i="24" s="1"/>
  <c r="P72" i="24"/>
  <c r="N72" i="24"/>
  <c r="O72" i="24" s="1"/>
  <c r="M72" i="24"/>
  <c r="J72" i="24"/>
  <c r="I72" i="24"/>
  <c r="H72" i="24"/>
  <c r="R71" i="24"/>
  <c r="S71" i="24" s="1"/>
  <c r="P71" i="24"/>
  <c r="N71" i="24"/>
  <c r="O71" i="24" s="1"/>
  <c r="M71" i="24"/>
  <c r="J71" i="24"/>
  <c r="I71" i="24"/>
  <c r="H71" i="24"/>
  <c r="R70" i="24"/>
  <c r="S70" i="24" s="1"/>
  <c r="P70" i="24"/>
  <c r="N70" i="24"/>
  <c r="M70" i="24"/>
  <c r="J70" i="24"/>
  <c r="I70" i="24"/>
  <c r="H70" i="24"/>
  <c r="R69" i="24"/>
  <c r="S69" i="24" s="1"/>
  <c r="P69" i="24"/>
  <c r="N69" i="24"/>
  <c r="O69" i="24" s="1"/>
  <c r="M69" i="24"/>
  <c r="J69" i="24"/>
  <c r="I69" i="24"/>
  <c r="H69" i="24"/>
  <c r="R68" i="24"/>
  <c r="S68" i="24" s="1"/>
  <c r="P68" i="24"/>
  <c r="N68" i="24"/>
  <c r="O68" i="24" s="1"/>
  <c r="M68" i="24"/>
  <c r="J68" i="24"/>
  <c r="I68" i="24"/>
  <c r="H68" i="24"/>
  <c r="R67" i="24"/>
  <c r="S67" i="24" s="1"/>
  <c r="J67" i="24"/>
  <c r="I67" i="24"/>
  <c r="H67" i="24"/>
  <c r="R66" i="24"/>
  <c r="S66" i="24" s="1"/>
  <c r="J66" i="24"/>
  <c r="I66" i="24"/>
  <c r="H66" i="24"/>
  <c r="R65" i="24"/>
  <c r="S65" i="24" s="1"/>
  <c r="P65" i="24"/>
  <c r="N65" i="24"/>
  <c r="O65" i="24" s="1"/>
  <c r="M65" i="24"/>
  <c r="J65" i="24"/>
  <c r="I65" i="24"/>
  <c r="H65" i="24"/>
  <c r="R64" i="24"/>
  <c r="S64" i="24" s="1"/>
  <c r="P64" i="24"/>
  <c r="N64" i="24"/>
  <c r="M64" i="24"/>
  <c r="J64" i="24"/>
  <c r="I64" i="24"/>
  <c r="H64" i="24"/>
  <c r="R63" i="24"/>
  <c r="S63" i="24" s="1"/>
  <c r="P63" i="24"/>
  <c r="N63" i="24"/>
  <c r="O63" i="24" s="1"/>
  <c r="M63" i="24"/>
  <c r="J63" i="24"/>
  <c r="I63" i="24"/>
  <c r="H63" i="24"/>
  <c r="R62" i="24"/>
  <c r="S62" i="24" s="1"/>
  <c r="P62" i="24"/>
  <c r="N62" i="24"/>
  <c r="M62" i="24"/>
  <c r="J62" i="24"/>
  <c r="I62" i="24"/>
  <c r="H62" i="24"/>
  <c r="R61" i="24"/>
  <c r="S61" i="24" s="1"/>
  <c r="P61" i="24"/>
  <c r="N61" i="24"/>
  <c r="O61" i="24" s="1"/>
  <c r="M61" i="24"/>
  <c r="J61" i="24"/>
  <c r="I61" i="24"/>
  <c r="H61" i="24"/>
  <c r="R60" i="24"/>
  <c r="S60" i="24" s="1"/>
  <c r="P60" i="24"/>
  <c r="N60" i="24"/>
  <c r="M60" i="24"/>
  <c r="J60" i="24"/>
  <c r="I60" i="24"/>
  <c r="H60" i="24"/>
  <c r="R59" i="24"/>
  <c r="S59" i="24" s="1"/>
  <c r="P59" i="24"/>
  <c r="N59" i="24"/>
  <c r="O59" i="24" s="1"/>
  <c r="M59" i="24"/>
  <c r="J59" i="24"/>
  <c r="I59" i="24"/>
  <c r="H59" i="24"/>
  <c r="R58" i="24"/>
  <c r="S58" i="24" s="1"/>
  <c r="P58" i="24"/>
  <c r="N58" i="24"/>
  <c r="M58" i="24"/>
  <c r="J58" i="24"/>
  <c r="I58" i="24"/>
  <c r="H58" i="24"/>
  <c r="R57" i="24"/>
  <c r="S57" i="24" s="1"/>
  <c r="P57" i="24"/>
  <c r="N57" i="24"/>
  <c r="O57" i="24" s="1"/>
  <c r="M57" i="24"/>
  <c r="J57" i="24"/>
  <c r="I57" i="24"/>
  <c r="H57" i="24"/>
  <c r="R56" i="24"/>
  <c r="S56" i="24" s="1"/>
  <c r="P56" i="24"/>
  <c r="N56" i="24"/>
  <c r="O56" i="24" s="1"/>
  <c r="M56" i="24"/>
  <c r="J56" i="24"/>
  <c r="I56" i="24"/>
  <c r="H56" i="24"/>
  <c r="R55" i="24"/>
  <c r="S55" i="24" s="1"/>
  <c r="P55" i="24"/>
  <c r="N55" i="24"/>
  <c r="O55" i="24" s="1"/>
  <c r="M55" i="24"/>
  <c r="J55" i="24"/>
  <c r="I55" i="24"/>
  <c r="H55" i="24"/>
  <c r="R54" i="24"/>
  <c r="S54" i="24" s="1"/>
  <c r="P54" i="24"/>
  <c r="N54" i="24"/>
  <c r="K54" i="24"/>
  <c r="M54" i="24" s="1"/>
  <c r="J54" i="24"/>
  <c r="I54" i="24"/>
  <c r="H54" i="24"/>
  <c r="R53" i="24"/>
  <c r="S53" i="24" s="1"/>
  <c r="P53" i="24"/>
  <c r="N53" i="24"/>
  <c r="L53" i="24"/>
  <c r="Q53" i="24" s="1"/>
  <c r="K53" i="24"/>
  <c r="M53" i="24" s="1"/>
  <c r="J53" i="24"/>
  <c r="I53" i="24"/>
  <c r="H53" i="24"/>
  <c r="R52" i="24"/>
  <c r="S52" i="24" s="1"/>
  <c r="P52" i="24"/>
  <c r="N52" i="24"/>
  <c r="O52" i="24" s="1"/>
  <c r="M52" i="24"/>
  <c r="J52" i="24"/>
  <c r="I52" i="24"/>
  <c r="H52" i="24"/>
  <c r="R51" i="24"/>
  <c r="S51" i="24" s="1"/>
  <c r="P51" i="24"/>
  <c r="N51" i="24"/>
  <c r="O51" i="24" s="1"/>
  <c r="M51" i="24"/>
  <c r="J51" i="24"/>
  <c r="I51" i="24"/>
  <c r="H51" i="24"/>
  <c r="R50" i="24"/>
  <c r="S50" i="24" s="1"/>
  <c r="P50" i="24"/>
  <c r="N50" i="24"/>
  <c r="O50" i="24" s="1"/>
  <c r="M50" i="24"/>
  <c r="J50" i="24"/>
  <c r="I50" i="24"/>
  <c r="H50" i="24"/>
  <c r="R49" i="24"/>
  <c r="S49" i="24" s="1"/>
  <c r="P49" i="24"/>
  <c r="N49" i="24"/>
  <c r="O49" i="24" s="1"/>
  <c r="M49" i="24"/>
  <c r="J49" i="24"/>
  <c r="I49" i="24"/>
  <c r="H49" i="24"/>
  <c r="R48" i="24"/>
  <c r="S48" i="24" s="1"/>
  <c r="P48" i="24"/>
  <c r="N48" i="24"/>
  <c r="M48" i="24"/>
  <c r="J48" i="24"/>
  <c r="I48" i="24"/>
  <c r="H48" i="24"/>
  <c r="R47" i="24"/>
  <c r="S47" i="24" s="1"/>
  <c r="P47" i="24"/>
  <c r="N47" i="24"/>
  <c r="O47" i="24" s="1"/>
  <c r="M47" i="24"/>
  <c r="J47" i="24"/>
  <c r="I47" i="24"/>
  <c r="H47" i="24"/>
  <c r="R46" i="24"/>
  <c r="S46" i="24" s="1"/>
  <c r="P46" i="24"/>
  <c r="N46" i="24"/>
  <c r="M46" i="24"/>
  <c r="J46" i="24"/>
  <c r="I46" i="24"/>
  <c r="H46" i="24"/>
  <c r="R45" i="24"/>
  <c r="S45" i="24" s="1"/>
  <c r="P45" i="24"/>
  <c r="N45" i="24"/>
  <c r="O45" i="24" s="1"/>
  <c r="M45" i="24"/>
  <c r="J45" i="24"/>
  <c r="I45" i="24"/>
  <c r="H45" i="24"/>
  <c r="R44" i="24"/>
  <c r="S44" i="24" s="1"/>
  <c r="P44" i="24"/>
  <c r="N44" i="24"/>
  <c r="M44" i="24"/>
  <c r="J44" i="24"/>
  <c r="I44" i="24"/>
  <c r="H44" i="24"/>
  <c r="R43" i="24"/>
  <c r="S43" i="24" s="1"/>
  <c r="P43" i="24"/>
  <c r="N43" i="24"/>
  <c r="O43" i="24" s="1"/>
  <c r="M43" i="24"/>
  <c r="J43" i="24"/>
  <c r="I43" i="24"/>
  <c r="H43" i="24"/>
  <c r="R42" i="24"/>
  <c r="S42" i="24" s="1"/>
  <c r="J42" i="24"/>
  <c r="I42" i="24"/>
  <c r="H42" i="24"/>
  <c r="R41" i="24"/>
  <c r="S41" i="24" s="1"/>
  <c r="J41" i="24"/>
  <c r="I41" i="24"/>
  <c r="H41" i="24"/>
  <c r="R40" i="24"/>
  <c r="S40" i="24" s="1"/>
  <c r="P40" i="24"/>
  <c r="N40" i="24"/>
  <c r="M40" i="24"/>
  <c r="J40" i="24"/>
  <c r="I40" i="24"/>
  <c r="H40" i="24"/>
  <c r="R39" i="24"/>
  <c r="S39" i="24" s="1"/>
  <c r="P39" i="24"/>
  <c r="N39" i="24"/>
  <c r="O39" i="24" s="1"/>
  <c r="M39" i="24"/>
  <c r="J39" i="24"/>
  <c r="I39" i="24"/>
  <c r="H39" i="24"/>
  <c r="R38" i="24"/>
  <c r="S38" i="24" s="1"/>
  <c r="P38" i="24"/>
  <c r="N38" i="24"/>
  <c r="M38" i="24"/>
  <c r="J38" i="24"/>
  <c r="I38" i="24"/>
  <c r="H38" i="24"/>
  <c r="R37" i="24"/>
  <c r="S37" i="24" s="1"/>
  <c r="P37" i="24"/>
  <c r="N37" i="24"/>
  <c r="M37" i="24"/>
  <c r="J37" i="24"/>
  <c r="I37" i="24"/>
  <c r="H37" i="24"/>
  <c r="R36" i="24"/>
  <c r="S36" i="24" s="1"/>
  <c r="P36" i="24"/>
  <c r="N36" i="24"/>
  <c r="L36" i="24"/>
  <c r="Q36" i="24" s="1"/>
  <c r="K36" i="24"/>
  <c r="M36" i="24" s="1"/>
  <c r="J36" i="24"/>
  <c r="I36" i="24"/>
  <c r="H36" i="24"/>
  <c r="R35" i="24"/>
  <c r="S35" i="24" s="1"/>
  <c r="P35" i="24"/>
  <c r="N35" i="24"/>
  <c r="L35" i="24"/>
  <c r="Q35" i="24" s="1"/>
  <c r="K35" i="24"/>
  <c r="M35" i="24" s="1"/>
  <c r="J35" i="24"/>
  <c r="I35" i="24"/>
  <c r="H35" i="24"/>
  <c r="R34" i="24"/>
  <c r="S34" i="24" s="1"/>
  <c r="P34" i="24"/>
  <c r="N34" i="24"/>
  <c r="O34" i="24" s="1"/>
  <c r="L34" i="24"/>
  <c r="Q34" i="24" s="1"/>
  <c r="K34" i="24"/>
  <c r="M34" i="24" s="1"/>
  <c r="J34" i="24"/>
  <c r="I34" i="24"/>
  <c r="H34" i="24"/>
  <c r="R33" i="24"/>
  <c r="S33" i="24" s="1"/>
  <c r="P33" i="24"/>
  <c r="N33" i="24"/>
  <c r="O33" i="24" s="1"/>
  <c r="L33" i="24"/>
  <c r="Q33" i="24" s="1"/>
  <c r="K33" i="24"/>
  <c r="M33" i="24" s="1"/>
  <c r="J33" i="24"/>
  <c r="I33" i="24"/>
  <c r="H33" i="24"/>
  <c r="J14" i="24"/>
  <c r="J12" i="24"/>
  <c r="J11" i="24"/>
  <c r="O84" i="26" l="1"/>
  <c r="T84" i="24"/>
  <c r="I84" i="24"/>
  <c r="T84" i="26"/>
  <c r="T84" i="25"/>
  <c r="O84" i="25"/>
  <c r="O84" i="24"/>
  <c r="T64" i="24"/>
  <c r="T38" i="24"/>
  <c r="T40" i="24"/>
  <c r="T35" i="24"/>
  <c r="T37" i="24"/>
  <c r="T80" i="24"/>
  <c r="T46" i="24"/>
  <c r="T78" i="24"/>
  <c r="T39" i="24"/>
  <c r="T48" i="24"/>
  <c r="T44" i="24"/>
  <c r="T82" i="24"/>
  <c r="O35" i="24"/>
  <c r="T53" i="24"/>
  <c r="O64" i="24"/>
  <c r="O78" i="24"/>
  <c r="T36" i="24"/>
  <c r="O37" i="24"/>
  <c r="O40" i="24"/>
  <c r="T81" i="24"/>
  <c r="T34" i="24"/>
  <c r="T54" i="24"/>
  <c r="T58" i="24"/>
  <c r="T60" i="24"/>
  <c r="T62" i="24"/>
  <c r="T66" i="24"/>
  <c r="T70" i="24"/>
  <c r="T74" i="24"/>
  <c r="T79" i="24"/>
  <c r="T42" i="24"/>
  <c r="O44" i="24"/>
  <c r="T50" i="24"/>
  <c r="T52" i="24"/>
  <c r="O53" i="24"/>
  <c r="T56" i="24"/>
  <c r="O58" i="24"/>
  <c r="O62" i="24"/>
  <c r="T68" i="24"/>
  <c r="O70" i="24"/>
  <c r="T72" i="24"/>
  <c r="T76" i="24"/>
  <c r="T33" i="24"/>
  <c r="T41" i="24"/>
  <c r="T43" i="24"/>
  <c r="T45" i="24"/>
  <c r="T47" i="24"/>
  <c r="T49" i="24"/>
  <c r="T51" i="24"/>
  <c r="T55" i="24"/>
  <c r="T57" i="24"/>
  <c r="T59" i="24"/>
  <c r="T61" i="24"/>
  <c r="T63" i="24"/>
  <c r="T65" i="24"/>
  <c r="T67" i="24"/>
  <c r="T69" i="24"/>
  <c r="T71" i="24"/>
  <c r="T73" i="24"/>
  <c r="T75" i="24"/>
  <c r="T77" i="24"/>
  <c r="O36" i="24"/>
  <c r="O46" i="24"/>
  <c r="O48" i="24"/>
  <c r="O54" i="24"/>
  <c r="O60" i="24"/>
  <c r="O74" i="24"/>
  <c r="O38" i="24"/>
  <c r="O79" i="24"/>
  <c r="R95" i="23"/>
  <c r="S95" i="23" s="1"/>
  <c r="P95" i="23"/>
  <c r="N95" i="23"/>
  <c r="L95" i="23"/>
  <c r="Q95" i="23" s="1"/>
  <c r="K95" i="23"/>
  <c r="M95" i="23" s="1"/>
  <c r="J95" i="23"/>
  <c r="I95" i="23"/>
  <c r="H95" i="23"/>
  <c r="R87" i="23"/>
  <c r="S87" i="23" s="1"/>
  <c r="P87" i="23"/>
  <c r="N87" i="23"/>
  <c r="K87" i="23"/>
  <c r="M87" i="23" s="1"/>
  <c r="J87" i="23"/>
  <c r="I87" i="23"/>
  <c r="H87" i="23"/>
  <c r="R94" i="23"/>
  <c r="S94" i="23" s="1"/>
  <c r="Q94" i="23"/>
  <c r="P94" i="23"/>
  <c r="N94" i="23"/>
  <c r="O94" i="23" s="1"/>
  <c r="M94" i="23"/>
  <c r="L94" i="23"/>
  <c r="K94" i="23"/>
  <c r="J94" i="23"/>
  <c r="I94" i="23"/>
  <c r="H94" i="23"/>
  <c r="R86" i="23"/>
  <c r="S86" i="23" s="1"/>
  <c r="P86" i="23"/>
  <c r="N86" i="23"/>
  <c r="K86" i="23"/>
  <c r="M86" i="23" s="1"/>
  <c r="J86" i="23"/>
  <c r="I86" i="23"/>
  <c r="H86" i="23"/>
  <c r="R93" i="23"/>
  <c r="P93" i="23"/>
  <c r="N93" i="23"/>
  <c r="O93" i="23" s="1"/>
  <c r="L93" i="23"/>
  <c r="K93" i="23"/>
  <c r="M93" i="23" s="1"/>
  <c r="J93" i="23"/>
  <c r="I93" i="23"/>
  <c r="H93" i="23"/>
  <c r="R92" i="23"/>
  <c r="S92" i="23" s="1"/>
  <c r="P92" i="23"/>
  <c r="N92" i="23"/>
  <c r="L92" i="23"/>
  <c r="Q92" i="23" s="1"/>
  <c r="K92" i="23"/>
  <c r="M92" i="23" s="1"/>
  <c r="J92" i="23"/>
  <c r="I92" i="23"/>
  <c r="H92" i="23"/>
  <c r="R91" i="23"/>
  <c r="S91" i="23" s="1"/>
  <c r="P91" i="23"/>
  <c r="N91" i="23"/>
  <c r="L91" i="23"/>
  <c r="Q91" i="23" s="1"/>
  <c r="K91" i="23"/>
  <c r="M91" i="23" s="1"/>
  <c r="J91" i="23"/>
  <c r="I91" i="23"/>
  <c r="H91" i="23"/>
  <c r="S90" i="23"/>
  <c r="R90" i="23"/>
  <c r="P90" i="23"/>
  <c r="N90" i="23"/>
  <c r="T90" i="23" s="1"/>
  <c r="L90" i="23"/>
  <c r="Q90" i="23" s="1"/>
  <c r="K90" i="23"/>
  <c r="M90" i="23" s="1"/>
  <c r="J90" i="23"/>
  <c r="I90" i="23"/>
  <c r="H90" i="23"/>
  <c r="R89" i="23"/>
  <c r="S89" i="23" s="1"/>
  <c r="P89" i="23"/>
  <c r="N89" i="23"/>
  <c r="O89" i="23" s="1"/>
  <c r="L89" i="23"/>
  <c r="Q89" i="23" s="1"/>
  <c r="K89" i="23"/>
  <c r="M89" i="23" s="1"/>
  <c r="J89" i="23"/>
  <c r="I89" i="23"/>
  <c r="H89" i="23"/>
  <c r="R88" i="23"/>
  <c r="S88" i="23" s="1"/>
  <c r="Q88" i="23"/>
  <c r="P88" i="23"/>
  <c r="N88" i="23"/>
  <c r="M88" i="23"/>
  <c r="L88" i="23"/>
  <c r="K88" i="23"/>
  <c r="J88" i="23"/>
  <c r="I88" i="23"/>
  <c r="H88" i="23"/>
  <c r="D18" i="23"/>
  <c r="D15" i="23"/>
  <c r="R82" i="23"/>
  <c r="S82" i="23" s="1"/>
  <c r="Q82" i="23"/>
  <c r="P82" i="23"/>
  <c r="N82" i="23"/>
  <c r="M82" i="23"/>
  <c r="J82" i="23"/>
  <c r="I82" i="23"/>
  <c r="H82" i="23"/>
  <c r="R81" i="23"/>
  <c r="S81" i="23" s="1"/>
  <c r="P81" i="23"/>
  <c r="N81" i="23"/>
  <c r="M81" i="23"/>
  <c r="J81" i="23"/>
  <c r="I81" i="23"/>
  <c r="H81" i="23"/>
  <c r="R80" i="23"/>
  <c r="P80" i="23"/>
  <c r="N80" i="23"/>
  <c r="O80" i="23" s="1"/>
  <c r="M80" i="23"/>
  <c r="J80" i="23"/>
  <c r="I80" i="23"/>
  <c r="H80" i="23"/>
  <c r="R79" i="23"/>
  <c r="S79" i="23" s="1"/>
  <c r="P79" i="23"/>
  <c r="N79" i="23"/>
  <c r="M79" i="23"/>
  <c r="J79" i="23"/>
  <c r="I79" i="23"/>
  <c r="H79" i="23"/>
  <c r="R78" i="23"/>
  <c r="S78" i="23" s="1"/>
  <c r="P78" i="23"/>
  <c r="N78" i="23"/>
  <c r="L78" i="23"/>
  <c r="Q78" i="23" s="1"/>
  <c r="K78" i="23"/>
  <c r="M78" i="23" s="1"/>
  <c r="J78" i="23"/>
  <c r="I78" i="23"/>
  <c r="H78" i="23"/>
  <c r="R77" i="23"/>
  <c r="S77" i="23" s="1"/>
  <c r="P77" i="23"/>
  <c r="N77" i="23"/>
  <c r="M77" i="23"/>
  <c r="J77" i="23"/>
  <c r="I77" i="23"/>
  <c r="H77" i="23"/>
  <c r="R76" i="23"/>
  <c r="S76" i="23" s="1"/>
  <c r="P76" i="23"/>
  <c r="N76" i="23"/>
  <c r="M76" i="23"/>
  <c r="J76" i="23"/>
  <c r="I76" i="23"/>
  <c r="H76" i="23"/>
  <c r="R75" i="23"/>
  <c r="S75" i="23" s="1"/>
  <c r="P75" i="23"/>
  <c r="N75" i="23"/>
  <c r="M75" i="23"/>
  <c r="J75" i="23"/>
  <c r="I75" i="23"/>
  <c r="H75" i="23"/>
  <c r="R74" i="23"/>
  <c r="S74" i="23" s="1"/>
  <c r="P74" i="23"/>
  <c r="N74" i="23"/>
  <c r="M74" i="23"/>
  <c r="J74" i="23"/>
  <c r="I74" i="23"/>
  <c r="H74" i="23"/>
  <c r="R73" i="23"/>
  <c r="S73" i="23" s="1"/>
  <c r="P73" i="23"/>
  <c r="N73" i="23"/>
  <c r="M73" i="23"/>
  <c r="J73" i="23"/>
  <c r="I73" i="23"/>
  <c r="H73" i="23"/>
  <c r="R72" i="23"/>
  <c r="S72" i="23" s="1"/>
  <c r="P72" i="23"/>
  <c r="N72" i="23"/>
  <c r="M72" i="23"/>
  <c r="J72" i="23"/>
  <c r="I72" i="23"/>
  <c r="H72" i="23"/>
  <c r="R71" i="23"/>
  <c r="S71" i="23" s="1"/>
  <c r="P71" i="23"/>
  <c r="N71" i="23"/>
  <c r="M71" i="23"/>
  <c r="J71" i="23"/>
  <c r="I71" i="23"/>
  <c r="H71" i="23"/>
  <c r="R70" i="23"/>
  <c r="S70" i="23" s="1"/>
  <c r="P70" i="23"/>
  <c r="N70" i="23"/>
  <c r="M70" i="23"/>
  <c r="J70" i="23"/>
  <c r="I70" i="23"/>
  <c r="H70" i="23"/>
  <c r="R69" i="23"/>
  <c r="S69" i="23" s="1"/>
  <c r="P69" i="23"/>
  <c r="N69" i="23"/>
  <c r="M69" i="23"/>
  <c r="J69" i="23"/>
  <c r="I69" i="23"/>
  <c r="H69" i="23"/>
  <c r="R68" i="23"/>
  <c r="S68" i="23" s="1"/>
  <c r="P68" i="23"/>
  <c r="N68" i="23"/>
  <c r="M68" i="23"/>
  <c r="J68" i="23"/>
  <c r="I68" i="23"/>
  <c r="H68" i="23"/>
  <c r="R67" i="23"/>
  <c r="S67" i="23" s="1"/>
  <c r="P67" i="23"/>
  <c r="N67" i="23"/>
  <c r="M67" i="23"/>
  <c r="J67" i="23"/>
  <c r="I67" i="23"/>
  <c r="H67" i="23"/>
  <c r="R66" i="23"/>
  <c r="S66" i="23" s="1"/>
  <c r="P66" i="23"/>
  <c r="N66" i="23"/>
  <c r="M66" i="23"/>
  <c r="J66" i="23"/>
  <c r="I66" i="23"/>
  <c r="H66" i="23"/>
  <c r="R65" i="23"/>
  <c r="S65" i="23" s="1"/>
  <c r="P65" i="23"/>
  <c r="N65" i="23"/>
  <c r="K65" i="23"/>
  <c r="M65" i="23" s="1"/>
  <c r="J65" i="23"/>
  <c r="I65" i="23"/>
  <c r="H65" i="23"/>
  <c r="R64" i="23"/>
  <c r="S64" i="23" s="1"/>
  <c r="P64" i="23"/>
  <c r="N64" i="23"/>
  <c r="L64" i="23"/>
  <c r="Q64" i="23" s="1"/>
  <c r="K64" i="23"/>
  <c r="M64" i="23" s="1"/>
  <c r="J64" i="23"/>
  <c r="I64" i="23"/>
  <c r="H64" i="23"/>
  <c r="R63" i="23"/>
  <c r="S63" i="23" s="1"/>
  <c r="P63" i="23"/>
  <c r="N63" i="23"/>
  <c r="M63" i="23"/>
  <c r="J63" i="23"/>
  <c r="I63" i="23"/>
  <c r="H63" i="23"/>
  <c r="R62" i="23"/>
  <c r="S62" i="23" s="1"/>
  <c r="P62" i="23"/>
  <c r="N62" i="23"/>
  <c r="M62" i="23"/>
  <c r="J62" i="23"/>
  <c r="I62" i="23"/>
  <c r="H62" i="23"/>
  <c r="R61" i="23"/>
  <c r="S61" i="23" s="1"/>
  <c r="P61" i="23"/>
  <c r="N61" i="23"/>
  <c r="M61" i="23"/>
  <c r="J61" i="23"/>
  <c r="I61" i="23"/>
  <c r="H61" i="23"/>
  <c r="R60" i="23"/>
  <c r="S60" i="23" s="1"/>
  <c r="P60" i="23"/>
  <c r="N60" i="23"/>
  <c r="M60" i="23"/>
  <c r="J60" i="23"/>
  <c r="I60" i="23"/>
  <c r="H60" i="23"/>
  <c r="R59" i="23"/>
  <c r="S59" i="23" s="1"/>
  <c r="P59" i="23"/>
  <c r="N59" i="23"/>
  <c r="M59" i="23"/>
  <c r="J59" i="23"/>
  <c r="I59" i="23"/>
  <c r="H59" i="23"/>
  <c r="R58" i="23"/>
  <c r="S58" i="23" s="1"/>
  <c r="P58" i="23"/>
  <c r="N58" i="23"/>
  <c r="M58" i="23"/>
  <c r="J58" i="23"/>
  <c r="I58" i="23"/>
  <c r="H58" i="23"/>
  <c r="R57" i="23"/>
  <c r="S57" i="23" s="1"/>
  <c r="P57" i="23"/>
  <c r="N57" i="23"/>
  <c r="M57" i="23"/>
  <c r="J57" i="23"/>
  <c r="I57" i="23"/>
  <c r="H57" i="23"/>
  <c r="R56" i="23"/>
  <c r="S56" i="23" s="1"/>
  <c r="P56" i="23"/>
  <c r="N56" i="23"/>
  <c r="M56" i="23"/>
  <c r="J56" i="23"/>
  <c r="I56" i="23"/>
  <c r="H56" i="23"/>
  <c r="R55" i="23"/>
  <c r="S55" i="23" s="1"/>
  <c r="P55" i="23"/>
  <c r="N55" i="23"/>
  <c r="M55" i="23"/>
  <c r="J55" i="23"/>
  <c r="I55" i="23"/>
  <c r="H55" i="23"/>
  <c r="R54" i="23"/>
  <c r="S54" i="23" s="1"/>
  <c r="P54" i="23"/>
  <c r="N54" i="23"/>
  <c r="K54" i="23"/>
  <c r="M54" i="23" s="1"/>
  <c r="J54" i="23"/>
  <c r="I54" i="23"/>
  <c r="H54" i="23"/>
  <c r="R53" i="23"/>
  <c r="S53" i="23" s="1"/>
  <c r="P53" i="23"/>
  <c r="N53" i="23"/>
  <c r="O53" i="23" s="1"/>
  <c r="L53" i="23"/>
  <c r="Q53" i="23" s="1"/>
  <c r="K53" i="23"/>
  <c r="M53" i="23" s="1"/>
  <c r="J53" i="23"/>
  <c r="I53" i="23"/>
  <c r="H53" i="23"/>
  <c r="R52" i="23"/>
  <c r="S52" i="23" s="1"/>
  <c r="P52" i="23"/>
  <c r="N52" i="23"/>
  <c r="M52" i="23"/>
  <c r="J52" i="23"/>
  <c r="I52" i="23"/>
  <c r="H52" i="23"/>
  <c r="R51" i="23"/>
  <c r="S51" i="23" s="1"/>
  <c r="P51" i="23"/>
  <c r="N51" i="23"/>
  <c r="M51" i="23"/>
  <c r="J51" i="23"/>
  <c r="I51" i="23"/>
  <c r="H51" i="23"/>
  <c r="R50" i="23"/>
  <c r="S50" i="23" s="1"/>
  <c r="P50" i="23"/>
  <c r="N50" i="23"/>
  <c r="M50" i="23"/>
  <c r="J50" i="23"/>
  <c r="I50" i="23"/>
  <c r="H50" i="23"/>
  <c r="R49" i="23"/>
  <c r="S49" i="23" s="1"/>
  <c r="P49" i="23"/>
  <c r="N49" i="23"/>
  <c r="M49" i="23"/>
  <c r="J49" i="23"/>
  <c r="I49" i="23"/>
  <c r="H49" i="23"/>
  <c r="R48" i="23"/>
  <c r="S48" i="23" s="1"/>
  <c r="P48" i="23"/>
  <c r="N48" i="23"/>
  <c r="M48" i="23"/>
  <c r="J48" i="23"/>
  <c r="I48" i="23"/>
  <c r="H48" i="23"/>
  <c r="R47" i="23"/>
  <c r="S47" i="23" s="1"/>
  <c r="P47" i="23"/>
  <c r="N47" i="23"/>
  <c r="M47" i="23"/>
  <c r="J47" i="23"/>
  <c r="I47" i="23"/>
  <c r="H47" i="23"/>
  <c r="R46" i="23"/>
  <c r="S46" i="23" s="1"/>
  <c r="P46" i="23"/>
  <c r="N46" i="23"/>
  <c r="M46" i="23"/>
  <c r="J46" i="23"/>
  <c r="I46" i="23"/>
  <c r="H46" i="23"/>
  <c r="R45" i="23"/>
  <c r="S45" i="23" s="1"/>
  <c r="P45" i="23"/>
  <c r="N45" i="23"/>
  <c r="M45" i="23"/>
  <c r="J45" i="23"/>
  <c r="I45" i="23"/>
  <c r="H45" i="23"/>
  <c r="R44" i="23"/>
  <c r="S44" i="23" s="1"/>
  <c r="P44" i="23"/>
  <c r="N44" i="23"/>
  <c r="M44" i="23"/>
  <c r="J44" i="23"/>
  <c r="I44" i="23"/>
  <c r="H44" i="23"/>
  <c r="R43" i="23"/>
  <c r="S43" i="23" s="1"/>
  <c r="P43" i="23"/>
  <c r="N43" i="23"/>
  <c r="M43" i="23"/>
  <c r="J43" i="23"/>
  <c r="I43" i="23"/>
  <c r="H43" i="23"/>
  <c r="R42" i="23"/>
  <c r="S42" i="23" s="1"/>
  <c r="P42" i="23"/>
  <c r="N42" i="23"/>
  <c r="M42" i="23"/>
  <c r="J42" i="23"/>
  <c r="I42" i="23"/>
  <c r="H42" i="23"/>
  <c r="R41" i="23"/>
  <c r="S41" i="23" s="1"/>
  <c r="P41" i="23"/>
  <c r="N41" i="23"/>
  <c r="M41" i="23"/>
  <c r="J41" i="23"/>
  <c r="I41" i="23"/>
  <c r="H41" i="23"/>
  <c r="R40" i="23"/>
  <c r="S40" i="23" s="1"/>
  <c r="P40" i="23"/>
  <c r="N40" i="23"/>
  <c r="O40" i="23" s="1"/>
  <c r="L40" i="23"/>
  <c r="Q40" i="23" s="1"/>
  <c r="K40" i="23"/>
  <c r="M40" i="23" s="1"/>
  <c r="J40" i="23"/>
  <c r="I40" i="23"/>
  <c r="H40" i="23"/>
  <c r="R39" i="23"/>
  <c r="S39" i="23" s="1"/>
  <c r="P39" i="23"/>
  <c r="N39" i="23"/>
  <c r="M39" i="23"/>
  <c r="J39" i="23"/>
  <c r="I39" i="23"/>
  <c r="H39" i="23"/>
  <c r="R38" i="23"/>
  <c r="S38" i="23" s="1"/>
  <c r="P38" i="23"/>
  <c r="N38" i="23"/>
  <c r="O38" i="23" s="1"/>
  <c r="M38" i="23"/>
  <c r="J38" i="23"/>
  <c r="I38" i="23"/>
  <c r="H38" i="23"/>
  <c r="R37" i="23"/>
  <c r="S37" i="23" s="1"/>
  <c r="P37" i="23"/>
  <c r="N37" i="23"/>
  <c r="M37" i="23"/>
  <c r="J37" i="23"/>
  <c r="I37" i="23"/>
  <c r="H37" i="23"/>
  <c r="R36" i="23"/>
  <c r="S36" i="23" s="1"/>
  <c r="P36" i="23"/>
  <c r="N36" i="23"/>
  <c r="L36" i="23"/>
  <c r="Q36" i="23" s="1"/>
  <c r="K36" i="23"/>
  <c r="M36" i="23" s="1"/>
  <c r="J36" i="23"/>
  <c r="I36" i="23"/>
  <c r="H36" i="23"/>
  <c r="R35" i="23"/>
  <c r="S35" i="23" s="1"/>
  <c r="P35" i="23"/>
  <c r="N35" i="23"/>
  <c r="O35" i="23" s="1"/>
  <c r="L35" i="23"/>
  <c r="Q35" i="23" s="1"/>
  <c r="K35" i="23"/>
  <c r="M35" i="23" s="1"/>
  <c r="J35" i="23"/>
  <c r="I35" i="23"/>
  <c r="H35" i="23"/>
  <c r="R34" i="23"/>
  <c r="S34" i="23" s="1"/>
  <c r="P34" i="23"/>
  <c r="N34" i="23"/>
  <c r="L34" i="23"/>
  <c r="Q34" i="23" s="1"/>
  <c r="K34" i="23"/>
  <c r="M34" i="23" s="1"/>
  <c r="J34" i="23"/>
  <c r="I34" i="23"/>
  <c r="H34" i="23"/>
  <c r="R33" i="23"/>
  <c r="S33" i="23" s="1"/>
  <c r="P33" i="23"/>
  <c r="N33" i="23"/>
  <c r="L33" i="23"/>
  <c r="Q33" i="23" s="1"/>
  <c r="K33" i="23"/>
  <c r="M33" i="23" s="1"/>
  <c r="J33" i="23"/>
  <c r="I33" i="23"/>
  <c r="H33" i="23"/>
  <c r="D17" i="23"/>
  <c r="J14" i="23"/>
  <c r="J12" i="23"/>
  <c r="J11" i="23"/>
  <c r="R95" i="22"/>
  <c r="S95" i="22" s="1"/>
  <c r="P95" i="22"/>
  <c r="N95" i="22"/>
  <c r="L95" i="22"/>
  <c r="Q95" i="22" s="1"/>
  <c r="K95" i="22"/>
  <c r="M95" i="22" s="1"/>
  <c r="J95" i="22"/>
  <c r="H95" i="22"/>
  <c r="R87" i="22"/>
  <c r="S87" i="22" s="1"/>
  <c r="P87" i="22"/>
  <c r="N87" i="22"/>
  <c r="T87" i="22" s="1"/>
  <c r="K87" i="22"/>
  <c r="M87" i="22" s="1"/>
  <c r="J87" i="22"/>
  <c r="I87" i="22"/>
  <c r="H87" i="22"/>
  <c r="R94" i="22"/>
  <c r="S94" i="22" s="1"/>
  <c r="P94" i="22"/>
  <c r="N94" i="22"/>
  <c r="O94" i="22" s="1"/>
  <c r="L94" i="22"/>
  <c r="Q94" i="22" s="1"/>
  <c r="K94" i="22"/>
  <c r="M94" i="22" s="1"/>
  <c r="J94" i="22"/>
  <c r="I94" i="22"/>
  <c r="H94" i="22"/>
  <c r="R86" i="22"/>
  <c r="S86" i="22" s="1"/>
  <c r="P86" i="22"/>
  <c r="N86" i="22"/>
  <c r="M86" i="22"/>
  <c r="K86" i="22"/>
  <c r="J86" i="22"/>
  <c r="I86" i="22"/>
  <c r="H86" i="22"/>
  <c r="R93" i="22"/>
  <c r="S93" i="22" s="1"/>
  <c r="Q93" i="22"/>
  <c r="P93" i="22"/>
  <c r="N93" i="22"/>
  <c r="O93" i="22" s="1"/>
  <c r="L93" i="22"/>
  <c r="K93" i="22"/>
  <c r="M93" i="22" s="1"/>
  <c r="J93" i="22"/>
  <c r="I93" i="22"/>
  <c r="H93" i="22"/>
  <c r="R92" i="22"/>
  <c r="S92" i="22" s="1"/>
  <c r="P92" i="22"/>
  <c r="N92" i="22"/>
  <c r="T92" i="22" s="1"/>
  <c r="L92" i="22"/>
  <c r="Q92" i="22" s="1"/>
  <c r="K92" i="22"/>
  <c r="M92" i="22" s="1"/>
  <c r="J92" i="22"/>
  <c r="I92" i="22"/>
  <c r="H92" i="22"/>
  <c r="R91" i="22"/>
  <c r="S91" i="22" s="1"/>
  <c r="P91" i="22"/>
  <c r="N91" i="22"/>
  <c r="T91" i="22" s="1"/>
  <c r="L91" i="22"/>
  <c r="Q91" i="22" s="1"/>
  <c r="K91" i="22"/>
  <c r="M91" i="22" s="1"/>
  <c r="J91" i="22"/>
  <c r="I91" i="22"/>
  <c r="H91" i="22"/>
  <c r="H84" i="22" s="1"/>
  <c r="R90" i="22"/>
  <c r="S90" i="22" s="1"/>
  <c r="P90" i="22"/>
  <c r="N90" i="22"/>
  <c r="O90" i="22" s="1"/>
  <c r="L90" i="22"/>
  <c r="Q90" i="22" s="1"/>
  <c r="K90" i="22"/>
  <c r="M90" i="22" s="1"/>
  <c r="J90" i="22"/>
  <c r="I90" i="22"/>
  <c r="H90" i="22"/>
  <c r="R89" i="22"/>
  <c r="S89" i="22" s="1"/>
  <c r="Q89" i="22"/>
  <c r="P89" i="22"/>
  <c r="N89" i="22"/>
  <c r="M89" i="22"/>
  <c r="L89" i="22"/>
  <c r="K89" i="22"/>
  <c r="J89" i="22"/>
  <c r="I89" i="22"/>
  <c r="H89" i="22"/>
  <c r="R88" i="22"/>
  <c r="S88" i="22" s="1"/>
  <c r="P88" i="22"/>
  <c r="N88" i="22"/>
  <c r="O88" i="22" s="1"/>
  <c r="L88" i="22"/>
  <c r="Q88" i="22" s="1"/>
  <c r="K88" i="22"/>
  <c r="M88" i="22" s="1"/>
  <c r="J88" i="22"/>
  <c r="I88" i="22"/>
  <c r="H88" i="22"/>
  <c r="P65" i="22"/>
  <c r="N65" i="22"/>
  <c r="O65" i="22" s="1"/>
  <c r="K65" i="22"/>
  <c r="M65" i="22" s="1"/>
  <c r="P64" i="22"/>
  <c r="N64" i="22"/>
  <c r="O64" i="22" s="1"/>
  <c r="L64" i="22"/>
  <c r="Q64" i="22" s="1"/>
  <c r="K64" i="22"/>
  <c r="M64" i="22" s="1"/>
  <c r="D18" i="22"/>
  <c r="D17" i="22"/>
  <c r="D15" i="22"/>
  <c r="R82" i="22"/>
  <c r="S82" i="22" s="1"/>
  <c r="Q82" i="22"/>
  <c r="P82" i="22"/>
  <c r="N82" i="22"/>
  <c r="O82" i="22" s="1"/>
  <c r="M82" i="22"/>
  <c r="J82" i="22"/>
  <c r="I82" i="22"/>
  <c r="H82" i="22"/>
  <c r="R81" i="22"/>
  <c r="S81" i="22" s="1"/>
  <c r="P81" i="22"/>
  <c r="N81" i="22"/>
  <c r="M81" i="22"/>
  <c r="J81" i="22"/>
  <c r="I81" i="22"/>
  <c r="H81" i="22"/>
  <c r="R80" i="22"/>
  <c r="S80" i="22" s="1"/>
  <c r="P80" i="22"/>
  <c r="N80" i="22"/>
  <c r="O80" i="22" s="1"/>
  <c r="M80" i="22"/>
  <c r="J80" i="22"/>
  <c r="I80" i="22"/>
  <c r="H80" i="22"/>
  <c r="R79" i="22"/>
  <c r="S79" i="22" s="1"/>
  <c r="P79" i="22"/>
  <c r="N79" i="22"/>
  <c r="M79" i="22"/>
  <c r="J79" i="22"/>
  <c r="I79" i="22"/>
  <c r="H79" i="22"/>
  <c r="R78" i="22"/>
  <c r="S78" i="22" s="1"/>
  <c r="P78" i="22"/>
  <c r="N78" i="22"/>
  <c r="O78" i="22" s="1"/>
  <c r="L78" i="22"/>
  <c r="Q78" i="22" s="1"/>
  <c r="K78" i="22"/>
  <c r="M78" i="22" s="1"/>
  <c r="J78" i="22"/>
  <c r="I78" i="22"/>
  <c r="H78" i="22"/>
  <c r="R77" i="22"/>
  <c r="S77" i="22" s="1"/>
  <c r="P77" i="22"/>
  <c r="N77" i="22"/>
  <c r="M77" i="22"/>
  <c r="J77" i="22"/>
  <c r="I77" i="22"/>
  <c r="H77" i="22"/>
  <c r="R76" i="22"/>
  <c r="S76" i="22" s="1"/>
  <c r="P76" i="22"/>
  <c r="N76" i="22"/>
  <c r="O76" i="22" s="1"/>
  <c r="M76" i="22"/>
  <c r="J76" i="22"/>
  <c r="I76" i="22"/>
  <c r="H76" i="22"/>
  <c r="R75" i="22"/>
  <c r="P75" i="22"/>
  <c r="N75" i="22"/>
  <c r="O75" i="22" s="1"/>
  <c r="M75" i="22"/>
  <c r="J75" i="22"/>
  <c r="I75" i="22"/>
  <c r="H75" i="22"/>
  <c r="R74" i="22"/>
  <c r="S74" i="22" s="1"/>
  <c r="P74" i="22"/>
  <c r="N74" i="22"/>
  <c r="M74" i="22"/>
  <c r="J74" i="22"/>
  <c r="I74" i="22"/>
  <c r="H74" i="22"/>
  <c r="R73" i="22"/>
  <c r="P73" i="22"/>
  <c r="N73" i="22"/>
  <c r="O73" i="22" s="1"/>
  <c r="M73" i="22"/>
  <c r="J73" i="22"/>
  <c r="I73" i="22"/>
  <c r="H73" i="22"/>
  <c r="R72" i="22"/>
  <c r="S72" i="22" s="1"/>
  <c r="P72" i="22"/>
  <c r="N72" i="22"/>
  <c r="M72" i="22"/>
  <c r="J72" i="22"/>
  <c r="I72" i="22"/>
  <c r="H72" i="22"/>
  <c r="R71" i="22"/>
  <c r="P71" i="22"/>
  <c r="N71" i="22"/>
  <c r="O71" i="22" s="1"/>
  <c r="M71" i="22"/>
  <c r="J71" i="22"/>
  <c r="I71" i="22"/>
  <c r="H71" i="22"/>
  <c r="R70" i="22"/>
  <c r="S70" i="22" s="1"/>
  <c r="P70" i="22"/>
  <c r="N70" i="22"/>
  <c r="O70" i="22" s="1"/>
  <c r="M70" i="22"/>
  <c r="J70" i="22"/>
  <c r="I70" i="22"/>
  <c r="H70" i="22"/>
  <c r="R69" i="22"/>
  <c r="S69" i="22" s="1"/>
  <c r="P69" i="22"/>
  <c r="N69" i="22"/>
  <c r="M69" i="22"/>
  <c r="J69" i="22"/>
  <c r="I69" i="22"/>
  <c r="H69" i="22"/>
  <c r="R68" i="22"/>
  <c r="S68" i="22" s="1"/>
  <c r="P68" i="22"/>
  <c r="N68" i="22"/>
  <c r="M68" i="22"/>
  <c r="J68" i="22"/>
  <c r="I68" i="22"/>
  <c r="H68" i="22"/>
  <c r="R67" i="22"/>
  <c r="S67" i="22" s="1"/>
  <c r="P67" i="22"/>
  <c r="N67" i="22"/>
  <c r="M67" i="22"/>
  <c r="J67" i="22"/>
  <c r="I67" i="22"/>
  <c r="H67" i="22"/>
  <c r="R66" i="22"/>
  <c r="S66" i="22" s="1"/>
  <c r="P66" i="22"/>
  <c r="N66" i="22"/>
  <c r="M66" i="22"/>
  <c r="J66" i="22"/>
  <c r="I66" i="22"/>
  <c r="H66" i="22"/>
  <c r="R65" i="22"/>
  <c r="S65" i="22" s="1"/>
  <c r="J65" i="22"/>
  <c r="I65" i="22"/>
  <c r="H65" i="22"/>
  <c r="R64" i="22"/>
  <c r="S64" i="22" s="1"/>
  <c r="J64" i="22"/>
  <c r="I64" i="22"/>
  <c r="H64" i="22"/>
  <c r="R63" i="22"/>
  <c r="S63" i="22" s="1"/>
  <c r="P63" i="22"/>
  <c r="N63" i="22"/>
  <c r="M63" i="22"/>
  <c r="J63" i="22"/>
  <c r="I63" i="22"/>
  <c r="H63" i="22"/>
  <c r="R62" i="22"/>
  <c r="S62" i="22" s="1"/>
  <c r="P62" i="22"/>
  <c r="N62" i="22"/>
  <c r="M62" i="22"/>
  <c r="J62" i="22"/>
  <c r="I62" i="22"/>
  <c r="H62" i="22"/>
  <c r="R61" i="22"/>
  <c r="S61" i="22" s="1"/>
  <c r="P61" i="22"/>
  <c r="N61" i="22"/>
  <c r="M61" i="22"/>
  <c r="J61" i="22"/>
  <c r="I61" i="22"/>
  <c r="H61" i="22"/>
  <c r="R60" i="22"/>
  <c r="S60" i="22" s="1"/>
  <c r="P60" i="22"/>
  <c r="N60" i="22"/>
  <c r="M60" i="22"/>
  <c r="J60" i="22"/>
  <c r="I60" i="22"/>
  <c r="H60" i="22"/>
  <c r="R59" i="22"/>
  <c r="S59" i="22" s="1"/>
  <c r="P59" i="22"/>
  <c r="N59" i="22"/>
  <c r="M59" i="22"/>
  <c r="J59" i="22"/>
  <c r="I59" i="22"/>
  <c r="H59" i="22"/>
  <c r="R58" i="22"/>
  <c r="S58" i="22" s="1"/>
  <c r="P58" i="22"/>
  <c r="N58" i="22"/>
  <c r="O58" i="22" s="1"/>
  <c r="M58" i="22"/>
  <c r="J58" i="22"/>
  <c r="I58" i="22"/>
  <c r="H58" i="22"/>
  <c r="R57" i="22"/>
  <c r="S57" i="22" s="1"/>
  <c r="P57" i="22"/>
  <c r="N57" i="22"/>
  <c r="M57" i="22"/>
  <c r="J57" i="22"/>
  <c r="I57" i="22"/>
  <c r="H57" i="22"/>
  <c r="R56" i="22"/>
  <c r="S56" i="22" s="1"/>
  <c r="P56" i="22"/>
  <c r="N56" i="22"/>
  <c r="M56" i="22"/>
  <c r="J56" i="22"/>
  <c r="I56" i="22"/>
  <c r="H56" i="22"/>
  <c r="R55" i="22"/>
  <c r="S55" i="22" s="1"/>
  <c r="P55" i="22"/>
  <c r="N55" i="22"/>
  <c r="M55" i="22"/>
  <c r="J55" i="22"/>
  <c r="I55" i="22"/>
  <c r="H55" i="22"/>
  <c r="R54" i="22"/>
  <c r="S54" i="22" s="1"/>
  <c r="P54" i="22"/>
  <c r="N54" i="22"/>
  <c r="K54" i="22"/>
  <c r="M54" i="22" s="1"/>
  <c r="J54" i="22"/>
  <c r="I54" i="22"/>
  <c r="H54" i="22"/>
  <c r="R53" i="22"/>
  <c r="S53" i="22" s="1"/>
  <c r="P53" i="22"/>
  <c r="N53" i="22"/>
  <c r="O53" i="22" s="1"/>
  <c r="L53" i="22"/>
  <c r="Q53" i="22" s="1"/>
  <c r="K53" i="22"/>
  <c r="M53" i="22" s="1"/>
  <c r="J53" i="22"/>
  <c r="I53" i="22"/>
  <c r="H53" i="22"/>
  <c r="R52" i="22"/>
  <c r="S52" i="22" s="1"/>
  <c r="P52" i="22"/>
  <c r="N52" i="22"/>
  <c r="M52" i="22"/>
  <c r="J52" i="22"/>
  <c r="I52" i="22"/>
  <c r="H52" i="22"/>
  <c r="R51" i="22"/>
  <c r="S51" i="22" s="1"/>
  <c r="P51" i="22"/>
  <c r="N51" i="22"/>
  <c r="M51" i="22"/>
  <c r="J51" i="22"/>
  <c r="I51" i="22"/>
  <c r="H51" i="22"/>
  <c r="R50" i="22"/>
  <c r="S50" i="22" s="1"/>
  <c r="P50" i="22"/>
  <c r="N50" i="22"/>
  <c r="M50" i="22"/>
  <c r="J50" i="22"/>
  <c r="I50" i="22"/>
  <c r="H50" i="22"/>
  <c r="R49" i="22"/>
  <c r="S49" i="22" s="1"/>
  <c r="P49" i="22"/>
  <c r="N49" i="22"/>
  <c r="M49" i="22"/>
  <c r="J49" i="22"/>
  <c r="I49" i="22"/>
  <c r="H49" i="22"/>
  <c r="R48" i="22"/>
  <c r="S48" i="22" s="1"/>
  <c r="P48" i="22"/>
  <c r="N48" i="22"/>
  <c r="M48" i="22"/>
  <c r="J48" i="22"/>
  <c r="I48" i="22"/>
  <c r="H48" i="22"/>
  <c r="R47" i="22"/>
  <c r="S47" i="22" s="1"/>
  <c r="P47" i="22"/>
  <c r="N47" i="22"/>
  <c r="M47" i="22"/>
  <c r="J47" i="22"/>
  <c r="I47" i="22"/>
  <c r="H47" i="22"/>
  <c r="R46" i="22"/>
  <c r="S46" i="22" s="1"/>
  <c r="P46" i="22"/>
  <c r="N46" i="22"/>
  <c r="M46" i="22"/>
  <c r="J46" i="22"/>
  <c r="I46" i="22"/>
  <c r="H46" i="22"/>
  <c r="R45" i="22"/>
  <c r="S45" i="22" s="1"/>
  <c r="P45" i="22"/>
  <c r="N45" i="22"/>
  <c r="M45" i="22"/>
  <c r="J45" i="22"/>
  <c r="I45" i="22"/>
  <c r="H45" i="22"/>
  <c r="R44" i="22"/>
  <c r="S44" i="22" s="1"/>
  <c r="P44" i="22"/>
  <c r="N44" i="22"/>
  <c r="M44" i="22"/>
  <c r="J44" i="22"/>
  <c r="I44" i="22"/>
  <c r="H44" i="22"/>
  <c r="R43" i="22"/>
  <c r="S43" i="22" s="1"/>
  <c r="P43" i="22"/>
  <c r="N43" i="22"/>
  <c r="M43" i="22"/>
  <c r="J43" i="22"/>
  <c r="I43" i="22"/>
  <c r="H43" i="22"/>
  <c r="R42" i="22"/>
  <c r="S42" i="22" s="1"/>
  <c r="P42" i="22"/>
  <c r="N42" i="22"/>
  <c r="M42" i="22"/>
  <c r="J42" i="22"/>
  <c r="I42" i="22"/>
  <c r="H42" i="22"/>
  <c r="R41" i="22"/>
  <c r="S41" i="22" s="1"/>
  <c r="P41" i="22"/>
  <c r="N41" i="22"/>
  <c r="M41" i="22"/>
  <c r="J41" i="22"/>
  <c r="I41" i="22"/>
  <c r="H41" i="22"/>
  <c r="R40" i="22"/>
  <c r="S40" i="22" s="1"/>
  <c r="P40" i="22"/>
  <c r="N40" i="22"/>
  <c r="L40" i="22"/>
  <c r="Q40" i="22" s="1"/>
  <c r="K40" i="22"/>
  <c r="M40" i="22" s="1"/>
  <c r="J40" i="22"/>
  <c r="I40" i="22"/>
  <c r="H40" i="22"/>
  <c r="R39" i="22"/>
  <c r="S39" i="22" s="1"/>
  <c r="P39" i="22"/>
  <c r="N39" i="22"/>
  <c r="M39" i="22"/>
  <c r="J39" i="22"/>
  <c r="I39" i="22"/>
  <c r="H39" i="22"/>
  <c r="R38" i="22"/>
  <c r="S38" i="22" s="1"/>
  <c r="P38" i="22"/>
  <c r="N38" i="22"/>
  <c r="M38" i="22"/>
  <c r="J38" i="22"/>
  <c r="I38" i="22"/>
  <c r="H38" i="22"/>
  <c r="R37" i="22"/>
  <c r="P37" i="22"/>
  <c r="N37" i="22"/>
  <c r="O37" i="22" s="1"/>
  <c r="M37" i="22"/>
  <c r="J37" i="22"/>
  <c r="I37" i="22"/>
  <c r="H37" i="22"/>
  <c r="R36" i="22"/>
  <c r="S36" i="22" s="1"/>
  <c r="P36" i="22"/>
  <c r="N36" i="22"/>
  <c r="O36" i="22" s="1"/>
  <c r="L36" i="22"/>
  <c r="Q36" i="22" s="1"/>
  <c r="K36" i="22"/>
  <c r="M36" i="22" s="1"/>
  <c r="J36" i="22"/>
  <c r="I36" i="22"/>
  <c r="H36" i="22"/>
  <c r="R35" i="22"/>
  <c r="S35" i="22" s="1"/>
  <c r="P35" i="22"/>
  <c r="N35" i="22"/>
  <c r="L35" i="22"/>
  <c r="Q35" i="22" s="1"/>
  <c r="K35" i="22"/>
  <c r="M35" i="22" s="1"/>
  <c r="J35" i="22"/>
  <c r="I35" i="22"/>
  <c r="H35" i="22"/>
  <c r="R34" i="22"/>
  <c r="S34" i="22" s="1"/>
  <c r="P34" i="22"/>
  <c r="N34" i="22"/>
  <c r="L34" i="22"/>
  <c r="Q34" i="22" s="1"/>
  <c r="K34" i="22"/>
  <c r="M34" i="22" s="1"/>
  <c r="J34" i="22"/>
  <c r="I34" i="22"/>
  <c r="H34" i="22"/>
  <c r="R33" i="22"/>
  <c r="S33" i="22" s="1"/>
  <c r="P33" i="22"/>
  <c r="N33" i="22"/>
  <c r="L33" i="22"/>
  <c r="Q33" i="22" s="1"/>
  <c r="K33" i="22"/>
  <c r="M33" i="22" s="1"/>
  <c r="J33" i="22"/>
  <c r="I33" i="22"/>
  <c r="H33" i="22"/>
  <c r="J14" i="22"/>
  <c r="J12" i="22"/>
  <c r="J11" i="22"/>
  <c r="H84" i="21"/>
  <c r="D15" i="21"/>
  <c r="D17" i="21"/>
  <c r="D18" i="21"/>
  <c r="R96" i="21"/>
  <c r="S96" i="21" s="1"/>
  <c r="P96" i="21"/>
  <c r="N96" i="21"/>
  <c r="K96" i="21"/>
  <c r="M96" i="21" s="1"/>
  <c r="J96" i="21"/>
  <c r="I96" i="21"/>
  <c r="H96" i="21"/>
  <c r="R95" i="21"/>
  <c r="S95" i="21" s="1"/>
  <c r="P95" i="21"/>
  <c r="N95" i="21"/>
  <c r="L95" i="21"/>
  <c r="Q95" i="21" s="1"/>
  <c r="K95" i="21"/>
  <c r="M95" i="21" s="1"/>
  <c r="J95" i="21"/>
  <c r="I95" i="21"/>
  <c r="H95" i="21"/>
  <c r="R94" i="21"/>
  <c r="S94" i="21" s="1"/>
  <c r="P94" i="21"/>
  <c r="N94" i="21"/>
  <c r="O94" i="21" s="1"/>
  <c r="L94" i="21"/>
  <c r="Q94" i="21" s="1"/>
  <c r="K94" i="21"/>
  <c r="M94" i="21" s="1"/>
  <c r="J94" i="21"/>
  <c r="I94" i="21"/>
  <c r="H94" i="21"/>
  <c r="R86" i="21"/>
  <c r="S86" i="21" s="1"/>
  <c r="P86" i="21"/>
  <c r="N86" i="21"/>
  <c r="K86" i="21"/>
  <c r="M86" i="21" s="1"/>
  <c r="J86" i="21"/>
  <c r="I86" i="21"/>
  <c r="H86" i="21"/>
  <c r="R93" i="21"/>
  <c r="S93" i="21" s="1"/>
  <c r="P93" i="21"/>
  <c r="N93" i="21"/>
  <c r="O93" i="21" s="1"/>
  <c r="L93" i="21"/>
  <c r="Q93" i="21" s="1"/>
  <c r="K93" i="21"/>
  <c r="M93" i="21" s="1"/>
  <c r="J93" i="21"/>
  <c r="I93" i="21"/>
  <c r="H93" i="21"/>
  <c r="R92" i="21"/>
  <c r="S92" i="21" s="1"/>
  <c r="P92" i="21"/>
  <c r="N92" i="21"/>
  <c r="L92" i="21"/>
  <c r="Q92" i="21" s="1"/>
  <c r="K92" i="21"/>
  <c r="M92" i="21" s="1"/>
  <c r="J92" i="21"/>
  <c r="I92" i="21"/>
  <c r="H92" i="21"/>
  <c r="R91" i="21"/>
  <c r="S91" i="21" s="1"/>
  <c r="P91" i="21"/>
  <c r="O91" i="21"/>
  <c r="N91" i="21"/>
  <c r="L91" i="21"/>
  <c r="Q91" i="21" s="1"/>
  <c r="K91" i="21"/>
  <c r="M91" i="21" s="1"/>
  <c r="J91" i="21"/>
  <c r="I91" i="21"/>
  <c r="H91" i="21"/>
  <c r="R90" i="21"/>
  <c r="S90" i="21" s="1"/>
  <c r="P90" i="21"/>
  <c r="N90" i="21"/>
  <c r="L90" i="21"/>
  <c r="Q90" i="21" s="1"/>
  <c r="K90" i="21"/>
  <c r="M90" i="21" s="1"/>
  <c r="J90" i="21"/>
  <c r="I90" i="21"/>
  <c r="H90" i="21"/>
  <c r="R89" i="21"/>
  <c r="S89" i="21" s="1"/>
  <c r="P89" i="21"/>
  <c r="N89" i="21"/>
  <c r="O89" i="21" s="1"/>
  <c r="M89" i="21"/>
  <c r="L89" i="21"/>
  <c r="Q89" i="21" s="1"/>
  <c r="K89" i="21"/>
  <c r="J89" i="21"/>
  <c r="I89" i="21"/>
  <c r="H89" i="21"/>
  <c r="R88" i="21"/>
  <c r="S88" i="21" s="1"/>
  <c r="P88" i="21"/>
  <c r="N88" i="21"/>
  <c r="O88" i="21" s="1"/>
  <c r="L88" i="21"/>
  <c r="Q88" i="21" s="1"/>
  <c r="K88" i="21"/>
  <c r="M88" i="21" s="1"/>
  <c r="J88" i="21"/>
  <c r="I88" i="21"/>
  <c r="H88" i="21"/>
  <c r="K54" i="21"/>
  <c r="K55" i="21"/>
  <c r="P66" i="21"/>
  <c r="N66" i="21"/>
  <c r="O66" i="21" s="1"/>
  <c r="K66" i="21"/>
  <c r="M66" i="21" s="1"/>
  <c r="P54" i="21"/>
  <c r="N54" i="21"/>
  <c r="O54" i="21" s="1"/>
  <c r="M54" i="21"/>
  <c r="P41" i="21"/>
  <c r="N41" i="21"/>
  <c r="O41" i="21" s="1"/>
  <c r="M41" i="21"/>
  <c r="P78" i="21"/>
  <c r="N78" i="21"/>
  <c r="O78" i="21" s="1"/>
  <c r="L78" i="21"/>
  <c r="Q78" i="21" s="1"/>
  <c r="K78" i="21"/>
  <c r="M78" i="21" s="1"/>
  <c r="P65" i="21"/>
  <c r="N65" i="21"/>
  <c r="O65" i="21" s="1"/>
  <c r="L65" i="21"/>
  <c r="Q65" i="21" s="1"/>
  <c r="K65" i="21"/>
  <c r="M65" i="21" s="1"/>
  <c r="Q53" i="21"/>
  <c r="P53" i="21"/>
  <c r="N53" i="21"/>
  <c r="O53" i="21" s="1"/>
  <c r="L53" i="21"/>
  <c r="K53" i="21"/>
  <c r="M53" i="21" s="1"/>
  <c r="P40" i="21"/>
  <c r="N40" i="21"/>
  <c r="O40" i="21" s="1"/>
  <c r="L40" i="21"/>
  <c r="Q40" i="21" s="1"/>
  <c r="K40" i="21"/>
  <c r="M40" i="21" s="1"/>
  <c r="R82" i="21"/>
  <c r="S82" i="21" s="1"/>
  <c r="Q82" i="21"/>
  <c r="P82" i="21"/>
  <c r="N82" i="21"/>
  <c r="M82" i="21"/>
  <c r="J82" i="21"/>
  <c r="I82" i="21"/>
  <c r="H82" i="21"/>
  <c r="R81" i="21"/>
  <c r="S81" i="21" s="1"/>
  <c r="P81" i="21"/>
  <c r="N81" i="21"/>
  <c r="O81" i="21" s="1"/>
  <c r="M81" i="21"/>
  <c r="J81" i="21"/>
  <c r="I81" i="21"/>
  <c r="H81" i="21"/>
  <c r="R80" i="21"/>
  <c r="S80" i="21" s="1"/>
  <c r="P80" i="21"/>
  <c r="N80" i="21"/>
  <c r="M80" i="21"/>
  <c r="J80" i="21"/>
  <c r="I80" i="21"/>
  <c r="H80" i="21"/>
  <c r="R79" i="21"/>
  <c r="S79" i="21" s="1"/>
  <c r="P79" i="21"/>
  <c r="N79" i="21"/>
  <c r="O79" i="21" s="1"/>
  <c r="M79" i="21"/>
  <c r="J79" i="21"/>
  <c r="I79" i="21"/>
  <c r="H79" i="21"/>
  <c r="R78" i="21"/>
  <c r="S78" i="21" s="1"/>
  <c r="J78" i="21"/>
  <c r="I78" i="21"/>
  <c r="H78" i="21"/>
  <c r="R77" i="21"/>
  <c r="S77" i="21" s="1"/>
  <c r="P77" i="21"/>
  <c r="N77" i="21"/>
  <c r="O77" i="21" s="1"/>
  <c r="M77" i="21"/>
  <c r="J77" i="21"/>
  <c r="I77" i="21"/>
  <c r="H77" i="21"/>
  <c r="R76" i="21"/>
  <c r="S76" i="21" s="1"/>
  <c r="P76" i="21"/>
  <c r="N76" i="21"/>
  <c r="O76" i="21" s="1"/>
  <c r="M76" i="21"/>
  <c r="J76" i="21"/>
  <c r="I76" i="21"/>
  <c r="H76" i="21"/>
  <c r="R75" i="21"/>
  <c r="S75" i="21" s="1"/>
  <c r="P75" i="21"/>
  <c r="N75" i="21"/>
  <c r="O75" i="21" s="1"/>
  <c r="M75" i="21"/>
  <c r="J75" i="21"/>
  <c r="I75" i="21"/>
  <c r="H75" i="21"/>
  <c r="R74" i="21"/>
  <c r="S74" i="21" s="1"/>
  <c r="P74" i="21"/>
  <c r="N74" i="21"/>
  <c r="O74" i="21" s="1"/>
  <c r="M74" i="21"/>
  <c r="J74" i="21"/>
  <c r="I74" i="21"/>
  <c r="H74" i="21"/>
  <c r="R73" i="21"/>
  <c r="S73" i="21" s="1"/>
  <c r="P73" i="21"/>
  <c r="N73" i="21"/>
  <c r="O73" i="21" s="1"/>
  <c r="M73" i="21"/>
  <c r="J73" i="21"/>
  <c r="I73" i="21"/>
  <c r="H73" i="21"/>
  <c r="R72" i="21"/>
  <c r="S72" i="21" s="1"/>
  <c r="P72" i="21"/>
  <c r="N72" i="21"/>
  <c r="M72" i="21"/>
  <c r="J72" i="21"/>
  <c r="I72" i="21"/>
  <c r="H72" i="21"/>
  <c r="R71" i="21"/>
  <c r="S71" i="21" s="1"/>
  <c r="P71" i="21"/>
  <c r="N71" i="21"/>
  <c r="O71" i="21" s="1"/>
  <c r="M71" i="21"/>
  <c r="J71" i="21"/>
  <c r="I71" i="21"/>
  <c r="H71" i="21"/>
  <c r="R70" i="21"/>
  <c r="S70" i="21" s="1"/>
  <c r="P70" i="21"/>
  <c r="N70" i="21"/>
  <c r="O70" i="21" s="1"/>
  <c r="M70" i="21"/>
  <c r="J70" i="21"/>
  <c r="I70" i="21"/>
  <c r="H70" i="21"/>
  <c r="R69" i="21"/>
  <c r="S69" i="21" s="1"/>
  <c r="P69" i="21"/>
  <c r="N69" i="21"/>
  <c r="O69" i="21" s="1"/>
  <c r="M69" i="21"/>
  <c r="J69" i="21"/>
  <c r="I69" i="21"/>
  <c r="H69" i="21"/>
  <c r="R68" i="21"/>
  <c r="S68" i="21" s="1"/>
  <c r="P68" i="21"/>
  <c r="N68" i="21"/>
  <c r="O68" i="21" s="1"/>
  <c r="M68" i="21"/>
  <c r="J68" i="21"/>
  <c r="I68" i="21"/>
  <c r="H68" i="21"/>
  <c r="R67" i="21"/>
  <c r="S67" i="21" s="1"/>
  <c r="P67" i="21"/>
  <c r="N67" i="21"/>
  <c r="O67" i="21" s="1"/>
  <c r="M67" i="21"/>
  <c r="J67" i="21"/>
  <c r="I67" i="21"/>
  <c r="H67" i="21"/>
  <c r="R66" i="21"/>
  <c r="S66" i="21" s="1"/>
  <c r="J66" i="21"/>
  <c r="I66" i="21"/>
  <c r="H66" i="21"/>
  <c r="R65" i="21"/>
  <c r="S65" i="21" s="1"/>
  <c r="J65" i="21"/>
  <c r="I65" i="21"/>
  <c r="H65" i="21"/>
  <c r="R64" i="21"/>
  <c r="S64" i="21" s="1"/>
  <c r="P64" i="21"/>
  <c r="N64" i="21"/>
  <c r="O64" i="21" s="1"/>
  <c r="M64" i="21"/>
  <c r="J64" i="21"/>
  <c r="I64" i="21"/>
  <c r="H64" i="21"/>
  <c r="R63" i="21"/>
  <c r="S63" i="21" s="1"/>
  <c r="P63" i="21"/>
  <c r="N63" i="21"/>
  <c r="O63" i="21" s="1"/>
  <c r="M63" i="21"/>
  <c r="J63" i="21"/>
  <c r="I63" i="21"/>
  <c r="H63" i="21"/>
  <c r="R62" i="21"/>
  <c r="S62" i="21" s="1"/>
  <c r="P62" i="21"/>
  <c r="N62" i="21"/>
  <c r="O62" i="21" s="1"/>
  <c r="M62" i="21"/>
  <c r="J62" i="21"/>
  <c r="I62" i="21"/>
  <c r="H62" i="21"/>
  <c r="R61" i="21"/>
  <c r="S61" i="21" s="1"/>
  <c r="P61" i="21"/>
  <c r="N61" i="21"/>
  <c r="O61" i="21" s="1"/>
  <c r="M61" i="21"/>
  <c r="J61" i="21"/>
  <c r="I61" i="21"/>
  <c r="H61" i="21"/>
  <c r="R60" i="21"/>
  <c r="S60" i="21" s="1"/>
  <c r="P60" i="21"/>
  <c r="N60" i="21"/>
  <c r="O60" i="21" s="1"/>
  <c r="M60" i="21"/>
  <c r="J60" i="21"/>
  <c r="I60" i="21"/>
  <c r="H60" i="21"/>
  <c r="R59" i="21"/>
  <c r="S59" i="21" s="1"/>
  <c r="P59" i="21"/>
  <c r="N59" i="21"/>
  <c r="O59" i="21" s="1"/>
  <c r="M59" i="21"/>
  <c r="J59" i="21"/>
  <c r="I59" i="21"/>
  <c r="H59" i="21"/>
  <c r="R58" i="21"/>
  <c r="S58" i="21" s="1"/>
  <c r="P58" i="21"/>
  <c r="N58" i="21"/>
  <c r="M58" i="21"/>
  <c r="J58" i="21"/>
  <c r="I58" i="21"/>
  <c r="H58" i="21"/>
  <c r="R57" i="21"/>
  <c r="S57" i="21" s="1"/>
  <c r="P57" i="21"/>
  <c r="N57" i="21"/>
  <c r="O57" i="21" s="1"/>
  <c r="M57" i="21"/>
  <c r="J57" i="21"/>
  <c r="I57" i="21"/>
  <c r="H57" i="21"/>
  <c r="R56" i="21"/>
  <c r="S56" i="21" s="1"/>
  <c r="P56" i="21"/>
  <c r="N56" i="21"/>
  <c r="M56" i="21"/>
  <c r="J56" i="21"/>
  <c r="I56" i="21"/>
  <c r="H56" i="21"/>
  <c r="R55" i="21"/>
  <c r="S55" i="21" s="1"/>
  <c r="P55" i="21"/>
  <c r="N55" i="21"/>
  <c r="O55" i="21" s="1"/>
  <c r="M55" i="21"/>
  <c r="J55" i="21"/>
  <c r="I55" i="21"/>
  <c r="H55" i="21"/>
  <c r="R54" i="21"/>
  <c r="S54" i="21" s="1"/>
  <c r="J54" i="21"/>
  <c r="I54" i="21"/>
  <c r="H54" i="21"/>
  <c r="R53" i="21"/>
  <c r="S53" i="21" s="1"/>
  <c r="J53" i="21"/>
  <c r="I53" i="21"/>
  <c r="H53" i="21"/>
  <c r="R52" i="21"/>
  <c r="S52" i="21" s="1"/>
  <c r="P52" i="21"/>
  <c r="N52" i="21"/>
  <c r="O52" i="21" s="1"/>
  <c r="M52" i="21"/>
  <c r="J52" i="21"/>
  <c r="I52" i="21"/>
  <c r="H52" i="21"/>
  <c r="R51" i="21"/>
  <c r="S51" i="21" s="1"/>
  <c r="P51" i="21"/>
  <c r="N51" i="21"/>
  <c r="O51" i="21" s="1"/>
  <c r="M51" i="21"/>
  <c r="J51" i="21"/>
  <c r="I51" i="21"/>
  <c r="H51" i="21"/>
  <c r="R50" i="21"/>
  <c r="S50" i="21" s="1"/>
  <c r="P50" i="21"/>
  <c r="N50" i="21"/>
  <c r="M50" i="21"/>
  <c r="J50" i="21"/>
  <c r="I50" i="21"/>
  <c r="H50" i="21"/>
  <c r="R49" i="21"/>
  <c r="S49" i="21" s="1"/>
  <c r="P49" i="21"/>
  <c r="N49" i="21"/>
  <c r="O49" i="21" s="1"/>
  <c r="M49" i="21"/>
  <c r="J49" i="21"/>
  <c r="I49" i="21"/>
  <c r="H49" i="21"/>
  <c r="R48" i="21"/>
  <c r="S48" i="21" s="1"/>
  <c r="P48" i="21"/>
  <c r="N48" i="21"/>
  <c r="O48" i="21" s="1"/>
  <c r="M48" i="21"/>
  <c r="J48" i="21"/>
  <c r="I48" i="21"/>
  <c r="H48" i="21"/>
  <c r="R47" i="21"/>
  <c r="S47" i="21" s="1"/>
  <c r="P47" i="21"/>
  <c r="N47" i="21"/>
  <c r="O47" i="21" s="1"/>
  <c r="M47" i="21"/>
  <c r="J47" i="21"/>
  <c r="I47" i="21"/>
  <c r="H47" i="21"/>
  <c r="R46" i="21"/>
  <c r="S46" i="21" s="1"/>
  <c r="P46" i="21"/>
  <c r="N46" i="21"/>
  <c r="O46" i="21" s="1"/>
  <c r="M46" i="21"/>
  <c r="J46" i="21"/>
  <c r="I46" i="21"/>
  <c r="H46" i="21"/>
  <c r="R45" i="21"/>
  <c r="S45" i="21" s="1"/>
  <c r="P45" i="21"/>
  <c r="N45" i="21"/>
  <c r="O45" i="21" s="1"/>
  <c r="M45" i="21"/>
  <c r="J45" i="21"/>
  <c r="I45" i="21"/>
  <c r="H45" i="21"/>
  <c r="R44" i="21"/>
  <c r="S44" i="21" s="1"/>
  <c r="P44" i="21"/>
  <c r="N44" i="21"/>
  <c r="M44" i="21"/>
  <c r="J44" i="21"/>
  <c r="I44" i="21"/>
  <c r="H44" i="21"/>
  <c r="R43" i="21"/>
  <c r="S43" i="21" s="1"/>
  <c r="P43" i="21"/>
  <c r="N43" i="21"/>
  <c r="O43" i="21" s="1"/>
  <c r="M43" i="21"/>
  <c r="J43" i="21"/>
  <c r="I43" i="21"/>
  <c r="H43" i="21"/>
  <c r="R42" i="21"/>
  <c r="S42" i="21" s="1"/>
  <c r="P42" i="21"/>
  <c r="N42" i="21"/>
  <c r="M42" i="21"/>
  <c r="J42" i="21"/>
  <c r="I42" i="21"/>
  <c r="H42" i="21"/>
  <c r="R41" i="21"/>
  <c r="S41" i="21" s="1"/>
  <c r="J41" i="21"/>
  <c r="I41" i="21"/>
  <c r="H41" i="21"/>
  <c r="R40" i="21"/>
  <c r="S40" i="21" s="1"/>
  <c r="J40" i="21"/>
  <c r="I40" i="21"/>
  <c r="H40" i="21"/>
  <c r="R39" i="21"/>
  <c r="S39" i="21" s="1"/>
  <c r="P39" i="21"/>
  <c r="N39" i="21"/>
  <c r="O39" i="21" s="1"/>
  <c r="M39" i="21"/>
  <c r="J39" i="21"/>
  <c r="I39" i="21"/>
  <c r="H39" i="21"/>
  <c r="R38" i="21"/>
  <c r="S38" i="21" s="1"/>
  <c r="P38" i="21"/>
  <c r="N38" i="21"/>
  <c r="M38" i="21"/>
  <c r="J38" i="21"/>
  <c r="I38" i="21"/>
  <c r="H38" i="21"/>
  <c r="R37" i="21"/>
  <c r="S37" i="21" s="1"/>
  <c r="P37" i="21"/>
  <c r="N37" i="21"/>
  <c r="O37" i="21" s="1"/>
  <c r="M37" i="21"/>
  <c r="J37" i="21"/>
  <c r="I37" i="21"/>
  <c r="H37" i="21"/>
  <c r="R36" i="21"/>
  <c r="S36" i="21" s="1"/>
  <c r="P36" i="21"/>
  <c r="N36" i="21"/>
  <c r="O36" i="21" s="1"/>
  <c r="L36" i="21"/>
  <c r="Q36" i="21" s="1"/>
  <c r="K36" i="21"/>
  <c r="M36" i="21" s="1"/>
  <c r="J36" i="21"/>
  <c r="I36" i="21"/>
  <c r="H36" i="21"/>
  <c r="R35" i="21"/>
  <c r="S35" i="21" s="1"/>
  <c r="P35" i="21"/>
  <c r="N35" i="21"/>
  <c r="L35" i="21"/>
  <c r="Q35" i="21" s="1"/>
  <c r="K35" i="21"/>
  <c r="M35" i="21" s="1"/>
  <c r="J35" i="21"/>
  <c r="I35" i="21"/>
  <c r="H35" i="21"/>
  <c r="R34" i="21"/>
  <c r="S34" i="21" s="1"/>
  <c r="P34" i="21"/>
  <c r="N34" i="21"/>
  <c r="O34" i="21" s="1"/>
  <c r="L34" i="21"/>
  <c r="Q34" i="21" s="1"/>
  <c r="K34" i="21"/>
  <c r="M34" i="21" s="1"/>
  <c r="J34" i="21"/>
  <c r="I34" i="21"/>
  <c r="H34" i="21"/>
  <c r="R33" i="21"/>
  <c r="S33" i="21" s="1"/>
  <c r="P33" i="21"/>
  <c r="N33" i="21"/>
  <c r="L33" i="21"/>
  <c r="Q33" i="21" s="1"/>
  <c r="K33" i="21"/>
  <c r="M33" i="21" s="1"/>
  <c r="J33" i="21"/>
  <c r="I33" i="21"/>
  <c r="H33" i="21"/>
  <c r="J14" i="21"/>
  <c r="J12" i="21"/>
  <c r="J11" i="21"/>
  <c r="N33" i="20"/>
  <c r="T33" i="20" s="1"/>
  <c r="O33" i="20"/>
  <c r="P33" i="20"/>
  <c r="R33" i="20"/>
  <c r="S33" i="20"/>
  <c r="N34" i="20"/>
  <c r="T34" i="20" s="1"/>
  <c r="O34" i="20"/>
  <c r="P34" i="20"/>
  <c r="R34" i="20"/>
  <c r="S34" i="20"/>
  <c r="N35" i="20"/>
  <c r="O35" i="20"/>
  <c r="P35" i="20"/>
  <c r="R35" i="20"/>
  <c r="S35" i="20"/>
  <c r="T35" i="20"/>
  <c r="N36" i="20"/>
  <c r="T36" i="20" s="1"/>
  <c r="O36" i="20"/>
  <c r="P36" i="20"/>
  <c r="R36" i="20"/>
  <c r="S36" i="20"/>
  <c r="M37" i="20"/>
  <c r="N37" i="20"/>
  <c r="O37" i="20"/>
  <c r="P37" i="20"/>
  <c r="R37" i="20"/>
  <c r="S37" i="20"/>
  <c r="T37" i="20"/>
  <c r="M38" i="20"/>
  <c r="N38" i="20"/>
  <c r="O38" i="20" s="1"/>
  <c r="P38" i="20"/>
  <c r="R38" i="20"/>
  <c r="S38" i="20" s="1"/>
  <c r="M39" i="20"/>
  <c r="N39" i="20"/>
  <c r="T39" i="20" s="1"/>
  <c r="O39" i="20"/>
  <c r="P39" i="20"/>
  <c r="R39" i="20"/>
  <c r="S39" i="20" s="1"/>
  <c r="M40" i="20"/>
  <c r="N40" i="20"/>
  <c r="O40" i="20" s="1"/>
  <c r="P40" i="20"/>
  <c r="R40" i="20"/>
  <c r="S40" i="20"/>
  <c r="T40" i="20"/>
  <c r="M41" i="20"/>
  <c r="N41" i="20"/>
  <c r="T41" i="20" s="1"/>
  <c r="O41" i="20"/>
  <c r="P41" i="20"/>
  <c r="R41" i="20"/>
  <c r="S41" i="20" s="1"/>
  <c r="N42" i="20"/>
  <c r="O42" i="20"/>
  <c r="P42" i="20"/>
  <c r="R42" i="20"/>
  <c r="S42" i="20"/>
  <c r="T42" i="20"/>
  <c r="N43" i="20"/>
  <c r="O43" i="20" s="1"/>
  <c r="P43" i="20"/>
  <c r="R43" i="20"/>
  <c r="S43" i="20" s="1"/>
  <c r="M44" i="20"/>
  <c r="N44" i="20"/>
  <c r="T44" i="20" s="1"/>
  <c r="O44" i="20"/>
  <c r="P44" i="20"/>
  <c r="R44" i="20"/>
  <c r="S44" i="20" s="1"/>
  <c r="M45" i="20"/>
  <c r="N45" i="20"/>
  <c r="O45" i="20" s="1"/>
  <c r="P45" i="20"/>
  <c r="R45" i="20"/>
  <c r="S45" i="20"/>
  <c r="T45" i="20"/>
  <c r="M46" i="20"/>
  <c r="N46" i="20"/>
  <c r="T46" i="20" s="1"/>
  <c r="O46" i="20"/>
  <c r="P46" i="20"/>
  <c r="R46" i="20"/>
  <c r="S46" i="20" s="1"/>
  <c r="M47" i="20"/>
  <c r="N47" i="20"/>
  <c r="O47" i="20"/>
  <c r="P47" i="20"/>
  <c r="R47" i="20"/>
  <c r="S47" i="20"/>
  <c r="T47" i="20"/>
  <c r="M48" i="20"/>
  <c r="N48" i="20"/>
  <c r="T48" i="20" s="1"/>
  <c r="O48" i="20"/>
  <c r="P48" i="20"/>
  <c r="R48" i="20"/>
  <c r="S48" i="20" s="1"/>
  <c r="M49" i="20"/>
  <c r="N49" i="20"/>
  <c r="T49" i="20" s="1"/>
  <c r="O49" i="20"/>
  <c r="P49" i="20"/>
  <c r="R49" i="20"/>
  <c r="S49" i="20"/>
  <c r="M50" i="20"/>
  <c r="N50" i="20"/>
  <c r="O50" i="20"/>
  <c r="P50" i="20"/>
  <c r="R50" i="20"/>
  <c r="S50" i="20"/>
  <c r="T50" i="20"/>
  <c r="M51" i="20"/>
  <c r="N51" i="20"/>
  <c r="T51" i="20" s="1"/>
  <c r="O51" i="20"/>
  <c r="P51" i="20"/>
  <c r="R51" i="20"/>
  <c r="S51" i="20"/>
  <c r="M52" i="20"/>
  <c r="N52" i="20"/>
  <c r="O52" i="20" s="1"/>
  <c r="P52" i="20"/>
  <c r="R52" i="20"/>
  <c r="S52" i="20"/>
  <c r="T52" i="20"/>
  <c r="M53" i="20"/>
  <c r="N53" i="20"/>
  <c r="O53" i="20" s="1"/>
  <c r="P53" i="20"/>
  <c r="R53" i="20"/>
  <c r="S53" i="20"/>
  <c r="N54" i="20"/>
  <c r="O54" i="20"/>
  <c r="P54" i="20"/>
  <c r="R54" i="20"/>
  <c r="T54" i="20" s="1"/>
  <c r="S54" i="20"/>
  <c r="N55" i="20"/>
  <c r="O55" i="20"/>
  <c r="P55" i="20"/>
  <c r="R55" i="20"/>
  <c r="S55" i="20"/>
  <c r="T55" i="20"/>
  <c r="M56" i="20"/>
  <c r="N56" i="20"/>
  <c r="T56" i="20" s="1"/>
  <c r="O56" i="20"/>
  <c r="P56" i="20"/>
  <c r="R56" i="20"/>
  <c r="S56" i="20"/>
  <c r="M57" i="20"/>
  <c r="N57" i="20"/>
  <c r="O57" i="20" s="1"/>
  <c r="P57" i="20"/>
  <c r="R57" i="20"/>
  <c r="S57" i="20"/>
  <c r="T57" i="20"/>
  <c r="M58" i="20"/>
  <c r="N58" i="20"/>
  <c r="O58" i="20" s="1"/>
  <c r="P58" i="20"/>
  <c r="R58" i="20"/>
  <c r="S58" i="20"/>
  <c r="M59" i="20"/>
  <c r="N59" i="20"/>
  <c r="O59" i="20"/>
  <c r="P59" i="20"/>
  <c r="R59" i="20"/>
  <c r="S59" i="20"/>
  <c r="T59" i="20"/>
  <c r="M60" i="20"/>
  <c r="N60" i="20"/>
  <c r="O60" i="20" s="1"/>
  <c r="P60" i="20"/>
  <c r="R60" i="20"/>
  <c r="S60" i="20" s="1"/>
  <c r="M61" i="20"/>
  <c r="N61" i="20"/>
  <c r="T61" i="20" s="1"/>
  <c r="O61" i="20"/>
  <c r="P61" i="20"/>
  <c r="R61" i="20"/>
  <c r="S61" i="20" s="1"/>
  <c r="M62" i="20"/>
  <c r="N62" i="20"/>
  <c r="O62" i="20" s="1"/>
  <c r="P62" i="20"/>
  <c r="R62" i="20"/>
  <c r="S62" i="20"/>
  <c r="T62" i="20"/>
  <c r="M63" i="20"/>
  <c r="N63" i="20"/>
  <c r="T63" i="20" s="1"/>
  <c r="O63" i="20"/>
  <c r="P63" i="20"/>
  <c r="R63" i="20"/>
  <c r="S63" i="20" s="1"/>
  <c r="M64" i="20"/>
  <c r="N64" i="20"/>
  <c r="O64" i="20"/>
  <c r="P64" i="20"/>
  <c r="R64" i="20"/>
  <c r="S64" i="20"/>
  <c r="T64" i="20"/>
  <c r="M65" i="20"/>
  <c r="N65" i="20"/>
  <c r="T65" i="20" s="1"/>
  <c r="O65" i="20"/>
  <c r="P65" i="20"/>
  <c r="R65" i="20"/>
  <c r="S65" i="20" s="1"/>
  <c r="N66" i="20"/>
  <c r="T66" i="20" s="1"/>
  <c r="O66" i="20"/>
  <c r="P66" i="20"/>
  <c r="R66" i="20"/>
  <c r="S66" i="20" s="1"/>
  <c r="N67" i="20"/>
  <c r="O67" i="20" s="1"/>
  <c r="P67" i="20"/>
  <c r="R67" i="20"/>
  <c r="S67" i="20"/>
  <c r="T67" i="20"/>
  <c r="M68" i="20"/>
  <c r="N68" i="20"/>
  <c r="T68" i="20" s="1"/>
  <c r="O68" i="20"/>
  <c r="P68" i="20"/>
  <c r="R68" i="20"/>
  <c r="S68" i="20" s="1"/>
  <c r="M69" i="20"/>
  <c r="N69" i="20"/>
  <c r="O69" i="20"/>
  <c r="P69" i="20"/>
  <c r="R69" i="20"/>
  <c r="S69" i="20"/>
  <c r="T69" i="20"/>
  <c r="M70" i="20"/>
  <c r="N70" i="20"/>
  <c r="T70" i="20" s="1"/>
  <c r="O70" i="20"/>
  <c r="P70" i="20"/>
  <c r="R70" i="20"/>
  <c r="S70" i="20" s="1"/>
  <c r="M71" i="20"/>
  <c r="N71" i="20"/>
  <c r="T71" i="20" s="1"/>
  <c r="O71" i="20"/>
  <c r="P71" i="20"/>
  <c r="R71" i="20"/>
  <c r="S71" i="20"/>
  <c r="M72" i="20"/>
  <c r="N72" i="20"/>
  <c r="O72" i="20"/>
  <c r="P72" i="20"/>
  <c r="R72" i="20"/>
  <c r="S72" i="20"/>
  <c r="T72" i="20"/>
  <c r="M73" i="20"/>
  <c r="N73" i="20"/>
  <c r="T73" i="20" s="1"/>
  <c r="O73" i="20"/>
  <c r="P73" i="20"/>
  <c r="R73" i="20"/>
  <c r="S73" i="20"/>
  <c r="M74" i="20"/>
  <c r="N74" i="20"/>
  <c r="O74" i="20" s="1"/>
  <c r="P74" i="20"/>
  <c r="R74" i="20"/>
  <c r="S74" i="20"/>
  <c r="T74" i="20"/>
  <c r="M75" i="20"/>
  <c r="N75" i="20"/>
  <c r="O75" i="20" s="1"/>
  <c r="P75" i="20"/>
  <c r="R75" i="20"/>
  <c r="S75" i="20"/>
  <c r="M76" i="20"/>
  <c r="N76" i="20"/>
  <c r="O76" i="20"/>
  <c r="P76" i="20"/>
  <c r="R76" i="20"/>
  <c r="S76" i="20"/>
  <c r="T76" i="20"/>
  <c r="M77" i="20"/>
  <c r="N77" i="20"/>
  <c r="O77" i="20" s="1"/>
  <c r="P77" i="20"/>
  <c r="R77" i="20"/>
  <c r="S77" i="20" s="1"/>
  <c r="M78" i="20"/>
  <c r="N78" i="20"/>
  <c r="T78" i="20" s="1"/>
  <c r="O78" i="20"/>
  <c r="P78" i="20"/>
  <c r="R78" i="20"/>
  <c r="S78" i="20" s="1"/>
  <c r="M79" i="20"/>
  <c r="N79" i="20"/>
  <c r="O79" i="20" s="1"/>
  <c r="P79" i="20"/>
  <c r="R79" i="20"/>
  <c r="S79" i="20"/>
  <c r="T79" i="20"/>
  <c r="M80" i="20"/>
  <c r="N80" i="20"/>
  <c r="T80" i="20" s="1"/>
  <c r="O80" i="20"/>
  <c r="P80" i="20"/>
  <c r="R80" i="20"/>
  <c r="S80" i="20" s="1"/>
  <c r="M81" i="20"/>
  <c r="N81" i="20"/>
  <c r="O81" i="20"/>
  <c r="P81" i="20"/>
  <c r="R81" i="20"/>
  <c r="S81" i="20"/>
  <c r="T81" i="20"/>
  <c r="M82" i="20"/>
  <c r="N82" i="20"/>
  <c r="T82" i="20" s="1"/>
  <c r="O82" i="20"/>
  <c r="P82" i="20"/>
  <c r="Q82" i="20"/>
  <c r="R82" i="20"/>
  <c r="S82" i="20" s="1"/>
  <c r="I84" i="20"/>
  <c r="R94" i="20"/>
  <c r="S94" i="20" s="1"/>
  <c r="Q94" i="20"/>
  <c r="P94" i="20"/>
  <c r="N94" i="20"/>
  <c r="M94" i="20"/>
  <c r="J94" i="20"/>
  <c r="I94" i="20"/>
  <c r="H94" i="20"/>
  <c r="H82" i="20"/>
  <c r="I82" i="20"/>
  <c r="J82" i="20"/>
  <c r="H84" i="20"/>
  <c r="R87" i="20"/>
  <c r="S87" i="20" s="1"/>
  <c r="P87" i="20"/>
  <c r="N87" i="20"/>
  <c r="K87" i="20"/>
  <c r="M87" i="20" s="1"/>
  <c r="J87" i="20"/>
  <c r="I87" i="20"/>
  <c r="H87" i="20"/>
  <c r="R86" i="20"/>
  <c r="S86" i="20" s="1"/>
  <c r="P86" i="20"/>
  <c r="N86" i="20"/>
  <c r="K86" i="20"/>
  <c r="M86" i="20" s="1"/>
  <c r="J86" i="20"/>
  <c r="I86" i="20"/>
  <c r="H86" i="20"/>
  <c r="R93" i="20"/>
  <c r="S93" i="20" s="1"/>
  <c r="P93" i="20"/>
  <c r="N93" i="20"/>
  <c r="O93" i="20" s="1"/>
  <c r="L93" i="20"/>
  <c r="Q93" i="20" s="1"/>
  <c r="K93" i="20"/>
  <c r="M93" i="20" s="1"/>
  <c r="J93" i="20"/>
  <c r="I93" i="20"/>
  <c r="H93" i="20"/>
  <c r="R92" i="20"/>
  <c r="S92" i="20" s="1"/>
  <c r="P92" i="20"/>
  <c r="N92" i="20"/>
  <c r="O92" i="20" s="1"/>
  <c r="L92" i="20"/>
  <c r="Q92" i="20" s="1"/>
  <c r="K92" i="20"/>
  <c r="M92" i="20" s="1"/>
  <c r="J92" i="20"/>
  <c r="I92" i="20"/>
  <c r="H92" i="20"/>
  <c r="R91" i="20"/>
  <c r="S91" i="20" s="1"/>
  <c r="P91" i="20"/>
  <c r="N91" i="20"/>
  <c r="L91" i="20"/>
  <c r="Q91" i="20" s="1"/>
  <c r="K91" i="20"/>
  <c r="M91" i="20" s="1"/>
  <c r="J91" i="20"/>
  <c r="I91" i="20"/>
  <c r="H91" i="20"/>
  <c r="R90" i="20"/>
  <c r="S90" i="20" s="1"/>
  <c r="P90" i="20"/>
  <c r="N90" i="20"/>
  <c r="L90" i="20"/>
  <c r="Q90" i="20" s="1"/>
  <c r="K90" i="20"/>
  <c r="M90" i="20" s="1"/>
  <c r="J90" i="20"/>
  <c r="I90" i="20"/>
  <c r="H90" i="20"/>
  <c r="R89" i="20"/>
  <c r="S89" i="20" s="1"/>
  <c r="S84" i="20" s="1"/>
  <c r="P89" i="20"/>
  <c r="N89" i="20"/>
  <c r="O89" i="20" s="1"/>
  <c r="L89" i="20"/>
  <c r="Q89" i="20" s="1"/>
  <c r="K89" i="20"/>
  <c r="M89" i="20" s="1"/>
  <c r="J89" i="20"/>
  <c r="I89" i="20"/>
  <c r="H89" i="20"/>
  <c r="R88" i="20"/>
  <c r="S88" i="20" s="1"/>
  <c r="P88" i="20"/>
  <c r="N88" i="20"/>
  <c r="O88" i="20" s="1"/>
  <c r="L88" i="20"/>
  <c r="Q88" i="20" s="1"/>
  <c r="K88" i="20"/>
  <c r="M88" i="20" s="1"/>
  <c r="J88" i="20"/>
  <c r="I88" i="20"/>
  <c r="H88" i="20"/>
  <c r="F23" i="20"/>
  <c r="F22" i="20"/>
  <c r="D18" i="20"/>
  <c r="D17" i="20"/>
  <c r="D15" i="20"/>
  <c r="T77" i="20" l="1"/>
  <c r="T60" i="20"/>
  <c r="T43" i="20"/>
  <c r="T38" i="20"/>
  <c r="S84" i="22"/>
  <c r="T75" i="20"/>
  <c r="T58" i="20"/>
  <c r="T53" i="20"/>
  <c r="S84" i="21"/>
  <c r="T74" i="22"/>
  <c r="T95" i="22"/>
  <c r="I84" i="21"/>
  <c r="I84" i="22"/>
  <c r="T87" i="23"/>
  <c r="T95" i="23"/>
  <c r="T88" i="23"/>
  <c r="O90" i="23"/>
  <c r="T89" i="23"/>
  <c r="T93" i="23"/>
  <c r="T91" i="23"/>
  <c r="T92" i="23"/>
  <c r="T86" i="23"/>
  <c r="O88" i="23"/>
  <c r="O95" i="23"/>
  <c r="T94" i="23"/>
  <c r="O87" i="23"/>
  <c r="O86" i="23"/>
  <c r="O92" i="23"/>
  <c r="O91" i="23"/>
  <c r="T49" i="23"/>
  <c r="T54" i="23"/>
  <c r="T42" i="23"/>
  <c r="T64" i="23"/>
  <c r="T47" i="23"/>
  <c r="T82" i="23"/>
  <c r="T48" i="23"/>
  <c r="T52" i="23"/>
  <c r="T79" i="23"/>
  <c r="T33" i="23"/>
  <c r="T41" i="23"/>
  <c r="T59" i="23"/>
  <c r="T60" i="23"/>
  <c r="T78" i="23"/>
  <c r="T81" i="23"/>
  <c r="T36" i="23"/>
  <c r="T50" i="23"/>
  <c r="T61" i="23"/>
  <c r="O79" i="23"/>
  <c r="O81" i="23"/>
  <c r="O33" i="23"/>
  <c r="T38" i="23"/>
  <c r="T51" i="23"/>
  <c r="T62" i="23"/>
  <c r="H84" i="23"/>
  <c r="T34" i="23"/>
  <c r="O36" i="23"/>
  <c r="T45" i="23"/>
  <c r="T46" i="23"/>
  <c r="T57" i="23"/>
  <c r="T58" i="23"/>
  <c r="O82" i="23"/>
  <c r="I84" i="23"/>
  <c r="T37" i="23"/>
  <c r="T39" i="23"/>
  <c r="T43" i="23"/>
  <c r="T44" i="23"/>
  <c r="T53" i="23"/>
  <c r="T55" i="23"/>
  <c r="T56" i="23"/>
  <c r="T63" i="23"/>
  <c r="T65" i="23"/>
  <c r="T66" i="23"/>
  <c r="T67" i="23"/>
  <c r="T68" i="23"/>
  <c r="T69" i="23"/>
  <c r="T70" i="23"/>
  <c r="T71" i="23"/>
  <c r="T72" i="23"/>
  <c r="T73" i="23"/>
  <c r="T74" i="23"/>
  <c r="T75" i="23"/>
  <c r="T76" i="23"/>
  <c r="T77" i="23"/>
  <c r="T80" i="23"/>
  <c r="S84" i="23"/>
  <c r="T35" i="23"/>
  <c r="T40" i="23"/>
  <c r="O42" i="23"/>
  <c r="O44" i="23"/>
  <c r="O46" i="23"/>
  <c r="O48" i="23"/>
  <c r="O50" i="23"/>
  <c r="O52" i="23"/>
  <c r="O54" i="23"/>
  <c r="O56" i="23"/>
  <c r="O58" i="23"/>
  <c r="O60" i="23"/>
  <c r="O62" i="23"/>
  <c r="O66" i="23"/>
  <c r="O68" i="23"/>
  <c r="O70" i="23"/>
  <c r="O72" i="23"/>
  <c r="O74" i="23"/>
  <c r="O76" i="23"/>
  <c r="O34" i="23"/>
  <c r="O41" i="23"/>
  <c r="O43" i="23"/>
  <c r="O45" i="23"/>
  <c r="O47" i="23"/>
  <c r="O49" i="23"/>
  <c r="O51" i="23"/>
  <c r="O55" i="23"/>
  <c r="O57" i="23"/>
  <c r="O59" i="23"/>
  <c r="O61" i="23"/>
  <c r="O63" i="23"/>
  <c r="O64" i="23"/>
  <c r="O65" i="23"/>
  <c r="O67" i="23"/>
  <c r="O69" i="23"/>
  <c r="O71" i="23"/>
  <c r="O73" i="23"/>
  <c r="O75" i="23"/>
  <c r="O77" i="23"/>
  <c r="O78" i="23"/>
  <c r="S80" i="23"/>
  <c r="O37" i="23"/>
  <c r="O39" i="23"/>
  <c r="T89" i="22"/>
  <c r="T90" i="22"/>
  <c r="O89" i="22"/>
  <c r="O84" i="22" s="1"/>
  <c r="O91" i="22"/>
  <c r="T86" i="22"/>
  <c r="O95" i="22"/>
  <c r="T94" i="22"/>
  <c r="O87" i="22"/>
  <c r="T93" i="22"/>
  <c r="O86" i="22"/>
  <c r="O92" i="22"/>
  <c r="T88" i="22"/>
  <c r="T33" i="22"/>
  <c r="T34" i="22"/>
  <c r="T72" i="22"/>
  <c r="T62" i="22"/>
  <c r="T35" i="22"/>
  <c r="T70" i="22"/>
  <c r="T41" i="22"/>
  <c r="T45" i="22"/>
  <c r="T49" i="22"/>
  <c r="T54" i="22"/>
  <c r="T56" i="22"/>
  <c r="T69" i="22"/>
  <c r="O74" i="22"/>
  <c r="T40" i="22"/>
  <c r="T44" i="22"/>
  <c r="T48" i="22"/>
  <c r="T52" i="22"/>
  <c r="T55" i="22"/>
  <c r="T63" i="22"/>
  <c r="T68" i="22"/>
  <c r="T76" i="22"/>
  <c r="T46" i="22"/>
  <c r="T50" i="22"/>
  <c r="T57" i="22"/>
  <c r="T64" i="22"/>
  <c r="T65" i="22"/>
  <c r="T71" i="22"/>
  <c r="T77" i="22"/>
  <c r="T60" i="22"/>
  <c r="T82" i="22"/>
  <c r="O35" i="22"/>
  <c r="T38" i="22"/>
  <c r="T43" i="22"/>
  <c r="T47" i="22"/>
  <c r="T51" i="22"/>
  <c r="T58" i="22"/>
  <c r="T59" i="22"/>
  <c r="O60" i="22"/>
  <c r="T61" i="22"/>
  <c r="T66" i="22"/>
  <c r="T67" i="22"/>
  <c r="T75" i="22"/>
  <c r="T79" i="22"/>
  <c r="T80" i="22"/>
  <c r="O38" i="22"/>
  <c r="T39" i="22"/>
  <c r="T42" i="22"/>
  <c r="T78" i="22"/>
  <c r="O39" i="22"/>
  <c r="O62" i="22"/>
  <c r="T36" i="22"/>
  <c r="T37" i="22"/>
  <c r="O55" i="22"/>
  <c r="O56" i="22"/>
  <c r="O66" i="22"/>
  <c r="O72" i="22"/>
  <c r="T73" i="22"/>
  <c r="T81" i="22"/>
  <c r="O33" i="22"/>
  <c r="O40" i="22"/>
  <c r="T53" i="22"/>
  <c r="O68" i="22"/>
  <c r="O34" i="22"/>
  <c r="S37" i="22"/>
  <c r="O41" i="22"/>
  <c r="O43" i="22"/>
  <c r="O45" i="22"/>
  <c r="O47" i="22"/>
  <c r="O49" i="22"/>
  <c r="O51" i="22"/>
  <c r="S71" i="22"/>
  <c r="S73" i="22"/>
  <c r="S75" i="22"/>
  <c r="O79" i="22"/>
  <c r="O81" i="22"/>
  <c r="O57" i="22"/>
  <c r="O59" i="22"/>
  <c r="O61" i="22"/>
  <c r="O63" i="22"/>
  <c r="O67" i="22"/>
  <c r="O69" i="22"/>
  <c r="O77" i="22"/>
  <c r="O42" i="22"/>
  <c r="O44" i="22"/>
  <c r="O46" i="22"/>
  <c r="O48" i="22"/>
  <c r="O50" i="22"/>
  <c r="O52" i="22"/>
  <c r="O54" i="22"/>
  <c r="T96" i="21"/>
  <c r="O96" i="21"/>
  <c r="T90" i="21"/>
  <c r="T95" i="21"/>
  <c r="T92" i="21"/>
  <c r="T86" i="21"/>
  <c r="T93" i="21"/>
  <c r="T91" i="21"/>
  <c r="O90" i="21"/>
  <c r="O84" i="21" s="1"/>
  <c r="T89" i="21"/>
  <c r="O95" i="21"/>
  <c r="T94" i="21"/>
  <c r="O86" i="21"/>
  <c r="O92" i="21"/>
  <c r="T88" i="21"/>
  <c r="T33" i="21"/>
  <c r="T72" i="21"/>
  <c r="T80" i="21"/>
  <c r="T42" i="21"/>
  <c r="T54" i="21"/>
  <c r="T58" i="21"/>
  <c r="T82" i="21"/>
  <c r="O33" i="21"/>
  <c r="T35" i="21"/>
  <c r="T38" i="21"/>
  <c r="T64" i="21"/>
  <c r="T66" i="21"/>
  <c r="T50" i="21"/>
  <c r="T56" i="21"/>
  <c r="T44" i="21"/>
  <c r="O50" i="21"/>
  <c r="O56" i="21"/>
  <c r="T70" i="21"/>
  <c r="T76" i="21"/>
  <c r="T78" i="21"/>
  <c r="T52" i="21"/>
  <c r="O35" i="21"/>
  <c r="O38" i="21"/>
  <c r="T40" i="21"/>
  <c r="O42" i="21"/>
  <c r="O44" i="21"/>
  <c r="T46" i="21"/>
  <c r="O58" i="21"/>
  <c r="T60" i="21"/>
  <c r="O72" i="21"/>
  <c r="T74" i="21"/>
  <c r="O80" i="21"/>
  <c r="T48" i="21"/>
  <c r="T62" i="21"/>
  <c r="T68" i="21"/>
  <c r="O82" i="21"/>
  <c r="T36" i="21"/>
  <c r="T34" i="21"/>
  <c r="T37" i="21"/>
  <c r="T39" i="21"/>
  <c r="T41" i="21"/>
  <c r="T43" i="21"/>
  <c r="T45" i="21"/>
  <c r="T47" i="21"/>
  <c r="T49" i="21"/>
  <c r="T51" i="21"/>
  <c r="T53" i="21"/>
  <c r="T55" i="21"/>
  <c r="T57" i="21"/>
  <c r="T59" i="21"/>
  <c r="T61" i="21"/>
  <c r="T63" i="21"/>
  <c r="T65" i="21"/>
  <c r="T67" i="21"/>
  <c r="T69" i="21"/>
  <c r="T71" i="21"/>
  <c r="T73" i="21"/>
  <c r="T75" i="21"/>
  <c r="T77" i="21"/>
  <c r="T79" i="21"/>
  <c r="T81" i="21"/>
  <c r="T94" i="20"/>
  <c r="T87" i="20"/>
  <c r="T90" i="20"/>
  <c r="T91" i="20"/>
  <c r="T86" i="20"/>
  <c r="O94" i="20"/>
  <c r="T89" i="20"/>
  <c r="O90" i="20"/>
  <c r="O87" i="20"/>
  <c r="O86" i="20"/>
  <c r="T93" i="20"/>
  <c r="T92" i="20"/>
  <c r="T88" i="20"/>
  <c r="O91" i="20"/>
  <c r="J81" i="20"/>
  <c r="I81" i="20"/>
  <c r="H81" i="20"/>
  <c r="J80" i="20"/>
  <c r="I80" i="20"/>
  <c r="H80" i="20"/>
  <c r="J79" i="20"/>
  <c r="I79" i="20"/>
  <c r="H79" i="20"/>
  <c r="J78" i="20"/>
  <c r="I78" i="20"/>
  <c r="H78" i="20"/>
  <c r="J77" i="20"/>
  <c r="I77" i="20"/>
  <c r="H77" i="20"/>
  <c r="J76" i="20"/>
  <c r="I76" i="20"/>
  <c r="H76" i="20"/>
  <c r="J75" i="20"/>
  <c r="I75" i="20"/>
  <c r="H75" i="20"/>
  <c r="J74" i="20"/>
  <c r="I74" i="20"/>
  <c r="H74" i="20"/>
  <c r="J73" i="20"/>
  <c r="I73" i="20"/>
  <c r="H73" i="20"/>
  <c r="J72" i="20"/>
  <c r="I72" i="20"/>
  <c r="H72" i="20"/>
  <c r="J71" i="20"/>
  <c r="I71" i="20"/>
  <c r="H71" i="20"/>
  <c r="J70" i="20"/>
  <c r="I70" i="20"/>
  <c r="H70" i="20"/>
  <c r="J69" i="20"/>
  <c r="I69" i="20"/>
  <c r="H69" i="20"/>
  <c r="J68" i="20"/>
  <c r="I68" i="20"/>
  <c r="H68" i="20"/>
  <c r="K67" i="20"/>
  <c r="M67" i="20" s="1"/>
  <c r="J67" i="20"/>
  <c r="I67" i="20"/>
  <c r="H67" i="20"/>
  <c r="L66" i="20"/>
  <c r="Q66" i="20" s="1"/>
  <c r="K66" i="20"/>
  <c r="M66" i="20" s="1"/>
  <c r="J66" i="20"/>
  <c r="I66" i="20"/>
  <c r="H66" i="20"/>
  <c r="J65" i="20"/>
  <c r="I65" i="20"/>
  <c r="H65" i="20"/>
  <c r="J64" i="20"/>
  <c r="I64" i="20"/>
  <c r="H64" i="20"/>
  <c r="J63" i="20"/>
  <c r="I63" i="20"/>
  <c r="H63" i="20"/>
  <c r="J62" i="20"/>
  <c r="I62" i="20"/>
  <c r="H62" i="20"/>
  <c r="J61" i="20"/>
  <c r="I61" i="20"/>
  <c r="H61" i="20"/>
  <c r="J60" i="20"/>
  <c r="I60" i="20"/>
  <c r="H60" i="20"/>
  <c r="J59" i="20"/>
  <c r="I59" i="20"/>
  <c r="H59" i="20"/>
  <c r="J58" i="20"/>
  <c r="I58" i="20"/>
  <c r="H58" i="20"/>
  <c r="J57" i="20"/>
  <c r="I57" i="20"/>
  <c r="H57" i="20"/>
  <c r="J56" i="20"/>
  <c r="I56" i="20"/>
  <c r="H56" i="20"/>
  <c r="K55" i="20"/>
  <c r="M55" i="20" s="1"/>
  <c r="J55" i="20"/>
  <c r="I55" i="20"/>
  <c r="H55" i="20"/>
  <c r="L54" i="20"/>
  <c r="Q54" i="20" s="1"/>
  <c r="K54" i="20"/>
  <c r="M54" i="20" s="1"/>
  <c r="J54" i="20"/>
  <c r="I54" i="20"/>
  <c r="H54" i="20"/>
  <c r="J53" i="20"/>
  <c r="I53" i="20"/>
  <c r="H53" i="20"/>
  <c r="J52" i="20"/>
  <c r="I52" i="20"/>
  <c r="H52" i="20"/>
  <c r="J51" i="20"/>
  <c r="I51" i="20"/>
  <c r="H51" i="20"/>
  <c r="J50" i="20"/>
  <c r="I50" i="20"/>
  <c r="H50" i="20"/>
  <c r="J49" i="20"/>
  <c r="I49" i="20"/>
  <c r="H49" i="20"/>
  <c r="J48" i="20"/>
  <c r="I48" i="20"/>
  <c r="H48" i="20"/>
  <c r="J47" i="20"/>
  <c r="I47" i="20"/>
  <c r="H47" i="20"/>
  <c r="J46" i="20"/>
  <c r="I46" i="20"/>
  <c r="H46" i="20"/>
  <c r="J45" i="20"/>
  <c r="I45" i="20"/>
  <c r="H45" i="20"/>
  <c r="J44" i="20"/>
  <c r="I44" i="20"/>
  <c r="H44" i="20"/>
  <c r="K43" i="20"/>
  <c r="M43" i="20" s="1"/>
  <c r="J43" i="20"/>
  <c r="I43" i="20"/>
  <c r="H43" i="20"/>
  <c r="L42" i="20"/>
  <c r="Q42" i="20" s="1"/>
  <c r="K42" i="20"/>
  <c r="M42" i="20" s="1"/>
  <c r="J42" i="20"/>
  <c r="I42" i="20"/>
  <c r="H42" i="20"/>
  <c r="J41" i="20"/>
  <c r="I41" i="20"/>
  <c r="H41" i="20"/>
  <c r="J40" i="20"/>
  <c r="I40" i="20"/>
  <c r="H40" i="20"/>
  <c r="J39" i="20"/>
  <c r="I39" i="20"/>
  <c r="H39" i="20"/>
  <c r="J38" i="20"/>
  <c r="I38" i="20"/>
  <c r="H38" i="20"/>
  <c r="J37" i="20"/>
  <c r="I37" i="20"/>
  <c r="H37" i="20"/>
  <c r="L36" i="20"/>
  <c r="Q36" i="20" s="1"/>
  <c r="K36" i="20"/>
  <c r="M36" i="20" s="1"/>
  <c r="J36" i="20"/>
  <c r="I36" i="20"/>
  <c r="H36" i="20"/>
  <c r="L35" i="20"/>
  <c r="Q35" i="20" s="1"/>
  <c r="K35" i="20"/>
  <c r="M35" i="20" s="1"/>
  <c r="J35" i="20"/>
  <c r="I35" i="20"/>
  <c r="H35" i="20"/>
  <c r="L34" i="20"/>
  <c r="Q34" i="20" s="1"/>
  <c r="K34" i="20"/>
  <c r="M34" i="20" s="1"/>
  <c r="J34" i="20"/>
  <c r="I34" i="20"/>
  <c r="H34" i="20"/>
  <c r="L33" i="20"/>
  <c r="Q33" i="20" s="1"/>
  <c r="K33" i="20"/>
  <c r="M33" i="20" s="1"/>
  <c r="J33" i="20"/>
  <c r="I33" i="20"/>
  <c r="H33" i="20"/>
  <c r="J14" i="20"/>
  <c r="J12" i="20"/>
  <c r="J11" i="20"/>
  <c r="T84" i="20" l="1"/>
  <c r="O84" i="20"/>
  <c r="T84" i="21"/>
  <c r="T84" i="23"/>
  <c r="O84" i="23"/>
  <c r="T84" i="22"/>
  <c r="R96" i="19"/>
  <c r="S96" i="19" s="1"/>
  <c r="P96" i="19"/>
  <c r="N96" i="19"/>
  <c r="L96" i="19"/>
  <c r="Q96" i="19" s="1"/>
  <c r="K96" i="19"/>
  <c r="M96" i="19" s="1"/>
  <c r="J96" i="19"/>
  <c r="I96" i="19"/>
  <c r="H96" i="19"/>
  <c r="R87" i="19"/>
  <c r="P87" i="19"/>
  <c r="N87" i="19"/>
  <c r="O87" i="19" s="1"/>
  <c r="K87" i="19"/>
  <c r="M87" i="19" s="1"/>
  <c r="J87" i="19"/>
  <c r="I87" i="19"/>
  <c r="H87" i="19"/>
  <c r="R94" i="19"/>
  <c r="S94" i="19" s="1"/>
  <c r="P94" i="19"/>
  <c r="N94" i="19"/>
  <c r="L94" i="19"/>
  <c r="Q94" i="19" s="1"/>
  <c r="K94" i="19"/>
  <c r="M94" i="19" s="1"/>
  <c r="J94" i="19"/>
  <c r="I94" i="19"/>
  <c r="H94" i="19"/>
  <c r="R88" i="19"/>
  <c r="S88" i="19" s="1"/>
  <c r="P88" i="19"/>
  <c r="N88" i="19"/>
  <c r="K88" i="19"/>
  <c r="M88" i="19" s="1"/>
  <c r="J88" i="19"/>
  <c r="I88" i="19"/>
  <c r="H88" i="19"/>
  <c r="R95" i="19"/>
  <c r="S95" i="19" s="1"/>
  <c r="P95" i="19"/>
  <c r="N95" i="19"/>
  <c r="O95" i="19" s="1"/>
  <c r="L95" i="19"/>
  <c r="Q95" i="19" s="1"/>
  <c r="K95" i="19"/>
  <c r="M95" i="19" s="1"/>
  <c r="J95" i="19"/>
  <c r="I95" i="19"/>
  <c r="H95" i="19"/>
  <c r="R86" i="19"/>
  <c r="S86" i="19" s="1"/>
  <c r="P86" i="19"/>
  <c r="N86" i="19"/>
  <c r="K86" i="19"/>
  <c r="M86" i="19" s="1"/>
  <c r="J86" i="19"/>
  <c r="I86" i="19"/>
  <c r="H86" i="19"/>
  <c r="R93" i="19"/>
  <c r="S93" i="19" s="1"/>
  <c r="P93" i="19"/>
  <c r="N93" i="19"/>
  <c r="O93" i="19" s="1"/>
  <c r="L93" i="19"/>
  <c r="K93" i="19"/>
  <c r="M93" i="19" s="1"/>
  <c r="J93" i="19"/>
  <c r="R92" i="19"/>
  <c r="S92" i="19" s="1"/>
  <c r="P92" i="19"/>
  <c r="N92" i="19"/>
  <c r="M92" i="19"/>
  <c r="L92" i="19"/>
  <c r="Q92" i="19" s="1"/>
  <c r="K92" i="19"/>
  <c r="J92" i="19"/>
  <c r="I92" i="19"/>
  <c r="H92" i="19"/>
  <c r="R91" i="19"/>
  <c r="S91" i="19" s="1"/>
  <c r="P91" i="19"/>
  <c r="N91" i="19"/>
  <c r="L91" i="19"/>
  <c r="Q91" i="19" s="1"/>
  <c r="K91" i="19"/>
  <c r="M91" i="19" s="1"/>
  <c r="J91" i="19"/>
  <c r="I91" i="19"/>
  <c r="H91" i="19"/>
  <c r="R90" i="19"/>
  <c r="S90" i="19" s="1"/>
  <c r="P90" i="19"/>
  <c r="N90" i="19"/>
  <c r="L90" i="19"/>
  <c r="Q90" i="19" s="1"/>
  <c r="K90" i="19"/>
  <c r="M90" i="19" s="1"/>
  <c r="J90" i="19"/>
  <c r="I90" i="19"/>
  <c r="H90" i="19"/>
  <c r="R89" i="19"/>
  <c r="S89" i="19" s="1"/>
  <c r="P89" i="19"/>
  <c r="N89" i="19"/>
  <c r="L89" i="19"/>
  <c r="Q89" i="19" s="1"/>
  <c r="K89" i="19"/>
  <c r="M89" i="19" s="1"/>
  <c r="J89" i="19"/>
  <c r="I89" i="19"/>
  <c r="I84" i="19" s="1"/>
  <c r="H89" i="19"/>
  <c r="H84" i="19" s="1"/>
  <c r="K67" i="19"/>
  <c r="K55" i="19"/>
  <c r="K43" i="19"/>
  <c r="P76" i="19"/>
  <c r="N76" i="19"/>
  <c r="O76" i="19" s="1"/>
  <c r="L76" i="19"/>
  <c r="Q76" i="19" s="1"/>
  <c r="K76" i="19"/>
  <c r="M76" i="19" s="1"/>
  <c r="P66" i="19"/>
  <c r="N66" i="19"/>
  <c r="O66" i="19" s="1"/>
  <c r="L66" i="19"/>
  <c r="Q66" i="19" s="1"/>
  <c r="K66" i="19"/>
  <c r="M66" i="19" s="1"/>
  <c r="P54" i="19"/>
  <c r="N54" i="19"/>
  <c r="O54" i="19" s="1"/>
  <c r="L54" i="19"/>
  <c r="Q54" i="19" s="1"/>
  <c r="K54" i="19"/>
  <c r="M54" i="19" s="1"/>
  <c r="M53" i="19"/>
  <c r="N53" i="19"/>
  <c r="O53" i="19" s="1"/>
  <c r="P53" i="19"/>
  <c r="D18" i="19"/>
  <c r="D17" i="19"/>
  <c r="D15" i="19"/>
  <c r="F22" i="19"/>
  <c r="H80" i="19"/>
  <c r="I80" i="19"/>
  <c r="J80" i="19"/>
  <c r="M80" i="19"/>
  <c r="N80" i="19"/>
  <c r="O80" i="19" s="1"/>
  <c r="P80" i="19"/>
  <c r="R80" i="19"/>
  <c r="S80" i="19" s="1"/>
  <c r="H81" i="19"/>
  <c r="I81" i="19"/>
  <c r="J81" i="19"/>
  <c r="M81" i="19"/>
  <c r="N81" i="19"/>
  <c r="O81" i="19" s="1"/>
  <c r="P81" i="19"/>
  <c r="R81" i="19"/>
  <c r="S81" i="19" s="1"/>
  <c r="F23" i="19"/>
  <c r="T94" i="19" l="1"/>
  <c r="T96" i="19"/>
  <c r="S84" i="19"/>
  <c r="T90" i="19"/>
  <c r="O94" i="19"/>
  <c r="T87" i="19"/>
  <c r="O96" i="19"/>
  <c r="T80" i="19"/>
  <c r="O90" i="19"/>
  <c r="T92" i="19"/>
  <c r="T88" i="19"/>
  <c r="S87" i="19"/>
  <c r="T89" i="19"/>
  <c r="O89" i="19"/>
  <c r="T91" i="19"/>
  <c r="T86" i="19"/>
  <c r="T95" i="19"/>
  <c r="O88" i="19"/>
  <c r="O86" i="19"/>
  <c r="O91" i="19"/>
  <c r="O92" i="19"/>
  <c r="T81" i="19"/>
  <c r="P74" i="19"/>
  <c r="N74" i="19"/>
  <c r="O74" i="19" s="1"/>
  <c r="M74" i="19"/>
  <c r="P64" i="19"/>
  <c r="N64" i="19"/>
  <c r="O64" i="19" s="1"/>
  <c r="M64" i="19"/>
  <c r="O84" i="19" l="1"/>
  <c r="T84" i="19"/>
  <c r="P77" i="19" l="1"/>
  <c r="N77" i="19"/>
  <c r="O77" i="19" s="1"/>
  <c r="M77" i="19"/>
  <c r="P71" i="19"/>
  <c r="N71" i="19"/>
  <c r="O71" i="19" s="1"/>
  <c r="M71" i="19"/>
  <c r="P60" i="19"/>
  <c r="N60" i="19"/>
  <c r="O60" i="19" s="1"/>
  <c r="M60" i="19"/>
  <c r="P51" i="19"/>
  <c r="N51" i="19"/>
  <c r="O51" i="19" s="1"/>
  <c r="M51" i="19"/>
  <c r="P42" i="19"/>
  <c r="N42" i="19"/>
  <c r="O42" i="19" s="1"/>
  <c r="L42" i="19"/>
  <c r="Q42" i="19" s="1"/>
  <c r="K42" i="19"/>
  <c r="M42" i="19" s="1"/>
  <c r="P75" i="19" l="1"/>
  <c r="N75" i="19"/>
  <c r="O75" i="19" s="1"/>
  <c r="M75" i="19"/>
  <c r="M43" i="19"/>
  <c r="P43" i="19"/>
  <c r="N43" i="19"/>
  <c r="O43" i="19" s="1"/>
  <c r="P59" i="19"/>
  <c r="N59" i="19"/>
  <c r="O59" i="19" s="1"/>
  <c r="M59" i="19"/>
  <c r="P44" i="19"/>
  <c r="N44" i="19"/>
  <c r="O44" i="19" s="1"/>
  <c r="M44" i="19"/>
  <c r="H54" i="19" l="1"/>
  <c r="H67" i="19"/>
  <c r="R79" i="19"/>
  <c r="P79" i="19"/>
  <c r="N79" i="19"/>
  <c r="O79" i="19" s="1"/>
  <c r="M79" i="19"/>
  <c r="J79" i="19"/>
  <c r="I79" i="19"/>
  <c r="H79" i="19"/>
  <c r="R78" i="19"/>
  <c r="P78" i="19"/>
  <c r="N78" i="19"/>
  <c r="O78" i="19" s="1"/>
  <c r="M78" i="19"/>
  <c r="J78" i="19"/>
  <c r="I78" i="19"/>
  <c r="H78" i="19"/>
  <c r="R77" i="19"/>
  <c r="S77" i="19" s="1"/>
  <c r="J77" i="19"/>
  <c r="I77" i="19"/>
  <c r="H77" i="19"/>
  <c r="R76" i="19"/>
  <c r="S76" i="19" s="1"/>
  <c r="J76" i="19"/>
  <c r="I76" i="19"/>
  <c r="H76" i="19"/>
  <c r="R75" i="19"/>
  <c r="S75" i="19" s="1"/>
  <c r="J75" i="19"/>
  <c r="I75" i="19"/>
  <c r="H75" i="19"/>
  <c r="R74" i="19"/>
  <c r="J74" i="19"/>
  <c r="I74" i="19"/>
  <c r="H74" i="19"/>
  <c r="R73" i="19"/>
  <c r="S73" i="19" s="1"/>
  <c r="P73" i="19"/>
  <c r="N73" i="19"/>
  <c r="O73" i="19" s="1"/>
  <c r="M73" i="19"/>
  <c r="J73" i="19"/>
  <c r="I73" i="19"/>
  <c r="H73" i="19"/>
  <c r="R72" i="19"/>
  <c r="S72" i="19" s="1"/>
  <c r="P72" i="19"/>
  <c r="N72" i="19"/>
  <c r="O72" i="19" s="1"/>
  <c r="M72" i="19"/>
  <c r="J72" i="19"/>
  <c r="I72" i="19"/>
  <c r="H72" i="19"/>
  <c r="R71" i="19"/>
  <c r="S71" i="19" s="1"/>
  <c r="J71" i="19"/>
  <c r="I71" i="19"/>
  <c r="H71" i="19"/>
  <c r="R70" i="19"/>
  <c r="S70" i="19" s="1"/>
  <c r="P70" i="19"/>
  <c r="N70" i="19"/>
  <c r="O70" i="19" s="1"/>
  <c r="M70" i="19"/>
  <c r="J70" i="19"/>
  <c r="I70" i="19"/>
  <c r="H70" i="19"/>
  <c r="R69" i="19"/>
  <c r="S69" i="19" s="1"/>
  <c r="P69" i="19"/>
  <c r="N69" i="19"/>
  <c r="O69" i="19" s="1"/>
  <c r="M69" i="19"/>
  <c r="J69" i="19"/>
  <c r="I69" i="19"/>
  <c r="H69" i="19"/>
  <c r="R68" i="19"/>
  <c r="S68" i="19" s="1"/>
  <c r="P68" i="19"/>
  <c r="N68" i="19"/>
  <c r="O68" i="19" s="1"/>
  <c r="M68" i="19"/>
  <c r="J68" i="19"/>
  <c r="I68" i="19"/>
  <c r="H68" i="19"/>
  <c r="R67" i="19"/>
  <c r="S67" i="19" s="1"/>
  <c r="P67" i="19"/>
  <c r="N67" i="19"/>
  <c r="M67" i="19"/>
  <c r="J67" i="19"/>
  <c r="I67" i="19"/>
  <c r="R66" i="19"/>
  <c r="J66" i="19"/>
  <c r="I66" i="19"/>
  <c r="H66" i="19"/>
  <c r="R65" i="19"/>
  <c r="S65" i="19" s="1"/>
  <c r="P65" i="19"/>
  <c r="N65" i="19"/>
  <c r="O65" i="19" s="1"/>
  <c r="M65" i="19"/>
  <c r="J65" i="19"/>
  <c r="I65" i="19"/>
  <c r="H65" i="19"/>
  <c r="R64" i="19"/>
  <c r="J64" i="19"/>
  <c r="I64" i="19"/>
  <c r="H64" i="19"/>
  <c r="R63" i="19"/>
  <c r="P63" i="19"/>
  <c r="N63" i="19"/>
  <c r="O63" i="19" s="1"/>
  <c r="M63" i="19"/>
  <c r="J63" i="19"/>
  <c r="I63" i="19"/>
  <c r="H63" i="19"/>
  <c r="R62" i="19"/>
  <c r="S62" i="19" s="1"/>
  <c r="P62" i="19"/>
  <c r="N62" i="19"/>
  <c r="O62" i="19" s="1"/>
  <c r="M62" i="19"/>
  <c r="J62" i="19"/>
  <c r="I62" i="19"/>
  <c r="H62" i="19"/>
  <c r="R61" i="19"/>
  <c r="P61" i="19"/>
  <c r="N61" i="19"/>
  <c r="O61" i="19" s="1"/>
  <c r="M61" i="19"/>
  <c r="J61" i="19"/>
  <c r="I61" i="19"/>
  <c r="H61" i="19"/>
  <c r="R60" i="19"/>
  <c r="J60" i="19"/>
  <c r="I60" i="19"/>
  <c r="H60" i="19"/>
  <c r="R59" i="19"/>
  <c r="S59" i="19" s="1"/>
  <c r="J59" i="19"/>
  <c r="I59" i="19"/>
  <c r="H59" i="19"/>
  <c r="R58" i="19"/>
  <c r="P58" i="19"/>
  <c r="N58" i="19"/>
  <c r="O58" i="19" s="1"/>
  <c r="M58" i="19"/>
  <c r="J58" i="19"/>
  <c r="I58" i="19"/>
  <c r="H58" i="19"/>
  <c r="R57" i="19"/>
  <c r="P57" i="19"/>
  <c r="N57" i="19"/>
  <c r="O57" i="19" s="1"/>
  <c r="M57" i="19"/>
  <c r="J57" i="19"/>
  <c r="I57" i="19"/>
  <c r="H57" i="19"/>
  <c r="R56" i="19"/>
  <c r="S56" i="19" s="1"/>
  <c r="P56" i="19"/>
  <c r="N56" i="19"/>
  <c r="M56" i="19"/>
  <c r="J56" i="19"/>
  <c r="I56" i="19"/>
  <c r="H56" i="19"/>
  <c r="R55" i="19"/>
  <c r="P55" i="19"/>
  <c r="N55" i="19"/>
  <c r="O55" i="19" s="1"/>
  <c r="M55" i="19"/>
  <c r="J55" i="19"/>
  <c r="I55" i="19"/>
  <c r="H55" i="19"/>
  <c r="R54" i="19"/>
  <c r="S54" i="19" s="1"/>
  <c r="J54" i="19"/>
  <c r="I54" i="19"/>
  <c r="R53" i="19"/>
  <c r="J53" i="19"/>
  <c r="I53" i="19"/>
  <c r="H53" i="19"/>
  <c r="R52" i="19"/>
  <c r="S52" i="19" s="1"/>
  <c r="P52" i="19"/>
  <c r="N52" i="19"/>
  <c r="O52" i="19" s="1"/>
  <c r="M52" i="19"/>
  <c r="J52" i="19"/>
  <c r="I52" i="19"/>
  <c r="H52" i="19"/>
  <c r="R51" i="19"/>
  <c r="S51" i="19" s="1"/>
  <c r="J51" i="19"/>
  <c r="I51" i="19"/>
  <c r="H51" i="19"/>
  <c r="R50" i="19"/>
  <c r="P50" i="19"/>
  <c r="N50" i="19"/>
  <c r="O50" i="19" s="1"/>
  <c r="M50" i="19"/>
  <c r="J50" i="19"/>
  <c r="I50" i="19"/>
  <c r="H50" i="19"/>
  <c r="R49" i="19"/>
  <c r="S49" i="19" s="1"/>
  <c r="P49" i="19"/>
  <c r="N49" i="19"/>
  <c r="O49" i="19" s="1"/>
  <c r="M49" i="19"/>
  <c r="J49" i="19"/>
  <c r="I49" i="19"/>
  <c r="H49" i="19"/>
  <c r="R48" i="19"/>
  <c r="S48" i="19" s="1"/>
  <c r="P48" i="19"/>
  <c r="N48" i="19"/>
  <c r="O48" i="19" s="1"/>
  <c r="M48" i="19"/>
  <c r="J48" i="19"/>
  <c r="I48" i="19"/>
  <c r="H48" i="19"/>
  <c r="R47" i="19"/>
  <c r="P47" i="19"/>
  <c r="N47" i="19"/>
  <c r="O47" i="19" s="1"/>
  <c r="M47" i="19"/>
  <c r="J47" i="19"/>
  <c r="I47" i="19"/>
  <c r="H47" i="19"/>
  <c r="R46" i="19"/>
  <c r="S46" i="19" s="1"/>
  <c r="P46" i="19"/>
  <c r="N46" i="19"/>
  <c r="O46" i="19" s="1"/>
  <c r="M46" i="19"/>
  <c r="J46" i="19"/>
  <c r="I46" i="19"/>
  <c r="H46" i="19"/>
  <c r="R45" i="19"/>
  <c r="S45" i="19" s="1"/>
  <c r="P45" i="19"/>
  <c r="N45" i="19"/>
  <c r="O45" i="19" s="1"/>
  <c r="M45" i="19"/>
  <c r="J45" i="19"/>
  <c r="I45" i="19"/>
  <c r="H45" i="19"/>
  <c r="R44" i="19"/>
  <c r="J44" i="19"/>
  <c r="I44" i="19"/>
  <c r="H44" i="19"/>
  <c r="R43" i="19"/>
  <c r="S43" i="19" s="1"/>
  <c r="J43" i="19"/>
  <c r="I43" i="19"/>
  <c r="H43" i="19"/>
  <c r="R42" i="19"/>
  <c r="S42" i="19" s="1"/>
  <c r="J42" i="19"/>
  <c r="I42" i="19"/>
  <c r="H42" i="19"/>
  <c r="R41" i="19"/>
  <c r="S41" i="19" s="1"/>
  <c r="P41" i="19"/>
  <c r="N41" i="19"/>
  <c r="O41" i="19" s="1"/>
  <c r="M41" i="19"/>
  <c r="J41" i="19"/>
  <c r="I41" i="19"/>
  <c r="H41" i="19"/>
  <c r="R40" i="19"/>
  <c r="S40" i="19" s="1"/>
  <c r="P40" i="19"/>
  <c r="N40" i="19"/>
  <c r="O40" i="19" s="1"/>
  <c r="M40" i="19"/>
  <c r="J40" i="19"/>
  <c r="I40" i="19"/>
  <c r="H40" i="19"/>
  <c r="R39" i="19"/>
  <c r="S39" i="19" s="1"/>
  <c r="P39" i="19"/>
  <c r="N39" i="19"/>
  <c r="M39" i="19"/>
  <c r="J39" i="19"/>
  <c r="I39" i="19"/>
  <c r="H39" i="19"/>
  <c r="R38" i="19"/>
  <c r="P38" i="19"/>
  <c r="N38" i="19"/>
  <c r="O38" i="19" s="1"/>
  <c r="M38" i="19"/>
  <c r="J38" i="19"/>
  <c r="I38" i="19"/>
  <c r="H38" i="19"/>
  <c r="R37" i="19"/>
  <c r="S37" i="19" s="1"/>
  <c r="P37" i="19"/>
  <c r="N37" i="19"/>
  <c r="O37" i="19" s="1"/>
  <c r="M37" i="19"/>
  <c r="J37" i="19"/>
  <c r="I37" i="19"/>
  <c r="H37" i="19"/>
  <c r="R36" i="19"/>
  <c r="S36" i="19" s="1"/>
  <c r="P36" i="19"/>
  <c r="N36" i="19"/>
  <c r="O36" i="19" s="1"/>
  <c r="L36" i="19"/>
  <c r="Q36" i="19" s="1"/>
  <c r="K36" i="19"/>
  <c r="M36" i="19" s="1"/>
  <c r="J36" i="19"/>
  <c r="I36" i="19"/>
  <c r="H36" i="19"/>
  <c r="R35" i="19"/>
  <c r="S35" i="19" s="1"/>
  <c r="P35" i="19"/>
  <c r="N35" i="19"/>
  <c r="L35" i="19"/>
  <c r="Q35" i="19" s="1"/>
  <c r="K35" i="19"/>
  <c r="M35" i="19" s="1"/>
  <c r="J35" i="19"/>
  <c r="I35" i="19"/>
  <c r="H35" i="19"/>
  <c r="R34" i="19"/>
  <c r="S34" i="19" s="1"/>
  <c r="P34" i="19"/>
  <c r="N34" i="19"/>
  <c r="L34" i="19"/>
  <c r="Q34" i="19" s="1"/>
  <c r="K34" i="19"/>
  <c r="M34" i="19" s="1"/>
  <c r="J34" i="19"/>
  <c r="I34" i="19"/>
  <c r="H34" i="19"/>
  <c r="R33" i="19"/>
  <c r="S33" i="19" s="1"/>
  <c r="P33" i="19"/>
  <c r="N33" i="19"/>
  <c r="O33" i="19" s="1"/>
  <c r="L33" i="19"/>
  <c r="Q33" i="19" s="1"/>
  <c r="K33" i="19"/>
  <c r="M33" i="19" s="1"/>
  <c r="J33" i="19"/>
  <c r="I33" i="19"/>
  <c r="H33" i="19"/>
  <c r="J14" i="19"/>
  <c r="J12" i="19"/>
  <c r="J11" i="19"/>
  <c r="T67" i="19" l="1"/>
  <c r="T60" i="19"/>
  <c r="T35" i="19"/>
  <c r="T68" i="19"/>
  <c r="T47" i="19"/>
  <c r="T53" i="19"/>
  <c r="T58" i="19"/>
  <c r="T71" i="19"/>
  <c r="T77" i="19"/>
  <c r="T61" i="19"/>
  <c r="T66" i="19"/>
  <c r="T78" i="19"/>
  <c r="T74" i="19"/>
  <c r="T79" i="19"/>
  <c r="T57" i="19"/>
  <c r="T59" i="19"/>
  <c r="T72" i="19"/>
  <c r="O67" i="19"/>
  <c r="S74" i="19"/>
  <c r="T39" i="19"/>
  <c r="T56" i="19"/>
  <c r="T63" i="19"/>
  <c r="T65" i="19"/>
  <c r="T36" i="19"/>
  <c r="T38" i="19"/>
  <c r="T44" i="19"/>
  <c r="T50" i="19"/>
  <c r="T55" i="19"/>
  <c r="O56" i="19"/>
  <c r="T64" i="19"/>
  <c r="T62" i="19"/>
  <c r="S38" i="19"/>
  <c r="S44" i="19"/>
  <c r="S47" i="19"/>
  <c r="S50" i="19"/>
  <c r="S53" i="19"/>
  <c r="T41" i="19"/>
  <c r="T34" i="19"/>
  <c r="T54" i="19"/>
  <c r="O34" i="19"/>
  <c r="O39" i="19"/>
  <c r="S57" i="19"/>
  <c r="S66" i="19"/>
  <c r="T33" i="19"/>
  <c r="T37" i="19"/>
  <c r="T40" i="19"/>
  <c r="T43" i="19"/>
  <c r="T46" i="19"/>
  <c r="T49" i="19"/>
  <c r="T52" i="19"/>
  <c r="T70" i="19"/>
  <c r="T73" i="19"/>
  <c r="O35" i="19"/>
  <c r="T42" i="19"/>
  <c r="T45" i="19"/>
  <c r="T48" i="19"/>
  <c r="T51" i="19"/>
  <c r="S55" i="19"/>
  <c r="S58" i="19"/>
  <c r="S61" i="19"/>
  <c r="S64" i="19"/>
  <c r="T69" i="19"/>
  <c r="T75" i="19"/>
  <c r="S79" i="19"/>
  <c r="T76" i="19"/>
  <c r="S63" i="19"/>
  <c r="S78" i="19"/>
  <c r="S60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Micromass UK Ltd</author>
  </authors>
  <commentList>
    <comment ref="A98" authorId="0" shapeId="0" xr:uid="{00000000-0006-0000-0000-000001000000}">
      <text>
        <r>
          <rPr>
            <sz val="8"/>
            <color indexed="81"/>
            <rFont val="Tahoma"/>
            <family val="2"/>
          </rPr>
          <t>This is the batch report table. 
Unhide the row below to display the table columns.
Double click to set the columns data source.</t>
        </r>
      </text>
    </comment>
    <comment ref="A104" authorId="0" shapeId="0" xr:uid="{00000000-0006-0000-0000-000002000000}">
      <text>
        <r>
          <rPr>
            <sz val="8"/>
            <color indexed="81"/>
            <rFont val="Tahoma"/>
            <family val="2"/>
          </rPr>
          <t>This is the batch report table. 
Unhide the row below to display the table columns.
Double click to set the columns data source.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Micromass UK Ltd</author>
  </authors>
  <commentList>
    <comment ref="A98" authorId="0" shapeId="0" xr:uid="{00000000-0006-0000-0100-000001000000}">
      <text>
        <r>
          <rPr>
            <sz val="8"/>
            <color indexed="81"/>
            <rFont val="Tahoma"/>
            <family val="2"/>
          </rPr>
          <t>This is the batch report table. 
Unhide the row below to display the table columns.
Double click to set the columns data source.</t>
        </r>
      </text>
    </comment>
    <comment ref="A104" authorId="0" shapeId="0" xr:uid="{00000000-0006-0000-0100-000002000000}">
      <text>
        <r>
          <rPr>
            <sz val="8"/>
            <color indexed="81"/>
            <rFont val="Tahoma"/>
            <family val="2"/>
          </rPr>
          <t>This is the batch report table. 
Unhide the row below to display the table columns.
Double click to set the columns data source.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Micromass UK Ltd</author>
  </authors>
  <commentList>
    <comment ref="A98" authorId="0" shapeId="0" xr:uid="{00000000-0006-0000-0200-000001000000}">
      <text>
        <r>
          <rPr>
            <sz val="8"/>
            <color indexed="81"/>
            <rFont val="Tahoma"/>
            <family val="2"/>
          </rPr>
          <t>This is the batch report table. 
Unhide the row below to display the table columns.
Double click to set the columns data source.</t>
        </r>
      </text>
    </comment>
    <comment ref="A104" authorId="0" shapeId="0" xr:uid="{00000000-0006-0000-0200-000002000000}">
      <text>
        <r>
          <rPr>
            <sz val="8"/>
            <color indexed="81"/>
            <rFont val="Tahoma"/>
            <family val="2"/>
          </rPr>
          <t>This is the batch report table. 
Unhide the row below to display the table columns.
Double click to set the columns data source.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Micromass UK Ltd</author>
  </authors>
  <commentList>
    <comment ref="A98" authorId="0" shapeId="0" xr:uid="{00000000-0006-0000-0300-000001000000}">
      <text>
        <r>
          <rPr>
            <sz val="8"/>
            <color indexed="81"/>
            <rFont val="Tahoma"/>
            <family val="2"/>
          </rPr>
          <t>This is the batch report table. 
Unhide the row below to display the table columns.
Double click to set the columns data source.</t>
        </r>
      </text>
    </comment>
    <comment ref="A104" authorId="0" shapeId="0" xr:uid="{00000000-0006-0000-0300-000002000000}">
      <text>
        <r>
          <rPr>
            <sz val="8"/>
            <color indexed="81"/>
            <rFont val="Tahoma"/>
            <family val="2"/>
          </rPr>
          <t>This is the batch report table. 
Unhide the row below to display the table columns.
Double click to set the columns data source.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Micromass UK Ltd</author>
  </authors>
  <commentList>
    <comment ref="A98" authorId="0" shapeId="0" xr:uid="{00000000-0006-0000-0400-000001000000}">
      <text>
        <r>
          <rPr>
            <sz val="8"/>
            <color indexed="81"/>
            <rFont val="Tahoma"/>
            <family val="2"/>
          </rPr>
          <t>This is the batch report table. 
Unhide the row below to display the table columns.
Double click to set the columns data source.</t>
        </r>
      </text>
    </comment>
    <comment ref="A104" authorId="0" shapeId="0" xr:uid="{00000000-0006-0000-0400-000002000000}">
      <text>
        <r>
          <rPr>
            <sz val="8"/>
            <color indexed="81"/>
            <rFont val="Tahoma"/>
            <family val="2"/>
          </rPr>
          <t>This is the batch report table. 
Unhide the row below to display the table columns.
Double click to set the columns data source.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Micromass UK Ltd</author>
  </authors>
  <commentList>
    <comment ref="A98" authorId="0" shapeId="0" xr:uid="{00000000-0006-0000-0500-000001000000}">
      <text>
        <r>
          <rPr>
            <sz val="8"/>
            <color indexed="81"/>
            <rFont val="Tahoma"/>
            <family val="2"/>
          </rPr>
          <t>This is the batch report table. 
Unhide the row below to display the table columns.
Double click to set the columns data source.</t>
        </r>
      </text>
    </comment>
    <comment ref="A104" authorId="0" shapeId="0" xr:uid="{00000000-0006-0000-0500-000002000000}">
      <text>
        <r>
          <rPr>
            <sz val="8"/>
            <color indexed="81"/>
            <rFont val="Tahoma"/>
            <family val="2"/>
          </rPr>
          <t>This is the batch report table. 
Unhide the row below to display the table columns.
Double click to set the columns data source.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Micromass UK Ltd</author>
  </authors>
  <commentList>
    <comment ref="A98" authorId="0" shapeId="0" xr:uid="{00000000-0006-0000-0600-000001000000}">
      <text>
        <r>
          <rPr>
            <sz val="8"/>
            <color indexed="81"/>
            <rFont val="Tahoma"/>
            <family val="2"/>
          </rPr>
          <t>This is the batch report table. 
Unhide the row below to display the table columns.
Double click to set the columns data source.</t>
        </r>
      </text>
    </comment>
    <comment ref="A102" authorId="0" shapeId="0" xr:uid="{00000000-0006-0000-0600-000002000000}">
      <text>
        <r>
          <rPr>
            <sz val="8"/>
            <color indexed="81"/>
            <rFont val="Tahoma"/>
            <family val="2"/>
          </rPr>
          <t>This is the batch report table. 
Unhide the row below to display the table columns.
Double click to set the columns data source.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Micromass UK Ltd</author>
  </authors>
  <commentList>
    <comment ref="A98" authorId="0" shapeId="0" xr:uid="{00000000-0006-0000-0700-000001000000}">
      <text>
        <r>
          <rPr>
            <sz val="8"/>
            <color indexed="81"/>
            <rFont val="Tahoma"/>
            <family val="2"/>
          </rPr>
          <t>This is the batch report table. 
Unhide the row below to display the table columns.
Double click to set the columns data source.</t>
        </r>
      </text>
    </comment>
    <comment ref="A101" authorId="0" shapeId="0" xr:uid="{00000000-0006-0000-0700-000002000000}">
      <text>
        <r>
          <rPr>
            <sz val="8"/>
            <color indexed="81"/>
            <rFont val="Tahoma"/>
            <family val="2"/>
          </rPr>
          <t>This is the batch report table. 
Unhide the row below to display the table columns.
Double click to set the columns data source.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Micromass UK Ltd</author>
    <author>MassSpec</author>
  </authors>
  <commentList>
    <comment ref="A98" authorId="0" shapeId="0" xr:uid="{00000000-0006-0000-0800-000001000000}">
      <text>
        <r>
          <rPr>
            <sz val="8"/>
            <color indexed="81"/>
            <rFont val="Tahoma"/>
            <family val="2"/>
          </rPr>
          <t>This is the batch report table. 
Unhide the row below to display the table columns.
Double click to set the columns data source.</t>
        </r>
      </text>
    </comment>
    <comment ref="A101" authorId="0" shapeId="0" xr:uid="{00000000-0006-0000-0800-000002000000}">
      <text>
        <r>
          <rPr>
            <sz val="8"/>
            <color indexed="81"/>
            <rFont val="Tahoma"/>
            <family val="2"/>
          </rPr>
          <t>This is the batch report table. 
Unhide the row below to display the table columns.
Double click to set the columns data source.</t>
        </r>
      </text>
    </comment>
    <comment ref="L101" authorId="1" shapeId="0" xr:uid="{00000000-0006-0000-0800-000003000000}">
      <text>
        <r>
          <rPr>
            <sz val="9"/>
            <color indexed="81"/>
            <rFont val="Tahoma"/>
            <family val="2"/>
          </rPr>
          <t>Elemental Composition !R_1Element</t>
        </r>
      </text>
    </comment>
    <comment ref="M101" authorId="1" shapeId="0" xr:uid="{00000000-0006-0000-0800-000004000000}">
      <text>
        <r>
          <rPr>
            <sz val="9"/>
            <color indexed="81"/>
            <rFont val="Tahoma"/>
            <family val="2"/>
          </rPr>
          <t>Elemental Composition !R_2Element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Micromass UK Ltd</author>
  </authors>
  <commentList>
    <comment ref="A98" authorId="0" shapeId="0" xr:uid="{00000000-0006-0000-0900-000001000000}">
      <text>
        <r>
          <rPr>
            <sz val="8"/>
            <color indexed="81"/>
            <rFont val="Tahoma"/>
            <family val="2"/>
          </rPr>
          <t>This is the batch report table. 
Unhide the row below to display the table columns.
Double click to set the columns data source.</t>
        </r>
      </text>
    </comment>
    <comment ref="A101" authorId="0" shapeId="0" xr:uid="{00000000-0006-0000-0900-000002000000}">
      <text>
        <r>
          <rPr>
            <sz val="8"/>
            <color indexed="81"/>
            <rFont val="Tahoma"/>
            <family val="2"/>
          </rPr>
          <t>This is the batch report table. 
Unhide the row below to display the table columns.
Double click to set the columns data source.</t>
        </r>
      </text>
    </comment>
  </commentList>
</comments>
</file>

<file path=xl/sharedStrings.xml><?xml version="1.0" encoding="utf-8"?>
<sst xmlns="http://schemas.openxmlformats.org/spreadsheetml/2006/main" count="2971" uniqueCount="752">
  <si>
    <t>EA-C Calibrated Isotope data</t>
  </si>
  <si>
    <t>Date:</t>
  </si>
  <si>
    <t>Operator:</t>
  </si>
  <si>
    <t>George Perkins</t>
  </si>
  <si>
    <t>Isoprime data file:</t>
  </si>
  <si>
    <t>MS file:</t>
  </si>
  <si>
    <t>EA %C run</t>
  </si>
  <si>
    <t>Capsules:</t>
  </si>
  <si>
    <t>Dilution:</t>
  </si>
  <si>
    <t>80 for C</t>
  </si>
  <si>
    <t>Generation of calibration curve:</t>
  </si>
  <si>
    <r>
      <t xml:space="preserve">     d</t>
    </r>
    <r>
      <rPr>
        <b/>
        <vertAlign val="superscript"/>
        <sz val="10"/>
        <rFont val="Arial"/>
        <family val="2"/>
      </rPr>
      <t>13</t>
    </r>
    <r>
      <rPr>
        <b/>
        <sz val="10"/>
        <rFont val="Arial"/>
        <family val="2"/>
      </rPr>
      <t>C Value</t>
    </r>
  </si>
  <si>
    <r>
      <t xml:space="preserve">     d</t>
    </r>
    <r>
      <rPr>
        <b/>
        <vertAlign val="superscript"/>
        <sz val="10"/>
        <rFont val="Arial"/>
        <family val="2"/>
      </rPr>
      <t>15</t>
    </r>
    <r>
      <rPr>
        <b/>
        <sz val="10"/>
        <rFont val="Arial"/>
        <family val="2"/>
      </rPr>
      <t>N Value</t>
    </r>
  </si>
  <si>
    <t>obs.</t>
  </si>
  <si>
    <t>actual</t>
  </si>
  <si>
    <t>observed</t>
  </si>
  <si>
    <t>44/28 PHR</t>
  </si>
  <si>
    <t>%C</t>
  </si>
  <si>
    <t>%N</t>
  </si>
  <si>
    <t>CN ratio</t>
  </si>
  <si>
    <t>BBOT: Eurovector</t>
  </si>
  <si>
    <t>Urea: Eurovector</t>
  </si>
  <si>
    <t>Peach Leaves (1570a)</t>
  </si>
  <si>
    <t>IAEA oxalic acid C8</t>
  </si>
  <si>
    <t>IAEA Wood C5</t>
  </si>
  <si>
    <t>IAEA sucrose C6</t>
  </si>
  <si>
    <t>IAEA cellulose C3</t>
  </si>
  <si>
    <t>USGS35</t>
  </si>
  <si>
    <t>USGS32</t>
  </si>
  <si>
    <t>USGS34</t>
  </si>
  <si>
    <t>IAEA N1</t>
  </si>
  <si>
    <t>IAEA N2</t>
  </si>
  <si>
    <t>IAEA N3</t>
  </si>
  <si>
    <t>slope</t>
  </si>
  <si>
    <t>b-int.</t>
  </si>
  <si>
    <r>
      <t>d</t>
    </r>
    <r>
      <rPr>
        <b/>
        <vertAlign val="superscript"/>
        <sz val="10"/>
        <rFont val="Arial"/>
        <family val="2"/>
      </rPr>
      <t>13</t>
    </r>
    <r>
      <rPr>
        <b/>
        <sz val="10"/>
        <rFont val="Arial"/>
        <family val="2"/>
      </rPr>
      <t>C</t>
    </r>
    <r>
      <rPr>
        <b/>
        <sz val="10"/>
        <rFont val="Arial"/>
        <family val="2"/>
      </rPr>
      <t>=</t>
    </r>
  </si>
  <si>
    <t>+</t>
  </si>
  <si>
    <r>
      <t>d</t>
    </r>
    <r>
      <rPr>
        <b/>
        <vertAlign val="superscript"/>
        <sz val="10"/>
        <rFont val="Arial"/>
        <family val="2"/>
      </rPr>
      <t>15</t>
    </r>
    <r>
      <rPr>
        <b/>
        <sz val="10"/>
        <rFont val="Arial"/>
        <family val="2"/>
      </rPr>
      <t>N</t>
    </r>
    <r>
      <rPr>
        <b/>
        <sz val="10"/>
        <rFont val="Arial"/>
        <family val="2"/>
      </rPr>
      <t>=</t>
    </r>
  </si>
  <si>
    <t>mg C</t>
  </si>
  <si>
    <t>mg N</t>
  </si>
  <si>
    <t>Name</t>
  </si>
  <si>
    <t>Raw 15N</t>
  </si>
  <si>
    <t>Raw 13C</t>
  </si>
  <si>
    <r>
      <t xml:space="preserve">corr </t>
    </r>
    <r>
      <rPr>
        <b/>
        <sz val="8"/>
        <rFont val="Symbol"/>
        <family val="1"/>
        <charset val="2"/>
      </rPr>
      <t>d</t>
    </r>
    <r>
      <rPr>
        <b/>
        <vertAlign val="superscript"/>
        <sz val="8"/>
        <rFont val="Arial"/>
        <family val="2"/>
      </rPr>
      <t>13</t>
    </r>
    <r>
      <rPr>
        <b/>
        <sz val="8"/>
        <rFont val="Arial"/>
        <family val="2"/>
      </rPr>
      <t>C</t>
    </r>
  </si>
  <si>
    <r>
      <t xml:space="preserve">corr. </t>
    </r>
    <r>
      <rPr>
        <b/>
        <sz val="8"/>
        <rFont val="Symbol"/>
        <family val="1"/>
        <charset val="2"/>
      </rPr>
      <t>d</t>
    </r>
    <r>
      <rPr>
        <b/>
        <vertAlign val="superscript"/>
        <sz val="8"/>
        <rFont val="Arial"/>
        <family val="2"/>
      </rPr>
      <t>15</t>
    </r>
    <r>
      <rPr>
        <b/>
        <sz val="8"/>
        <rFont val="Arial"/>
        <family val="2"/>
      </rPr>
      <t>N</t>
    </r>
  </si>
  <si>
    <t>ht/wt C</t>
  </si>
  <si>
    <t>%C std</t>
  </si>
  <si>
    <t>%N std</t>
  </si>
  <si>
    <t>% C</t>
  </si>
  <si>
    <t>ht/wt N</t>
  </si>
  <si>
    <t>% N'</t>
  </si>
  <si>
    <t>C/N</t>
  </si>
  <si>
    <t>`</t>
  </si>
  <si>
    <t>4x6 mm tin capsules</t>
  </si>
  <si>
    <t>Weight (mg)</t>
  </si>
  <si>
    <t>Peach-1.raw</t>
  </si>
  <si>
    <t>Peach-2.raw</t>
  </si>
  <si>
    <t>Peach-3.raw</t>
  </si>
  <si>
    <t>Peach-4.raw</t>
  </si>
  <si>
    <t>Peach-5.raw</t>
  </si>
  <si>
    <t>C3-1.raw</t>
  </si>
  <si>
    <t>Peach-7.raw</t>
  </si>
  <si>
    <t>C3-2.raw</t>
  </si>
  <si>
    <t>C6-2.raw</t>
  </si>
  <si>
    <t>N1-2.raw</t>
  </si>
  <si>
    <t>C8-1.raw</t>
  </si>
  <si>
    <t>C6-1.raw</t>
  </si>
  <si>
    <t>N1-1.raw</t>
  </si>
  <si>
    <t>N2-1.raw</t>
  </si>
  <si>
    <t>N2-2.raw</t>
  </si>
  <si>
    <t>C8-2.raw</t>
  </si>
  <si>
    <t>Sample Number</t>
  </si>
  <si>
    <t>Height (nA)</t>
  </si>
  <si>
    <t>13C</t>
  </si>
  <si>
    <t>SampleNo/s</t>
  </si>
  <si>
    <t>DataFileName/s</t>
  </si>
  <si>
    <t>MajorHeightnA</t>
  </si>
  <si>
    <t>SampleWeight/s</t>
  </si>
  <si>
    <t>DisplayDelta1</t>
  </si>
  <si>
    <t>N15</t>
  </si>
  <si>
    <t>Pk Ht N</t>
  </si>
  <si>
    <t>Pk Ht C</t>
  </si>
  <si>
    <t>Peach-6.raw</t>
  </si>
  <si>
    <t>AVG</t>
  </si>
  <si>
    <t>Peach-8.raw</t>
  </si>
  <si>
    <t>Peach-1a.raw</t>
  </si>
  <si>
    <t>bypass-1.raw</t>
  </si>
  <si>
    <t>2704-1.raw</t>
  </si>
  <si>
    <t>terr1.raw</t>
  </si>
  <si>
    <t>terr2.raw</t>
  </si>
  <si>
    <t>terr3.raw</t>
  </si>
  <si>
    <t>terr4.raw</t>
  </si>
  <si>
    <t>terr5.raw</t>
  </si>
  <si>
    <t>flood1.raw</t>
  </si>
  <si>
    <t>flood2.raw</t>
  </si>
  <si>
    <t>flood3.raw</t>
  </si>
  <si>
    <t>flood4.raw</t>
  </si>
  <si>
    <t>flood5.raw</t>
  </si>
  <si>
    <t>2704-2.raw</t>
  </si>
  <si>
    <t>bank1.raw</t>
  </si>
  <si>
    <t>bank2.raw</t>
  </si>
  <si>
    <t>bank3.raw</t>
  </si>
  <si>
    <t>bank4.raw</t>
  </si>
  <si>
    <t>bank5.raw</t>
  </si>
  <si>
    <t>bed1.raw</t>
  </si>
  <si>
    <t>bed2.raw</t>
  </si>
  <si>
    <t>bed3.raw</t>
  </si>
  <si>
    <t>bed4.raw</t>
  </si>
  <si>
    <t>bed5.raw</t>
  </si>
  <si>
    <t>2704-3.raw</t>
  </si>
  <si>
    <t>seep1.raw</t>
  </si>
  <si>
    <t>seep2.raw</t>
  </si>
  <si>
    <t>seep3.raw</t>
  </si>
  <si>
    <t>side1.raw</t>
  </si>
  <si>
    <t>side2.raw</t>
  </si>
  <si>
    <t>side3.raw</t>
  </si>
  <si>
    <t>side4.raw</t>
  </si>
  <si>
    <t>side5.raw</t>
  </si>
  <si>
    <t>EA 9-13-2023</t>
  </si>
  <si>
    <t>terr1</t>
  </si>
  <si>
    <t>terr2</t>
  </si>
  <si>
    <t>terr3</t>
  </si>
  <si>
    <t>terr4</t>
  </si>
  <si>
    <t>terr5</t>
  </si>
  <si>
    <t>flood1</t>
  </si>
  <si>
    <t>flood2</t>
  </si>
  <si>
    <t>flood3</t>
  </si>
  <si>
    <t>flood4</t>
  </si>
  <si>
    <t>flood5</t>
  </si>
  <si>
    <t>bank1</t>
  </si>
  <si>
    <t>bank2</t>
  </si>
  <si>
    <t>bank3</t>
  </si>
  <si>
    <t>bank4</t>
  </si>
  <si>
    <t>bank5</t>
  </si>
  <si>
    <t>bed1</t>
  </si>
  <si>
    <t>bed2</t>
  </si>
  <si>
    <t>bed3</t>
  </si>
  <si>
    <t>bed4</t>
  </si>
  <si>
    <t>bed5</t>
  </si>
  <si>
    <t>seep1</t>
  </si>
  <si>
    <t>seep2</t>
  </si>
  <si>
    <t>seep3</t>
  </si>
  <si>
    <t>side1</t>
  </si>
  <si>
    <t>side2</t>
  </si>
  <si>
    <t>side3</t>
  </si>
  <si>
    <t>side4</t>
  </si>
  <si>
    <t>side5</t>
  </si>
  <si>
    <t>Acquisition date</t>
  </si>
  <si>
    <t>RT (Sec)</t>
  </si>
  <si>
    <t>Type</t>
  </si>
  <si>
    <t>Sample Description</t>
  </si>
  <si>
    <t>AcquisitionDate/s</t>
  </si>
  <si>
    <t>RetTimeSecs</t>
  </si>
  <si>
    <t>SampleType/s</t>
  </si>
  <si>
    <t>SampleDescription/s</t>
  </si>
  <si>
    <t>DisplayDelta2</t>
  </si>
  <si>
    <t>SMOWConverted</t>
  </si>
  <si>
    <t>R_1EC/s</t>
  </si>
  <si>
    <t>R_2EC/s</t>
  </si>
  <si>
    <t xml:space="preserve"> </t>
  </si>
  <si>
    <t>SSUB072921.raw</t>
  </si>
  <si>
    <t>SSUM080521.raw</t>
  </si>
  <si>
    <t>SSLT080521.raw</t>
  </si>
  <si>
    <t>SSUT080521.raw</t>
  </si>
  <si>
    <t>SSUT072921.raw</t>
  </si>
  <si>
    <t>SSLM072921.raw</t>
  </si>
  <si>
    <t>SSUB080521.raw</t>
  </si>
  <si>
    <t>SSLT080321.raw</t>
  </si>
  <si>
    <t>SSUT081321.raw</t>
  </si>
  <si>
    <t>SSLB072921.raw</t>
  </si>
  <si>
    <t>SSLB080521.raw</t>
  </si>
  <si>
    <t>SSLM080521.raw</t>
  </si>
  <si>
    <t>SSL071621.raw</t>
  </si>
  <si>
    <t>SSUM081321.raw</t>
  </si>
  <si>
    <t>SSUB081321.raw</t>
  </si>
  <si>
    <t>SSLT081321.raw</t>
  </si>
  <si>
    <t>SSUM072921.raw</t>
  </si>
  <si>
    <t>SSLM081321.raw</t>
  </si>
  <si>
    <t>SSU071621.raw</t>
  </si>
  <si>
    <t>SSL071621-2.raw</t>
  </si>
  <si>
    <t>filter1-1.raw</t>
  </si>
  <si>
    <t>filter1-2.raw</t>
  </si>
  <si>
    <t>filter1-3.raw</t>
  </si>
  <si>
    <t>filter2-1.raw</t>
  </si>
  <si>
    <t>filter2-2.raw</t>
  </si>
  <si>
    <t>filter2-3.raw</t>
  </si>
  <si>
    <t>filter5-1.raw</t>
  </si>
  <si>
    <t>filter5-2.raw</t>
  </si>
  <si>
    <t>filter5-3.raw</t>
  </si>
  <si>
    <t>18O</t>
  </si>
  <si>
    <t>delta18O w.r.t. SMOW</t>
  </si>
  <si>
    <t>Elemental Composition Carbon</t>
  </si>
  <si>
    <t>Elemental Composition Oxygen</t>
  </si>
  <si>
    <t>EA 9-15-2023</t>
  </si>
  <si>
    <t>SSUB072921</t>
  </si>
  <si>
    <t>SSUM080521</t>
  </si>
  <si>
    <t>SSLT080521</t>
  </si>
  <si>
    <t>SSUT080521</t>
  </si>
  <si>
    <t>SSUT072921</t>
  </si>
  <si>
    <t>SSLM072921</t>
  </si>
  <si>
    <t>SSUB080521</t>
  </si>
  <si>
    <t>SSLT080321</t>
  </si>
  <si>
    <t>SSUT081321</t>
  </si>
  <si>
    <t>SSLB072921</t>
  </si>
  <si>
    <t>SSLB080521</t>
  </si>
  <si>
    <t>SSLM080521</t>
  </si>
  <si>
    <t>SSL071621</t>
  </si>
  <si>
    <t>SSUM081321</t>
  </si>
  <si>
    <t>SSUB081321</t>
  </si>
  <si>
    <t>SSLT081321</t>
  </si>
  <si>
    <t>SSUM072921</t>
  </si>
  <si>
    <t>SSLM081321</t>
  </si>
  <si>
    <t>SSU071621</t>
  </si>
  <si>
    <t>SSL071621-2</t>
  </si>
  <si>
    <t>filter1-1</t>
  </si>
  <si>
    <t>filter1-2</t>
  </si>
  <si>
    <t>filter1-3</t>
  </si>
  <si>
    <t>filter2-1</t>
  </si>
  <si>
    <t>filter2-2</t>
  </si>
  <si>
    <t>filter2-3</t>
  </si>
  <si>
    <t>filter5-1</t>
  </si>
  <si>
    <t>filter5-2</t>
  </si>
  <si>
    <t>filter5-3</t>
  </si>
  <si>
    <t>filter4-1.raw</t>
  </si>
  <si>
    <t>filter4-2.raw</t>
  </si>
  <si>
    <t>filter4-3.raw</t>
  </si>
  <si>
    <t>filter12-1.raw</t>
  </si>
  <si>
    <t>filter12-2.raw</t>
  </si>
  <si>
    <t>filter12-3.raw</t>
  </si>
  <si>
    <t>filter15-1.raw</t>
  </si>
  <si>
    <t>filter15-2.raw</t>
  </si>
  <si>
    <t>filter15-3.raw</t>
  </si>
  <si>
    <t>filter16-1.raw</t>
  </si>
  <si>
    <t>filter16-2.raw</t>
  </si>
  <si>
    <t>filter16-3.raw</t>
  </si>
  <si>
    <t>filter17-1.raw</t>
  </si>
  <si>
    <t>filter17-2.raw</t>
  </si>
  <si>
    <t>filter17-3.raw</t>
  </si>
  <si>
    <t>filter19-1.raw</t>
  </si>
  <si>
    <t>filter19-2.raw</t>
  </si>
  <si>
    <t>filter19-3.raw</t>
  </si>
  <si>
    <t>filter22-1.raw</t>
  </si>
  <si>
    <t>filter22-2.raw</t>
  </si>
  <si>
    <t>filter22-3.raw</t>
  </si>
  <si>
    <t>filter23-1.raw</t>
  </si>
  <si>
    <t>filter23-2.raw</t>
  </si>
  <si>
    <t>filter23-3.raw</t>
  </si>
  <si>
    <t>filter26-1.raw</t>
  </si>
  <si>
    <t>filter26-2.raw</t>
  </si>
  <si>
    <t>filter26-3.raw</t>
  </si>
  <si>
    <t>filter31-1.raw</t>
  </si>
  <si>
    <t>filter31-2.raw</t>
  </si>
  <si>
    <t>filter31-3.raw</t>
  </si>
  <si>
    <t>filter32 - 1.raw</t>
  </si>
  <si>
    <t>filter32 - 2.raw</t>
  </si>
  <si>
    <t>filter32 - 3.raw</t>
  </si>
  <si>
    <t>EA 9-19-2023</t>
  </si>
  <si>
    <t>filter34 -1.raw</t>
  </si>
  <si>
    <t>filter34 -2.raw</t>
  </si>
  <si>
    <t>filter34 -3.raw</t>
  </si>
  <si>
    <t>filter37-1.raw</t>
  </si>
  <si>
    <t>filter37-2.raw</t>
  </si>
  <si>
    <t>filter37-3.raw</t>
  </si>
  <si>
    <t>filter42 -1.raw</t>
  </si>
  <si>
    <t>filter42 -2.raw</t>
  </si>
  <si>
    <t>filter42 -3.raw</t>
  </si>
  <si>
    <t>filter44 - 1.raw</t>
  </si>
  <si>
    <t>filter44 - 2.raw</t>
  </si>
  <si>
    <t>filter44 - 3.raw</t>
  </si>
  <si>
    <t>filter45 - 1.raw</t>
  </si>
  <si>
    <t>filter45 - 2.raw</t>
  </si>
  <si>
    <t>filter45 - 3.raw</t>
  </si>
  <si>
    <t>filter46 - 1.raw</t>
  </si>
  <si>
    <t>filter46 - 2.raw</t>
  </si>
  <si>
    <t>filter46 - 3.raw</t>
  </si>
  <si>
    <t>filter 47 -1.raw</t>
  </si>
  <si>
    <t>filter 47 -2.raw</t>
  </si>
  <si>
    <t>filter 47 -3.raw</t>
  </si>
  <si>
    <t>filter 49 - 1.raw</t>
  </si>
  <si>
    <t>filter 49 - 2.raw</t>
  </si>
  <si>
    <t>filter 49 - 3.raw</t>
  </si>
  <si>
    <t>filter53 - 1.raw</t>
  </si>
  <si>
    <t>filter53 - 2.raw</t>
  </si>
  <si>
    <t>filter53 - 3.raw</t>
  </si>
  <si>
    <t>filter56 - 1.raw</t>
  </si>
  <si>
    <t>filter56 - 2.raw</t>
  </si>
  <si>
    <t>filter56 - 3.raw</t>
  </si>
  <si>
    <t>filter57-1.raw</t>
  </si>
  <si>
    <t>filter57-2.raw</t>
  </si>
  <si>
    <t>filter57-3.raw</t>
  </si>
  <si>
    <t>EA 9-20-2023</t>
  </si>
  <si>
    <t>filter59-1.raw</t>
  </si>
  <si>
    <t>filter59-2.raw</t>
  </si>
  <si>
    <t>filter59-3.raw</t>
  </si>
  <si>
    <t>filter61-1.raw</t>
  </si>
  <si>
    <t>filter61-2.raw</t>
  </si>
  <si>
    <t>filter61-3.raw</t>
  </si>
  <si>
    <t>filter65-1.raw</t>
  </si>
  <si>
    <t>filter65-2.raw</t>
  </si>
  <si>
    <t>filter65-3.raw</t>
  </si>
  <si>
    <t>filter69-1.raw</t>
  </si>
  <si>
    <t>filter69-2.raw</t>
  </si>
  <si>
    <t>filter69-3.raw</t>
  </si>
  <si>
    <t>filter71-1.raw</t>
  </si>
  <si>
    <t>filter71-2.raw</t>
  </si>
  <si>
    <t>filter71-3.raw</t>
  </si>
  <si>
    <t>filter73-1.raw</t>
  </si>
  <si>
    <t>filter73-2.raw</t>
  </si>
  <si>
    <t>filter73-3.raw</t>
  </si>
  <si>
    <t>filter76-1.raw</t>
  </si>
  <si>
    <t>filter76-2.raw</t>
  </si>
  <si>
    <t>filter76-3.raw</t>
  </si>
  <si>
    <t>filter78-1.raw</t>
  </si>
  <si>
    <t>filter78-2.raw</t>
  </si>
  <si>
    <t>filter78-3.raw</t>
  </si>
  <si>
    <t>filter85-1.raw</t>
  </si>
  <si>
    <t>filter85-2.raw</t>
  </si>
  <si>
    <t>filter85-3.raw</t>
  </si>
  <si>
    <t>filter87-1.raw</t>
  </si>
  <si>
    <t>filter87-2.raw</t>
  </si>
  <si>
    <t>filter87-3.raw</t>
  </si>
  <si>
    <t>filter89-1.raw</t>
  </si>
  <si>
    <t>filter89-2.raw</t>
  </si>
  <si>
    <t>filter89-3.raw</t>
  </si>
  <si>
    <t>EA 9-21-2023</t>
  </si>
  <si>
    <t>filter 460.raw</t>
  </si>
  <si>
    <t>filter 464.raw</t>
  </si>
  <si>
    <t>filter 468.raw</t>
  </si>
  <si>
    <t>filter 461.raw</t>
  </si>
  <si>
    <t>filter 477.raw</t>
  </si>
  <si>
    <t>filter 463.raw</t>
  </si>
  <si>
    <t>filter 490.raw</t>
  </si>
  <si>
    <t>filter 486.raw</t>
  </si>
  <si>
    <t>filter 487.raw</t>
  </si>
  <si>
    <t>filter 491.raw</t>
  </si>
  <si>
    <t>filter 485.raw</t>
  </si>
  <si>
    <t>filter 484.raw</t>
  </si>
  <si>
    <t>filter 493.raw</t>
  </si>
  <si>
    <t>filter 492.raw</t>
  </si>
  <si>
    <t>filter 462.raw</t>
  </si>
  <si>
    <t>filter 466.raw</t>
  </si>
  <si>
    <t>filter 479.raw</t>
  </si>
  <si>
    <t>filter 476.raw</t>
  </si>
  <si>
    <t>filter 472.raw</t>
  </si>
  <si>
    <t>filter 481.raw</t>
  </si>
  <si>
    <t>filter 480.raw</t>
  </si>
  <si>
    <t>filter 478.raw</t>
  </si>
  <si>
    <t>filter 489.raw</t>
  </si>
  <si>
    <t>filter 495.raw</t>
  </si>
  <si>
    <t>filter 269.raw</t>
  </si>
  <si>
    <t>filter 222.raw</t>
  </si>
  <si>
    <t>filter 242.raw</t>
  </si>
  <si>
    <t>filter 252.raw</t>
  </si>
  <si>
    <t>Filter 91.raw</t>
  </si>
  <si>
    <t>Filter 92.raw</t>
  </si>
  <si>
    <t>Filter 93.raw</t>
  </si>
  <si>
    <t>Filter 95.raw</t>
  </si>
  <si>
    <t>Filter 96.raw</t>
  </si>
  <si>
    <t>Filter 97.raw</t>
  </si>
  <si>
    <t>Filter 98.raw</t>
  </si>
  <si>
    <t>Filter 99.raw</t>
  </si>
  <si>
    <t>Filter 100.raw</t>
  </si>
  <si>
    <t>Filter 101.raw</t>
  </si>
  <si>
    <t>Filter 102.raw</t>
  </si>
  <si>
    <t>Filter 103.raw</t>
  </si>
  <si>
    <t>Filter 104.raw</t>
  </si>
  <si>
    <t>Filter 105.raw</t>
  </si>
  <si>
    <t>Filter 106.raw</t>
  </si>
  <si>
    <t>Filter 107.raw</t>
  </si>
  <si>
    <t>Filter 108.raw</t>
  </si>
  <si>
    <t>Filter 109.raw</t>
  </si>
  <si>
    <t>Filter 110.raw</t>
  </si>
  <si>
    <t>Filter 111.raw</t>
  </si>
  <si>
    <t>Filter 112.raw</t>
  </si>
  <si>
    <t>Filter 113.raw</t>
  </si>
  <si>
    <t>Filter 114.raw</t>
  </si>
  <si>
    <t>Filter 115.raw</t>
  </si>
  <si>
    <t>Filter 116.raw</t>
  </si>
  <si>
    <t>Filter 117.raw</t>
  </si>
  <si>
    <t>Filter 118.raw</t>
  </si>
  <si>
    <t>Filter 119.raw</t>
  </si>
  <si>
    <t>EA 9-26-2023</t>
  </si>
  <si>
    <t>EA 9-28-2023</t>
  </si>
  <si>
    <t>filter 455.raw</t>
  </si>
  <si>
    <t>filter 446.raw</t>
  </si>
  <si>
    <t>filter 453.raw</t>
  </si>
  <si>
    <t>filter 445.raw</t>
  </si>
  <si>
    <t>filter 451.raw</t>
  </si>
  <si>
    <t>filter 447.raw</t>
  </si>
  <si>
    <t>filter 448.raw</t>
  </si>
  <si>
    <t>filter 449.raw</t>
  </si>
  <si>
    <t>filter 342.raw</t>
  </si>
  <si>
    <t>filter 351.raw</t>
  </si>
  <si>
    <t>filter 458.raw</t>
  </si>
  <si>
    <t>filter 442.raw</t>
  </si>
  <si>
    <t>filter 439.raw</t>
  </si>
  <si>
    <t>filter 436.raw</t>
  </si>
  <si>
    <t>filter 444.raw</t>
  </si>
  <si>
    <t>filter 456.raw</t>
  </si>
  <si>
    <t>filter 459.raw</t>
  </si>
  <si>
    <t>filter 457.raw</t>
  </si>
  <si>
    <t>filter 443.raw</t>
  </si>
  <si>
    <t>filter 440.raw</t>
  </si>
  <si>
    <t>filter 441.raw</t>
  </si>
  <si>
    <t>filter 338.raw</t>
  </si>
  <si>
    <t>filter 343.raw</t>
  </si>
  <si>
    <t>filter 341.raw</t>
  </si>
  <si>
    <t>filter 339.raw</t>
  </si>
  <si>
    <t>filter 350.raw</t>
  </si>
  <si>
    <t>filter 253.raw</t>
  </si>
  <si>
    <t>filter 215.raw</t>
  </si>
  <si>
    <t>EA 9-27-2023</t>
  </si>
  <si>
    <t>%N, d15N not usable because of high blank</t>
  </si>
  <si>
    <t>Low %N, d15N not usable.</t>
  </si>
  <si>
    <t>filter4-1</t>
  </si>
  <si>
    <t>filter4-2</t>
  </si>
  <si>
    <t>filter4-3</t>
  </si>
  <si>
    <t>filter12-1</t>
  </si>
  <si>
    <t>filter12-2</t>
  </si>
  <si>
    <t>filter12-3</t>
  </si>
  <si>
    <t>filter15-1</t>
  </si>
  <si>
    <t>filter15-2</t>
  </si>
  <si>
    <t>filter15-3</t>
  </si>
  <si>
    <t>filter16-1</t>
  </si>
  <si>
    <t>filter16-2</t>
  </si>
  <si>
    <t>filter16-3</t>
  </si>
  <si>
    <t>filter17-1</t>
  </si>
  <si>
    <t>filter17-2</t>
  </si>
  <si>
    <t>filter17-3</t>
  </si>
  <si>
    <t>filter19-1</t>
  </si>
  <si>
    <t>filter19-2</t>
  </si>
  <si>
    <t>filter19-3</t>
  </si>
  <si>
    <t>filter22-1</t>
  </si>
  <si>
    <t>filter22-2</t>
  </si>
  <si>
    <t>filter22-3</t>
  </si>
  <si>
    <t>filter34 -1</t>
  </si>
  <si>
    <t>filter34 -2</t>
  </si>
  <si>
    <t>filter34 -3</t>
  </si>
  <si>
    <t>filter37-1</t>
  </si>
  <si>
    <t>filter37-2</t>
  </si>
  <si>
    <t>filter37-3</t>
  </si>
  <si>
    <t>filter42 -1</t>
  </si>
  <si>
    <t>filter42 -2</t>
  </si>
  <si>
    <t>filter42 -3</t>
  </si>
  <si>
    <t>filter44 - 1</t>
  </si>
  <si>
    <t>filter44 - 2</t>
  </si>
  <si>
    <t>filter44 - 3</t>
  </si>
  <si>
    <t>filter45 - 1</t>
  </si>
  <si>
    <t>filter45 - 2</t>
  </si>
  <si>
    <t>filter45 - 3</t>
  </si>
  <si>
    <t>filter46 - 1</t>
  </si>
  <si>
    <t>filter46 - 2</t>
  </si>
  <si>
    <t>filter46 - 3</t>
  </si>
  <si>
    <t>filter 47 -1</t>
  </si>
  <si>
    <t>filter 47 -2</t>
  </si>
  <si>
    <t>filter 47 -3</t>
  </si>
  <si>
    <t>filter 49 - 1</t>
  </si>
  <si>
    <t>filter 49 - 2</t>
  </si>
  <si>
    <t>filter 49 - 3</t>
  </si>
  <si>
    <t>filter53 - 1</t>
  </si>
  <si>
    <t>filter53 - 2</t>
  </si>
  <si>
    <t>filter53 - 3</t>
  </si>
  <si>
    <t>filter56 - 1</t>
  </si>
  <si>
    <t>filter56 - 2</t>
  </si>
  <si>
    <t>filter56 - 3</t>
  </si>
  <si>
    <t>filter57-1</t>
  </si>
  <si>
    <t>filter57-2</t>
  </si>
  <si>
    <t>filter57-3</t>
  </si>
  <si>
    <t>filter59-1</t>
  </si>
  <si>
    <t>filter59-2</t>
  </si>
  <si>
    <t>filter59-3</t>
  </si>
  <si>
    <t>filter61-1</t>
  </si>
  <si>
    <t>filter61-2</t>
  </si>
  <si>
    <t>filter61-3</t>
  </si>
  <si>
    <t>filter65-1</t>
  </si>
  <si>
    <t>filter65-2</t>
  </si>
  <si>
    <t>filter65-3</t>
  </si>
  <si>
    <t>filter69-1</t>
  </si>
  <si>
    <t>filter69-2</t>
  </si>
  <si>
    <t>filter69-3</t>
  </si>
  <si>
    <t>filter71-1</t>
  </si>
  <si>
    <t>filter71-2</t>
  </si>
  <si>
    <t>filter71-3</t>
  </si>
  <si>
    <t>filter73-1</t>
  </si>
  <si>
    <t>filter73-2</t>
  </si>
  <si>
    <t>filter73-3</t>
  </si>
  <si>
    <t>filter76-1</t>
  </si>
  <si>
    <t>filter76-2</t>
  </si>
  <si>
    <t>filter76-3</t>
  </si>
  <si>
    <t>filter78-1</t>
  </si>
  <si>
    <t>filter78-2</t>
  </si>
  <si>
    <t>filter78-3</t>
  </si>
  <si>
    <t>filter85-1</t>
  </si>
  <si>
    <t>filter85-2</t>
  </si>
  <si>
    <t>filter85-3</t>
  </si>
  <si>
    <t>filter87-1</t>
  </si>
  <si>
    <t>filter87-2</t>
  </si>
  <si>
    <t>filter87-3</t>
  </si>
  <si>
    <t>filter89-1</t>
  </si>
  <si>
    <t>filter89-2</t>
  </si>
  <si>
    <t>filter89-3</t>
  </si>
  <si>
    <t>Filter 91</t>
  </si>
  <si>
    <t>Filter 92</t>
  </si>
  <si>
    <t>Filter 93</t>
  </si>
  <si>
    <t>Filter 95</t>
  </si>
  <si>
    <t>Filter 96</t>
  </si>
  <si>
    <t>Filter 97</t>
  </si>
  <si>
    <t>Filter 98</t>
  </si>
  <si>
    <t>Filter 99</t>
  </si>
  <si>
    <t>Filter 100</t>
  </si>
  <si>
    <t>Filter 101</t>
  </si>
  <si>
    <t>Filter 102</t>
  </si>
  <si>
    <t>Filter 103</t>
  </si>
  <si>
    <t>Filter 104</t>
  </si>
  <si>
    <t>Filter 105</t>
  </si>
  <si>
    <t>Filter 106</t>
  </si>
  <si>
    <t>Filter 107</t>
  </si>
  <si>
    <t>Filter 108</t>
  </si>
  <si>
    <t>Filter 109</t>
  </si>
  <si>
    <t>Filter 110</t>
  </si>
  <si>
    <t>Filter 111</t>
  </si>
  <si>
    <t>Filter 112</t>
  </si>
  <si>
    <t>Filter 113</t>
  </si>
  <si>
    <t>Filter 114</t>
  </si>
  <si>
    <t>Filter 115</t>
  </si>
  <si>
    <t>Filter 116</t>
  </si>
  <si>
    <t>Filter 117</t>
  </si>
  <si>
    <t>Filter 118</t>
  </si>
  <si>
    <t>Filter 119</t>
  </si>
  <si>
    <t>filter 455</t>
  </si>
  <si>
    <t>filter 446</t>
  </si>
  <si>
    <t>filter 453</t>
  </si>
  <si>
    <t>filter 445</t>
  </si>
  <si>
    <t>filter 451</t>
  </si>
  <si>
    <t>filter 447</t>
  </si>
  <si>
    <t>filter 448</t>
  </si>
  <si>
    <t>filter 449</t>
  </si>
  <si>
    <t>filter 342</t>
  </si>
  <si>
    <t>filter 351</t>
  </si>
  <si>
    <t>filter 458</t>
  </si>
  <si>
    <t>filter 442</t>
  </si>
  <si>
    <t>filter 439</t>
  </si>
  <si>
    <t>filter 436</t>
  </si>
  <si>
    <t>filter 444</t>
  </si>
  <si>
    <t>filter 456</t>
  </si>
  <si>
    <t>filter 459</t>
  </si>
  <si>
    <t>filter 457</t>
  </si>
  <si>
    <t>filter 443</t>
  </si>
  <si>
    <t>filter 440</t>
  </si>
  <si>
    <t>filter 441</t>
  </si>
  <si>
    <t>filter 338</t>
  </si>
  <si>
    <t>filter 343</t>
  </si>
  <si>
    <t>filter 341</t>
  </si>
  <si>
    <t>filter 339</t>
  </si>
  <si>
    <t>filter 350</t>
  </si>
  <si>
    <t>filter 253</t>
  </si>
  <si>
    <t>filter 215</t>
  </si>
  <si>
    <t>filter 460</t>
  </si>
  <si>
    <t>filter 464</t>
  </si>
  <si>
    <t>filter 468</t>
  </si>
  <si>
    <t>filter 461</t>
  </si>
  <si>
    <t>filter 477</t>
  </si>
  <si>
    <t>filter 463</t>
  </si>
  <si>
    <t>filter 490</t>
  </si>
  <si>
    <t>filter 486</t>
  </si>
  <si>
    <t>filter 487</t>
  </si>
  <si>
    <t>filter 491</t>
  </si>
  <si>
    <t>filter 485</t>
  </si>
  <si>
    <t>filter 484</t>
  </si>
  <si>
    <t>filter 493</t>
  </si>
  <si>
    <t>filter 492</t>
  </si>
  <si>
    <t>filter 462</t>
  </si>
  <si>
    <t>filter 466</t>
  </si>
  <si>
    <t>filter 479</t>
  </si>
  <si>
    <t>filter 476</t>
  </si>
  <si>
    <t>filter 472</t>
  </si>
  <si>
    <t>filter 481</t>
  </si>
  <si>
    <t>filter 480</t>
  </si>
  <si>
    <t>filter 478</t>
  </si>
  <si>
    <t>filter 489</t>
  </si>
  <si>
    <t>filter 495</t>
  </si>
  <si>
    <t>filter 269</t>
  </si>
  <si>
    <t>filter 222</t>
  </si>
  <si>
    <t>filter 242</t>
  </si>
  <si>
    <t>filter 252</t>
  </si>
  <si>
    <t>mgC for whole filter</t>
  </si>
  <si>
    <t>mgN for whole filter</t>
  </si>
  <si>
    <t>SSUM-08-23-22.raw</t>
  </si>
  <si>
    <t>SSLM 08-04-22.raw</t>
  </si>
  <si>
    <t>SSUM-08-10-22.raw</t>
  </si>
  <si>
    <t>SSUM-04-29-23.raw</t>
  </si>
  <si>
    <t>SSUB-04-29-23.raw</t>
  </si>
  <si>
    <t>SSLB-04-29-23.raw</t>
  </si>
  <si>
    <t>SSLM-06-23-23.raw</t>
  </si>
  <si>
    <t>SSUB-07-13-23.raw</t>
  </si>
  <si>
    <t>SSUB-03-19-23.raw</t>
  </si>
  <si>
    <t>SSUT-07-13-23.raw</t>
  </si>
  <si>
    <t>SSUM-07-13-23.raw</t>
  </si>
  <si>
    <t>SSLB-08-04-22.raw</t>
  </si>
  <si>
    <t>SSLB-03-19-23.raw</t>
  </si>
  <si>
    <t>SSLB-07-27-23.raw</t>
  </si>
  <si>
    <t>SSUB-07-27-23.raw</t>
  </si>
  <si>
    <t>SSLT-07-13-23.raw</t>
  </si>
  <si>
    <t>SSLT-03-19-23.raw</t>
  </si>
  <si>
    <t>SSLM-07-27-23.raw</t>
  </si>
  <si>
    <t>SSLM-08-10-22.raw</t>
  </si>
  <si>
    <t>SSLT-04-29-23.raw</t>
  </si>
  <si>
    <t>SSUT-03-19-23.raw</t>
  </si>
  <si>
    <t>SSLM-07-12-22.raw</t>
  </si>
  <si>
    <t>SSLM-07-13-23.raw</t>
  </si>
  <si>
    <t>SSUM-07-27-23.raw</t>
  </si>
  <si>
    <t>SSLM-04-29-23.raw</t>
  </si>
  <si>
    <t>SSLB-07-13-23.raw</t>
  </si>
  <si>
    <t>SSLM-08-08-23.raw</t>
  </si>
  <si>
    <t>SSUB-08-08-23.raw</t>
  </si>
  <si>
    <t>SSUT-04-29-23.raw</t>
  </si>
  <si>
    <t>SSUM-08-04-22.raw</t>
  </si>
  <si>
    <t>SSUT-07-27-23.raw</t>
  </si>
  <si>
    <t>SSUM-07-12-23.raw</t>
  </si>
  <si>
    <t>EA 9-29-2023</t>
  </si>
  <si>
    <t>SSUM-08-23-22</t>
  </si>
  <si>
    <t>SSLM 08-04-22</t>
  </si>
  <si>
    <t>SSUM-08-10-22</t>
  </si>
  <si>
    <t>SSUM-04-29-23</t>
  </si>
  <si>
    <t>SSUB-04-29-23</t>
  </si>
  <si>
    <t>SSLB-04-29-23</t>
  </si>
  <si>
    <t>SSLM-06-23-23</t>
  </si>
  <si>
    <t>SSUB-07-13-23</t>
  </si>
  <si>
    <t>SSUB-03-19-23</t>
  </si>
  <si>
    <t>SSUT-07-13-23</t>
  </si>
  <si>
    <t>SSUM-07-13-23</t>
  </si>
  <si>
    <t>SSLB-08-04-22</t>
  </si>
  <si>
    <t>SSLB-03-19-23</t>
  </si>
  <si>
    <t>SSLB-07-27-23</t>
  </si>
  <si>
    <t>SSUB-07-27-23</t>
  </si>
  <si>
    <t>SSLT-07-13-23</t>
  </si>
  <si>
    <t>SSLT-03-19-23</t>
  </si>
  <si>
    <t>SSLM-07-27-23</t>
  </si>
  <si>
    <t>SSLM-08-10-22</t>
  </si>
  <si>
    <t>SSLT-04-29-23</t>
  </si>
  <si>
    <t>SSUT-03-19-23</t>
  </si>
  <si>
    <t>SSLM-07-12-22</t>
  </si>
  <si>
    <t>SSLM-07-13-23</t>
  </si>
  <si>
    <t>SSUM-07-27-23</t>
  </si>
  <si>
    <t>SSLM-04-29-23</t>
  </si>
  <si>
    <t>SSLB-07-13-23</t>
  </si>
  <si>
    <t>SSLM-08-08-23</t>
  </si>
  <si>
    <t>SSUB-08-08-23</t>
  </si>
  <si>
    <t>SSUT-04-29-23</t>
  </si>
  <si>
    <t>SSUM-08-04-22</t>
  </si>
  <si>
    <t>SSUT-07-27-23</t>
  </si>
  <si>
    <t>SSUM-07-12-23</t>
  </si>
  <si>
    <t>SSLB-07-12-22.raw</t>
  </si>
  <si>
    <t>SSLM-03-19-23.raw</t>
  </si>
  <si>
    <t>SSUT-06-23-23.raw</t>
  </si>
  <si>
    <t>T6A.raw</t>
  </si>
  <si>
    <t>SSUM-08-08-23.raw</t>
  </si>
  <si>
    <t>SSLB-08-10-23.raw</t>
  </si>
  <si>
    <t>SSLT-07-27-23.raw</t>
  </si>
  <si>
    <t>SSUT-08-08-23.raw</t>
  </si>
  <si>
    <t>SSUM--7-12-23.raw</t>
  </si>
  <si>
    <t>SSLB-08-23-23.raw</t>
  </si>
  <si>
    <t>SSLT-08-08-23.raw</t>
  </si>
  <si>
    <t>SSUM-06-23-23.raw</t>
  </si>
  <si>
    <t>SSLB-06-23-23.raw</t>
  </si>
  <si>
    <t>SSLB-08-05-22.raw</t>
  </si>
  <si>
    <t>SSLB-08-08-23.raw</t>
  </si>
  <si>
    <t>SSLM-08-23-22.raw</t>
  </si>
  <si>
    <t>SSUB-06-23-23.raw</t>
  </si>
  <si>
    <t>SSLT-06-23-23.raw</t>
  </si>
  <si>
    <t>F6.raw</t>
  </si>
  <si>
    <t>F14.raw</t>
  </si>
  <si>
    <t>F27.raw</t>
  </si>
  <si>
    <t>F37.raw</t>
  </si>
  <si>
    <t>F61.raw</t>
  </si>
  <si>
    <t>F78.raw</t>
  </si>
  <si>
    <t>F51.raw</t>
  </si>
  <si>
    <t>FILTER 23.raw</t>
  </si>
  <si>
    <t>FILTER 26.raw</t>
  </si>
  <si>
    <t>FILTER 31.raw</t>
  </si>
  <si>
    <t>FILTER 32.raw</t>
  </si>
  <si>
    <t>EA 10-3-2023</t>
  </si>
  <si>
    <t>N/A</t>
  </si>
  <si>
    <t>SSLB-07-12-22</t>
  </si>
  <si>
    <t>SSLM-03-19-23</t>
  </si>
  <si>
    <t>SSUT-06-23-23</t>
  </si>
  <si>
    <t>T6A</t>
  </si>
  <si>
    <t>SSUM-08-08-23</t>
  </si>
  <si>
    <t>SSLB-08-10-23</t>
  </si>
  <si>
    <t>SSLT-07-27-23</t>
  </si>
  <si>
    <t>SSUT-08-08-23</t>
  </si>
  <si>
    <t>SSUM--7-12-23</t>
  </si>
  <si>
    <t>SSLB-08-23-23</t>
  </si>
  <si>
    <t>SSLT-08-08-23</t>
  </si>
  <si>
    <t>SSUM-06-23-23</t>
  </si>
  <si>
    <t>SSLB-06-23-23</t>
  </si>
  <si>
    <t>SSLB-08-05-22</t>
  </si>
  <si>
    <t>SSLB-08-08-23</t>
  </si>
  <si>
    <t>SSLM-08-23-22</t>
  </si>
  <si>
    <t>SSUB-06-23-23</t>
  </si>
  <si>
    <t>SSLT-06-23-23</t>
  </si>
  <si>
    <t>F6</t>
  </si>
  <si>
    <t>F14</t>
  </si>
  <si>
    <t>F27</t>
  </si>
  <si>
    <t>F37</t>
  </si>
  <si>
    <t>F61</t>
  </si>
  <si>
    <t>F78</t>
  </si>
  <si>
    <t>F51</t>
  </si>
  <si>
    <t>FILTER 23</t>
  </si>
  <si>
    <t>FILTER 26</t>
  </si>
  <si>
    <t>FILTER 31</t>
  </si>
  <si>
    <t>FILTER 32</t>
  </si>
  <si>
    <t>StDev on NIST 1547 Peach Leaves</t>
  </si>
  <si>
    <t>d13C is an unusual result but the EA trace looks ok</t>
  </si>
  <si>
    <t>d15N</t>
  </si>
  <si>
    <t>d13C</t>
  </si>
  <si>
    <t>d13C screwed up double peak</t>
  </si>
  <si>
    <t>filter1</t>
  </si>
  <si>
    <t>filter2</t>
  </si>
  <si>
    <t>filter5</t>
  </si>
  <si>
    <t>filter4</t>
  </si>
  <si>
    <t>filter12</t>
  </si>
  <si>
    <t>filter15</t>
  </si>
  <si>
    <t>filter16</t>
  </si>
  <si>
    <t>filter17</t>
  </si>
  <si>
    <t>filter19</t>
  </si>
  <si>
    <t>filter22</t>
  </si>
  <si>
    <t>filter34</t>
  </si>
  <si>
    <t>filter37</t>
  </si>
  <si>
    <t>filter42</t>
  </si>
  <si>
    <t>filter44</t>
  </si>
  <si>
    <t>filter45</t>
  </si>
  <si>
    <t>filter46</t>
  </si>
  <si>
    <t>filter47</t>
  </si>
  <si>
    <t>filter49</t>
  </si>
  <si>
    <t>filter53</t>
  </si>
  <si>
    <t>filter56</t>
  </si>
  <si>
    <t>filter57</t>
  </si>
  <si>
    <t>filter59</t>
  </si>
  <si>
    <t>filter61</t>
  </si>
  <si>
    <t>filter65</t>
  </si>
  <si>
    <t>filter69</t>
  </si>
  <si>
    <t>filter71</t>
  </si>
  <si>
    <t>filter73</t>
  </si>
  <si>
    <t>filter76</t>
  </si>
  <si>
    <t>filter78</t>
  </si>
  <si>
    <t>filter85</t>
  </si>
  <si>
    <t>filter87</t>
  </si>
  <si>
    <t>filter89</t>
  </si>
  <si>
    <t>filter91</t>
  </si>
  <si>
    <t>filter92</t>
  </si>
  <si>
    <t>filter93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</si>
</sst>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d/m/yy\ h:mm"/>
  </numFmts>
  <fonts count="2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4"/>
      <name val="Palatino Linotype"/>
      <family val="1"/>
    </font>
    <font>
      <b/>
      <sz val="10"/>
      <name val="Arial"/>
      <family val="2"/>
    </font>
    <font>
      <b/>
      <sz val="8"/>
      <name val="Arial"/>
      <family val="2"/>
    </font>
    <font>
      <sz val="10"/>
      <name val="Century Gothic"/>
      <family val="2"/>
    </font>
    <font>
      <b/>
      <sz val="10"/>
      <name val="Symbol"/>
      <family val="1"/>
      <charset val="2"/>
    </font>
    <font>
      <b/>
      <vertAlign val="superscript"/>
      <sz val="10"/>
      <name val="Arial"/>
      <family val="2"/>
    </font>
    <font>
      <sz val="10"/>
      <color indexed="48"/>
      <name val="Arial"/>
      <family val="2"/>
    </font>
    <font>
      <i/>
      <sz val="10"/>
      <name val="Arial"/>
      <family val="2"/>
    </font>
    <font>
      <b/>
      <sz val="12"/>
      <name val="Arial"/>
      <family val="2"/>
    </font>
    <font>
      <b/>
      <sz val="10"/>
      <name val="Times New Roman"/>
      <family val="1"/>
    </font>
    <font>
      <b/>
      <sz val="8"/>
      <name val="Symbol"/>
      <family val="1"/>
      <charset val="2"/>
    </font>
    <font>
      <b/>
      <vertAlign val="superscript"/>
      <sz val="8"/>
      <name val="Arial"/>
      <family val="2"/>
    </font>
    <font>
      <sz val="8"/>
      <name val="Arial"/>
      <family val="2"/>
    </font>
    <font>
      <sz val="10"/>
      <name val="MS Sans Serif"/>
      <family val="2"/>
    </font>
    <font>
      <sz val="8"/>
      <color indexed="8"/>
      <name val="Arial"/>
      <family val="2"/>
    </font>
    <font>
      <sz val="8"/>
      <color indexed="81"/>
      <name val="Tahoma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sz val="10"/>
      <color rgb="FFFF0000"/>
      <name val="Arial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b/>
      <sz val="8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5" fillId="0" borderId="0"/>
  </cellStyleXfs>
  <cellXfs count="21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15" fontId="3" fillId="0" borderId="0" xfId="0" quotePrefix="1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/>
    <xf numFmtId="0" fontId="3" fillId="0" borderId="0" xfId="0" applyFont="1"/>
    <xf numFmtId="0" fontId="1" fillId="0" borderId="2" xfId="0" applyFont="1" applyBorder="1"/>
    <xf numFmtId="164" fontId="1" fillId="0" borderId="3" xfId="0" applyNumberFormat="1" applyFont="1" applyBorder="1" applyAlignment="1">
      <alignment horizontal="right"/>
    </xf>
    <xf numFmtId="164" fontId="1" fillId="0" borderId="0" xfId="0" applyNumberFormat="1" applyFont="1" applyAlignment="1">
      <alignment horizontal="right"/>
    </xf>
    <xf numFmtId="0" fontId="3" fillId="2" borderId="2" xfId="0" applyFont="1" applyFill="1" applyBorder="1"/>
    <xf numFmtId="0" fontId="0" fillId="2" borderId="4" xfId="0" applyFill="1" applyBorder="1"/>
    <xf numFmtId="0" fontId="6" fillId="2" borderId="2" xfId="0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3" fillId="2" borderId="2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/>
    <xf numFmtId="0" fontId="1" fillId="0" borderId="3" xfId="0" applyFont="1" applyBorder="1"/>
    <xf numFmtId="0" fontId="0" fillId="2" borderId="3" xfId="0" applyFill="1" applyBorder="1"/>
    <xf numFmtId="0" fontId="0" fillId="2" borderId="0" xfId="0" applyFill="1"/>
    <xf numFmtId="0" fontId="1" fillId="2" borderId="3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/>
    <xf numFmtId="0" fontId="0" fillId="0" borderId="2" xfId="0" applyBorder="1"/>
    <xf numFmtId="0" fontId="3" fillId="0" borderId="4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2" fontId="8" fillId="0" borderId="5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2" fontId="0" fillId="0" borderId="4" xfId="0" applyNumberFormat="1" applyBorder="1"/>
    <xf numFmtId="2" fontId="0" fillId="0" borderId="6" xfId="0" applyNumberFormat="1" applyBorder="1"/>
    <xf numFmtId="0" fontId="0" fillId="0" borderId="4" xfId="0" applyBorder="1" applyAlignment="1">
      <alignment horizontal="left"/>
    </xf>
    <xf numFmtId="2" fontId="0" fillId="0" borderId="6" xfId="0" applyNumberFormat="1" applyBorder="1" applyAlignment="1">
      <alignment horizontal="center"/>
    </xf>
    <xf numFmtId="0" fontId="0" fillId="0" borderId="3" xfId="0" applyBorder="1"/>
    <xf numFmtId="0" fontId="3" fillId="0" borderId="0" xfId="0" applyFont="1" applyAlignment="1">
      <alignment horizontal="right"/>
    </xf>
    <xf numFmtId="0" fontId="1" fillId="0" borderId="3" xfId="0" applyFont="1" applyBorder="1" applyAlignment="1">
      <alignment horizontal="right"/>
    </xf>
    <xf numFmtId="2" fontId="8" fillId="0" borderId="7" xfId="0" applyNumberFormat="1" applyFont="1" applyBorder="1" applyAlignment="1">
      <alignment horizontal="center"/>
    </xf>
    <xf numFmtId="2" fontId="0" fillId="0" borderId="0" xfId="0" applyNumberFormat="1"/>
    <xf numFmtId="0" fontId="0" fillId="0" borderId="0" xfId="0" applyAlignment="1">
      <alignment horizontal="left"/>
    </xf>
    <xf numFmtId="2" fontId="0" fillId="0" borderId="9" xfId="0" applyNumberFormat="1" applyBorder="1" applyAlignment="1">
      <alignment horizontal="center"/>
    </xf>
    <xf numFmtId="2" fontId="0" fillId="0" borderId="9" xfId="0" applyNumberFormat="1" applyBorder="1"/>
    <xf numFmtId="2" fontId="1" fillId="0" borderId="7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3" xfId="0" applyBorder="1" applyAlignment="1">
      <alignment horizontal="right"/>
    </xf>
    <xf numFmtId="2" fontId="0" fillId="0" borderId="7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/>
    <xf numFmtId="0" fontId="9" fillId="0" borderId="0" xfId="0" applyFont="1"/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6" fillId="0" borderId="3" xfId="0" applyFont="1" applyBorder="1" applyAlignment="1">
      <alignment horizontal="right"/>
    </xf>
    <xf numFmtId="0" fontId="0" fillId="0" borderId="0" xfId="0" quotePrefix="1" applyAlignment="1">
      <alignment horizontal="center"/>
    </xf>
    <xf numFmtId="0" fontId="0" fillId="0" borderId="7" xfId="0" applyBorder="1"/>
    <xf numFmtId="165" fontId="0" fillId="0" borderId="0" xfId="0" applyNumberFormat="1" applyAlignment="1">
      <alignment horizontal="center"/>
    </xf>
    <xf numFmtId="0" fontId="3" fillId="0" borderId="3" xfId="0" applyFont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10" fillId="0" borderId="0" xfId="0" applyFont="1"/>
    <xf numFmtId="0" fontId="11" fillId="0" borderId="0" xfId="0" applyFont="1" applyAlignment="1">
      <alignment horizontal="right"/>
    </xf>
    <xf numFmtId="0" fontId="1" fillId="0" borderId="0" xfId="0" quotePrefix="1" applyFont="1" applyAlignment="1">
      <alignment horizontal="center"/>
    </xf>
    <xf numFmtId="0" fontId="4" fillId="2" borderId="6" xfId="0" applyFont="1" applyFill="1" applyBorder="1" applyAlignment="1">
      <alignment horizontal="center" wrapText="1"/>
    </xf>
    <xf numFmtId="0" fontId="4" fillId="2" borderId="12" xfId="0" applyFont="1" applyFill="1" applyBorder="1" applyAlignment="1">
      <alignment horizontal="left" wrapText="1"/>
    </xf>
    <xf numFmtId="0" fontId="4" fillId="2" borderId="12" xfId="0" applyFont="1" applyFill="1" applyBorder="1" applyAlignment="1">
      <alignment horizontal="right" wrapText="1"/>
    </xf>
    <xf numFmtId="2" fontId="4" fillId="0" borderId="12" xfId="0" applyNumberFormat="1" applyFont="1" applyBorder="1" applyAlignment="1">
      <alignment horizontal="right" wrapText="1"/>
    </xf>
    <xf numFmtId="2" fontId="14" fillId="0" borderId="12" xfId="0" applyNumberFormat="1" applyFont="1" applyBorder="1" applyAlignment="1">
      <alignment horizontal="right" wrapText="1"/>
    </xf>
    <xf numFmtId="165" fontId="14" fillId="0" borderId="12" xfId="0" applyNumberFormat="1" applyFont="1" applyBorder="1" applyAlignment="1">
      <alignment horizontal="right" wrapText="1"/>
    </xf>
    <xf numFmtId="2" fontId="4" fillId="0" borderId="12" xfId="0" applyNumberFormat="1" applyFont="1" applyBorder="1" applyAlignment="1">
      <alignment horizontal="right" vertical="top"/>
    </xf>
    <xf numFmtId="166" fontId="4" fillId="0" borderId="12" xfId="0" applyNumberFormat="1" applyFont="1" applyBorder="1" applyAlignment="1">
      <alignment horizontal="right" vertical="top"/>
    </xf>
    <xf numFmtId="0" fontId="16" fillId="0" borderId="3" xfId="1" applyFont="1" applyBorder="1" applyAlignment="1">
      <alignment horizontal="center" vertical="top"/>
    </xf>
    <xf numFmtId="2" fontId="16" fillId="0" borderId="3" xfId="1" applyNumberFormat="1" applyFont="1" applyBorder="1" applyAlignment="1">
      <alignment horizontal="center" vertical="top"/>
    </xf>
    <xf numFmtId="2" fontId="16" fillId="0" borderId="10" xfId="1" applyNumberFormat="1" applyFont="1" applyBorder="1" applyAlignment="1">
      <alignment horizontal="center" vertical="top"/>
    </xf>
    <xf numFmtId="2" fontId="4" fillId="3" borderId="12" xfId="0" applyNumberFormat="1" applyFont="1" applyFill="1" applyBorder="1" applyAlignment="1">
      <alignment horizontal="right" wrapText="1"/>
    </xf>
    <xf numFmtId="2" fontId="14" fillId="3" borderId="12" xfId="0" applyNumberFormat="1" applyFont="1" applyFill="1" applyBorder="1" applyAlignment="1">
      <alignment horizontal="right" wrapText="1"/>
    </xf>
    <xf numFmtId="165" fontId="14" fillId="3" borderId="12" xfId="0" applyNumberFormat="1" applyFont="1" applyFill="1" applyBorder="1" applyAlignment="1">
      <alignment horizontal="right" wrapText="1"/>
    </xf>
    <xf numFmtId="166" fontId="4" fillId="3" borderId="12" xfId="0" applyNumberFormat="1" applyFont="1" applyFill="1" applyBorder="1" applyAlignment="1">
      <alignment horizontal="right" vertical="top"/>
    </xf>
    <xf numFmtId="0" fontId="1" fillId="3" borderId="0" xfId="0" applyFont="1" applyFill="1"/>
    <xf numFmtId="2" fontId="4" fillId="3" borderId="12" xfId="0" applyNumberFormat="1" applyFont="1" applyFill="1" applyBorder="1" applyAlignment="1">
      <alignment horizontal="right" vertical="top"/>
    </xf>
    <xf numFmtId="0" fontId="15" fillId="2" borderId="6" xfId="1" applyFill="1" applyBorder="1" applyAlignment="1">
      <alignment horizontal="center" wrapText="1"/>
    </xf>
    <xf numFmtId="0" fontId="15" fillId="2" borderId="4" xfId="1" applyFill="1" applyBorder="1" applyAlignment="1">
      <alignment horizontal="center" wrapText="1"/>
    </xf>
    <xf numFmtId="0" fontId="15" fillId="2" borderId="2" xfId="1" applyFill="1" applyBorder="1" applyAlignment="1">
      <alignment horizontal="center" wrapText="1"/>
    </xf>
    <xf numFmtId="0" fontId="16" fillId="4" borderId="3" xfId="1" applyFont="1" applyFill="1" applyBorder="1" applyAlignment="1">
      <alignment horizontal="center" vertical="top"/>
    </xf>
    <xf numFmtId="2" fontId="16" fillId="4" borderId="3" xfId="1" applyNumberFormat="1" applyFont="1" applyFill="1" applyBorder="1" applyAlignment="1">
      <alignment horizontal="center" vertical="top"/>
    </xf>
    <xf numFmtId="0" fontId="16" fillId="0" borderId="2" xfId="1" applyFont="1" applyBorder="1" applyAlignment="1">
      <alignment horizontal="center" vertical="top"/>
    </xf>
    <xf numFmtId="2" fontId="16" fillId="0" borderId="2" xfId="1" applyNumberFormat="1" applyFont="1" applyBorder="1" applyAlignment="1">
      <alignment horizontal="center" vertical="top"/>
    </xf>
    <xf numFmtId="0" fontId="4" fillId="2" borderId="2" xfId="0" applyFont="1" applyFill="1" applyBorder="1" applyAlignment="1">
      <alignment horizontal="center" wrapText="1"/>
    </xf>
    <xf numFmtId="2" fontId="4" fillId="3" borderId="13" xfId="0" applyNumberFormat="1" applyFont="1" applyFill="1" applyBorder="1" applyAlignment="1">
      <alignment horizontal="right" wrapText="1"/>
    </xf>
    <xf numFmtId="2" fontId="4" fillId="0" borderId="13" xfId="0" applyNumberFormat="1" applyFont="1" applyBorder="1" applyAlignment="1">
      <alignment horizontal="right" wrapText="1"/>
    </xf>
    <xf numFmtId="2" fontId="4" fillId="0" borderId="0" xfId="0" applyNumberFormat="1" applyFont="1" applyAlignment="1">
      <alignment horizontal="right" wrapText="1"/>
    </xf>
    <xf numFmtId="2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2" fontId="16" fillId="3" borderId="3" xfId="1" applyNumberFormat="1" applyFont="1" applyFill="1" applyBorder="1" applyAlignment="1">
      <alignment horizontal="center" vertical="top"/>
    </xf>
    <xf numFmtId="2" fontId="14" fillId="0" borderId="0" xfId="0" applyNumberFormat="1" applyFont="1" applyAlignment="1">
      <alignment horizontal="right" wrapText="1"/>
    </xf>
    <xf numFmtId="165" fontId="14" fillId="0" borderId="0" xfId="0" applyNumberFormat="1" applyFont="1" applyAlignment="1">
      <alignment horizontal="right" wrapText="1"/>
    </xf>
    <xf numFmtId="2" fontId="16" fillId="4" borderId="10" xfId="1" applyNumberFormat="1" applyFont="1" applyFill="1" applyBorder="1" applyAlignment="1">
      <alignment horizontal="center" vertical="top"/>
    </xf>
    <xf numFmtId="2" fontId="18" fillId="4" borderId="3" xfId="1" applyNumberFormat="1" applyFont="1" applyFill="1" applyBorder="1" applyAlignment="1">
      <alignment horizontal="center" vertical="top"/>
    </xf>
    <xf numFmtId="0" fontId="16" fillId="0" borderId="10" xfId="1" applyFont="1" applyBorder="1" applyAlignment="1">
      <alignment horizontal="center" vertical="top"/>
    </xf>
    <xf numFmtId="0" fontId="16" fillId="0" borderId="0" xfId="1" applyFont="1" applyAlignment="1">
      <alignment horizontal="center" vertical="top"/>
    </xf>
    <xf numFmtId="2" fontId="18" fillId="0" borderId="3" xfId="1" applyNumberFormat="1" applyFont="1" applyBorder="1" applyAlignment="1">
      <alignment horizontal="center" vertical="top"/>
    </xf>
    <xf numFmtId="0" fontId="20" fillId="0" borderId="0" xfId="0" applyFont="1"/>
    <xf numFmtId="0" fontId="16" fillId="4" borderId="10" xfId="1" applyFont="1" applyFill="1" applyBorder="1" applyAlignment="1">
      <alignment horizontal="center" vertical="top"/>
    </xf>
    <xf numFmtId="0" fontId="18" fillId="0" borderId="3" xfId="1" applyFont="1" applyBorder="1" applyAlignment="1">
      <alignment horizontal="center" vertical="top"/>
    </xf>
    <xf numFmtId="2" fontId="18" fillId="0" borderId="10" xfId="1" applyNumberFormat="1" applyFont="1" applyBorder="1" applyAlignment="1">
      <alignment horizontal="center" vertical="top"/>
    </xf>
    <xf numFmtId="0" fontId="16" fillId="3" borderId="3" xfId="1" applyFont="1" applyFill="1" applyBorder="1" applyAlignment="1">
      <alignment horizontal="center" vertical="top"/>
    </xf>
    <xf numFmtId="2" fontId="14" fillId="5" borderId="12" xfId="0" applyNumberFormat="1" applyFont="1" applyFill="1" applyBorder="1" applyAlignment="1">
      <alignment horizontal="right" wrapText="1"/>
    </xf>
    <xf numFmtId="0" fontId="16" fillId="5" borderId="3" xfId="1" applyFont="1" applyFill="1" applyBorder="1" applyAlignment="1">
      <alignment horizontal="center" vertical="top"/>
    </xf>
    <xf numFmtId="2" fontId="16" fillId="5" borderId="3" xfId="1" applyNumberFormat="1" applyFont="1" applyFill="1" applyBorder="1" applyAlignment="1">
      <alignment horizontal="center" vertical="top"/>
    </xf>
    <xf numFmtId="2" fontId="4" fillId="5" borderId="13" xfId="0" applyNumberFormat="1" applyFont="1" applyFill="1" applyBorder="1" applyAlignment="1">
      <alignment horizontal="right" wrapText="1"/>
    </xf>
    <xf numFmtId="2" fontId="4" fillId="5" borderId="12" xfId="0" applyNumberFormat="1" applyFont="1" applyFill="1" applyBorder="1" applyAlignment="1">
      <alignment horizontal="right" wrapText="1"/>
    </xf>
    <xf numFmtId="165" fontId="14" fillId="5" borderId="12" xfId="0" applyNumberFormat="1" applyFont="1" applyFill="1" applyBorder="1" applyAlignment="1">
      <alignment horizontal="right" wrapText="1"/>
    </xf>
    <xf numFmtId="2" fontId="4" fillId="5" borderId="12" xfId="0" applyNumberFormat="1" applyFont="1" applyFill="1" applyBorder="1" applyAlignment="1">
      <alignment horizontal="right" vertical="top"/>
    </xf>
    <xf numFmtId="166" fontId="4" fillId="5" borderId="12" xfId="0" applyNumberFormat="1" applyFont="1" applyFill="1" applyBorder="1" applyAlignment="1">
      <alignment horizontal="right" vertical="top"/>
    </xf>
    <xf numFmtId="0" fontId="1" fillId="5" borderId="0" xfId="0" applyFont="1" applyFill="1"/>
    <xf numFmtId="2" fontId="4" fillId="6" borderId="12" xfId="0" applyNumberFormat="1" applyFont="1" applyFill="1" applyBorder="1" applyAlignment="1">
      <alignment horizontal="right" wrapText="1"/>
    </xf>
    <xf numFmtId="2" fontId="19" fillId="0" borderId="12" xfId="0" applyNumberFormat="1" applyFont="1" applyBorder="1" applyAlignment="1">
      <alignment horizontal="right" wrapText="1"/>
    </xf>
    <xf numFmtId="0" fontId="16" fillId="6" borderId="3" xfId="1" applyFont="1" applyFill="1" applyBorder="1" applyAlignment="1">
      <alignment horizontal="center" vertical="top"/>
    </xf>
    <xf numFmtId="2" fontId="16" fillId="6" borderId="3" xfId="1" applyNumberFormat="1" applyFont="1" applyFill="1" applyBorder="1" applyAlignment="1">
      <alignment horizontal="center" vertical="top"/>
    </xf>
    <xf numFmtId="2" fontId="4" fillId="6" borderId="13" xfId="0" applyNumberFormat="1" applyFont="1" applyFill="1" applyBorder="1" applyAlignment="1">
      <alignment horizontal="right" wrapText="1"/>
    </xf>
    <xf numFmtId="2" fontId="14" fillId="6" borderId="12" xfId="0" applyNumberFormat="1" applyFont="1" applyFill="1" applyBorder="1" applyAlignment="1">
      <alignment horizontal="right" wrapText="1"/>
    </xf>
    <xf numFmtId="165" fontId="14" fillId="6" borderId="12" xfId="0" applyNumberFormat="1" applyFont="1" applyFill="1" applyBorder="1" applyAlignment="1">
      <alignment horizontal="right" wrapText="1"/>
    </xf>
    <xf numFmtId="2" fontId="4" fillId="6" borderId="12" xfId="0" applyNumberFormat="1" applyFont="1" applyFill="1" applyBorder="1" applyAlignment="1">
      <alignment horizontal="right" vertical="top"/>
    </xf>
    <xf numFmtId="166" fontId="4" fillId="6" borderId="12" xfId="0" applyNumberFormat="1" applyFont="1" applyFill="1" applyBorder="1" applyAlignment="1">
      <alignment horizontal="right" vertical="top"/>
    </xf>
    <xf numFmtId="0" fontId="1" fillId="6" borderId="0" xfId="0" applyFont="1" applyFill="1"/>
    <xf numFmtId="0" fontId="15" fillId="2" borderId="5" xfId="1" applyFill="1" applyBorder="1" applyAlignment="1">
      <alignment horizontal="center" wrapText="1"/>
    </xf>
    <xf numFmtId="167" fontId="16" fillId="0" borderId="2" xfId="1" applyNumberFormat="1" applyFont="1" applyBorder="1" applyAlignment="1">
      <alignment horizontal="center" vertical="top"/>
    </xf>
    <xf numFmtId="164" fontId="16" fillId="0" borderId="2" xfId="1" applyNumberFormat="1" applyFont="1" applyBorder="1" applyAlignment="1">
      <alignment horizontal="center" vertical="top"/>
    </xf>
    <xf numFmtId="0" fontId="16" fillId="0" borderId="2" xfId="1" applyFont="1" applyBorder="1" applyAlignment="1">
      <alignment vertical="top"/>
    </xf>
    <xf numFmtId="2" fontId="16" fillId="0" borderId="2" xfId="1" applyNumberFormat="1" applyFont="1" applyBorder="1" applyAlignment="1">
      <alignment horizontal="center" vertical="top" shrinkToFit="1"/>
    </xf>
    <xf numFmtId="2" fontId="16" fillId="0" borderId="6" xfId="1" applyNumberFormat="1" applyFont="1" applyBorder="1" applyAlignment="1">
      <alignment horizontal="center" vertical="top" shrinkToFit="1"/>
    </xf>
    <xf numFmtId="167" fontId="16" fillId="0" borderId="3" xfId="1" applyNumberFormat="1" applyFont="1" applyBorder="1" applyAlignment="1">
      <alignment horizontal="center" vertical="top"/>
    </xf>
    <xf numFmtId="164" fontId="16" fillId="0" borderId="3" xfId="1" applyNumberFormat="1" applyFont="1" applyBorder="1" applyAlignment="1">
      <alignment horizontal="center" vertical="top"/>
    </xf>
    <xf numFmtId="0" fontId="16" fillId="0" borderId="3" xfId="1" applyFont="1" applyBorder="1" applyAlignment="1">
      <alignment vertical="top"/>
    </xf>
    <xf numFmtId="2" fontId="16" fillId="0" borderId="3" xfId="1" applyNumberFormat="1" applyFont="1" applyBorder="1" applyAlignment="1">
      <alignment horizontal="center" vertical="top" shrinkToFit="1"/>
    </xf>
    <xf numFmtId="2" fontId="16" fillId="0" borderId="9" xfId="1" applyNumberFormat="1" applyFont="1" applyBorder="1" applyAlignment="1">
      <alignment horizontal="center" vertical="top" shrinkToFit="1"/>
    </xf>
    <xf numFmtId="167" fontId="16" fillId="4" borderId="3" xfId="1" applyNumberFormat="1" applyFont="1" applyFill="1" applyBorder="1" applyAlignment="1">
      <alignment horizontal="center" vertical="top"/>
    </xf>
    <xf numFmtId="164" fontId="16" fillId="4" borderId="3" xfId="1" applyNumberFormat="1" applyFont="1" applyFill="1" applyBorder="1" applyAlignment="1">
      <alignment horizontal="center" vertical="top"/>
    </xf>
    <xf numFmtId="0" fontId="16" fillId="4" borderId="3" xfId="1" applyFont="1" applyFill="1" applyBorder="1" applyAlignment="1">
      <alignment vertical="top"/>
    </xf>
    <xf numFmtId="2" fontId="16" fillId="4" borderId="3" xfId="1" applyNumberFormat="1" applyFont="1" applyFill="1" applyBorder="1" applyAlignment="1">
      <alignment horizontal="center" vertical="top" shrinkToFit="1"/>
    </xf>
    <xf numFmtId="2" fontId="16" fillId="4" borderId="9" xfId="1" applyNumberFormat="1" applyFont="1" applyFill="1" applyBorder="1" applyAlignment="1">
      <alignment horizontal="center" vertical="top" shrinkToFit="1"/>
    </xf>
    <xf numFmtId="167" fontId="16" fillId="0" borderId="10" xfId="1" applyNumberFormat="1" applyFont="1" applyBorder="1" applyAlignment="1">
      <alignment horizontal="center" vertical="top"/>
    </xf>
    <xf numFmtId="164" fontId="16" fillId="0" borderId="10" xfId="1" applyNumberFormat="1" applyFont="1" applyBorder="1" applyAlignment="1">
      <alignment horizontal="center" vertical="top"/>
    </xf>
    <xf numFmtId="0" fontId="16" fillId="0" borderId="10" xfId="1" applyFont="1" applyBorder="1" applyAlignment="1">
      <alignment vertical="top"/>
    </xf>
    <xf numFmtId="2" fontId="16" fillId="0" borderId="10" xfId="1" applyNumberFormat="1" applyFont="1" applyBorder="1" applyAlignment="1">
      <alignment horizontal="center" vertical="top" shrinkToFit="1"/>
    </xf>
    <xf numFmtId="2" fontId="16" fillId="0" borderId="8" xfId="1" applyNumberFormat="1" applyFont="1" applyBorder="1" applyAlignment="1">
      <alignment horizontal="center" vertical="top" shrinkToFit="1"/>
    </xf>
    <xf numFmtId="0" fontId="18" fillId="3" borderId="3" xfId="1" applyFont="1" applyFill="1" applyBorder="1" applyAlignment="1">
      <alignment horizontal="center" vertical="top"/>
    </xf>
    <xf numFmtId="2" fontId="18" fillId="3" borderId="3" xfId="1" applyNumberFormat="1" applyFont="1" applyFill="1" applyBorder="1" applyAlignment="1">
      <alignment horizontal="center" vertical="top"/>
    </xf>
    <xf numFmtId="2" fontId="19" fillId="3" borderId="13" xfId="0" applyNumberFormat="1" applyFont="1" applyFill="1" applyBorder="1" applyAlignment="1">
      <alignment horizontal="right" wrapText="1"/>
    </xf>
    <xf numFmtId="2" fontId="19" fillId="3" borderId="12" xfId="0" applyNumberFormat="1" applyFont="1" applyFill="1" applyBorder="1" applyAlignment="1">
      <alignment horizontal="right" wrapText="1"/>
    </xf>
    <xf numFmtId="2" fontId="18" fillId="3" borderId="12" xfId="0" applyNumberFormat="1" applyFont="1" applyFill="1" applyBorder="1" applyAlignment="1">
      <alignment horizontal="right" wrapText="1"/>
    </xf>
    <xf numFmtId="2" fontId="19" fillId="3" borderId="12" xfId="0" applyNumberFormat="1" applyFont="1" applyFill="1" applyBorder="1" applyAlignment="1">
      <alignment horizontal="right" vertical="top"/>
    </xf>
    <xf numFmtId="166" fontId="19" fillId="3" borderId="12" xfId="0" applyNumberFormat="1" applyFont="1" applyFill="1" applyBorder="1" applyAlignment="1">
      <alignment horizontal="right" vertical="top"/>
    </xf>
    <xf numFmtId="0" fontId="20" fillId="3" borderId="0" xfId="0" applyFont="1" applyFill="1"/>
    <xf numFmtId="2" fontId="19" fillId="0" borderId="13" xfId="0" applyNumberFormat="1" applyFont="1" applyBorder="1" applyAlignment="1">
      <alignment horizontal="right" wrapText="1"/>
    </xf>
    <xf numFmtId="2" fontId="18" fillId="0" borderId="12" xfId="0" applyNumberFormat="1" applyFont="1" applyBorder="1" applyAlignment="1">
      <alignment horizontal="right" wrapText="1"/>
    </xf>
    <xf numFmtId="2" fontId="19" fillId="0" borderId="12" xfId="0" applyNumberFormat="1" applyFont="1" applyBorder="1" applyAlignment="1">
      <alignment horizontal="right" vertical="top"/>
    </xf>
    <xf numFmtId="166" fontId="19" fillId="0" borderId="12" xfId="0" applyNumberFormat="1" applyFont="1" applyBorder="1" applyAlignment="1">
      <alignment horizontal="right" vertical="top"/>
    </xf>
    <xf numFmtId="0" fontId="18" fillId="5" borderId="3" xfId="1" applyFont="1" applyFill="1" applyBorder="1" applyAlignment="1">
      <alignment horizontal="center" vertical="top"/>
    </xf>
    <xf numFmtId="2" fontId="18" fillId="5" borderId="3" xfId="1" applyNumberFormat="1" applyFont="1" applyFill="1" applyBorder="1" applyAlignment="1">
      <alignment horizontal="center" vertical="top"/>
    </xf>
    <xf numFmtId="2" fontId="19" fillId="5" borderId="13" xfId="0" applyNumberFormat="1" applyFont="1" applyFill="1" applyBorder="1" applyAlignment="1">
      <alignment horizontal="right" wrapText="1"/>
    </xf>
    <xf numFmtId="2" fontId="19" fillId="5" borderId="12" xfId="0" applyNumberFormat="1" applyFont="1" applyFill="1" applyBorder="1" applyAlignment="1">
      <alignment horizontal="right" wrapText="1"/>
    </xf>
    <xf numFmtId="2" fontId="18" fillId="5" borderId="12" xfId="0" applyNumberFormat="1" applyFont="1" applyFill="1" applyBorder="1" applyAlignment="1">
      <alignment horizontal="right" wrapText="1"/>
    </xf>
    <xf numFmtId="2" fontId="19" fillId="5" borderId="12" xfId="0" applyNumberFormat="1" applyFont="1" applyFill="1" applyBorder="1" applyAlignment="1">
      <alignment horizontal="right" vertical="top"/>
    </xf>
    <xf numFmtId="166" fontId="19" fillId="5" borderId="12" xfId="0" applyNumberFormat="1" applyFont="1" applyFill="1" applyBorder="1" applyAlignment="1">
      <alignment horizontal="right" vertical="top"/>
    </xf>
    <xf numFmtId="0" fontId="20" fillId="5" borderId="0" xfId="0" applyFont="1" applyFill="1"/>
    <xf numFmtId="0" fontId="14" fillId="2" borderId="12" xfId="0" applyFont="1" applyFill="1" applyBorder="1" applyAlignment="1">
      <alignment horizontal="right" wrapText="1"/>
    </xf>
    <xf numFmtId="165" fontId="4" fillId="3" borderId="12" xfId="0" applyNumberFormat="1" applyFont="1" applyFill="1" applyBorder="1" applyAlignment="1">
      <alignment horizontal="right" wrapText="1"/>
    </xf>
    <xf numFmtId="165" fontId="4" fillId="0" borderId="12" xfId="0" applyNumberFormat="1" applyFont="1" applyBorder="1" applyAlignment="1">
      <alignment horizontal="right" wrapText="1"/>
    </xf>
    <xf numFmtId="165" fontId="4" fillId="5" borderId="12" xfId="0" applyNumberFormat="1" applyFont="1" applyFill="1" applyBorder="1" applyAlignment="1">
      <alignment horizontal="right" wrapText="1"/>
    </xf>
    <xf numFmtId="165" fontId="19" fillId="0" borderId="12" xfId="0" applyNumberFormat="1" applyFont="1" applyBorder="1" applyAlignment="1">
      <alignment horizontal="right" wrapText="1"/>
    </xf>
    <xf numFmtId="0" fontId="14" fillId="0" borderId="3" xfId="1" applyFont="1" applyBorder="1" applyAlignment="1">
      <alignment horizontal="center" vertical="top"/>
    </xf>
    <xf numFmtId="2" fontId="14" fillId="0" borderId="3" xfId="1" applyNumberFormat="1" applyFont="1" applyBorder="1" applyAlignment="1">
      <alignment horizontal="center" vertical="top"/>
    </xf>
    <xf numFmtId="0" fontId="14" fillId="3" borderId="3" xfId="1" applyFont="1" applyFill="1" applyBorder="1" applyAlignment="1">
      <alignment horizontal="center" vertical="top"/>
    </xf>
    <xf numFmtId="2" fontId="14" fillId="3" borderId="3" xfId="1" applyNumberFormat="1" applyFont="1" applyFill="1" applyBorder="1" applyAlignment="1">
      <alignment horizontal="center" vertical="top"/>
    </xf>
    <xf numFmtId="0" fontId="14" fillId="5" borderId="3" xfId="1" applyFont="1" applyFill="1" applyBorder="1" applyAlignment="1">
      <alignment horizontal="center" vertical="top"/>
    </xf>
    <xf numFmtId="2" fontId="14" fillId="5" borderId="3" xfId="1" applyNumberFormat="1" applyFont="1" applyFill="1" applyBorder="1" applyAlignment="1">
      <alignment horizontal="center" vertical="top"/>
    </xf>
    <xf numFmtId="165" fontId="19" fillId="3" borderId="12" xfId="0" applyNumberFormat="1" applyFont="1" applyFill="1" applyBorder="1" applyAlignment="1">
      <alignment horizontal="right" wrapText="1"/>
    </xf>
    <xf numFmtId="165" fontId="19" fillId="5" borderId="12" xfId="0" applyNumberFormat="1" applyFont="1" applyFill="1" applyBorder="1" applyAlignment="1">
      <alignment horizontal="right" wrapText="1"/>
    </xf>
    <xf numFmtId="0" fontId="18" fillId="4" borderId="3" xfId="1" applyFont="1" applyFill="1" applyBorder="1" applyAlignment="1">
      <alignment horizontal="center" vertical="top"/>
    </xf>
    <xf numFmtId="0" fontId="18" fillId="0" borderId="10" xfId="1" applyFont="1" applyBorder="1" applyAlignment="1">
      <alignment horizontal="center" vertical="top"/>
    </xf>
    <xf numFmtId="0" fontId="14" fillId="4" borderId="3" xfId="1" applyFont="1" applyFill="1" applyBorder="1" applyAlignment="1">
      <alignment horizontal="center" vertical="top"/>
    </xf>
    <xf numFmtId="2" fontId="14" fillId="4" borderId="3" xfId="1" applyNumberFormat="1" applyFont="1" applyFill="1" applyBorder="1" applyAlignment="1">
      <alignment horizontal="center" vertical="top"/>
    </xf>
    <xf numFmtId="2" fontId="14" fillId="4" borderId="10" xfId="1" applyNumberFormat="1" applyFont="1" applyFill="1" applyBorder="1" applyAlignment="1">
      <alignment horizontal="center" vertical="top"/>
    </xf>
    <xf numFmtId="0" fontId="14" fillId="4" borderId="10" xfId="1" applyFont="1" applyFill="1" applyBorder="1" applyAlignment="1">
      <alignment horizontal="center" vertical="top"/>
    </xf>
    <xf numFmtId="0" fontId="16" fillId="5" borderId="10" xfId="1" applyFont="1" applyFill="1" applyBorder="1" applyAlignment="1">
      <alignment horizontal="center" vertical="top"/>
    </xf>
    <xf numFmtId="2" fontId="16" fillId="5" borderId="10" xfId="1" applyNumberFormat="1" applyFont="1" applyFill="1" applyBorder="1" applyAlignment="1">
      <alignment horizontal="center" vertical="top"/>
    </xf>
    <xf numFmtId="0" fontId="16" fillId="3" borderId="10" xfId="1" applyFont="1" applyFill="1" applyBorder="1" applyAlignment="1">
      <alignment horizontal="center" vertical="top"/>
    </xf>
    <xf numFmtId="2" fontId="16" fillId="3" borderId="10" xfId="1" applyNumberFormat="1" applyFont="1" applyFill="1" applyBorder="1" applyAlignment="1">
      <alignment horizontal="center" vertical="top"/>
    </xf>
    <xf numFmtId="14" fontId="1" fillId="0" borderId="0" xfId="0" applyNumberFormat="1" applyFont="1"/>
    <xf numFmtId="0" fontId="4" fillId="2" borderId="0" xfId="0" applyFont="1" applyFill="1" applyAlignment="1">
      <alignment horizontal="right" wrapText="1"/>
    </xf>
    <xf numFmtId="0" fontId="22" fillId="0" borderId="0" xfId="0" applyFont="1"/>
    <xf numFmtId="0" fontId="23" fillId="4" borderId="3" xfId="1" applyFont="1" applyFill="1" applyBorder="1" applyAlignment="1">
      <alignment horizontal="center" vertical="top"/>
    </xf>
    <xf numFmtId="2" fontId="23" fillId="4" borderId="3" xfId="1" applyNumberFormat="1" applyFont="1" applyFill="1" applyBorder="1" applyAlignment="1">
      <alignment horizontal="center" vertical="top"/>
    </xf>
    <xf numFmtId="14" fontId="0" fillId="0" borderId="0" xfId="0" applyNumberFormat="1"/>
    <xf numFmtId="0" fontId="0" fillId="7" borderId="0" xfId="0" applyFill="1"/>
    <xf numFmtId="2" fontId="4" fillId="3" borderId="0" xfId="0" applyNumberFormat="1" applyFont="1" applyFill="1" applyAlignment="1">
      <alignment horizontal="right" wrapText="1"/>
    </xf>
    <xf numFmtId="0" fontId="0" fillId="3" borderId="0" xfId="0" applyFill="1"/>
    <xf numFmtId="14" fontId="1" fillId="3" borderId="0" xfId="0" applyNumberFormat="1" applyFont="1" applyFill="1"/>
    <xf numFmtId="2" fontId="1" fillId="0" borderId="0" xfId="0" applyNumberFormat="1" applyFont="1"/>
    <xf numFmtId="2" fontId="4" fillId="8" borderId="0" xfId="0" applyNumberFormat="1" applyFont="1" applyFill="1" applyAlignment="1">
      <alignment horizontal="right" wrapText="1"/>
    </xf>
  </cellXfs>
  <cellStyles count="2">
    <cellStyle name="Normal" xfId="0" builtinId="0"/>
    <cellStyle name="Normal 2" xfId="1" xr:uid="{00000000-0005-0000-0000-000001000000}"/>
  </cellStyles>
  <dxfs count="9">
    <dxf>
      <font>
        <b val="0"/>
        <i val="0"/>
        <color indexed="9"/>
      </font>
    </dxf>
    <dxf>
      <font>
        <condense val="0"/>
        <extend val="0"/>
        <color indexed="9"/>
      </font>
    </dxf>
    <dxf>
      <font>
        <color theme="0"/>
      </font>
    </dxf>
    <dxf>
      <font>
        <color rgb="FFCCFFCC"/>
        <name val="Cambria"/>
        <scheme val="none"/>
      </font>
    </dxf>
    <dxf>
      <font>
        <b val="0"/>
        <i/>
        <color rgb="FFCCFFCC"/>
        <name val="Cambria"/>
        <scheme val="none"/>
      </font>
    </dxf>
    <dxf>
      <font>
        <b val="0"/>
        <i/>
        <condense val="0"/>
        <extend val="0"/>
        <color indexed="9"/>
      </font>
    </dxf>
    <dxf>
      <font>
        <color rgb="FFCCFFCC"/>
      </font>
    </dxf>
    <dxf>
      <font>
        <b val="0"/>
        <i/>
        <condense val="0"/>
        <extend val="0"/>
        <color indexed="9"/>
      </font>
    </dxf>
    <dxf>
      <font>
        <b val="0"/>
        <i/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Carbon calibration</a:t>
            </a:r>
          </a:p>
        </c:rich>
      </c:tx>
      <c:layout>
        <c:manualLayout>
          <c:xMode val="edge"/>
          <c:yMode val="edge"/>
          <c:x val="0.532180293247275"/>
          <c:y val="1.596844983622206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63361858130713"/>
          <c:y val="6.7726754670473538E-2"/>
          <c:w val="0.70737007922308892"/>
          <c:h val="0.72816131253172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10253974849537283"/>
                  <c:y val="-5.4829760891589863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('Calibration-run 10'!$D$15,'Calibration-run 10'!$D$17:$D$18)</c:f>
              <c:numCache>
                <c:formatCode>0.00</c:formatCode>
                <c:ptCount val="3"/>
                <c:pt idx="0">
                  <c:v>-13.328727805118628</c:v>
                </c:pt>
                <c:pt idx="1">
                  <c:v>-5.9418764202393959</c:v>
                </c:pt>
                <c:pt idx="2">
                  <c:v>-20.017551483046191</c:v>
                </c:pt>
              </c:numCache>
            </c:numRef>
          </c:xVal>
          <c:yVal>
            <c:numRef>
              <c:f>('Calibration-run 10'!$C$15,'Calibration-run 10'!$C$17:$C$18)</c:f>
              <c:numCache>
                <c:formatCode>General</c:formatCode>
                <c:ptCount val="3"/>
                <c:pt idx="0">
                  <c:v>-18.3</c:v>
                </c:pt>
                <c:pt idx="1">
                  <c:v>-10.8</c:v>
                </c:pt>
                <c:pt idx="2">
                  <c:v>-24.91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36-4BD5-9DC3-83858D904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109256"/>
        <c:axId val="236110040"/>
      </c:scatterChart>
      <c:valAx>
        <c:axId val="236109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observed 13C</a:t>
                </a:r>
              </a:p>
            </c:rich>
          </c:tx>
          <c:layout>
            <c:manualLayout>
              <c:xMode val="edge"/>
              <c:yMode val="edge"/>
              <c:x val="0.3834342485508318"/>
              <c:y val="0.9006205707629215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0040"/>
        <c:crossesAt val="-30"/>
        <c:crossBetween val="midCat"/>
      </c:valAx>
      <c:valAx>
        <c:axId val="2361100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Actual d13C</a:t>
                </a:r>
              </a:p>
            </c:rich>
          </c:tx>
          <c:layout>
            <c:manualLayout>
              <c:xMode val="edge"/>
              <c:yMode val="edge"/>
              <c:x val="1.6527338299604882E-2"/>
              <c:y val="0.274657337183018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09256"/>
        <c:crossesAt val="-40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%C calibration</a:t>
            </a:r>
          </a:p>
        </c:rich>
      </c:tx>
      <c:layout>
        <c:manualLayout>
          <c:xMode val="edge"/>
          <c:yMode val="edge"/>
          <c:x val="0.38643060734645129"/>
          <c:y val="3.8141536638700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166205906304943"/>
          <c:y val="0.16660721449119567"/>
          <c:w val="0.83713035556410165"/>
          <c:h val="0.7122695556183570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-0.38705069743050746"/>
                  <c:y val="0.14038545547499007"/>
                </c:manualLayout>
              </c:layout>
              <c:numFmt formatCode="#,##0.000000" sourceLinked="0"/>
            </c:trendlineLbl>
          </c:trendline>
          <c:xVal>
            <c:numRef>
              <c:f>'Calibration-run 10'!$F$86:$F$96</c:f>
              <c:numCache>
                <c:formatCode>0.00</c:formatCode>
                <c:ptCount val="11"/>
                <c:pt idx="0">
                  <c:v>1.266823</c:v>
                </c:pt>
                <c:pt idx="1">
                  <c:v>1.487370375</c:v>
                </c:pt>
                <c:pt idx="2">
                  <c:v>10.538133999999999</c:v>
                </c:pt>
                <c:pt idx="3">
                  <c:v>6.1699190000000002</c:v>
                </c:pt>
                <c:pt idx="4">
                  <c:v>8.590992</c:v>
                </c:pt>
                <c:pt idx="5">
                  <c:v>11.023918</c:v>
                </c:pt>
                <c:pt idx="6">
                  <c:v>7.6901409999999997</c:v>
                </c:pt>
                <c:pt idx="7">
                  <c:v>8.5853439999999992</c:v>
                </c:pt>
                <c:pt idx="8">
                  <c:v>6.2759945000000004</c:v>
                </c:pt>
                <c:pt idx="9">
                  <c:v>8.7526779999999995</c:v>
                </c:pt>
              </c:numCache>
            </c:numRef>
          </c:xVal>
          <c:yVal>
            <c:numRef>
              <c:f>'Calibration-run 10'!$M$86:$M$96</c:f>
              <c:numCache>
                <c:formatCode>0.00</c:formatCode>
                <c:ptCount val="11"/>
                <c:pt idx="0">
                  <c:v>7.3990799999999995E-2</c:v>
                </c:pt>
                <c:pt idx="1">
                  <c:v>8.7315839999999992E-2</c:v>
                </c:pt>
                <c:pt idx="2">
                  <c:v>0.58312900000000001</c:v>
                </c:pt>
                <c:pt idx="3">
                  <c:v>0.33755400000000002</c:v>
                </c:pt>
                <c:pt idx="4">
                  <c:v>0.46971800000000002</c:v>
                </c:pt>
                <c:pt idx="5">
                  <c:v>0.60188200000000003</c:v>
                </c:pt>
                <c:pt idx="6">
                  <c:v>0.41747750000000006</c:v>
                </c:pt>
                <c:pt idx="7">
                  <c:v>0.46525300000000003</c:v>
                </c:pt>
                <c:pt idx="8">
                  <c:v>0.33934000000000003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23-4D28-A067-7862C1EAF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110432"/>
        <c:axId val="236112000"/>
      </c:scatterChart>
      <c:valAx>
        <c:axId val="236110432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2000"/>
        <c:crosses val="autoZero"/>
        <c:crossBetween val="midCat"/>
      </c:valAx>
      <c:valAx>
        <c:axId val="236112000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043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d15N</a:t>
            </a:r>
            <a:r>
              <a:rPr lang="en-US" baseline="0"/>
              <a:t> calibration</a:t>
            </a:r>
            <a:endParaRPr lang="en-US"/>
          </a:p>
        </c:rich>
      </c:tx>
      <c:layout>
        <c:manualLayout>
          <c:xMode val="edge"/>
          <c:yMode val="edge"/>
          <c:x val="0.532180293247275"/>
          <c:y val="1.596844983622206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63361858130713"/>
          <c:y val="6.7726754670473538E-2"/>
          <c:w val="0.70737007922308892"/>
          <c:h val="0.72816131253172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10253974849537283"/>
                  <c:y val="-5.4829760891589863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'Calibration-run 10'!$F$22:$F$23</c:f>
              <c:numCache>
                <c:formatCode>0.00</c:formatCode>
                <c:ptCount val="2"/>
                <c:pt idx="0">
                  <c:v>1.9622029084248593</c:v>
                </c:pt>
                <c:pt idx="1">
                  <c:v>21.791841996977148</c:v>
                </c:pt>
              </c:numCache>
            </c:numRef>
          </c:xVal>
          <c:yVal>
            <c:numRef>
              <c:f>'Calibration-run 10'!$E$22:$E$23</c:f>
              <c:numCache>
                <c:formatCode>General</c:formatCode>
                <c:ptCount val="2"/>
                <c:pt idx="0">
                  <c:v>0.4</c:v>
                </c:pt>
                <c:pt idx="1">
                  <c:v>20.3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FB-4C80-9126-575786AD8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480496"/>
        <c:axId val="374480888"/>
      </c:scatterChart>
      <c:valAx>
        <c:axId val="374480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observed 15N</a:t>
                </a:r>
              </a:p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rich>
          </c:tx>
          <c:layout>
            <c:manualLayout>
              <c:xMode val="edge"/>
              <c:yMode val="edge"/>
              <c:x val="0.3834342485508318"/>
              <c:y val="0.9006205707629215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4480888"/>
        <c:crossesAt val="-30"/>
        <c:crossBetween val="midCat"/>
      </c:valAx>
      <c:valAx>
        <c:axId val="3744808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Actual d15N</a:t>
                </a:r>
              </a:p>
            </c:rich>
          </c:tx>
          <c:layout>
            <c:manualLayout>
              <c:xMode val="edge"/>
              <c:yMode val="edge"/>
              <c:x val="1.6527338299604882E-2"/>
              <c:y val="0.274657337183018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4480496"/>
        <c:crossesAt val="-40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%N calibration</a:t>
            </a:r>
          </a:p>
        </c:rich>
      </c:tx>
      <c:layout>
        <c:manualLayout>
          <c:xMode val="edge"/>
          <c:yMode val="edge"/>
          <c:x val="0.38643060734645129"/>
          <c:y val="3.8141536638700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166205906304943"/>
          <c:y val="0.16660721449119567"/>
          <c:w val="0.83713035556410165"/>
          <c:h val="0.7122695556183570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-0.4239323643534712"/>
                  <c:y val="0.16005158228270677"/>
                </c:manualLayout>
              </c:layout>
              <c:numFmt formatCode="#,##0.000000" sourceLinked="0"/>
            </c:trendlineLbl>
          </c:trendline>
          <c:xVal>
            <c:numRef>
              <c:f>'Calibration-run 10'!$D$88:$D$95</c:f>
              <c:numCache>
                <c:formatCode>0.00</c:formatCode>
                <c:ptCount val="8"/>
                <c:pt idx="0">
                  <c:v>1.6686436250000001</c:v>
                </c:pt>
                <c:pt idx="1">
                  <c:v>0.97795662500000002</c:v>
                </c:pt>
                <c:pt idx="2">
                  <c:v>1.353305</c:v>
                </c:pt>
                <c:pt idx="3">
                  <c:v>1.705772625</c:v>
                </c:pt>
                <c:pt idx="4">
                  <c:v>1.166141375</c:v>
                </c:pt>
                <c:pt idx="5">
                  <c:v>1.21649075</c:v>
                </c:pt>
                <c:pt idx="6">
                  <c:v>0.96555768750000004</c:v>
                </c:pt>
                <c:pt idx="7">
                  <c:v>1.5560372499999999</c:v>
                </c:pt>
              </c:numCache>
            </c:numRef>
          </c:xVal>
          <c:yVal>
            <c:numRef>
              <c:f>'Calibration-run 10'!$Q$88:$Q$95</c:f>
              <c:numCache>
                <c:formatCode>0.00</c:formatCode>
                <c:ptCount val="8"/>
                <c:pt idx="0">
                  <c:v>3.6959800000000001E-2</c:v>
                </c:pt>
                <c:pt idx="1">
                  <c:v>2.1394800000000002E-2</c:v>
                </c:pt>
                <c:pt idx="2">
                  <c:v>2.9771600000000002E-2</c:v>
                </c:pt>
                <c:pt idx="3">
                  <c:v>3.8148400000000006E-2</c:v>
                </c:pt>
                <c:pt idx="4">
                  <c:v>2.6460500000000005E-2</c:v>
                </c:pt>
                <c:pt idx="5">
                  <c:v>2.9488600000000004E-2</c:v>
                </c:pt>
                <c:pt idx="6">
                  <c:v>2.1508000000000003E-2</c:v>
                </c:pt>
                <c:pt idx="7">
                  <c:v>3.2035599999999997E-2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64-42C0-9CE5-797689841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110432"/>
        <c:axId val="236112000"/>
      </c:scatterChart>
      <c:valAx>
        <c:axId val="236110432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2000"/>
        <c:crosses val="autoZero"/>
        <c:crossBetween val="midCat"/>
      </c:valAx>
      <c:valAx>
        <c:axId val="236112000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043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Carbon calibration</a:t>
            </a:r>
          </a:p>
        </c:rich>
      </c:tx>
      <c:layout>
        <c:manualLayout>
          <c:xMode val="edge"/>
          <c:yMode val="edge"/>
          <c:x val="0.532180293247275"/>
          <c:y val="1.596844983622206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63361858130713"/>
          <c:y val="6.7726754670473538E-2"/>
          <c:w val="0.70737007922308892"/>
          <c:h val="0.72816131253172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10253974849537283"/>
                  <c:y val="-5.4829760891589863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('Calibration-run 9'!$D$15,'Calibration-run 9'!$D$17:$D$18)</c:f>
              <c:numCache>
                <c:formatCode>0.00</c:formatCode>
                <c:ptCount val="3"/>
                <c:pt idx="0">
                  <c:v>-13.625451692950246</c:v>
                </c:pt>
                <c:pt idx="1">
                  <c:v>-6.0999107418069549</c:v>
                </c:pt>
                <c:pt idx="2">
                  <c:v>-20.177298995669766</c:v>
                </c:pt>
              </c:numCache>
            </c:numRef>
          </c:xVal>
          <c:yVal>
            <c:numRef>
              <c:f>('Calibration-run 9'!$C$15,'Calibration-run 9'!$C$17:$C$18)</c:f>
              <c:numCache>
                <c:formatCode>General</c:formatCode>
                <c:ptCount val="3"/>
                <c:pt idx="0">
                  <c:v>-18.3</c:v>
                </c:pt>
                <c:pt idx="1">
                  <c:v>-10.8</c:v>
                </c:pt>
                <c:pt idx="2">
                  <c:v>-24.91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93-4747-B194-725B2D291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109256"/>
        <c:axId val="236110040"/>
      </c:scatterChart>
      <c:valAx>
        <c:axId val="236109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observed 13C</a:t>
                </a:r>
              </a:p>
            </c:rich>
          </c:tx>
          <c:layout>
            <c:manualLayout>
              <c:xMode val="edge"/>
              <c:yMode val="edge"/>
              <c:x val="0.3834342485508318"/>
              <c:y val="0.9006205707629215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0040"/>
        <c:crossesAt val="-30"/>
        <c:crossBetween val="midCat"/>
      </c:valAx>
      <c:valAx>
        <c:axId val="2361100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Actual d13C</a:t>
                </a:r>
              </a:p>
            </c:rich>
          </c:tx>
          <c:layout>
            <c:manualLayout>
              <c:xMode val="edge"/>
              <c:yMode val="edge"/>
              <c:x val="1.6527338299604882E-2"/>
              <c:y val="0.274657337183018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09256"/>
        <c:crossesAt val="-40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%C calibration</a:t>
            </a:r>
          </a:p>
        </c:rich>
      </c:tx>
      <c:layout>
        <c:manualLayout>
          <c:xMode val="edge"/>
          <c:yMode val="edge"/>
          <c:x val="0.38643060734645129"/>
          <c:y val="3.8141536638700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166205906304943"/>
          <c:y val="0.16660721449119567"/>
          <c:w val="0.83713035556410165"/>
          <c:h val="0.7122695556183570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-0.38705069743050746"/>
                  <c:y val="0.14038545547499007"/>
                </c:manualLayout>
              </c:layout>
              <c:numFmt formatCode="#,##0.000000" sourceLinked="0"/>
            </c:trendlineLbl>
          </c:trendline>
          <c:xVal>
            <c:numRef>
              <c:f>'Calibration-run 9'!$F$86:$F$96</c:f>
              <c:numCache>
                <c:formatCode>0.00</c:formatCode>
                <c:ptCount val="11"/>
                <c:pt idx="0">
                  <c:v>1.11417575</c:v>
                </c:pt>
                <c:pt idx="1">
                  <c:v>1.2440310000000001</c:v>
                </c:pt>
                <c:pt idx="2">
                  <c:v>0.7181570625</c:v>
                </c:pt>
                <c:pt idx="3">
                  <c:v>7.7812425000000003</c:v>
                </c:pt>
                <c:pt idx="4">
                  <c:v>6.2339444999999998</c:v>
                </c:pt>
                <c:pt idx="5">
                  <c:v>9.677937</c:v>
                </c:pt>
                <c:pt idx="6">
                  <c:v>8.3017620000000001</c:v>
                </c:pt>
                <c:pt idx="7">
                  <c:v>7.5825459999999998</c:v>
                </c:pt>
                <c:pt idx="8">
                  <c:v>9.6418379999999999</c:v>
                </c:pt>
                <c:pt idx="9">
                  <c:v>10.146818</c:v>
                </c:pt>
                <c:pt idx="10">
                  <c:v>8.4165299999999998</c:v>
                </c:pt>
              </c:numCache>
            </c:numRef>
          </c:xVal>
          <c:yVal>
            <c:numRef>
              <c:f>'Calibration-run 9'!$M$86:$M$96</c:f>
              <c:numCache>
                <c:formatCode>0.00</c:formatCode>
                <c:ptCount val="11"/>
                <c:pt idx="0">
                  <c:v>6.0096599999999993E-2</c:v>
                </c:pt>
                <c:pt idx="1">
                  <c:v>7.1245439999999993E-2</c:v>
                </c:pt>
                <c:pt idx="2">
                  <c:v>4.0142519999999994E-2</c:v>
                </c:pt>
                <c:pt idx="3">
                  <c:v>0.43355149999999998</c:v>
                </c:pt>
                <c:pt idx="4">
                  <c:v>0.34559100000000004</c:v>
                </c:pt>
                <c:pt idx="5">
                  <c:v>0.53312099999999996</c:v>
                </c:pt>
                <c:pt idx="6">
                  <c:v>0.46034149999999996</c:v>
                </c:pt>
                <c:pt idx="7">
                  <c:v>0.41524500000000003</c:v>
                </c:pt>
                <c:pt idx="8">
                  <c:v>0.53624650000000007</c:v>
                </c:pt>
                <c:pt idx="9">
                  <c:v>0.54830199999999996</c:v>
                </c:pt>
                <c:pt idx="10">
                  <c:v>0.44739299999999999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E8-484C-9302-E7ED8F56CB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110432"/>
        <c:axId val="236112000"/>
      </c:scatterChart>
      <c:valAx>
        <c:axId val="236110432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2000"/>
        <c:crosses val="autoZero"/>
        <c:crossBetween val="midCat"/>
      </c:valAx>
      <c:valAx>
        <c:axId val="236112000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043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d15N</a:t>
            </a:r>
            <a:r>
              <a:rPr lang="en-US" baseline="0"/>
              <a:t> calibration</a:t>
            </a:r>
            <a:endParaRPr lang="en-US"/>
          </a:p>
        </c:rich>
      </c:tx>
      <c:layout>
        <c:manualLayout>
          <c:xMode val="edge"/>
          <c:yMode val="edge"/>
          <c:x val="0.532180293247275"/>
          <c:y val="1.596844983622206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63361858130713"/>
          <c:y val="6.7726754670473538E-2"/>
          <c:w val="0.70737007922308892"/>
          <c:h val="0.72816131253172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10253974849537283"/>
                  <c:y val="-5.4829760891589863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'Calibration-run 9'!$F$22:$F$23</c:f>
              <c:numCache>
                <c:formatCode>0.00</c:formatCode>
                <c:ptCount val="2"/>
              </c:numCache>
            </c:numRef>
          </c:xVal>
          <c:yVal>
            <c:numRef>
              <c:f>'Calibration-run 9'!$E$22:$E$23</c:f>
              <c:numCache>
                <c:formatCode>General</c:formatCode>
                <c:ptCount val="2"/>
                <c:pt idx="0">
                  <c:v>0.4</c:v>
                </c:pt>
                <c:pt idx="1">
                  <c:v>20.3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03-41CD-8757-72D56814CA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480496"/>
        <c:axId val="374480888"/>
      </c:scatterChart>
      <c:valAx>
        <c:axId val="374480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observed 15N</a:t>
                </a:r>
              </a:p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rich>
          </c:tx>
          <c:layout>
            <c:manualLayout>
              <c:xMode val="edge"/>
              <c:yMode val="edge"/>
              <c:x val="0.3834342485508318"/>
              <c:y val="0.9006205707629215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4480888"/>
        <c:crossesAt val="-30"/>
        <c:crossBetween val="midCat"/>
      </c:valAx>
      <c:valAx>
        <c:axId val="3744808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Actual d15N</a:t>
                </a:r>
              </a:p>
            </c:rich>
          </c:tx>
          <c:layout>
            <c:manualLayout>
              <c:xMode val="edge"/>
              <c:yMode val="edge"/>
              <c:x val="1.6527338299604882E-2"/>
              <c:y val="0.274657337183018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4480496"/>
        <c:crossesAt val="-40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%N calibration</a:t>
            </a:r>
          </a:p>
        </c:rich>
      </c:tx>
      <c:layout>
        <c:manualLayout>
          <c:xMode val="edge"/>
          <c:yMode val="edge"/>
          <c:x val="0.38643060734645129"/>
          <c:y val="3.8141536638700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166205906304943"/>
          <c:y val="0.16660721449119567"/>
          <c:w val="0.83713035556410165"/>
          <c:h val="0.7122695556183570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-0.4239323643534712"/>
                  <c:y val="0.16005158228270677"/>
                </c:manualLayout>
              </c:layout>
              <c:numFmt formatCode="#,##0.000000" sourceLinked="0"/>
            </c:trendlineLbl>
          </c:trendline>
          <c:xVal>
            <c:numRef>
              <c:f>'Calibration-run 9'!$D$89:$D$96</c:f>
              <c:numCache>
                <c:formatCode>0.00</c:formatCode>
                <c:ptCount val="8"/>
                <c:pt idx="0">
                  <c:v>1.1766516250000001</c:v>
                </c:pt>
                <c:pt idx="1">
                  <c:v>0.94444075000000005</c:v>
                </c:pt>
                <c:pt idx="2">
                  <c:v>1.4920009999999999</c:v>
                </c:pt>
                <c:pt idx="3">
                  <c:v>1.240726</c:v>
                </c:pt>
                <c:pt idx="4">
                  <c:v>1.12672225</c:v>
                </c:pt>
                <c:pt idx="5">
                  <c:v>1.5931247500000001</c:v>
                </c:pt>
                <c:pt idx="6">
                  <c:v>1.5565523750000001</c:v>
                </c:pt>
                <c:pt idx="7">
                  <c:v>1.2940704999999999</c:v>
                </c:pt>
              </c:numCache>
            </c:numRef>
          </c:xVal>
          <c:yVal>
            <c:numRef>
              <c:f>'Calibration-run 9'!$Q$89:$Q$96</c:f>
              <c:numCache>
                <c:formatCode>0.00</c:formatCode>
                <c:ptCount val="8"/>
                <c:pt idx="0">
                  <c:v>2.7479300000000002E-2</c:v>
                </c:pt>
                <c:pt idx="1">
                  <c:v>2.1904200000000002E-2</c:v>
                </c:pt>
                <c:pt idx="2">
                  <c:v>3.3790199999999999E-2</c:v>
                </c:pt>
                <c:pt idx="3">
                  <c:v>2.91773E-2</c:v>
                </c:pt>
                <c:pt idx="4">
                  <c:v>2.6319000000000002E-2</c:v>
                </c:pt>
                <c:pt idx="5">
                  <c:v>3.3988300000000006E-2</c:v>
                </c:pt>
                <c:pt idx="6">
                  <c:v>3.4752400000000003E-2</c:v>
                </c:pt>
                <c:pt idx="7">
                  <c:v>2.8356600000000003E-2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A7-4E69-B1DD-0D8A5D700E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110432"/>
        <c:axId val="236112000"/>
      </c:scatterChart>
      <c:valAx>
        <c:axId val="236110432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2000"/>
        <c:crosses val="autoZero"/>
        <c:crossBetween val="midCat"/>
      </c:valAx>
      <c:valAx>
        <c:axId val="236112000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043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Carbon calibration</a:t>
            </a:r>
          </a:p>
        </c:rich>
      </c:tx>
      <c:layout>
        <c:manualLayout>
          <c:xMode val="edge"/>
          <c:yMode val="edge"/>
          <c:x val="0.532180293247275"/>
          <c:y val="1.596844983622206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63361858130713"/>
          <c:y val="6.7726754670473538E-2"/>
          <c:w val="0.70737007922308892"/>
          <c:h val="0.72816131253172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10253974849537283"/>
                  <c:y val="-5.4829760891589863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('Calibration-run 8'!$D$15,'Calibration-run 8'!$D$17:$D$18)</c:f>
              <c:numCache>
                <c:formatCode>0.00</c:formatCode>
                <c:ptCount val="3"/>
                <c:pt idx="0">
                  <c:v>-13.55557145056579</c:v>
                </c:pt>
                <c:pt idx="1">
                  <c:v>-6.0297910559222281</c:v>
                </c:pt>
                <c:pt idx="2">
                  <c:v>-19.978669931662647</c:v>
                </c:pt>
              </c:numCache>
            </c:numRef>
          </c:xVal>
          <c:yVal>
            <c:numRef>
              <c:f>('Calibration-run 8'!$C$15,'Calibration-run 8'!$C$17:$C$18)</c:f>
              <c:numCache>
                <c:formatCode>General</c:formatCode>
                <c:ptCount val="3"/>
                <c:pt idx="0">
                  <c:v>-18.3</c:v>
                </c:pt>
                <c:pt idx="1">
                  <c:v>-10.8</c:v>
                </c:pt>
                <c:pt idx="2">
                  <c:v>-24.91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E0-4613-B5DE-00FD97C34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109256"/>
        <c:axId val="236110040"/>
      </c:scatterChart>
      <c:valAx>
        <c:axId val="236109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observed 13C</a:t>
                </a:r>
              </a:p>
            </c:rich>
          </c:tx>
          <c:layout>
            <c:manualLayout>
              <c:xMode val="edge"/>
              <c:yMode val="edge"/>
              <c:x val="0.3834342485508318"/>
              <c:y val="0.9006205707629215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0040"/>
        <c:crossesAt val="-30"/>
        <c:crossBetween val="midCat"/>
      </c:valAx>
      <c:valAx>
        <c:axId val="2361100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Actual d13C</a:t>
                </a:r>
              </a:p>
            </c:rich>
          </c:tx>
          <c:layout>
            <c:manualLayout>
              <c:xMode val="edge"/>
              <c:yMode val="edge"/>
              <c:x val="1.6527338299604882E-2"/>
              <c:y val="0.274657337183018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09256"/>
        <c:crossesAt val="-40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 orientation="landscape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%C calibration</a:t>
            </a:r>
          </a:p>
        </c:rich>
      </c:tx>
      <c:layout>
        <c:manualLayout>
          <c:xMode val="edge"/>
          <c:yMode val="edge"/>
          <c:x val="0.38643060734645129"/>
          <c:y val="3.8141536638700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166205906304943"/>
          <c:y val="0.16660721449119567"/>
          <c:w val="0.83713035556410165"/>
          <c:h val="0.7122695556183570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-0.38705069743050746"/>
                  <c:y val="0.14038545547499007"/>
                </c:manualLayout>
              </c:layout>
              <c:numFmt formatCode="#,##0.000000" sourceLinked="0"/>
            </c:trendlineLbl>
          </c:trendline>
          <c:xVal>
            <c:numRef>
              <c:f>'Calibration-run 8'!$F$86:$F$96</c:f>
              <c:numCache>
                <c:formatCode>0.00</c:formatCode>
                <c:ptCount val="11"/>
                <c:pt idx="0">
                  <c:v>1.0336239375</c:v>
                </c:pt>
                <c:pt idx="1">
                  <c:v>1.625448875</c:v>
                </c:pt>
                <c:pt idx="2">
                  <c:v>1.4348696249999999</c:v>
                </c:pt>
                <c:pt idx="3">
                  <c:v>11.075849</c:v>
                </c:pt>
                <c:pt idx="4">
                  <c:v>8.1761210000000002</c:v>
                </c:pt>
                <c:pt idx="5">
                  <c:v>10.38654</c:v>
                </c:pt>
                <c:pt idx="6">
                  <c:v>12.046118999999999</c:v>
                </c:pt>
                <c:pt idx="7">
                  <c:v>6.1863634999999997</c:v>
                </c:pt>
                <c:pt idx="8">
                  <c:v>9.3544730000000005</c:v>
                </c:pt>
                <c:pt idx="9">
                  <c:v>8.603453</c:v>
                </c:pt>
                <c:pt idx="10">
                  <c:v>7.3059669999999999</c:v>
                </c:pt>
              </c:numCache>
            </c:numRef>
          </c:xVal>
          <c:yVal>
            <c:numRef>
              <c:f>'Calibration-run 8'!$M$86:$M$96</c:f>
              <c:numCache>
                <c:formatCode>0.00</c:formatCode>
                <c:ptCount val="11"/>
                <c:pt idx="0">
                  <c:v>5.704991999999999E-2</c:v>
                </c:pt>
                <c:pt idx="1">
                  <c:v>8.5675319999999999E-2</c:v>
                </c:pt>
                <c:pt idx="2">
                  <c:v>8.1657719999999989E-2</c:v>
                </c:pt>
                <c:pt idx="3">
                  <c:v>0.622421</c:v>
                </c:pt>
                <c:pt idx="4">
                  <c:v>0.450965</c:v>
                </c:pt>
                <c:pt idx="5">
                  <c:v>0.576878</c:v>
                </c:pt>
                <c:pt idx="6">
                  <c:v>0.6675175000000001</c:v>
                </c:pt>
                <c:pt idx="7">
                  <c:v>0.33800049999999998</c:v>
                </c:pt>
                <c:pt idx="8">
                  <c:v>0.51392150000000003</c:v>
                </c:pt>
                <c:pt idx="9">
                  <c:v>0.4719505</c:v>
                </c:pt>
                <c:pt idx="10">
                  <c:v>0.40051049999999999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EE-4C55-8A55-239A29607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110432"/>
        <c:axId val="236112000"/>
      </c:scatterChart>
      <c:valAx>
        <c:axId val="236110432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2000"/>
        <c:crosses val="autoZero"/>
        <c:crossBetween val="midCat"/>
      </c:valAx>
      <c:valAx>
        <c:axId val="236112000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043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d15N</a:t>
            </a:r>
            <a:r>
              <a:rPr lang="en-US" baseline="0"/>
              <a:t> calibration</a:t>
            </a:r>
            <a:endParaRPr lang="en-US"/>
          </a:p>
        </c:rich>
      </c:tx>
      <c:layout>
        <c:manualLayout>
          <c:xMode val="edge"/>
          <c:yMode val="edge"/>
          <c:x val="0.532180293247275"/>
          <c:y val="1.596844983622206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63361858130713"/>
          <c:y val="6.7726754670473538E-2"/>
          <c:w val="0.70737007922308892"/>
          <c:h val="0.72816131253172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10253974849537283"/>
                  <c:y val="-5.4829760891589863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'Calibration-run 8'!$F$22:$F$23</c:f>
              <c:numCache>
                <c:formatCode>0.00</c:formatCode>
                <c:ptCount val="2"/>
              </c:numCache>
            </c:numRef>
          </c:xVal>
          <c:yVal>
            <c:numRef>
              <c:f>'Calibration-run 8'!$E$22:$E$23</c:f>
              <c:numCache>
                <c:formatCode>General</c:formatCode>
                <c:ptCount val="2"/>
                <c:pt idx="0">
                  <c:v>0.4</c:v>
                </c:pt>
                <c:pt idx="1">
                  <c:v>20.3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25-43F7-9FE6-0C507B48CC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480496"/>
        <c:axId val="374480888"/>
      </c:scatterChart>
      <c:valAx>
        <c:axId val="374480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observed 15N</a:t>
                </a:r>
              </a:p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rich>
          </c:tx>
          <c:layout>
            <c:manualLayout>
              <c:xMode val="edge"/>
              <c:yMode val="edge"/>
              <c:x val="0.3834342485508318"/>
              <c:y val="0.9006205707629215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4480888"/>
        <c:crossesAt val="-30"/>
        <c:crossBetween val="midCat"/>
      </c:valAx>
      <c:valAx>
        <c:axId val="3744808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Actual d15N</a:t>
                </a:r>
              </a:p>
            </c:rich>
          </c:tx>
          <c:layout>
            <c:manualLayout>
              <c:xMode val="edge"/>
              <c:yMode val="edge"/>
              <c:x val="1.6527338299604882E-2"/>
              <c:y val="0.274657337183018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4480496"/>
        <c:crossesAt val="-40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 orientation="landscape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%N calibration</a:t>
            </a:r>
          </a:p>
        </c:rich>
      </c:tx>
      <c:layout>
        <c:manualLayout>
          <c:xMode val="edge"/>
          <c:yMode val="edge"/>
          <c:x val="0.38643060734645129"/>
          <c:y val="3.8141536638700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166205906304943"/>
          <c:y val="0.16660721449119567"/>
          <c:w val="0.83713035556410165"/>
          <c:h val="0.7122695556183570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trendlineType val="linear"/>
            <c:dispRSqr val="1"/>
            <c:dispEq val="1"/>
            <c:trendlineLbl>
              <c:layout>
                <c:manualLayout>
                  <c:x val="-0.4239323643534712"/>
                  <c:y val="0.16005158228270677"/>
                </c:manualLayout>
              </c:layout>
              <c:numFmt formatCode="#,##0.000000" sourceLinked="0"/>
            </c:trendlineLbl>
          </c:trendline>
          <c:xVal>
            <c:numRef>
              <c:f>'Calibration-run 8'!$D$89:$D$96</c:f>
              <c:numCache>
                <c:formatCode>0.00</c:formatCode>
                <c:ptCount val="8"/>
                <c:pt idx="0">
                  <c:v>1.658446375</c:v>
                </c:pt>
                <c:pt idx="1">
                  <c:v>1.2422145</c:v>
                </c:pt>
                <c:pt idx="2">
                  <c:v>1.5616785</c:v>
                </c:pt>
                <c:pt idx="3">
                  <c:v>1.8022907500000001</c:v>
                </c:pt>
                <c:pt idx="4">
                  <c:v>0.94405756249999995</c:v>
                </c:pt>
                <c:pt idx="6">
                  <c:v>1.3325251250000001</c:v>
                </c:pt>
                <c:pt idx="7">
                  <c:v>1.104357</c:v>
                </c:pt>
              </c:numCache>
            </c:numRef>
          </c:xVal>
          <c:yVal>
            <c:numRef>
              <c:f>'Calibration-run 8'!$Q$89:$Q$96</c:f>
              <c:numCache>
                <c:formatCode>0.00</c:formatCode>
                <c:ptCount val="8"/>
                <c:pt idx="0">
                  <c:v>3.9450199999999998E-2</c:v>
                </c:pt>
                <c:pt idx="1">
                  <c:v>2.8583000000000004E-2</c:v>
                </c:pt>
                <c:pt idx="2">
                  <c:v>3.6563600000000002E-2</c:v>
                </c:pt>
                <c:pt idx="3">
                  <c:v>4.2308500000000006E-2</c:v>
                </c:pt>
                <c:pt idx="4">
                  <c:v>2.14231E-2</c:v>
                </c:pt>
                <c:pt idx="6">
                  <c:v>2.9913100000000001E-2</c:v>
                </c:pt>
                <c:pt idx="7">
                  <c:v>2.5385100000000004E-2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B8-4CDB-8518-98AFBE90D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110432"/>
        <c:axId val="236112000"/>
      </c:scatterChart>
      <c:valAx>
        <c:axId val="236110432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2000"/>
        <c:crosses val="autoZero"/>
        <c:crossBetween val="midCat"/>
      </c:valAx>
      <c:valAx>
        <c:axId val="236112000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043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Carbon calibration</a:t>
            </a:r>
          </a:p>
        </c:rich>
      </c:tx>
      <c:layout>
        <c:manualLayout>
          <c:xMode val="edge"/>
          <c:yMode val="edge"/>
          <c:x val="0.532180293247275"/>
          <c:y val="1.596844983622206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63361858130713"/>
          <c:y val="6.7726754670473538E-2"/>
          <c:w val="0.70737007922308892"/>
          <c:h val="0.72816131253172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10253974849537283"/>
                  <c:y val="-5.4829760891589863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('Calibration-run 7'!$D$15,'Calibration-run 7'!$D$17:$D$18)</c:f>
              <c:numCache>
                <c:formatCode>0.00</c:formatCode>
                <c:ptCount val="3"/>
                <c:pt idx="0">
                  <c:v>-13.820790107997873</c:v>
                </c:pt>
                <c:pt idx="1">
                  <c:v>-6.3032727900735548</c:v>
                </c:pt>
                <c:pt idx="2">
                  <c:v>-20.49042816385375</c:v>
                </c:pt>
              </c:numCache>
            </c:numRef>
          </c:xVal>
          <c:yVal>
            <c:numRef>
              <c:f>('Calibration-run 7'!$C$15,'Calibration-run 7'!$C$17:$C$18)</c:f>
              <c:numCache>
                <c:formatCode>General</c:formatCode>
                <c:ptCount val="3"/>
                <c:pt idx="0">
                  <c:v>-18.3</c:v>
                </c:pt>
                <c:pt idx="1">
                  <c:v>-10.8</c:v>
                </c:pt>
                <c:pt idx="2">
                  <c:v>-24.91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4D-4823-9BA3-224ADCD246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109256"/>
        <c:axId val="236110040"/>
      </c:scatterChart>
      <c:valAx>
        <c:axId val="236109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observed 13C</a:t>
                </a:r>
              </a:p>
            </c:rich>
          </c:tx>
          <c:layout>
            <c:manualLayout>
              <c:xMode val="edge"/>
              <c:yMode val="edge"/>
              <c:x val="0.3834342485508318"/>
              <c:y val="0.9006205707629215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0040"/>
        <c:crossesAt val="-30"/>
        <c:crossBetween val="midCat"/>
      </c:valAx>
      <c:valAx>
        <c:axId val="2361100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Actual d13C</a:t>
                </a:r>
              </a:p>
            </c:rich>
          </c:tx>
          <c:layout>
            <c:manualLayout>
              <c:xMode val="edge"/>
              <c:yMode val="edge"/>
              <c:x val="1.6527338299604882E-2"/>
              <c:y val="0.274657337183018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09256"/>
        <c:crossesAt val="-40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 orientation="landscape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%C calibration</a:t>
            </a:r>
          </a:p>
        </c:rich>
      </c:tx>
      <c:layout>
        <c:manualLayout>
          <c:xMode val="edge"/>
          <c:yMode val="edge"/>
          <c:x val="0.38643060734645129"/>
          <c:y val="3.8141536638700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166205906304943"/>
          <c:y val="0.16660721449119567"/>
          <c:w val="0.83713035556410165"/>
          <c:h val="0.7122695556183570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-0.38705069743050746"/>
                  <c:y val="0.14038545547499007"/>
                </c:manualLayout>
              </c:layout>
              <c:numFmt formatCode="#,##0.000000" sourceLinked="0"/>
            </c:trendlineLbl>
          </c:trendline>
          <c:xVal>
            <c:numRef>
              <c:f>'Calibration-run 7'!$F$86:$F$96</c:f>
              <c:numCache>
                <c:formatCode>0.00</c:formatCode>
                <c:ptCount val="11"/>
                <c:pt idx="0">
                  <c:v>1.4612111249999999</c:v>
                </c:pt>
                <c:pt idx="1">
                  <c:v>1.555968625</c:v>
                </c:pt>
                <c:pt idx="2">
                  <c:v>1.8980846250000001</c:v>
                </c:pt>
                <c:pt idx="3">
                  <c:v>8.3077555000000007</c:v>
                </c:pt>
                <c:pt idx="4">
                  <c:v>6.8956689999999998</c:v>
                </c:pt>
                <c:pt idx="5">
                  <c:v>8.5797290000000004</c:v>
                </c:pt>
                <c:pt idx="6">
                  <c:v>8.1942374999999998</c:v>
                </c:pt>
                <c:pt idx="7">
                  <c:v>10.000696</c:v>
                </c:pt>
                <c:pt idx="8">
                  <c:v>8.2114764999999998</c:v>
                </c:pt>
                <c:pt idx="9">
                  <c:v>11.214351000000001</c:v>
                </c:pt>
              </c:numCache>
            </c:numRef>
          </c:xVal>
          <c:yVal>
            <c:numRef>
              <c:f>'Calibration-run 7'!$M$86:$M$96</c:f>
              <c:numCache>
                <c:formatCode>0.00</c:formatCode>
                <c:ptCount val="11"/>
                <c:pt idx="0">
                  <c:v>7.8276239999999997E-2</c:v>
                </c:pt>
                <c:pt idx="1">
                  <c:v>8.2628639999999989E-2</c:v>
                </c:pt>
                <c:pt idx="2">
                  <c:v>0.10258271999999999</c:v>
                </c:pt>
                <c:pt idx="3">
                  <c:v>0.44158849999999999</c:v>
                </c:pt>
                <c:pt idx="4">
                  <c:v>0.36791599999999997</c:v>
                </c:pt>
                <c:pt idx="5">
                  <c:v>0.45810900000000004</c:v>
                </c:pt>
                <c:pt idx="6">
                  <c:v>0.43489099999999997</c:v>
                </c:pt>
                <c:pt idx="7">
                  <c:v>0.53312099999999996</c:v>
                </c:pt>
                <c:pt idx="8">
                  <c:v>0.44560700000000003</c:v>
                </c:pt>
                <c:pt idx="9">
                  <c:v>0.59518450000000001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FA-4944-890A-F9AB18CC6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110432"/>
        <c:axId val="236112000"/>
      </c:scatterChart>
      <c:valAx>
        <c:axId val="236110432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2000"/>
        <c:crosses val="autoZero"/>
        <c:crossBetween val="midCat"/>
      </c:valAx>
      <c:valAx>
        <c:axId val="236112000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043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d15N</a:t>
            </a:r>
            <a:r>
              <a:rPr lang="en-US" baseline="0"/>
              <a:t> calibration</a:t>
            </a:r>
            <a:endParaRPr lang="en-US"/>
          </a:p>
        </c:rich>
      </c:tx>
      <c:layout>
        <c:manualLayout>
          <c:xMode val="edge"/>
          <c:yMode val="edge"/>
          <c:x val="0.532180293247275"/>
          <c:y val="1.596844983622206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63361858130713"/>
          <c:y val="6.7726754670473538E-2"/>
          <c:w val="0.70737007922308892"/>
          <c:h val="0.72816131253172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10253974849537283"/>
                  <c:y val="-5.4829760891589863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'Calibration-run 7'!$F$22:$F$23</c:f>
              <c:numCache>
                <c:formatCode>0.00</c:formatCode>
                <c:ptCount val="2"/>
                <c:pt idx="0">
                  <c:v>2.4462499156822082</c:v>
                </c:pt>
                <c:pt idx="1">
                  <c:v>21.336792737714163</c:v>
                </c:pt>
              </c:numCache>
            </c:numRef>
          </c:xVal>
          <c:yVal>
            <c:numRef>
              <c:f>'Calibration-run 7'!$E$22:$E$23</c:f>
              <c:numCache>
                <c:formatCode>General</c:formatCode>
                <c:ptCount val="2"/>
                <c:pt idx="0">
                  <c:v>0.4</c:v>
                </c:pt>
                <c:pt idx="1">
                  <c:v>20.3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7A-450B-BB06-53EE3BF104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480496"/>
        <c:axId val="374480888"/>
      </c:scatterChart>
      <c:valAx>
        <c:axId val="374480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observed 15N</a:t>
                </a:r>
              </a:p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rich>
          </c:tx>
          <c:layout>
            <c:manualLayout>
              <c:xMode val="edge"/>
              <c:yMode val="edge"/>
              <c:x val="0.3834342485508318"/>
              <c:y val="0.9006205707629215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4480888"/>
        <c:crossesAt val="-30"/>
        <c:crossBetween val="midCat"/>
      </c:valAx>
      <c:valAx>
        <c:axId val="3744808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Actual d15N</a:t>
                </a:r>
              </a:p>
            </c:rich>
          </c:tx>
          <c:layout>
            <c:manualLayout>
              <c:xMode val="edge"/>
              <c:yMode val="edge"/>
              <c:x val="1.6527338299604882E-2"/>
              <c:y val="0.274657337183018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4480496"/>
        <c:crossesAt val="-40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 orientation="landscape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%N calibration</a:t>
            </a:r>
          </a:p>
        </c:rich>
      </c:tx>
      <c:layout>
        <c:manualLayout>
          <c:xMode val="edge"/>
          <c:yMode val="edge"/>
          <c:x val="0.38643060734645129"/>
          <c:y val="3.8141536638700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166205906304943"/>
          <c:y val="0.16660721449119567"/>
          <c:w val="0.83713035556410165"/>
          <c:h val="0.7122695556183570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-0.4239323643534712"/>
                  <c:y val="0.16005158228270677"/>
                </c:manualLayout>
              </c:layout>
              <c:numFmt formatCode="#,##0.000000" sourceLinked="0"/>
            </c:trendlineLbl>
          </c:trendline>
          <c:xVal>
            <c:numRef>
              <c:f>'Calibration-run 7'!$D$89:$D$96</c:f>
              <c:numCache>
                <c:formatCode>0.00</c:formatCode>
                <c:ptCount val="8"/>
                <c:pt idx="0">
                  <c:v>1.150854625</c:v>
                </c:pt>
                <c:pt idx="1">
                  <c:v>0.93843793750000004</c:v>
                </c:pt>
                <c:pt idx="2">
                  <c:v>1.16235825</c:v>
                </c:pt>
                <c:pt idx="3">
                  <c:v>1.102964375</c:v>
                </c:pt>
                <c:pt idx="5">
                  <c:v>1.215724625</c:v>
                </c:pt>
                <c:pt idx="6">
                  <c:v>1.6419368750000001</c:v>
                </c:pt>
              </c:numCache>
            </c:numRef>
          </c:xVal>
          <c:yVal>
            <c:numRef>
              <c:f>'Calibration-run 7'!$Q$89:$Q$96</c:f>
              <c:numCache>
                <c:formatCode>0.00</c:formatCode>
                <c:ptCount val="8"/>
                <c:pt idx="0">
                  <c:v>2.7988700000000002E-2</c:v>
                </c:pt>
                <c:pt idx="1">
                  <c:v>2.3319200000000002E-2</c:v>
                </c:pt>
                <c:pt idx="2">
                  <c:v>2.9035800000000004E-2</c:v>
                </c:pt>
                <c:pt idx="3">
                  <c:v>2.7564200000000001E-2</c:v>
                </c:pt>
                <c:pt idx="5">
                  <c:v>2.8243400000000002E-2</c:v>
                </c:pt>
                <c:pt idx="6">
                  <c:v>3.7723900000000005E-2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4D-48E4-BD21-77D8E7799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110432"/>
        <c:axId val="236112000"/>
      </c:scatterChart>
      <c:valAx>
        <c:axId val="236110432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2000"/>
        <c:crosses val="autoZero"/>
        <c:crossBetween val="midCat"/>
      </c:valAx>
      <c:valAx>
        <c:axId val="236112000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043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Carbon calibration</a:t>
            </a:r>
          </a:p>
        </c:rich>
      </c:tx>
      <c:layout>
        <c:manualLayout>
          <c:xMode val="edge"/>
          <c:yMode val="edge"/>
          <c:x val="0.532180293247275"/>
          <c:y val="1.596844983622206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63361858130713"/>
          <c:y val="6.7726754670473538E-2"/>
          <c:w val="0.70737007922308892"/>
          <c:h val="0.72816131253172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10253974849537283"/>
                  <c:y val="-5.4829760891589863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('Calibration-run 6'!$D$15,'Calibration-run 6'!$D$17:$D$18)</c:f>
              <c:numCache>
                <c:formatCode>0.00</c:formatCode>
                <c:ptCount val="3"/>
                <c:pt idx="0">
                  <c:v>-13.843675050127279</c:v>
                </c:pt>
                <c:pt idx="1">
                  <c:v>-6.2609566932163849</c:v>
                </c:pt>
                <c:pt idx="2">
                  <c:v>-20.137016215598692</c:v>
                </c:pt>
              </c:numCache>
            </c:numRef>
          </c:xVal>
          <c:yVal>
            <c:numRef>
              <c:f>('Calibration-run 6'!$C$15,'Calibration-run 6'!$C$17:$C$18)</c:f>
              <c:numCache>
                <c:formatCode>General</c:formatCode>
                <c:ptCount val="3"/>
                <c:pt idx="0">
                  <c:v>-18.3</c:v>
                </c:pt>
                <c:pt idx="1">
                  <c:v>-10.8</c:v>
                </c:pt>
                <c:pt idx="2">
                  <c:v>-24.91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D4-4CFE-84A6-BDE5EF0B2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109256"/>
        <c:axId val="236110040"/>
      </c:scatterChart>
      <c:valAx>
        <c:axId val="236109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observed 13C</a:t>
                </a:r>
              </a:p>
            </c:rich>
          </c:tx>
          <c:layout>
            <c:manualLayout>
              <c:xMode val="edge"/>
              <c:yMode val="edge"/>
              <c:x val="0.3834342485508318"/>
              <c:y val="0.9006205707629215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0040"/>
        <c:crossesAt val="-30"/>
        <c:crossBetween val="midCat"/>
      </c:valAx>
      <c:valAx>
        <c:axId val="2361100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Actual d13C</a:t>
                </a:r>
              </a:p>
            </c:rich>
          </c:tx>
          <c:layout>
            <c:manualLayout>
              <c:xMode val="edge"/>
              <c:yMode val="edge"/>
              <c:x val="1.6527338299604882E-2"/>
              <c:y val="0.274657337183018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09256"/>
        <c:crossesAt val="-40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%C calibration</a:t>
            </a:r>
          </a:p>
        </c:rich>
      </c:tx>
      <c:layout>
        <c:manualLayout>
          <c:xMode val="edge"/>
          <c:yMode val="edge"/>
          <c:x val="0.38643060734645129"/>
          <c:y val="3.8141536638700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166205906304943"/>
          <c:y val="0.16660721449119567"/>
          <c:w val="0.83713035556410165"/>
          <c:h val="0.7122695556183570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-0.38705069743050746"/>
                  <c:y val="0.14038545547499007"/>
                </c:manualLayout>
              </c:layout>
              <c:numFmt formatCode="#,##0.000000" sourceLinked="0"/>
            </c:trendlineLbl>
          </c:trendline>
          <c:xVal>
            <c:numRef>
              <c:f>'Calibration-run 6'!$F$86:$F$96</c:f>
              <c:numCache>
                <c:formatCode>0.00</c:formatCode>
                <c:ptCount val="11"/>
                <c:pt idx="0">
                  <c:v>1.3980213749999999</c:v>
                </c:pt>
                <c:pt idx="1">
                  <c:v>0.80738662500000002</c:v>
                </c:pt>
                <c:pt idx="2">
                  <c:v>1.175291375</c:v>
                </c:pt>
                <c:pt idx="3">
                  <c:v>8.2514800000000008</c:v>
                </c:pt>
                <c:pt idx="4">
                  <c:v>7.9860470000000001</c:v>
                </c:pt>
                <c:pt idx="5">
                  <c:v>11.942238</c:v>
                </c:pt>
                <c:pt idx="6">
                  <c:v>8.6159809999999997</c:v>
                </c:pt>
                <c:pt idx="7">
                  <c:v>7.0876039999999998</c:v>
                </c:pt>
                <c:pt idx="8">
                  <c:v>8.8152849999999994</c:v>
                </c:pt>
                <c:pt idx="9">
                  <c:v>6.8582830000000001</c:v>
                </c:pt>
                <c:pt idx="10">
                  <c:v>8.8112259999999996</c:v>
                </c:pt>
              </c:numCache>
            </c:numRef>
          </c:xVal>
          <c:yVal>
            <c:numRef>
              <c:f>'Calibration-run 6'!$M$86:$M$96</c:f>
              <c:numCache>
                <c:formatCode>0.00</c:formatCode>
                <c:ptCount val="11"/>
                <c:pt idx="0">
                  <c:v>7.8945839999999989E-2</c:v>
                </c:pt>
                <c:pt idx="1">
                  <c:v>4.3724879999999994E-2</c:v>
                </c:pt>
                <c:pt idx="2">
                  <c:v>6.2641079999999988E-2</c:v>
                </c:pt>
                <c:pt idx="3">
                  <c:v>0.45409049999999995</c:v>
                </c:pt>
                <c:pt idx="4">
                  <c:v>0.43399799999999999</c:v>
                </c:pt>
                <c:pt idx="5">
                  <c:v>0.66126650000000009</c:v>
                </c:pt>
                <c:pt idx="6">
                  <c:v>0.47150400000000003</c:v>
                </c:pt>
                <c:pt idx="7">
                  <c:v>0.38354349999999998</c:v>
                </c:pt>
                <c:pt idx="8">
                  <c:v>0.48489900000000002</c:v>
                </c:pt>
                <c:pt idx="9">
                  <c:v>0.37327399999999999</c:v>
                </c:pt>
                <c:pt idx="10">
                  <c:v>0.47954100000000005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04-437B-848D-580C6C7E3A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110432"/>
        <c:axId val="236112000"/>
      </c:scatterChart>
      <c:valAx>
        <c:axId val="236110432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2000"/>
        <c:crosses val="autoZero"/>
        <c:crossBetween val="midCat"/>
      </c:valAx>
      <c:valAx>
        <c:axId val="236112000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043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d15N</a:t>
            </a:r>
            <a:r>
              <a:rPr lang="en-US" baseline="0"/>
              <a:t> calibration</a:t>
            </a:r>
            <a:endParaRPr lang="en-US"/>
          </a:p>
        </c:rich>
      </c:tx>
      <c:layout>
        <c:manualLayout>
          <c:xMode val="edge"/>
          <c:yMode val="edge"/>
          <c:x val="0.532180293247275"/>
          <c:y val="1.596844983622206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63361858130713"/>
          <c:y val="6.7726754670473538E-2"/>
          <c:w val="0.70737007922308892"/>
          <c:h val="0.72816131253172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10253974849537283"/>
                  <c:y val="-5.4829760891589863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'Calibration-run 6'!$F$22:$F$23</c:f>
              <c:numCache>
                <c:formatCode>0.00</c:formatCode>
                <c:ptCount val="2"/>
                <c:pt idx="0">
                  <c:v>2.7426019538360213</c:v>
                </c:pt>
                <c:pt idx="1">
                  <c:v>22.306292786362203</c:v>
                </c:pt>
              </c:numCache>
            </c:numRef>
          </c:xVal>
          <c:yVal>
            <c:numRef>
              <c:f>'Calibration-run 6'!$E$22:$E$23</c:f>
              <c:numCache>
                <c:formatCode>General</c:formatCode>
                <c:ptCount val="2"/>
                <c:pt idx="0">
                  <c:v>0.4</c:v>
                </c:pt>
                <c:pt idx="1">
                  <c:v>20.3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37-4690-816D-BBA63E71A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480496"/>
        <c:axId val="374480888"/>
      </c:scatterChart>
      <c:valAx>
        <c:axId val="374480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observed 15N</a:t>
                </a:r>
              </a:p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rich>
          </c:tx>
          <c:layout>
            <c:manualLayout>
              <c:xMode val="edge"/>
              <c:yMode val="edge"/>
              <c:x val="0.3834342485508318"/>
              <c:y val="0.9006205707629215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4480888"/>
        <c:crossesAt val="-30"/>
        <c:crossBetween val="midCat"/>
      </c:valAx>
      <c:valAx>
        <c:axId val="3744808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Actual d15N</a:t>
                </a:r>
              </a:p>
            </c:rich>
          </c:tx>
          <c:layout>
            <c:manualLayout>
              <c:xMode val="edge"/>
              <c:yMode val="edge"/>
              <c:x val="1.6527338299604882E-2"/>
              <c:y val="0.274657337183018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4480496"/>
        <c:crossesAt val="-40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 orientation="landscape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%N calibration</a:t>
            </a:r>
          </a:p>
        </c:rich>
      </c:tx>
      <c:layout>
        <c:manualLayout>
          <c:xMode val="edge"/>
          <c:yMode val="edge"/>
          <c:x val="0.38643060734645129"/>
          <c:y val="3.8141536638700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166205906304943"/>
          <c:y val="0.16660721449119567"/>
          <c:w val="0.83713035556410165"/>
          <c:h val="0.7122695556183570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trendlineType val="linear"/>
            <c:dispRSqr val="1"/>
            <c:dispEq val="1"/>
            <c:trendlineLbl>
              <c:layout>
                <c:manualLayout>
                  <c:x val="-0.4239323643534712"/>
                  <c:y val="0.16005158228270677"/>
                </c:manualLayout>
              </c:layout>
              <c:numFmt formatCode="#,##0.000000" sourceLinked="0"/>
            </c:trendlineLbl>
          </c:trendline>
          <c:xVal>
            <c:numRef>
              <c:f>'Calibration-run 6'!$D$89:$D$96</c:f>
              <c:numCache>
                <c:formatCode>0.00</c:formatCode>
                <c:ptCount val="8"/>
                <c:pt idx="0">
                  <c:v>1.2885508750000001</c:v>
                </c:pt>
                <c:pt idx="1">
                  <c:v>1.2335471250000001</c:v>
                </c:pt>
                <c:pt idx="2">
                  <c:v>1.8662235</c:v>
                </c:pt>
                <c:pt idx="3">
                  <c:v>1.35270175</c:v>
                </c:pt>
                <c:pt idx="4">
                  <c:v>1.1144268749999999</c:v>
                </c:pt>
                <c:pt idx="5">
                  <c:v>1.367821</c:v>
                </c:pt>
                <c:pt idx="6">
                  <c:v>1.1658897500000001</c:v>
                </c:pt>
                <c:pt idx="7">
                  <c:v>1.4776389999999999</c:v>
                </c:pt>
              </c:numCache>
            </c:numRef>
          </c:xVal>
          <c:yVal>
            <c:numRef>
              <c:f>'Calibration-run 6'!$Q$89:$Q$96</c:f>
              <c:numCache>
                <c:formatCode>0.00</c:formatCode>
                <c:ptCount val="8"/>
                <c:pt idx="0">
                  <c:v>2.87811E-2</c:v>
                </c:pt>
                <c:pt idx="1">
                  <c:v>2.75076E-2</c:v>
                </c:pt>
                <c:pt idx="2">
                  <c:v>4.1912300000000006E-2</c:v>
                </c:pt>
                <c:pt idx="3">
                  <c:v>2.9884800000000003E-2</c:v>
                </c:pt>
                <c:pt idx="4">
                  <c:v>2.43097E-2</c:v>
                </c:pt>
                <c:pt idx="5">
                  <c:v>3.0733800000000006E-2</c:v>
                </c:pt>
                <c:pt idx="6">
                  <c:v>2.3658800000000001E-2</c:v>
                </c:pt>
                <c:pt idx="7">
                  <c:v>3.0394200000000003E-2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16-4ADB-AED2-15174715F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110432"/>
        <c:axId val="236112000"/>
      </c:scatterChart>
      <c:valAx>
        <c:axId val="236110432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2000"/>
        <c:crosses val="autoZero"/>
        <c:crossBetween val="midCat"/>
      </c:valAx>
      <c:valAx>
        <c:axId val="236112000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043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Carbon calibration</a:t>
            </a:r>
          </a:p>
        </c:rich>
      </c:tx>
      <c:layout>
        <c:manualLayout>
          <c:xMode val="edge"/>
          <c:yMode val="edge"/>
          <c:x val="0.532180293247275"/>
          <c:y val="1.596844983622206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63361858130713"/>
          <c:y val="6.7726754670473538E-2"/>
          <c:w val="0.70737007922308892"/>
          <c:h val="0.72816131253172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10253974849537283"/>
                  <c:y val="-5.4829760891589863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('Calibration-run 5'!$D$15,'Calibration-run 5'!$D$17:$D$18)</c:f>
              <c:numCache>
                <c:formatCode>0.00</c:formatCode>
                <c:ptCount val="3"/>
                <c:pt idx="0">
                  <c:v>-13.687729705974448</c:v>
                </c:pt>
                <c:pt idx="1">
                  <c:v>-6.2003468747234436</c:v>
                </c:pt>
                <c:pt idx="2">
                  <c:v>-20.33210387112474</c:v>
                </c:pt>
              </c:numCache>
            </c:numRef>
          </c:xVal>
          <c:yVal>
            <c:numRef>
              <c:f>('Calibration-run 5'!$C$15,'Calibration-run 5'!$C$17:$C$18)</c:f>
              <c:numCache>
                <c:formatCode>General</c:formatCode>
                <c:ptCount val="3"/>
                <c:pt idx="0">
                  <c:v>-18.3</c:v>
                </c:pt>
                <c:pt idx="1">
                  <c:v>-10.8</c:v>
                </c:pt>
                <c:pt idx="2">
                  <c:v>-24.91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31-4721-AF46-FDD3734A4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109256"/>
        <c:axId val="236110040"/>
      </c:scatterChart>
      <c:valAx>
        <c:axId val="236109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observed 13C</a:t>
                </a:r>
              </a:p>
            </c:rich>
          </c:tx>
          <c:layout>
            <c:manualLayout>
              <c:xMode val="edge"/>
              <c:yMode val="edge"/>
              <c:x val="0.3834342485508318"/>
              <c:y val="0.9006205707629215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0040"/>
        <c:crossesAt val="-30"/>
        <c:crossBetween val="midCat"/>
      </c:valAx>
      <c:valAx>
        <c:axId val="2361100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Actual d13C</a:t>
                </a:r>
              </a:p>
            </c:rich>
          </c:tx>
          <c:layout>
            <c:manualLayout>
              <c:xMode val="edge"/>
              <c:yMode val="edge"/>
              <c:x val="1.6527338299604882E-2"/>
              <c:y val="0.274657337183018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09256"/>
        <c:crossesAt val="-40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 orientation="landscape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%C calibration</a:t>
            </a:r>
          </a:p>
        </c:rich>
      </c:tx>
      <c:layout>
        <c:manualLayout>
          <c:xMode val="edge"/>
          <c:yMode val="edge"/>
          <c:x val="0.38643060734645129"/>
          <c:y val="3.8141536638700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166205906304943"/>
          <c:y val="0.16660721449119567"/>
          <c:w val="0.83713035556410165"/>
          <c:h val="0.7122695556183570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-0.38705069743050746"/>
                  <c:y val="0.14038545547499007"/>
                </c:manualLayout>
              </c:layout>
              <c:numFmt formatCode="#,##0.000000" sourceLinked="0"/>
            </c:trendlineLbl>
          </c:trendline>
          <c:xVal>
            <c:numRef>
              <c:f>'Calibration-run 5'!$F$86:$F$95</c:f>
              <c:numCache>
                <c:formatCode>0.00</c:formatCode>
                <c:ptCount val="10"/>
                <c:pt idx="0">
                  <c:v>1.9863690000000001</c:v>
                </c:pt>
                <c:pt idx="1">
                  <c:v>0.96893762500000002</c:v>
                </c:pt>
                <c:pt idx="2">
                  <c:v>8.0602090000000004</c:v>
                </c:pt>
                <c:pt idx="3">
                  <c:v>8.9198109999999993</c:v>
                </c:pt>
                <c:pt idx="4">
                  <c:v>7.8355490000000003</c:v>
                </c:pt>
                <c:pt idx="5">
                  <c:v>10.599449999999999</c:v>
                </c:pt>
                <c:pt idx="6">
                  <c:v>9.5195640000000008</c:v>
                </c:pt>
                <c:pt idx="7">
                  <c:v>8.808351</c:v>
                </c:pt>
                <c:pt idx="8">
                  <c:v>7.251468</c:v>
                </c:pt>
                <c:pt idx="9">
                  <c:v>8.4233440000000002</c:v>
                </c:pt>
              </c:numCache>
            </c:numRef>
          </c:xVal>
          <c:yVal>
            <c:numRef>
              <c:f>'Calibration-run 5'!$M$86:$M$95</c:f>
              <c:numCache>
                <c:formatCode>0.00</c:formatCode>
                <c:ptCount val="10"/>
                <c:pt idx="0">
                  <c:v>0.10435715999999999</c:v>
                </c:pt>
                <c:pt idx="1">
                  <c:v>5.4170639999999999E-2</c:v>
                </c:pt>
                <c:pt idx="2">
                  <c:v>0.43042599999999998</c:v>
                </c:pt>
                <c:pt idx="3">
                  <c:v>0.4737365</c:v>
                </c:pt>
                <c:pt idx="4">
                  <c:v>0.41167300000000001</c:v>
                </c:pt>
                <c:pt idx="5">
                  <c:v>0.56348300000000007</c:v>
                </c:pt>
                <c:pt idx="6">
                  <c:v>0.50320549999999997</c:v>
                </c:pt>
                <c:pt idx="7">
                  <c:v>0.46569949999999999</c:v>
                </c:pt>
                <c:pt idx="8">
                  <c:v>0.38354349999999998</c:v>
                </c:pt>
                <c:pt idx="9">
                  <c:v>0.444714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7B-44E6-B22F-70BBE61149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110432"/>
        <c:axId val="236112000"/>
      </c:scatterChart>
      <c:valAx>
        <c:axId val="236110432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2000"/>
        <c:crosses val="autoZero"/>
        <c:crossBetween val="midCat"/>
      </c:valAx>
      <c:valAx>
        <c:axId val="236112000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043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d15N</a:t>
            </a:r>
            <a:r>
              <a:rPr lang="en-US" baseline="0"/>
              <a:t> calibration</a:t>
            </a:r>
            <a:endParaRPr lang="en-US"/>
          </a:p>
        </c:rich>
      </c:tx>
      <c:layout>
        <c:manualLayout>
          <c:xMode val="edge"/>
          <c:yMode val="edge"/>
          <c:x val="0.532180293247275"/>
          <c:y val="1.596844983622206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63361858130713"/>
          <c:y val="6.7726754670473538E-2"/>
          <c:w val="0.70737007922308892"/>
          <c:h val="0.72816131253172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10253974849537283"/>
                  <c:y val="-5.4829760891589863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'Calibration-run 5'!$F$22:$F$23</c:f>
              <c:numCache>
                <c:formatCode>0.00</c:formatCode>
                <c:ptCount val="2"/>
              </c:numCache>
            </c:numRef>
          </c:xVal>
          <c:yVal>
            <c:numRef>
              <c:f>'Calibration-run 5'!$E$22:$E$23</c:f>
              <c:numCache>
                <c:formatCode>General</c:formatCode>
                <c:ptCount val="2"/>
                <c:pt idx="0">
                  <c:v>0.4</c:v>
                </c:pt>
                <c:pt idx="1">
                  <c:v>20.3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55-4A44-9744-2198702AB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480496"/>
        <c:axId val="374480888"/>
      </c:scatterChart>
      <c:valAx>
        <c:axId val="374480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observed 15N</a:t>
                </a:r>
              </a:p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rich>
          </c:tx>
          <c:layout>
            <c:manualLayout>
              <c:xMode val="edge"/>
              <c:yMode val="edge"/>
              <c:x val="0.3834342485508318"/>
              <c:y val="0.9006205707629215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4480888"/>
        <c:crossesAt val="-30"/>
        <c:crossBetween val="midCat"/>
      </c:valAx>
      <c:valAx>
        <c:axId val="3744808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Actual d15N</a:t>
                </a:r>
              </a:p>
            </c:rich>
          </c:tx>
          <c:layout>
            <c:manualLayout>
              <c:xMode val="edge"/>
              <c:yMode val="edge"/>
              <c:x val="1.6527338299604882E-2"/>
              <c:y val="0.274657337183018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4480496"/>
        <c:crossesAt val="-40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%N calibration</a:t>
            </a:r>
          </a:p>
        </c:rich>
      </c:tx>
      <c:layout>
        <c:manualLayout>
          <c:xMode val="edge"/>
          <c:yMode val="edge"/>
          <c:x val="0.38643060734645129"/>
          <c:y val="3.8141536638700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166205906304943"/>
          <c:y val="0.16660721449119567"/>
          <c:w val="0.83713035556410165"/>
          <c:h val="0.7122695556183570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trendlineType val="linear"/>
            <c:dispRSqr val="1"/>
            <c:dispEq val="1"/>
            <c:trendlineLbl>
              <c:layout>
                <c:manualLayout>
                  <c:x val="-0.4239323643534712"/>
                  <c:y val="0.16005158228270677"/>
                </c:manualLayout>
              </c:layout>
              <c:numFmt formatCode="#,##0.000000" sourceLinked="0"/>
            </c:trendlineLbl>
          </c:trendline>
          <c:xVal>
            <c:numRef>
              <c:f>'Calibration-run 5'!$D$88:$D$95</c:f>
              <c:numCache>
                <c:formatCode>0.00</c:formatCode>
                <c:ptCount val="8"/>
                <c:pt idx="0">
                  <c:v>1.2980538749999999</c:v>
                </c:pt>
                <c:pt idx="1">
                  <c:v>1.430754125</c:v>
                </c:pt>
                <c:pt idx="2">
                  <c:v>1.251672125</c:v>
                </c:pt>
                <c:pt idx="3">
                  <c:v>1.6797878749999999</c:v>
                </c:pt>
                <c:pt idx="4">
                  <c:v>1.5327558750000001</c:v>
                </c:pt>
                <c:pt idx="5">
                  <c:v>1.6625993750000001</c:v>
                </c:pt>
                <c:pt idx="6">
                  <c:v>1.1948447499999999</c:v>
                </c:pt>
                <c:pt idx="7">
                  <c:v>1.3591819999999999</c:v>
                </c:pt>
              </c:numCache>
            </c:numRef>
          </c:xVal>
          <c:yVal>
            <c:numRef>
              <c:f>'Calibration-run 5'!$Q$88:$Q$95</c:f>
              <c:numCache>
                <c:formatCode>0.00</c:formatCode>
                <c:ptCount val="8"/>
                <c:pt idx="0">
                  <c:v>2.7281200000000002E-2</c:v>
                </c:pt>
                <c:pt idx="1">
                  <c:v>3.0026300000000002E-2</c:v>
                </c:pt>
                <c:pt idx="2">
                  <c:v>2.6092600000000004E-2</c:v>
                </c:pt>
                <c:pt idx="3">
                  <c:v>3.5714600000000006E-2</c:v>
                </c:pt>
                <c:pt idx="4">
                  <c:v>3.1894100000000002E-2</c:v>
                </c:pt>
                <c:pt idx="6">
                  <c:v>2.43097E-2</c:v>
                </c:pt>
                <c:pt idx="7">
                  <c:v>2.8186800000000001E-2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7C0-496A-BAA3-415B4FA279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110432"/>
        <c:axId val="236112000"/>
      </c:scatterChart>
      <c:valAx>
        <c:axId val="236110432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2000"/>
        <c:crosses val="autoZero"/>
        <c:crossBetween val="midCat"/>
      </c:valAx>
      <c:valAx>
        <c:axId val="236112000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043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Carbon calibration</a:t>
            </a:r>
          </a:p>
        </c:rich>
      </c:tx>
      <c:layout>
        <c:manualLayout>
          <c:xMode val="edge"/>
          <c:yMode val="edge"/>
          <c:x val="0.532180293247275"/>
          <c:y val="1.596844983622206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63361858130713"/>
          <c:y val="6.7726754670473538E-2"/>
          <c:w val="0.70737007922308892"/>
          <c:h val="0.72816131253172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10253974849537283"/>
                  <c:y val="-5.4829760891589863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('Calibration-run 4'!$D$15,'Calibration-run 4'!$D$17:$D$18)</c:f>
              <c:numCache>
                <c:formatCode>0.00</c:formatCode>
                <c:ptCount val="3"/>
                <c:pt idx="0">
                  <c:v>-13.673192495663208</c:v>
                </c:pt>
                <c:pt idx="1">
                  <c:v>-6.2613124820505117</c:v>
                </c:pt>
                <c:pt idx="2">
                  <c:v>-20.254400489760222</c:v>
                </c:pt>
              </c:numCache>
            </c:numRef>
          </c:xVal>
          <c:yVal>
            <c:numRef>
              <c:f>('Calibration-run 4'!$C$15,'Calibration-run 4'!$C$17:$C$18)</c:f>
              <c:numCache>
                <c:formatCode>General</c:formatCode>
                <c:ptCount val="3"/>
                <c:pt idx="0">
                  <c:v>-18.3</c:v>
                </c:pt>
                <c:pt idx="1">
                  <c:v>-10.8</c:v>
                </c:pt>
                <c:pt idx="2">
                  <c:v>-24.91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7A-409B-8135-11201FDC1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109256"/>
        <c:axId val="236110040"/>
      </c:scatterChart>
      <c:valAx>
        <c:axId val="236109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observed 13C</a:t>
                </a:r>
              </a:p>
            </c:rich>
          </c:tx>
          <c:layout>
            <c:manualLayout>
              <c:xMode val="edge"/>
              <c:yMode val="edge"/>
              <c:x val="0.3834342485508318"/>
              <c:y val="0.9006205707629215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0040"/>
        <c:crossesAt val="-30"/>
        <c:crossBetween val="midCat"/>
      </c:valAx>
      <c:valAx>
        <c:axId val="2361100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Actual d13C</a:t>
                </a:r>
              </a:p>
            </c:rich>
          </c:tx>
          <c:layout>
            <c:manualLayout>
              <c:xMode val="edge"/>
              <c:yMode val="edge"/>
              <c:x val="1.6527338299604882E-2"/>
              <c:y val="0.274657337183018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09256"/>
        <c:crossesAt val="-40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%C calibration</a:t>
            </a:r>
          </a:p>
        </c:rich>
      </c:tx>
      <c:layout>
        <c:manualLayout>
          <c:xMode val="edge"/>
          <c:yMode val="edge"/>
          <c:x val="0.38643060734645129"/>
          <c:y val="3.8141536638700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166205906304943"/>
          <c:y val="0.16660721449119567"/>
          <c:w val="0.83713035556410165"/>
          <c:h val="0.7122695556183570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-0.38705069743050746"/>
                  <c:y val="0.14038545547499007"/>
                </c:manualLayout>
              </c:layout>
              <c:numFmt formatCode="#,##0.000000" sourceLinked="0"/>
            </c:trendlineLbl>
          </c:trendline>
          <c:xVal>
            <c:numRef>
              <c:f>'Calibration-run 4'!$F$86:$F$95</c:f>
              <c:numCache>
                <c:formatCode>0.00</c:formatCode>
                <c:ptCount val="10"/>
                <c:pt idx="0">
                  <c:v>0.97221393749999996</c:v>
                </c:pt>
                <c:pt idx="1">
                  <c:v>1.1409318749999999</c:v>
                </c:pt>
                <c:pt idx="2">
                  <c:v>8.5791149999999998</c:v>
                </c:pt>
                <c:pt idx="3">
                  <c:v>9.0211749999999995</c:v>
                </c:pt>
                <c:pt idx="4">
                  <c:v>8.1368480000000005</c:v>
                </c:pt>
                <c:pt idx="5">
                  <c:v>8.0358774999999998</c:v>
                </c:pt>
                <c:pt idx="6">
                  <c:v>10.048731</c:v>
                </c:pt>
                <c:pt idx="7">
                  <c:v>9.8926839999999991</c:v>
                </c:pt>
                <c:pt idx="8">
                  <c:v>8.9303600000000003</c:v>
                </c:pt>
                <c:pt idx="9">
                  <c:v>8.1132124999999995</c:v>
                </c:pt>
              </c:numCache>
            </c:numRef>
          </c:xVal>
          <c:yVal>
            <c:numRef>
              <c:f>'Calibration-run 4'!$M$86:$M$95</c:f>
              <c:numCache>
                <c:formatCode>0.00</c:formatCode>
                <c:ptCount val="10"/>
                <c:pt idx="0">
                  <c:v>5.6045519999999988E-2</c:v>
                </c:pt>
                <c:pt idx="1">
                  <c:v>6.2741519999999995E-2</c:v>
                </c:pt>
                <c:pt idx="2">
                  <c:v>0.47329000000000004</c:v>
                </c:pt>
                <c:pt idx="3">
                  <c:v>0.49382900000000007</c:v>
                </c:pt>
                <c:pt idx="4">
                  <c:v>0.44426749999999998</c:v>
                </c:pt>
                <c:pt idx="5">
                  <c:v>0.44248150000000003</c:v>
                </c:pt>
                <c:pt idx="6">
                  <c:v>0.55455299999999996</c:v>
                </c:pt>
                <c:pt idx="7">
                  <c:v>0.54696250000000002</c:v>
                </c:pt>
                <c:pt idx="8">
                  <c:v>0.48981049999999998</c:v>
                </c:pt>
                <c:pt idx="9">
                  <c:v>0.44783949999999995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FE-44FA-9614-837AB689FC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110432"/>
        <c:axId val="236112000"/>
      </c:scatterChart>
      <c:valAx>
        <c:axId val="236110432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2000"/>
        <c:crosses val="autoZero"/>
        <c:crossBetween val="midCat"/>
      </c:valAx>
      <c:valAx>
        <c:axId val="236112000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043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d15N</a:t>
            </a:r>
            <a:r>
              <a:rPr lang="en-US" baseline="0"/>
              <a:t> calibration</a:t>
            </a:r>
            <a:endParaRPr lang="en-US"/>
          </a:p>
        </c:rich>
      </c:tx>
      <c:layout>
        <c:manualLayout>
          <c:xMode val="edge"/>
          <c:yMode val="edge"/>
          <c:x val="0.532180293247275"/>
          <c:y val="1.596844983622206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63361858130713"/>
          <c:y val="6.7726754670473538E-2"/>
          <c:w val="0.70737007922308892"/>
          <c:h val="0.72816131253172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10253974849537283"/>
                  <c:y val="-5.4829760891589863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'Calibration-run 4'!$F$22:$F$23</c:f>
              <c:numCache>
                <c:formatCode>0.00</c:formatCode>
                <c:ptCount val="2"/>
              </c:numCache>
            </c:numRef>
          </c:xVal>
          <c:yVal>
            <c:numRef>
              <c:f>'Calibration-run 4'!$E$22:$E$23</c:f>
              <c:numCache>
                <c:formatCode>General</c:formatCode>
                <c:ptCount val="2"/>
                <c:pt idx="0">
                  <c:v>0.4</c:v>
                </c:pt>
                <c:pt idx="1">
                  <c:v>20.3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DA-4656-9A23-9C307EF947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480496"/>
        <c:axId val="374480888"/>
      </c:scatterChart>
      <c:valAx>
        <c:axId val="374480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observed 15N</a:t>
                </a:r>
              </a:p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rich>
          </c:tx>
          <c:layout>
            <c:manualLayout>
              <c:xMode val="edge"/>
              <c:yMode val="edge"/>
              <c:x val="0.3834342485508318"/>
              <c:y val="0.9006205707629215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4480888"/>
        <c:crossesAt val="-30"/>
        <c:crossBetween val="midCat"/>
      </c:valAx>
      <c:valAx>
        <c:axId val="3744808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Actual d15N</a:t>
                </a:r>
              </a:p>
            </c:rich>
          </c:tx>
          <c:layout>
            <c:manualLayout>
              <c:xMode val="edge"/>
              <c:yMode val="edge"/>
              <c:x val="1.6527338299604882E-2"/>
              <c:y val="0.274657337183018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4480496"/>
        <c:crossesAt val="-40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 orientation="landscape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%N calibration</a:t>
            </a:r>
          </a:p>
        </c:rich>
      </c:tx>
      <c:layout>
        <c:manualLayout>
          <c:xMode val="edge"/>
          <c:yMode val="edge"/>
          <c:x val="0.38643060734645129"/>
          <c:y val="3.8141536638700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166205906304943"/>
          <c:y val="0.16660721449119567"/>
          <c:w val="0.83713035556410165"/>
          <c:h val="0.7122695556183570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-0.4239323643534712"/>
                  <c:y val="0.16005158228270677"/>
                </c:manualLayout>
              </c:layout>
              <c:numFmt formatCode="#,##0.000000" sourceLinked="0"/>
            </c:trendlineLbl>
          </c:trendline>
          <c:xVal>
            <c:numRef>
              <c:f>'Calibration-run 4'!$D$88:$D$95</c:f>
              <c:numCache>
                <c:formatCode>0.00</c:formatCode>
                <c:ptCount val="8"/>
                <c:pt idx="0">
                  <c:v>1.2651317500000001</c:v>
                </c:pt>
                <c:pt idx="1">
                  <c:v>1.3158935</c:v>
                </c:pt>
                <c:pt idx="2">
                  <c:v>1.1789458749999999</c:v>
                </c:pt>
                <c:pt idx="3">
                  <c:v>1.1587054999999999</c:v>
                </c:pt>
                <c:pt idx="4">
                  <c:v>1.4803314999999999</c:v>
                </c:pt>
                <c:pt idx="5">
                  <c:v>1.4196405000000001</c:v>
                </c:pt>
                <c:pt idx="6">
                  <c:v>1.350822</c:v>
                </c:pt>
                <c:pt idx="7">
                  <c:v>1.1740062499999999</c:v>
                </c:pt>
              </c:numCache>
            </c:numRef>
          </c:xVal>
          <c:yVal>
            <c:numRef>
              <c:f>'Calibration-run 4'!$Q$88:$Q$95</c:f>
              <c:numCache>
                <c:formatCode>0.00</c:formatCode>
                <c:ptCount val="8"/>
                <c:pt idx="0">
                  <c:v>2.9998000000000004E-2</c:v>
                </c:pt>
                <c:pt idx="1">
                  <c:v>3.1299800000000003E-2</c:v>
                </c:pt>
                <c:pt idx="2">
                  <c:v>2.8158500000000003E-2</c:v>
                </c:pt>
                <c:pt idx="3">
                  <c:v>2.8045300000000002E-2</c:v>
                </c:pt>
                <c:pt idx="4">
                  <c:v>3.5148600000000002E-2</c:v>
                </c:pt>
                <c:pt idx="5">
                  <c:v>3.4667500000000004E-2</c:v>
                </c:pt>
                <c:pt idx="6">
                  <c:v>3.1045100000000003E-2</c:v>
                </c:pt>
                <c:pt idx="7">
                  <c:v>2.8384899999999998E-2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2C-4C53-A862-B4000BBFDC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110432"/>
        <c:axId val="236112000"/>
      </c:scatterChart>
      <c:valAx>
        <c:axId val="236110432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2000"/>
        <c:crosses val="autoZero"/>
        <c:crossBetween val="midCat"/>
      </c:valAx>
      <c:valAx>
        <c:axId val="236112000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043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Carbon calibration</a:t>
            </a:r>
          </a:p>
        </c:rich>
      </c:tx>
      <c:layout>
        <c:manualLayout>
          <c:xMode val="edge"/>
          <c:yMode val="edge"/>
          <c:x val="0.532180293247275"/>
          <c:y val="1.596844983622206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63361858130713"/>
          <c:y val="6.7726754670473538E-2"/>
          <c:w val="0.70737007922308892"/>
          <c:h val="0.72816131253172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10253974849537283"/>
                  <c:y val="-5.4829760891589863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('Calibration-run 3'!$D$15,'Calibration-run 3'!$D$17:$D$18)</c:f>
              <c:numCache>
                <c:formatCode>0.00</c:formatCode>
                <c:ptCount val="3"/>
                <c:pt idx="0">
                  <c:v>-13.641781037969681</c:v>
                </c:pt>
                <c:pt idx="1">
                  <c:v>-6.2163785942061951</c:v>
                </c:pt>
                <c:pt idx="2">
                  <c:v>-20.119975372848074</c:v>
                </c:pt>
              </c:numCache>
            </c:numRef>
          </c:xVal>
          <c:yVal>
            <c:numRef>
              <c:f>('Calibration-run 3'!$C$15,'Calibration-run 3'!$C$17:$C$18)</c:f>
              <c:numCache>
                <c:formatCode>General</c:formatCode>
                <c:ptCount val="3"/>
                <c:pt idx="0">
                  <c:v>-18.3</c:v>
                </c:pt>
                <c:pt idx="1">
                  <c:v>-10.8</c:v>
                </c:pt>
                <c:pt idx="2">
                  <c:v>-24.91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2B-4442-9314-45B0E4935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109256"/>
        <c:axId val="236110040"/>
      </c:scatterChart>
      <c:valAx>
        <c:axId val="236109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observed 13C</a:t>
                </a:r>
              </a:p>
            </c:rich>
          </c:tx>
          <c:layout>
            <c:manualLayout>
              <c:xMode val="edge"/>
              <c:yMode val="edge"/>
              <c:x val="0.3834342485508318"/>
              <c:y val="0.9006205707629215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0040"/>
        <c:crossesAt val="-30"/>
        <c:crossBetween val="midCat"/>
      </c:valAx>
      <c:valAx>
        <c:axId val="2361100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Actual d13C</a:t>
                </a:r>
              </a:p>
            </c:rich>
          </c:tx>
          <c:layout>
            <c:manualLayout>
              <c:xMode val="edge"/>
              <c:yMode val="edge"/>
              <c:x val="1.6527338299604882E-2"/>
              <c:y val="0.274657337183018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09256"/>
        <c:crossesAt val="-40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 orientation="landscape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%C calibration</a:t>
            </a:r>
          </a:p>
        </c:rich>
      </c:tx>
      <c:layout>
        <c:manualLayout>
          <c:xMode val="edge"/>
          <c:yMode val="edge"/>
          <c:x val="0.38643060734645129"/>
          <c:y val="3.8141536638700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166205906304943"/>
          <c:y val="0.16660721449119567"/>
          <c:w val="0.83713035556410165"/>
          <c:h val="0.7122695556183570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-0.38705069743050746"/>
                  <c:y val="0.14038545547499007"/>
                </c:manualLayout>
              </c:layout>
              <c:numFmt formatCode="#,##0.000000" sourceLinked="0"/>
            </c:trendlineLbl>
          </c:trendline>
          <c:xVal>
            <c:numRef>
              <c:f>'Calibration-run 3'!$F$86:$F$93</c:f>
              <c:numCache>
                <c:formatCode>0.00</c:formatCode>
                <c:ptCount val="8"/>
                <c:pt idx="0">
                  <c:v>0.56177806249999995</c:v>
                </c:pt>
                <c:pt idx="2">
                  <c:v>10.151578000000001</c:v>
                </c:pt>
                <c:pt idx="3">
                  <c:v>7.0700265</c:v>
                </c:pt>
                <c:pt idx="4">
                  <c:v>6.7676309999999997</c:v>
                </c:pt>
                <c:pt idx="5">
                  <c:v>7.2384729999999999</c:v>
                </c:pt>
                <c:pt idx="6">
                  <c:v>7.250121</c:v>
                </c:pt>
                <c:pt idx="7">
                  <c:v>10.573038</c:v>
                </c:pt>
              </c:numCache>
            </c:numRef>
          </c:xVal>
          <c:yVal>
            <c:numRef>
              <c:f>'Calibration-run 3'!$M$86:$M$93</c:f>
              <c:numCache>
                <c:formatCode>0.00</c:formatCode>
                <c:ptCount val="8"/>
                <c:pt idx="0">
                  <c:v>4.6704599999999992E-2</c:v>
                </c:pt>
                <c:pt idx="2">
                  <c:v>0.58268249999999999</c:v>
                </c:pt>
                <c:pt idx="3">
                  <c:v>0.39827800000000002</c:v>
                </c:pt>
                <c:pt idx="4">
                  <c:v>0.39068750000000002</c:v>
                </c:pt>
                <c:pt idx="5">
                  <c:v>0.41613800000000001</c:v>
                </c:pt>
                <c:pt idx="6">
                  <c:v>0.41658450000000002</c:v>
                </c:pt>
                <c:pt idx="7">
                  <c:v>0.60857950000000005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14-45E4-BE95-08657D808C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110432"/>
        <c:axId val="236112000"/>
      </c:scatterChart>
      <c:valAx>
        <c:axId val="236110432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2000"/>
        <c:crosses val="autoZero"/>
        <c:crossBetween val="midCat"/>
      </c:valAx>
      <c:valAx>
        <c:axId val="236112000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043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d15N</a:t>
            </a:r>
            <a:r>
              <a:rPr lang="en-US" baseline="0"/>
              <a:t> calibration</a:t>
            </a:r>
            <a:endParaRPr lang="en-US"/>
          </a:p>
        </c:rich>
      </c:tx>
      <c:layout>
        <c:manualLayout>
          <c:xMode val="edge"/>
          <c:yMode val="edge"/>
          <c:x val="0.532180293247275"/>
          <c:y val="1.596844983622206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63361858130713"/>
          <c:y val="6.7726754670473538E-2"/>
          <c:w val="0.70737007922308892"/>
          <c:h val="0.72816131253172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10253974849537283"/>
                  <c:y val="-5.4829760891589863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'Calibration-run 3'!$F$22:$F$23</c:f>
              <c:numCache>
                <c:formatCode>0.00</c:formatCode>
                <c:ptCount val="2"/>
              </c:numCache>
            </c:numRef>
          </c:xVal>
          <c:yVal>
            <c:numRef>
              <c:f>'Calibration-run 3'!$E$22:$E$23</c:f>
              <c:numCache>
                <c:formatCode>General</c:formatCode>
                <c:ptCount val="2"/>
                <c:pt idx="0">
                  <c:v>0.4</c:v>
                </c:pt>
                <c:pt idx="1">
                  <c:v>20.3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6C-4941-B5A1-287D1847BB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480496"/>
        <c:axId val="374480888"/>
      </c:scatterChart>
      <c:valAx>
        <c:axId val="374480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observed 15N</a:t>
                </a:r>
              </a:p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rich>
          </c:tx>
          <c:layout>
            <c:manualLayout>
              <c:xMode val="edge"/>
              <c:yMode val="edge"/>
              <c:x val="0.3834342485508318"/>
              <c:y val="0.9006205707629215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4480888"/>
        <c:crossesAt val="-30"/>
        <c:crossBetween val="midCat"/>
      </c:valAx>
      <c:valAx>
        <c:axId val="3744808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Actual d15N</a:t>
                </a:r>
              </a:p>
            </c:rich>
          </c:tx>
          <c:layout>
            <c:manualLayout>
              <c:xMode val="edge"/>
              <c:yMode val="edge"/>
              <c:x val="1.6527338299604882E-2"/>
              <c:y val="0.274657337183018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4480496"/>
        <c:crossesAt val="-40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 orientation="landscape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%N calibration</a:t>
            </a:r>
          </a:p>
        </c:rich>
      </c:tx>
      <c:layout>
        <c:manualLayout>
          <c:xMode val="edge"/>
          <c:yMode val="edge"/>
          <c:x val="0.38643060734645129"/>
          <c:y val="3.8141536638700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166205906304943"/>
          <c:y val="0.16660721449119567"/>
          <c:w val="0.83713035556410165"/>
          <c:h val="0.7122695556183570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trendlineType val="linear"/>
            <c:dispRSqr val="1"/>
            <c:dispEq val="1"/>
            <c:trendlineLbl>
              <c:layout>
                <c:manualLayout>
                  <c:x val="-0.4239323643534712"/>
                  <c:y val="0.16005158228270677"/>
                </c:manualLayout>
              </c:layout>
              <c:numFmt formatCode="#,##0.000000" sourceLinked="0"/>
            </c:trendlineLbl>
          </c:trendline>
          <c:xVal>
            <c:numRef>
              <c:f>'Calibration-run 3'!$D$89:$D$93</c:f>
              <c:numCache>
                <c:formatCode>0.00</c:formatCode>
                <c:ptCount val="5"/>
                <c:pt idx="0">
                  <c:v>0.86672943749999998</c:v>
                </c:pt>
                <c:pt idx="1">
                  <c:v>0.7820153125</c:v>
                </c:pt>
                <c:pt idx="2">
                  <c:v>0.82733725000000002</c:v>
                </c:pt>
                <c:pt idx="3">
                  <c:v>0.83838868749999995</c:v>
                </c:pt>
                <c:pt idx="4">
                  <c:v>1.130804125</c:v>
                </c:pt>
              </c:numCache>
            </c:numRef>
          </c:xVal>
          <c:yVal>
            <c:numRef>
              <c:f>'Calibration-run 3'!$Q$89:$Q$93</c:f>
              <c:numCache>
                <c:formatCode>0.00</c:formatCode>
                <c:ptCount val="5"/>
                <c:pt idx="0">
                  <c:v>2.5243600000000001E-2</c:v>
                </c:pt>
                <c:pt idx="1">
                  <c:v>2.4762500000000003E-2</c:v>
                </c:pt>
                <c:pt idx="2">
                  <c:v>2.6375600000000003E-2</c:v>
                </c:pt>
                <c:pt idx="3">
                  <c:v>2.6403900000000004E-2</c:v>
                </c:pt>
                <c:pt idx="4">
                  <c:v>3.85729E-2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E8-4E7C-A6B1-D260301C6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110432"/>
        <c:axId val="236112000"/>
      </c:scatterChart>
      <c:valAx>
        <c:axId val="236110432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2000"/>
        <c:crosses val="autoZero"/>
        <c:crossBetween val="midCat"/>
      </c:valAx>
      <c:valAx>
        <c:axId val="236112000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043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Carbon calibration</a:t>
            </a:r>
          </a:p>
        </c:rich>
      </c:tx>
      <c:layout>
        <c:manualLayout>
          <c:xMode val="edge"/>
          <c:yMode val="edge"/>
          <c:x val="0.532180293247275"/>
          <c:y val="1.596844983622206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63361858130713"/>
          <c:y val="6.7726754670473538E-2"/>
          <c:w val="0.70737007922308892"/>
          <c:h val="0.72816131253172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10253974849537283"/>
                  <c:y val="-5.4829760891589863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('Calibration-run 2'!$D$15,'Calibration-run 2'!$D$17:$D$18)</c:f>
              <c:numCache>
                <c:formatCode>0.00</c:formatCode>
                <c:ptCount val="3"/>
                <c:pt idx="0">
                  <c:v>-13.794087539203694</c:v>
                </c:pt>
                <c:pt idx="1">
                  <c:v>-6.2497726309370183</c:v>
                </c:pt>
                <c:pt idx="2">
                  <c:v>-20.322299917168337</c:v>
                </c:pt>
              </c:numCache>
            </c:numRef>
          </c:xVal>
          <c:yVal>
            <c:numRef>
              <c:f>('Calibration-run 2'!$C$15,'Calibration-run 2'!$C$17:$C$18)</c:f>
              <c:numCache>
                <c:formatCode>General</c:formatCode>
                <c:ptCount val="3"/>
                <c:pt idx="0">
                  <c:v>-18.3</c:v>
                </c:pt>
                <c:pt idx="1">
                  <c:v>-10.8</c:v>
                </c:pt>
                <c:pt idx="2">
                  <c:v>-24.91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A2-4CDF-9F14-C3BED8A555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109256"/>
        <c:axId val="236110040"/>
      </c:scatterChart>
      <c:valAx>
        <c:axId val="236109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observed 13C</a:t>
                </a:r>
              </a:p>
            </c:rich>
          </c:tx>
          <c:layout>
            <c:manualLayout>
              <c:xMode val="edge"/>
              <c:yMode val="edge"/>
              <c:x val="0.3834342485508318"/>
              <c:y val="0.9006205707629215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0040"/>
        <c:crossesAt val="-30"/>
        <c:crossBetween val="midCat"/>
      </c:valAx>
      <c:valAx>
        <c:axId val="2361100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Actual d13C</a:t>
                </a:r>
              </a:p>
            </c:rich>
          </c:tx>
          <c:layout>
            <c:manualLayout>
              <c:xMode val="edge"/>
              <c:yMode val="edge"/>
              <c:x val="1.6527338299604882E-2"/>
              <c:y val="0.274657337183018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09256"/>
        <c:crossesAt val="-40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 orientation="landscape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%C calibration</a:t>
            </a:r>
          </a:p>
        </c:rich>
      </c:tx>
      <c:layout>
        <c:manualLayout>
          <c:xMode val="edge"/>
          <c:yMode val="edge"/>
          <c:x val="0.38643060734645129"/>
          <c:y val="3.8141536638700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166205906304943"/>
          <c:y val="0.16660721449119567"/>
          <c:w val="0.83713035556410165"/>
          <c:h val="0.7122695556183570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-0.38705069743050746"/>
                  <c:y val="0.14038545547499007"/>
                </c:manualLayout>
              </c:layout>
              <c:numFmt formatCode="#,##0.000000" sourceLinked="0"/>
            </c:trendlineLbl>
          </c:trendline>
          <c:xVal>
            <c:numRef>
              <c:f>'Calibration-run 2'!$F$86:$F$93</c:f>
              <c:numCache>
                <c:formatCode>0.00</c:formatCode>
                <c:ptCount val="8"/>
                <c:pt idx="0">
                  <c:v>1.0070915625000001</c:v>
                </c:pt>
                <c:pt idx="1">
                  <c:v>0.81643081250000005</c:v>
                </c:pt>
                <c:pt idx="2">
                  <c:v>6.8341704999999999</c:v>
                </c:pt>
                <c:pt idx="3">
                  <c:v>8.3068305000000002</c:v>
                </c:pt>
                <c:pt idx="4">
                  <c:v>8.0886045000000006</c:v>
                </c:pt>
                <c:pt idx="5">
                  <c:v>8.1806274999999999</c:v>
                </c:pt>
                <c:pt idx="6">
                  <c:v>10.171633</c:v>
                </c:pt>
                <c:pt idx="7">
                  <c:v>6.9818239999999996</c:v>
                </c:pt>
              </c:numCache>
            </c:numRef>
          </c:xVal>
          <c:yVal>
            <c:numRef>
              <c:f>'Calibration-run 2'!$M$86:$M$93</c:f>
              <c:numCache>
                <c:formatCode>0.00</c:formatCode>
                <c:ptCount val="8"/>
                <c:pt idx="0">
                  <c:v>5.1994439999999989E-2</c:v>
                </c:pt>
                <c:pt idx="1">
                  <c:v>4.1983919999999994E-2</c:v>
                </c:pt>
                <c:pt idx="2">
                  <c:v>0.35318150000000004</c:v>
                </c:pt>
                <c:pt idx="3">
                  <c:v>0.43310500000000002</c:v>
                </c:pt>
                <c:pt idx="4">
                  <c:v>0.41837050000000003</c:v>
                </c:pt>
                <c:pt idx="5">
                  <c:v>0.42238899999999996</c:v>
                </c:pt>
                <c:pt idx="6">
                  <c:v>0.52597700000000003</c:v>
                </c:pt>
                <c:pt idx="7">
                  <c:v>0.37863199999999997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31-4772-A68C-8716DAEC8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110432"/>
        <c:axId val="236112000"/>
      </c:scatterChart>
      <c:valAx>
        <c:axId val="236110432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2000"/>
        <c:crosses val="autoZero"/>
        <c:crossBetween val="midCat"/>
      </c:valAx>
      <c:valAx>
        <c:axId val="236112000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043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d15N</a:t>
            </a:r>
            <a:r>
              <a:rPr lang="en-US" baseline="0"/>
              <a:t> calibration</a:t>
            </a:r>
            <a:endParaRPr lang="en-US"/>
          </a:p>
        </c:rich>
      </c:tx>
      <c:layout>
        <c:manualLayout>
          <c:xMode val="edge"/>
          <c:yMode val="edge"/>
          <c:x val="0.532180293247275"/>
          <c:y val="1.596844983622206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63361858130713"/>
          <c:y val="6.7726754670473538E-2"/>
          <c:w val="0.70737007922308892"/>
          <c:h val="0.72816131253172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10253974849537283"/>
                  <c:y val="-5.4829760891589863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'Calibration-run 2'!$F$22:$F$23</c:f>
              <c:numCache>
                <c:formatCode>0.00</c:formatCode>
                <c:ptCount val="2"/>
                <c:pt idx="0">
                  <c:v>1.0215540503705212</c:v>
                </c:pt>
                <c:pt idx="1">
                  <c:v>19.678009955317101</c:v>
                </c:pt>
              </c:numCache>
            </c:numRef>
          </c:xVal>
          <c:yVal>
            <c:numRef>
              <c:f>'Calibration-run 2'!$E$22:$E$23</c:f>
              <c:numCache>
                <c:formatCode>General</c:formatCode>
                <c:ptCount val="2"/>
                <c:pt idx="0">
                  <c:v>0.4</c:v>
                </c:pt>
                <c:pt idx="1">
                  <c:v>20.3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58-43EB-B5D5-5D51D3F34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480496"/>
        <c:axId val="374480888"/>
      </c:scatterChart>
      <c:valAx>
        <c:axId val="374480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observed 15N</a:t>
                </a:r>
              </a:p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rich>
          </c:tx>
          <c:layout>
            <c:manualLayout>
              <c:xMode val="edge"/>
              <c:yMode val="edge"/>
              <c:x val="0.3834342485508318"/>
              <c:y val="0.9006205707629215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4480888"/>
        <c:crossesAt val="-30"/>
        <c:crossBetween val="midCat"/>
      </c:valAx>
      <c:valAx>
        <c:axId val="3744808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Actual d15N</a:t>
                </a:r>
              </a:p>
            </c:rich>
          </c:tx>
          <c:layout>
            <c:manualLayout>
              <c:xMode val="edge"/>
              <c:yMode val="edge"/>
              <c:x val="1.6527338299604882E-2"/>
              <c:y val="0.274657337183018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4480496"/>
        <c:crossesAt val="-40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 orientation="landscape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%N calibration</a:t>
            </a:r>
          </a:p>
        </c:rich>
      </c:tx>
      <c:layout>
        <c:manualLayout>
          <c:xMode val="edge"/>
          <c:yMode val="edge"/>
          <c:x val="0.38643060734645129"/>
          <c:y val="3.8141536638700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166205906304943"/>
          <c:y val="0.16660721449119567"/>
          <c:w val="0.83713035556410165"/>
          <c:h val="0.7122695556183570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trendlineType val="linear"/>
            <c:dispRSqr val="1"/>
            <c:dispEq val="1"/>
            <c:trendlineLbl>
              <c:layout>
                <c:manualLayout>
                  <c:x val="-0.4239323643534712"/>
                  <c:y val="0.16005158228270677"/>
                </c:manualLayout>
              </c:layout>
              <c:numFmt formatCode="#,##0.000000" sourceLinked="0"/>
            </c:trendlineLbl>
          </c:trendline>
          <c:xVal>
            <c:numRef>
              <c:f>'Calibration-run 2'!$D$93:$D$94</c:f>
              <c:numCache>
                <c:formatCode>0.00</c:formatCode>
                <c:ptCount val="2"/>
                <c:pt idx="0">
                  <c:v>0.71086843749999995</c:v>
                </c:pt>
                <c:pt idx="1">
                  <c:v>0.178255625</c:v>
                </c:pt>
              </c:numCache>
            </c:numRef>
          </c:xVal>
          <c:yVal>
            <c:numRef>
              <c:f>'Calibration-run 2'!$Q$93:$Q$94</c:f>
              <c:numCache>
                <c:formatCode>0.00</c:formatCode>
                <c:ptCount val="2"/>
                <c:pt idx="0">
                  <c:v>2.39984E-2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58-40C5-A29E-A1364E92B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110432"/>
        <c:axId val="236112000"/>
      </c:scatterChart>
      <c:valAx>
        <c:axId val="236110432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2000"/>
        <c:crosses val="autoZero"/>
        <c:crossBetween val="midCat"/>
      </c:valAx>
      <c:valAx>
        <c:axId val="236112000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043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Carbon calibration</a:t>
            </a:r>
          </a:p>
        </c:rich>
      </c:tx>
      <c:layout>
        <c:manualLayout>
          <c:xMode val="edge"/>
          <c:yMode val="edge"/>
          <c:x val="0.532180293247275"/>
          <c:y val="1.596844983622206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63361858130713"/>
          <c:y val="6.7726754670473538E-2"/>
          <c:w val="0.70737007922308892"/>
          <c:h val="0.72816131253172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10253974849537283"/>
                  <c:y val="-5.4829760891589863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('Calibration-run 1'!$D$15,'Calibration-run 1'!$D$17:$D$18)</c:f>
              <c:numCache>
                <c:formatCode>0.00</c:formatCode>
                <c:ptCount val="3"/>
                <c:pt idx="0">
                  <c:v>-13.809906497676632</c:v>
                </c:pt>
                <c:pt idx="1">
                  <c:v>-5.9875033283409174</c:v>
                </c:pt>
                <c:pt idx="2">
                  <c:v>-20.172939884749514</c:v>
                </c:pt>
              </c:numCache>
            </c:numRef>
          </c:xVal>
          <c:yVal>
            <c:numRef>
              <c:f>('Calibration-run 1'!$C$15,'Calibration-run 1'!$C$17:$C$18)</c:f>
              <c:numCache>
                <c:formatCode>General</c:formatCode>
                <c:ptCount val="3"/>
                <c:pt idx="0">
                  <c:v>-18.3</c:v>
                </c:pt>
                <c:pt idx="1">
                  <c:v>-10.8</c:v>
                </c:pt>
                <c:pt idx="2">
                  <c:v>-24.91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7A-4097-8DF3-F508FEBB2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109256"/>
        <c:axId val="236110040"/>
      </c:scatterChart>
      <c:valAx>
        <c:axId val="236109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observed 13C</a:t>
                </a:r>
              </a:p>
            </c:rich>
          </c:tx>
          <c:layout>
            <c:manualLayout>
              <c:xMode val="edge"/>
              <c:yMode val="edge"/>
              <c:x val="0.3834342485508318"/>
              <c:y val="0.9006205707629215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0040"/>
        <c:crossesAt val="-30"/>
        <c:crossBetween val="midCat"/>
      </c:valAx>
      <c:valAx>
        <c:axId val="2361100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Actual d13C</a:t>
                </a:r>
              </a:p>
            </c:rich>
          </c:tx>
          <c:layout>
            <c:manualLayout>
              <c:xMode val="edge"/>
              <c:yMode val="edge"/>
              <c:x val="1.6527338299604882E-2"/>
              <c:y val="0.274657337183018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09256"/>
        <c:crossesAt val="-40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 orientation="landscape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%C calibration</a:t>
            </a:r>
          </a:p>
        </c:rich>
      </c:tx>
      <c:layout>
        <c:manualLayout>
          <c:xMode val="edge"/>
          <c:yMode val="edge"/>
          <c:x val="0.38643060734645129"/>
          <c:y val="3.8141536638700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166205906304943"/>
          <c:y val="0.16660721449119567"/>
          <c:w val="0.83713035556410165"/>
          <c:h val="0.7122695556183570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-0.38705069743050746"/>
                  <c:y val="0.14038545547499007"/>
                </c:manualLayout>
              </c:layout>
              <c:numFmt formatCode="#,##0.000000" sourceLinked="0"/>
            </c:trendlineLbl>
          </c:trendline>
          <c:xVal>
            <c:numRef>
              <c:f>'Calibration-run 1'!$F$86:$F$96</c:f>
              <c:numCache>
                <c:formatCode>0.00</c:formatCode>
                <c:ptCount val="11"/>
                <c:pt idx="0">
                  <c:v>1.0028758124999999</c:v>
                </c:pt>
                <c:pt idx="1">
                  <c:v>0.91555462499999996</c:v>
                </c:pt>
                <c:pt idx="2">
                  <c:v>0.81909462499999997</c:v>
                </c:pt>
                <c:pt idx="3">
                  <c:v>8.9779660000000003</c:v>
                </c:pt>
                <c:pt idx="4">
                  <c:v>9.1975569999999998</c:v>
                </c:pt>
                <c:pt idx="5">
                  <c:v>6.5651780000000004</c:v>
                </c:pt>
                <c:pt idx="6">
                  <c:v>9.0147840000000006</c:v>
                </c:pt>
                <c:pt idx="7">
                  <c:v>7.4608654999999997</c:v>
                </c:pt>
                <c:pt idx="8">
                  <c:v>10.427472</c:v>
                </c:pt>
                <c:pt idx="9">
                  <c:v>9.2543860000000002</c:v>
                </c:pt>
                <c:pt idx="10">
                  <c:v>6.6975094999999998</c:v>
                </c:pt>
              </c:numCache>
            </c:numRef>
          </c:xVal>
          <c:yVal>
            <c:numRef>
              <c:f>'Calibration-run 1'!$M$86:$M$96</c:f>
              <c:numCache>
                <c:formatCode>0.00</c:formatCode>
                <c:ptCount val="11"/>
                <c:pt idx="0">
                  <c:v>5.6078999999999997E-2</c:v>
                </c:pt>
                <c:pt idx="1">
                  <c:v>4.9148639999999993E-2</c:v>
                </c:pt>
                <c:pt idx="2">
                  <c:v>4.3624439999999994E-2</c:v>
                </c:pt>
                <c:pt idx="3">
                  <c:v>0.49382900000000007</c:v>
                </c:pt>
                <c:pt idx="4">
                  <c:v>0.50767050000000002</c:v>
                </c:pt>
                <c:pt idx="5">
                  <c:v>0.3567535</c:v>
                </c:pt>
                <c:pt idx="6">
                  <c:v>0.49070350000000001</c:v>
                </c:pt>
                <c:pt idx="7">
                  <c:v>0.40051049999999999</c:v>
                </c:pt>
                <c:pt idx="8">
                  <c:v>0.56035749999999995</c:v>
                </c:pt>
                <c:pt idx="9">
                  <c:v>0.4978475</c:v>
                </c:pt>
                <c:pt idx="10">
                  <c:v>0.35898600000000003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19-4265-B6D8-ECD283AE2C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110432"/>
        <c:axId val="236112000"/>
      </c:scatterChart>
      <c:valAx>
        <c:axId val="236110432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2000"/>
        <c:crosses val="autoZero"/>
        <c:crossBetween val="midCat"/>
      </c:valAx>
      <c:valAx>
        <c:axId val="236112000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043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d15N</a:t>
            </a:r>
            <a:r>
              <a:rPr lang="en-US" baseline="0"/>
              <a:t> calibration</a:t>
            </a:r>
            <a:endParaRPr lang="en-US"/>
          </a:p>
        </c:rich>
      </c:tx>
      <c:layout>
        <c:manualLayout>
          <c:xMode val="edge"/>
          <c:yMode val="edge"/>
          <c:x val="0.532180293247275"/>
          <c:y val="1.596844983622206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63361858130713"/>
          <c:y val="6.7726754670473538E-2"/>
          <c:w val="0.70737007922308892"/>
          <c:h val="0.72816131253172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10253974849537283"/>
                  <c:y val="-5.4829760891589863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'Calibration-run 1'!$F$22:$F$23</c:f>
              <c:numCache>
                <c:formatCode>0.00</c:formatCode>
                <c:ptCount val="2"/>
                <c:pt idx="0">
                  <c:v>1.2941196946578692</c:v>
                </c:pt>
                <c:pt idx="1">
                  <c:v>19.457758724372056</c:v>
                </c:pt>
              </c:numCache>
            </c:numRef>
          </c:xVal>
          <c:yVal>
            <c:numRef>
              <c:f>'Calibration-run 1'!$E$22:$E$23</c:f>
              <c:numCache>
                <c:formatCode>General</c:formatCode>
                <c:ptCount val="2"/>
                <c:pt idx="0">
                  <c:v>0.4</c:v>
                </c:pt>
                <c:pt idx="1">
                  <c:v>20.3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05-449F-9CB6-ED8E23458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480496"/>
        <c:axId val="374480888"/>
      </c:scatterChart>
      <c:valAx>
        <c:axId val="374480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observed 15N</a:t>
                </a:r>
              </a:p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rich>
          </c:tx>
          <c:layout>
            <c:manualLayout>
              <c:xMode val="edge"/>
              <c:yMode val="edge"/>
              <c:x val="0.3834342485508318"/>
              <c:y val="0.9006205707629215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4480888"/>
        <c:crossesAt val="-30"/>
        <c:crossBetween val="midCat"/>
      </c:valAx>
      <c:valAx>
        <c:axId val="3744808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Actual d15N</a:t>
                </a:r>
              </a:p>
            </c:rich>
          </c:tx>
          <c:layout>
            <c:manualLayout>
              <c:xMode val="edge"/>
              <c:yMode val="edge"/>
              <c:x val="1.6527338299604882E-2"/>
              <c:y val="0.274657337183018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4480496"/>
        <c:crossesAt val="-40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 orientation="landscape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%N calibration</a:t>
            </a:r>
          </a:p>
        </c:rich>
      </c:tx>
      <c:layout>
        <c:manualLayout>
          <c:xMode val="edge"/>
          <c:yMode val="edge"/>
          <c:x val="0.38643060734645129"/>
          <c:y val="3.8141536638700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166205906304943"/>
          <c:y val="0.16660721449119567"/>
          <c:w val="0.83713035556410165"/>
          <c:h val="0.7122695556183570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trendlineType val="linear"/>
            <c:dispRSqr val="1"/>
            <c:dispEq val="1"/>
            <c:trendlineLbl>
              <c:layout>
                <c:manualLayout>
                  <c:x val="-0.24778646014183767"/>
                  <c:y val="9.0725607457750934E-2"/>
                </c:manualLayout>
              </c:layout>
              <c:numFmt formatCode="#,##0.000000" sourceLinked="0"/>
            </c:trendlineLbl>
          </c:trendline>
          <c:xVal>
            <c:numRef>
              <c:f>'Calibration-run 1'!$D$89:$D$96</c:f>
              <c:numCache>
                <c:formatCode>0.00</c:formatCode>
                <c:ptCount val="8"/>
                <c:pt idx="0">
                  <c:v>1.5089465</c:v>
                </c:pt>
                <c:pt idx="1">
                  <c:v>1.5229701250000001</c:v>
                </c:pt>
                <c:pt idx="2">
                  <c:v>1.1197581249999999</c:v>
                </c:pt>
                <c:pt idx="3">
                  <c:v>1.53150075</c:v>
                </c:pt>
                <c:pt idx="4">
                  <c:v>1.4057626249999999</c:v>
                </c:pt>
                <c:pt idx="5">
                  <c:v>1.5809407499999999</c:v>
                </c:pt>
                <c:pt idx="6">
                  <c:v>1.4337353749999999</c:v>
                </c:pt>
                <c:pt idx="7">
                  <c:v>1.0477574375000001</c:v>
                </c:pt>
              </c:numCache>
            </c:numRef>
          </c:xVal>
          <c:yVal>
            <c:numRef>
              <c:f>'Calibration-run 1'!$Q$89:$Q$96</c:f>
              <c:numCache>
                <c:formatCode>0.00</c:formatCode>
                <c:ptCount val="8"/>
                <c:pt idx="0">
                  <c:v>3.1299800000000003E-2</c:v>
                </c:pt>
                <c:pt idx="1">
                  <c:v>3.21771E-2</c:v>
                </c:pt>
                <c:pt idx="2">
                  <c:v>2.2611700000000002E-2</c:v>
                </c:pt>
                <c:pt idx="3">
                  <c:v>3.1101700000000003E-2</c:v>
                </c:pt>
                <c:pt idx="5">
                  <c:v>3.5516499999999999E-2</c:v>
                </c:pt>
                <c:pt idx="6">
                  <c:v>3.1554499999999999E-2</c:v>
                </c:pt>
                <c:pt idx="7">
                  <c:v>2.2753200000000005E-2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C7-4D9F-B412-0167F60E1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110432"/>
        <c:axId val="236112000"/>
      </c:scatterChart>
      <c:valAx>
        <c:axId val="236110432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2000"/>
        <c:crosses val="autoZero"/>
        <c:crossBetween val="midCat"/>
      </c:valAx>
      <c:valAx>
        <c:axId val="236112000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043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image" Target="../media/image1.png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image" Target="../media/image1.png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image" Target="../media/image1.png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image" Target="../media/image1.png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image" Target="../media/image1.png"/><Relationship Id="rId5" Type="http://schemas.openxmlformats.org/officeDocument/2006/relationships/chart" Target="../charts/chart24.xml"/><Relationship Id="rId4" Type="http://schemas.openxmlformats.org/officeDocument/2006/relationships/chart" Target="../charts/chart23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image" Target="../media/image1.png"/><Relationship Id="rId5" Type="http://schemas.openxmlformats.org/officeDocument/2006/relationships/chart" Target="../charts/chart28.xml"/><Relationship Id="rId4" Type="http://schemas.openxmlformats.org/officeDocument/2006/relationships/chart" Target="../charts/chart27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image" Target="../media/image1.png"/><Relationship Id="rId5" Type="http://schemas.openxmlformats.org/officeDocument/2006/relationships/chart" Target="../charts/chart32.xml"/><Relationship Id="rId4" Type="http://schemas.openxmlformats.org/officeDocument/2006/relationships/chart" Target="../charts/chart31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image" Target="../media/image1.png"/><Relationship Id="rId5" Type="http://schemas.openxmlformats.org/officeDocument/2006/relationships/chart" Target="../charts/chart36.xml"/><Relationship Id="rId4" Type="http://schemas.openxmlformats.org/officeDocument/2006/relationships/chart" Target="../charts/chart35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image" Target="../media/image1.png"/><Relationship Id="rId5" Type="http://schemas.openxmlformats.org/officeDocument/2006/relationships/chart" Target="../charts/chart40.xml"/><Relationship Id="rId4" Type="http://schemas.openxmlformats.org/officeDocument/2006/relationships/chart" Target="../charts/chart3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0</xdr:col>
      <xdr:colOff>609600</xdr:colOff>
      <xdr:row>4</xdr:row>
      <xdr:rowOff>123825</xdr:rowOff>
    </xdr:to>
    <xdr:pic>
      <xdr:nvPicPr>
        <xdr:cNvPr id="2" name="Picture 3" descr="logo">
          <a:extLst>
            <a:ext uri="{FF2B5EF4-FFF2-40B4-BE49-F238E27FC236}">
              <a16:creationId xmlns:a16="http://schemas.microsoft.com/office/drawing/2014/main" id="{EAA64242-AAEF-4266-8928-7D89CA22C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8575"/>
          <a:ext cx="609600" cy="109537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226919</xdr:colOff>
      <xdr:row>0</xdr:row>
      <xdr:rowOff>130548</xdr:rowOff>
    </xdr:from>
    <xdr:to>
      <xdr:col>14</xdr:col>
      <xdr:colOff>683559</xdr:colOff>
      <xdr:row>15</xdr:row>
      <xdr:rowOff>0</xdr:rowOff>
    </xdr:to>
    <xdr:graphicFrame macro="">
      <xdr:nvGraphicFramePr>
        <xdr:cNvPr id="3" name="Chart 33">
          <a:extLst>
            <a:ext uri="{FF2B5EF4-FFF2-40B4-BE49-F238E27FC236}">
              <a16:creationId xmlns:a16="http://schemas.microsoft.com/office/drawing/2014/main" id="{1A0C31DE-0B14-4E8A-A217-1A92BFA600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753596</xdr:colOff>
      <xdr:row>11</xdr:row>
      <xdr:rowOff>89647</xdr:rowOff>
    </xdr:from>
    <xdr:to>
      <xdr:col>15</xdr:col>
      <xdr:colOff>112059</xdr:colOff>
      <xdr:row>29</xdr:row>
      <xdr:rowOff>88526</xdr:rowOff>
    </xdr:to>
    <xdr:graphicFrame macro="">
      <xdr:nvGraphicFramePr>
        <xdr:cNvPr id="4" name="Chart 57">
          <a:extLst>
            <a:ext uri="{FF2B5EF4-FFF2-40B4-BE49-F238E27FC236}">
              <a16:creationId xmlns:a16="http://schemas.microsoft.com/office/drawing/2014/main" id="{35779E7A-6498-4C12-8520-6812240D8C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1</xdr:row>
      <xdr:rowOff>0</xdr:rowOff>
    </xdr:from>
    <xdr:to>
      <xdr:col>19</xdr:col>
      <xdr:colOff>568699</xdr:colOff>
      <xdr:row>15</xdr:row>
      <xdr:rowOff>15128</xdr:rowOff>
    </xdr:to>
    <xdr:graphicFrame macro="">
      <xdr:nvGraphicFramePr>
        <xdr:cNvPr id="5" name="Chart 33">
          <a:extLst>
            <a:ext uri="{FF2B5EF4-FFF2-40B4-BE49-F238E27FC236}">
              <a16:creationId xmlns:a16="http://schemas.microsoft.com/office/drawing/2014/main" id="{FB072555-347E-407C-B7FE-DB4E206AEF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201706</xdr:colOff>
      <xdr:row>12</xdr:row>
      <xdr:rowOff>0</xdr:rowOff>
    </xdr:from>
    <xdr:to>
      <xdr:col>21</xdr:col>
      <xdr:colOff>86846</xdr:colOff>
      <xdr:row>29</xdr:row>
      <xdr:rowOff>144555</xdr:rowOff>
    </xdr:to>
    <xdr:graphicFrame macro="">
      <xdr:nvGraphicFramePr>
        <xdr:cNvPr id="6" name="Chart 57">
          <a:extLst>
            <a:ext uri="{FF2B5EF4-FFF2-40B4-BE49-F238E27FC236}">
              <a16:creationId xmlns:a16="http://schemas.microsoft.com/office/drawing/2014/main" id="{54738FD4-51EA-4266-ACA7-48AA1A065F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0</xdr:col>
      <xdr:colOff>609600</xdr:colOff>
      <xdr:row>4</xdr:row>
      <xdr:rowOff>123825</xdr:rowOff>
    </xdr:to>
    <xdr:pic>
      <xdr:nvPicPr>
        <xdr:cNvPr id="2" name="Picture 3" descr="logo">
          <a:extLst>
            <a:ext uri="{FF2B5EF4-FFF2-40B4-BE49-F238E27FC236}">
              <a16:creationId xmlns:a16="http://schemas.microsoft.com/office/drawing/2014/main" id="{1301980B-9B96-440F-9776-BC5C320C0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8575"/>
          <a:ext cx="609600" cy="109537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226919</xdr:colOff>
      <xdr:row>0</xdr:row>
      <xdr:rowOff>130548</xdr:rowOff>
    </xdr:from>
    <xdr:to>
      <xdr:col>14</xdr:col>
      <xdr:colOff>683559</xdr:colOff>
      <xdr:row>15</xdr:row>
      <xdr:rowOff>0</xdr:rowOff>
    </xdr:to>
    <xdr:graphicFrame macro="">
      <xdr:nvGraphicFramePr>
        <xdr:cNvPr id="3" name="Chart 33">
          <a:extLst>
            <a:ext uri="{FF2B5EF4-FFF2-40B4-BE49-F238E27FC236}">
              <a16:creationId xmlns:a16="http://schemas.microsoft.com/office/drawing/2014/main" id="{5C60A4AC-BA2F-4941-9C97-FEF6996748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753596</xdr:colOff>
      <xdr:row>11</xdr:row>
      <xdr:rowOff>89647</xdr:rowOff>
    </xdr:from>
    <xdr:to>
      <xdr:col>15</xdr:col>
      <xdr:colOff>112059</xdr:colOff>
      <xdr:row>29</xdr:row>
      <xdr:rowOff>88526</xdr:rowOff>
    </xdr:to>
    <xdr:graphicFrame macro="">
      <xdr:nvGraphicFramePr>
        <xdr:cNvPr id="4" name="Chart 57">
          <a:extLst>
            <a:ext uri="{FF2B5EF4-FFF2-40B4-BE49-F238E27FC236}">
              <a16:creationId xmlns:a16="http://schemas.microsoft.com/office/drawing/2014/main" id="{ADD8BC2E-B454-4029-A5E5-1494691BD9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1</xdr:row>
      <xdr:rowOff>0</xdr:rowOff>
    </xdr:from>
    <xdr:to>
      <xdr:col>19</xdr:col>
      <xdr:colOff>568699</xdr:colOff>
      <xdr:row>15</xdr:row>
      <xdr:rowOff>15128</xdr:rowOff>
    </xdr:to>
    <xdr:graphicFrame macro="">
      <xdr:nvGraphicFramePr>
        <xdr:cNvPr id="5" name="Chart 33">
          <a:extLst>
            <a:ext uri="{FF2B5EF4-FFF2-40B4-BE49-F238E27FC236}">
              <a16:creationId xmlns:a16="http://schemas.microsoft.com/office/drawing/2014/main" id="{6D24C4B5-D333-4804-BE83-5ECCA63FFA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201706</xdr:colOff>
      <xdr:row>12</xdr:row>
      <xdr:rowOff>0</xdr:rowOff>
    </xdr:from>
    <xdr:to>
      <xdr:col>21</xdr:col>
      <xdr:colOff>86846</xdr:colOff>
      <xdr:row>29</xdr:row>
      <xdr:rowOff>144555</xdr:rowOff>
    </xdr:to>
    <xdr:graphicFrame macro="">
      <xdr:nvGraphicFramePr>
        <xdr:cNvPr id="6" name="Chart 57">
          <a:extLst>
            <a:ext uri="{FF2B5EF4-FFF2-40B4-BE49-F238E27FC236}">
              <a16:creationId xmlns:a16="http://schemas.microsoft.com/office/drawing/2014/main" id="{4C5256BE-DF73-4DE2-BE8B-0AB2517EF0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0</xdr:col>
      <xdr:colOff>609600</xdr:colOff>
      <xdr:row>4</xdr:row>
      <xdr:rowOff>123825</xdr:rowOff>
    </xdr:to>
    <xdr:pic>
      <xdr:nvPicPr>
        <xdr:cNvPr id="2" name="Picture 3" descr="logo">
          <a:extLst>
            <a:ext uri="{FF2B5EF4-FFF2-40B4-BE49-F238E27FC236}">
              <a16:creationId xmlns:a16="http://schemas.microsoft.com/office/drawing/2014/main" id="{9874B8DD-AF19-421E-885E-2731829A0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8575"/>
          <a:ext cx="609600" cy="109537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226919</xdr:colOff>
      <xdr:row>0</xdr:row>
      <xdr:rowOff>130548</xdr:rowOff>
    </xdr:from>
    <xdr:to>
      <xdr:col>14</xdr:col>
      <xdr:colOff>683559</xdr:colOff>
      <xdr:row>15</xdr:row>
      <xdr:rowOff>0</xdr:rowOff>
    </xdr:to>
    <xdr:graphicFrame macro="">
      <xdr:nvGraphicFramePr>
        <xdr:cNvPr id="3" name="Chart 33">
          <a:extLst>
            <a:ext uri="{FF2B5EF4-FFF2-40B4-BE49-F238E27FC236}">
              <a16:creationId xmlns:a16="http://schemas.microsoft.com/office/drawing/2014/main" id="{46F9AC75-A8F8-49C7-AA34-92B3336D7C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753596</xdr:colOff>
      <xdr:row>11</xdr:row>
      <xdr:rowOff>89647</xdr:rowOff>
    </xdr:from>
    <xdr:to>
      <xdr:col>15</xdr:col>
      <xdr:colOff>112059</xdr:colOff>
      <xdr:row>29</xdr:row>
      <xdr:rowOff>88526</xdr:rowOff>
    </xdr:to>
    <xdr:graphicFrame macro="">
      <xdr:nvGraphicFramePr>
        <xdr:cNvPr id="4" name="Chart 57">
          <a:extLst>
            <a:ext uri="{FF2B5EF4-FFF2-40B4-BE49-F238E27FC236}">
              <a16:creationId xmlns:a16="http://schemas.microsoft.com/office/drawing/2014/main" id="{2BC1597B-B084-42E9-83EB-7F6EF3B5CA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1</xdr:row>
      <xdr:rowOff>0</xdr:rowOff>
    </xdr:from>
    <xdr:to>
      <xdr:col>19</xdr:col>
      <xdr:colOff>568699</xdr:colOff>
      <xdr:row>15</xdr:row>
      <xdr:rowOff>15128</xdr:rowOff>
    </xdr:to>
    <xdr:graphicFrame macro="">
      <xdr:nvGraphicFramePr>
        <xdr:cNvPr id="5" name="Chart 33">
          <a:extLst>
            <a:ext uri="{FF2B5EF4-FFF2-40B4-BE49-F238E27FC236}">
              <a16:creationId xmlns:a16="http://schemas.microsoft.com/office/drawing/2014/main" id="{EA72D8AD-DBDE-4E08-99E7-4CFB71CF37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201706</xdr:colOff>
      <xdr:row>12</xdr:row>
      <xdr:rowOff>0</xdr:rowOff>
    </xdr:from>
    <xdr:to>
      <xdr:col>21</xdr:col>
      <xdr:colOff>86846</xdr:colOff>
      <xdr:row>29</xdr:row>
      <xdr:rowOff>144555</xdr:rowOff>
    </xdr:to>
    <xdr:graphicFrame macro="">
      <xdr:nvGraphicFramePr>
        <xdr:cNvPr id="6" name="Chart 57">
          <a:extLst>
            <a:ext uri="{FF2B5EF4-FFF2-40B4-BE49-F238E27FC236}">
              <a16:creationId xmlns:a16="http://schemas.microsoft.com/office/drawing/2014/main" id="{4DBF933D-EA8B-4D24-A7B8-DC8DDACE1B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0</xdr:col>
      <xdr:colOff>609600</xdr:colOff>
      <xdr:row>4</xdr:row>
      <xdr:rowOff>123825</xdr:rowOff>
    </xdr:to>
    <xdr:pic>
      <xdr:nvPicPr>
        <xdr:cNvPr id="2" name="Picture 3" descr="logo">
          <a:extLst>
            <a:ext uri="{FF2B5EF4-FFF2-40B4-BE49-F238E27FC236}">
              <a16:creationId xmlns:a16="http://schemas.microsoft.com/office/drawing/2014/main" id="{C9B03C63-4244-4E37-84F4-CE3953E91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8575"/>
          <a:ext cx="609600" cy="109537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226919</xdr:colOff>
      <xdr:row>0</xdr:row>
      <xdr:rowOff>130548</xdr:rowOff>
    </xdr:from>
    <xdr:to>
      <xdr:col>14</xdr:col>
      <xdr:colOff>683559</xdr:colOff>
      <xdr:row>15</xdr:row>
      <xdr:rowOff>0</xdr:rowOff>
    </xdr:to>
    <xdr:graphicFrame macro="">
      <xdr:nvGraphicFramePr>
        <xdr:cNvPr id="3" name="Chart 33">
          <a:extLst>
            <a:ext uri="{FF2B5EF4-FFF2-40B4-BE49-F238E27FC236}">
              <a16:creationId xmlns:a16="http://schemas.microsoft.com/office/drawing/2014/main" id="{978FCD3C-C67C-4219-9CE2-9059981F3B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753596</xdr:colOff>
      <xdr:row>11</xdr:row>
      <xdr:rowOff>89647</xdr:rowOff>
    </xdr:from>
    <xdr:to>
      <xdr:col>15</xdr:col>
      <xdr:colOff>112059</xdr:colOff>
      <xdr:row>29</xdr:row>
      <xdr:rowOff>88526</xdr:rowOff>
    </xdr:to>
    <xdr:graphicFrame macro="">
      <xdr:nvGraphicFramePr>
        <xdr:cNvPr id="4" name="Chart 57">
          <a:extLst>
            <a:ext uri="{FF2B5EF4-FFF2-40B4-BE49-F238E27FC236}">
              <a16:creationId xmlns:a16="http://schemas.microsoft.com/office/drawing/2014/main" id="{184BF046-79A2-4D84-A2AB-DB8BBDD8A5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1</xdr:row>
      <xdr:rowOff>0</xdr:rowOff>
    </xdr:from>
    <xdr:to>
      <xdr:col>19</xdr:col>
      <xdr:colOff>568699</xdr:colOff>
      <xdr:row>15</xdr:row>
      <xdr:rowOff>15128</xdr:rowOff>
    </xdr:to>
    <xdr:graphicFrame macro="">
      <xdr:nvGraphicFramePr>
        <xdr:cNvPr id="5" name="Chart 33">
          <a:extLst>
            <a:ext uri="{FF2B5EF4-FFF2-40B4-BE49-F238E27FC236}">
              <a16:creationId xmlns:a16="http://schemas.microsoft.com/office/drawing/2014/main" id="{3F42A440-01FE-4A3A-B77B-6068270AAD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201706</xdr:colOff>
      <xdr:row>12</xdr:row>
      <xdr:rowOff>0</xdr:rowOff>
    </xdr:from>
    <xdr:to>
      <xdr:col>21</xdr:col>
      <xdr:colOff>86846</xdr:colOff>
      <xdr:row>29</xdr:row>
      <xdr:rowOff>144555</xdr:rowOff>
    </xdr:to>
    <xdr:graphicFrame macro="">
      <xdr:nvGraphicFramePr>
        <xdr:cNvPr id="6" name="Chart 57">
          <a:extLst>
            <a:ext uri="{FF2B5EF4-FFF2-40B4-BE49-F238E27FC236}">
              <a16:creationId xmlns:a16="http://schemas.microsoft.com/office/drawing/2014/main" id="{3033352D-0D5B-4BD5-90E2-EEF8E7B1F6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0</xdr:col>
      <xdr:colOff>609600</xdr:colOff>
      <xdr:row>4</xdr:row>
      <xdr:rowOff>123825</xdr:rowOff>
    </xdr:to>
    <xdr:pic>
      <xdr:nvPicPr>
        <xdr:cNvPr id="2" name="Picture 3" descr="logo">
          <a:extLst>
            <a:ext uri="{FF2B5EF4-FFF2-40B4-BE49-F238E27FC236}">
              <a16:creationId xmlns:a16="http://schemas.microsoft.com/office/drawing/2014/main" id="{BAAC2762-479C-4AEE-8193-A1B470962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8575"/>
          <a:ext cx="609600" cy="109537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226919</xdr:colOff>
      <xdr:row>0</xdr:row>
      <xdr:rowOff>130548</xdr:rowOff>
    </xdr:from>
    <xdr:to>
      <xdr:col>14</xdr:col>
      <xdr:colOff>683559</xdr:colOff>
      <xdr:row>15</xdr:row>
      <xdr:rowOff>0</xdr:rowOff>
    </xdr:to>
    <xdr:graphicFrame macro="">
      <xdr:nvGraphicFramePr>
        <xdr:cNvPr id="3" name="Chart 33">
          <a:extLst>
            <a:ext uri="{FF2B5EF4-FFF2-40B4-BE49-F238E27FC236}">
              <a16:creationId xmlns:a16="http://schemas.microsoft.com/office/drawing/2014/main" id="{6A1CB2BF-87B1-4455-8AE4-240C67632D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753596</xdr:colOff>
      <xdr:row>11</xdr:row>
      <xdr:rowOff>89647</xdr:rowOff>
    </xdr:from>
    <xdr:to>
      <xdr:col>15</xdr:col>
      <xdr:colOff>112059</xdr:colOff>
      <xdr:row>29</xdr:row>
      <xdr:rowOff>88526</xdr:rowOff>
    </xdr:to>
    <xdr:graphicFrame macro="">
      <xdr:nvGraphicFramePr>
        <xdr:cNvPr id="4" name="Chart 57">
          <a:extLst>
            <a:ext uri="{FF2B5EF4-FFF2-40B4-BE49-F238E27FC236}">
              <a16:creationId xmlns:a16="http://schemas.microsoft.com/office/drawing/2014/main" id="{1FF8AF34-BF78-411E-9F47-10E05C665E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1</xdr:row>
      <xdr:rowOff>0</xdr:rowOff>
    </xdr:from>
    <xdr:to>
      <xdr:col>19</xdr:col>
      <xdr:colOff>568699</xdr:colOff>
      <xdr:row>15</xdr:row>
      <xdr:rowOff>15128</xdr:rowOff>
    </xdr:to>
    <xdr:graphicFrame macro="">
      <xdr:nvGraphicFramePr>
        <xdr:cNvPr id="5" name="Chart 33">
          <a:extLst>
            <a:ext uri="{FF2B5EF4-FFF2-40B4-BE49-F238E27FC236}">
              <a16:creationId xmlns:a16="http://schemas.microsoft.com/office/drawing/2014/main" id="{A8ED819A-8245-4DD5-B2DF-29682205E6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201706</xdr:colOff>
      <xdr:row>12</xdr:row>
      <xdr:rowOff>0</xdr:rowOff>
    </xdr:from>
    <xdr:to>
      <xdr:col>21</xdr:col>
      <xdr:colOff>86846</xdr:colOff>
      <xdr:row>29</xdr:row>
      <xdr:rowOff>144555</xdr:rowOff>
    </xdr:to>
    <xdr:graphicFrame macro="">
      <xdr:nvGraphicFramePr>
        <xdr:cNvPr id="6" name="Chart 57">
          <a:extLst>
            <a:ext uri="{FF2B5EF4-FFF2-40B4-BE49-F238E27FC236}">
              <a16:creationId xmlns:a16="http://schemas.microsoft.com/office/drawing/2014/main" id="{A9093FA4-CC55-4C03-950E-DB370BD1A3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0</xdr:col>
      <xdr:colOff>609600</xdr:colOff>
      <xdr:row>4</xdr:row>
      <xdr:rowOff>123825</xdr:rowOff>
    </xdr:to>
    <xdr:pic>
      <xdr:nvPicPr>
        <xdr:cNvPr id="2" name="Picture 3" descr="logo">
          <a:extLst>
            <a:ext uri="{FF2B5EF4-FFF2-40B4-BE49-F238E27FC236}">
              <a16:creationId xmlns:a16="http://schemas.microsoft.com/office/drawing/2014/main" id="{B650511B-5268-4E50-B4FC-A5BD4803E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8575"/>
          <a:ext cx="609600" cy="109537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226919</xdr:colOff>
      <xdr:row>0</xdr:row>
      <xdr:rowOff>130548</xdr:rowOff>
    </xdr:from>
    <xdr:to>
      <xdr:col>14</xdr:col>
      <xdr:colOff>683559</xdr:colOff>
      <xdr:row>15</xdr:row>
      <xdr:rowOff>0</xdr:rowOff>
    </xdr:to>
    <xdr:graphicFrame macro="">
      <xdr:nvGraphicFramePr>
        <xdr:cNvPr id="3" name="Chart 33">
          <a:extLst>
            <a:ext uri="{FF2B5EF4-FFF2-40B4-BE49-F238E27FC236}">
              <a16:creationId xmlns:a16="http://schemas.microsoft.com/office/drawing/2014/main" id="{B9D48B6D-F4B7-4F19-A1CE-239CDE33A3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753596</xdr:colOff>
      <xdr:row>11</xdr:row>
      <xdr:rowOff>89647</xdr:rowOff>
    </xdr:from>
    <xdr:to>
      <xdr:col>15</xdr:col>
      <xdr:colOff>112059</xdr:colOff>
      <xdr:row>29</xdr:row>
      <xdr:rowOff>88526</xdr:rowOff>
    </xdr:to>
    <xdr:graphicFrame macro="">
      <xdr:nvGraphicFramePr>
        <xdr:cNvPr id="4" name="Chart 57">
          <a:extLst>
            <a:ext uri="{FF2B5EF4-FFF2-40B4-BE49-F238E27FC236}">
              <a16:creationId xmlns:a16="http://schemas.microsoft.com/office/drawing/2014/main" id="{2EEF3545-AE41-4574-8B51-D1B7214148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1</xdr:row>
      <xdr:rowOff>0</xdr:rowOff>
    </xdr:from>
    <xdr:to>
      <xdr:col>19</xdr:col>
      <xdr:colOff>568699</xdr:colOff>
      <xdr:row>15</xdr:row>
      <xdr:rowOff>15128</xdr:rowOff>
    </xdr:to>
    <xdr:graphicFrame macro="">
      <xdr:nvGraphicFramePr>
        <xdr:cNvPr id="5" name="Chart 33">
          <a:extLst>
            <a:ext uri="{FF2B5EF4-FFF2-40B4-BE49-F238E27FC236}">
              <a16:creationId xmlns:a16="http://schemas.microsoft.com/office/drawing/2014/main" id="{24344EDB-F684-4156-BB39-C538E208D7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201706</xdr:colOff>
      <xdr:row>12</xdr:row>
      <xdr:rowOff>0</xdr:rowOff>
    </xdr:from>
    <xdr:to>
      <xdr:col>21</xdr:col>
      <xdr:colOff>86846</xdr:colOff>
      <xdr:row>29</xdr:row>
      <xdr:rowOff>144555</xdr:rowOff>
    </xdr:to>
    <xdr:graphicFrame macro="">
      <xdr:nvGraphicFramePr>
        <xdr:cNvPr id="6" name="Chart 57">
          <a:extLst>
            <a:ext uri="{FF2B5EF4-FFF2-40B4-BE49-F238E27FC236}">
              <a16:creationId xmlns:a16="http://schemas.microsoft.com/office/drawing/2014/main" id="{2EF73EFC-5137-45BC-9129-6DE85AE935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0</xdr:col>
      <xdr:colOff>609600</xdr:colOff>
      <xdr:row>4</xdr:row>
      <xdr:rowOff>123825</xdr:rowOff>
    </xdr:to>
    <xdr:pic>
      <xdr:nvPicPr>
        <xdr:cNvPr id="2" name="Picture 3" descr="logo">
          <a:extLst>
            <a:ext uri="{FF2B5EF4-FFF2-40B4-BE49-F238E27FC236}">
              <a16:creationId xmlns:a16="http://schemas.microsoft.com/office/drawing/2014/main" id="{9D37E5C3-DADA-4D40-87B2-AF5917DC9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8575"/>
          <a:ext cx="609600" cy="109537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226919</xdr:colOff>
      <xdr:row>0</xdr:row>
      <xdr:rowOff>130548</xdr:rowOff>
    </xdr:from>
    <xdr:to>
      <xdr:col>14</xdr:col>
      <xdr:colOff>683559</xdr:colOff>
      <xdr:row>15</xdr:row>
      <xdr:rowOff>0</xdr:rowOff>
    </xdr:to>
    <xdr:graphicFrame macro="">
      <xdr:nvGraphicFramePr>
        <xdr:cNvPr id="3" name="Chart 33">
          <a:extLst>
            <a:ext uri="{FF2B5EF4-FFF2-40B4-BE49-F238E27FC236}">
              <a16:creationId xmlns:a16="http://schemas.microsoft.com/office/drawing/2014/main" id="{BA0A8EC1-2BBF-4AA1-88BE-0891DF8D82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753596</xdr:colOff>
      <xdr:row>11</xdr:row>
      <xdr:rowOff>89647</xdr:rowOff>
    </xdr:from>
    <xdr:to>
      <xdr:col>15</xdr:col>
      <xdr:colOff>112059</xdr:colOff>
      <xdr:row>29</xdr:row>
      <xdr:rowOff>88526</xdr:rowOff>
    </xdr:to>
    <xdr:graphicFrame macro="">
      <xdr:nvGraphicFramePr>
        <xdr:cNvPr id="4" name="Chart 57">
          <a:extLst>
            <a:ext uri="{FF2B5EF4-FFF2-40B4-BE49-F238E27FC236}">
              <a16:creationId xmlns:a16="http://schemas.microsoft.com/office/drawing/2014/main" id="{9026DB17-6A6A-4F8E-B6CE-8FA0CA60C9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1</xdr:row>
      <xdr:rowOff>0</xdr:rowOff>
    </xdr:from>
    <xdr:to>
      <xdr:col>19</xdr:col>
      <xdr:colOff>568699</xdr:colOff>
      <xdr:row>15</xdr:row>
      <xdr:rowOff>15128</xdr:rowOff>
    </xdr:to>
    <xdr:graphicFrame macro="">
      <xdr:nvGraphicFramePr>
        <xdr:cNvPr id="5" name="Chart 33">
          <a:extLst>
            <a:ext uri="{FF2B5EF4-FFF2-40B4-BE49-F238E27FC236}">
              <a16:creationId xmlns:a16="http://schemas.microsoft.com/office/drawing/2014/main" id="{5B0B0981-9615-40F3-A93A-6BD98B5668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201706</xdr:colOff>
      <xdr:row>12</xdr:row>
      <xdr:rowOff>0</xdr:rowOff>
    </xdr:from>
    <xdr:to>
      <xdr:col>21</xdr:col>
      <xdr:colOff>86846</xdr:colOff>
      <xdr:row>29</xdr:row>
      <xdr:rowOff>144555</xdr:rowOff>
    </xdr:to>
    <xdr:graphicFrame macro="">
      <xdr:nvGraphicFramePr>
        <xdr:cNvPr id="6" name="Chart 57">
          <a:extLst>
            <a:ext uri="{FF2B5EF4-FFF2-40B4-BE49-F238E27FC236}">
              <a16:creationId xmlns:a16="http://schemas.microsoft.com/office/drawing/2014/main" id="{F679539B-C208-4BD7-AD29-0D752C6134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0</xdr:col>
      <xdr:colOff>609600</xdr:colOff>
      <xdr:row>4</xdr:row>
      <xdr:rowOff>123825</xdr:rowOff>
    </xdr:to>
    <xdr:pic>
      <xdr:nvPicPr>
        <xdr:cNvPr id="2" name="Picture 3" descr="logo">
          <a:extLst>
            <a:ext uri="{FF2B5EF4-FFF2-40B4-BE49-F238E27FC236}">
              <a16:creationId xmlns:a16="http://schemas.microsoft.com/office/drawing/2014/main" id="{55581147-16E2-4AEC-A837-8AB1636CA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8575"/>
          <a:ext cx="609600" cy="109537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226919</xdr:colOff>
      <xdr:row>0</xdr:row>
      <xdr:rowOff>130548</xdr:rowOff>
    </xdr:from>
    <xdr:to>
      <xdr:col>14</xdr:col>
      <xdr:colOff>683559</xdr:colOff>
      <xdr:row>15</xdr:row>
      <xdr:rowOff>0</xdr:rowOff>
    </xdr:to>
    <xdr:graphicFrame macro="">
      <xdr:nvGraphicFramePr>
        <xdr:cNvPr id="3" name="Chart 33">
          <a:extLst>
            <a:ext uri="{FF2B5EF4-FFF2-40B4-BE49-F238E27FC236}">
              <a16:creationId xmlns:a16="http://schemas.microsoft.com/office/drawing/2014/main" id="{C640470D-9B43-4755-B30F-7231D7D30B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753596</xdr:colOff>
      <xdr:row>11</xdr:row>
      <xdr:rowOff>89647</xdr:rowOff>
    </xdr:from>
    <xdr:to>
      <xdr:col>15</xdr:col>
      <xdr:colOff>112059</xdr:colOff>
      <xdr:row>29</xdr:row>
      <xdr:rowOff>88526</xdr:rowOff>
    </xdr:to>
    <xdr:graphicFrame macro="">
      <xdr:nvGraphicFramePr>
        <xdr:cNvPr id="4" name="Chart 57">
          <a:extLst>
            <a:ext uri="{FF2B5EF4-FFF2-40B4-BE49-F238E27FC236}">
              <a16:creationId xmlns:a16="http://schemas.microsoft.com/office/drawing/2014/main" id="{509B43B2-1C26-4AFD-8C8A-2E46F102C9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1</xdr:row>
      <xdr:rowOff>0</xdr:rowOff>
    </xdr:from>
    <xdr:to>
      <xdr:col>19</xdr:col>
      <xdr:colOff>568699</xdr:colOff>
      <xdr:row>15</xdr:row>
      <xdr:rowOff>15128</xdr:rowOff>
    </xdr:to>
    <xdr:graphicFrame macro="">
      <xdr:nvGraphicFramePr>
        <xdr:cNvPr id="5" name="Chart 33">
          <a:extLst>
            <a:ext uri="{FF2B5EF4-FFF2-40B4-BE49-F238E27FC236}">
              <a16:creationId xmlns:a16="http://schemas.microsoft.com/office/drawing/2014/main" id="{C6E0087E-373E-453D-BDEE-5BCA7C452C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201706</xdr:colOff>
      <xdr:row>12</xdr:row>
      <xdr:rowOff>0</xdr:rowOff>
    </xdr:from>
    <xdr:to>
      <xdr:col>21</xdr:col>
      <xdr:colOff>86846</xdr:colOff>
      <xdr:row>29</xdr:row>
      <xdr:rowOff>144555</xdr:rowOff>
    </xdr:to>
    <xdr:graphicFrame macro="">
      <xdr:nvGraphicFramePr>
        <xdr:cNvPr id="6" name="Chart 57">
          <a:extLst>
            <a:ext uri="{FF2B5EF4-FFF2-40B4-BE49-F238E27FC236}">
              <a16:creationId xmlns:a16="http://schemas.microsoft.com/office/drawing/2014/main" id="{AD4F4BB2-79B8-4A5A-BAA5-D43347FCA1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0</xdr:col>
      <xdr:colOff>609600</xdr:colOff>
      <xdr:row>4</xdr:row>
      <xdr:rowOff>123825</xdr:rowOff>
    </xdr:to>
    <xdr:pic>
      <xdr:nvPicPr>
        <xdr:cNvPr id="2" name="Picture 3" descr="logo">
          <a:extLst>
            <a:ext uri="{FF2B5EF4-FFF2-40B4-BE49-F238E27FC236}">
              <a16:creationId xmlns:a16="http://schemas.microsoft.com/office/drawing/2014/main" id="{9991A287-7858-48C2-BF21-0D29C079E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8575"/>
          <a:ext cx="609600" cy="109537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226919</xdr:colOff>
      <xdr:row>0</xdr:row>
      <xdr:rowOff>130548</xdr:rowOff>
    </xdr:from>
    <xdr:to>
      <xdr:col>14</xdr:col>
      <xdr:colOff>683559</xdr:colOff>
      <xdr:row>15</xdr:row>
      <xdr:rowOff>0</xdr:rowOff>
    </xdr:to>
    <xdr:graphicFrame macro="">
      <xdr:nvGraphicFramePr>
        <xdr:cNvPr id="3" name="Chart 33">
          <a:extLst>
            <a:ext uri="{FF2B5EF4-FFF2-40B4-BE49-F238E27FC236}">
              <a16:creationId xmlns:a16="http://schemas.microsoft.com/office/drawing/2014/main" id="{AF9B3B2D-D671-4FAC-BB5A-EDF3D356D2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753596</xdr:colOff>
      <xdr:row>11</xdr:row>
      <xdr:rowOff>89647</xdr:rowOff>
    </xdr:from>
    <xdr:to>
      <xdr:col>15</xdr:col>
      <xdr:colOff>112059</xdr:colOff>
      <xdr:row>29</xdr:row>
      <xdr:rowOff>88526</xdr:rowOff>
    </xdr:to>
    <xdr:graphicFrame macro="">
      <xdr:nvGraphicFramePr>
        <xdr:cNvPr id="4" name="Chart 57">
          <a:extLst>
            <a:ext uri="{FF2B5EF4-FFF2-40B4-BE49-F238E27FC236}">
              <a16:creationId xmlns:a16="http://schemas.microsoft.com/office/drawing/2014/main" id="{48227E2A-2BB6-4B98-89A2-BD184CC76C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1</xdr:row>
      <xdr:rowOff>0</xdr:rowOff>
    </xdr:from>
    <xdr:to>
      <xdr:col>19</xdr:col>
      <xdr:colOff>568699</xdr:colOff>
      <xdr:row>15</xdr:row>
      <xdr:rowOff>15128</xdr:rowOff>
    </xdr:to>
    <xdr:graphicFrame macro="">
      <xdr:nvGraphicFramePr>
        <xdr:cNvPr id="5" name="Chart 33">
          <a:extLst>
            <a:ext uri="{FF2B5EF4-FFF2-40B4-BE49-F238E27FC236}">
              <a16:creationId xmlns:a16="http://schemas.microsoft.com/office/drawing/2014/main" id="{F85CF5FB-A442-4ECA-8860-F11C0053AC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201706</xdr:colOff>
      <xdr:row>12</xdr:row>
      <xdr:rowOff>0</xdr:rowOff>
    </xdr:from>
    <xdr:to>
      <xdr:col>21</xdr:col>
      <xdr:colOff>86846</xdr:colOff>
      <xdr:row>29</xdr:row>
      <xdr:rowOff>144555</xdr:rowOff>
    </xdr:to>
    <xdr:graphicFrame macro="">
      <xdr:nvGraphicFramePr>
        <xdr:cNvPr id="6" name="Chart 57">
          <a:extLst>
            <a:ext uri="{FF2B5EF4-FFF2-40B4-BE49-F238E27FC236}">
              <a16:creationId xmlns:a16="http://schemas.microsoft.com/office/drawing/2014/main" id="{A62BFC63-2810-42A3-A603-6BEF42608F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0</xdr:col>
      <xdr:colOff>609600</xdr:colOff>
      <xdr:row>4</xdr:row>
      <xdr:rowOff>123825</xdr:rowOff>
    </xdr:to>
    <xdr:pic>
      <xdr:nvPicPr>
        <xdr:cNvPr id="2" name="Picture 3" descr="log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8575"/>
          <a:ext cx="609600" cy="109537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226919</xdr:colOff>
      <xdr:row>0</xdr:row>
      <xdr:rowOff>130548</xdr:rowOff>
    </xdr:from>
    <xdr:to>
      <xdr:col>14</xdr:col>
      <xdr:colOff>683559</xdr:colOff>
      <xdr:row>15</xdr:row>
      <xdr:rowOff>0</xdr:rowOff>
    </xdr:to>
    <xdr:graphicFrame macro="">
      <xdr:nvGraphicFramePr>
        <xdr:cNvPr id="3" name="Chart 3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753596</xdr:colOff>
      <xdr:row>11</xdr:row>
      <xdr:rowOff>89647</xdr:rowOff>
    </xdr:from>
    <xdr:to>
      <xdr:col>15</xdr:col>
      <xdr:colOff>112059</xdr:colOff>
      <xdr:row>29</xdr:row>
      <xdr:rowOff>88526</xdr:rowOff>
    </xdr:to>
    <xdr:graphicFrame macro="">
      <xdr:nvGraphicFramePr>
        <xdr:cNvPr id="4" name="Chart 57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1</xdr:row>
      <xdr:rowOff>0</xdr:rowOff>
    </xdr:from>
    <xdr:to>
      <xdr:col>19</xdr:col>
      <xdr:colOff>568699</xdr:colOff>
      <xdr:row>15</xdr:row>
      <xdr:rowOff>15128</xdr:rowOff>
    </xdr:to>
    <xdr:graphicFrame macro="">
      <xdr:nvGraphicFramePr>
        <xdr:cNvPr id="5" name="Chart 33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201706</xdr:colOff>
      <xdr:row>12</xdr:row>
      <xdr:rowOff>0</xdr:rowOff>
    </xdr:from>
    <xdr:to>
      <xdr:col>21</xdr:col>
      <xdr:colOff>86846</xdr:colOff>
      <xdr:row>29</xdr:row>
      <xdr:rowOff>144555</xdr:rowOff>
    </xdr:to>
    <xdr:graphicFrame macro="">
      <xdr:nvGraphicFramePr>
        <xdr:cNvPr id="6" name="Chart 57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onVantage%20Projects\EA%20ChromeHD.PRO\Data\blank%205o2-1.raw\Results%20for%20CO2%20by%20CF%20(uncalibrated)(Fn2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onVantage%20Projects\EA%20ChromeHD.PRO\Data\Peach-1.raw\Results%20for%20N2%20by%20CF%20(uncalibrated)(Fn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C Batch report"/>
      <sheetName val="Printout"/>
      <sheetName val="Batch report"/>
      <sheetName val="APC (N) Batch report"/>
      <sheetName val="Default Batch report"/>
      <sheetName val="Experiment"/>
      <sheetName val="LIMS"/>
      <sheetName val="Analog Data"/>
      <sheetName val="Batch log"/>
      <sheetName val="Calculation"/>
      <sheetName val="Printout APC"/>
      <sheetName val="Printout APC (N)"/>
      <sheetName val="default"/>
      <sheetName val="Printout G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C Batch report"/>
      <sheetName val="Printout"/>
      <sheetName val="Batch report"/>
      <sheetName val="APC (N) Batch report"/>
      <sheetName val="Default Batch report"/>
      <sheetName val="Experiment"/>
      <sheetName val="LIMS"/>
      <sheetName val="Analog Data"/>
      <sheetName val="Batch log"/>
      <sheetName val="Calculation"/>
      <sheetName val="Printout APC"/>
      <sheetName val="Printout APC (N)"/>
      <sheetName val="default"/>
      <sheetName val="Printout G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B207"/>
  <sheetViews>
    <sheetView topLeftCell="A49" zoomScaleNormal="100" workbookViewId="0">
      <selection activeCell="T32" sqref="A32:T84"/>
    </sheetView>
  </sheetViews>
  <sheetFormatPr defaultColWidth="9.140625" defaultRowHeight="11.25" customHeight="1" x14ac:dyDescent="0.25"/>
  <cols>
    <col min="1" max="1" width="12" style="1" customWidth="1"/>
    <col min="2" max="2" width="25.28515625" style="1" customWidth="1"/>
    <col min="3" max="3" width="10.85546875" style="1" customWidth="1"/>
    <col min="4" max="4" width="8.28515625" style="1" customWidth="1"/>
    <col min="5" max="5" width="14" style="1" customWidth="1"/>
    <col min="6" max="6" width="10.7109375" style="1" customWidth="1"/>
    <col min="7" max="7" width="11.42578125" style="1" customWidth="1"/>
    <col min="8" max="8" width="9" style="1" customWidth="1"/>
    <col min="9" max="9" width="9.5703125" style="1" customWidth="1"/>
    <col min="10" max="10" width="11.42578125" style="5" customWidth="1"/>
    <col min="11" max="12" width="9.42578125" style="5" customWidth="1"/>
    <col min="13" max="14" width="10" style="1" customWidth="1"/>
    <col min="15" max="15" width="13" style="1" customWidth="1"/>
    <col min="16" max="16" width="9.140625" style="1"/>
    <col min="17" max="17" width="9.5703125" style="1" customWidth="1"/>
    <col min="18" max="18" width="9.140625" style="1"/>
    <col min="19" max="19" width="9.5703125" style="1" customWidth="1"/>
    <col min="20" max="21" width="9.140625" style="1"/>
    <col min="26" max="26" width="8.85546875" customWidth="1"/>
    <col min="27" max="28" width="8.7109375" customWidth="1"/>
    <col min="29" max="16384" width="9.140625" style="1"/>
  </cols>
  <sheetData>
    <row r="2" spans="1:19" s="1" customFormat="1" ht="45" customHeight="1" x14ac:dyDescent="0.65">
      <c r="B2" s="2" t="s">
        <v>0</v>
      </c>
      <c r="C2" s="2"/>
      <c r="D2" s="2"/>
      <c r="E2" s="2"/>
      <c r="F2" s="2"/>
      <c r="G2" s="3"/>
      <c r="H2" s="3"/>
      <c r="I2" s="3"/>
      <c r="J2" s="4"/>
      <c r="K2" s="4"/>
      <c r="L2" s="5"/>
    </row>
    <row r="3" spans="1:19" s="1" customFormat="1" ht="11.25" customHeight="1" x14ac:dyDescent="0.2">
      <c r="B3" s="6" t="s">
        <v>1</v>
      </c>
      <c r="C3" s="6"/>
      <c r="D3" s="6"/>
      <c r="E3" s="6"/>
      <c r="F3" s="6"/>
      <c r="G3" s="7">
        <v>45202</v>
      </c>
      <c r="J3" s="5"/>
      <c r="K3" s="5"/>
      <c r="L3" s="5"/>
    </row>
    <row r="4" spans="1:19" s="1" customFormat="1" ht="11.25" customHeight="1" x14ac:dyDescent="0.2">
      <c r="B4" s="6" t="s">
        <v>2</v>
      </c>
      <c r="C4" s="6"/>
      <c r="D4" s="6"/>
      <c r="E4" s="6"/>
      <c r="F4" s="6"/>
      <c r="G4" s="1" t="s">
        <v>3</v>
      </c>
      <c r="J4" s="5"/>
      <c r="K4" s="5"/>
      <c r="L4" s="5"/>
    </row>
    <row r="5" spans="1:19" s="1" customFormat="1" ht="11.25" customHeight="1" x14ac:dyDescent="0.25">
      <c r="B5" s="6" t="s">
        <v>4</v>
      </c>
      <c r="C5" s="6"/>
      <c r="D5" s="6"/>
      <c r="E5" s="6"/>
      <c r="F5" s="6"/>
      <c r="G5" s="8" t="s">
        <v>681</v>
      </c>
      <c r="J5" s="5"/>
      <c r="K5" s="5"/>
      <c r="L5" s="5"/>
      <c r="M5" s="9"/>
      <c r="N5" s="9"/>
    </row>
    <row r="6" spans="1:19" s="1" customFormat="1" ht="11.25" customHeight="1" x14ac:dyDescent="0.2">
      <c r="B6" s="6" t="s">
        <v>5</v>
      </c>
      <c r="C6" s="6"/>
      <c r="D6" s="6"/>
      <c r="E6" s="6"/>
      <c r="F6" s="6"/>
      <c r="G6" s="1" t="s">
        <v>6</v>
      </c>
      <c r="J6" s="5"/>
      <c r="K6" s="5"/>
      <c r="L6" s="5"/>
      <c r="S6" s="10"/>
    </row>
    <row r="7" spans="1:19" s="1" customFormat="1" ht="11.25" customHeight="1" x14ac:dyDescent="0.2">
      <c r="B7" s="6" t="s">
        <v>7</v>
      </c>
      <c r="C7" s="6"/>
      <c r="D7" s="6"/>
      <c r="E7" s="6"/>
      <c r="F7" s="6"/>
      <c r="G7" s="6" t="s">
        <v>53</v>
      </c>
      <c r="J7" s="5"/>
      <c r="K7" s="5"/>
      <c r="L7" s="5"/>
    </row>
    <row r="8" spans="1:19" s="1" customFormat="1" ht="11.25" customHeight="1" x14ac:dyDescent="0.2">
      <c r="B8" s="6" t="s">
        <v>8</v>
      </c>
      <c r="C8" s="6"/>
      <c r="D8" s="6"/>
      <c r="E8" s="6"/>
      <c r="F8" s="6"/>
      <c r="G8" s="6" t="s">
        <v>9</v>
      </c>
      <c r="J8" s="5"/>
      <c r="K8" s="11"/>
      <c r="M8" s="12"/>
      <c r="N8" s="13"/>
    </row>
    <row r="9" spans="1:19" s="1" customFormat="1" ht="11.25" customHeight="1" x14ac:dyDescent="0.25">
      <c r="A9" s="14" t="s">
        <v>10</v>
      </c>
      <c r="B9" s="15"/>
      <c r="C9" s="16" t="s">
        <v>11</v>
      </c>
      <c r="D9" s="17"/>
      <c r="E9" s="16" t="s">
        <v>12</v>
      </c>
      <c r="F9" s="18"/>
      <c r="G9" s="14" t="s">
        <v>13</v>
      </c>
      <c r="H9" s="19" t="s">
        <v>14</v>
      </c>
      <c r="I9" s="20" t="s">
        <v>14</v>
      </c>
      <c r="J9" s="21" t="s">
        <v>14</v>
      </c>
      <c r="K9" s="22"/>
      <c r="M9" s="12"/>
      <c r="N9" s="13"/>
    </row>
    <row r="10" spans="1:19" s="1" customFormat="1" ht="11.25" customHeight="1" x14ac:dyDescent="0.25">
      <c r="A10" s="23"/>
      <c r="B10" s="24"/>
      <c r="C10" s="25" t="s">
        <v>14</v>
      </c>
      <c r="D10" s="26" t="s">
        <v>15</v>
      </c>
      <c r="E10" s="25" t="s">
        <v>14</v>
      </c>
      <c r="F10" s="27" t="s">
        <v>15</v>
      </c>
      <c r="G10" s="28" t="s">
        <v>16</v>
      </c>
      <c r="H10" s="28" t="s">
        <v>17</v>
      </c>
      <c r="I10" s="29" t="s">
        <v>18</v>
      </c>
      <c r="J10" s="30" t="s">
        <v>19</v>
      </c>
      <c r="K10" s="22"/>
      <c r="M10" s="12"/>
      <c r="N10" s="13"/>
    </row>
    <row r="11" spans="1:19" s="1" customFormat="1" ht="11.25" customHeight="1" x14ac:dyDescent="0.25">
      <c r="A11" s="31"/>
      <c r="B11" s="32" t="s">
        <v>20</v>
      </c>
      <c r="C11" s="33">
        <v>-26.6</v>
      </c>
      <c r="D11" s="34"/>
      <c r="E11" s="35">
        <v>-21.3</v>
      </c>
      <c r="F11" s="36"/>
      <c r="G11" s="37"/>
      <c r="H11" s="38">
        <v>72.53</v>
      </c>
      <c r="I11" s="38">
        <v>6.51</v>
      </c>
      <c r="J11" s="39">
        <f>H11/I11</f>
        <v>11.141321044546851</v>
      </c>
      <c r="K11" s="22"/>
      <c r="M11" s="12"/>
      <c r="N11" s="13"/>
    </row>
    <row r="12" spans="1:19" s="1" customFormat="1" ht="11.25" customHeight="1" x14ac:dyDescent="0.25">
      <c r="A12" s="40"/>
      <c r="B12" s="41" t="s">
        <v>21</v>
      </c>
      <c r="C12" s="42"/>
      <c r="D12" s="43"/>
      <c r="E12"/>
      <c r="F12" s="44"/>
      <c r="G12" s="37"/>
      <c r="H12" s="45">
        <v>20</v>
      </c>
      <c r="I12" s="45">
        <v>46.65</v>
      </c>
      <c r="J12" s="46">
        <f>H12/I12</f>
        <v>0.4287245444801715</v>
      </c>
      <c r="K12" s="5"/>
      <c r="L12" s="5"/>
    </row>
    <row r="13" spans="1:19" s="1" customFormat="1" ht="11.25" customHeight="1" x14ac:dyDescent="0.25">
      <c r="A13" s="40"/>
      <c r="B13" s="41">
        <v>2704</v>
      </c>
      <c r="C13" s="42"/>
      <c r="D13" s="43"/>
      <c r="E13"/>
      <c r="F13" s="44"/>
      <c r="G13" s="47"/>
      <c r="H13" s="45">
        <v>3.3479999999999999</v>
      </c>
      <c r="I13" s="45"/>
      <c r="J13" s="46"/>
      <c r="K13" s="5"/>
      <c r="L13" s="5"/>
    </row>
    <row r="14" spans="1:19" s="1" customFormat="1" ht="11.25" customHeight="1" x14ac:dyDescent="0.25">
      <c r="A14" s="40"/>
      <c r="B14" s="41" t="s">
        <v>22</v>
      </c>
      <c r="C14" s="42">
        <v>-25.95</v>
      </c>
      <c r="D14" s="48"/>
      <c r="E14" s="49">
        <v>2.08</v>
      </c>
      <c r="F14" s="50"/>
      <c r="G14" s="47"/>
      <c r="H14" s="45">
        <v>44.65</v>
      </c>
      <c r="I14" s="45">
        <v>2.83</v>
      </c>
      <c r="J14" s="46">
        <f>H14/I14</f>
        <v>15.777385159010599</v>
      </c>
      <c r="K14" s="5"/>
      <c r="L14" s="5"/>
    </row>
    <row r="15" spans="1:19" s="1" customFormat="1" ht="11.25" customHeight="1" x14ac:dyDescent="0.25">
      <c r="A15" s="40"/>
      <c r="B15" s="41" t="s">
        <v>23</v>
      </c>
      <c r="C15" s="51">
        <v>-18.3</v>
      </c>
      <c r="D15" s="52">
        <f>AVERAGE(G39,G78)</f>
        <v>-13.328727805118628</v>
      </c>
      <c r="E15" s="49"/>
      <c r="F15" s="53"/>
      <c r="G15" s="54"/>
      <c r="H15" s="55"/>
      <c r="I15" s="55"/>
      <c r="J15" s="54"/>
      <c r="K15" s="5"/>
      <c r="L15" s="5"/>
    </row>
    <row r="16" spans="1:19" s="1" customFormat="1" ht="11.25" customHeight="1" x14ac:dyDescent="0.25">
      <c r="A16" s="40"/>
      <c r="B16" s="41" t="s">
        <v>24</v>
      </c>
      <c r="C16" s="42">
        <v>-25.49</v>
      </c>
      <c r="D16" s="52"/>
      <c r="E16" s="56"/>
      <c r="F16" s="57"/>
      <c r="G16" s="54"/>
      <c r="H16" s="55"/>
      <c r="I16" s="55"/>
      <c r="J16" s="54"/>
      <c r="K16" s="5"/>
      <c r="L16" s="5"/>
    </row>
    <row r="17" spans="1:20" s="1" customFormat="1" ht="11.25" customHeight="1" x14ac:dyDescent="0.25">
      <c r="A17" s="40"/>
      <c r="B17" s="41" t="s">
        <v>25</v>
      </c>
      <c r="C17" s="42">
        <v>-10.8</v>
      </c>
      <c r="D17" s="52">
        <f>AVERAGE(G38,G77)</f>
        <v>-5.9418764202393959</v>
      </c>
      <c r="E17" s="56"/>
      <c r="F17" s="57"/>
      <c r="G17" s="54"/>
      <c r="H17" s="55"/>
      <c r="I17" s="55"/>
      <c r="J17" s="54"/>
      <c r="K17" s="5"/>
      <c r="L17" s="5"/>
    </row>
    <row r="18" spans="1:20" s="1" customFormat="1" ht="11.25" customHeight="1" x14ac:dyDescent="0.25">
      <c r="A18" s="40"/>
      <c r="B18" s="41" t="s">
        <v>26</v>
      </c>
      <c r="C18" s="42">
        <v>-24.91</v>
      </c>
      <c r="D18" s="52">
        <f>AVERAGE(G76,G37)</f>
        <v>-20.017551483046191</v>
      </c>
      <c r="E18" s="56"/>
      <c r="F18" s="57"/>
      <c r="G18" s="54"/>
      <c r="H18" s="55"/>
      <c r="I18" s="55"/>
      <c r="J18" s="54"/>
      <c r="K18" s="5"/>
      <c r="L18" s="5"/>
    </row>
    <row r="19" spans="1:20" s="1" customFormat="1" ht="11.25" customHeight="1" x14ac:dyDescent="0.25">
      <c r="A19" s="40"/>
      <c r="B19" s="5" t="s">
        <v>27</v>
      </c>
      <c r="C19" s="42"/>
      <c r="D19" s="52"/>
      <c r="E19" s="58">
        <v>2.7</v>
      </c>
      <c r="F19" s="57"/>
      <c r="G19" s="54"/>
      <c r="H19" s="55"/>
      <c r="I19" s="55"/>
      <c r="J19" s="54"/>
      <c r="K19" s="5"/>
      <c r="L19" s="5"/>
    </row>
    <row r="20" spans="1:20" s="1" customFormat="1" ht="11.25" customHeight="1" x14ac:dyDescent="0.25">
      <c r="A20" s="40"/>
      <c r="B20" s="5" t="s">
        <v>28</v>
      </c>
      <c r="C20" s="42"/>
      <c r="D20" s="52"/>
      <c r="E20" s="58">
        <v>180</v>
      </c>
      <c r="F20" s="57"/>
      <c r="G20" s="54"/>
      <c r="H20" s="55"/>
      <c r="I20" s="55"/>
      <c r="J20" s="54"/>
      <c r="K20" s="5"/>
      <c r="L20" s="5"/>
    </row>
    <row r="21" spans="1:20" s="1" customFormat="1" ht="11.25" customHeight="1" x14ac:dyDescent="0.25">
      <c r="A21" s="40"/>
      <c r="B21" s="5" t="s">
        <v>29</v>
      </c>
      <c r="C21" s="42"/>
      <c r="D21" s="52"/>
      <c r="E21" s="58">
        <v>-1.8</v>
      </c>
      <c r="F21" s="57"/>
      <c r="G21" s="54"/>
      <c r="H21" s="55"/>
      <c r="I21" s="55"/>
      <c r="J21" s="54"/>
      <c r="K21" s="5"/>
      <c r="L21" s="5"/>
    </row>
    <row r="22" spans="1:20" s="1" customFormat="1" ht="11.25" customHeight="1" x14ac:dyDescent="0.25">
      <c r="A22" s="40"/>
      <c r="B22" s="41" t="s">
        <v>30</v>
      </c>
      <c r="C22" s="40"/>
      <c r="D22" s="59"/>
      <c r="E22" s="53">
        <v>0.4</v>
      </c>
      <c r="F22" s="50">
        <f>AVERAGE(E40,E79)</f>
        <v>1.9622029084248593</v>
      </c>
      <c r="G22" s="54"/>
      <c r="H22"/>
      <c r="I22"/>
      <c r="J22" s="54"/>
      <c r="K22" s="5"/>
      <c r="L22" s="5"/>
    </row>
    <row r="23" spans="1:20" s="1" customFormat="1" ht="11.25" customHeight="1" x14ac:dyDescent="0.25">
      <c r="A23" s="40"/>
      <c r="B23" s="41" t="s">
        <v>31</v>
      </c>
      <c r="C23" s="60"/>
      <c r="D23" s="59"/>
      <c r="E23" s="53">
        <v>20.3</v>
      </c>
      <c r="F23" s="50">
        <f>E41</f>
        <v>21.791841996977148</v>
      </c>
      <c r="G23" s="54"/>
      <c r="H23"/>
      <c r="I23"/>
      <c r="J23" s="54"/>
      <c r="K23" s="5"/>
      <c r="L23" s="5"/>
    </row>
    <row r="24" spans="1:20" s="1" customFormat="1" ht="11.25" customHeight="1" x14ac:dyDescent="0.25">
      <c r="A24" s="40"/>
      <c r="B24" s="41" t="s">
        <v>32</v>
      </c>
      <c r="C24" s="60"/>
      <c r="D24" s="52"/>
      <c r="E24" s="53">
        <v>4.7</v>
      </c>
      <c r="F24" s="50"/>
      <c r="G24" s="54"/>
      <c r="H24"/>
      <c r="I24"/>
      <c r="J24" s="54"/>
      <c r="K24" s="5"/>
      <c r="L24" s="5"/>
    </row>
    <row r="25" spans="1:20" customFormat="1" ht="11.25" customHeight="1" x14ac:dyDescent="0.25">
      <c r="A25" s="31"/>
      <c r="B25" s="61" t="s">
        <v>33</v>
      </c>
      <c r="C25" s="62"/>
      <c r="D25" s="61" t="s">
        <v>34</v>
      </c>
      <c r="E25" s="61"/>
      <c r="F25" s="62"/>
      <c r="G25" s="31"/>
      <c r="H25" s="62"/>
      <c r="I25" s="62"/>
      <c r="J25" s="63"/>
      <c r="K25" s="53"/>
      <c r="L25" s="53"/>
    </row>
    <row r="26" spans="1:20" customFormat="1" ht="11.25" customHeight="1" x14ac:dyDescent="0.25">
      <c r="A26" s="64" t="s">
        <v>35</v>
      </c>
      <c r="B26" s="53">
        <v>1.0026999999999999</v>
      </c>
      <c r="C26" s="65" t="s">
        <v>52</v>
      </c>
      <c r="D26" s="53">
        <v>-4.8723999999999998</v>
      </c>
      <c r="E26" s="53"/>
      <c r="F26" s="53"/>
      <c r="G26" s="40"/>
      <c r="H26" s="53"/>
      <c r="I26" s="53"/>
      <c r="J26" s="66"/>
      <c r="K26" s="53"/>
      <c r="L26" s="53"/>
    </row>
    <row r="27" spans="1:20" customFormat="1" ht="11.25" customHeight="1" x14ac:dyDescent="0.25">
      <c r="A27" s="64" t="s">
        <v>37</v>
      </c>
      <c r="B27" s="53">
        <v>1.0035000000000001</v>
      </c>
      <c r="C27" s="65"/>
      <c r="D27" s="67">
        <v>-1.5691999999999999</v>
      </c>
      <c r="E27" s="53"/>
      <c r="F27" s="53"/>
      <c r="G27" s="40"/>
      <c r="H27" s="53"/>
      <c r="I27" s="53"/>
      <c r="J27" s="66"/>
      <c r="K27" s="53"/>
      <c r="L27" s="53"/>
    </row>
    <row r="28" spans="1:20" customFormat="1" ht="11.25" customHeight="1" x14ac:dyDescent="0.25">
      <c r="A28" s="68" t="s">
        <v>38</v>
      </c>
      <c r="B28" s="53">
        <v>5.4670999999999997E-2</v>
      </c>
      <c r="C28" s="65" t="s">
        <v>36</v>
      </c>
      <c r="D28" s="67">
        <v>0</v>
      </c>
      <c r="E28" s="49"/>
      <c r="F28" s="53"/>
      <c r="G28" s="40"/>
      <c r="H28" s="53"/>
      <c r="I28" s="53"/>
      <c r="J28" s="66"/>
      <c r="K28" s="53"/>
      <c r="L28" s="53"/>
    </row>
    <row r="29" spans="1:20" customFormat="1" ht="11.25" customHeight="1" x14ac:dyDescent="0.25">
      <c r="A29" s="68" t="s">
        <v>39</v>
      </c>
      <c r="B29" s="53">
        <v>2.2166999999999999E-2</v>
      </c>
      <c r="C29" s="49" t="s">
        <v>36</v>
      </c>
      <c r="D29" s="69">
        <v>0</v>
      </c>
      <c r="E29" s="69"/>
      <c r="F29" s="69"/>
      <c r="G29" s="70"/>
      <c r="H29" s="69"/>
      <c r="I29" s="69"/>
      <c r="J29" s="71"/>
      <c r="K29" s="53"/>
      <c r="L29" s="53"/>
      <c r="Q29" s="72"/>
    </row>
    <row r="30" spans="1:20" s="1" customFormat="1" ht="11.25" customHeight="1" x14ac:dyDescent="0.2">
      <c r="A30" s="73"/>
      <c r="B30" s="49"/>
      <c r="C30" s="49"/>
      <c r="D30" s="49"/>
      <c r="E30" s="49"/>
      <c r="F30" s="49"/>
      <c r="G30" s="74"/>
      <c r="H30" s="49"/>
      <c r="I30" s="56"/>
      <c r="J30" s="41"/>
      <c r="K30" s="5"/>
      <c r="L30" s="5"/>
    </row>
    <row r="31" spans="1:20" s="1" customFormat="1" ht="12" customHeight="1" x14ac:dyDescent="0.2">
      <c r="I31" s="3"/>
      <c r="J31" s="4"/>
    </row>
    <row r="32" spans="1:20" s="1" customFormat="1" ht="11.25" customHeight="1" x14ac:dyDescent="0.2">
      <c r="A32" s="75"/>
      <c r="B32" s="75" t="s">
        <v>40</v>
      </c>
      <c r="C32" s="75" t="s">
        <v>54</v>
      </c>
      <c r="D32" s="75" t="s">
        <v>80</v>
      </c>
      <c r="E32" s="75" t="s">
        <v>41</v>
      </c>
      <c r="F32" s="75" t="s">
        <v>81</v>
      </c>
      <c r="G32" s="99" t="s">
        <v>42</v>
      </c>
      <c r="H32" s="76" t="s">
        <v>43</v>
      </c>
      <c r="I32" s="77" t="s">
        <v>44</v>
      </c>
      <c r="J32" s="77" t="s">
        <v>45</v>
      </c>
      <c r="K32" s="77" t="s">
        <v>46</v>
      </c>
      <c r="L32" s="77" t="s">
        <v>47</v>
      </c>
      <c r="M32" s="178" t="s">
        <v>38</v>
      </c>
      <c r="N32" s="77" t="s">
        <v>38</v>
      </c>
      <c r="O32" s="77" t="s">
        <v>48</v>
      </c>
      <c r="P32" s="77" t="s">
        <v>49</v>
      </c>
      <c r="Q32" s="77" t="s">
        <v>39</v>
      </c>
      <c r="R32" s="77" t="s">
        <v>39</v>
      </c>
      <c r="S32" s="77" t="s">
        <v>50</v>
      </c>
      <c r="T32" s="77" t="s">
        <v>51</v>
      </c>
    </row>
    <row r="33" spans="1:20" s="90" customFormat="1" ht="11.25" customHeight="1" x14ac:dyDescent="0.2">
      <c r="A33" s="117">
        <v>30</v>
      </c>
      <c r="B33" s="117" t="s">
        <v>55</v>
      </c>
      <c r="C33" s="105">
        <v>1.306</v>
      </c>
      <c r="D33" s="105">
        <v>1.6686436250000001</v>
      </c>
      <c r="E33" s="105">
        <v>4.3607678671813144</v>
      </c>
      <c r="F33" s="105">
        <v>10.538133999999999</v>
      </c>
      <c r="G33" s="105">
        <v>-21.660658037786302</v>
      </c>
      <c r="H33" s="100">
        <f>$B$26*G33+$D$26</f>
        <v>-26.591541814488323</v>
      </c>
      <c r="I33" s="86">
        <f t="shared" ref="I33:I82" si="0">$B$27*E33+$D$27</f>
        <v>2.8068305547164489</v>
      </c>
      <c r="J33" s="87">
        <f t="shared" ref="J33:J82" si="1">(F33)/C33</f>
        <v>8.0690153139356813</v>
      </c>
      <c r="K33" s="87">
        <f>H$14</f>
        <v>44.65</v>
      </c>
      <c r="L33" s="87">
        <f>I$14</f>
        <v>2.83</v>
      </c>
      <c r="M33" s="87">
        <f t="shared" ref="M33:M82" si="2">C33*(K33/100)</f>
        <v>0.58312900000000001</v>
      </c>
      <c r="N33" s="179">
        <f t="shared" ref="N33:N82" si="3">F33*$B$28+$D$28</f>
        <v>0.57613032391399999</v>
      </c>
      <c r="O33" s="91">
        <f t="shared" ref="O33:O82" si="4">N33/C33*100</f>
        <v>44.114113622817761</v>
      </c>
      <c r="P33" s="87">
        <f t="shared" ref="P33:P82" si="5">D33/C33</f>
        <v>1.2776750574272588</v>
      </c>
      <c r="Q33" s="87">
        <f t="shared" ref="Q33:Q36" si="6">C33*(L33/100)</f>
        <v>3.6959800000000001E-2</v>
      </c>
      <c r="R33" s="179">
        <f t="shared" ref="R33:R82" si="7">D33*$B$29+$D$29</f>
        <v>3.6988823235375001E-2</v>
      </c>
      <c r="S33" s="89">
        <f t="shared" ref="S33:S82" si="8">R33/C33*100</f>
        <v>2.8322222997990045</v>
      </c>
      <c r="T33" s="86">
        <f t="shared" ref="T33:T82" si="9">N33/R33</f>
        <v>15.575794889387188</v>
      </c>
    </row>
    <row r="34" spans="1:20" s="90" customFormat="1" ht="11.25" customHeight="1" x14ac:dyDescent="0.2">
      <c r="A34" s="117">
        <v>31</v>
      </c>
      <c r="B34" s="117" t="s">
        <v>56</v>
      </c>
      <c r="C34" s="105">
        <v>0.75600000000000001</v>
      </c>
      <c r="D34" s="105">
        <v>0.97795662500000002</v>
      </c>
      <c r="E34" s="105">
        <v>3.9038966474640446</v>
      </c>
      <c r="F34" s="105">
        <v>6.1699190000000002</v>
      </c>
      <c r="G34" s="105">
        <v>-21.558977075500447</v>
      </c>
      <c r="H34" s="100">
        <f t="shared" ref="H34:H82" si="10">$B$26*G34+$D$26</f>
        <v>-26.489586313604295</v>
      </c>
      <c r="I34" s="86">
        <f t="shared" si="0"/>
        <v>2.3483602857301693</v>
      </c>
      <c r="J34" s="87">
        <f t="shared" si="1"/>
        <v>8.1612685185185185</v>
      </c>
      <c r="K34" s="87">
        <f t="shared" ref="K34:L36" si="11">H$14</f>
        <v>44.65</v>
      </c>
      <c r="L34" s="87">
        <f t="shared" si="11"/>
        <v>2.83</v>
      </c>
      <c r="M34" s="87">
        <f t="shared" si="2"/>
        <v>0.33755400000000002</v>
      </c>
      <c r="N34" s="179">
        <f t="shared" si="3"/>
        <v>0.33731564164900002</v>
      </c>
      <c r="O34" s="91">
        <f t="shared" si="4"/>
        <v>44.618471117592598</v>
      </c>
      <c r="P34" s="87">
        <f t="shared" si="5"/>
        <v>1.2935934193121694</v>
      </c>
      <c r="Q34" s="87">
        <f t="shared" si="6"/>
        <v>2.1394800000000002E-2</v>
      </c>
      <c r="R34" s="179">
        <f t="shared" si="7"/>
        <v>2.1678364506375E-2</v>
      </c>
      <c r="S34" s="89">
        <f t="shared" si="8"/>
        <v>2.8675085325892855</v>
      </c>
      <c r="T34" s="86">
        <f t="shared" si="9"/>
        <v>15.560013374154906</v>
      </c>
    </row>
    <row r="35" spans="1:20" s="90" customFormat="1" ht="11.25" customHeight="1" x14ac:dyDescent="0.2">
      <c r="A35" s="117">
        <v>32</v>
      </c>
      <c r="B35" s="117" t="s">
        <v>57</v>
      </c>
      <c r="C35" s="105">
        <v>1.052</v>
      </c>
      <c r="D35" s="105">
        <v>1.353305</v>
      </c>
      <c r="E35" s="105">
        <v>3.6902781240391036</v>
      </c>
      <c r="F35" s="105">
        <v>8.590992</v>
      </c>
      <c r="G35" s="105">
        <v>-21.586270745085493</v>
      </c>
      <c r="H35" s="100">
        <f t="shared" si="10"/>
        <v>-26.51695367609722</v>
      </c>
      <c r="I35" s="86">
        <f t="shared" si="0"/>
        <v>2.1339940974732405</v>
      </c>
      <c r="J35" s="87">
        <f t="shared" si="1"/>
        <v>8.1663422053231933</v>
      </c>
      <c r="K35" s="87">
        <f t="shared" si="11"/>
        <v>44.65</v>
      </c>
      <c r="L35" s="87">
        <f t="shared" si="11"/>
        <v>2.83</v>
      </c>
      <c r="M35" s="87">
        <f t="shared" si="2"/>
        <v>0.46971800000000002</v>
      </c>
      <c r="N35" s="179">
        <f t="shared" si="3"/>
        <v>0.46967812363199996</v>
      </c>
      <c r="O35" s="91">
        <f t="shared" si="4"/>
        <v>44.646209470722425</v>
      </c>
      <c r="P35" s="87">
        <f t="shared" si="5"/>
        <v>1.2864115969581749</v>
      </c>
      <c r="Q35" s="87">
        <f t="shared" si="6"/>
        <v>2.9771600000000002E-2</v>
      </c>
      <c r="R35" s="179">
        <f t="shared" si="7"/>
        <v>2.9998711934999998E-2</v>
      </c>
      <c r="S35" s="89">
        <f t="shared" si="8"/>
        <v>2.851588586977186</v>
      </c>
      <c r="T35" s="86">
        <f t="shared" si="9"/>
        <v>15.656609678764863</v>
      </c>
    </row>
    <row r="36" spans="1:20" s="90" customFormat="1" ht="11.25" customHeight="1" x14ac:dyDescent="0.2">
      <c r="A36" s="117">
        <v>33</v>
      </c>
      <c r="B36" s="117" t="s">
        <v>58</v>
      </c>
      <c r="C36" s="105">
        <v>1.3480000000000001</v>
      </c>
      <c r="D36" s="105">
        <v>1.705772625</v>
      </c>
      <c r="E36" s="105">
        <v>3.1601326971804067</v>
      </c>
      <c r="F36" s="105">
        <v>11.023918</v>
      </c>
      <c r="G36" s="105">
        <v>-21.643600020371878</v>
      </c>
      <c r="H36" s="100">
        <f t="shared" si="10"/>
        <v>-26.57443774042688</v>
      </c>
      <c r="I36" s="86">
        <f t="shared" si="0"/>
        <v>1.6019931616205385</v>
      </c>
      <c r="J36" s="87">
        <f t="shared" si="1"/>
        <v>8.1779807121661712</v>
      </c>
      <c r="K36" s="87">
        <f t="shared" si="11"/>
        <v>44.65</v>
      </c>
      <c r="L36" s="87">
        <f t="shared" si="11"/>
        <v>2.83</v>
      </c>
      <c r="M36" s="87">
        <f t="shared" si="2"/>
        <v>0.60188200000000003</v>
      </c>
      <c r="N36" s="179">
        <f t="shared" si="3"/>
        <v>0.60268862097800002</v>
      </c>
      <c r="O36" s="91">
        <f t="shared" si="4"/>
        <v>44.709838351483675</v>
      </c>
      <c r="P36" s="87">
        <f t="shared" si="5"/>
        <v>1.2654099591988131</v>
      </c>
      <c r="Q36" s="87">
        <f t="shared" si="6"/>
        <v>3.8148400000000006E-2</v>
      </c>
      <c r="R36" s="179">
        <f t="shared" si="7"/>
        <v>3.7811861778374999E-2</v>
      </c>
      <c r="S36" s="89">
        <f t="shared" si="8"/>
        <v>2.8050342565560089</v>
      </c>
      <c r="T36" s="86">
        <f t="shared" si="9"/>
        <v>15.939141651117639</v>
      </c>
    </row>
    <row r="37" spans="1:20" s="1" customFormat="1" ht="11.25" customHeight="1" x14ac:dyDescent="0.2">
      <c r="A37" s="83">
        <v>34</v>
      </c>
      <c r="B37" s="83" t="s">
        <v>60</v>
      </c>
      <c r="C37" s="84">
        <v>1.234</v>
      </c>
      <c r="D37" s="84">
        <v>3.0565791015625E-2</v>
      </c>
      <c r="E37" s="84">
        <v>-23.486229893462053</v>
      </c>
      <c r="F37" s="84">
        <v>9.2575679999999991</v>
      </c>
      <c r="G37" s="84">
        <v>-20.170065128490389</v>
      </c>
      <c r="H37" s="101">
        <f t="shared" si="10"/>
        <v>-25.09692430433731</v>
      </c>
      <c r="I37" s="78">
        <f t="shared" si="0"/>
        <v>-25.137631698089169</v>
      </c>
      <c r="J37" s="79">
        <f t="shared" si="1"/>
        <v>7.5020810372771471</v>
      </c>
      <c r="K37" s="79"/>
      <c r="L37" s="79"/>
      <c r="M37" s="79">
        <f t="shared" si="2"/>
        <v>0</v>
      </c>
      <c r="N37" s="180">
        <f t="shared" si="3"/>
        <v>0.50612050012799992</v>
      </c>
      <c r="O37" s="81">
        <f t="shared" si="4"/>
        <v>41.014627238897887</v>
      </c>
      <c r="P37" s="79">
        <f t="shared" si="5"/>
        <v>2.4769684777653969E-2</v>
      </c>
      <c r="Q37" s="79"/>
      <c r="R37" s="180">
        <f t="shared" si="7"/>
        <v>6.7755188944335933E-4</v>
      </c>
      <c r="S37" s="82">
        <f t="shared" si="8"/>
        <v>5.4906960246625551E-2</v>
      </c>
      <c r="T37" s="78">
        <f t="shared" si="9"/>
        <v>746.98411739918788</v>
      </c>
    </row>
    <row r="38" spans="1:20" s="1" customFormat="1" ht="11.25" customHeight="1" x14ac:dyDescent="0.2">
      <c r="A38" s="95">
        <v>35</v>
      </c>
      <c r="B38" s="95" t="s">
        <v>66</v>
      </c>
      <c r="C38" s="96">
        <v>0.746</v>
      </c>
      <c r="D38" s="96">
        <v>2.6627378906249999E-2</v>
      </c>
      <c r="E38" s="96">
        <v>-35.741990527464964</v>
      </c>
      <c r="F38" s="96">
        <v>5.6240779999999999</v>
      </c>
      <c r="G38" s="96">
        <v>-5.9629319720911527</v>
      </c>
      <c r="H38" s="101">
        <f t="shared" si="10"/>
        <v>-10.851431888415799</v>
      </c>
      <c r="I38" s="78">
        <f t="shared" si="0"/>
        <v>-37.436287494311095</v>
      </c>
      <c r="J38" s="79">
        <f t="shared" si="1"/>
        <v>7.5389785522788202</v>
      </c>
      <c r="K38" s="79"/>
      <c r="L38" s="79"/>
      <c r="M38" s="79">
        <f t="shared" si="2"/>
        <v>0</v>
      </c>
      <c r="N38" s="180">
        <f t="shared" si="3"/>
        <v>0.307473968338</v>
      </c>
      <c r="O38" s="81">
        <f t="shared" si="4"/>
        <v>41.216349643163539</v>
      </c>
      <c r="P38" s="79">
        <f t="shared" si="5"/>
        <v>3.569353740784182E-2</v>
      </c>
      <c r="Q38" s="79"/>
      <c r="R38" s="180">
        <f t="shared" si="7"/>
        <v>5.9024910821484371E-4</v>
      </c>
      <c r="S38" s="82">
        <f t="shared" si="8"/>
        <v>7.9121864371962974E-2</v>
      </c>
      <c r="T38" s="78">
        <f t="shared" si="9"/>
        <v>520.92237677059416</v>
      </c>
    </row>
    <row r="39" spans="1:20" s="1" customFormat="1" ht="11.25" customHeight="1" x14ac:dyDescent="0.2">
      <c r="A39" s="83">
        <v>36</v>
      </c>
      <c r="B39" s="83" t="s">
        <v>65</v>
      </c>
      <c r="C39" s="84">
        <v>1.1910000000000001</v>
      </c>
      <c r="D39" s="84">
        <v>2.5374244140624998E-2</v>
      </c>
      <c r="E39" s="84">
        <v>-49.019151150477839</v>
      </c>
      <c r="F39" s="84">
        <v>4.0693795000000001</v>
      </c>
      <c r="G39" s="84">
        <v>-13.427619928024271</v>
      </c>
      <c r="H39" s="101">
        <f t="shared" si="10"/>
        <v>-18.336274501829934</v>
      </c>
      <c r="I39" s="78">
        <f t="shared" si="0"/>
        <v>-50.759918179504517</v>
      </c>
      <c r="J39" s="79">
        <f t="shared" si="1"/>
        <v>3.4167753988245173</v>
      </c>
      <c r="K39" s="79"/>
      <c r="L39" s="79"/>
      <c r="M39" s="79">
        <f t="shared" si="2"/>
        <v>0</v>
      </c>
      <c r="N39" s="180">
        <f t="shared" si="3"/>
        <v>0.22247704664449999</v>
      </c>
      <c r="O39" s="81">
        <f t="shared" si="4"/>
        <v>18.679852782913517</v>
      </c>
      <c r="P39" s="79">
        <f t="shared" si="5"/>
        <v>2.1304990882136856E-2</v>
      </c>
      <c r="Q39" s="79"/>
      <c r="R39" s="180">
        <f t="shared" si="7"/>
        <v>5.6247086986523434E-4</v>
      </c>
      <c r="S39" s="82">
        <f t="shared" si="8"/>
        <v>4.722677328843277E-2</v>
      </c>
      <c r="T39" s="78">
        <f t="shared" si="9"/>
        <v>395.53523313625925</v>
      </c>
    </row>
    <row r="40" spans="1:20" s="1" customFormat="1" ht="11.25" customHeight="1" x14ac:dyDescent="0.2">
      <c r="A40" s="83">
        <v>37</v>
      </c>
      <c r="B40" s="83" t="s">
        <v>67</v>
      </c>
      <c r="C40" s="84">
        <v>0.57299999999999995</v>
      </c>
      <c r="D40" s="84">
        <v>5.5040864999999997</v>
      </c>
      <c r="E40" s="84">
        <v>2.0418057647368926</v>
      </c>
      <c r="F40" s="84">
        <v>4.3771347656250001E-2</v>
      </c>
      <c r="G40" s="84">
        <v>-18.580289292079158</v>
      </c>
      <c r="H40" s="101">
        <f t="shared" si="10"/>
        <v>-23.50285607316777</v>
      </c>
      <c r="I40" s="78">
        <f t="shared" si="0"/>
        <v>0.47975208491347177</v>
      </c>
      <c r="J40" s="79">
        <f t="shared" si="1"/>
        <v>7.6389786485602101E-2</v>
      </c>
      <c r="K40" s="79"/>
      <c r="L40" s="79"/>
      <c r="M40" s="79">
        <f t="shared" si="2"/>
        <v>0</v>
      </c>
      <c r="N40" s="180">
        <f t="shared" si="3"/>
        <v>2.3930233477148437E-3</v>
      </c>
      <c r="O40" s="81">
        <f t="shared" si="4"/>
        <v>0.4176306016954352</v>
      </c>
      <c r="P40" s="79">
        <f t="shared" si="5"/>
        <v>9.6057356020942404</v>
      </c>
      <c r="Q40" s="79"/>
      <c r="R40" s="180">
        <f t="shared" si="7"/>
        <v>0.12200908544549999</v>
      </c>
      <c r="S40" s="82">
        <f t="shared" si="8"/>
        <v>21.293034109162303</v>
      </c>
      <c r="T40" s="78">
        <f t="shared" si="9"/>
        <v>1.9613484839895622E-2</v>
      </c>
    </row>
    <row r="41" spans="1:20" s="1" customFormat="1" ht="11.25" customHeight="1" x14ac:dyDescent="0.2">
      <c r="A41" s="83">
        <v>38</v>
      </c>
      <c r="B41" s="83" t="s">
        <v>68</v>
      </c>
      <c r="C41" s="84">
        <v>0.36399999999999999</v>
      </c>
      <c r="D41" s="84">
        <v>4.1215747499999997</v>
      </c>
      <c r="E41" s="84">
        <v>21.791841996977148</v>
      </c>
      <c r="F41" s="84">
        <v>2.261934375E-2</v>
      </c>
      <c r="G41" s="84">
        <v>-17.6783710219756</v>
      </c>
      <c r="H41" s="101">
        <f t="shared" si="10"/>
        <v>-22.598502623734934</v>
      </c>
      <c r="I41" s="78">
        <f t="shared" si="0"/>
        <v>20.298913443966569</v>
      </c>
      <c r="J41" s="79">
        <f t="shared" si="1"/>
        <v>6.2141054258241762E-2</v>
      </c>
      <c r="K41" s="79"/>
      <c r="L41" s="79"/>
      <c r="M41" s="79">
        <f t="shared" si="2"/>
        <v>0</v>
      </c>
      <c r="N41" s="180">
        <f t="shared" si="3"/>
        <v>1.2366221421562498E-3</v>
      </c>
      <c r="O41" s="81">
        <f t="shared" si="4"/>
        <v>0.33973135773523344</v>
      </c>
      <c r="P41" s="79">
        <f t="shared" si="5"/>
        <v>11.323007554945054</v>
      </c>
      <c r="Q41" s="79"/>
      <c r="R41" s="180">
        <f t="shared" si="7"/>
        <v>9.1362947483249995E-2</v>
      </c>
      <c r="S41" s="82">
        <f t="shared" si="8"/>
        <v>25.099710847046701</v>
      </c>
      <c r="T41" s="78">
        <f t="shared" si="9"/>
        <v>1.3535269780815309E-2</v>
      </c>
    </row>
    <row r="42" spans="1:20" s="90" customFormat="1" ht="11.25" customHeight="1" x14ac:dyDescent="0.2">
      <c r="A42" s="117">
        <v>39</v>
      </c>
      <c r="B42" s="117" t="s">
        <v>59</v>
      </c>
      <c r="C42" s="105">
        <v>0.93500000000000005</v>
      </c>
      <c r="D42" s="105">
        <v>1.166141375</v>
      </c>
      <c r="E42" s="105">
        <v>4.6610573191037119</v>
      </c>
      <c r="F42" s="105">
        <v>7.6901409999999997</v>
      </c>
      <c r="G42" s="105">
        <v>-21.500981417500295</v>
      </c>
      <c r="H42" s="100">
        <f t="shared" si="10"/>
        <v>-26.431434067327544</v>
      </c>
      <c r="I42" s="86">
        <f t="shared" si="0"/>
        <v>3.1081710197205754</v>
      </c>
      <c r="J42" s="87">
        <f t="shared" si="1"/>
        <v>8.2247497326203192</v>
      </c>
      <c r="K42" s="87">
        <f t="shared" ref="K42" si="12">H$14</f>
        <v>44.65</v>
      </c>
      <c r="L42" s="87">
        <f t="shared" ref="L42" si="13">I$14</f>
        <v>2.83</v>
      </c>
      <c r="M42" s="87">
        <f t="shared" si="2"/>
        <v>0.41747750000000006</v>
      </c>
      <c r="N42" s="179">
        <f t="shared" si="3"/>
        <v>0.42042769861099999</v>
      </c>
      <c r="O42" s="91">
        <f t="shared" si="4"/>
        <v>44.965529263208552</v>
      </c>
      <c r="P42" s="87">
        <f t="shared" si="5"/>
        <v>1.247210026737968</v>
      </c>
      <c r="Q42" s="87">
        <f t="shared" ref="Q42" si="14">C42*(L42/100)</f>
        <v>2.6460500000000005E-2</v>
      </c>
      <c r="R42" s="179">
        <f t="shared" si="7"/>
        <v>2.5849855859625001E-2</v>
      </c>
      <c r="S42" s="89">
        <f t="shared" si="8"/>
        <v>2.7646904662700535</v>
      </c>
      <c r="T42" s="86">
        <f t="shared" si="9"/>
        <v>16.26421829561022</v>
      </c>
    </row>
    <row r="43" spans="1:20" s="1" customFormat="1" ht="11.25" customHeight="1" x14ac:dyDescent="0.2">
      <c r="A43" s="83">
        <v>40</v>
      </c>
      <c r="B43" s="83" t="s">
        <v>652</v>
      </c>
      <c r="C43" s="84">
        <v>2.35</v>
      </c>
      <c r="D43" s="84">
        <v>0.23304620312499999</v>
      </c>
      <c r="E43" s="84">
        <v>3.5249198141360516</v>
      </c>
      <c r="F43" s="112">
        <v>1.975873875</v>
      </c>
      <c r="G43" s="112">
        <v>-12.769889562150746</v>
      </c>
      <c r="H43" s="101">
        <f t="shared" si="10"/>
        <v>-17.676768263968551</v>
      </c>
      <c r="I43" s="78">
        <f t="shared" si="0"/>
        <v>1.9680570334855281</v>
      </c>
      <c r="J43" s="79">
        <f t="shared" si="1"/>
        <v>0.84079739361702122</v>
      </c>
      <c r="K43" s="79"/>
      <c r="L43" s="79"/>
      <c r="M43" s="79">
        <f t="shared" si="2"/>
        <v>0</v>
      </c>
      <c r="N43" s="180">
        <f t="shared" si="3"/>
        <v>0.108023000620125</v>
      </c>
      <c r="O43" s="81">
        <f t="shared" si="4"/>
        <v>4.5967234306436167</v>
      </c>
      <c r="P43" s="79">
        <f t="shared" si="5"/>
        <v>9.9168597074468082E-2</v>
      </c>
      <c r="Q43" s="79"/>
      <c r="R43" s="180">
        <f t="shared" si="7"/>
        <v>5.165935184671875E-3</v>
      </c>
      <c r="S43" s="82">
        <f t="shared" si="8"/>
        <v>0.21982702913497337</v>
      </c>
      <c r="T43" s="78">
        <f t="shared" si="9"/>
        <v>20.910638008127915</v>
      </c>
    </row>
    <row r="44" spans="1:20" s="1" customFormat="1" ht="11.25" customHeight="1" x14ac:dyDescent="0.2">
      <c r="A44" s="95">
        <v>41</v>
      </c>
      <c r="B44" s="95" t="s">
        <v>653</v>
      </c>
      <c r="C44" s="96">
        <v>2.077</v>
      </c>
      <c r="D44" s="96">
        <v>0.15970389062500001</v>
      </c>
      <c r="E44" s="96">
        <v>-8.0924833005003869</v>
      </c>
      <c r="F44" s="96">
        <v>1.237875625</v>
      </c>
      <c r="G44" s="96">
        <v>-18.391589616018848</v>
      </c>
      <c r="H44" s="101">
        <f t="shared" si="10"/>
        <v>-23.313646907982097</v>
      </c>
      <c r="I44" s="78">
        <f t="shared" si="0"/>
        <v>-9.6900069920521386</v>
      </c>
      <c r="J44" s="79">
        <f t="shared" si="1"/>
        <v>0.59599211603273961</v>
      </c>
      <c r="K44" s="79"/>
      <c r="L44" s="79"/>
      <c r="M44" s="79">
        <f t="shared" si="2"/>
        <v>0</v>
      </c>
      <c r="N44" s="180">
        <f t="shared" si="3"/>
        <v>6.7675898294374995E-2</v>
      </c>
      <c r="O44" s="81">
        <f t="shared" si="4"/>
        <v>3.25834849756259</v>
      </c>
      <c r="P44" s="79">
        <f t="shared" si="5"/>
        <v>7.6891618018777086E-2</v>
      </c>
      <c r="Q44" s="79"/>
      <c r="R44" s="180">
        <f t="shared" si="7"/>
        <v>3.540156143484375E-3</v>
      </c>
      <c r="S44" s="82">
        <f t="shared" si="8"/>
        <v>0.17044564966222317</v>
      </c>
      <c r="T44" s="78">
        <f t="shared" si="9"/>
        <v>19.116642190749655</v>
      </c>
    </row>
    <row r="45" spans="1:20" s="1" customFormat="1" ht="11.25" customHeight="1" x14ac:dyDescent="0.2">
      <c r="A45" s="83">
        <v>42</v>
      </c>
      <c r="B45" s="83" t="s">
        <v>654</v>
      </c>
      <c r="C45" s="84">
        <v>1.75</v>
      </c>
      <c r="D45" s="84">
        <v>0.16625704687500001</v>
      </c>
      <c r="E45" s="84">
        <v>-2.2536818349960797E-2</v>
      </c>
      <c r="F45" s="84">
        <v>1.197529375</v>
      </c>
      <c r="G45" s="84">
        <v>-19.903485288864225</v>
      </c>
      <c r="H45" s="101">
        <f t="shared" si="10"/>
        <v>-24.829624699144155</v>
      </c>
      <c r="I45" s="78">
        <f t="shared" si="0"/>
        <v>-1.5918156972141855</v>
      </c>
      <c r="J45" s="79">
        <f t="shared" si="1"/>
        <v>0.68430250000000004</v>
      </c>
      <c r="K45" s="79"/>
      <c r="L45" s="79"/>
      <c r="M45" s="79">
        <f t="shared" si="2"/>
        <v>0</v>
      </c>
      <c r="N45" s="180">
        <f t="shared" si="3"/>
        <v>6.5470128460624999E-2</v>
      </c>
      <c r="O45" s="81">
        <f t="shared" si="4"/>
        <v>3.7411501977499997</v>
      </c>
      <c r="P45" s="79">
        <f t="shared" si="5"/>
        <v>9.5004026785714291E-2</v>
      </c>
      <c r="Q45" s="79"/>
      <c r="R45" s="180">
        <f t="shared" si="7"/>
        <v>3.6854199580781252E-3</v>
      </c>
      <c r="S45" s="82">
        <f t="shared" si="8"/>
        <v>0.21059542617589286</v>
      </c>
      <c r="T45" s="78">
        <f t="shared" si="9"/>
        <v>17.764631766624067</v>
      </c>
    </row>
    <row r="46" spans="1:20" s="1" customFormat="1" ht="11.25" customHeight="1" x14ac:dyDescent="0.2">
      <c r="A46" s="95">
        <v>43</v>
      </c>
      <c r="B46" s="95" t="s">
        <v>655</v>
      </c>
      <c r="C46" s="96">
        <v>1.8240000000000001</v>
      </c>
      <c r="D46" s="96">
        <v>0.19479439062500001</v>
      </c>
      <c r="E46" s="96">
        <v>3.1636925108307068</v>
      </c>
      <c r="F46" s="96">
        <v>1.4321513749999999</v>
      </c>
      <c r="G46" s="96">
        <v>-20.292408711180045</v>
      </c>
      <c r="H46" s="101">
        <f t="shared" si="10"/>
        <v>-25.219598214700227</v>
      </c>
      <c r="I46" s="78">
        <f t="shared" si="0"/>
        <v>1.6055654346186143</v>
      </c>
      <c r="J46" s="79">
        <f t="shared" si="1"/>
        <v>0.78517070997807004</v>
      </c>
      <c r="K46" s="79"/>
      <c r="L46" s="79"/>
      <c r="M46" s="79">
        <f t="shared" si="2"/>
        <v>0</v>
      </c>
      <c r="N46" s="180">
        <f t="shared" si="3"/>
        <v>7.8297147822624993E-2</v>
      </c>
      <c r="O46" s="81">
        <f t="shared" si="4"/>
        <v>4.2926067885211072</v>
      </c>
      <c r="P46" s="79">
        <f t="shared" si="5"/>
        <v>0.10679517029879386</v>
      </c>
      <c r="Q46" s="79"/>
      <c r="R46" s="180">
        <f t="shared" si="7"/>
        <v>4.3180072569843752E-3</v>
      </c>
      <c r="S46" s="82">
        <f t="shared" si="8"/>
        <v>0.23673285400133637</v>
      </c>
      <c r="T46" s="78">
        <f t="shared" si="9"/>
        <v>18.132704083806107</v>
      </c>
    </row>
    <row r="47" spans="1:20" s="1" customFormat="1" ht="11.25" customHeight="1" x14ac:dyDescent="0.2">
      <c r="A47" s="83">
        <v>44</v>
      </c>
      <c r="B47" s="83" t="s">
        <v>656</v>
      </c>
      <c r="C47" s="84">
        <v>1.9279999999999999</v>
      </c>
      <c r="D47" s="84">
        <v>0.19752984374999999</v>
      </c>
      <c r="E47" s="84">
        <v>3.1557817670917476</v>
      </c>
      <c r="F47" s="84">
        <v>1.8771538750000001</v>
      </c>
      <c r="G47" s="84">
        <v>-20.618909681200286</v>
      </c>
      <c r="H47" s="101">
        <f t="shared" si="10"/>
        <v>-25.546980737339524</v>
      </c>
      <c r="I47" s="78">
        <f t="shared" si="0"/>
        <v>1.5976270032765689</v>
      </c>
      <c r="J47" s="79">
        <f t="shared" si="1"/>
        <v>0.97362752852697099</v>
      </c>
      <c r="K47" s="79"/>
      <c r="L47" s="79"/>
      <c r="M47" s="79">
        <f t="shared" si="2"/>
        <v>0</v>
      </c>
      <c r="N47" s="180">
        <f t="shared" si="3"/>
        <v>0.102625879500125</v>
      </c>
      <c r="O47" s="81">
        <f t="shared" si="4"/>
        <v>5.3229190612098032</v>
      </c>
      <c r="P47" s="79">
        <f t="shared" si="5"/>
        <v>0.10245323845954357</v>
      </c>
      <c r="Q47" s="79"/>
      <c r="R47" s="180">
        <f t="shared" si="7"/>
        <v>4.3786440464062496E-3</v>
      </c>
      <c r="S47" s="82">
        <f t="shared" si="8"/>
        <v>0.2271080936932702</v>
      </c>
      <c r="T47" s="78">
        <f t="shared" si="9"/>
        <v>23.437821940414334</v>
      </c>
    </row>
    <row r="48" spans="1:20" s="1" customFormat="1" ht="11.25" customHeight="1" x14ac:dyDescent="0.2">
      <c r="A48" s="95">
        <v>45</v>
      </c>
      <c r="B48" s="95" t="s">
        <v>657</v>
      </c>
      <c r="C48" s="96">
        <v>1.946</v>
      </c>
      <c r="D48" s="96">
        <v>0.1302796953125</v>
      </c>
      <c r="E48" s="96">
        <v>-0.67551626316253444</v>
      </c>
      <c r="F48" s="96">
        <v>1.0506891249999999</v>
      </c>
      <c r="G48" s="96">
        <v>-20.305566561687542</v>
      </c>
      <c r="H48" s="101">
        <f t="shared" si="10"/>
        <v>-25.232791591404094</v>
      </c>
      <c r="I48" s="78">
        <f t="shared" si="0"/>
        <v>-2.2470805700836034</v>
      </c>
      <c r="J48" s="79">
        <f t="shared" si="1"/>
        <v>0.53992246916752307</v>
      </c>
      <c r="K48" s="79"/>
      <c r="L48" s="79"/>
      <c r="M48" s="79">
        <f t="shared" si="2"/>
        <v>0</v>
      </c>
      <c r="N48" s="180">
        <f t="shared" si="3"/>
        <v>5.744222515287499E-2</v>
      </c>
      <c r="O48" s="81">
        <f t="shared" si="4"/>
        <v>2.9518101311857654</v>
      </c>
      <c r="P48" s="79">
        <f t="shared" si="5"/>
        <v>6.6947428218139773E-2</v>
      </c>
      <c r="Q48" s="79"/>
      <c r="R48" s="180">
        <f t="shared" si="7"/>
        <v>2.8879100059921873E-3</v>
      </c>
      <c r="S48" s="82">
        <f t="shared" si="8"/>
        <v>0.14840236413115043</v>
      </c>
      <c r="T48" s="78">
        <f t="shared" si="9"/>
        <v>19.890586975939993</v>
      </c>
    </row>
    <row r="49" spans="1:20" s="1" customFormat="1" ht="11.25" customHeight="1" x14ac:dyDescent="0.2">
      <c r="A49" s="83">
        <v>46</v>
      </c>
      <c r="B49" s="83" t="s">
        <v>658</v>
      </c>
      <c r="C49" s="84">
        <v>2.105</v>
      </c>
      <c r="D49" s="84">
        <v>0.18307667187500001</v>
      </c>
      <c r="E49" s="84">
        <v>5.4151901645771439</v>
      </c>
      <c r="F49" s="84">
        <v>1.6387566250000001</v>
      </c>
      <c r="G49" s="84">
        <v>-20.47942885858722</v>
      </c>
      <c r="H49" s="101">
        <f t="shared" si="10"/>
        <v>-25.407123316505402</v>
      </c>
      <c r="I49" s="78">
        <f t="shared" si="0"/>
        <v>3.8649433301531642</v>
      </c>
      <c r="J49" s="79">
        <f t="shared" si="1"/>
        <v>0.77850671021377682</v>
      </c>
      <c r="K49" s="79"/>
      <c r="L49" s="79"/>
      <c r="M49" s="79">
        <f t="shared" si="2"/>
        <v>0</v>
      </c>
      <c r="N49" s="180">
        <f>F49*$B$28+$D$28</f>
        <v>8.9592463445374998E-2</v>
      </c>
      <c r="O49" s="81">
        <f>N49/C49*100</f>
        <v>4.2561740354097388</v>
      </c>
      <c r="P49" s="79">
        <f t="shared" si="5"/>
        <v>8.6972290676959621E-2</v>
      </c>
      <c r="Q49" s="79"/>
      <c r="R49" s="180">
        <f t="shared" si="7"/>
        <v>4.0582605854531254E-3</v>
      </c>
      <c r="S49" s="82">
        <f t="shared" si="8"/>
        <v>0.19279147674361641</v>
      </c>
      <c r="T49" s="78">
        <f t="shared" si="9"/>
        <v>22.076567425591165</v>
      </c>
    </row>
    <row r="50" spans="1:20" s="1" customFormat="1" ht="11.25" customHeight="1" x14ac:dyDescent="0.2">
      <c r="A50" s="95">
        <v>47</v>
      </c>
      <c r="B50" s="95" t="s">
        <v>659</v>
      </c>
      <c r="C50" s="96">
        <v>2.4580000000000002</v>
      </c>
      <c r="D50" s="96">
        <v>0.22947221875000001</v>
      </c>
      <c r="E50" s="96">
        <v>5.1563810962662604</v>
      </c>
      <c r="F50" s="96">
        <v>2.1636245000000001</v>
      </c>
      <c r="G50" s="96">
        <v>-20.579064937209893</v>
      </c>
      <c r="H50" s="101">
        <f t="shared" si="10"/>
        <v>-25.507028412540357</v>
      </c>
      <c r="I50" s="78">
        <f t="shared" si="0"/>
        <v>3.6052284301031929</v>
      </c>
      <c r="J50" s="79">
        <f t="shared" si="1"/>
        <v>0.88023779495524812</v>
      </c>
      <c r="K50" s="79"/>
      <c r="L50" s="79"/>
      <c r="M50" s="79">
        <f t="shared" si="2"/>
        <v>0</v>
      </c>
      <c r="N50" s="180">
        <f t="shared" si="3"/>
        <v>0.1182875150395</v>
      </c>
      <c r="O50" s="81">
        <f t="shared" si="4"/>
        <v>4.8123480487998371</v>
      </c>
      <c r="P50" s="79">
        <f t="shared" si="5"/>
        <v>9.3357289971521554E-2</v>
      </c>
      <c r="Q50" s="79"/>
      <c r="R50" s="180">
        <f t="shared" si="7"/>
        <v>5.08671067303125E-3</v>
      </c>
      <c r="S50" s="82">
        <f t="shared" si="8"/>
        <v>0.20694510467987184</v>
      </c>
      <c r="T50" s="78">
        <f t="shared" si="9"/>
        <v>23.254225105948599</v>
      </c>
    </row>
    <row r="51" spans="1:20" s="1" customFormat="1" ht="11.25" customHeight="1" x14ac:dyDescent="0.2">
      <c r="A51" s="83">
        <v>48</v>
      </c>
      <c r="B51" s="83" t="s">
        <v>660</v>
      </c>
      <c r="C51" s="84">
        <v>1.968</v>
      </c>
      <c r="D51" s="84">
        <v>7.0526492187499998E-2</v>
      </c>
      <c r="E51" s="84">
        <v>0.3363356759624736</v>
      </c>
      <c r="F51" s="84">
        <v>0.46609062499999998</v>
      </c>
      <c r="G51" s="84">
        <v>-19.352388458950646</v>
      </c>
      <c r="H51" s="101">
        <f t="shared" si="10"/>
        <v>-24.27703990778981</v>
      </c>
      <c r="I51" s="78">
        <f t="shared" si="0"/>
        <v>-1.2316871491716577</v>
      </c>
      <c r="J51" s="79">
        <f t="shared" si="1"/>
        <v>0.23683466717479673</v>
      </c>
      <c r="K51" s="79"/>
      <c r="L51" s="79"/>
      <c r="M51" s="79">
        <f t="shared" si="2"/>
        <v>0</v>
      </c>
      <c r="N51" s="180">
        <f t="shared" si="3"/>
        <v>2.5481640559374998E-2</v>
      </c>
      <c r="O51" s="81">
        <f t="shared" si="4"/>
        <v>1.2947988089113314</v>
      </c>
      <c r="P51" s="79">
        <f t="shared" si="5"/>
        <v>3.5836632209095526E-2</v>
      </c>
      <c r="Q51" s="79"/>
      <c r="R51" s="180">
        <f t="shared" si="7"/>
        <v>1.5633607523203124E-3</v>
      </c>
      <c r="S51" s="82">
        <f t="shared" si="8"/>
        <v>7.9439062617902054E-2</v>
      </c>
      <c r="T51" s="78">
        <f t="shared" si="9"/>
        <v>16.299270991391843</v>
      </c>
    </row>
    <row r="52" spans="1:20" s="1" customFormat="1" ht="11.25" customHeight="1" x14ac:dyDescent="0.2">
      <c r="A52" s="95">
        <v>49</v>
      </c>
      <c r="B52" s="95" t="s">
        <v>661</v>
      </c>
      <c r="C52" s="96">
        <v>1.73</v>
      </c>
      <c r="D52" s="96">
        <v>4.9124945312500001E-2</v>
      </c>
      <c r="E52" s="96">
        <v>-10.643344618181949</v>
      </c>
      <c r="F52" s="96">
        <v>0.81434481250000001</v>
      </c>
      <c r="G52" s="96">
        <v>-9.8842340751203288</v>
      </c>
      <c r="H52" s="101">
        <f>$B$26*G52+$D$26</f>
        <v>-14.783321507123151</v>
      </c>
      <c r="I52" s="78">
        <f>$B$27*E52+$D$27</f>
        <v>-12.249796324345587</v>
      </c>
      <c r="J52" s="79">
        <f>(F52)/C52</f>
        <v>0.47071954479768785</v>
      </c>
      <c r="K52" s="79"/>
      <c r="L52" s="79"/>
      <c r="M52" s="79">
        <f>C52*(K52/100)</f>
        <v>0</v>
      </c>
      <c r="N52" s="180">
        <f>F52*$B$28+$D$28</f>
        <v>4.4521045244187499E-2</v>
      </c>
      <c r="O52" s="81">
        <f>N52/C52*100</f>
        <v>2.5734708233634391</v>
      </c>
      <c r="P52" s="79">
        <f>D52/C52</f>
        <v>2.8395922145953757E-2</v>
      </c>
      <c r="Q52" s="79"/>
      <c r="R52" s="180">
        <f>D52*$B$29+$D$29</f>
        <v>1.0889526627421875E-3</v>
      </c>
      <c r="S52" s="82">
        <f>R52/C52*100</f>
        <v>6.2945240620935691E-2</v>
      </c>
      <c r="T52" s="78">
        <f>N52/R52</f>
        <v>40.884279700529071</v>
      </c>
    </row>
    <row r="53" spans="1:20" s="90" customFormat="1" ht="11.25" customHeight="1" x14ac:dyDescent="0.2">
      <c r="A53" s="117">
        <v>50</v>
      </c>
      <c r="B53" s="117" t="s">
        <v>82</v>
      </c>
      <c r="C53" s="105">
        <v>1.042</v>
      </c>
      <c r="D53" s="105">
        <v>1.21649075</v>
      </c>
      <c r="E53" s="105">
        <v>4.8015189327819119</v>
      </c>
      <c r="F53" s="105">
        <v>8.5853439999999992</v>
      </c>
      <c r="G53" s="105">
        <v>-21.485173471729315</v>
      </c>
      <c r="H53" s="100">
        <f t="shared" si="10"/>
        <v>-26.415583440102981</v>
      </c>
      <c r="I53" s="86">
        <f t="shared" si="0"/>
        <v>3.2491242490466488</v>
      </c>
      <c r="J53" s="87">
        <f t="shared" si="1"/>
        <v>8.239293666026871</v>
      </c>
      <c r="K53" s="87">
        <f t="shared" ref="K53" si="15">H$14</f>
        <v>44.65</v>
      </c>
      <c r="L53" s="87">
        <f t="shared" ref="L53" si="16">I$14</f>
        <v>2.83</v>
      </c>
      <c r="M53" s="87">
        <f t="shared" ref="M53:M54" si="17">C53*(K53/100)</f>
        <v>0.46525300000000003</v>
      </c>
      <c r="N53" s="179">
        <f t="shared" ref="N53:N54" si="18">F53*$B$28+$D$28</f>
        <v>0.46936934182399992</v>
      </c>
      <c r="O53" s="91">
        <f t="shared" ref="O53:O54" si="19">N53/C53*100</f>
        <v>45.045042401535504</v>
      </c>
      <c r="P53" s="87">
        <f t="shared" ref="P53:P54" si="20">D53/C53</f>
        <v>1.1674575335892514</v>
      </c>
      <c r="Q53" s="87">
        <f t="shared" ref="Q53" si="21">C53*(L53/100)</f>
        <v>2.9488600000000004E-2</v>
      </c>
      <c r="R53" s="179">
        <f t="shared" si="7"/>
        <v>2.6965950455249996E-2</v>
      </c>
      <c r="S53" s="89">
        <f t="shared" si="8"/>
        <v>2.5879031147072933</v>
      </c>
      <c r="T53" s="86">
        <f t="shared" si="9"/>
        <v>17.406000304084163</v>
      </c>
    </row>
    <row r="54" spans="1:20" s="126" customFormat="1" ht="11.25" customHeight="1" x14ac:dyDescent="0.2">
      <c r="A54" s="119">
        <v>51</v>
      </c>
      <c r="B54" s="119" t="s">
        <v>87</v>
      </c>
      <c r="C54" s="120">
        <v>2.21</v>
      </c>
      <c r="D54" s="120">
        <v>0.18792926562500001</v>
      </c>
      <c r="E54" s="120">
        <v>2.0690281614852424</v>
      </c>
      <c r="F54" s="120">
        <v>1.266823</v>
      </c>
      <c r="G54" s="120">
        <v>-14.520821313408645</v>
      </c>
      <c r="H54" s="121">
        <f t="shared" si="10"/>
        <v>-19.432427530954847</v>
      </c>
      <c r="I54" s="122">
        <f t="shared" si="0"/>
        <v>0.5070697600504408</v>
      </c>
      <c r="J54" s="118">
        <f t="shared" si="1"/>
        <v>0.57322307692307695</v>
      </c>
      <c r="K54" s="118">
        <f>H$13</f>
        <v>3.3479999999999999</v>
      </c>
      <c r="L54" s="118"/>
      <c r="M54" s="118">
        <f t="shared" si="17"/>
        <v>7.3990799999999995E-2</v>
      </c>
      <c r="N54" s="181">
        <f t="shared" si="18"/>
        <v>6.9258480232999992E-2</v>
      </c>
      <c r="O54" s="124">
        <f t="shared" si="19"/>
        <v>3.133867883846154</v>
      </c>
      <c r="P54" s="118">
        <f t="shared" si="20"/>
        <v>8.5035866798642543E-2</v>
      </c>
      <c r="Q54" s="118"/>
      <c r="R54" s="181">
        <f t="shared" si="7"/>
        <v>4.1658280311093754E-3</v>
      </c>
      <c r="S54" s="125">
        <f t="shared" si="8"/>
        <v>0.18849900593255092</v>
      </c>
      <c r="T54" s="122">
        <f t="shared" si="9"/>
        <v>16.625381488576764</v>
      </c>
    </row>
    <row r="55" spans="1:20" s="1" customFormat="1" ht="11.25" customHeight="1" x14ac:dyDescent="0.2">
      <c r="A55" s="83">
        <v>52</v>
      </c>
      <c r="B55" s="83" t="s">
        <v>662</v>
      </c>
      <c r="C55" s="84">
        <v>2.093</v>
      </c>
      <c r="D55" s="84">
        <v>0.160024265625</v>
      </c>
      <c r="E55" s="84">
        <v>2.476968910708699</v>
      </c>
      <c r="F55" s="84">
        <v>1.1934307500000001</v>
      </c>
      <c r="G55" s="84">
        <v>-20.129198980375751</v>
      </c>
      <c r="H55" s="101">
        <f t="shared" si="10"/>
        <v>-25.055947817622762</v>
      </c>
      <c r="I55" s="78">
        <f t="shared" si="0"/>
        <v>0.91643830189617947</v>
      </c>
      <c r="J55" s="79">
        <f t="shared" si="1"/>
        <v>0.57020102723363597</v>
      </c>
      <c r="K55" s="79"/>
      <c r="L55" s="79"/>
      <c r="M55" s="79">
        <f t="shared" ref="M55:M56" si="22">C55*(K55/100)</f>
        <v>0</v>
      </c>
      <c r="N55" s="180">
        <f t="shared" ref="N55:N56" si="23">F55*$B$28+$D$28</f>
        <v>6.5246052533249999E-2</v>
      </c>
      <c r="O55" s="81">
        <f t="shared" ref="O55:O56" si="24">N55/C55*100</f>
        <v>3.1173460359890113</v>
      </c>
      <c r="P55" s="79">
        <f t="shared" ref="P55:P56" si="25">D55/C55</f>
        <v>7.6456887541806018E-2</v>
      </c>
      <c r="Q55" s="79"/>
      <c r="R55" s="180">
        <f t="shared" si="7"/>
        <v>3.5472578961093749E-3</v>
      </c>
      <c r="S55" s="82">
        <f t="shared" si="8"/>
        <v>0.16948198261392142</v>
      </c>
      <c r="T55" s="78">
        <f t="shared" si="9"/>
        <v>18.393377206887532</v>
      </c>
    </row>
    <row r="56" spans="1:20" s="1" customFormat="1" ht="11.25" customHeight="1" x14ac:dyDescent="0.2">
      <c r="A56" s="83">
        <v>53</v>
      </c>
      <c r="B56" s="83" t="s">
        <v>663</v>
      </c>
      <c r="C56" s="84">
        <v>2.109</v>
      </c>
      <c r="D56" s="84">
        <v>0.18526848437499999</v>
      </c>
      <c r="E56" s="84">
        <v>-15.563728843609791</v>
      </c>
      <c r="F56" s="84">
        <v>1.31219325</v>
      </c>
      <c r="G56" s="84">
        <v>-20.470823201524261</v>
      </c>
      <c r="H56" s="101">
        <f t="shared" si="10"/>
        <v>-25.398494424168373</v>
      </c>
      <c r="I56" s="78">
        <f t="shared" si="0"/>
        <v>-17.187401894562427</v>
      </c>
      <c r="J56" s="79">
        <f t="shared" si="1"/>
        <v>0.62218741109530584</v>
      </c>
      <c r="K56" s="79"/>
      <c r="L56" s="79"/>
      <c r="M56" s="79">
        <f t="shared" si="22"/>
        <v>0</v>
      </c>
      <c r="N56" s="180">
        <f t="shared" si="23"/>
        <v>7.1738917170749997E-2</v>
      </c>
      <c r="O56" s="81">
        <f t="shared" si="24"/>
        <v>3.401560795199146</v>
      </c>
      <c r="P56" s="79">
        <f t="shared" si="25"/>
        <v>8.7846602358937875E-2</v>
      </c>
      <c r="Q56" s="79"/>
      <c r="R56" s="180">
        <f t="shared" si="7"/>
        <v>4.1068464931406246E-3</v>
      </c>
      <c r="S56" s="82">
        <f t="shared" si="8"/>
        <v>0.19472956344905759</v>
      </c>
      <c r="T56" s="78">
        <f t="shared" si="9"/>
        <v>17.468127257877896</v>
      </c>
    </row>
    <row r="57" spans="1:20" s="1" customFormat="1" ht="11.25" customHeight="1" x14ac:dyDescent="0.2">
      <c r="A57" s="83">
        <v>54</v>
      </c>
      <c r="B57" s="83" t="s">
        <v>664</v>
      </c>
      <c r="C57" s="84">
        <v>1.8680000000000001</v>
      </c>
      <c r="D57" s="84">
        <v>0.14634668749999999</v>
      </c>
      <c r="E57" s="84">
        <v>-2.1484695190262526</v>
      </c>
      <c r="F57" s="84">
        <v>0.75530462499999995</v>
      </c>
      <c r="G57" s="84">
        <v>-19.400564092553271</v>
      </c>
      <c r="H57" s="101">
        <f t="shared" si="10"/>
        <v>-24.325345615603162</v>
      </c>
      <c r="I57" s="78">
        <f t="shared" si="0"/>
        <v>-3.7251891623428444</v>
      </c>
      <c r="J57" s="79">
        <f t="shared" si="1"/>
        <v>0.40433866434689503</v>
      </c>
      <c r="K57" s="79"/>
      <c r="L57" s="79"/>
      <c r="M57" s="79">
        <f t="shared" si="2"/>
        <v>0</v>
      </c>
      <c r="N57" s="180">
        <f t="shared" si="3"/>
        <v>4.1293259153374992E-2</v>
      </c>
      <c r="O57" s="81">
        <f t="shared" si="4"/>
        <v>2.2105599118509094</v>
      </c>
      <c r="P57" s="79">
        <f t="shared" si="5"/>
        <v>7.8344051124196998E-2</v>
      </c>
      <c r="Q57" s="79"/>
      <c r="R57" s="180">
        <f t="shared" si="7"/>
        <v>3.2440670218124995E-3</v>
      </c>
      <c r="S57" s="82">
        <f t="shared" si="8"/>
        <v>0.17366525812700745</v>
      </c>
      <c r="T57" s="78">
        <f t="shared" si="9"/>
        <v>12.728855130219827</v>
      </c>
    </row>
    <row r="58" spans="1:20" s="1" customFormat="1" ht="11.25" customHeight="1" x14ac:dyDescent="0.2">
      <c r="A58" s="95">
        <v>55</v>
      </c>
      <c r="B58" s="95" t="s">
        <v>665</v>
      </c>
      <c r="C58" s="96">
        <v>1.913</v>
      </c>
      <c r="D58" s="96">
        <v>0.10427975</v>
      </c>
      <c r="E58" s="96">
        <v>-9.0797686222348073</v>
      </c>
      <c r="F58" s="96">
        <v>0.22501803125</v>
      </c>
      <c r="G58" s="96">
        <v>-18.431056396842845</v>
      </c>
      <c r="H58" s="101">
        <f t="shared" si="10"/>
        <v>-23.353220249114319</v>
      </c>
      <c r="I58" s="78">
        <f t="shared" si="0"/>
        <v>-10.68074781241263</v>
      </c>
      <c r="J58" s="79">
        <f t="shared" si="1"/>
        <v>0.11762573510193414</v>
      </c>
      <c r="K58" s="79"/>
      <c r="L58" s="79"/>
      <c r="M58" s="79">
        <f t="shared" si="2"/>
        <v>0</v>
      </c>
      <c r="N58" s="180">
        <f t="shared" si="3"/>
        <v>1.230196078646875E-2</v>
      </c>
      <c r="O58" s="81">
        <f t="shared" si="4"/>
        <v>0.64307165637578412</v>
      </c>
      <c r="P58" s="79">
        <f t="shared" si="5"/>
        <v>5.4511108207004708E-2</v>
      </c>
      <c r="Q58" s="79"/>
      <c r="R58" s="180">
        <f t="shared" si="7"/>
        <v>2.31156921825E-3</v>
      </c>
      <c r="S58" s="82">
        <f t="shared" si="8"/>
        <v>0.12083477356246732</v>
      </c>
      <c r="T58" s="78">
        <f t="shared" si="9"/>
        <v>5.3219088960624292</v>
      </c>
    </row>
    <row r="59" spans="1:20" s="1" customFormat="1" ht="11.25" customHeight="1" x14ac:dyDescent="0.2">
      <c r="A59" s="83">
        <v>56</v>
      </c>
      <c r="B59" s="83" t="s">
        <v>666</v>
      </c>
      <c r="C59" s="84">
        <v>1.9179999999999999</v>
      </c>
      <c r="D59" s="84">
        <v>0.25004192187500002</v>
      </c>
      <c r="E59" s="84">
        <v>-11.138436438634326</v>
      </c>
      <c r="F59" s="84">
        <v>1.3254364999999999</v>
      </c>
      <c r="G59" s="84">
        <v>-20.564567551785188</v>
      </c>
      <c r="H59" s="101">
        <f t="shared" si="10"/>
        <v>-25.492491884175006</v>
      </c>
      <c r="I59" s="78">
        <f t="shared" si="0"/>
        <v>-12.746620966169546</v>
      </c>
      <c r="J59" s="79">
        <f t="shared" si="1"/>
        <v>0.69105135557872777</v>
      </c>
      <c r="K59" s="79"/>
      <c r="L59" s="79"/>
      <c r="M59" s="79">
        <f t="shared" si="2"/>
        <v>0</v>
      </c>
      <c r="N59" s="180">
        <f t="shared" si="3"/>
        <v>7.2462938891499989E-2</v>
      </c>
      <c r="O59" s="81">
        <f t="shared" si="4"/>
        <v>3.7780468660844626</v>
      </c>
      <c r="P59" s="79">
        <f t="shared" si="5"/>
        <v>0.13036596552398333</v>
      </c>
      <c r="Q59" s="79"/>
      <c r="R59" s="180">
        <f t="shared" si="7"/>
        <v>5.5426792822031255E-3</v>
      </c>
      <c r="S59" s="82">
        <f t="shared" si="8"/>
        <v>0.28898223577701382</v>
      </c>
      <c r="T59" s="78">
        <f t="shared" si="9"/>
        <v>13.073630134828429</v>
      </c>
    </row>
    <row r="60" spans="1:20" s="1" customFormat="1" ht="11.25" customHeight="1" x14ac:dyDescent="0.2">
      <c r="A60" s="95">
        <v>57</v>
      </c>
      <c r="B60" s="95" t="s">
        <v>667</v>
      </c>
      <c r="C60" s="96">
        <v>2.0430000000000001</v>
      </c>
      <c r="D60" s="96">
        <v>0.20814445312499999</v>
      </c>
      <c r="E60" s="96">
        <v>-15.227154977377033</v>
      </c>
      <c r="F60" s="96">
        <v>0.74630993749999996</v>
      </c>
      <c r="G60" s="96">
        <v>-20.08240659654243</v>
      </c>
      <c r="H60" s="101">
        <f t="shared" si="10"/>
        <v>-25.009029094353092</v>
      </c>
      <c r="I60" s="78">
        <f t="shared" si="0"/>
        <v>-16.849650019797853</v>
      </c>
      <c r="J60" s="79">
        <f t="shared" si="1"/>
        <v>0.36530099730788052</v>
      </c>
      <c r="K60" s="79"/>
      <c r="L60" s="79"/>
      <c r="M60" s="79">
        <f t="shared" si="2"/>
        <v>0</v>
      </c>
      <c r="N60" s="180">
        <f t="shared" si="3"/>
        <v>4.0801510593062494E-2</v>
      </c>
      <c r="O60" s="81">
        <f t="shared" si="4"/>
        <v>1.9971370823819132</v>
      </c>
      <c r="P60" s="79">
        <f t="shared" si="5"/>
        <v>0.10188176853891336</v>
      </c>
      <c r="Q60" s="79"/>
      <c r="R60" s="180">
        <f t="shared" si="7"/>
        <v>4.6139380924218746E-3</v>
      </c>
      <c r="S60" s="82">
        <f t="shared" si="8"/>
        <v>0.22584131632020921</v>
      </c>
      <c r="T60" s="78">
        <f t="shared" si="9"/>
        <v>8.8430988400292172</v>
      </c>
    </row>
    <row r="61" spans="1:20" s="1" customFormat="1" ht="11.25" customHeight="1" x14ac:dyDescent="0.2">
      <c r="A61" s="83">
        <v>58</v>
      </c>
      <c r="B61" s="83" t="s">
        <v>668</v>
      </c>
      <c r="C61" s="84">
        <v>2.359</v>
      </c>
      <c r="D61" s="84">
        <v>0.37248334374999997</v>
      </c>
      <c r="E61" s="84">
        <v>-13.599674809037676</v>
      </c>
      <c r="F61" s="84">
        <v>0.77179156250000003</v>
      </c>
      <c r="G61" s="84">
        <v>-20.181468667428671</v>
      </c>
      <c r="H61" s="101">
        <f t="shared" si="10"/>
        <v>-25.108358632830726</v>
      </c>
      <c r="I61" s="78">
        <f t="shared" si="0"/>
        <v>-15.216473670869309</v>
      </c>
      <c r="J61" s="79">
        <f t="shared" si="1"/>
        <v>0.32716895400593471</v>
      </c>
      <c r="K61" s="79"/>
      <c r="L61" s="79"/>
      <c r="M61" s="79">
        <f t="shared" si="2"/>
        <v>0</v>
      </c>
      <c r="N61" s="180">
        <f t="shared" si="3"/>
        <v>4.2194616513437498E-2</v>
      </c>
      <c r="O61" s="81">
        <f t="shared" si="4"/>
        <v>1.7886653884458457</v>
      </c>
      <c r="P61" s="79">
        <f t="shared" si="5"/>
        <v>0.15789883160237389</v>
      </c>
      <c r="Q61" s="79"/>
      <c r="R61" s="180">
        <f t="shared" si="7"/>
        <v>8.2568382809062486E-3</v>
      </c>
      <c r="S61" s="82">
        <f t="shared" si="8"/>
        <v>0.35001434001298215</v>
      </c>
      <c r="T61" s="78">
        <f t="shared" si="9"/>
        <v>5.1102631634449702</v>
      </c>
    </row>
    <row r="62" spans="1:20" s="1" customFormat="1" ht="11.25" customHeight="1" x14ac:dyDescent="0.2">
      <c r="A62" s="95">
        <v>59</v>
      </c>
      <c r="B62" s="95" t="s">
        <v>669</v>
      </c>
      <c r="C62" s="96">
        <v>1.8660000000000001</v>
      </c>
      <c r="D62" s="96">
        <v>0.28066068750000001</v>
      </c>
      <c r="E62" s="96">
        <v>-4.631247837485919</v>
      </c>
      <c r="F62" s="96">
        <v>1.4237081250000001</v>
      </c>
      <c r="G62" s="96">
        <v>-20.46494416690506</v>
      </c>
      <c r="H62" s="101">
        <f t="shared" si="10"/>
        <v>-25.392599516155702</v>
      </c>
      <c r="I62" s="78">
        <f t="shared" si="0"/>
        <v>-6.2166572049171194</v>
      </c>
      <c r="J62" s="79">
        <f t="shared" si="1"/>
        <v>0.76297327170418006</v>
      </c>
      <c r="K62" s="79"/>
      <c r="L62" s="79"/>
      <c r="M62" s="79">
        <f t="shared" si="2"/>
        <v>0</v>
      </c>
      <c r="N62" s="180">
        <f t="shared" si="3"/>
        <v>7.7835546901874997E-2</v>
      </c>
      <c r="O62" s="81">
        <f t="shared" si="4"/>
        <v>4.1712511737339222</v>
      </c>
      <c r="P62" s="79">
        <f t="shared" si="5"/>
        <v>0.15040765675241158</v>
      </c>
      <c r="Q62" s="79"/>
      <c r="R62" s="180">
        <f t="shared" si="7"/>
        <v>6.2214054598124999E-3</v>
      </c>
      <c r="S62" s="82">
        <f t="shared" si="8"/>
        <v>0.33340865272307069</v>
      </c>
      <c r="T62" s="78">
        <f t="shared" si="9"/>
        <v>12.510926575137702</v>
      </c>
    </row>
    <row r="63" spans="1:20" s="1" customFormat="1" ht="11.25" customHeight="1" x14ac:dyDescent="0.2">
      <c r="A63" s="83">
        <v>60</v>
      </c>
      <c r="B63" s="83" t="s">
        <v>670</v>
      </c>
      <c r="C63" s="84">
        <v>6.931</v>
      </c>
      <c r="D63" s="84">
        <v>0.37844543749999998</v>
      </c>
      <c r="E63" s="84">
        <v>-8.3084737423818602</v>
      </c>
      <c r="F63" s="84">
        <v>1.761195125</v>
      </c>
      <c r="G63" s="84">
        <v>-21.129830483862023</v>
      </c>
      <c r="H63" s="101">
        <f>$B$26*G63+$D$26</f>
        <v>-26.059281026168449</v>
      </c>
      <c r="I63" s="78">
        <f>$B$27*E63+$D$27</f>
        <v>-9.9067534004801967</v>
      </c>
      <c r="J63" s="79">
        <f>(F63)/C63</f>
        <v>0.25410404342807674</v>
      </c>
      <c r="K63" s="79"/>
      <c r="L63" s="79"/>
      <c r="M63" s="79">
        <f>C63*(K63/100)</f>
        <v>0</v>
      </c>
      <c r="N63" s="180">
        <f>F63*$B$28+$D$28</f>
        <v>9.628629867887499E-2</v>
      </c>
      <c r="O63" s="81">
        <f>N63/C63*100</f>
        <v>1.3892122158256384</v>
      </c>
      <c r="P63" s="79">
        <f>D63/C63</f>
        <v>5.4601852185831766E-2</v>
      </c>
      <c r="Q63" s="79"/>
      <c r="R63" s="180">
        <f>D63*$B$29+$D$29</f>
        <v>8.3890000130624996E-3</v>
      </c>
      <c r="S63" s="82">
        <f>R63/C63*100</f>
        <v>0.12103592574033328</v>
      </c>
      <c r="T63" s="78">
        <f>N63/R63</f>
        <v>11.477684888419089</v>
      </c>
    </row>
    <row r="64" spans="1:20" s="1" customFormat="1" ht="11.25" customHeight="1" x14ac:dyDescent="0.2">
      <c r="A64" s="95">
        <v>61</v>
      </c>
      <c r="B64" s="95" t="s">
        <v>671</v>
      </c>
      <c r="C64" s="96">
        <v>7.5750000000000002</v>
      </c>
      <c r="D64" s="96">
        <v>0.54319187499999999</v>
      </c>
      <c r="E64" s="96">
        <v>-6.7104121319905286</v>
      </c>
      <c r="F64" s="96">
        <v>3.0498462499999999</v>
      </c>
      <c r="G64" s="96">
        <v>-21.279895722067902</v>
      </c>
      <c r="H64" s="101">
        <f t="shared" si="10"/>
        <v>-26.209751440517483</v>
      </c>
      <c r="I64" s="78">
        <f t="shared" si="0"/>
        <v>-8.3030985744524965</v>
      </c>
      <c r="J64" s="79">
        <f t="shared" si="1"/>
        <v>0.40261996699669966</v>
      </c>
      <c r="K64" s="79"/>
      <c r="L64" s="79"/>
      <c r="M64" s="79">
        <f t="shared" ref="M64:M67" si="26">C64*(K64/100)</f>
        <v>0</v>
      </c>
      <c r="N64" s="180">
        <f t="shared" ref="N64:N67" si="27">F64*$B$28+$D$28</f>
        <v>0.16673814433374998</v>
      </c>
      <c r="O64" s="81">
        <f t="shared" ref="O64:O67" si="28">N64/C64*100</f>
        <v>2.2011636215676567</v>
      </c>
      <c r="P64" s="79">
        <f t="shared" ref="P64:P67" si="29">D64/C64</f>
        <v>7.1708498349834976E-2</v>
      </c>
      <c r="Q64" s="79"/>
      <c r="R64" s="180">
        <f t="shared" si="7"/>
        <v>1.2040934293125E-2</v>
      </c>
      <c r="S64" s="82">
        <f t="shared" si="8"/>
        <v>0.1589562282920792</v>
      </c>
      <c r="T64" s="78">
        <f t="shared" si="9"/>
        <v>13.847608522284878</v>
      </c>
    </row>
    <row r="65" spans="1:20" s="1" customFormat="1" ht="11.25" customHeight="1" x14ac:dyDescent="0.2">
      <c r="A65" s="83">
        <v>62</v>
      </c>
      <c r="B65" s="83" t="s">
        <v>672</v>
      </c>
      <c r="C65" s="84">
        <v>7.1719999999999997</v>
      </c>
      <c r="D65" s="84">
        <v>0.46110590624999997</v>
      </c>
      <c r="E65" s="84">
        <v>-13.252976270599181</v>
      </c>
      <c r="F65" s="84">
        <v>2.6096747499999999</v>
      </c>
      <c r="G65" s="84">
        <v>-21.32879309150427</v>
      </c>
      <c r="H65" s="101">
        <f t="shared" si="10"/>
        <v>-26.258780832851329</v>
      </c>
      <c r="I65" s="78">
        <f t="shared" si="0"/>
        <v>-14.868561687546279</v>
      </c>
      <c r="J65" s="79">
        <f t="shared" si="1"/>
        <v>0.36386987590630226</v>
      </c>
      <c r="K65" s="79"/>
      <c r="L65" s="79"/>
      <c r="M65" s="79">
        <f t="shared" si="26"/>
        <v>0</v>
      </c>
      <c r="N65" s="180">
        <f t="shared" si="27"/>
        <v>0.14267352825724999</v>
      </c>
      <c r="O65" s="81">
        <f t="shared" si="28"/>
        <v>1.9893129985673452</v>
      </c>
      <c r="P65" s="79">
        <f t="shared" si="29"/>
        <v>6.4292513420245403E-2</v>
      </c>
      <c r="Q65" s="79"/>
      <c r="R65" s="180">
        <f t="shared" si="7"/>
        <v>1.022133462384375E-2</v>
      </c>
      <c r="S65" s="82">
        <f t="shared" si="8"/>
        <v>0.14251721449865798</v>
      </c>
      <c r="T65" s="78">
        <f t="shared" si="9"/>
        <v>13.958404993847797</v>
      </c>
    </row>
    <row r="66" spans="1:20" s="90" customFormat="1" ht="11.25" customHeight="1" x14ac:dyDescent="0.2">
      <c r="A66" s="117">
        <v>63</v>
      </c>
      <c r="B66" s="117" t="s">
        <v>61</v>
      </c>
      <c r="C66" s="105">
        <v>0.76</v>
      </c>
      <c r="D66" s="105">
        <v>0.96555768750000004</v>
      </c>
      <c r="E66" s="105">
        <v>3.3414682560199971</v>
      </c>
      <c r="F66" s="105">
        <v>6.2759945000000004</v>
      </c>
      <c r="G66" s="105">
        <v>-21.309062460927628</v>
      </c>
      <c r="H66" s="100">
        <f t="shared" si="10"/>
        <v>-26.238996929572128</v>
      </c>
      <c r="I66" s="86">
        <f t="shared" si="0"/>
        <v>1.7839633949160674</v>
      </c>
      <c r="J66" s="87">
        <f t="shared" si="1"/>
        <v>8.2578875000000007</v>
      </c>
      <c r="K66" s="87">
        <f t="shared" ref="K66:L66" si="30">H$14</f>
        <v>44.65</v>
      </c>
      <c r="L66" s="87">
        <f t="shared" si="30"/>
        <v>2.83</v>
      </c>
      <c r="M66" s="87">
        <f t="shared" si="26"/>
        <v>0.33934000000000003</v>
      </c>
      <c r="N66" s="179">
        <f t="shared" si="27"/>
        <v>0.34311489530950001</v>
      </c>
      <c r="O66" s="91">
        <f t="shared" si="28"/>
        <v>45.146696751249998</v>
      </c>
      <c r="P66" s="87">
        <f t="shared" si="29"/>
        <v>1.2704706414473685</v>
      </c>
      <c r="Q66" s="87">
        <f t="shared" ref="Q66" si="31">C66*(L66/100)</f>
        <v>2.1508000000000003E-2</v>
      </c>
      <c r="R66" s="179">
        <f t="shared" si="7"/>
        <v>2.14035172588125E-2</v>
      </c>
      <c r="S66" s="89">
        <f t="shared" si="8"/>
        <v>2.8162522708963813</v>
      </c>
      <c r="T66" s="86">
        <f t="shared" si="9"/>
        <v>16.030771539113687</v>
      </c>
    </row>
    <row r="67" spans="1:20" s="126" customFormat="1" ht="11.25" customHeight="1" x14ac:dyDescent="0.2">
      <c r="A67" s="119">
        <v>64</v>
      </c>
      <c r="B67" s="119" t="s">
        <v>98</v>
      </c>
      <c r="C67" s="120">
        <v>2.6080000000000001</v>
      </c>
      <c r="D67" s="120">
        <v>0.32719109374999999</v>
      </c>
      <c r="E67" s="120">
        <v>-10.260741949786322</v>
      </c>
      <c r="F67" s="120">
        <v>1.487370375</v>
      </c>
      <c r="G67" s="120">
        <v>-14.217970749051652</v>
      </c>
      <c r="H67" s="121">
        <f t="shared" si="10"/>
        <v>-19.128759270074092</v>
      </c>
      <c r="I67" s="122">
        <f t="shared" si="0"/>
        <v>-11.865854546610574</v>
      </c>
      <c r="J67" s="118">
        <f t="shared" si="1"/>
        <v>0.57031072661042947</v>
      </c>
      <c r="K67" s="118">
        <f>H$13</f>
        <v>3.3479999999999999</v>
      </c>
      <c r="L67" s="118"/>
      <c r="M67" s="118">
        <f t="shared" si="26"/>
        <v>8.7315839999999992E-2</v>
      </c>
      <c r="N67" s="181">
        <f t="shared" si="27"/>
        <v>8.1316025771625E-2</v>
      </c>
      <c r="O67" s="124">
        <f t="shared" si="28"/>
        <v>3.1179457734518787</v>
      </c>
      <c r="P67" s="118">
        <f t="shared" si="29"/>
        <v>0.125456707726227</v>
      </c>
      <c r="Q67" s="118"/>
      <c r="R67" s="181">
        <f t="shared" si="7"/>
        <v>7.2528449751562496E-3</v>
      </c>
      <c r="S67" s="125">
        <f t="shared" si="8"/>
        <v>0.27809988401672736</v>
      </c>
      <c r="T67" s="122">
        <f t="shared" si="9"/>
        <v>11.211604005071568</v>
      </c>
    </row>
    <row r="68" spans="1:20" s="1" customFormat="1" ht="11.25" customHeight="1" x14ac:dyDescent="0.2">
      <c r="A68" s="95">
        <v>65</v>
      </c>
      <c r="B68" s="95" t="s">
        <v>673</v>
      </c>
      <c r="C68" s="96">
        <v>6.8520000000000003</v>
      </c>
      <c r="D68" s="96">
        <v>0.37515956249999999</v>
      </c>
      <c r="E68" s="96">
        <v>-8.5382728354397308</v>
      </c>
      <c r="F68" s="96">
        <v>1.8077939999999999</v>
      </c>
      <c r="G68" s="96">
        <v>-21.222000177293996</v>
      </c>
      <c r="H68" s="101">
        <f t="shared" si="10"/>
        <v>-26.151699577772686</v>
      </c>
      <c r="I68" s="78">
        <f t="shared" si="0"/>
        <v>-10.137356790363771</v>
      </c>
      <c r="J68" s="79">
        <f t="shared" si="1"/>
        <v>0.26383450087565674</v>
      </c>
      <c r="K68" s="79"/>
      <c r="L68" s="79"/>
      <c r="M68" s="79">
        <f t="shared" si="2"/>
        <v>0</v>
      </c>
      <c r="N68" s="180">
        <f t="shared" si="3"/>
        <v>9.8833905773999989E-2</v>
      </c>
      <c r="O68" s="81">
        <f t="shared" si="4"/>
        <v>1.4424095997373028</v>
      </c>
      <c r="P68" s="79">
        <f t="shared" si="5"/>
        <v>5.4751833406304726E-2</v>
      </c>
      <c r="Q68" s="79"/>
      <c r="R68" s="180">
        <f t="shared" si="7"/>
        <v>8.3161620219374989E-3</v>
      </c>
      <c r="S68" s="82">
        <f t="shared" si="8"/>
        <v>0.12136838911175565</v>
      </c>
      <c r="T68" s="78">
        <f t="shared" si="9"/>
        <v>11.884557505407244</v>
      </c>
    </row>
    <row r="69" spans="1:20" s="1" customFormat="1" ht="11.25" customHeight="1" x14ac:dyDescent="0.2">
      <c r="A69" s="83">
        <v>66</v>
      </c>
      <c r="B69" s="83" t="s">
        <v>674</v>
      </c>
      <c r="C69" s="84">
        <v>7.1520000000000001</v>
      </c>
      <c r="D69" s="84">
        <v>0.46997746875000002</v>
      </c>
      <c r="E69" s="84">
        <v>-4.9588265693694122</v>
      </c>
      <c r="F69" s="84">
        <v>2.9268632499999998</v>
      </c>
      <c r="G69" s="84">
        <v>-21.353913110156228</v>
      </c>
      <c r="H69" s="101">
        <f t="shared" si="10"/>
        <v>-26.283968675553648</v>
      </c>
      <c r="I69" s="78">
        <f t="shared" si="0"/>
        <v>-6.5453824623622054</v>
      </c>
      <c r="J69" s="79">
        <f t="shared" si="1"/>
        <v>0.40923703159955255</v>
      </c>
      <c r="K69" s="79"/>
      <c r="L69" s="79"/>
      <c r="M69" s="79">
        <f t="shared" si="2"/>
        <v>0</v>
      </c>
      <c r="N69" s="180">
        <f t="shared" si="3"/>
        <v>0.16001454074074997</v>
      </c>
      <c r="O69" s="81">
        <f t="shared" si="4"/>
        <v>2.2373397754579134</v>
      </c>
      <c r="P69" s="79">
        <f t="shared" si="5"/>
        <v>6.5712733326342282E-2</v>
      </c>
      <c r="Q69" s="79"/>
      <c r="R69" s="180">
        <f t="shared" si="7"/>
        <v>1.041799054978125E-2</v>
      </c>
      <c r="S69" s="82">
        <f t="shared" si="8"/>
        <v>0.14566541596450294</v>
      </c>
      <c r="T69" s="78">
        <f t="shared" si="9"/>
        <v>15.359443836710895</v>
      </c>
    </row>
    <row r="70" spans="1:20" s="1" customFormat="1" ht="11.25" customHeight="1" x14ac:dyDescent="0.2">
      <c r="A70" s="95">
        <v>67</v>
      </c>
      <c r="B70" s="95" t="s">
        <v>675</v>
      </c>
      <c r="C70" s="96">
        <v>7.1040000000000001</v>
      </c>
      <c r="D70" s="96">
        <v>0.39689540625000003</v>
      </c>
      <c r="E70" s="96">
        <v>-7.3181810927475111</v>
      </c>
      <c r="F70" s="96">
        <v>2.4651842500000001</v>
      </c>
      <c r="G70" s="96">
        <v>-21.35432260520238</v>
      </c>
      <c r="H70" s="101">
        <f t="shared" si="10"/>
        <v>-26.284379276236425</v>
      </c>
      <c r="I70" s="78">
        <f t="shared" si="0"/>
        <v>-8.9129947265721281</v>
      </c>
      <c r="J70" s="79">
        <f t="shared" si="1"/>
        <v>0.34701354870495499</v>
      </c>
      <c r="K70" s="79"/>
      <c r="L70" s="79"/>
      <c r="M70" s="79">
        <f t="shared" si="2"/>
        <v>0</v>
      </c>
      <c r="N70" s="180">
        <f t="shared" si="3"/>
        <v>0.13477408813174999</v>
      </c>
      <c r="O70" s="81">
        <f t="shared" si="4"/>
        <v>1.8971577721248589</v>
      </c>
      <c r="P70" s="79">
        <f t="shared" si="5"/>
        <v>5.5869285789695952E-2</v>
      </c>
      <c r="Q70" s="79"/>
      <c r="R70" s="180">
        <f t="shared" si="7"/>
        <v>8.7979804703437504E-3</v>
      </c>
      <c r="S70" s="82">
        <f t="shared" si="8"/>
        <v>0.12384544581001901</v>
      </c>
      <c r="T70" s="78">
        <f t="shared" si="9"/>
        <v>15.318752819018721</v>
      </c>
    </row>
    <row r="71" spans="1:20" s="1" customFormat="1" ht="11.25" customHeight="1" x14ac:dyDescent="0.2">
      <c r="A71" s="83">
        <v>68</v>
      </c>
      <c r="B71" s="83" t="s">
        <v>676</v>
      </c>
      <c r="C71" s="84">
        <v>8.5679999999999996</v>
      </c>
      <c r="D71" s="84">
        <v>0.75260174999999996</v>
      </c>
      <c r="E71" s="84">
        <v>2.391775623055592</v>
      </c>
      <c r="F71" s="84">
        <v>3.7175832500000001</v>
      </c>
      <c r="G71" s="84">
        <v>-20.879912692329807</v>
      </c>
      <c r="H71" s="101">
        <f t="shared" si="10"/>
        <v>-25.808688456599096</v>
      </c>
      <c r="I71" s="78">
        <f t="shared" si="0"/>
        <v>0.83094683773628697</v>
      </c>
      <c r="J71" s="79">
        <f t="shared" si="1"/>
        <v>0.43389160247432307</v>
      </c>
      <c r="K71" s="79"/>
      <c r="L71" s="79"/>
      <c r="M71" s="79">
        <f t="shared" si="2"/>
        <v>0</v>
      </c>
      <c r="N71" s="180">
        <f t="shared" si="3"/>
        <v>0.20324399386074998</v>
      </c>
      <c r="O71" s="81">
        <f t="shared" si="4"/>
        <v>2.3721287798873716</v>
      </c>
      <c r="P71" s="79">
        <f t="shared" si="5"/>
        <v>8.7838672969187667E-2</v>
      </c>
      <c r="Q71" s="79"/>
      <c r="R71" s="180">
        <f t="shared" si="7"/>
        <v>1.6682922992249997E-2</v>
      </c>
      <c r="S71" s="82">
        <f t="shared" si="8"/>
        <v>0.19471198637079828</v>
      </c>
      <c r="T71" s="78">
        <f t="shared" si="9"/>
        <v>12.182756819962927</v>
      </c>
    </row>
    <row r="72" spans="1:20" s="1" customFormat="1" ht="11.25" customHeight="1" x14ac:dyDescent="0.2">
      <c r="A72" s="204">
        <v>69</v>
      </c>
      <c r="B72" s="204" t="s">
        <v>677</v>
      </c>
      <c r="C72" s="205">
        <v>6.125</v>
      </c>
      <c r="D72" s="205">
        <v>0.15788465625000001</v>
      </c>
      <c r="E72" s="205">
        <v>12.777068851835161</v>
      </c>
      <c r="F72" s="205">
        <v>0.30143193750000002</v>
      </c>
      <c r="G72" s="205">
        <v>-23.733696886268842</v>
      </c>
      <c r="H72" s="101">
        <f t="shared" si="10"/>
        <v>-28.670177867861764</v>
      </c>
      <c r="I72" s="78">
        <f t="shared" si="0"/>
        <v>11.252588592816585</v>
      </c>
      <c r="J72" s="79">
        <f t="shared" si="1"/>
        <v>4.9213377551020412E-2</v>
      </c>
      <c r="K72" s="79"/>
      <c r="L72" s="79"/>
      <c r="M72" s="79">
        <f t="shared" si="2"/>
        <v>0</v>
      </c>
      <c r="N72" s="180">
        <f t="shared" si="3"/>
        <v>1.64795854550625E-2</v>
      </c>
      <c r="O72" s="81">
        <f t="shared" si="4"/>
        <v>0.26905445640918368</v>
      </c>
      <c r="P72" s="79">
        <f t="shared" si="5"/>
        <v>2.577708673469388E-2</v>
      </c>
      <c r="Q72" s="79"/>
      <c r="R72" s="180">
        <f t="shared" si="7"/>
        <v>3.4998291750937501E-3</v>
      </c>
      <c r="S72" s="82">
        <f t="shared" si="8"/>
        <v>5.7140068164795922E-2</v>
      </c>
      <c r="T72" s="78">
        <f t="shared" si="9"/>
        <v>4.7086828043888911</v>
      </c>
    </row>
    <row r="73" spans="1:20" s="1" customFormat="1" ht="11.25" customHeight="1" x14ac:dyDescent="0.2">
      <c r="A73" s="83">
        <v>70</v>
      </c>
      <c r="B73" s="83" t="s">
        <v>678</v>
      </c>
      <c r="C73" s="84">
        <v>6.1980000000000004</v>
      </c>
      <c r="D73" s="84">
        <v>0.14525096874999999</v>
      </c>
      <c r="E73" s="84">
        <v>-36.651578711114688</v>
      </c>
      <c r="F73" s="84">
        <v>0.22343489062499999</v>
      </c>
      <c r="G73" s="84">
        <v>-24.941273485837996</v>
      </c>
      <c r="H73" s="101">
        <f t="shared" si="10"/>
        <v>-29.881014924249754</v>
      </c>
      <c r="I73" s="78">
        <f t="shared" si="0"/>
        <v>-38.349059236603594</v>
      </c>
      <c r="J73" s="79">
        <f t="shared" si="1"/>
        <v>3.6049514460309774E-2</v>
      </c>
      <c r="K73" s="79"/>
      <c r="L73" s="79"/>
      <c r="M73" s="79">
        <f t="shared" si="2"/>
        <v>0</v>
      </c>
      <c r="N73" s="180">
        <f t="shared" si="3"/>
        <v>1.2215408905359375E-2</v>
      </c>
      <c r="O73" s="81">
        <f t="shared" si="4"/>
        <v>0.19708630050595957</v>
      </c>
      <c r="P73" s="79">
        <f t="shared" si="5"/>
        <v>2.3435135325911582E-2</v>
      </c>
      <c r="Q73" s="79"/>
      <c r="R73" s="180">
        <f t="shared" si="7"/>
        <v>3.2197782242812498E-3</v>
      </c>
      <c r="S73" s="82">
        <f t="shared" si="8"/>
        <v>5.1948664476948202E-2</v>
      </c>
      <c r="T73" s="78">
        <f t="shared" si="9"/>
        <v>3.7938665505715745</v>
      </c>
    </row>
    <row r="74" spans="1:20" s="90" customFormat="1" ht="11.25" customHeight="1" x14ac:dyDescent="0.2">
      <c r="A74" s="95">
        <v>71</v>
      </c>
      <c r="B74" s="95" t="s">
        <v>679</v>
      </c>
      <c r="C74" s="96">
        <v>5.9119999999999999</v>
      </c>
      <c r="D74" s="96">
        <v>0.17427089062500001</v>
      </c>
      <c r="E74" s="96">
        <v>-28.396347347331876</v>
      </c>
      <c r="F74" s="96">
        <v>0.37071465625</v>
      </c>
      <c r="G74" s="96">
        <v>-23.393783165360521</v>
      </c>
      <c r="H74" s="101">
        <f t="shared" si="10"/>
        <v>-28.32934637990699</v>
      </c>
      <c r="I74" s="78">
        <f t="shared" si="0"/>
        <v>-30.064934563047537</v>
      </c>
      <c r="J74" s="79">
        <f t="shared" si="1"/>
        <v>6.2705456063937751E-2</v>
      </c>
      <c r="K74" s="79"/>
      <c r="L74" s="79"/>
      <c r="M74" s="79">
        <f t="shared" si="2"/>
        <v>0</v>
      </c>
      <c r="N74" s="180">
        <f t="shared" si="3"/>
        <v>2.026734097184375E-2</v>
      </c>
      <c r="O74" s="81">
        <f t="shared" si="4"/>
        <v>0.34281699884715405</v>
      </c>
      <c r="P74" s="79">
        <f t="shared" si="5"/>
        <v>2.9477484882442492E-2</v>
      </c>
      <c r="Q74" s="79"/>
      <c r="R74" s="180">
        <f t="shared" si="7"/>
        <v>3.8630628324843748E-3</v>
      </c>
      <c r="S74" s="82">
        <f t="shared" si="8"/>
        <v>6.5342740738910263E-2</v>
      </c>
      <c r="T74" s="78">
        <f t="shared" si="9"/>
        <v>5.2464435218128767</v>
      </c>
    </row>
    <row r="75" spans="1:20" s="1" customFormat="1" ht="11.25" customHeight="1" x14ac:dyDescent="0.2">
      <c r="A75" s="83">
        <v>72</v>
      </c>
      <c r="B75" s="83" t="s">
        <v>680</v>
      </c>
      <c r="C75" s="84">
        <v>6.5670000000000002</v>
      </c>
      <c r="D75" s="84">
        <v>0.25975090625000002</v>
      </c>
      <c r="E75" s="84">
        <v>-7.5085353541317623</v>
      </c>
      <c r="F75" s="84">
        <v>0.87367143749999998</v>
      </c>
      <c r="G75" s="84">
        <v>-22.320208176284183</v>
      </c>
      <c r="H75" s="101">
        <f t="shared" si="10"/>
        <v>-27.252872738360146</v>
      </c>
      <c r="I75" s="78">
        <f t="shared" si="0"/>
        <v>-9.1040152278712245</v>
      </c>
      <c r="J75" s="79">
        <f t="shared" si="1"/>
        <v>0.13303965851987209</v>
      </c>
      <c r="K75" s="79"/>
      <c r="L75" s="79"/>
      <c r="M75" s="79">
        <f t="shared" si="2"/>
        <v>0</v>
      </c>
      <c r="N75" s="180">
        <f t="shared" si="3"/>
        <v>4.7764491159562494E-2</v>
      </c>
      <c r="O75" s="81">
        <f t="shared" si="4"/>
        <v>0.72734111709399263</v>
      </c>
      <c r="P75" s="79">
        <f t="shared" si="5"/>
        <v>3.955396775544389E-2</v>
      </c>
      <c r="Q75" s="79"/>
      <c r="R75" s="180">
        <f t="shared" si="7"/>
        <v>5.7578983388437499E-3</v>
      </c>
      <c r="S75" s="82">
        <f t="shared" si="8"/>
        <v>8.7679280323492453E-2</v>
      </c>
      <c r="T75" s="78">
        <f t="shared" si="9"/>
        <v>8.2954731655012406</v>
      </c>
    </row>
    <row r="76" spans="1:20" s="1" customFormat="1" ht="11.25" customHeight="1" x14ac:dyDescent="0.2">
      <c r="A76" s="95">
        <v>73</v>
      </c>
      <c r="B76" s="95" t="s">
        <v>62</v>
      </c>
      <c r="C76" s="96">
        <v>0.80800000000000005</v>
      </c>
      <c r="D76" s="96">
        <v>0.19869378125000001</v>
      </c>
      <c r="E76" s="96">
        <v>-22.12544143768158</v>
      </c>
      <c r="F76" s="96">
        <v>5.7831549999999998</v>
      </c>
      <c r="G76" s="96">
        <v>-19.865037837601989</v>
      </c>
      <c r="H76" s="101">
        <f>$B$26*G76+$D$26</f>
        <v>-24.791073439763512</v>
      </c>
      <c r="I76" s="78">
        <f>$B$27*E76+$D$27</f>
        <v>-23.772080482713466</v>
      </c>
      <c r="J76" s="79">
        <f>(F76)/C76</f>
        <v>7.1573700495049497</v>
      </c>
      <c r="K76" s="79"/>
      <c r="L76" s="79"/>
      <c r="M76" s="79">
        <f t="shared" si="2"/>
        <v>0</v>
      </c>
      <c r="N76" s="180">
        <f t="shared" si="3"/>
        <v>0.31617086700499997</v>
      </c>
      <c r="O76" s="81">
        <f t="shared" si="4"/>
        <v>39.130057797648512</v>
      </c>
      <c r="P76" s="79">
        <f t="shared" si="5"/>
        <v>0.24590814511138614</v>
      </c>
      <c r="Q76" s="79"/>
      <c r="R76" s="180">
        <f>D76*$B$29+$D$29</f>
        <v>4.4044450489687499E-3</v>
      </c>
      <c r="S76" s="82">
        <f>R76/C76*100</f>
        <v>0.54510458526840955</v>
      </c>
      <c r="T76" s="78">
        <f>N76/R76</f>
        <v>71.784495774110681</v>
      </c>
    </row>
    <row r="77" spans="1:20" s="1" customFormat="1" ht="11.25" customHeight="1" x14ac:dyDescent="0.2">
      <c r="A77" s="83">
        <v>74</v>
      </c>
      <c r="B77" s="83" t="s">
        <v>63</v>
      </c>
      <c r="C77" s="84">
        <v>0.80400000000000005</v>
      </c>
      <c r="D77" s="84">
        <v>0.251440546875</v>
      </c>
      <c r="E77" s="84">
        <v>-19.907880706614311</v>
      </c>
      <c r="F77" s="84">
        <v>5.7372189999999996</v>
      </c>
      <c r="G77" s="84">
        <v>-5.9208208683876382</v>
      </c>
      <c r="H77" s="101">
        <f t="shared" si="10"/>
        <v>-10.809207084732284</v>
      </c>
      <c r="I77" s="78">
        <f t="shared" si="0"/>
        <v>-21.54675828908746</v>
      </c>
      <c r="J77" s="79">
        <f t="shared" si="1"/>
        <v>7.135844527363183</v>
      </c>
      <c r="K77" s="79"/>
      <c r="L77" s="79"/>
      <c r="M77" s="79">
        <f t="shared" si="2"/>
        <v>0</v>
      </c>
      <c r="N77" s="180">
        <f t="shared" si="3"/>
        <v>0.31365949994899994</v>
      </c>
      <c r="O77" s="81">
        <f t="shared" si="4"/>
        <v>39.012375615547256</v>
      </c>
      <c r="P77" s="79">
        <f t="shared" si="5"/>
        <v>0.31273699860074627</v>
      </c>
      <c r="Q77" s="79"/>
      <c r="R77" s="180">
        <f t="shared" si="7"/>
        <v>5.5736826025781245E-3</v>
      </c>
      <c r="S77" s="82">
        <f t="shared" si="8"/>
        <v>0.69324410479827414</v>
      </c>
      <c r="T77" s="78">
        <f t="shared" si="9"/>
        <v>56.275091768576083</v>
      </c>
    </row>
    <row r="78" spans="1:20" s="1" customFormat="1" ht="11.25" customHeight="1" x14ac:dyDescent="0.2">
      <c r="A78" s="83">
        <v>75</v>
      </c>
      <c r="B78" s="83" t="s">
        <v>70</v>
      </c>
      <c r="C78" s="84">
        <v>1.0620000000000001</v>
      </c>
      <c r="D78" s="84">
        <v>0.31323856249999998</v>
      </c>
      <c r="E78" s="84">
        <v>-3.9054026516449625</v>
      </c>
      <c r="F78" s="84">
        <v>3.4475614999999999</v>
      </c>
      <c r="G78" s="84">
        <v>-13.229835682212988</v>
      </c>
      <c r="H78" s="101">
        <f t="shared" si="10"/>
        <v>-18.137956238554963</v>
      </c>
      <c r="I78" s="78">
        <f t="shared" si="0"/>
        <v>-5.4882715609257202</v>
      </c>
      <c r="J78" s="79">
        <f t="shared" si="1"/>
        <v>3.2462914312617701</v>
      </c>
      <c r="K78" s="79"/>
      <c r="L78" s="79"/>
      <c r="M78" s="79">
        <f t="shared" si="2"/>
        <v>0</v>
      </c>
      <c r="N78" s="180">
        <f t="shared" si="3"/>
        <v>0.18848163476649998</v>
      </c>
      <c r="O78" s="81">
        <f t="shared" si="4"/>
        <v>17.747799883851222</v>
      </c>
      <c r="P78" s="79">
        <f t="shared" si="5"/>
        <v>0.29495156544256118</v>
      </c>
      <c r="Q78" s="79"/>
      <c r="R78" s="180">
        <f t="shared" si="7"/>
        <v>6.9435592149374994E-3</v>
      </c>
      <c r="S78" s="82">
        <f t="shared" si="8"/>
        <v>0.65381913511652534</v>
      </c>
      <c r="T78" s="78">
        <f t="shared" si="9"/>
        <v>27.144815638790018</v>
      </c>
    </row>
    <row r="79" spans="1:20" s="1" customFormat="1" ht="11.25" customHeight="1" x14ac:dyDescent="0.2">
      <c r="A79" s="83">
        <v>76</v>
      </c>
      <c r="B79" s="83" t="s">
        <v>64</v>
      </c>
      <c r="C79" s="84">
        <v>0.39300000000000002</v>
      </c>
      <c r="D79" s="84">
        <v>3.4792774999999998</v>
      </c>
      <c r="E79" s="84">
        <v>1.8826000521128261</v>
      </c>
      <c r="F79" s="84">
        <v>1.8381046875000001E-2</v>
      </c>
      <c r="G79" s="84">
        <v>-17.575971038347063</v>
      </c>
      <c r="H79" s="101">
        <f t="shared" si="10"/>
        <v>-22.4958261601506</v>
      </c>
      <c r="I79" s="78">
        <f t="shared" si="0"/>
        <v>0.31998915229522118</v>
      </c>
      <c r="J79" s="79">
        <f t="shared" si="1"/>
        <v>4.6771111641221372E-2</v>
      </c>
      <c r="K79" s="79"/>
      <c r="L79" s="79"/>
      <c r="M79" s="79">
        <f t="shared" si="2"/>
        <v>0</v>
      </c>
      <c r="N79" s="180">
        <f t="shared" si="3"/>
        <v>1.004910213703125E-3</v>
      </c>
      <c r="O79" s="81">
        <f t="shared" si="4"/>
        <v>0.25570234445372136</v>
      </c>
      <c r="P79" s="79">
        <f t="shared" si="5"/>
        <v>8.8531234096692106</v>
      </c>
      <c r="Q79" s="79"/>
      <c r="R79" s="180">
        <f t="shared" si="7"/>
        <v>7.7125144342499993E-2</v>
      </c>
      <c r="S79" s="82">
        <f t="shared" si="8"/>
        <v>19.624718662213738</v>
      </c>
      <c r="T79" s="78">
        <f t="shared" si="9"/>
        <v>1.3029605613967932E-2</v>
      </c>
    </row>
    <row r="80" spans="1:20" s="1" customFormat="1" ht="11.25" customHeight="1" x14ac:dyDescent="0.2">
      <c r="A80" s="95">
        <v>77</v>
      </c>
      <c r="B80" s="95" t="s">
        <v>69</v>
      </c>
      <c r="C80" s="96">
        <v>0.34599999999999997</v>
      </c>
      <c r="D80" s="96">
        <v>3.1171707500000001</v>
      </c>
      <c r="E80" s="96">
        <v>18.248964615470431</v>
      </c>
      <c r="F80" s="96">
        <v>2.4393697265625E-2</v>
      </c>
      <c r="G80" s="96">
        <v>-9.8367889490699962</v>
      </c>
      <c r="H80" s="101">
        <f t="shared" si="10"/>
        <v>-14.735748279232485</v>
      </c>
      <c r="I80" s="78">
        <f t="shared" si="0"/>
        <v>16.743635991624579</v>
      </c>
      <c r="J80" s="79">
        <f t="shared" si="1"/>
        <v>7.0502015218569372E-2</v>
      </c>
      <c r="K80" s="79"/>
      <c r="L80" s="79"/>
      <c r="M80" s="79">
        <f t="shared" si="2"/>
        <v>0</v>
      </c>
      <c r="N80" s="180">
        <f t="shared" si="3"/>
        <v>1.3336278232089843E-3</v>
      </c>
      <c r="O80" s="81">
        <f t="shared" si="4"/>
        <v>0.38544156740144059</v>
      </c>
      <c r="P80" s="79">
        <f t="shared" si="5"/>
        <v>9.0091640173410408</v>
      </c>
      <c r="Q80" s="79"/>
      <c r="R80" s="180">
        <f t="shared" si="7"/>
        <v>6.9098324015249998E-2</v>
      </c>
      <c r="S80" s="82">
        <f t="shared" si="8"/>
        <v>19.970613877239884</v>
      </c>
      <c r="T80" s="78">
        <f t="shared" si="9"/>
        <v>1.9300436620064081E-2</v>
      </c>
    </row>
    <row r="81" spans="1:28" s="90" customFormat="1" ht="11.25" customHeight="1" x14ac:dyDescent="0.2">
      <c r="A81" s="117">
        <v>78</v>
      </c>
      <c r="B81" s="117" t="s">
        <v>84</v>
      </c>
      <c r="C81" s="105">
        <v>1.1319999999999999</v>
      </c>
      <c r="D81" s="105">
        <v>1.5560372499999999</v>
      </c>
      <c r="E81" s="105">
        <v>3.2924513978311865</v>
      </c>
      <c r="F81" s="200">
        <v>8.7526779999999995</v>
      </c>
      <c r="G81" s="200">
        <v>-21.478204513977964</v>
      </c>
      <c r="H81" s="100">
        <f t="shared" si="10"/>
        <v>-26.408595666165702</v>
      </c>
      <c r="I81" s="86">
        <f t="shared" si="0"/>
        <v>1.7347749777235957</v>
      </c>
      <c r="J81" s="87">
        <f t="shared" si="1"/>
        <v>7.7320477031802124</v>
      </c>
      <c r="K81" s="87">
        <f t="shared" ref="K81" si="32">H$14</f>
        <v>44.65</v>
      </c>
      <c r="L81" s="87">
        <f t="shared" ref="L81" si="33">I$14</f>
        <v>2.83</v>
      </c>
      <c r="M81" s="87">
        <f t="shared" si="2"/>
        <v>0.50543799999999994</v>
      </c>
      <c r="N81" s="179">
        <f t="shared" si="3"/>
        <v>0.47851765893799997</v>
      </c>
      <c r="O81" s="91">
        <f t="shared" si="4"/>
        <v>42.271877998056539</v>
      </c>
      <c r="P81" s="87">
        <f t="shared" si="5"/>
        <v>1.3745912102473499</v>
      </c>
      <c r="Q81" s="87">
        <f t="shared" ref="Q81" si="34">C81*(L81/100)</f>
        <v>3.2035599999999997E-2</v>
      </c>
      <c r="R81" s="179">
        <f t="shared" si="7"/>
        <v>3.4492677720749994E-2</v>
      </c>
      <c r="S81" s="89">
        <f t="shared" si="8"/>
        <v>3.0470563357553</v>
      </c>
      <c r="T81" s="86">
        <f t="shared" si="9"/>
        <v>13.873021480444089</v>
      </c>
    </row>
    <row r="82" spans="1:28" ht="11.25" customHeight="1" x14ac:dyDescent="0.2">
      <c r="A82" s="114">
        <v>79</v>
      </c>
      <c r="B82" s="114" t="s">
        <v>86</v>
      </c>
      <c r="C82" s="108">
        <v>0</v>
      </c>
      <c r="D82" s="108">
        <v>0.39007874999999997</v>
      </c>
      <c r="E82" s="108">
        <v>-26.297986709633236</v>
      </c>
      <c r="H82" s="101">
        <f t="shared" si="10"/>
        <v>-4.8723999999999998</v>
      </c>
      <c r="I82" s="78">
        <f t="shared" si="0"/>
        <v>-27.95922966311695</v>
      </c>
      <c r="J82" s="79" t="e">
        <f t="shared" si="1"/>
        <v>#DIV/0!</v>
      </c>
      <c r="K82" s="79"/>
      <c r="L82" s="79">
        <v>0</v>
      </c>
      <c r="M82" s="79">
        <f t="shared" si="2"/>
        <v>0</v>
      </c>
      <c r="N82" s="180">
        <f t="shared" si="3"/>
        <v>0</v>
      </c>
      <c r="O82" s="81" t="e">
        <f t="shared" si="4"/>
        <v>#DIV/0!</v>
      </c>
      <c r="P82" s="79" t="e">
        <f t="shared" si="5"/>
        <v>#DIV/0!</v>
      </c>
      <c r="Q82" s="79"/>
      <c r="R82" s="180">
        <f t="shared" si="7"/>
        <v>8.6468756512499984E-3</v>
      </c>
      <c r="S82" s="82" t="e">
        <f t="shared" si="8"/>
        <v>#DIV/0!</v>
      </c>
      <c r="T82" s="78">
        <f t="shared" si="9"/>
        <v>0</v>
      </c>
      <c r="V82" s="1"/>
      <c r="W82" s="1"/>
      <c r="X82" s="1"/>
      <c r="Y82" s="1"/>
      <c r="Z82" s="1"/>
      <c r="AA82" s="1"/>
      <c r="AB82" s="1"/>
    </row>
    <row r="83" spans="1:28" ht="11.25" customHeight="1" x14ac:dyDescent="0.2">
      <c r="A83" s="110"/>
      <c r="B83" s="110"/>
      <c r="C83" s="85"/>
      <c r="D83" s="85"/>
      <c r="E83" s="85"/>
      <c r="V83" s="1"/>
      <c r="W83" s="1"/>
      <c r="X83" s="1"/>
      <c r="Y83" s="1"/>
      <c r="Z83" s="1"/>
      <c r="AA83" s="1"/>
      <c r="AB83" s="1"/>
    </row>
    <row r="84" spans="1:28" ht="11.25" customHeight="1" x14ac:dyDescent="0.25">
      <c r="A84" s="1" t="s">
        <v>83</v>
      </c>
      <c r="H84" s="101">
        <f>STDEV(H88:H95)</f>
        <v>0.11261262096156384</v>
      </c>
      <c r="I84" s="101">
        <f>STDEV(I88:I95)</f>
        <v>0.64330421791721615</v>
      </c>
      <c r="J84" s="79"/>
      <c r="K84" s="1"/>
      <c r="L84" s="1"/>
      <c r="M84" s="79"/>
      <c r="N84" s="80"/>
      <c r="O84" s="101">
        <f>STDEV(O88:O95)</f>
        <v>0.34758825204197796</v>
      </c>
      <c r="P84" s="79"/>
      <c r="Q84" s="79"/>
      <c r="R84" s="80"/>
      <c r="S84" s="101">
        <f>STDEV(S88:S95)</f>
        <v>9.4849961636048266E-2</v>
      </c>
      <c r="T84" s="101">
        <f>STDEV(T88:T95)</f>
        <v>0.64756279506490777</v>
      </c>
    </row>
    <row r="85" spans="1:28" ht="11.25" customHeight="1" x14ac:dyDescent="0.25">
      <c r="H85" s="102"/>
      <c r="I85" s="102"/>
      <c r="J85"/>
      <c r="K85" s="1"/>
      <c r="L85" s="1"/>
      <c r="O85" s="102"/>
      <c r="S85" s="102"/>
      <c r="T85" s="102"/>
      <c r="V85" s="1"/>
      <c r="W85" s="1"/>
      <c r="X85" s="1"/>
      <c r="Y85" s="1"/>
      <c r="Z85" s="1"/>
      <c r="AA85" s="1"/>
      <c r="AB85" s="1"/>
    </row>
    <row r="86" spans="1:28" s="90" customFormat="1" ht="11.25" customHeight="1" x14ac:dyDescent="0.2">
      <c r="A86" s="119">
        <v>51</v>
      </c>
      <c r="B86" s="119" t="s">
        <v>87</v>
      </c>
      <c r="C86" s="120">
        <v>2.21</v>
      </c>
      <c r="D86" s="120">
        <v>0.18792926562500001</v>
      </c>
      <c r="E86" s="120">
        <v>2.0690281614852424</v>
      </c>
      <c r="F86" s="120">
        <v>1.266823</v>
      </c>
      <c r="G86" s="120">
        <v>-14.520821313408645</v>
      </c>
      <c r="H86" s="121">
        <f t="shared" ref="H86:H95" si="35">$B$26*G86+$D$26</f>
        <v>-19.432427530954847</v>
      </c>
      <c r="I86" s="122">
        <f t="shared" ref="I86:I95" si="36">$B$27*E86+$D$27</f>
        <v>0.5070697600504408</v>
      </c>
      <c r="J86" s="118">
        <f t="shared" ref="J86:J95" si="37">(F86)/C86</f>
        <v>0.57322307692307695</v>
      </c>
      <c r="K86" s="118">
        <f>H$13</f>
        <v>3.3479999999999999</v>
      </c>
      <c r="L86" s="118"/>
      <c r="M86" s="118">
        <f t="shared" ref="M86:M94" si="38">C86*(K86/100)</f>
        <v>7.3990799999999995E-2</v>
      </c>
      <c r="N86" s="181">
        <f t="shared" ref="N86:N95" si="39">F86*$B$28+$D$28</f>
        <v>6.9258480232999992E-2</v>
      </c>
      <c r="O86" s="124">
        <f t="shared" ref="O86:O94" si="40">N86/C86*100</f>
        <v>3.133867883846154</v>
      </c>
      <c r="P86" s="118">
        <f t="shared" ref="P86:P95" si="41">D86/C86</f>
        <v>8.5035866798642543E-2</v>
      </c>
      <c r="Q86" s="118"/>
      <c r="R86" s="181">
        <f t="shared" ref="R86:R95" si="42">D86*$B$29+$D$29</f>
        <v>4.1658280311093754E-3</v>
      </c>
      <c r="S86" s="125">
        <f t="shared" ref="S86:S94" si="43">R86/C86*100</f>
        <v>0.18849900593255092</v>
      </c>
      <c r="T86" s="122">
        <f t="shared" ref="T86:T94" si="44">N86/R86</f>
        <v>16.625381488576764</v>
      </c>
      <c r="U86" s="126"/>
      <c r="V86" s="126"/>
      <c r="W86" s="126"/>
      <c r="X86" s="126"/>
      <c r="Y86" s="126"/>
      <c r="Z86" s="126"/>
      <c r="AA86" s="126"/>
      <c r="AB86" s="126"/>
    </row>
    <row r="87" spans="1:28" s="90" customFormat="1" ht="11.25" customHeight="1" x14ac:dyDescent="0.2">
      <c r="A87" s="119">
        <v>64</v>
      </c>
      <c r="B87" s="119" t="s">
        <v>98</v>
      </c>
      <c r="C87" s="120">
        <v>2.6080000000000001</v>
      </c>
      <c r="D87" s="120">
        <v>0.32719109374999999</v>
      </c>
      <c r="E87" s="120">
        <v>-10.260741949786322</v>
      </c>
      <c r="F87" s="120">
        <v>1.487370375</v>
      </c>
      <c r="G87" s="120">
        <v>-14.217970749051652</v>
      </c>
      <c r="H87" s="121">
        <f t="shared" si="35"/>
        <v>-19.128759270074092</v>
      </c>
      <c r="I87" s="122">
        <f t="shared" si="36"/>
        <v>-11.865854546610574</v>
      </c>
      <c r="J87" s="118">
        <f t="shared" si="37"/>
        <v>0.57031072661042947</v>
      </c>
      <c r="K87" s="118">
        <f>H$13</f>
        <v>3.3479999999999999</v>
      </c>
      <c r="L87" s="118"/>
      <c r="M87" s="118">
        <f t="shared" si="38"/>
        <v>8.7315839999999992E-2</v>
      </c>
      <c r="N87" s="181">
        <f t="shared" si="39"/>
        <v>8.1316025771625E-2</v>
      </c>
      <c r="O87" s="124">
        <f t="shared" si="40"/>
        <v>3.1179457734518787</v>
      </c>
      <c r="P87" s="118">
        <f t="shared" si="41"/>
        <v>0.125456707726227</v>
      </c>
      <c r="Q87" s="118"/>
      <c r="R87" s="181">
        <f t="shared" si="42"/>
        <v>7.2528449751562496E-3</v>
      </c>
      <c r="S87" s="125">
        <f t="shared" si="43"/>
        <v>0.27809988401672736</v>
      </c>
      <c r="T87" s="122">
        <f t="shared" si="44"/>
        <v>11.211604005071568</v>
      </c>
      <c r="U87" s="126"/>
      <c r="V87" s="126"/>
      <c r="W87" s="126"/>
      <c r="X87" s="126"/>
      <c r="Y87" s="126"/>
      <c r="Z87" s="126"/>
      <c r="AA87" s="126"/>
      <c r="AB87" s="126"/>
    </row>
    <row r="88" spans="1:28" s="90" customFormat="1" ht="11.25" customHeight="1" x14ac:dyDescent="0.2">
      <c r="A88" s="117">
        <v>30</v>
      </c>
      <c r="B88" s="117" t="s">
        <v>55</v>
      </c>
      <c r="C88" s="105">
        <v>1.306</v>
      </c>
      <c r="D88" s="105">
        <v>1.6686436250000001</v>
      </c>
      <c r="E88" s="105">
        <v>4.3607678671813144</v>
      </c>
      <c r="F88" s="105">
        <v>10.538133999999999</v>
      </c>
      <c r="G88" s="105">
        <v>-21.660658037786302</v>
      </c>
      <c r="H88" s="100">
        <f t="shared" si="35"/>
        <v>-26.591541814488323</v>
      </c>
      <c r="I88" s="86">
        <f t="shared" si="36"/>
        <v>2.8068305547164489</v>
      </c>
      <c r="J88" s="87">
        <f t="shared" si="37"/>
        <v>8.0690153139356813</v>
      </c>
      <c r="K88" s="87">
        <f t="shared" ref="K88:L95" si="45">H$14</f>
        <v>44.65</v>
      </c>
      <c r="L88" s="87">
        <f t="shared" si="45"/>
        <v>2.83</v>
      </c>
      <c r="M88" s="87">
        <f t="shared" si="38"/>
        <v>0.58312900000000001</v>
      </c>
      <c r="N88" s="179">
        <f t="shared" si="39"/>
        <v>0.57613032391399999</v>
      </c>
      <c r="O88" s="91">
        <f t="shared" si="40"/>
        <v>44.114113622817761</v>
      </c>
      <c r="P88" s="87">
        <f t="shared" si="41"/>
        <v>1.2776750574272588</v>
      </c>
      <c r="Q88" s="87">
        <f t="shared" ref="Q88:Q95" si="46">C88*(L88/100)</f>
        <v>3.6959800000000001E-2</v>
      </c>
      <c r="R88" s="179">
        <f t="shared" si="42"/>
        <v>3.6988823235375001E-2</v>
      </c>
      <c r="S88" s="89">
        <f t="shared" si="43"/>
        <v>2.8322222997990045</v>
      </c>
      <c r="T88" s="86">
        <f t="shared" si="44"/>
        <v>15.575794889387188</v>
      </c>
    </row>
    <row r="89" spans="1:28" s="90" customFormat="1" ht="11.25" customHeight="1" x14ac:dyDescent="0.2">
      <c r="A89" s="117">
        <v>31</v>
      </c>
      <c r="B89" s="117" t="s">
        <v>56</v>
      </c>
      <c r="C89" s="105">
        <v>0.75600000000000001</v>
      </c>
      <c r="D89" s="105">
        <v>0.97795662500000002</v>
      </c>
      <c r="E89" s="105">
        <v>3.9038966474640446</v>
      </c>
      <c r="F89" s="105">
        <v>6.1699190000000002</v>
      </c>
      <c r="G89" s="105">
        <v>-21.558977075500447</v>
      </c>
      <c r="H89" s="100">
        <f t="shared" si="35"/>
        <v>-26.489586313604295</v>
      </c>
      <c r="I89" s="86">
        <f t="shared" si="36"/>
        <v>2.3483602857301693</v>
      </c>
      <c r="J89" s="87">
        <f t="shared" si="37"/>
        <v>8.1612685185185185</v>
      </c>
      <c r="K89" s="87">
        <f t="shared" si="45"/>
        <v>44.65</v>
      </c>
      <c r="L89" s="87">
        <f t="shared" si="45"/>
        <v>2.83</v>
      </c>
      <c r="M89" s="87">
        <f t="shared" si="38"/>
        <v>0.33755400000000002</v>
      </c>
      <c r="N89" s="179">
        <f t="shared" si="39"/>
        <v>0.33731564164900002</v>
      </c>
      <c r="O89" s="91">
        <f t="shared" si="40"/>
        <v>44.618471117592598</v>
      </c>
      <c r="P89" s="87">
        <f t="shared" si="41"/>
        <v>1.2935934193121694</v>
      </c>
      <c r="Q89" s="87">
        <f t="shared" si="46"/>
        <v>2.1394800000000002E-2</v>
      </c>
      <c r="R89" s="179">
        <f t="shared" si="42"/>
        <v>2.1678364506375E-2</v>
      </c>
      <c r="S89" s="89">
        <f t="shared" si="43"/>
        <v>2.8675085325892855</v>
      </c>
      <c r="T89" s="86">
        <f t="shared" si="44"/>
        <v>15.560013374154906</v>
      </c>
    </row>
    <row r="90" spans="1:28" s="90" customFormat="1" ht="11.25" customHeight="1" x14ac:dyDescent="0.2">
      <c r="A90" s="117">
        <v>32</v>
      </c>
      <c r="B90" s="117" t="s">
        <v>57</v>
      </c>
      <c r="C90" s="105">
        <v>1.052</v>
      </c>
      <c r="D90" s="105">
        <v>1.353305</v>
      </c>
      <c r="E90" s="105">
        <v>3.6902781240391036</v>
      </c>
      <c r="F90" s="105">
        <v>8.590992</v>
      </c>
      <c r="G90" s="105">
        <v>-21.586270745085493</v>
      </c>
      <c r="H90" s="100">
        <f t="shared" si="35"/>
        <v>-26.51695367609722</v>
      </c>
      <c r="I90" s="86">
        <f t="shared" si="36"/>
        <v>2.1339940974732405</v>
      </c>
      <c r="J90" s="87">
        <f t="shared" si="37"/>
        <v>8.1663422053231933</v>
      </c>
      <c r="K90" s="87">
        <f t="shared" si="45"/>
        <v>44.65</v>
      </c>
      <c r="L90" s="87">
        <f t="shared" si="45"/>
        <v>2.83</v>
      </c>
      <c r="M90" s="87">
        <f t="shared" si="38"/>
        <v>0.46971800000000002</v>
      </c>
      <c r="N90" s="179">
        <f t="shared" si="39"/>
        <v>0.46967812363199996</v>
      </c>
      <c r="O90" s="91">
        <f t="shared" si="40"/>
        <v>44.646209470722425</v>
      </c>
      <c r="P90" s="87">
        <f t="shared" si="41"/>
        <v>1.2864115969581749</v>
      </c>
      <c r="Q90" s="87">
        <f t="shared" si="46"/>
        <v>2.9771600000000002E-2</v>
      </c>
      <c r="R90" s="179">
        <f t="shared" si="42"/>
        <v>2.9998711934999998E-2</v>
      </c>
      <c r="S90" s="89">
        <f t="shared" si="43"/>
        <v>2.851588586977186</v>
      </c>
      <c r="T90" s="86">
        <f t="shared" si="44"/>
        <v>15.656609678764863</v>
      </c>
    </row>
    <row r="91" spans="1:28" s="90" customFormat="1" ht="11.25" customHeight="1" x14ac:dyDescent="0.2">
      <c r="A91" s="117">
        <v>33</v>
      </c>
      <c r="B91" s="117" t="s">
        <v>58</v>
      </c>
      <c r="C91" s="105">
        <v>1.3480000000000001</v>
      </c>
      <c r="D91" s="105">
        <v>1.705772625</v>
      </c>
      <c r="E91" s="105">
        <v>3.1601326971804067</v>
      </c>
      <c r="F91" s="105">
        <v>11.023918</v>
      </c>
      <c r="G91" s="105">
        <v>-21.643600020371878</v>
      </c>
      <c r="H91" s="100">
        <f t="shared" si="35"/>
        <v>-26.57443774042688</v>
      </c>
      <c r="I91" s="86">
        <f t="shared" si="36"/>
        <v>1.6019931616205385</v>
      </c>
      <c r="J91" s="87">
        <f t="shared" si="37"/>
        <v>8.1779807121661712</v>
      </c>
      <c r="K91" s="87">
        <f t="shared" si="45"/>
        <v>44.65</v>
      </c>
      <c r="L91" s="87">
        <f t="shared" si="45"/>
        <v>2.83</v>
      </c>
      <c r="M91" s="87">
        <f t="shared" si="38"/>
        <v>0.60188200000000003</v>
      </c>
      <c r="N91" s="179">
        <f t="shared" si="39"/>
        <v>0.60268862097800002</v>
      </c>
      <c r="O91" s="91">
        <f t="shared" si="40"/>
        <v>44.709838351483675</v>
      </c>
      <c r="P91" s="87">
        <f t="shared" si="41"/>
        <v>1.2654099591988131</v>
      </c>
      <c r="Q91" s="87">
        <f t="shared" si="46"/>
        <v>3.8148400000000006E-2</v>
      </c>
      <c r="R91" s="179">
        <f t="shared" si="42"/>
        <v>3.7811861778374999E-2</v>
      </c>
      <c r="S91" s="89">
        <f t="shared" si="43"/>
        <v>2.8050342565560089</v>
      </c>
      <c r="T91" s="86">
        <f t="shared" si="44"/>
        <v>15.939141651117639</v>
      </c>
    </row>
    <row r="92" spans="1:28" s="126" customFormat="1" ht="11.25" customHeight="1" x14ac:dyDescent="0.2">
      <c r="A92" s="117">
        <v>39</v>
      </c>
      <c r="B92" s="117" t="s">
        <v>59</v>
      </c>
      <c r="C92" s="105">
        <v>0.93500000000000005</v>
      </c>
      <c r="D92" s="105">
        <v>1.166141375</v>
      </c>
      <c r="E92" s="105">
        <v>4.6610573191037119</v>
      </c>
      <c r="F92" s="105">
        <v>7.6901409999999997</v>
      </c>
      <c r="G92" s="105">
        <v>-21.500981417500295</v>
      </c>
      <c r="H92" s="100">
        <f t="shared" si="35"/>
        <v>-26.431434067327544</v>
      </c>
      <c r="I92" s="86">
        <f t="shared" si="36"/>
        <v>3.1081710197205754</v>
      </c>
      <c r="J92" s="87">
        <f t="shared" si="37"/>
        <v>8.2247497326203192</v>
      </c>
      <c r="K92" s="87">
        <f t="shared" si="45"/>
        <v>44.65</v>
      </c>
      <c r="L92" s="87">
        <f t="shared" si="45"/>
        <v>2.83</v>
      </c>
      <c r="M92" s="87">
        <f t="shared" si="38"/>
        <v>0.41747750000000006</v>
      </c>
      <c r="N92" s="179">
        <f t="shared" si="39"/>
        <v>0.42042769861099999</v>
      </c>
      <c r="O92" s="91">
        <f t="shared" si="40"/>
        <v>44.965529263208552</v>
      </c>
      <c r="P92" s="87">
        <f t="shared" si="41"/>
        <v>1.247210026737968</v>
      </c>
      <c r="Q92" s="87">
        <f t="shared" si="46"/>
        <v>2.6460500000000005E-2</v>
      </c>
      <c r="R92" s="179">
        <f t="shared" si="42"/>
        <v>2.5849855859625001E-2</v>
      </c>
      <c r="S92" s="89">
        <f t="shared" si="43"/>
        <v>2.7646904662700535</v>
      </c>
      <c r="T92" s="86">
        <f t="shared" si="44"/>
        <v>16.26421829561022</v>
      </c>
      <c r="U92" s="90"/>
      <c r="V92" s="90"/>
      <c r="W92" s="90"/>
      <c r="X92" s="90"/>
      <c r="Y92" s="90"/>
      <c r="Z92" s="90"/>
      <c r="AA92" s="90"/>
      <c r="AB92" s="90"/>
    </row>
    <row r="93" spans="1:28" s="90" customFormat="1" ht="11.25" customHeight="1" x14ac:dyDescent="0.2">
      <c r="A93" s="117">
        <v>50</v>
      </c>
      <c r="B93" s="117" t="s">
        <v>82</v>
      </c>
      <c r="C93" s="105">
        <v>1.042</v>
      </c>
      <c r="D93" s="105">
        <v>1.21649075</v>
      </c>
      <c r="E93" s="105">
        <v>4.8015189327819119</v>
      </c>
      <c r="F93" s="105">
        <v>8.5853439999999992</v>
      </c>
      <c r="G93" s="105">
        <v>-21.485173471729315</v>
      </c>
      <c r="H93" s="100">
        <f t="shared" si="35"/>
        <v>-26.415583440102981</v>
      </c>
      <c r="I93" s="86">
        <f t="shared" si="36"/>
        <v>3.2491242490466488</v>
      </c>
      <c r="J93" s="87">
        <f t="shared" si="37"/>
        <v>8.239293666026871</v>
      </c>
      <c r="K93" s="87">
        <f t="shared" si="45"/>
        <v>44.65</v>
      </c>
      <c r="L93" s="87">
        <f t="shared" si="45"/>
        <v>2.83</v>
      </c>
      <c r="M93" s="87">
        <f t="shared" si="38"/>
        <v>0.46525300000000003</v>
      </c>
      <c r="N93" s="179">
        <f t="shared" si="39"/>
        <v>0.46936934182399992</v>
      </c>
      <c r="O93" s="91">
        <f t="shared" si="40"/>
        <v>45.045042401535504</v>
      </c>
      <c r="P93" s="87">
        <f t="shared" si="41"/>
        <v>1.1674575335892514</v>
      </c>
      <c r="Q93" s="87">
        <f t="shared" si="46"/>
        <v>2.9488600000000004E-2</v>
      </c>
      <c r="R93" s="179">
        <f t="shared" si="42"/>
        <v>2.6965950455249996E-2</v>
      </c>
      <c r="S93" s="89">
        <f t="shared" si="43"/>
        <v>2.5879031147072933</v>
      </c>
      <c r="T93" s="86">
        <f t="shared" si="44"/>
        <v>17.406000304084163</v>
      </c>
    </row>
    <row r="94" spans="1:28" s="126" customFormat="1" ht="11.25" customHeight="1" x14ac:dyDescent="0.2">
      <c r="A94" s="117">
        <v>63</v>
      </c>
      <c r="B94" s="117" t="s">
        <v>61</v>
      </c>
      <c r="C94" s="105">
        <v>0.76</v>
      </c>
      <c r="D94" s="105">
        <v>0.96555768750000004</v>
      </c>
      <c r="E94" s="105">
        <v>3.3414682560199971</v>
      </c>
      <c r="F94" s="105">
        <v>6.2759945000000004</v>
      </c>
      <c r="G94" s="105">
        <v>-21.309062460927628</v>
      </c>
      <c r="H94" s="100">
        <f t="shared" si="35"/>
        <v>-26.238996929572128</v>
      </c>
      <c r="I94" s="86">
        <f t="shared" si="36"/>
        <v>1.7839633949160674</v>
      </c>
      <c r="J94" s="87">
        <f t="shared" si="37"/>
        <v>8.2578875000000007</v>
      </c>
      <c r="K94" s="87">
        <f t="shared" si="45"/>
        <v>44.65</v>
      </c>
      <c r="L94" s="87">
        <f t="shared" si="45"/>
        <v>2.83</v>
      </c>
      <c r="M94" s="87">
        <f t="shared" si="38"/>
        <v>0.33934000000000003</v>
      </c>
      <c r="N94" s="179">
        <f t="shared" si="39"/>
        <v>0.34311489530950001</v>
      </c>
      <c r="O94" s="91">
        <f t="shared" si="40"/>
        <v>45.146696751249998</v>
      </c>
      <c r="P94" s="87">
        <f t="shared" si="41"/>
        <v>1.2704706414473685</v>
      </c>
      <c r="Q94" s="87">
        <f t="shared" si="46"/>
        <v>2.1508000000000003E-2</v>
      </c>
      <c r="R94" s="179">
        <f t="shared" si="42"/>
        <v>2.14035172588125E-2</v>
      </c>
      <c r="S94" s="89">
        <f t="shared" si="43"/>
        <v>2.8162522708963813</v>
      </c>
      <c r="T94" s="86">
        <f t="shared" si="44"/>
        <v>16.030771539113687</v>
      </c>
      <c r="U94" s="90"/>
      <c r="V94" s="90"/>
      <c r="W94" s="90"/>
      <c r="X94" s="90"/>
      <c r="Y94" s="90"/>
      <c r="Z94" s="90"/>
      <c r="AA94" s="90"/>
      <c r="AB94" s="90"/>
    </row>
    <row r="95" spans="1:28" s="90" customFormat="1" ht="11.25" customHeight="1" x14ac:dyDescent="0.2">
      <c r="A95" s="117">
        <v>78</v>
      </c>
      <c r="B95" s="117" t="s">
        <v>84</v>
      </c>
      <c r="C95" s="105">
        <v>1.1319999999999999</v>
      </c>
      <c r="D95" s="105">
        <v>1.5560372499999999</v>
      </c>
      <c r="E95" s="105">
        <v>3.2924513978311865</v>
      </c>
      <c r="F95" s="200">
        <v>8.7526779999999995</v>
      </c>
      <c r="G95" s="200">
        <v>-21.478204513977964</v>
      </c>
      <c r="H95" s="100">
        <f t="shared" si="35"/>
        <v>-26.408595666165702</v>
      </c>
      <c r="I95" s="86">
        <f t="shared" si="36"/>
        <v>1.7347749777235957</v>
      </c>
      <c r="J95" s="87">
        <f t="shared" si="37"/>
        <v>7.7320477031802124</v>
      </c>
      <c r="K95" s="87">
        <f t="shared" si="45"/>
        <v>44.65</v>
      </c>
      <c r="L95" s="87">
        <f t="shared" si="45"/>
        <v>2.83</v>
      </c>
      <c r="M95" s="87"/>
      <c r="N95" s="179">
        <f t="shared" si="39"/>
        <v>0.47851765893799997</v>
      </c>
      <c r="O95" s="91"/>
      <c r="P95" s="87">
        <f t="shared" si="41"/>
        <v>1.3745912102473499</v>
      </c>
      <c r="Q95" s="87">
        <f t="shared" si="46"/>
        <v>3.2035599999999997E-2</v>
      </c>
      <c r="R95" s="179">
        <f t="shared" si="42"/>
        <v>3.4492677720749994E-2</v>
      </c>
      <c r="S95" s="89"/>
      <c r="T95" s="86"/>
    </row>
    <row r="96" spans="1:28" s="90" customFormat="1" ht="11.25" customHeight="1" x14ac:dyDescent="0.2">
      <c r="A96" s="117"/>
      <c r="B96" s="117"/>
      <c r="C96" s="105"/>
      <c r="D96" s="105"/>
      <c r="E96" s="105"/>
      <c r="F96" s="105"/>
      <c r="G96" s="105"/>
      <c r="H96" s="100"/>
      <c r="I96" s="86"/>
      <c r="J96" s="87"/>
      <c r="K96" s="87"/>
      <c r="L96" s="87"/>
      <c r="M96" s="87"/>
      <c r="N96" s="179"/>
      <c r="O96" s="91"/>
      <c r="P96" s="87"/>
      <c r="Q96" s="87"/>
      <c r="R96" s="179"/>
      <c r="S96" s="89"/>
      <c r="T96" s="86"/>
    </row>
    <row r="97" spans="1:28" s="126" customFormat="1" ht="11.25" customHeight="1" x14ac:dyDescent="0.2">
      <c r="A97" s="197"/>
      <c r="B97" s="197"/>
      <c r="C97" s="120"/>
      <c r="D97" s="120"/>
      <c r="E97" s="120"/>
      <c r="F97" s="198"/>
      <c r="G97" s="198"/>
      <c r="H97" s="121"/>
      <c r="I97" s="122"/>
      <c r="J97" s="118"/>
      <c r="K97" s="118"/>
      <c r="L97" s="118"/>
      <c r="M97" s="118"/>
      <c r="N97" s="181"/>
      <c r="O97" s="124"/>
      <c r="P97" s="118"/>
      <c r="Q97" s="118"/>
      <c r="R97" s="181"/>
      <c r="S97" s="125"/>
      <c r="T97" s="122"/>
    </row>
    <row r="98" spans="1:28" ht="11.25" customHeight="1" x14ac:dyDescent="0.2">
      <c r="A98" s="92" t="s">
        <v>71</v>
      </c>
      <c r="B98" s="93" t="s">
        <v>40</v>
      </c>
      <c r="C98" s="92" t="s">
        <v>54</v>
      </c>
      <c r="D98" s="92" t="s">
        <v>72</v>
      </c>
      <c r="E98" s="94" t="s">
        <v>79</v>
      </c>
      <c r="F98" s="92" t="s">
        <v>72</v>
      </c>
      <c r="G98" s="94" t="s">
        <v>73</v>
      </c>
      <c r="J98" s="1"/>
      <c r="K98" s="1"/>
      <c r="L98" s="1"/>
      <c r="V98" s="1"/>
      <c r="W98" s="1"/>
      <c r="X98" s="1"/>
      <c r="Y98" s="1"/>
      <c r="Z98" s="1"/>
      <c r="AA98" s="1"/>
      <c r="AB98" s="1"/>
    </row>
    <row r="99" spans="1:28" ht="11.25" customHeight="1" x14ac:dyDescent="0.2">
      <c r="A99" s="97" t="s">
        <v>74</v>
      </c>
      <c r="B99" s="97" t="s">
        <v>75</v>
      </c>
      <c r="C99" s="98" t="s">
        <v>77</v>
      </c>
      <c r="D99" s="98" t="s">
        <v>76</v>
      </c>
      <c r="E99" s="98" t="s">
        <v>78</v>
      </c>
      <c r="F99" s="98" t="s">
        <v>76</v>
      </c>
      <c r="G99" s="98" t="s">
        <v>78</v>
      </c>
      <c r="J99" s="1"/>
      <c r="K99" s="1"/>
      <c r="L99" s="1"/>
      <c r="V99" s="1"/>
      <c r="W99" s="1"/>
      <c r="X99" s="1"/>
      <c r="Y99" s="1"/>
      <c r="Z99" s="1"/>
      <c r="AA99" s="1"/>
      <c r="AB99" s="1"/>
    </row>
    <row r="100" spans="1:28" ht="11.25" customHeight="1" x14ac:dyDescent="0.2">
      <c r="A100" s="95">
        <v>33</v>
      </c>
      <c r="B100" s="95" t="s">
        <v>85</v>
      </c>
      <c r="C100" s="96">
        <v>1.5680000000000001</v>
      </c>
      <c r="D100" s="96">
        <v>0.57160343749999998</v>
      </c>
      <c r="E100" s="96">
        <v>2.8799411243840556</v>
      </c>
      <c r="F100" s="96">
        <v>1.5817239999999999</v>
      </c>
      <c r="G100" s="96">
        <v>-21.848580214636076</v>
      </c>
      <c r="J100" s="1"/>
      <c r="K100" s="1"/>
      <c r="L100" s="1"/>
      <c r="V100" s="1"/>
      <c r="W100" s="1"/>
      <c r="X100" s="1"/>
      <c r="Y100" s="1"/>
      <c r="Z100" s="1"/>
      <c r="AA100" s="1"/>
      <c r="AB100" s="1"/>
    </row>
    <row r="101" spans="1:28" ht="11.25" customHeight="1" x14ac:dyDescent="0.2">
      <c r="A101" s="114"/>
      <c r="B101" s="114"/>
      <c r="C101" s="108"/>
      <c r="D101" s="108"/>
      <c r="E101" s="108"/>
      <c r="F101" s="108"/>
      <c r="J101" s="1"/>
      <c r="K101" s="1"/>
      <c r="L101" s="1"/>
      <c r="V101" s="1"/>
      <c r="W101" s="1"/>
      <c r="X101" s="1"/>
      <c r="Y101" s="1"/>
      <c r="Z101" s="1"/>
      <c r="AA101" s="1"/>
      <c r="AB101" s="1"/>
    </row>
    <row r="102" spans="1:28" ht="11.25" customHeight="1" x14ac:dyDescent="0.2">
      <c r="J102" s="1"/>
      <c r="K102" s="1"/>
      <c r="L102" s="1"/>
      <c r="V102" s="1"/>
      <c r="W102" s="1"/>
      <c r="X102" s="1"/>
      <c r="Y102" s="1"/>
      <c r="Z102" s="1"/>
      <c r="AA102" s="1"/>
      <c r="AB102" s="1"/>
    </row>
    <row r="103" spans="1:28" ht="11.25" customHeight="1" x14ac:dyDescent="0.25">
      <c r="J103" s="1"/>
      <c r="K103" s="1"/>
      <c r="L103" s="1"/>
      <c r="P103"/>
      <c r="Q103"/>
      <c r="R103"/>
      <c r="S103"/>
      <c r="T103"/>
      <c r="U103"/>
      <c r="W103" s="1"/>
      <c r="X103" s="1"/>
      <c r="Y103" s="1"/>
      <c r="Z103" s="1"/>
      <c r="AA103" s="1"/>
      <c r="AB103" s="1"/>
    </row>
    <row r="104" spans="1:28" ht="11.25" customHeight="1" x14ac:dyDescent="0.2">
      <c r="A104" s="92" t="s">
        <v>71</v>
      </c>
      <c r="B104" s="93" t="s">
        <v>40</v>
      </c>
      <c r="C104" s="92" t="s">
        <v>54</v>
      </c>
      <c r="D104" s="92" t="s">
        <v>72</v>
      </c>
      <c r="E104" s="94" t="s">
        <v>79</v>
      </c>
      <c r="F104" s="92" t="s">
        <v>72</v>
      </c>
      <c r="G104" s="94" t="s">
        <v>73</v>
      </c>
      <c r="J104" s="1"/>
      <c r="K104" s="1"/>
      <c r="L104" s="1"/>
      <c r="V104" s="1"/>
      <c r="W104" s="1"/>
      <c r="X104" s="1"/>
      <c r="Y104" s="1"/>
      <c r="Z104" s="1"/>
      <c r="AA104" s="1"/>
      <c r="AB104" s="1"/>
    </row>
    <row r="105" spans="1:28" ht="11.25" customHeight="1" x14ac:dyDescent="0.2">
      <c r="A105" s="97" t="s">
        <v>74</v>
      </c>
      <c r="B105" s="97" t="s">
        <v>75</v>
      </c>
      <c r="C105" s="98" t="s">
        <v>77</v>
      </c>
      <c r="D105" s="98" t="s">
        <v>76</v>
      </c>
      <c r="E105" s="98" t="s">
        <v>78</v>
      </c>
      <c r="F105" s="98" t="s">
        <v>76</v>
      </c>
      <c r="G105" s="98" t="s">
        <v>78</v>
      </c>
      <c r="J105" s="1"/>
      <c r="K105" s="1"/>
      <c r="L105" s="1"/>
      <c r="V105" s="1"/>
      <c r="W105" s="1"/>
      <c r="X105" s="1"/>
      <c r="Y105" s="1"/>
      <c r="Z105" s="1"/>
      <c r="AA105" s="1"/>
      <c r="AB105" s="1"/>
    </row>
    <row r="106" spans="1:28" ht="11.25" customHeight="1" x14ac:dyDescent="0.2">
      <c r="A106" s="83">
        <v>30</v>
      </c>
      <c r="B106" s="83" t="s">
        <v>55</v>
      </c>
      <c r="C106" s="84">
        <v>1.306</v>
      </c>
      <c r="D106" s="84">
        <v>1.6686436250000001</v>
      </c>
      <c r="E106" s="84">
        <v>4.3607678671813144</v>
      </c>
      <c r="F106" s="84">
        <v>10.538133999999999</v>
      </c>
      <c r="G106" s="84">
        <v>-21.660658037786302</v>
      </c>
      <c r="J106" s="1"/>
      <c r="K106" s="1"/>
      <c r="L106" s="1"/>
      <c r="V106" s="1"/>
      <c r="W106" s="1"/>
      <c r="X106" s="1"/>
      <c r="Y106" s="1"/>
      <c r="Z106" s="1"/>
      <c r="AA106" s="1"/>
      <c r="AB106" s="1"/>
    </row>
    <row r="107" spans="1:28" ht="11.25" customHeight="1" x14ac:dyDescent="0.2">
      <c r="A107" s="95">
        <v>31</v>
      </c>
      <c r="B107" s="95" t="s">
        <v>56</v>
      </c>
      <c r="C107" s="96">
        <v>0.75600000000000001</v>
      </c>
      <c r="D107" s="96">
        <v>0.97795662500000002</v>
      </c>
      <c r="E107" s="96">
        <v>3.9038966474640446</v>
      </c>
      <c r="F107" s="96">
        <v>6.1699190000000002</v>
      </c>
      <c r="G107" s="96">
        <v>-21.558977075500447</v>
      </c>
      <c r="J107" s="1"/>
      <c r="K107" s="1"/>
      <c r="L107" s="1"/>
      <c r="V107" s="1"/>
      <c r="W107" s="1"/>
      <c r="X107" s="1"/>
      <c r="Y107" s="1"/>
      <c r="Z107" s="1"/>
      <c r="AA107" s="1"/>
      <c r="AB107" s="1"/>
    </row>
    <row r="108" spans="1:28" ht="11.25" customHeight="1" x14ac:dyDescent="0.2">
      <c r="A108" s="83">
        <v>32</v>
      </c>
      <c r="B108" s="83" t="s">
        <v>57</v>
      </c>
      <c r="C108" s="84">
        <v>1.052</v>
      </c>
      <c r="D108" s="84">
        <v>1.353305</v>
      </c>
      <c r="E108" s="84">
        <v>3.6902781240391036</v>
      </c>
      <c r="F108" s="84">
        <v>8.590992</v>
      </c>
      <c r="G108" s="84">
        <v>-21.586270745085493</v>
      </c>
      <c r="J108" s="1"/>
      <c r="K108" s="1"/>
      <c r="L108" s="1"/>
      <c r="V108" s="1"/>
      <c r="W108" s="1"/>
      <c r="X108" s="1"/>
      <c r="Y108" s="1"/>
      <c r="Z108" s="1"/>
      <c r="AA108" s="1"/>
      <c r="AB108" s="1"/>
    </row>
    <row r="109" spans="1:28" ht="11.25" customHeight="1" x14ac:dyDescent="0.2">
      <c r="A109" s="95">
        <v>33</v>
      </c>
      <c r="B109" s="95" t="s">
        <v>58</v>
      </c>
      <c r="C109" s="96">
        <v>1.3480000000000001</v>
      </c>
      <c r="D109" s="96">
        <v>1.705772625</v>
      </c>
      <c r="E109" s="96">
        <v>3.1601326971804067</v>
      </c>
      <c r="F109" s="96">
        <v>11.023918</v>
      </c>
      <c r="G109" s="96">
        <v>-21.643600020371878</v>
      </c>
      <c r="J109" s="1"/>
      <c r="K109" s="1"/>
      <c r="L109" s="1"/>
      <c r="V109" s="1"/>
      <c r="W109" s="1"/>
      <c r="X109" s="1"/>
      <c r="Y109" s="1"/>
      <c r="Z109" s="1"/>
      <c r="AA109" s="1"/>
      <c r="AB109" s="1"/>
    </row>
    <row r="110" spans="1:28" ht="11.25" customHeight="1" x14ac:dyDescent="0.2">
      <c r="A110" s="83">
        <v>34</v>
      </c>
      <c r="B110" s="83" t="s">
        <v>60</v>
      </c>
      <c r="C110" s="84">
        <v>1.234</v>
      </c>
      <c r="D110" s="84">
        <v>3.0565791015625E-2</v>
      </c>
      <c r="E110" s="84">
        <v>-23.486229893462053</v>
      </c>
      <c r="F110" s="84">
        <v>9.2575679999999991</v>
      </c>
      <c r="G110" s="84">
        <v>-20.170065128490389</v>
      </c>
      <c r="J110" s="1"/>
      <c r="K110" s="1"/>
      <c r="L110" s="1"/>
      <c r="V110" s="1"/>
      <c r="W110" s="1"/>
      <c r="X110" s="1"/>
      <c r="Y110" s="1"/>
      <c r="Z110" s="1"/>
      <c r="AA110" s="1"/>
      <c r="AB110" s="1"/>
    </row>
    <row r="111" spans="1:28" ht="11.25" customHeight="1" x14ac:dyDescent="0.2">
      <c r="A111" s="95">
        <v>35</v>
      </c>
      <c r="B111" s="95" t="s">
        <v>66</v>
      </c>
      <c r="C111" s="96">
        <v>0.746</v>
      </c>
      <c r="D111" s="96">
        <v>2.6627378906249999E-2</v>
      </c>
      <c r="E111" s="96">
        <v>-35.741990527464964</v>
      </c>
      <c r="F111" s="96">
        <v>5.6240779999999999</v>
      </c>
      <c r="G111" s="96">
        <v>-5.9629319720911527</v>
      </c>
      <c r="J111" s="1"/>
      <c r="K111" s="1"/>
      <c r="L111" s="1"/>
      <c r="V111" s="1"/>
      <c r="W111" s="1"/>
      <c r="X111" s="1"/>
      <c r="Y111" s="1"/>
      <c r="Z111" s="1"/>
      <c r="AA111" s="1"/>
      <c r="AB111" s="1"/>
    </row>
    <row r="112" spans="1:28" ht="11.25" customHeight="1" x14ac:dyDescent="0.2">
      <c r="A112" s="83">
        <v>36</v>
      </c>
      <c r="B112" s="83" t="s">
        <v>65</v>
      </c>
      <c r="C112" s="84">
        <v>1.1910000000000001</v>
      </c>
      <c r="D112" s="84">
        <v>2.5374244140624998E-2</v>
      </c>
      <c r="E112" s="84">
        <v>-49.019151150477839</v>
      </c>
      <c r="F112" s="84">
        <v>4.0693795000000001</v>
      </c>
      <c r="G112" s="84">
        <v>-13.427619928024271</v>
      </c>
      <c r="J112" s="1"/>
      <c r="K112" s="1"/>
      <c r="L112" s="1"/>
      <c r="V112" s="1"/>
      <c r="W112" s="1"/>
      <c r="X112" s="1"/>
      <c r="Y112" s="1"/>
      <c r="Z112" s="1"/>
      <c r="AA112" s="1"/>
      <c r="AB112" s="1"/>
    </row>
    <row r="113" spans="1:28" ht="11.25" customHeight="1" x14ac:dyDescent="0.2">
      <c r="A113" s="95">
        <v>37</v>
      </c>
      <c r="B113" s="95" t="s">
        <v>67</v>
      </c>
      <c r="C113" s="96">
        <v>0.57299999999999995</v>
      </c>
      <c r="D113" s="96">
        <v>5.5040864999999997</v>
      </c>
      <c r="E113" s="96">
        <v>2.0418057647368926</v>
      </c>
      <c r="F113" s="96">
        <v>4.3771347656250001E-2</v>
      </c>
      <c r="G113" s="96">
        <v>-18.580289292079158</v>
      </c>
      <c r="J113" s="1"/>
      <c r="K113" s="1"/>
      <c r="L113" s="1"/>
      <c r="V113" s="1"/>
      <c r="W113" s="1"/>
      <c r="X113" s="1"/>
      <c r="Y113" s="1"/>
      <c r="Z113" s="1"/>
      <c r="AA113" s="1"/>
      <c r="AB113" s="1"/>
    </row>
    <row r="114" spans="1:28" ht="11.25" customHeight="1" x14ac:dyDescent="0.2">
      <c r="A114" s="83">
        <v>38</v>
      </c>
      <c r="B114" s="83" t="s">
        <v>68</v>
      </c>
      <c r="C114" s="84">
        <v>0.36399999999999999</v>
      </c>
      <c r="D114" s="84">
        <v>4.1215747499999997</v>
      </c>
      <c r="E114" s="84">
        <v>21.791841996977148</v>
      </c>
      <c r="F114" s="84">
        <v>2.261934375E-2</v>
      </c>
      <c r="G114" s="84">
        <v>-17.6783710219756</v>
      </c>
      <c r="J114" s="1"/>
      <c r="K114" s="1"/>
      <c r="L114" s="1"/>
      <c r="V114" s="1"/>
      <c r="W114" s="1"/>
      <c r="X114" s="1"/>
      <c r="Y114" s="1"/>
      <c r="Z114" s="1"/>
      <c r="AA114" s="1"/>
      <c r="AB114" s="1"/>
    </row>
    <row r="115" spans="1:28" ht="11.25" customHeight="1" x14ac:dyDescent="0.2">
      <c r="A115" s="95">
        <v>39</v>
      </c>
      <c r="B115" s="95" t="s">
        <v>59</v>
      </c>
      <c r="C115" s="96">
        <v>0.93500000000000005</v>
      </c>
      <c r="D115" s="96">
        <v>1.166141375</v>
      </c>
      <c r="E115" s="96">
        <v>4.6610573191037119</v>
      </c>
      <c r="F115" s="96">
        <v>7.6901409999999997</v>
      </c>
      <c r="G115" s="96">
        <v>-21.500981417500295</v>
      </c>
      <c r="J115" s="1"/>
      <c r="K115" s="1"/>
      <c r="L115" s="1"/>
      <c r="V115" s="1"/>
      <c r="W115" s="1"/>
      <c r="X115" s="1"/>
      <c r="Y115" s="1"/>
      <c r="Z115" s="1"/>
      <c r="AA115" s="1"/>
      <c r="AB115" s="1"/>
    </row>
    <row r="116" spans="1:28" ht="11.25" customHeight="1" x14ac:dyDescent="0.2">
      <c r="A116" s="83">
        <v>40</v>
      </c>
      <c r="B116" s="83" t="s">
        <v>652</v>
      </c>
      <c r="C116" s="84">
        <v>2.35</v>
      </c>
      <c r="D116" s="84">
        <v>0.23304620312499999</v>
      </c>
      <c r="E116" s="84">
        <v>3.5249198141360516</v>
      </c>
      <c r="F116" s="112">
        <v>1.975873875</v>
      </c>
      <c r="G116" s="112">
        <v>-12.769889562150746</v>
      </c>
      <c r="J116" s="1"/>
      <c r="K116" s="1"/>
      <c r="L116" s="1"/>
      <c r="V116" s="1"/>
      <c r="W116" s="1"/>
      <c r="X116" s="1"/>
      <c r="Y116" s="1"/>
      <c r="Z116" s="1"/>
      <c r="AA116" s="1"/>
      <c r="AB116" s="1"/>
    </row>
    <row r="117" spans="1:28" ht="11.25" customHeight="1" x14ac:dyDescent="0.2">
      <c r="A117" s="95">
        <v>41</v>
      </c>
      <c r="B117" s="95" t="s">
        <v>653</v>
      </c>
      <c r="C117" s="96">
        <v>2.077</v>
      </c>
      <c r="D117" s="96">
        <v>0.15970389062500001</v>
      </c>
      <c r="E117" s="96">
        <v>-8.0924833005003869</v>
      </c>
      <c r="F117" s="96">
        <v>1.237875625</v>
      </c>
      <c r="G117" s="96">
        <v>-18.391589616018848</v>
      </c>
      <c r="J117" s="1"/>
      <c r="K117" s="1"/>
      <c r="L117" s="1"/>
      <c r="V117" s="1"/>
      <c r="W117" s="1"/>
      <c r="X117" s="1"/>
      <c r="Y117" s="1"/>
      <c r="Z117" s="1"/>
      <c r="AA117" s="1"/>
      <c r="AB117" s="1"/>
    </row>
    <row r="118" spans="1:28" ht="11.25" customHeight="1" x14ac:dyDescent="0.2">
      <c r="A118" s="83">
        <v>42</v>
      </c>
      <c r="B118" s="83" t="s">
        <v>654</v>
      </c>
      <c r="C118" s="84">
        <v>1.75</v>
      </c>
      <c r="D118" s="84">
        <v>0.16625704687500001</v>
      </c>
      <c r="E118" s="84">
        <v>-2.2536818349960797E-2</v>
      </c>
      <c r="F118" s="84">
        <v>1.197529375</v>
      </c>
      <c r="G118" s="84">
        <v>-19.903485288864225</v>
      </c>
      <c r="J118" s="1"/>
      <c r="K118" s="1"/>
      <c r="L118" s="1"/>
      <c r="V118" s="1"/>
      <c r="W118" s="1"/>
      <c r="X118" s="1"/>
      <c r="Y118" s="1"/>
      <c r="Z118" s="1"/>
      <c r="AA118" s="1"/>
      <c r="AB118" s="1"/>
    </row>
    <row r="119" spans="1:28" ht="11.25" customHeight="1" x14ac:dyDescent="0.2">
      <c r="A119" s="95">
        <v>43</v>
      </c>
      <c r="B119" s="95" t="s">
        <v>655</v>
      </c>
      <c r="C119" s="96">
        <v>1.8240000000000001</v>
      </c>
      <c r="D119" s="96">
        <v>0.19479439062500001</v>
      </c>
      <c r="E119" s="96">
        <v>3.1636925108307068</v>
      </c>
      <c r="F119" s="96">
        <v>1.4321513749999999</v>
      </c>
      <c r="G119" s="96">
        <v>-20.292408711180045</v>
      </c>
      <c r="J119" s="1"/>
      <c r="K119" s="1"/>
      <c r="L119" s="1"/>
      <c r="V119" s="1"/>
      <c r="W119" s="1"/>
      <c r="X119" s="1"/>
      <c r="Y119" s="1"/>
      <c r="Z119" s="1"/>
      <c r="AA119" s="1"/>
      <c r="AB119" s="1"/>
    </row>
    <row r="120" spans="1:28" ht="11.25" customHeight="1" x14ac:dyDescent="0.2">
      <c r="A120" s="83">
        <v>44</v>
      </c>
      <c r="B120" s="83" t="s">
        <v>656</v>
      </c>
      <c r="C120" s="84">
        <v>1.9279999999999999</v>
      </c>
      <c r="D120" s="84">
        <v>0.19752984374999999</v>
      </c>
      <c r="E120" s="84">
        <v>3.1557817670917476</v>
      </c>
      <c r="F120" s="84">
        <v>1.8771538750000001</v>
      </c>
      <c r="G120" s="84">
        <v>-20.618909681200286</v>
      </c>
      <c r="J120" s="1"/>
      <c r="K120" s="1"/>
      <c r="L120" s="1"/>
      <c r="V120" s="1"/>
      <c r="W120" s="1"/>
      <c r="X120" s="1"/>
      <c r="Y120" s="1"/>
      <c r="Z120" s="1"/>
      <c r="AA120" s="1"/>
      <c r="AB120" s="1"/>
    </row>
    <row r="121" spans="1:28" ht="11.25" customHeight="1" x14ac:dyDescent="0.2">
      <c r="A121" s="95">
        <v>45</v>
      </c>
      <c r="B121" s="95" t="s">
        <v>657</v>
      </c>
      <c r="C121" s="96">
        <v>1.946</v>
      </c>
      <c r="D121" s="96">
        <v>0.1302796953125</v>
      </c>
      <c r="E121" s="96">
        <v>-0.67551626316253444</v>
      </c>
      <c r="F121" s="96">
        <v>1.0506891249999999</v>
      </c>
      <c r="G121" s="96">
        <v>-20.305566561687542</v>
      </c>
      <c r="J121" s="1"/>
      <c r="K121" s="1"/>
      <c r="L121" s="1"/>
      <c r="V121" s="1"/>
      <c r="W121" s="1"/>
      <c r="X121" s="1"/>
      <c r="Y121" s="1"/>
      <c r="Z121" s="1"/>
      <c r="AA121" s="1"/>
      <c r="AB121" s="1"/>
    </row>
    <row r="122" spans="1:28" ht="11.25" customHeight="1" x14ac:dyDescent="0.2">
      <c r="A122" s="83">
        <v>46</v>
      </c>
      <c r="B122" s="83" t="s">
        <v>658</v>
      </c>
      <c r="C122" s="84">
        <v>2.105</v>
      </c>
      <c r="D122" s="84">
        <v>0.18307667187500001</v>
      </c>
      <c r="E122" s="84">
        <v>5.4151901645771439</v>
      </c>
      <c r="F122" s="84">
        <v>1.6387566250000001</v>
      </c>
      <c r="G122" s="84">
        <v>-20.47942885858722</v>
      </c>
      <c r="J122" s="1"/>
      <c r="K122" s="1"/>
      <c r="L122" s="1"/>
      <c r="V122" s="1"/>
      <c r="W122" s="1"/>
      <c r="X122" s="1"/>
      <c r="Y122" s="1"/>
      <c r="Z122" s="1"/>
      <c r="AA122" s="1"/>
      <c r="AB122" s="1"/>
    </row>
    <row r="123" spans="1:28" ht="11.25" customHeight="1" x14ac:dyDescent="0.2">
      <c r="A123" s="95">
        <v>47</v>
      </c>
      <c r="B123" s="95" t="s">
        <v>659</v>
      </c>
      <c r="C123" s="96">
        <v>2.4580000000000002</v>
      </c>
      <c r="D123" s="96">
        <v>0.22947221875000001</v>
      </c>
      <c r="E123" s="96">
        <v>5.1563810962662604</v>
      </c>
      <c r="F123" s="96">
        <v>2.1636245000000001</v>
      </c>
      <c r="G123" s="96">
        <v>-20.579064937209893</v>
      </c>
      <c r="J123" s="1"/>
      <c r="K123" s="1"/>
      <c r="L123" s="1"/>
      <c r="V123" s="1"/>
      <c r="W123" s="1"/>
      <c r="X123" s="1"/>
      <c r="Y123" s="1"/>
      <c r="Z123" s="1"/>
      <c r="AA123" s="1"/>
      <c r="AB123" s="1"/>
    </row>
    <row r="124" spans="1:28" ht="11.25" customHeight="1" x14ac:dyDescent="0.2">
      <c r="A124" s="83">
        <v>48</v>
      </c>
      <c r="B124" s="83" t="s">
        <v>660</v>
      </c>
      <c r="C124" s="84">
        <v>1.968</v>
      </c>
      <c r="D124" s="84">
        <v>7.0526492187499998E-2</v>
      </c>
      <c r="E124" s="84">
        <v>0.3363356759624736</v>
      </c>
      <c r="F124" s="84">
        <v>0.46609062499999998</v>
      </c>
      <c r="G124" s="84">
        <v>-19.352388458950646</v>
      </c>
      <c r="J124" s="1"/>
      <c r="K124" s="1"/>
      <c r="L124" s="1"/>
      <c r="V124" s="1"/>
      <c r="W124" s="1"/>
      <c r="X124" s="1"/>
      <c r="Y124" s="1"/>
      <c r="Z124" s="1"/>
      <c r="AA124" s="1"/>
      <c r="AB124" s="1"/>
    </row>
    <row r="125" spans="1:28" ht="11.25" customHeight="1" x14ac:dyDescent="0.2">
      <c r="A125" s="95">
        <v>49</v>
      </c>
      <c r="B125" s="95" t="s">
        <v>661</v>
      </c>
      <c r="C125" s="96">
        <v>1.73</v>
      </c>
      <c r="D125" s="96">
        <v>4.9124945312500001E-2</v>
      </c>
      <c r="E125" s="96">
        <v>-10.643344618181949</v>
      </c>
      <c r="F125" s="96">
        <v>0.81434481250000001</v>
      </c>
      <c r="G125" s="96">
        <v>-9.8842340751203288</v>
      </c>
      <c r="J125" s="1"/>
      <c r="K125" s="1"/>
      <c r="L125" s="1"/>
      <c r="V125" s="1"/>
      <c r="W125" s="1"/>
      <c r="X125" s="1"/>
      <c r="Y125" s="1"/>
      <c r="Z125" s="1"/>
      <c r="AA125" s="1"/>
      <c r="AB125" s="1"/>
    </row>
    <row r="126" spans="1:28" ht="11.25" customHeight="1" x14ac:dyDescent="0.2">
      <c r="A126" s="83">
        <v>50</v>
      </c>
      <c r="B126" s="83" t="s">
        <v>82</v>
      </c>
      <c r="C126" s="84">
        <v>1.042</v>
      </c>
      <c r="D126" s="84">
        <v>1.21649075</v>
      </c>
      <c r="E126" s="84">
        <v>4.8015189327819119</v>
      </c>
      <c r="F126" s="84">
        <v>8.5853439999999992</v>
      </c>
      <c r="G126" s="84">
        <v>-21.485173471729315</v>
      </c>
      <c r="J126" s="1"/>
      <c r="K126" s="1"/>
      <c r="L126" s="1"/>
      <c r="V126" s="1"/>
      <c r="W126" s="1"/>
      <c r="X126" s="1"/>
      <c r="Y126" s="1"/>
      <c r="Z126" s="1"/>
      <c r="AA126" s="1"/>
      <c r="AB126" s="1"/>
    </row>
    <row r="127" spans="1:28" ht="11.25" customHeight="1" x14ac:dyDescent="0.2">
      <c r="A127" s="95">
        <v>51</v>
      </c>
      <c r="B127" s="95" t="s">
        <v>87</v>
      </c>
      <c r="C127" s="96">
        <v>2.21</v>
      </c>
      <c r="D127" s="96">
        <v>0.18792926562500001</v>
      </c>
      <c r="E127" s="96">
        <v>2.0690281614852424</v>
      </c>
      <c r="F127" s="96">
        <v>1.266823</v>
      </c>
      <c r="G127" s="96">
        <v>-14.520821313408645</v>
      </c>
      <c r="J127" s="1"/>
      <c r="K127" s="1"/>
      <c r="L127" s="1"/>
      <c r="V127" s="1"/>
      <c r="W127" s="1"/>
      <c r="X127" s="1"/>
      <c r="Y127" s="1"/>
      <c r="Z127" s="1"/>
      <c r="AA127" s="1"/>
      <c r="AB127" s="1"/>
    </row>
    <row r="128" spans="1:28" ht="11.25" customHeight="1" x14ac:dyDescent="0.2">
      <c r="A128" s="83">
        <v>52</v>
      </c>
      <c r="B128" s="83" t="s">
        <v>662</v>
      </c>
      <c r="C128" s="84">
        <v>2.093</v>
      </c>
      <c r="D128" s="84">
        <v>0.160024265625</v>
      </c>
      <c r="E128" s="84">
        <v>2.476968910708699</v>
      </c>
      <c r="F128" s="84">
        <v>1.1934307500000001</v>
      </c>
      <c r="G128" s="84">
        <v>-20.129198980375751</v>
      </c>
      <c r="J128" s="1"/>
      <c r="K128" s="1"/>
      <c r="L128" s="1"/>
      <c r="V128" s="1"/>
      <c r="W128" s="1"/>
      <c r="X128" s="1"/>
      <c r="Y128" s="1"/>
      <c r="Z128" s="1"/>
      <c r="AA128" s="1"/>
      <c r="AB128" s="1"/>
    </row>
    <row r="129" spans="1:28" ht="11.25" customHeight="1" x14ac:dyDescent="0.2">
      <c r="A129" s="95">
        <v>53</v>
      </c>
      <c r="B129" s="95" t="s">
        <v>663</v>
      </c>
      <c r="C129" s="96">
        <v>2.109</v>
      </c>
      <c r="D129" s="96">
        <v>0.18526848437499999</v>
      </c>
      <c r="E129" s="96">
        <v>-15.563728843609791</v>
      </c>
      <c r="F129" s="96">
        <v>1.31219325</v>
      </c>
      <c r="G129" s="96">
        <v>-20.470823201524261</v>
      </c>
      <c r="J129" s="1"/>
      <c r="K129" s="1"/>
      <c r="L129" s="1"/>
      <c r="V129" s="1"/>
      <c r="W129" s="1"/>
      <c r="X129" s="1"/>
      <c r="Y129" s="1"/>
      <c r="Z129" s="1"/>
      <c r="AA129" s="1"/>
      <c r="AB129" s="1"/>
    </row>
    <row r="130" spans="1:28" ht="11.25" customHeight="1" x14ac:dyDescent="0.2">
      <c r="A130" s="83">
        <v>54</v>
      </c>
      <c r="B130" s="83" t="s">
        <v>664</v>
      </c>
      <c r="C130" s="84">
        <v>1.8680000000000001</v>
      </c>
      <c r="D130" s="84">
        <v>0.14634668749999999</v>
      </c>
      <c r="E130" s="84">
        <v>-2.1484695190262526</v>
      </c>
      <c r="F130" s="84">
        <v>0.75530462499999995</v>
      </c>
      <c r="G130" s="84">
        <v>-19.400564092553271</v>
      </c>
      <c r="J130" s="1"/>
      <c r="K130" s="1"/>
      <c r="L130" s="1"/>
      <c r="V130" s="1"/>
      <c r="W130" s="1"/>
      <c r="X130" s="1"/>
      <c r="Y130" s="1"/>
      <c r="Z130" s="1"/>
      <c r="AA130" s="1"/>
      <c r="AB130" s="1"/>
    </row>
    <row r="131" spans="1:28" ht="11.25" customHeight="1" x14ac:dyDescent="0.2">
      <c r="A131" s="95">
        <v>55</v>
      </c>
      <c r="B131" s="95" t="s">
        <v>665</v>
      </c>
      <c r="C131" s="96">
        <v>1.913</v>
      </c>
      <c r="D131" s="96">
        <v>0.10427975</v>
      </c>
      <c r="E131" s="96">
        <v>-9.0797686222348073</v>
      </c>
      <c r="F131" s="96">
        <v>0.22501803125</v>
      </c>
      <c r="G131" s="96">
        <v>-18.431056396842845</v>
      </c>
      <c r="J131" s="1"/>
      <c r="K131" s="1"/>
      <c r="L131" s="1"/>
      <c r="V131" s="1"/>
      <c r="W131" s="1"/>
      <c r="X131" s="1"/>
      <c r="Y131" s="1"/>
      <c r="Z131" s="1"/>
      <c r="AA131" s="1"/>
      <c r="AB131" s="1"/>
    </row>
    <row r="132" spans="1:28" ht="11.25" customHeight="1" x14ac:dyDescent="0.2">
      <c r="A132" s="83">
        <v>56</v>
      </c>
      <c r="B132" s="83" t="s">
        <v>666</v>
      </c>
      <c r="C132" s="84">
        <v>1.9179999999999999</v>
      </c>
      <c r="D132" s="84">
        <v>0.25004192187500002</v>
      </c>
      <c r="E132" s="84">
        <v>-11.138436438634326</v>
      </c>
      <c r="F132" s="84">
        <v>1.3254364999999999</v>
      </c>
      <c r="G132" s="84">
        <v>-20.564567551785188</v>
      </c>
      <c r="J132" s="1"/>
      <c r="K132" s="1"/>
      <c r="L132" s="1"/>
      <c r="V132" s="1"/>
      <c r="W132" s="1"/>
      <c r="X132" s="1"/>
      <c r="Y132" s="1"/>
      <c r="Z132" s="1"/>
      <c r="AA132" s="1"/>
      <c r="AB132" s="1"/>
    </row>
    <row r="133" spans="1:28" ht="11.25" customHeight="1" x14ac:dyDescent="0.2">
      <c r="A133" s="95">
        <v>57</v>
      </c>
      <c r="B133" s="95" t="s">
        <v>667</v>
      </c>
      <c r="C133" s="96">
        <v>2.0430000000000001</v>
      </c>
      <c r="D133" s="96">
        <v>0.20814445312499999</v>
      </c>
      <c r="E133" s="96">
        <v>-15.227154977377033</v>
      </c>
      <c r="F133" s="96">
        <v>0.74630993749999996</v>
      </c>
      <c r="G133" s="96">
        <v>-20.08240659654243</v>
      </c>
      <c r="J133" s="1"/>
      <c r="K133" s="1"/>
      <c r="L133" s="1"/>
      <c r="V133" s="1"/>
      <c r="W133" s="1"/>
      <c r="X133" s="1"/>
      <c r="Y133" s="1"/>
      <c r="Z133" s="1"/>
      <c r="AA133" s="1"/>
      <c r="AB133" s="1"/>
    </row>
    <row r="134" spans="1:28" ht="11.25" customHeight="1" x14ac:dyDescent="0.2">
      <c r="A134" s="83">
        <v>58</v>
      </c>
      <c r="B134" s="83" t="s">
        <v>668</v>
      </c>
      <c r="C134" s="84">
        <v>2.359</v>
      </c>
      <c r="D134" s="84">
        <v>0.37248334374999997</v>
      </c>
      <c r="E134" s="84">
        <v>-13.599674809037676</v>
      </c>
      <c r="F134" s="84">
        <v>0.77179156250000003</v>
      </c>
      <c r="G134" s="84">
        <v>-20.181468667428671</v>
      </c>
      <c r="J134" s="1"/>
      <c r="K134" s="1"/>
      <c r="L134" s="1"/>
      <c r="V134" s="1"/>
      <c r="W134" s="1"/>
      <c r="X134" s="1"/>
      <c r="Y134" s="1"/>
      <c r="Z134" s="1"/>
      <c r="AA134" s="1"/>
      <c r="AB134" s="1"/>
    </row>
    <row r="135" spans="1:28" ht="11.25" customHeight="1" x14ac:dyDescent="0.2">
      <c r="A135" s="95">
        <v>59</v>
      </c>
      <c r="B135" s="95" t="s">
        <v>669</v>
      </c>
      <c r="C135" s="96">
        <v>1.8660000000000001</v>
      </c>
      <c r="D135" s="96">
        <v>0.28066068750000001</v>
      </c>
      <c r="E135" s="96">
        <v>-4.631247837485919</v>
      </c>
      <c r="F135" s="96">
        <v>1.4237081250000001</v>
      </c>
      <c r="G135" s="96">
        <v>-20.46494416690506</v>
      </c>
      <c r="J135" s="1"/>
      <c r="K135" s="1"/>
      <c r="L135" s="1"/>
      <c r="V135" s="1"/>
      <c r="W135" s="1"/>
      <c r="X135" s="1"/>
      <c r="Y135" s="1"/>
      <c r="Z135" s="1"/>
      <c r="AA135" s="1"/>
      <c r="AB135" s="1"/>
    </row>
    <row r="136" spans="1:28" ht="11.25" customHeight="1" x14ac:dyDescent="0.2">
      <c r="A136" s="83">
        <v>60</v>
      </c>
      <c r="B136" s="83" t="s">
        <v>670</v>
      </c>
      <c r="C136" s="84">
        <v>6.931</v>
      </c>
      <c r="D136" s="84">
        <v>0.37844543749999998</v>
      </c>
      <c r="E136" s="84">
        <v>-8.3084737423818602</v>
      </c>
      <c r="F136" s="84">
        <v>1.761195125</v>
      </c>
      <c r="G136" s="84">
        <v>-21.129830483862023</v>
      </c>
      <c r="J136" s="1"/>
      <c r="K136" s="1"/>
      <c r="L136" s="1"/>
      <c r="V136" s="1"/>
      <c r="W136" s="1"/>
      <c r="X136" s="1"/>
      <c r="Y136" s="1"/>
      <c r="Z136" s="1"/>
      <c r="AA136" s="1"/>
      <c r="AB136" s="1"/>
    </row>
    <row r="137" spans="1:28" ht="11.25" customHeight="1" x14ac:dyDescent="0.2">
      <c r="A137" s="95">
        <v>61</v>
      </c>
      <c r="B137" s="95" t="s">
        <v>671</v>
      </c>
      <c r="C137" s="96">
        <v>7.5750000000000002</v>
      </c>
      <c r="D137" s="96">
        <v>0.54319187499999999</v>
      </c>
      <c r="E137" s="96">
        <v>-6.7104121319905286</v>
      </c>
      <c r="F137" s="96">
        <v>3.0498462499999999</v>
      </c>
      <c r="G137" s="96">
        <v>-21.279895722067902</v>
      </c>
      <c r="J137" s="1"/>
      <c r="K137" s="1"/>
      <c r="L137" s="1"/>
      <c r="V137" s="1"/>
      <c r="W137" s="1"/>
      <c r="X137" s="1"/>
      <c r="Y137" s="1"/>
      <c r="Z137" s="1"/>
      <c r="AA137" s="1"/>
      <c r="AB137" s="1"/>
    </row>
    <row r="138" spans="1:28" ht="11.25" customHeight="1" x14ac:dyDescent="0.2">
      <c r="A138" s="83">
        <v>62</v>
      </c>
      <c r="B138" s="83" t="s">
        <v>672</v>
      </c>
      <c r="C138" s="84">
        <v>7.1719999999999997</v>
      </c>
      <c r="D138" s="84">
        <v>0.46110590624999997</v>
      </c>
      <c r="E138" s="84">
        <v>-13.252976270599181</v>
      </c>
      <c r="F138" s="84">
        <v>2.6096747499999999</v>
      </c>
      <c r="G138" s="84">
        <v>-21.32879309150427</v>
      </c>
      <c r="J138" s="1"/>
      <c r="K138" s="1"/>
      <c r="L138" s="1"/>
      <c r="V138" s="1"/>
      <c r="W138" s="1"/>
      <c r="X138" s="1"/>
      <c r="Y138" s="1"/>
      <c r="Z138" s="1"/>
      <c r="AA138" s="1"/>
      <c r="AB138" s="1"/>
    </row>
    <row r="139" spans="1:28" ht="11.25" customHeight="1" x14ac:dyDescent="0.2">
      <c r="A139" s="95">
        <v>63</v>
      </c>
      <c r="B139" s="95" t="s">
        <v>61</v>
      </c>
      <c r="C139" s="96">
        <v>0.76</v>
      </c>
      <c r="D139" s="96">
        <v>0.96555768750000004</v>
      </c>
      <c r="E139" s="96">
        <v>3.3414682560199971</v>
      </c>
      <c r="F139" s="96">
        <v>6.2759945000000004</v>
      </c>
      <c r="G139" s="96">
        <v>-21.309062460927628</v>
      </c>
      <c r="J139" s="1"/>
      <c r="K139" s="1"/>
      <c r="L139" s="1"/>
      <c r="V139" s="1"/>
      <c r="W139" s="1"/>
      <c r="X139" s="1"/>
      <c r="Y139" s="1"/>
      <c r="Z139" s="1"/>
      <c r="AA139" s="1"/>
      <c r="AB139" s="1"/>
    </row>
    <row r="140" spans="1:28" ht="11.25" customHeight="1" x14ac:dyDescent="0.2">
      <c r="A140" s="83">
        <v>64</v>
      </c>
      <c r="B140" s="83" t="s">
        <v>98</v>
      </c>
      <c r="C140" s="84">
        <v>2.6080000000000001</v>
      </c>
      <c r="D140" s="84">
        <v>0.32719109374999999</v>
      </c>
      <c r="E140" s="84">
        <v>-10.260741949786322</v>
      </c>
      <c r="F140" s="84">
        <v>1.487370375</v>
      </c>
      <c r="G140" s="84">
        <v>-14.217970749051652</v>
      </c>
      <c r="J140" s="1"/>
      <c r="K140" s="1"/>
      <c r="L140" s="1"/>
      <c r="V140" s="1"/>
      <c r="W140" s="1"/>
      <c r="X140" s="1"/>
      <c r="Y140" s="1"/>
      <c r="Z140" s="1"/>
      <c r="AA140" s="1"/>
      <c r="AB140" s="1"/>
    </row>
    <row r="141" spans="1:28" ht="11.25" customHeight="1" x14ac:dyDescent="0.2">
      <c r="A141" s="95">
        <v>65</v>
      </c>
      <c r="B141" s="95" t="s">
        <v>673</v>
      </c>
      <c r="C141" s="96">
        <v>6.8520000000000003</v>
      </c>
      <c r="D141" s="96">
        <v>0.37515956249999999</v>
      </c>
      <c r="E141" s="96">
        <v>-8.5382728354397308</v>
      </c>
      <c r="F141" s="96">
        <v>1.8077939999999999</v>
      </c>
      <c r="G141" s="96">
        <v>-21.222000177293996</v>
      </c>
      <c r="J141" s="1"/>
      <c r="K141" s="1"/>
      <c r="L141" s="1"/>
      <c r="V141" s="1"/>
      <c r="W141" s="1"/>
      <c r="X141" s="1"/>
      <c r="Y141" s="1"/>
      <c r="Z141" s="1"/>
      <c r="AA141" s="1"/>
      <c r="AB141" s="1"/>
    </row>
    <row r="142" spans="1:28" ht="11.25" customHeight="1" x14ac:dyDescent="0.2">
      <c r="A142" s="83">
        <v>66</v>
      </c>
      <c r="B142" s="83" t="s">
        <v>674</v>
      </c>
      <c r="C142" s="84">
        <v>7.1520000000000001</v>
      </c>
      <c r="D142" s="84">
        <v>0.46997746875000002</v>
      </c>
      <c r="E142" s="84">
        <v>-4.9588265693694122</v>
      </c>
      <c r="F142" s="84">
        <v>2.9268632499999998</v>
      </c>
      <c r="G142" s="84">
        <v>-21.353913110156228</v>
      </c>
      <c r="J142" s="1"/>
      <c r="K142" s="1"/>
      <c r="L142" s="1"/>
      <c r="V142" s="1"/>
      <c r="W142" s="1"/>
      <c r="X142" s="1"/>
      <c r="Y142" s="1"/>
      <c r="Z142" s="1"/>
      <c r="AA142" s="1"/>
      <c r="AB142" s="1"/>
    </row>
    <row r="143" spans="1:28" ht="11.25" customHeight="1" x14ac:dyDescent="0.2">
      <c r="A143" s="95">
        <v>67</v>
      </c>
      <c r="B143" s="95" t="s">
        <v>675</v>
      </c>
      <c r="C143" s="96">
        <v>7.1040000000000001</v>
      </c>
      <c r="D143" s="96">
        <v>0.39689540625000003</v>
      </c>
      <c r="E143" s="96">
        <v>-7.3181810927475111</v>
      </c>
      <c r="F143" s="96">
        <v>2.4651842500000001</v>
      </c>
      <c r="G143" s="96">
        <v>-21.35432260520238</v>
      </c>
      <c r="J143" s="1"/>
      <c r="K143" s="1"/>
      <c r="L143" s="1"/>
      <c r="V143" s="1"/>
      <c r="W143" s="1"/>
      <c r="X143" s="1"/>
      <c r="Y143" s="1"/>
      <c r="Z143" s="1"/>
      <c r="AA143" s="1"/>
      <c r="AB143" s="1"/>
    </row>
    <row r="144" spans="1:28" ht="11.25" customHeight="1" x14ac:dyDescent="0.2">
      <c r="A144" s="83">
        <v>68</v>
      </c>
      <c r="B144" s="83" t="s">
        <v>676</v>
      </c>
      <c r="C144" s="84">
        <v>8.5679999999999996</v>
      </c>
      <c r="D144" s="84">
        <v>0.75260174999999996</v>
      </c>
      <c r="E144" s="84">
        <v>2.391775623055592</v>
      </c>
      <c r="F144" s="84">
        <v>3.7175832500000001</v>
      </c>
      <c r="G144" s="84">
        <v>-20.879912692329807</v>
      </c>
      <c r="J144" s="1"/>
      <c r="K144" s="1"/>
      <c r="L144" s="1"/>
      <c r="V144" s="1"/>
      <c r="W144" s="1"/>
      <c r="X144" s="1"/>
      <c r="Y144" s="1"/>
      <c r="Z144" s="1"/>
      <c r="AA144" s="1"/>
      <c r="AB144" s="1"/>
    </row>
    <row r="145" spans="1:28" s="10" customFormat="1" ht="11.25" customHeight="1" x14ac:dyDescent="0.2">
      <c r="A145" s="204">
        <v>69</v>
      </c>
      <c r="B145" s="204" t="s">
        <v>677</v>
      </c>
      <c r="C145" s="205">
        <v>6.125</v>
      </c>
      <c r="D145" s="205">
        <v>0.15788465625000001</v>
      </c>
      <c r="E145" s="205">
        <v>12.777068851835161</v>
      </c>
      <c r="F145" s="205">
        <v>0.30143193750000002</v>
      </c>
      <c r="G145" s="205">
        <v>-23.733696886268842</v>
      </c>
    </row>
    <row r="146" spans="1:28" ht="11.25" customHeight="1" x14ac:dyDescent="0.2">
      <c r="A146" s="83">
        <v>70</v>
      </c>
      <c r="B146" s="83" t="s">
        <v>678</v>
      </c>
      <c r="C146" s="84">
        <v>6.1980000000000004</v>
      </c>
      <c r="D146" s="84">
        <v>0.14525096874999999</v>
      </c>
      <c r="E146" s="84">
        <v>-36.651578711114688</v>
      </c>
      <c r="F146" s="84">
        <v>0.22343489062499999</v>
      </c>
      <c r="G146" s="84">
        <v>-24.941273485837996</v>
      </c>
      <c r="J146" s="1"/>
      <c r="K146" s="1"/>
      <c r="L146" s="1"/>
      <c r="V146" s="1"/>
      <c r="W146" s="1"/>
      <c r="X146" s="1"/>
      <c r="Y146" s="1"/>
      <c r="Z146" s="1"/>
      <c r="AA146" s="1"/>
      <c r="AB146" s="1"/>
    </row>
    <row r="147" spans="1:28" ht="11.25" customHeight="1" x14ac:dyDescent="0.2">
      <c r="A147" s="95">
        <v>71</v>
      </c>
      <c r="B147" s="95" t="s">
        <v>679</v>
      </c>
      <c r="C147" s="96">
        <v>5.9119999999999999</v>
      </c>
      <c r="D147" s="96">
        <v>0.17427089062500001</v>
      </c>
      <c r="E147" s="96">
        <v>-28.396347347331876</v>
      </c>
      <c r="F147" s="96">
        <v>0.37071465625</v>
      </c>
      <c r="G147" s="96">
        <v>-23.393783165360521</v>
      </c>
      <c r="J147" s="1"/>
      <c r="K147" s="1"/>
      <c r="L147" s="1"/>
      <c r="V147" s="1"/>
      <c r="W147" s="1"/>
      <c r="X147" s="1"/>
      <c r="Y147" s="1"/>
      <c r="Z147" s="1"/>
      <c r="AA147" s="1"/>
      <c r="AB147" s="1"/>
    </row>
    <row r="148" spans="1:28" ht="11.25" customHeight="1" x14ac:dyDescent="0.2">
      <c r="A148" s="83">
        <v>72</v>
      </c>
      <c r="B148" s="83" t="s">
        <v>680</v>
      </c>
      <c r="C148" s="84">
        <v>6.5670000000000002</v>
      </c>
      <c r="D148" s="84">
        <v>0.25975090625000002</v>
      </c>
      <c r="E148" s="84">
        <v>-7.5085353541317623</v>
      </c>
      <c r="F148" s="84">
        <v>0.87367143749999998</v>
      </c>
      <c r="G148" s="84">
        <v>-22.320208176284183</v>
      </c>
      <c r="J148" s="1"/>
      <c r="K148" s="1"/>
      <c r="L148" s="1"/>
      <c r="V148" s="1"/>
      <c r="W148" s="1"/>
      <c r="X148" s="1"/>
      <c r="Y148" s="1"/>
      <c r="Z148" s="1"/>
      <c r="AA148" s="1"/>
      <c r="AB148" s="1"/>
    </row>
    <row r="149" spans="1:28" ht="11.25" customHeight="1" x14ac:dyDescent="0.2">
      <c r="A149" s="95">
        <v>73</v>
      </c>
      <c r="B149" s="95" t="s">
        <v>62</v>
      </c>
      <c r="C149" s="96">
        <v>0.80800000000000005</v>
      </c>
      <c r="D149" s="96">
        <v>0.19869378125000001</v>
      </c>
      <c r="E149" s="96">
        <v>-22.12544143768158</v>
      </c>
      <c r="F149" s="96">
        <v>5.7831549999999998</v>
      </c>
      <c r="G149" s="96">
        <v>-19.865037837601989</v>
      </c>
      <c r="J149" s="1"/>
      <c r="K149" s="1"/>
      <c r="L149" s="1"/>
      <c r="V149" s="1"/>
      <c r="W149" s="1"/>
      <c r="X149" s="1"/>
      <c r="Y149" s="1"/>
      <c r="Z149" s="1"/>
      <c r="AA149" s="1"/>
      <c r="AB149" s="1"/>
    </row>
    <row r="150" spans="1:28" ht="11.25" customHeight="1" x14ac:dyDescent="0.2">
      <c r="A150" s="83">
        <v>74</v>
      </c>
      <c r="B150" s="83" t="s">
        <v>63</v>
      </c>
      <c r="C150" s="84">
        <v>0.80400000000000005</v>
      </c>
      <c r="D150" s="84">
        <v>0.251440546875</v>
      </c>
      <c r="E150" s="84">
        <v>-19.907880706614311</v>
      </c>
      <c r="F150" s="84">
        <v>5.7372189999999996</v>
      </c>
      <c r="G150" s="84">
        <v>-5.9208208683876382</v>
      </c>
      <c r="J150" s="1"/>
      <c r="K150" s="1"/>
      <c r="L150" s="1"/>
      <c r="V150" s="1"/>
      <c r="W150" s="1"/>
      <c r="X150" s="1"/>
      <c r="Y150" s="1"/>
      <c r="Z150" s="1"/>
      <c r="AA150" s="1"/>
      <c r="AB150" s="1"/>
    </row>
    <row r="151" spans="1:28" ht="11.25" customHeight="1" x14ac:dyDescent="0.2">
      <c r="A151" s="95">
        <v>75</v>
      </c>
      <c r="B151" s="95" t="s">
        <v>70</v>
      </c>
      <c r="C151" s="96">
        <v>1.0620000000000001</v>
      </c>
      <c r="D151" s="96">
        <v>0.31323856249999998</v>
      </c>
      <c r="E151" s="96">
        <v>-3.9054026516449625</v>
      </c>
      <c r="F151" s="96">
        <v>3.4475614999999999</v>
      </c>
      <c r="G151" s="96">
        <v>-13.229835682212988</v>
      </c>
      <c r="J151" s="1"/>
      <c r="K151" s="1"/>
      <c r="L151" s="1"/>
      <c r="V151" s="1"/>
      <c r="W151" s="1"/>
      <c r="X151" s="1"/>
      <c r="Y151" s="1"/>
      <c r="Z151" s="1"/>
      <c r="AA151" s="1"/>
      <c r="AB151" s="1"/>
    </row>
    <row r="152" spans="1:28" ht="11.25" customHeight="1" x14ac:dyDescent="0.2">
      <c r="A152" s="83">
        <v>76</v>
      </c>
      <c r="B152" s="83" t="s">
        <v>64</v>
      </c>
      <c r="C152" s="84">
        <v>0.39300000000000002</v>
      </c>
      <c r="D152" s="84">
        <v>3.4792774999999998</v>
      </c>
      <c r="E152" s="84">
        <v>1.8826000521128261</v>
      </c>
      <c r="F152" s="84">
        <v>1.8381046875000001E-2</v>
      </c>
      <c r="G152" s="84">
        <v>-17.575971038347063</v>
      </c>
      <c r="J152" s="1"/>
      <c r="K152" s="1"/>
      <c r="L152" s="1"/>
      <c r="V152" s="1"/>
      <c r="W152" s="1"/>
      <c r="X152" s="1"/>
      <c r="Y152" s="1"/>
      <c r="Z152" s="1"/>
      <c r="AA152" s="1"/>
      <c r="AB152" s="1"/>
    </row>
    <row r="153" spans="1:28" ht="11.25" customHeight="1" x14ac:dyDescent="0.2">
      <c r="A153" s="95">
        <v>77</v>
      </c>
      <c r="B153" s="95" t="s">
        <v>69</v>
      </c>
      <c r="C153" s="96">
        <v>0.34599999999999997</v>
      </c>
      <c r="D153" s="96">
        <v>3.1171707500000001</v>
      </c>
      <c r="E153" s="96">
        <v>18.248964615470431</v>
      </c>
      <c r="F153" s="96">
        <v>2.4393697265625E-2</v>
      </c>
      <c r="G153" s="96">
        <v>-9.8367889490699962</v>
      </c>
      <c r="J153" s="1"/>
      <c r="K153" s="1"/>
      <c r="L153" s="1"/>
      <c r="V153" s="1"/>
      <c r="W153" s="1"/>
      <c r="X153" s="1"/>
      <c r="Y153" s="1"/>
      <c r="Z153" s="1"/>
      <c r="AA153" s="1"/>
      <c r="AB153" s="1"/>
    </row>
    <row r="154" spans="1:28" ht="11.25" customHeight="1" x14ac:dyDescent="0.2">
      <c r="A154" s="83">
        <v>78</v>
      </c>
      <c r="B154" s="83" t="s">
        <v>84</v>
      </c>
      <c r="C154" s="84">
        <v>1.1319999999999999</v>
      </c>
      <c r="D154" s="84">
        <v>1.5560372499999999</v>
      </c>
      <c r="E154" s="84">
        <v>3.2924513978311865</v>
      </c>
      <c r="F154" s="85">
        <v>8.7526779999999995</v>
      </c>
      <c r="G154" s="85">
        <v>-21.478204513977964</v>
      </c>
      <c r="J154" s="1"/>
      <c r="K154" s="1"/>
      <c r="L154" s="1"/>
      <c r="V154" s="1"/>
      <c r="W154" s="1"/>
      <c r="X154" s="1"/>
      <c r="Y154" s="1"/>
      <c r="Z154" s="1"/>
      <c r="AA154" s="1"/>
      <c r="AB154" s="1"/>
    </row>
    <row r="155" spans="1:28" ht="11.25" customHeight="1" x14ac:dyDescent="0.2">
      <c r="A155" s="114">
        <v>79</v>
      </c>
      <c r="B155" s="114" t="s">
        <v>86</v>
      </c>
      <c r="C155" s="108">
        <v>0</v>
      </c>
      <c r="D155" s="108">
        <v>0.39007874999999997</v>
      </c>
      <c r="E155" s="108">
        <v>-26.297986709633236</v>
      </c>
      <c r="J155" s="1"/>
      <c r="K155" s="1"/>
      <c r="L155" s="1"/>
      <c r="V155" s="1"/>
      <c r="W155" s="1"/>
      <c r="X155" s="1"/>
      <c r="Y155" s="1"/>
      <c r="Z155" s="1"/>
      <c r="AA155" s="1"/>
      <c r="AB155" s="1"/>
    </row>
    <row r="156" spans="1:28" ht="11.25" customHeight="1" x14ac:dyDescent="0.25">
      <c r="H156"/>
      <c r="I156"/>
      <c r="J156"/>
      <c r="K156" s="1"/>
      <c r="L156" s="1"/>
      <c r="V156" s="1"/>
      <c r="W156" s="1"/>
      <c r="X156" s="1"/>
      <c r="Y156" s="1"/>
      <c r="Z156" s="1"/>
      <c r="AA156" s="1"/>
      <c r="AB156" s="1"/>
    </row>
    <row r="157" spans="1:28" ht="11.25" customHeight="1" x14ac:dyDescent="0.25">
      <c r="H157"/>
      <c r="I157"/>
      <c r="J157"/>
      <c r="K157" s="1"/>
      <c r="L157" s="1"/>
      <c r="V157" s="1"/>
      <c r="W157" s="1"/>
      <c r="X157" s="1"/>
      <c r="Y157" s="1"/>
      <c r="Z157" s="1"/>
      <c r="AA157" s="1"/>
      <c r="AB157" s="1"/>
    </row>
    <row r="158" spans="1:28" ht="11.25" customHeight="1" x14ac:dyDescent="0.25">
      <c r="H158"/>
      <c r="I158"/>
      <c r="J158"/>
      <c r="K158" s="1"/>
      <c r="L158" s="1"/>
      <c r="V158" s="1"/>
      <c r="W158" s="1"/>
      <c r="X158" s="1"/>
      <c r="Y158" s="1"/>
      <c r="Z158" s="1"/>
      <c r="AA158" s="1"/>
      <c r="AB158" s="1"/>
    </row>
    <row r="159" spans="1:28" ht="11.25" customHeight="1" x14ac:dyDescent="0.25">
      <c r="H159"/>
      <c r="I159"/>
      <c r="J159"/>
      <c r="K159" s="1"/>
      <c r="L159" s="1"/>
      <c r="V159" s="1"/>
      <c r="W159" s="1"/>
      <c r="X159" s="1"/>
      <c r="Y159" s="1"/>
      <c r="Z159" s="1"/>
      <c r="AA159" s="1"/>
      <c r="AB159" s="1"/>
    </row>
    <row r="160" spans="1:28" ht="11.25" customHeight="1" x14ac:dyDescent="0.25">
      <c r="H160"/>
      <c r="I160"/>
      <c r="J160"/>
      <c r="K160" s="1"/>
      <c r="L160" s="1"/>
      <c r="V160" s="1"/>
      <c r="W160" s="1"/>
      <c r="X160" s="1"/>
      <c r="Y160" s="1"/>
      <c r="Z160" s="1"/>
      <c r="AA160" s="1"/>
      <c r="AB160" s="1"/>
    </row>
    <row r="161" spans="8:28" ht="11.25" customHeight="1" x14ac:dyDescent="0.25">
      <c r="H161"/>
      <c r="I161"/>
      <c r="J161"/>
      <c r="K161" s="1"/>
      <c r="L161" s="1"/>
      <c r="V161" s="1"/>
      <c r="W161" s="1"/>
      <c r="X161" s="1"/>
      <c r="Y161" s="1"/>
      <c r="Z161" s="1"/>
      <c r="AA161" s="1"/>
      <c r="AB161" s="1"/>
    </row>
    <row r="162" spans="8:28" ht="11.25" customHeight="1" x14ac:dyDescent="0.25">
      <c r="H162"/>
      <c r="I162"/>
      <c r="J162"/>
      <c r="K162" s="1"/>
      <c r="L162" s="1"/>
      <c r="V162" s="1"/>
      <c r="W162" s="1"/>
      <c r="X162" s="1"/>
      <c r="Y162" s="1"/>
      <c r="Z162" s="1"/>
      <c r="AA162" s="1"/>
      <c r="AB162" s="1"/>
    </row>
    <row r="163" spans="8:28" ht="11.25" customHeight="1" x14ac:dyDescent="0.25">
      <c r="H163"/>
      <c r="I163"/>
      <c r="J163"/>
      <c r="K163" s="1"/>
      <c r="L163" s="1"/>
      <c r="V163" s="1"/>
      <c r="W163" s="1"/>
      <c r="X163" s="1"/>
      <c r="Y163" s="1"/>
      <c r="Z163" s="1"/>
      <c r="AA163" s="1"/>
      <c r="AB163" s="1"/>
    </row>
    <row r="164" spans="8:28" ht="11.25" customHeight="1" x14ac:dyDescent="0.25">
      <c r="H164"/>
      <c r="I164"/>
      <c r="J164"/>
      <c r="K164" s="1"/>
      <c r="L164" s="1"/>
      <c r="V164" s="1"/>
      <c r="W164" s="1"/>
      <c r="X164" s="1"/>
      <c r="Y164" s="1"/>
      <c r="Z164" s="1"/>
      <c r="AA164" s="1"/>
      <c r="AB164" s="1"/>
    </row>
    <row r="165" spans="8:28" ht="11.25" customHeight="1" x14ac:dyDescent="0.25">
      <c r="H165"/>
      <c r="I165"/>
      <c r="J165"/>
      <c r="K165" s="1"/>
      <c r="L165" s="1"/>
      <c r="V165" s="1"/>
      <c r="W165" s="1"/>
      <c r="X165" s="1"/>
      <c r="Y165" s="1"/>
      <c r="Z165" s="1"/>
      <c r="AA165" s="1"/>
      <c r="AB165" s="1"/>
    </row>
    <row r="166" spans="8:28" ht="11.25" customHeight="1" x14ac:dyDescent="0.25">
      <c r="H166"/>
      <c r="I166"/>
      <c r="J166"/>
      <c r="K166" s="1"/>
      <c r="L166" s="1"/>
      <c r="V166" s="1"/>
      <c r="W166" s="1"/>
      <c r="X166" s="1"/>
      <c r="Y166" s="1"/>
      <c r="Z166" s="1"/>
      <c r="AA166" s="1"/>
      <c r="AB166" s="1"/>
    </row>
    <row r="167" spans="8:28" ht="11.25" customHeight="1" x14ac:dyDescent="0.25">
      <c r="H167"/>
      <c r="I167"/>
      <c r="J167"/>
      <c r="K167" s="1"/>
      <c r="L167" s="1"/>
      <c r="V167" s="1"/>
      <c r="W167" s="1"/>
      <c r="X167" s="1"/>
      <c r="Y167" s="1"/>
      <c r="Z167" s="1"/>
      <c r="AA167" s="1"/>
      <c r="AB167" s="1"/>
    </row>
    <row r="168" spans="8:28" ht="11.25" customHeight="1" x14ac:dyDescent="0.25">
      <c r="H168"/>
      <c r="I168"/>
      <c r="J168"/>
      <c r="K168" s="1"/>
      <c r="L168" s="1"/>
      <c r="V168" s="1"/>
      <c r="W168" s="1"/>
      <c r="X168" s="1"/>
      <c r="Y168" s="1"/>
      <c r="Z168" s="1"/>
      <c r="AA168" s="1"/>
      <c r="AB168" s="1"/>
    </row>
    <row r="169" spans="8:28" s="113" customFormat="1" ht="11.25" customHeight="1" x14ac:dyDescent="0.25">
      <c r="H169" s="203"/>
      <c r="I169" s="203"/>
      <c r="J169" s="203"/>
    </row>
    <row r="170" spans="8:28" ht="11.25" customHeight="1" x14ac:dyDescent="0.25">
      <c r="H170"/>
      <c r="I170"/>
      <c r="J170"/>
      <c r="K170" s="1"/>
      <c r="L170" s="1"/>
      <c r="V170" s="1"/>
      <c r="W170" s="1"/>
      <c r="X170" s="1"/>
      <c r="Y170" s="1"/>
      <c r="Z170" s="1"/>
      <c r="AA170" s="1"/>
      <c r="AB170" s="1"/>
    </row>
    <row r="171" spans="8:28" ht="11.25" customHeight="1" x14ac:dyDescent="0.25">
      <c r="H171"/>
      <c r="I171"/>
      <c r="J171"/>
      <c r="K171" s="1"/>
      <c r="L171" s="1"/>
      <c r="V171" s="1"/>
      <c r="W171" s="1"/>
      <c r="X171" s="1"/>
      <c r="Y171" s="1"/>
      <c r="Z171" s="1"/>
      <c r="AA171" s="1"/>
      <c r="AB171" s="1"/>
    </row>
    <row r="172" spans="8:28" ht="11.25" customHeight="1" x14ac:dyDescent="0.25">
      <c r="H172"/>
      <c r="I172"/>
      <c r="J172"/>
      <c r="K172" s="1"/>
      <c r="L172" s="1"/>
      <c r="V172" s="1"/>
      <c r="W172" s="1"/>
      <c r="X172" s="1"/>
      <c r="Y172" s="1"/>
      <c r="Z172" s="1"/>
      <c r="AA172" s="1"/>
      <c r="AB172" s="1"/>
    </row>
    <row r="173" spans="8:28" ht="11.25" customHeight="1" x14ac:dyDescent="0.25">
      <c r="H173"/>
      <c r="I173"/>
      <c r="J173"/>
      <c r="K173" s="1"/>
      <c r="L173" s="1"/>
      <c r="V173" s="1"/>
      <c r="W173" s="1"/>
      <c r="X173" s="1"/>
      <c r="Y173" s="1"/>
      <c r="Z173" s="1"/>
      <c r="AA173" s="1"/>
      <c r="AB173" s="1"/>
    </row>
    <row r="174" spans="8:28" ht="11.25" customHeight="1" x14ac:dyDescent="0.25">
      <c r="H174"/>
      <c r="I174"/>
      <c r="J174"/>
      <c r="K174" s="1"/>
      <c r="L174" s="1"/>
      <c r="V174" s="1"/>
      <c r="W174" s="1"/>
      <c r="X174" s="1"/>
      <c r="Y174" s="1"/>
      <c r="Z174" s="1"/>
      <c r="AA174" s="1"/>
      <c r="AB174" s="1"/>
    </row>
    <row r="175" spans="8:28" ht="11.25" customHeight="1" x14ac:dyDescent="0.25">
      <c r="H175"/>
      <c r="I175"/>
      <c r="J175"/>
      <c r="K175" s="1"/>
      <c r="L175" s="1"/>
      <c r="V175" s="1"/>
      <c r="W175" s="1"/>
      <c r="X175" s="1"/>
      <c r="Y175" s="1"/>
      <c r="Z175" s="1"/>
      <c r="AA175" s="1"/>
      <c r="AB175" s="1"/>
    </row>
    <row r="176" spans="8:28" ht="11.25" customHeight="1" x14ac:dyDescent="0.25">
      <c r="H176"/>
      <c r="I176"/>
      <c r="J176"/>
      <c r="K176" s="1"/>
      <c r="L176" s="1"/>
      <c r="V176" s="1"/>
      <c r="W176" s="1"/>
      <c r="X176" s="1"/>
      <c r="Y176" s="1"/>
      <c r="Z176" s="1"/>
      <c r="AA176" s="1"/>
      <c r="AB176" s="1"/>
    </row>
    <row r="177" spans="8:28" ht="11.25" customHeight="1" x14ac:dyDescent="0.25">
      <c r="H177"/>
      <c r="I177"/>
      <c r="J177"/>
      <c r="K177" s="1"/>
      <c r="L177" s="1"/>
      <c r="V177" s="1"/>
      <c r="W177" s="1"/>
      <c r="X177" s="1"/>
      <c r="Y177" s="1"/>
      <c r="Z177" s="1"/>
      <c r="AA177" s="1"/>
      <c r="AB177" s="1"/>
    </row>
    <row r="178" spans="8:28" ht="11.25" customHeight="1" x14ac:dyDescent="0.25">
      <c r="H178"/>
      <c r="I178"/>
      <c r="J178"/>
      <c r="K178" s="1"/>
      <c r="L178" s="1"/>
      <c r="V178" s="1"/>
      <c r="W178" s="1"/>
      <c r="X178" s="1"/>
      <c r="Y178" s="1"/>
      <c r="Z178" s="1"/>
      <c r="AA178" s="1"/>
      <c r="AB178" s="1"/>
    </row>
    <row r="179" spans="8:28" ht="11.25" customHeight="1" x14ac:dyDescent="0.25">
      <c r="H179"/>
      <c r="I179"/>
      <c r="J179"/>
      <c r="K179" s="1"/>
      <c r="L179" s="1"/>
      <c r="V179" s="1"/>
      <c r="W179" s="1"/>
      <c r="X179" s="1"/>
      <c r="Y179" s="1"/>
      <c r="Z179" s="1"/>
      <c r="AA179" s="1"/>
      <c r="AB179" s="1"/>
    </row>
    <row r="180" spans="8:28" ht="11.25" customHeight="1" x14ac:dyDescent="0.25">
      <c r="H180"/>
      <c r="I180"/>
      <c r="J180"/>
      <c r="K180" s="1"/>
      <c r="L180" s="1"/>
      <c r="V180" s="1"/>
      <c r="W180" s="1"/>
      <c r="X180" s="1"/>
      <c r="Y180" s="1"/>
      <c r="Z180" s="1"/>
      <c r="AA180" s="1"/>
      <c r="AB180" s="1"/>
    </row>
    <row r="181" spans="8:28" ht="11.25" customHeight="1" x14ac:dyDescent="0.25">
      <c r="H181"/>
      <c r="I181"/>
      <c r="J181"/>
      <c r="K181" s="1"/>
      <c r="L181" s="1"/>
      <c r="V181" s="1"/>
      <c r="W181" s="1"/>
      <c r="X181" s="1"/>
      <c r="Y181" s="1"/>
      <c r="Z181" s="1"/>
      <c r="AA181" s="1"/>
      <c r="AB181" s="1"/>
    </row>
    <row r="182" spans="8:28" ht="11.25" customHeight="1" x14ac:dyDescent="0.25">
      <c r="J182"/>
      <c r="K182"/>
      <c r="L182"/>
      <c r="M182"/>
      <c r="N182"/>
      <c r="O182"/>
      <c r="P182"/>
      <c r="V182" s="1"/>
      <c r="W182" s="1"/>
      <c r="X182" s="1"/>
      <c r="Y182" s="1"/>
      <c r="Z182" s="1"/>
      <c r="AA182" s="1"/>
      <c r="AB182" s="1"/>
    </row>
    <row r="183" spans="8:28" ht="11.25" customHeight="1" x14ac:dyDescent="0.25">
      <c r="J183" s="1"/>
      <c r="K183" s="1"/>
      <c r="L183" s="1"/>
      <c r="P183"/>
      <c r="Q183"/>
      <c r="R183"/>
      <c r="S183"/>
      <c r="T183"/>
      <c r="U183"/>
      <c r="W183" s="1"/>
      <c r="X183" s="1"/>
      <c r="Y183" s="1"/>
      <c r="Z183" s="1"/>
      <c r="AA183" s="1"/>
      <c r="AB183" s="1"/>
    </row>
    <row r="184" spans="8:28" ht="11.25" customHeight="1" x14ac:dyDescent="0.25">
      <c r="J184" s="1"/>
      <c r="K184" s="1"/>
      <c r="L184" s="1"/>
      <c r="P184"/>
      <c r="Q184"/>
      <c r="R184"/>
      <c r="S184"/>
      <c r="T184"/>
      <c r="U184"/>
      <c r="W184" s="1"/>
      <c r="X184" s="1"/>
      <c r="Y184" s="1"/>
      <c r="Z184" s="1"/>
      <c r="AA184" s="1"/>
      <c r="AB184" s="1"/>
    </row>
    <row r="185" spans="8:28" ht="11.25" customHeight="1" x14ac:dyDescent="0.25">
      <c r="J185" s="1"/>
      <c r="K185" s="1"/>
      <c r="L185" s="1"/>
      <c r="P185"/>
      <c r="Q185"/>
      <c r="R185"/>
      <c r="S185"/>
      <c r="T185"/>
      <c r="U185"/>
      <c r="W185" s="1"/>
      <c r="X185" s="1"/>
      <c r="Y185" s="1"/>
      <c r="Z185" s="1"/>
      <c r="AA185" s="1"/>
      <c r="AB185" s="1"/>
    </row>
    <row r="186" spans="8:28" ht="11.25" customHeight="1" x14ac:dyDescent="0.25">
      <c r="J186" s="1"/>
      <c r="K186" s="1"/>
      <c r="L186" s="1"/>
      <c r="P186"/>
      <c r="Q186"/>
      <c r="R186"/>
      <c r="S186"/>
      <c r="T186"/>
      <c r="U186"/>
      <c r="W186" s="1"/>
      <c r="X186" s="1"/>
      <c r="Y186" s="1"/>
      <c r="Z186" s="1"/>
      <c r="AA186" s="1"/>
      <c r="AB186" s="1"/>
    </row>
    <row r="187" spans="8:28" ht="11.25" customHeight="1" x14ac:dyDescent="0.25">
      <c r="J187" s="1"/>
      <c r="K187" s="1"/>
      <c r="L187" s="1"/>
      <c r="P187"/>
      <c r="Q187"/>
      <c r="R187"/>
      <c r="S187"/>
      <c r="T187"/>
      <c r="U187"/>
      <c r="W187" s="1"/>
      <c r="X187" s="1"/>
      <c r="Y187" s="1"/>
      <c r="Z187" s="1"/>
      <c r="AA187" s="1"/>
      <c r="AB187" s="1"/>
    </row>
    <row r="188" spans="8:28" ht="11.25" customHeight="1" x14ac:dyDescent="0.25">
      <c r="J188" s="1"/>
      <c r="K188" s="1"/>
      <c r="L188" s="1"/>
      <c r="P188"/>
      <c r="Q188"/>
      <c r="R188"/>
      <c r="S188"/>
      <c r="T188"/>
      <c r="U188"/>
      <c r="W188" s="1"/>
      <c r="X188" s="1"/>
      <c r="Y188" s="1"/>
      <c r="Z188" s="1"/>
      <c r="AA188" s="1"/>
      <c r="AB188" s="1"/>
    </row>
    <row r="189" spans="8:28" ht="11.25" customHeight="1" x14ac:dyDescent="0.25">
      <c r="J189" s="1"/>
      <c r="K189" s="1"/>
      <c r="L189" s="1"/>
      <c r="P189"/>
      <c r="Q189"/>
      <c r="R189"/>
      <c r="S189"/>
      <c r="T189"/>
      <c r="U189"/>
      <c r="W189" s="1"/>
      <c r="X189" s="1"/>
      <c r="Y189" s="1"/>
      <c r="Z189" s="1"/>
      <c r="AA189" s="1"/>
      <c r="AB189" s="1"/>
    </row>
    <row r="190" spans="8:28" ht="11.25" customHeight="1" x14ac:dyDescent="0.25">
      <c r="J190" s="1"/>
      <c r="K190" s="1"/>
      <c r="L190" s="1"/>
      <c r="P190"/>
      <c r="Q190"/>
      <c r="R190"/>
      <c r="S190"/>
      <c r="T190"/>
      <c r="U190"/>
      <c r="W190" s="1"/>
      <c r="X190" s="1"/>
      <c r="Y190" s="1"/>
      <c r="Z190" s="1"/>
      <c r="AA190" s="1"/>
      <c r="AB190" s="1"/>
    </row>
    <row r="191" spans="8:28" ht="11.25" customHeight="1" x14ac:dyDescent="0.25">
      <c r="J191" s="1"/>
      <c r="K191" s="1"/>
      <c r="L191" s="1"/>
      <c r="P191"/>
      <c r="Q191"/>
      <c r="R191"/>
      <c r="S191"/>
      <c r="T191"/>
      <c r="U191"/>
      <c r="W191" s="1"/>
      <c r="X191" s="1"/>
      <c r="Y191" s="1"/>
      <c r="Z191" s="1"/>
      <c r="AA191" s="1"/>
      <c r="AB191" s="1"/>
    </row>
    <row r="192" spans="8:28" ht="11.25" customHeight="1" x14ac:dyDescent="0.25">
      <c r="J192" s="1"/>
      <c r="K192" s="1"/>
      <c r="L192" s="1"/>
      <c r="P192"/>
      <c r="Q192"/>
      <c r="R192"/>
      <c r="S192"/>
      <c r="T192"/>
      <c r="U192"/>
      <c r="W192" s="1"/>
      <c r="X192" s="1"/>
      <c r="Y192" s="1"/>
      <c r="Z192" s="1"/>
      <c r="AA192" s="1"/>
      <c r="AB192" s="1"/>
    </row>
    <row r="193" spans="16:22" s="1" customFormat="1" ht="11.25" customHeight="1" x14ac:dyDescent="0.25">
      <c r="P193"/>
      <c r="Q193"/>
      <c r="R193"/>
      <c r="S193"/>
      <c r="T193"/>
      <c r="U193"/>
      <c r="V193"/>
    </row>
    <row r="194" spans="16:22" s="1" customFormat="1" ht="11.25" customHeight="1" x14ac:dyDescent="0.25">
      <c r="P194"/>
      <c r="Q194"/>
      <c r="R194"/>
      <c r="S194"/>
      <c r="T194"/>
      <c r="U194"/>
      <c r="V194"/>
    </row>
    <row r="195" spans="16:22" s="1" customFormat="1" ht="11.25" customHeight="1" x14ac:dyDescent="0.25">
      <c r="P195"/>
      <c r="Q195"/>
      <c r="R195"/>
      <c r="S195"/>
      <c r="T195"/>
      <c r="U195"/>
      <c r="V195"/>
    </row>
    <row r="196" spans="16:22" s="1" customFormat="1" ht="11.25" customHeight="1" x14ac:dyDescent="0.25">
      <c r="P196"/>
      <c r="Q196"/>
      <c r="R196"/>
      <c r="S196"/>
      <c r="T196"/>
      <c r="U196"/>
      <c r="V196"/>
    </row>
    <row r="197" spans="16:22" s="1" customFormat="1" ht="11.25" customHeight="1" x14ac:dyDescent="0.25">
      <c r="P197"/>
      <c r="Q197"/>
      <c r="R197"/>
      <c r="S197"/>
      <c r="T197"/>
      <c r="U197"/>
      <c r="V197"/>
    </row>
    <row r="198" spans="16:22" s="1" customFormat="1" ht="11.25" customHeight="1" x14ac:dyDescent="0.25">
      <c r="P198"/>
      <c r="Q198"/>
      <c r="R198"/>
      <c r="S198"/>
      <c r="T198"/>
      <c r="U198"/>
      <c r="V198"/>
    </row>
    <row r="199" spans="16:22" s="1" customFormat="1" ht="11.25" customHeight="1" x14ac:dyDescent="0.25">
      <c r="P199"/>
      <c r="Q199"/>
      <c r="R199"/>
      <c r="S199"/>
      <c r="T199"/>
      <c r="U199"/>
      <c r="V199"/>
    </row>
    <row r="200" spans="16:22" s="1" customFormat="1" ht="11.25" customHeight="1" x14ac:dyDescent="0.25">
      <c r="P200"/>
      <c r="Q200"/>
      <c r="R200"/>
      <c r="S200"/>
      <c r="T200"/>
      <c r="U200"/>
      <c r="V200"/>
    </row>
    <row r="201" spans="16:22" s="1" customFormat="1" ht="11.25" customHeight="1" x14ac:dyDescent="0.25">
      <c r="P201"/>
      <c r="Q201"/>
      <c r="R201"/>
      <c r="S201"/>
      <c r="T201"/>
      <c r="U201"/>
      <c r="V201"/>
    </row>
    <row r="202" spans="16:22" s="1" customFormat="1" ht="11.25" customHeight="1" x14ac:dyDescent="0.25">
      <c r="P202"/>
      <c r="Q202"/>
      <c r="R202"/>
      <c r="S202"/>
      <c r="T202"/>
      <c r="U202"/>
      <c r="V202"/>
    </row>
    <row r="203" spans="16:22" s="1" customFormat="1" ht="11.25" customHeight="1" x14ac:dyDescent="0.25">
      <c r="P203"/>
      <c r="Q203"/>
      <c r="R203"/>
      <c r="S203"/>
      <c r="T203"/>
      <c r="U203"/>
      <c r="V203"/>
    </row>
    <row r="204" spans="16:22" s="1" customFormat="1" ht="11.25" customHeight="1" x14ac:dyDescent="0.25">
      <c r="P204"/>
      <c r="Q204"/>
      <c r="R204"/>
      <c r="S204"/>
      <c r="T204"/>
      <c r="U204"/>
      <c r="V204"/>
    </row>
    <row r="205" spans="16:22" s="1" customFormat="1" ht="11.25" customHeight="1" x14ac:dyDescent="0.25">
      <c r="P205"/>
      <c r="Q205"/>
      <c r="R205"/>
      <c r="S205"/>
      <c r="T205"/>
      <c r="U205"/>
      <c r="V205"/>
    </row>
    <row r="206" spans="16:22" s="1" customFormat="1" ht="11.25" customHeight="1" x14ac:dyDescent="0.25">
      <c r="P206"/>
      <c r="Q206"/>
      <c r="R206"/>
      <c r="S206"/>
      <c r="T206"/>
      <c r="U206"/>
      <c r="V206"/>
    </row>
    <row r="207" spans="16:22" s="1" customFormat="1" ht="11.25" customHeight="1" x14ac:dyDescent="0.25">
      <c r="P207"/>
      <c r="Q207"/>
      <c r="R207"/>
      <c r="S207"/>
      <c r="T207"/>
      <c r="U207"/>
      <c r="V207"/>
    </row>
  </sheetData>
  <sortState xmlns:xlrd2="http://schemas.microsoft.com/office/spreadsheetml/2017/richdata2" ref="A86:AB95">
    <sortCondition ref="B86:B95"/>
  </sortState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B206"/>
  <sheetViews>
    <sheetView topLeftCell="A49" zoomScaleNormal="100" workbookViewId="0">
      <selection activeCell="P84" sqref="P84:T84"/>
    </sheetView>
  </sheetViews>
  <sheetFormatPr defaultColWidth="9.140625" defaultRowHeight="11.25" customHeight="1" x14ac:dyDescent="0.25"/>
  <cols>
    <col min="1" max="1" width="12" style="1" customWidth="1"/>
    <col min="2" max="2" width="25.28515625" style="1" customWidth="1"/>
    <col min="3" max="3" width="10.85546875" style="1" customWidth="1"/>
    <col min="4" max="4" width="8.28515625" style="1" customWidth="1"/>
    <col min="5" max="5" width="14" style="1" customWidth="1"/>
    <col min="6" max="6" width="10.7109375" style="1" customWidth="1"/>
    <col min="7" max="7" width="11.42578125" style="1" customWidth="1"/>
    <col min="8" max="8" width="9" style="1" customWidth="1"/>
    <col min="9" max="9" width="9.5703125" style="1" customWidth="1"/>
    <col min="10" max="10" width="11.42578125" style="5" customWidth="1"/>
    <col min="11" max="12" width="9.42578125" style="5" customWidth="1"/>
    <col min="13" max="14" width="10" style="1" customWidth="1"/>
    <col min="15" max="15" width="13" style="1" customWidth="1"/>
    <col min="16" max="16" width="9.140625" style="1"/>
    <col min="17" max="17" width="9.5703125" style="1" customWidth="1"/>
    <col min="18" max="18" width="9.140625" style="1"/>
    <col min="19" max="19" width="9.5703125" style="1" customWidth="1"/>
    <col min="20" max="21" width="9.140625" style="1"/>
    <col min="26" max="26" width="8.85546875" customWidth="1"/>
    <col min="27" max="28" width="8.7109375" customWidth="1"/>
    <col min="29" max="16384" width="9.140625" style="1"/>
  </cols>
  <sheetData>
    <row r="2" spans="1:19" s="1" customFormat="1" ht="45" customHeight="1" x14ac:dyDescent="0.65">
      <c r="B2" s="2" t="s">
        <v>0</v>
      </c>
      <c r="C2" s="2"/>
      <c r="D2" s="2"/>
      <c r="E2" s="2"/>
      <c r="F2" s="2"/>
      <c r="G2" s="3"/>
      <c r="H2" s="3"/>
      <c r="I2" s="3"/>
      <c r="J2" s="4"/>
      <c r="K2" s="4"/>
      <c r="L2" s="5"/>
    </row>
    <row r="3" spans="1:19" s="1" customFormat="1" ht="11.25" customHeight="1" x14ac:dyDescent="0.2">
      <c r="B3" s="6" t="s">
        <v>1</v>
      </c>
      <c r="C3" s="6"/>
      <c r="D3" s="6"/>
      <c r="E3" s="6"/>
      <c r="F3" s="6"/>
      <c r="G3" s="7">
        <v>45198</v>
      </c>
      <c r="J3" s="5"/>
      <c r="K3" s="5"/>
      <c r="L3" s="5"/>
    </row>
    <row r="4" spans="1:19" s="1" customFormat="1" ht="11.25" customHeight="1" x14ac:dyDescent="0.2">
      <c r="B4" s="6" t="s">
        <v>2</v>
      </c>
      <c r="C4" s="6"/>
      <c r="D4" s="6"/>
      <c r="E4" s="6"/>
      <c r="F4" s="6"/>
      <c r="G4" s="1" t="s">
        <v>3</v>
      </c>
      <c r="J4" s="5"/>
      <c r="K4" s="5"/>
      <c r="L4" s="5"/>
    </row>
    <row r="5" spans="1:19" s="1" customFormat="1" ht="11.25" customHeight="1" x14ac:dyDescent="0.25">
      <c r="B5" s="6" t="s">
        <v>4</v>
      </c>
      <c r="C5" s="6"/>
      <c r="D5" s="6"/>
      <c r="E5" s="6"/>
      <c r="F5" s="6"/>
      <c r="G5" s="8" t="s">
        <v>619</v>
      </c>
      <c r="J5" s="5"/>
      <c r="K5" s="5"/>
      <c r="L5" s="5"/>
      <c r="M5" s="9"/>
      <c r="N5" s="9"/>
    </row>
    <row r="6" spans="1:19" s="1" customFormat="1" ht="11.25" customHeight="1" x14ac:dyDescent="0.2">
      <c r="B6" s="6" t="s">
        <v>5</v>
      </c>
      <c r="C6" s="6"/>
      <c r="D6" s="6"/>
      <c r="E6" s="6"/>
      <c r="F6" s="6"/>
      <c r="G6" s="1" t="s">
        <v>6</v>
      </c>
      <c r="J6" s="5"/>
      <c r="K6" s="5"/>
      <c r="L6" s="5"/>
      <c r="S6" s="10"/>
    </row>
    <row r="7" spans="1:19" s="1" customFormat="1" ht="11.25" customHeight="1" x14ac:dyDescent="0.2">
      <c r="B7" s="6" t="s">
        <v>7</v>
      </c>
      <c r="C7" s="6"/>
      <c r="D7" s="6"/>
      <c r="E7" s="6"/>
      <c r="F7" s="6"/>
      <c r="G7" s="6" t="s">
        <v>53</v>
      </c>
      <c r="J7" s="5"/>
      <c r="K7" s="5"/>
      <c r="L7" s="5"/>
    </row>
    <row r="8" spans="1:19" s="1" customFormat="1" ht="11.25" customHeight="1" x14ac:dyDescent="0.2">
      <c r="B8" s="6" t="s">
        <v>8</v>
      </c>
      <c r="C8" s="6"/>
      <c r="D8" s="6"/>
      <c r="E8" s="6"/>
      <c r="F8" s="6"/>
      <c r="G8" s="6" t="s">
        <v>9</v>
      </c>
      <c r="J8" s="5"/>
      <c r="K8" s="11"/>
      <c r="M8" s="12"/>
      <c r="N8" s="13"/>
    </row>
    <row r="9" spans="1:19" s="1" customFormat="1" ht="11.25" customHeight="1" x14ac:dyDescent="0.25">
      <c r="A9" s="14" t="s">
        <v>10</v>
      </c>
      <c r="B9" s="15"/>
      <c r="C9" s="16" t="s">
        <v>11</v>
      </c>
      <c r="D9" s="17"/>
      <c r="E9" s="16" t="s">
        <v>12</v>
      </c>
      <c r="F9" s="18"/>
      <c r="G9" s="14" t="s">
        <v>13</v>
      </c>
      <c r="H9" s="19" t="s">
        <v>14</v>
      </c>
      <c r="I9" s="20" t="s">
        <v>14</v>
      </c>
      <c r="J9" s="21" t="s">
        <v>14</v>
      </c>
      <c r="K9" s="22"/>
      <c r="M9" s="12"/>
      <c r="N9" s="13"/>
    </row>
    <row r="10" spans="1:19" s="1" customFormat="1" ht="11.25" customHeight="1" x14ac:dyDescent="0.25">
      <c r="A10" s="23"/>
      <c r="B10" s="24"/>
      <c r="C10" s="25" t="s">
        <v>14</v>
      </c>
      <c r="D10" s="26" t="s">
        <v>15</v>
      </c>
      <c r="E10" s="25" t="s">
        <v>14</v>
      </c>
      <c r="F10" s="27" t="s">
        <v>15</v>
      </c>
      <c r="G10" s="28" t="s">
        <v>16</v>
      </c>
      <c r="H10" s="28" t="s">
        <v>17</v>
      </c>
      <c r="I10" s="29" t="s">
        <v>18</v>
      </c>
      <c r="J10" s="30" t="s">
        <v>19</v>
      </c>
      <c r="K10" s="22"/>
      <c r="M10" s="12"/>
      <c r="N10" s="13"/>
    </row>
    <row r="11" spans="1:19" s="1" customFormat="1" ht="11.25" customHeight="1" x14ac:dyDescent="0.25">
      <c r="A11" s="31"/>
      <c r="B11" s="32" t="s">
        <v>20</v>
      </c>
      <c r="C11" s="33">
        <v>-26.6</v>
      </c>
      <c r="D11" s="34"/>
      <c r="E11" s="35">
        <v>-21.3</v>
      </c>
      <c r="F11" s="36"/>
      <c r="G11" s="37"/>
      <c r="H11" s="38">
        <v>72.53</v>
      </c>
      <c r="I11" s="38">
        <v>6.51</v>
      </c>
      <c r="J11" s="39">
        <f>H11/I11</f>
        <v>11.141321044546851</v>
      </c>
      <c r="K11" s="22"/>
      <c r="M11" s="12"/>
      <c r="N11" s="13"/>
    </row>
    <row r="12" spans="1:19" s="1" customFormat="1" ht="11.25" customHeight="1" x14ac:dyDescent="0.25">
      <c r="A12" s="40"/>
      <c r="B12" s="41" t="s">
        <v>21</v>
      </c>
      <c r="C12" s="42"/>
      <c r="D12" s="43"/>
      <c r="E12"/>
      <c r="F12" s="44"/>
      <c r="G12" s="37"/>
      <c r="H12" s="45">
        <v>20</v>
      </c>
      <c r="I12" s="45">
        <v>46.65</v>
      </c>
      <c r="J12" s="46">
        <f>H12/I12</f>
        <v>0.4287245444801715</v>
      </c>
      <c r="K12" s="5"/>
      <c r="L12" s="5"/>
    </row>
    <row r="13" spans="1:19" s="1" customFormat="1" ht="11.25" customHeight="1" x14ac:dyDescent="0.25">
      <c r="A13" s="40"/>
      <c r="B13" s="41">
        <v>2704</v>
      </c>
      <c r="C13" s="42"/>
      <c r="D13" s="43"/>
      <c r="E13"/>
      <c r="F13" s="44"/>
      <c r="G13" s="47"/>
      <c r="H13" s="45">
        <v>3.3479999999999999</v>
      </c>
      <c r="I13" s="45"/>
      <c r="J13" s="46"/>
      <c r="K13" s="5"/>
      <c r="L13" s="5"/>
    </row>
    <row r="14" spans="1:19" s="1" customFormat="1" ht="11.25" customHeight="1" x14ac:dyDescent="0.25">
      <c r="A14" s="40"/>
      <c r="B14" s="41" t="s">
        <v>22</v>
      </c>
      <c r="C14" s="42">
        <v>-25.95</v>
      </c>
      <c r="D14" s="48"/>
      <c r="E14" s="49">
        <v>2.08</v>
      </c>
      <c r="F14" s="50">
        <f>AVERAGE(E89:E93,E94:E96)</f>
        <v>3.2446456837995905</v>
      </c>
      <c r="G14" s="47"/>
      <c r="H14" s="45">
        <v>44.65</v>
      </c>
      <c r="I14" s="45">
        <v>2.83</v>
      </c>
      <c r="J14" s="46">
        <f>H14/I14</f>
        <v>15.777385159010599</v>
      </c>
      <c r="K14" s="5"/>
      <c r="L14" s="5"/>
    </row>
    <row r="15" spans="1:19" s="1" customFormat="1" ht="11.25" customHeight="1" x14ac:dyDescent="0.25">
      <c r="A15" s="40"/>
      <c r="B15" s="41" t="s">
        <v>23</v>
      </c>
      <c r="C15" s="51">
        <v>-18.3</v>
      </c>
      <c r="D15" s="52">
        <f>AVERAGE(G39,G81)</f>
        <v>-13.625451692950246</v>
      </c>
      <c r="E15" s="49"/>
      <c r="F15" s="53"/>
      <c r="G15" s="54"/>
      <c r="H15" s="55"/>
      <c r="I15" s="55"/>
      <c r="J15" s="54"/>
      <c r="K15" s="5"/>
      <c r="L15" s="5"/>
    </row>
    <row r="16" spans="1:19" s="1" customFormat="1" ht="11.25" customHeight="1" x14ac:dyDescent="0.25">
      <c r="A16" s="40"/>
      <c r="B16" s="41" t="s">
        <v>24</v>
      </c>
      <c r="C16" s="42">
        <v>-25.49</v>
      </c>
      <c r="D16" s="52"/>
      <c r="E16" s="56"/>
      <c r="F16" s="57"/>
      <c r="G16" s="54"/>
      <c r="H16" s="55"/>
      <c r="I16" s="55"/>
      <c r="J16" s="54"/>
      <c r="K16" s="5"/>
      <c r="L16" s="5"/>
    </row>
    <row r="17" spans="1:20" s="1" customFormat="1" ht="11.25" customHeight="1" x14ac:dyDescent="0.25">
      <c r="A17" s="40"/>
      <c r="B17" s="41" t="s">
        <v>25</v>
      </c>
      <c r="C17" s="42">
        <v>-10.8</v>
      </c>
      <c r="D17" s="52">
        <f>AVERAGE(G38,G80)</f>
        <v>-6.0999107418069549</v>
      </c>
      <c r="E17" s="56"/>
      <c r="F17" s="57"/>
      <c r="G17" s="54"/>
      <c r="H17" s="55"/>
      <c r="I17" s="55"/>
      <c r="J17" s="54"/>
      <c r="K17" s="5"/>
      <c r="L17" s="5"/>
    </row>
    <row r="18" spans="1:20" s="1" customFormat="1" ht="11.25" customHeight="1" x14ac:dyDescent="0.25">
      <c r="A18" s="40"/>
      <c r="B18" s="41" t="s">
        <v>26</v>
      </c>
      <c r="C18" s="42">
        <v>-24.91</v>
      </c>
      <c r="D18" s="52">
        <f>AVERAGE(G79,G37)</f>
        <v>-20.177298995669766</v>
      </c>
      <c r="E18" s="56"/>
      <c r="F18" s="57"/>
      <c r="G18" s="54"/>
      <c r="H18" s="55"/>
      <c r="I18" s="55"/>
      <c r="J18" s="54"/>
      <c r="K18" s="5"/>
      <c r="L18" s="5"/>
    </row>
    <row r="19" spans="1:20" s="1" customFormat="1" ht="11.25" customHeight="1" x14ac:dyDescent="0.25">
      <c r="A19" s="40"/>
      <c r="B19" s="5" t="s">
        <v>27</v>
      </c>
      <c r="C19" s="42"/>
      <c r="D19" s="52"/>
      <c r="E19" s="58">
        <v>2.7</v>
      </c>
      <c r="F19" s="57"/>
      <c r="G19" s="54"/>
      <c r="H19" s="55"/>
      <c r="I19" s="55"/>
      <c r="J19" s="54"/>
      <c r="K19" s="5"/>
      <c r="L19" s="5"/>
    </row>
    <row r="20" spans="1:20" s="1" customFormat="1" ht="11.25" customHeight="1" x14ac:dyDescent="0.25">
      <c r="A20" s="40"/>
      <c r="B20" s="5" t="s">
        <v>28</v>
      </c>
      <c r="C20" s="42"/>
      <c r="D20" s="52"/>
      <c r="E20" s="58">
        <v>180</v>
      </c>
      <c r="F20" s="57"/>
      <c r="G20" s="54"/>
      <c r="H20" s="55"/>
      <c r="I20" s="55"/>
      <c r="J20" s="54"/>
      <c r="K20" s="5"/>
      <c r="L20" s="5"/>
    </row>
    <row r="21" spans="1:20" s="1" customFormat="1" ht="11.25" customHeight="1" x14ac:dyDescent="0.25">
      <c r="A21" s="40"/>
      <c r="B21" s="5" t="s">
        <v>29</v>
      </c>
      <c r="C21" s="42"/>
      <c r="D21" s="52"/>
      <c r="E21" s="58">
        <v>-1.8</v>
      </c>
      <c r="F21" s="57"/>
      <c r="G21" s="54"/>
      <c r="H21" s="55"/>
      <c r="I21" s="55"/>
      <c r="J21" s="54"/>
      <c r="K21" s="5"/>
      <c r="L21" s="5"/>
    </row>
    <row r="22" spans="1:20" s="1" customFormat="1" ht="11.25" customHeight="1" x14ac:dyDescent="0.25">
      <c r="A22" s="40"/>
      <c r="B22" s="41" t="s">
        <v>30</v>
      </c>
      <c r="C22" s="40"/>
      <c r="D22" s="59"/>
      <c r="E22" s="53">
        <v>0.4</v>
      </c>
      <c r="F22" s="50"/>
      <c r="G22" s="54"/>
      <c r="H22"/>
      <c r="I22"/>
      <c r="J22" s="54"/>
      <c r="K22" s="5"/>
      <c r="L22" s="5"/>
    </row>
    <row r="23" spans="1:20" s="1" customFormat="1" ht="11.25" customHeight="1" x14ac:dyDescent="0.25">
      <c r="A23" s="40"/>
      <c r="B23" s="41" t="s">
        <v>31</v>
      </c>
      <c r="C23" s="60"/>
      <c r="D23" s="59"/>
      <c r="E23" s="53">
        <v>20.3</v>
      </c>
      <c r="F23" s="50"/>
      <c r="G23" s="54"/>
      <c r="H23"/>
      <c r="I23"/>
      <c r="J23" s="54"/>
      <c r="K23" s="5"/>
      <c r="L23" s="5"/>
    </row>
    <row r="24" spans="1:20" s="1" customFormat="1" ht="11.25" customHeight="1" x14ac:dyDescent="0.25">
      <c r="A24" s="40"/>
      <c r="B24" s="41" t="s">
        <v>32</v>
      </c>
      <c r="C24" s="60"/>
      <c r="D24" s="52"/>
      <c r="E24" s="53">
        <v>4.7</v>
      </c>
      <c r="F24" s="50"/>
      <c r="G24" s="54"/>
      <c r="H24"/>
      <c r="I24"/>
      <c r="J24" s="54"/>
      <c r="K24" s="5"/>
      <c r="L24" s="5"/>
    </row>
    <row r="25" spans="1:20" customFormat="1" ht="11.25" customHeight="1" x14ac:dyDescent="0.25">
      <c r="A25" s="31"/>
      <c r="B25" s="61" t="s">
        <v>33</v>
      </c>
      <c r="C25" s="62"/>
      <c r="D25" s="61" t="s">
        <v>34</v>
      </c>
      <c r="E25" s="61"/>
      <c r="F25" s="62"/>
      <c r="G25" s="31"/>
      <c r="H25" s="62"/>
      <c r="I25" s="62"/>
      <c r="J25" s="63"/>
      <c r="K25" s="53"/>
      <c r="L25" s="53"/>
    </row>
    <row r="26" spans="1:20" customFormat="1" ht="11.25" customHeight="1" x14ac:dyDescent="0.25">
      <c r="A26" s="64" t="s">
        <v>35</v>
      </c>
      <c r="B26" s="53">
        <v>1.022</v>
      </c>
      <c r="C26" s="65" t="s">
        <v>52</v>
      </c>
      <c r="D26" s="53">
        <v>-4.6734999999999998</v>
      </c>
      <c r="E26" s="53"/>
      <c r="F26" s="53"/>
      <c r="G26" s="40"/>
      <c r="H26" s="53"/>
      <c r="I26" s="53"/>
      <c r="J26" s="66"/>
      <c r="K26" s="53"/>
      <c r="L26" s="53"/>
    </row>
    <row r="27" spans="1:20" customFormat="1" ht="11.25" customHeight="1" x14ac:dyDescent="0.25">
      <c r="A27" s="64" t="s">
        <v>37</v>
      </c>
      <c r="B27" s="53">
        <v>1</v>
      </c>
      <c r="C27" s="65"/>
      <c r="D27" s="67">
        <f>$E$14-$F$14</f>
        <v>-1.1646456837995904</v>
      </c>
      <c r="E27" s="53"/>
      <c r="F27" s="53"/>
      <c r="G27" s="40"/>
      <c r="H27" s="53"/>
      <c r="I27" s="53"/>
      <c r="J27" s="66"/>
      <c r="K27" s="53"/>
      <c r="L27" s="53"/>
    </row>
    <row r="28" spans="1:20" customFormat="1" ht="11.25" customHeight="1" x14ac:dyDescent="0.25">
      <c r="A28" s="68" t="s">
        <v>38</v>
      </c>
      <c r="B28" s="53">
        <v>5.4857999999999997E-2</v>
      </c>
      <c r="C28" s="65" t="s">
        <v>36</v>
      </c>
      <c r="D28" s="67">
        <v>0</v>
      </c>
      <c r="E28" s="49"/>
      <c r="F28" s="53"/>
      <c r="G28" s="40"/>
      <c r="H28" s="53"/>
      <c r="I28" s="53"/>
      <c r="J28" s="66"/>
      <c r="K28" s="53"/>
      <c r="L28" s="53"/>
    </row>
    <row r="29" spans="1:20" customFormat="1" ht="11.25" customHeight="1" x14ac:dyDescent="0.25">
      <c r="A29" s="68" t="s">
        <v>39</v>
      </c>
      <c r="B29" s="53">
        <v>2.2530000000000001E-2</v>
      </c>
      <c r="C29" s="49" t="s">
        <v>36</v>
      </c>
      <c r="D29" s="69">
        <v>0</v>
      </c>
      <c r="E29" s="69"/>
      <c r="F29" s="69"/>
      <c r="G29" s="70"/>
      <c r="H29" s="69"/>
      <c r="I29" s="69"/>
      <c r="J29" s="71"/>
      <c r="K29" s="53"/>
      <c r="L29" s="53"/>
      <c r="Q29" s="72"/>
    </row>
    <row r="30" spans="1:20" s="1" customFormat="1" ht="11.25" customHeight="1" x14ac:dyDescent="0.2">
      <c r="A30" s="73"/>
      <c r="B30" s="49"/>
      <c r="C30" s="49"/>
      <c r="D30" s="49"/>
      <c r="E30" s="49"/>
      <c r="F30" s="49"/>
      <c r="G30" s="74"/>
      <c r="H30" s="49"/>
      <c r="I30" s="56"/>
      <c r="J30" s="41"/>
      <c r="K30" s="5"/>
      <c r="L30" s="5"/>
    </row>
    <row r="31" spans="1:20" s="1" customFormat="1" ht="12" customHeight="1" x14ac:dyDescent="0.2">
      <c r="I31" s="3"/>
      <c r="J31" s="4"/>
    </row>
    <row r="32" spans="1:20" s="1" customFormat="1" ht="11.25" customHeight="1" x14ac:dyDescent="0.2">
      <c r="A32" s="75"/>
      <c r="B32" s="75" t="s">
        <v>40</v>
      </c>
      <c r="C32" s="75" t="s">
        <v>54</v>
      </c>
      <c r="D32" s="75" t="s">
        <v>80</v>
      </c>
      <c r="E32" s="75" t="s">
        <v>41</v>
      </c>
      <c r="F32" s="75" t="s">
        <v>81</v>
      </c>
      <c r="G32" s="99" t="s">
        <v>42</v>
      </c>
      <c r="H32" s="76" t="s">
        <v>43</v>
      </c>
      <c r="I32" s="77" t="s">
        <v>44</v>
      </c>
      <c r="J32" s="77" t="s">
        <v>45</v>
      </c>
      <c r="K32" s="77" t="s">
        <v>46</v>
      </c>
      <c r="L32" s="77" t="s">
        <v>47</v>
      </c>
      <c r="M32" s="178" t="s">
        <v>38</v>
      </c>
      <c r="N32" s="77" t="s">
        <v>38</v>
      </c>
      <c r="O32" s="77" t="s">
        <v>48</v>
      </c>
      <c r="P32" s="77" t="s">
        <v>49</v>
      </c>
      <c r="Q32" s="77" t="s">
        <v>39</v>
      </c>
      <c r="R32" s="77" t="s">
        <v>39</v>
      </c>
      <c r="S32" s="77" t="s">
        <v>50</v>
      </c>
      <c r="T32" s="77" t="s">
        <v>51</v>
      </c>
    </row>
    <row r="33" spans="1:20" s="90" customFormat="1" ht="11.25" customHeight="1" x14ac:dyDescent="0.2">
      <c r="A33" s="117">
        <v>30</v>
      </c>
      <c r="B33" s="117" t="s">
        <v>55</v>
      </c>
      <c r="C33" s="105">
        <v>0.97099999999999997</v>
      </c>
      <c r="D33" s="105">
        <v>1.1766516250000001</v>
      </c>
      <c r="E33" s="105">
        <v>4.3232640166910308</v>
      </c>
      <c r="F33" s="105">
        <v>7.7812425000000003</v>
      </c>
      <c r="G33" s="105">
        <v>-21.902719891811749</v>
      </c>
      <c r="H33" s="100">
        <f>$B$26*G33+$D$26</f>
        <v>-27.058079729431608</v>
      </c>
      <c r="I33" s="86">
        <f t="shared" ref="I33:I82" si="0">$B$27*E33+$D$27</f>
        <v>3.1586183328914403</v>
      </c>
      <c r="J33" s="87">
        <f t="shared" ref="J33:J82" si="1">(F33)/C33</f>
        <v>8.0136380020597322</v>
      </c>
      <c r="K33" s="87">
        <f>H$14</f>
        <v>44.65</v>
      </c>
      <c r="L33" s="87">
        <f>I$14</f>
        <v>2.83</v>
      </c>
      <c r="M33" s="87">
        <f t="shared" ref="M33:M82" si="2">C33*(K33/100)</f>
        <v>0.43355149999999998</v>
      </c>
      <c r="N33" s="179">
        <f t="shared" ref="N33:N82" si="3">F33*$B$28+$D$28</f>
        <v>0.42686340106499998</v>
      </c>
      <c r="O33" s="91">
        <f t="shared" ref="O33:O82" si="4">N33/C33*100</f>
        <v>43.961215351699281</v>
      </c>
      <c r="P33" s="87">
        <f t="shared" ref="P33:P82" si="5">D33/C33</f>
        <v>1.2117936405767251</v>
      </c>
      <c r="Q33" s="87">
        <f t="shared" ref="Q33:Q36" si="6">C33*(L33/100)</f>
        <v>2.7479300000000002E-2</v>
      </c>
      <c r="R33" s="179">
        <f t="shared" ref="R33:R82" si="7">D33*$B$29+$D$29</f>
        <v>2.6509961111250004E-2</v>
      </c>
      <c r="S33" s="89">
        <f t="shared" ref="S33:S82" si="8">R33/C33*100</f>
        <v>2.7301710722193619</v>
      </c>
      <c r="T33" s="86">
        <f t="shared" ref="T33:T82" si="9">N33/R33</f>
        <v>16.102000273544437</v>
      </c>
    </row>
    <row r="34" spans="1:20" s="90" customFormat="1" ht="11.25" customHeight="1" x14ac:dyDescent="0.2">
      <c r="A34" s="117">
        <v>31</v>
      </c>
      <c r="B34" s="117" t="s">
        <v>56</v>
      </c>
      <c r="C34" s="105">
        <v>0.77400000000000002</v>
      </c>
      <c r="D34" s="105">
        <v>0.94444075000000005</v>
      </c>
      <c r="E34" s="105">
        <v>2.6918521713794608</v>
      </c>
      <c r="F34" s="105">
        <v>6.2339444999999998</v>
      </c>
      <c r="G34" s="105">
        <v>-21.872016065781629</v>
      </c>
      <c r="H34" s="100">
        <f t="shared" ref="H34:H82" si="10">$B$26*G34+$D$26</f>
        <v>-27.026700419228828</v>
      </c>
      <c r="I34" s="86">
        <f t="shared" si="0"/>
        <v>1.5272064875798703</v>
      </c>
      <c r="J34" s="87">
        <f t="shared" si="1"/>
        <v>8.0541918604651155</v>
      </c>
      <c r="K34" s="87">
        <f t="shared" ref="K34:L36" si="11">H$14</f>
        <v>44.65</v>
      </c>
      <c r="L34" s="87">
        <f t="shared" si="11"/>
        <v>2.83</v>
      </c>
      <c r="M34" s="87">
        <f t="shared" si="2"/>
        <v>0.34559100000000004</v>
      </c>
      <c r="N34" s="179">
        <f t="shared" si="3"/>
        <v>0.34198172738099997</v>
      </c>
      <c r="O34" s="91">
        <f t="shared" si="4"/>
        <v>44.183685708139528</v>
      </c>
      <c r="P34" s="87">
        <f t="shared" si="5"/>
        <v>1.2202076873385013</v>
      </c>
      <c r="Q34" s="87">
        <f t="shared" si="6"/>
        <v>2.1904200000000002E-2</v>
      </c>
      <c r="R34" s="179">
        <f t="shared" si="7"/>
        <v>2.1278250097500003E-2</v>
      </c>
      <c r="S34" s="89">
        <f t="shared" si="8"/>
        <v>2.749127919573644</v>
      </c>
      <c r="T34" s="86">
        <f t="shared" si="9"/>
        <v>16.071891523691587</v>
      </c>
    </row>
    <row r="35" spans="1:20" s="90" customFormat="1" ht="11.25" customHeight="1" x14ac:dyDescent="0.2">
      <c r="A35" s="117">
        <v>32</v>
      </c>
      <c r="B35" s="117" t="s">
        <v>57</v>
      </c>
      <c r="C35" s="105">
        <v>1.194</v>
      </c>
      <c r="D35" s="105">
        <v>1.4920009999999999</v>
      </c>
      <c r="E35" s="105">
        <v>3.4200030925257696</v>
      </c>
      <c r="F35" s="105">
        <v>9.677937</v>
      </c>
      <c r="G35" s="105">
        <v>-21.978907884339854</v>
      </c>
      <c r="H35" s="100">
        <f t="shared" si="10"/>
        <v>-27.135943857795333</v>
      </c>
      <c r="I35" s="86">
        <f t="shared" si="0"/>
        <v>2.2553574087261792</v>
      </c>
      <c r="J35" s="87">
        <f t="shared" si="1"/>
        <v>8.1054748743718594</v>
      </c>
      <c r="K35" s="87">
        <f t="shared" si="11"/>
        <v>44.65</v>
      </c>
      <c r="L35" s="87">
        <f t="shared" si="11"/>
        <v>2.83</v>
      </c>
      <c r="M35" s="87">
        <f t="shared" si="2"/>
        <v>0.53312099999999996</v>
      </c>
      <c r="N35" s="179">
        <f t="shared" si="3"/>
        <v>0.53091226794599999</v>
      </c>
      <c r="O35" s="91">
        <f t="shared" si="4"/>
        <v>44.465014065829145</v>
      </c>
      <c r="P35" s="87">
        <f t="shared" si="5"/>
        <v>1.2495820770519264</v>
      </c>
      <c r="Q35" s="87">
        <f t="shared" si="6"/>
        <v>3.3790199999999999E-2</v>
      </c>
      <c r="R35" s="179">
        <f t="shared" si="7"/>
        <v>3.3614782529999998E-2</v>
      </c>
      <c r="S35" s="89">
        <f t="shared" si="8"/>
        <v>2.8153084195979896</v>
      </c>
      <c r="T35" s="86">
        <f t="shared" si="9"/>
        <v>15.794011681383918</v>
      </c>
    </row>
    <row r="36" spans="1:20" s="90" customFormat="1" ht="11.25" customHeight="1" x14ac:dyDescent="0.2">
      <c r="A36" s="117">
        <v>33</v>
      </c>
      <c r="B36" s="117" t="s">
        <v>58</v>
      </c>
      <c r="C36" s="105">
        <v>1.0309999999999999</v>
      </c>
      <c r="D36" s="105">
        <v>1.240726</v>
      </c>
      <c r="E36" s="105">
        <v>3.1580458244260257</v>
      </c>
      <c r="F36" s="105">
        <v>8.3017620000000001</v>
      </c>
      <c r="G36" s="105">
        <v>-21.829447692914414</v>
      </c>
      <c r="H36" s="100">
        <f t="shared" si="10"/>
        <v>-26.983195542158533</v>
      </c>
      <c r="I36" s="86">
        <f t="shared" si="0"/>
        <v>1.9934001406264352</v>
      </c>
      <c r="J36" s="87">
        <f t="shared" si="1"/>
        <v>8.0521454898157128</v>
      </c>
      <c r="K36" s="87">
        <f t="shared" si="11"/>
        <v>44.65</v>
      </c>
      <c r="L36" s="87">
        <f t="shared" si="11"/>
        <v>2.83</v>
      </c>
      <c r="M36" s="87">
        <f t="shared" si="2"/>
        <v>0.46034149999999996</v>
      </c>
      <c r="N36" s="179">
        <f t="shared" si="3"/>
        <v>0.45541805979599997</v>
      </c>
      <c r="O36" s="91">
        <f t="shared" si="4"/>
        <v>44.172459728031036</v>
      </c>
      <c r="P36" s="87">
        <f t="shared" si="5"/>
        <v>1.2034199806013579</v>
      </c>
      <c r="Q36" s="87">
        <f t="shared" si="6"/>
        <v>2.91773E-2</v>
      </c>
      <c r="R36" s="179">
        <f t="shared" si="7"/>
        <v>2.7953556780000003E-2</v>
      </c>
      <c r="S36" s="89">
        <f t="shared" si="8"/>
        <v>2.7113052162948597</v>
      </c>
      <c r="T36" s="86">
        <f t="shared" si="9"/>
        <v>16.291953949911626</v>
      </c>
    </row>
    <row r="37" spans="1:20" s="1" customFormat="1" ht="11.25" customHeight="1" x14ac:dyDescent="0.2">
      <c r="A37" s="83">
        <v>34</v>
      </c>
      <c r="B37" s="83" t="s">
        <v>60</v>
      </c>
      <c r="C37" s="84">
        <v>0.80300000000000005</v>
      </c>
      <c r="D37" s="84">
        <v>0.16868259375</v>
      </c>
      <c r="E37" s="84">
        <v>-7.8096566774374931</v>
      </c>
      <c r="F37" s="84">
        <v>5.9782694999999997</v>
      </c>
      <c r="G37" s="84">
        <v>-20.447858133680555</v>
      </c>
      <c r="H37" s="101">
        <f t="shared" si="10"/>
        <v>-25.571211012621529</v>
      </c>
      <c r="I37" s="78">
        <f t="shared" si="0"/>
        <v>-8.9743023612370827</v>
      </c>
      <c r="J37" s="79">
        <f t="shared" si="1"/>
        <v>7.4449184308841838</v>
      </c>
      <c r="K37" s="79"/>
      <c r="L37" s="79"/>
      <c r="M37" s="79">
        <f t="shared" si="2"/>
        <v>0</v>
      </c>
      <c r="N37" s="180">
        <f t="shared" si="3"/>
        <v>0.32795590823099996</v>
      </c>
      <c r="O37" s="81">
        <f t="shared" si="4"/>
        <v>40.841333528144453</v>
      </c>
      <c r="P37" s="79">
        <f t="shared" si="5"/>
        <v>0.21006549657534246</v>
      </c>
      <c r="Q37" s="79"/>
      <c r="R37" s="180">
        <f t="shared" si="7"/>
        <v>3.8004188371875002E-3</v>
      </c>
      <c r="S37" s="82">
        <f t="shared" si="8"/>
        <v>0.47327756378424651</v>
      </c>
      <c r="T37" s="78">
        <f t="shared" si="9"/>
        <v>86.294674950538806</v>
      </c>
    </row>
    <row r="38" spans="1:20" s="1" customFormat="1" ht="11.25" customHeight="1" x14ac:dyDescent="0.2">
      <c r="A38" s="95">
        <v>35</v>
      </c>
      <c r="B38" s="95" t="s">
        <v>66</v>
      </c>
      <c r="C38" s="96">
        <v>0.68899999999999995</v>
      </c>
      <c r="D38" s="96">
        <v>0.169026453125</v>
      </c>
      <c r="E38" s="96">
        <v>-7.3327729689081078</v>
      </c>
      <c r="F38" s="96">
        <v>5.1201334999999997</v>
      </c>
      <c r="G38" s="96">
        <v>-6.2578380615781164</v>
      </c>
      <c r="H38" s="101">
        <f t="shared" si="10"/>
        <v>-11.069010498932835</v>
      </c>
      <c r="I38" s="78">
        <f t="shared" si="0"/>
        <v>-8.4974186527076974</v>
      </c>
      <c r="J38" s="79">
        <f t="shared" si="1"/>
        <v>7.4312532656023222</v>
      </c>
      <c r="K38" s="79"/>
      <c r="L38" s="79"/>
      <c r="M38" s="79">
        <f t="shared" si="2"/>
        <v>0</v>
      </c>
      <c r="N38" s="180">
        <f t="shared" si="3"/>
        <v>0.28088028354299999</v>
      </c>
      <c r="O38" s="81">
        <f t="shared" si="4"/>
        <v>40.766369164441215</v>
      </c>
      <c r="P38" s="79">
        <f t="shared" si="5"/>
        <v>0.24532141237300437</v>
      </c>
      <c r="Q38" s="79"/>
      <c r="R38" s="180">
        <f t="shared" si="7"/>
        <v>3.8081659889062504E-3</v>
      </c>
      <c r="S38" s="82">
        <f t="shared" si="8"/>
        <v>0.55270914207637889</v>
      </c>
      <c r="T38" s="78">
        <f t="shared" si="9"/>
        <v>73.757363613152819</v>
      </c>
    </row>
    <row r="39" spans="1:20" s="1" customFormat="1" ht="11.25" customHeight="1" x14ac:dyDescent="0.2">
      <c r="A39" s="83">
        <v>36</v>
      </c>
      <c r="B39" s="83" t="s">
        <v>65</v>
      </c>
      <c r="C39" s="84">
        <v>1.0740000000000001</v>
      </c>
      <c r="D39" s="84">
        <v>0.16981467187499999</v>
      </c>
      <c r="E39" s="84">
        <v>-6.795023272636258</v>
      </c>
      <c r="F39" s="84">
        <v>3.6059049999999999</v>
      </c>
      <c r="G39" s="84">
        <v>-13.814092207324929</v>
      </c>
      <c r="H39" s="101">
        <f t="shared" si="10"/>
        <v>-18.791502235886078</v>
      </c>
      <c r="I39" s="78">
        <f t="shared" si="0"/>
        <v>-7.9596689564358485</v>
      </c>
      <c r="J39" s="79">
        <f t="shared" si="1"/>
        <v>3.3574534450651767</v>
      </c>
      <c r="K39" s="79"/>
      <c r="L39" s="79"/>
      <c r="M39" s="79">
        <f t="shared" si="2"/>
        <v>0</v>
      </c>
      <c r="N39" s="180">
        <f t="shared" si="3"/>
        <v>0.19781273648999997</v>
      </c>
      <c r="O39" s="81">
        <f t="shared" si="4"/>
        <v>18.418318108938543</v>
      </c>
      <c r="P39" s="79">
        <f t="shared" si="5"/>
        <v>0.15811421962290501</v>
      </c>
      <c r="Q39" s="79"/>
      <c r="R39" s="180">
        <f t="shared" si="7"/>
        <v>3.8259245573437498E-3</v>
      </c>
      <c r="S39" s="82">
        <f t="shared" si="8"/>
        <v>0.35623133681040497</v>
      </c>
      <c r="T39" s="78">
        <f t="shared" si="9"/>
        <v>51.703250684936854</v>
      </c>
    </row>
    <row r="40" spans="1:20" s="90" customFormat="1" ht="11.25" customHeight="1" x14ac:dyDescent="0.2">
      <c r="A40" s="117">
        <v>37</v>
      </c>
      <c r="B40" s="117" t="s">
        <v>59</v>
      </c>
      <c r="C40" s="105">
        <v>0.93</v>
      </c>
      <c r="D40" s="105">
        <v>1.12672225</v>
      </c>
      <c r="E40" s="105">
        <v>3.2747606755281211</v>
      </c>
      <c r="F40" s="105">
        <v>7.5825459999999998</v>
      </c>
      <c r="G40" s="105">
        <v>-21.781291071865244</v>
      </c>
      <c r="H40" s="100">
        <f t="shared" si="10"/>
        <v>-26.933979475446279</v>
      </c>
      <c r="I40" s="86">
        <f t="shared" si="0"/>
        <v>2.1101149917285307</v>
      </c>
      <c r="J40" s="87">
        <f t="shared" si="1"/>
        <v>8.1532752688172039</v>
      </c>
      <c r="K40" s="87">
        <f t="shared" ref="K40" si="12">H$14</f>
        <v>44.65</v>
      </c>
      <c r="L40" s="87">
        <f t="shared" ref="L40" si="13">I$14</f>
        <v>2.83</v>
      </c>
      <c r="M40" s="87">
        <f t="shared" si="2"/>
        <v>0.41524500000000003</v>
      </c>
      <c r="N40" s="179">
        <f t="shared" si="3"/>
        <v>0.41596330846799995</v>
      </c>
      <c r="O40" s="91">
        <f t="shared" si="4"/>
        <v>44.727237469677412</v>
      </c>
      <c r="P40" s="87">
        <f t="shared" si="5"/>
        <v>1.2115293010752688</v>
      </c>
      <c r="Q40" s="87">
        <f t="shared" ref="Q40" si="14">C40*(L40/100)</f>
        <v>2.6319000000000002E-2</v>
      </c>
      <c r="R40" s="179">
        <f t="shared" si="7"/>
        <v>2.5385052292500002E-2</v>
      </c>
      <c r="S40" s="89">
        <f t="shared" si="8"/>
        <v>2.7295755153225807</v>
      </c>
      <c r="T40" s="86">
        <f t="shared" si="9"/>
        <v>16.386151333274821</v>
      </c>
    </row>
    <row r="41" spans="1:20" s="1" customFormat="1" ht="11.25" customHeight="1" x14ac:dyDescent="0.2">
      <c r="A41" s="83">
        <v>38</v>
      </c>
      <c r="B41" s="83" t="s">
        <v>587</v>
      </c>
      <c r="C41" s="84">
        <v>2.1789999999999998</v>
      </c>
      <c r="D41" s="84">
        <v>0.242269796875</v>
      </c>
      <c r="E41" s="84">
        <v>-2.7513070679423546</v>
      </c>
      <c r="F41" s="84">
        <v>0.75079668749999995</v>
      </c>
      <c r="G41" s="84">
        <v>-20.148666954107824</v>
      </c>
      <c r="H41" s="101">
        <f t="shared" si="10"/>
        <v>-25.265437627098198</v>
      </c>
      <c r="I41" s="78">
        <f t="shared" si="0"/>
        <v>-3.915952751741945</v>
      </c>
      <c r="J41" s="79">
        <f t="shared" si="1"/>
        <v>0.34456020536943555</v>
      </c>
      <c r="K41" s="79"/>
      <c r="L41" s="79"/>
      <c r="M41" s="79">
        <f t="shared" si="2"/>
        <v>0</v>
      </c>
      <c r="N41" s="180">
        <f t="shared" si="3"/>
        <v>4.1187204682874998E-2</v>
      </c>
      <c r="O41" s="81">
        <f t="shared" si="4"/>
        <v>1.8901883746156496</v>
      </c>
      <c r="P41" s="79">
        <f t="shared" si="5"/>
        <v>0.11118393615190456</v>
      </c>
      <c r="Q41" s="79"/>
      <c r="R41" s="180">
        <f t="shared" si="7"/>
        <v>5.45833852359375E-3</v>
      </c>
      <c r="S41" s="82">
        <f t="shared" si="8"/>
        <v>0.25049740815024096</v>
      </c>
      <c r="T41" s="78">
        <f t="shared" si="9"/>
        <v>7.5457402476674336</v>
      </c>
    </row>
    <row r="42" spans="1:20" s="1" customFormat="1" ht="11.25" customHeight="1" x14ac:dyDescent="0.2">
      <c r="A42" s="83">
        <v>39</v>
      </c>
      <c r="B42" s="83" t="s">
        <v>588</v>
      </c>
      <c r="C42" s="84">
        <v>2.37</v>
      </c>
      <c r="D42" s="84">
        <v>0.2486719375</v>
      </c>
      <c r="E42" s="84">
        <v>-2.6352293386806558</v>
      </c>
      <c r="F42" s="84">
        <v>0.81000174999999996</v>
      </c>
      <c r="G42" s="84">
        <v>-20.637977941271991</v>
      </c>
      <c r="H42" s="101">
        <f t="shared" si="10"/>
        <v>-25.765513455979978</v>
      </c>
      <c r="I42" s="78">
        <f t="shared" si="0"/>
        <v>-3.7998750224802462</v>
      </c>
      <c r="J42" s="79">
        <f t="shared" si="1"/>
        <v>0.34177289029535862</v>
      </c>
      <c r="K42" s="79"/>
      <c r="L42" s="79"/>
      <c r="M42" s="79">
        <f t="shared" si="2"/>
        <v>0</v>
      </c>
      <c r="N42" s="180">
        <f t="shared" si="3"/>
        <v>4.4435076001499998E-2</v>
      </c>
      <c r="O42" s="81">
        <f t="shared" si="4"/>
        <v>1.8748977215822784</v>
      </c>
      <c r="P42" s="79">
        <f t="shared" si="5"/>
        <v>0.10492486814345992</v>
      </c>
      <c r="Q42" s="79"/>
      <c r="R42" s="180">
        <f t="shared" si="7"/>
        <v>5.6025787518750002E-3</v>
      </c>
      <c r="S42" s="82">
        <f t="shared" si="8"/>
        <v>0.23639572792721517</v>
      </c>
      <c r="T42" s="78">
        <f t="shared" si="9"/>
        <v>7.9311827587660471</v>
      </c>
    </row>
    <row r="43" spans="1:20" s="1" customFormat="1" ht="11.25" customHeight="1" x14ac:dyDescent="0.2">
      <c r="A43" s="83">
        <v>40</v>
      </c>
      <c r="B43" s="83" t="s">
        <v>589</v>
      </c>
      <c r="C43" s="84">
        <v>1.8120000000000001</v>
      </c>
      <c r="D43" s="84">
        <v>0.212961796875</v>
      </c>
      <c r="E43" s="84">
        <v>-6.1756082929074196</v>
      </c>
      <c r="F43" s="84">
        <v>0.339910875</v>
      </c>
      <c r="G43" s="84">
        <v>-21.944513525863897</v>
      </c>
      <c r="H43" s="101">
        <f t="shared" si="10"/>
        <v>-27.100792823432904</v>
      </c>
      <c r="I43" s="78">
        <f t="shared" si="0"/>
        <v>-7.3402539767070101</v>
      </c>
      <c r="J43" s="79">
        <f t="shared" si="1"/>
        <v>0.18758878311258279</v>
      </c>
      <c r="K43" s="79"/>
      <c r="L43" s="79"/>
      <c r="M43" s="79">
        <f t="shared" si="2"/>
        <v>0</v>
      </c>
      <c r="N43" s="180">
        <f t="shared" si="3"/>
        <v>1.8646830780749999E-2</v>
      </c>
      <c r="O43" s="81">
        <f t="shared" si="4"/>
        <v>1.0290745463990065</v>
      </c>
      <c r="P43" s="79">
        <f t="shared" si="5"/>
        <v>0.1175285854718543</v>
      </c>
      <c r="Q43" s="79"/>
      <c r="R43" s="180">
        <f t="shared" si="7"/>
        <v>4.7980292835937506E-3</v>
      </c>
      <c r="S43" s="82">
        <f t="shared" si="8"/>
        <v>0.26479190306808781</v>
      </c>
      <c r="T43" s="78">
        <f t="shared" si="9"/>
        <v>3.8863520163393872</v>
      </c>
    </row>
    <row r="44" spans="1:20" s="1" customFormat="1" ht="11.25" customHeight="1" x14ac:dyDescent="0.2">
      <c r="A44" s="95">
        <v>41</v>
      </c>
      <c r="B44" s="95" t="s">
        <v>590</v>
      </c>
      <c r="C44" s="96">
        <v>2.0249999999999999</v>
      </c>
      <c r="D44" s="96">
        <v>0.41826865624999998</v>
      </c>
      <c r="E44" s="96">
        <v>0.41754132771498753</v>
      </c>
      <c r="F44" s="96">
        <v>2.1350577500000001</v>
      </c>
      <c r="G44" s="96">
        <v>-21.030640039162801</v>
      </c>
      <c r="H44" s="101">
        <f t="shared" si="10"/>
        <v>-26.166814120024384</v>
      </c>
      <c r="I44" s="78">
        <f t="shared" si="0"/>
        <v>-0.74710435608460291</v>
      </c>
      <c r="J44" s="79">
        <f t="shared" si="1"/>
        <v>1.0543495061728396</v>
      </c>
      <c r="K44" s="79"/>
      <c r="L44" s="79"/>
      <c r="M44" s="79">
        <f t="shared" si="2"/>
        <v>0</v>
      </c>
      <c r="N44" s="180">
        <f t="shared" si="3"/>
        <v>0.1171249980495</v>
      </c>
      <c r="O44" s="81">
        <f t="shared" si="4"/>
        <v>5.7839505209629634</v>
      </c>
      <c r="P44" s="79">
        <f t="shared" si="5"/>
        <v>0.20655242283950617</v>
      </c>
      <c r="Q44" s="79"/>
      <c r="R44" s="180">
        <f t="shared" si="7"/>
        <v>9.4235928253125004E-3</v>
      </c>
      <c r="S44" s="82">
        <f t="shared" si="8"/>
        <v>0.46536260865740742</v>
      </c>
      <c r="T44" s="78">
        <f t="shared" si="9"/>
        <v>12.428911161663647</v>
      </c>
    </row>
    <row r="45" spans="1:20" s="1" customFormat="1" ht="11.25" customHeight="1" x14ac:dyDescent="0.2">
      <c r="A45" s="83">
        <v>42</v>
      </c>
      <c r="B45" s="83" t="s">
        <v>591</v>
      </c>
      <c r="C45" s="84">
        <v>1.8480000000000001</v>
      </c>
      <c r="D45" s="84">
        <v>0.40576709374999997</v>
      </c>
      <c r="E45" s="84">
        <v>-2.6527551699996321</v>
      </c>
      <c r="F45" s="84">
        <v>1.2952831250000001</v>
      </c>
      <c r="G45" s="84">
        <v>-20.750875833374486</v>
      </c>
      <c r="H45" s="101">
        <f t="shared" si="10"/>
        <v>-25.880895101708727</v>
      </c>
      <c r="I45" s="78">
        <f t="shared" si="0"/>
        <v>-3.8174008537992226</v>
      </c>
      <c r="J45" s="79">
        <f t="shared" si="1"/>
        <v>0.70091078192640699</v>
      </c>
      <c r="K45" s="79"/>
      <c r="L45" s="79"/>
      <c r="M45" s="79">
        <f t="shared" si="2"/>
        <v>0</v>
      </c>
      <c r="N45" s="180">
        <f t="shared" si="3"/>
        <v>7.1056641671250004E-2</v>
      </c>
      <c r="O45" s="81">
        <f t="shared" si="4"/>
        <v>3.8450563674918827</v>
      </c>
      <c r="P45" s="79">
        <f t="shared" si="5"/>
        <v>0.21957093817640691</v>
      </c>
      <c r="Q45" s="79"/>
      <c r="R45" s="180">
        <f t="shared" si="7"/>
        <v>9.1419326221874996E-3</v>
      </c>
      <c r="S45" s="82">
        <f t="shared" si="8"/>
        <v>0.49469332371144475</v>
      </c>
      <c r="T45" s="78">
        <f t="shared" si="9"/>
        <v>7.7726061444376988</v>
      </c>
    </row>
    <row r="46" spans="1:20" s="1" customFormat="1" ht="11.25" customHeight="1" x14ac:dyDescent="0.2">
      <c r="A46" s="95">
        <v>43</v>
      </c>
      <c r="B46" s="95" t="s">
        <v>592</v>
      </c>
      <c r="C46" s="96">
        <v>2.1760000000000002</v>
      </c>
      <c r="D46" s="96">
        <v>0.50335003125</v>
      </c>
      <c r="E46" s="96">
        <v>-1.050596132526338</v>
      </c>
      <c r="F46" s="96">
        <v>1.2165431250000001</v>
      </c>
      <c r="G46" s="96">
        <v>-20.795539561033781</v>
      </c>
      <c r="H46" s="101">
        <f t="shared" si="10"/>
        <v>-25.926541431376524</v>
      </c>
      <c r="I46" s="78">
        <f t="shared" si="0"/>
        <v>-2.2152418163259284</v>
      </c>
      <c r="J46" s="79">
        <f t="shared" si="1"/>
        <v>0.55907312729779413</v>
      </c>
      <c r="K46" s="79"/>
      <c r="L46" s="79"/>
      <c r="M46" s="79">
        <f t="shared" si="2"/>
        <v>0</v>
      </c>
      <c r="N46" s="180">
        <f t="shared" si="3"/>
        <v>6.6737122751250003E-2</v>
      </c>
      <c r="O46" s="81">
        <f t="shared" si="4"/>
        <v>3.066963361730239</v>
      </c>
      <c r="P46" s="79">
        <f t="shared" si="5"/>
        <v>0.23131894818474263</v>
      </c>
      <c r="Q46" s="79"/>
      <c r="R46" s="180">
        <f t="shared" si="7"/>
        <v>1.13404762040625E-2</v>
      </c>
      <c r="S46" s="82">
        <f t="shared" si="8"/>
        <v>0.52116159026022513</v>
      </c>
      <c r="T46" s="78">
        <f t="shared" si="9"/>
        <v>5.8848607016469696</v>
      </c>
    </row>
    <row r="47" spans="1:20" s="1" customFormat="1" ht="11.25" customHeight="1" x14ac:dyDescent="0.2">
      <c r="A47" s="83">
        <v>44</v>
      </c>
      <c r="B47" s="83" t="s">
        <v>593</v>
      </c>
      <c r="C47" s="84">
        <v>2.2109999999999999</v>
      </c>
      <c r="D47" s="84">
        <v>0.63605962500000002</v>
      </c>
      <c r="E47" s="84">
        <v>-0.99662411920664606</v>
      </c>
      <c r="F47" s="84">
        <v>1.9612126249999999</v>
      </c>
      <c r="G47" s="84">
        <v>-21.051371394930069</v>
      </c>
      <c r="H47" s="101">
        <f t="shared" si="10"/>
        <v>-26.188001565618531</v>
      </c>
      <c r="I47" s="78">
        <f t="shared" si="0"/>
        <v>-2.1612698030062365</v>
      </c>
      <c r="J47" s="79">
        <f t="shared" si="1"/>
        <v>0.88702515829941209</v>
      </c>
      <c r="K47" s="79"/>
      <c r="L47" s="79"/>
      <c r="M47" s="79">
        <f t="shared" si="2"/>
        <v>0</v>
      </c>
      <c r="N47" s="180">
        <f t="shared" si="3"/>
        <v>0.10758820218224999</v>
      </c>
      <c r="O47" s="81">
        <f t="shared" si="4"/>
        <v>4.866042613398915</v>
      </c>
      <c r="P47" s="79">
        <f t="shared" si="5"/>
        <v>0.28767961329715064</v>
      </c>
      <c r="Q47" s="79"/>
      <c r="R47" s="180">
        <f t="shared" si="7"/>
        <v>1.4330423351250001E-2</v>
      </c>
      <c r="S47" s="82">
        <f t="shared" si="8"/>
        <v>0.64814216875848041</v>
      </c>
      <c r="T47" s="78">
        <f t="shared" si="9"/>
        <v>7.5076778644411348</v>
      </c>
    </row>
    <row r="48" spans="1:20" s="1" customFormat="1" ht="11.25" customHeight="1" x14ac:dyDescent="0.2">
      <c r="A48" s="95">
        <v>45</v>
      </c>
      <c r="B48" s="95" t="s">
        <v>594</v>
      </c>
      <c r="C48" s="96">
        <v>1.992</v>
      </c>
      <c r="D48" s="96">
        <v>0.58299243749999996</v>
      </c>
      <c r="E48" s="96">
        <v>-3.7115573902213317</v>
      </c>
      <c r="F48" s="96">
        <v>0.59116800000000003</v>
      </c>
      <c r="G48" s="96">
        <v>-20.009210604326977</v>
      </c>
      <c r="H48" s="101">
        <f t="shared" si="10"/>
        <v>-25.122913237622171</v>
      </c>
      <c r="I48" s="78">
        <f t="shared" si="0"/>
        <v>-4.8762030740209221</v>
      </c>
      <c r="J48" s="79">
        <f t="shared" si="1"/>
        <v>0.29677108433734939</v>
      </c>
      <c r="K48" s="79"/>
      <c r="L48" s="79"/>
      <c r="M48" s="79">
        <f t="shared" si="2"/>
        <v>0</v>
      </c>
      <c r="N48" s="180">
        <f t="shared" si="3"/>
        <v>3.2430294143999998E-2</v>
      </c>
      <c r="O48" s="81">
        <f t="shared" si="4"/>
        <v>1.6280268144578312</v>
      </c>
      <c r="P48" s="79">
        <f t="shared" si="5"/>
        <v>0.29266688629518073</v>
      </c>
      <c r="Q48" s="79"/>
      <c r="R48" s="180">
        <f t="shared" si="7"/>
        <v>1.3134819616875E-2</v>
      </c>
      <c r="S48" s="82">
        <f t="shared" si="8"/>
        <v>0.65937849482304212</v>
      </c>
      <c r="T48" s="78">
        <f t="shared" si="9"/>
        <v>2.4690323194339934</v>
      </c>
    </row>
    <row r="49" spans="1:20" s="1" customFormat="1" ht="11.25" customHeight="1" x14ac:dyDescent="0.2">
      <c r="A49" s="83">
        <v>46</v>
      </c>
      <c r="B49" s="83" t="s">
        <v>595</v>
      </c>
      <c r="C49" s="84">
        <v>1.972</v>
      </c>
      <c r="D49" s="84">
        <v>0.64363375</v>
      </c>
      <c r="E49" s="84">
        <v>-2.2964498766614438</v>
      </c>
      <c r="F49" s="84">
        <v>1.0056955000000001</v>
      </c>
      <c r="G49" s="84">
        <v>-20.211521520553148</v>
      </c>
      <c r="H49" s="101">
        <f t="shared" si="10"/>
        <v>-25.32967499400532</v>
      </c>
      <c r="I49" s="78">
        <f t="shared" si="0"/>
        <v>-3.4610955604610343</v>
      </c>
      <c r="J49" s="79">
        <f t="shared" si="1"/>
        <v>0.50998757606490874</v>
      </c>
      <c r="K49" s="79"/>
      <c r="L49" s="79"/>
      <c r="M49" s="79">
        <f t="shared" si="2"/>
        <v>0</v>
      </c>
      <c r="N49" s="180">
        <f>F49*$B$28+$D$28</f>
        <v>5.5170443739E-2</v>
      </c>
      <c r="O49" s="81">
        <f>N49/C49*100</f>
        <v>2.7976898447768761</v>
      </c>
      <c r="P49" s="79">
        <f t="shared" si="5"/>
        <v>0.32638628296146044</v>
      </c>
      <c r="Q49" s="79"/>
      <c r="R49" s="180">
        <f t="shared" si="7"/>
        <v>1.4501068387500001E-2</v>
      </c>
      <c r="S49" s="82">
        <f t="shared" si="8"/>
        <v>0.7353482955121704</v>
      </c>
      <c r="T49" s="78">
        <f t="shared" si="9"/>
        <v>3.8045778603842195</v>
      </c>
    </row>
    <row r="50" spans="1:20" s="1" customFormat="1" ht="11.25" customHeight="1" x14ac:dyDescent="0.2">
      <c r="A50" s="95">
        <v>47</v>
      </c>
      <c r="B50" s="95" t="s">
        <v>596</v>
      </c>
      <c r="C50" s="96">
        <v>2.3479999999999999</v>
      </c>
      <c r="D50" s="96">
        <v>0.60183237499999997</v>
      </c>
      <c r="E50" s="96">
        <v>-3.0059003429150355</v>
      </c>
      <c r="F50" s="96">
        <v>0.60619274999999995</v>
      </c>
      <c r="G50" s="96">
        <v>-19.961065267171332</v>
      </c>
      <c r="H50" s="101">
        <f t="shared" si="10"/>
        <v>-25.073708703049103</v>
      </c>
      <c r="I50" s="78">
        <f t="shared" si="0"/>
        <v>-4.1705460267146259</v>
      </c>
      <c r="J50" s="79">
        <f t="shared" si="1"/>
        <v>0.25817408432708688</v>
      </c>
      <c r="K50" s="79"/>
      <c r="L50" s="79"/>
      <c r="M50" s="79">
        <f t="shared" si="2"/>
        <v>0</v>
      </c>
      <c r="N50" s="180">
        <f t="shared" si="3"/>
        <v>3.3254521879499996E-2</v>
      </c>
      <c r="O50" s="81">
        <f t="shared" si="4"/>
        <v>1.4162913918015332</v>
      </c>
      <c r="P50" s="79">
        <f t="shared" si="5"/>
        <v>0.25631702512776833</v>
      </c>
      <c r="Q50" s="79"/>
      <c r="R50" s="180">
        <f t="shared" si="7"/>
        <v>1.3559283408750001E-2</v>
      </c>
      <c r="S50" s="82">
        <f t="shared" si="8"/>
        <v>0.57748225761286209</v>
      </c>
      <c r="T50" s="78">
        <f t="shared" si="9"/>
        <v>2.4525279748958102</v>
      </c>
    </row>
    <row r="51" spans="1:20" s="1" customFormat="1" ht="11.25" customHeight="1" x14ac:dyDescent="0.2">
      <c r="A51" s="83">
        <v>48</v>
      </c>
      <c r="B51" s="83" t="s">
        <v>597</v>
      </c>
      <c r="C51" s="84">
        <v>2.0059999999999998</v>
      </c>
      <c r="D51" s="84">
        <v>0.5794248125</v>
      </c>
      <c r="E51" s="84">
        <v>-2.3590102942178115</v>
      </c>
      <c r="F51" s="84">
        <v>0.59847506250000004</v>
      </c>
      <c r="G51" s="84">
        <v>-19.936433482999906</v>
      </c>
      <c r="H51" s="101">
        <f t="shared" si="10"/>
        <v>-25.048535019625906</v>
      </c>
      <c r="I51" s="78">
        <f t="shared" si="0"/>
        <v>-3.5236559780174019</v>
      </c>
      <c r="J51" s="79">
        <f t="shared" si="1"/>
        <v>0.29834250373878368</v>
      </c>
      <c r="K51" s="79"/>
      <c r="L51" s="79"/>
      <c r="M51" s="79">
        <f t="shared" si="2"/>
        <v>0</v>
      </c>
      <c r="N51" s="180">
        <f t="shared" si="3"/>
        <v>3.2831144978625E-2</v>
      </c>
      <c r="O51" s="81">
        <f t="shared" si="4"/>
        <v>1.6366473070102194</v>
      </c>
      <c r="P51" s="79">
        <f t="shared" si="5"/>
        <v>0.2888458686440678</v>
      </c>
      <c r="Q51" s="79"/>
      <c r="R51" s="180">
        <f t="shared" si="7"/>
        <v>1.3054441025625E-2</v>
      </c>
      <c r="S51" s="82">
        <f t="shared" si="8"/>
        <v>0.65076974205508487</v>
      </c>
      <c r="T51" s="78">
        <f t="shared" si="9"/>
        <v>2.5149406944487049</v>
      </c>
    </row>
    <row r="52" spans="1:20" s="1" customFormat="1" ht="11.25" customHeight="1" x14ac:dyDescent="0.2">
      <c r="A52" s="95">
        <v>49</v>
      </c>
      <c r="B52" s="95" t="s">
        <v>598</v>
      </c>
      <c r="C52" s="96">
        <v>2.0739999999999998</v>
      </c>
      <c r="D52" s="96">
        <v>0.60080524999999996</v>
      </c>
      <c r="E52" s="96">
        <v>-3.8220168670126675</v>
      </c>
      <c r="F52" s="96">
        <v>1.0475276250000001</v>
      </c>
      <c r="G52" s="96">
        <v>-20.521522358446855</v>
      </c>
      <c r="H52" s="101">
        <f>$B$26*G52+$D$26</f>
        <v>-25.646495850332688</v>
      </c>
      <c r="I52" s="78">
        <f>$B$27*E52+$D$27</f>
        <v>-4.986662550812258</v>
      </c>
      <c r="J52" s="79">
        <f>(F52)/C52</f>
        <v>0.50507600048216017</v>
      </c>
      <c r="K52" s="79"/>
      <c r="L52" s="79"/>
      <c r="M52" s="79">
        <f>C52*(K52/100)</f>
        <v>0</v>
      </c>
      <c r="N52" s="180">
        <f>F52*$B$28+$D$28</f>
        <v>5.746527045225E-2</v>
      </c>
      <c r="O52" s="81">
        <f>N52/C52*100</f>
        <v>2.770745923445034</v>
      </c>
      <c r="P52" s="79">
        <f>D52/C52</f>
        <v>0.28968430568948889</v>
      </c>
      <c r="Q52" s="79"/>
      <c r="R52" s="180">
        <f>D52*$B$29+$D$29</f>
        <v>1.35361422825E-2</v>
      </c>
      <c r="S52" s="82">
        <f>R52/C52*100</f>
        <v>0.65265874071841856</v>
      </c>
      <c r="T52" s="78">
        <f>N52/R52</f>
        <v>4.2453211005725846</v>
      </c>
    </row>
    <row r="53" spans="1:20" s="1" customFormat="1" ht="11.25" customHeight="1" x14ac:dyDescent="0.2">
      <c r="A53" s="83">
        <v>50</v>
      </c>
      <c r="B53" s="83" t="s">
        <v>599</v>
      </c>
      <c r="C53" s="84">
        <v>2.1920000000000002</v>
      </c>
      <c r="D53" s="84">
        <v>0.62502512499999996</v>
      </c>
      <c r="E53" s="84">
        <v>-3.2031890825562348</v>
      </c>
      <c r="F53" s="84">
        <v>0.97562062500000002</v>
      </c>
      <c r="G53" s="84">
        <v>-20.810845326273764</v>
      </c>
      <c r="H53" s="101">
        <f t="shared" si="10"/>
        <v>-25.942183923451786</v>
      </c>
      <c r="I53" s="78">
        <f t="shared" si="0"/>
        <v>-4.3678347663558252</v>
      </c>
      <c r="J53" s="79">
        <f t="shared" si="1"/>
        <v>0.44508240191605836</v>
      </c>
      <c r="K53" s="79"/>
      <c r="L53" s="79"/>
      <c r="M53" s="79">
        <f t="shared" ref="M53:M56" si="15">C53*(K53/100)</f>
        <v>0</v>
      </c>
      <c r="N53" s="180">
        <f t="shared" ref="N53:N56" si="16">F53*$B$28+$D$28</f>
        <v>5.3520596246249996E-2</v>
      </c>
      <c r="O53" s="81">
        <f t="shared" ref="O53:O56" si="17">N53/C53*100</f>
        <v>2.4416330404311126</v>
      </c>
      <c r="P53" s="79">
        <f t="shared" ref="P53:P56" si="18">D53/C53</f>
        <v>0.28513919936131382</v>
      </c>
      <c r="Q53" s="79"/>
      <c r="R53" s="180">
        <f t="shared" si="7"/>
        <v>1.4081816066250001E-2</v>
      </c>
      <c r="S53" s="82">
        <f t="shared" si="8"/>
        <v>0.64241861616104012</v>
      </c>
      <c r="T53" s="78">
        <f t="shared" si="9"/>
        <v>3.8006884903519818</v>
      </c>
    </row>
    <row r="54" spans="1:20" s="1" customFormat="1" ht="11.25" customHeight="1" x14ac:dyDescent="0.2">
      <c r="A54" s="83">
        <v>51</v>
      </c>
      <c r="B54" s="83" t="s">
        <v>600</v>
      </c>
      <c r="C54" s="84">
        <v>1.742</v>
      </c>
      <c r="D54" s="84">
        <v>0.70913024999999996</v>
      </c>
      <c r="E54" s="84">
        <v>-1.7766540626648064</v>
      </c>
      <c r="F54" s="84">
        <v>1.3187517499999999</v>
      </c>
      <c r="G54" s="84">
        <v>-20.580288238718925</v>
      </c>
      <c r="H54" s="101">
        <f t="shared" si="10"/>
        <v>-25.706554579970742</v>
      </c>
      <c r="I54" s="78">
        <f t="shared" si="0"/>
        <v>-2.9412997464643968</v>
      </c>
      <c r="J54" s="79">
        <f t="shared" si="1"/>
        <v>0.75703315154994255</v>
      </c>
      <c r="K54" s="79"/>
      <c r="L54" s="79"/>
      <c r="M54" s="79">
        <f t="shared" si="15"/>
        <v>0</v>
      </c>
      <c r="N54" s="180">
        <f t="shared" si="16"/>
        <v>7.2344083501499984E-2</v>
      </c>
      <c r="O54" s="81">
        <f t="shared" si="17"/>
        <v>4.1529324627726742</v>
      </c>
      <c r="P54" s="79">
        <f t="shared" si="18"/>
        <v>0.40707821469575201</v>
      </c>
      <c r="Q54" s="79"/>
      <c r="R54" s="180">
        <f t="shared" si="7"/>
        <v>1.59767045325E-2</v>
      </c>
      <c r="S54" s="82">
        <f t="shared" si="8"/>
        <v>0.91714721770952934</v>
      </c>
      <c r="T54" s="78">
        <f t="shared" si="9"/>
        <v>4.5280979788001208</v>
      </c>
    </row>
    <row r="55" spans="1:20" s="90" customFormat="1" ht="11.25" customHeight="1" x14ac:dyDescent="0.2">
      <c r="A55" s="117">
        <v>52</v>
      </c>
      <c r="B55" s="117" t="s">
        <v>82</v>
      </c>
      <c r="C55" s="105">
        <v>1.2010000000000001</v>
      </c>
      <c r="D55" s="105">
        <v>1.5931247500000001</v>
      </c>
      <c r="E55" s="105">
        <v>2.2042576848095852</v>
      </c>
      <c r="F55" s="105">
        <v>9.6418379999999999</v>
      </c>
      <c r="G55" s="105">
        <v>-21.506665742967947</v>
      </c>
      <c r="H55" s="100">
        <f t="shared" si="10"/>
        <v>-26.653312389313243</v>
      </c>
      <c r="I55" s="86">
        <f t="shared" si="0"/>
        <v>1.0396120010099947</v>
      </c>
      <c r="J55" s="87">
        <f t="shared" si="1"/>
        <v>8.0281748542880926</v>
      </c>
      <c r="K55" s="87">
        <f t="shared" ref="K55" si="19">H$14</f>
        <v>44.65</v>
      </c>
      <c r="L55" s="87">
        <f t="shared" ref="L55" si="20">I$14</f>
        <v>2.83</v>
      </c>
      <c r="M55" s="87">
        <f t="shared" si="15"/>
        <v>0.53624650000000007</v>
      </c>
      <c r="N55" s="179">
        <f t="shared" si="16"/>
        <v>0.52893194900399998</v>
      </c>
      <c r="O55" s="91">
        <f t="shared" si="17"/>
        <v>44.040961615653615</v>
      </c>
      <c r="P55" s="87">
        <f t="shared" si="18"/>
        <v>1.3264985428809326</v>
      </c>
      <c r="Q55" s="87">
        <f t="shared" ref="Q55" si="21">C55*(L55/100)</f>
        <v>3.3988300000000006E-2</v>
      </c>
      <c r="R55" s="179">
        <f t="shared" si="7"/>
        <v>3.5893100617500007E-2</v>
      </c>
      <c r="S55" s="89">
        <f t="shared" si="8"/>
        <v>2.9886012171107414</v>
      </c>
      <c r="T55" s="86">
        <f t="shared" si="9"/>
        <v>14.736312547657541</v>
      </c>
    </row>
    <row r="56" spans="1:20" s="126" customFormat="1" ht="11.25" customHeight="1" x14ac:dyDescent="0.2">
      <c r="A56" s="119">
        <v>53</v>
      </c>
      <c r="B56" s="119" t="s">
        <v>87</v>
      </c>
      <c r="C56" s="120">
        <v>1.7949999999999999</v>
      </c>
      <c r="D56" s="120">
        <v>0.43010756249999998</v>
      </c>
      <c r="E56" s="120">
        <v>-4.6829684873592736</v>
      </c>
      <c r="F56" s="120">
        <v>1.11417575</v>
      </c>
      <c r="G56" s="120">
        <v>-14.329041340561211</v>
      </c>
      <c r="H56" s="121">
        <f t="shared" si="10"/>
        <v>-19.317780250053559</v>
      </c>
      <c r="I56" s="122">
        <f t="shared" si="0"/>
        <v>-5.8476141711588641</v>
      </c>
      <c r="J56" s="118">
        <f t="shared" si="1"/>
        <v>0.62071072423398332</v>
      </c>
      <c r="K56" s="118">
        <f>H$13</f>
        <v>3.3479999999999999</v>
      </c>
      <c r="L56" s="118"/>
      <c r="M56" s="118">
        <f t="shared" si="15"/>
        <v>6.0096599999999993E-2</v>
      </c>
      <c r="N56" s="181">
        <f t="shared" si="16"/>
        <v>6.1121453293500001E-2</v>
      </c>
      <c r="O56" s="124">
        <f t="shared" si="17"/>
        <v>3.4050948910027854</v>
      </c>
      <c r="P56" s="118">
        <f t="shared" si="18"/>
        <v>0.2396142409470752</v>
      </c>
      <c r="Q56" s="118"/>
      <c r="R56" s="181">
        <f t="shared" si="7"/>
        <v>9.6903233831249994E-3</v>
      </c>
      <c r="S56" s="125">
        <f t="shared" si="8"/>
        <v>0.53985088485376043</v>
      </c>
      <c r="T56" s="122">
        <f t="shared" si="9"/>
        <v>6.3074730199343616</v>
      </c>
    </row>
    <row r="57" spans="1:20" s="1" customFormat="1" ht="11.25" customHeight="1" x14ac:dyDescent="0.2">
      <c r="A57" s="83">
        <v>54</v>
      </c>
      <c r="B57" s="83" t="s">
        <v>601</v>
      </c>
      <c r="C57" s="84">
        <v>2.0779999999999998</v>
      </c>
      <c r="D57" s="84">
        <v>0.29888306250000002</v>
      </c>
      <c r="E57" s="84">
        <v>-3.8773388328080527</v>
      </c>
      <c r="F57" s="84">
        <v>0.72431674999999995</v>
      </c>
      <c r="G57" s="84">
        <v>-19.725309264040348</v>
      </c>
      <c r="H57" s="101">
        <f t="shared" si="10"/>
        <v>-24.832766067849235</v>
      </c>
      <c r="I57" s="78">
        <f t="shared" si="0"/>
        <v>-5.0419845166076431</v>
      </c>
      <c r="J57" s="79">
        <f t="shared" si="1"/>
        <v>0.34856436477382097</v>
      </c>
      <c r="K57" s="79"/>
      <c r="L57" s="79"/>
      <c r="M57" s="79">
        <f t="shared" si="2"/>
        <v>0</v>
      </c>
      <c r="N57" s="180">
        <f t="shared" si="3"/>
        <v>3.9734568271499994E-2</v>
      </c>
      <c r="O57" s="81">
        <f t="shared" si="4"/>
        <v>1.912154392276227</v>
      </c>
      <c r="P57" s="79">
        <f t="shared" si="5"/>
        <v>0.14383208012512033</v>
      </c>
      <c r="Q57" s="79"/>
      <c r="R57" s="180">
        <f t="shared" si="7"/>
        <v>6.7338353981250005E-3</v>
      </c>
      <c r="S57" s="82">
        <f t="shared" si="8"/>
        <v>0.32405367652189609</v>
      </c>
      <c r="T57" s="78">
        <f t="shared" si="9"/>
        <v>5.9007335229138311</v>
      </c>
    </row>
    <row r="58" spans="1:20" s="1" customFormat="1" ht="11.25" customHeight="1" x14ac:dyDescent="0.2">
      <c r="A58" s="95">
        <v>55</v>
      </c>
      <c r="B58" s="95" t="s">
        <v>602</v>
      </c>
      <c r="C58" s="96">
        <v>2.1360000000000001</v>
      </c>
      <c r="D58" s="96">
        <v>0.35730806250000002</v>
      </c>
      <c r="E58" s="96">
        <v>-0.58378785777957187</v>
      </c>
      <c r="F58" s="96">
        <v>1.883678</v>
      </c>
      <c r="G58" s="96">
        <v>-20.812529866338355</v>
      </c>
      <c r="H58" s="101">
        <f t="shared" si="10"/>
        <v>-25.943905523397799</v>
      </c>
      <c r="I58" s="78">
        <f t="shared" si="0"/>
        <v>-1.7484335415791623</v>
      </c>
      <c r="J58" s="79">
        <f t="shared" si="1"/>
        <v>0.88187172284644189</v>
      </c>
      <c r="K58" s="79"/>
      <c r="L58" s="79"/>
      <c r="M58" s="79">
        <f t="shared" si="2"/>
        <v>0</v>
      </c>
      <c r="N58" s="180">
        <f t="shared" si="3"/>
        <v>0.10333480772399999</v>
      </c>
      <c r="O58" s="81">
        <f t="shared" si="4"/>
        <v>4.8377718971910104</v>
      </c>
      <c r="P58" s="79">
        <f t="shared" si="5"/>
        <v>0.16727905547752808</v>
      </c>
      <c r="Q58" s="79"/>
      <c r="R58" s="180">
        <f t="shared" si="7"/>
        <v>8.0501506481250006E-3</v>
      </c>
      <c r="S58" s="82">
        <f t="shared" si="8"/>
        <v>0.37687971199087078</v>
      </c>
      <c r="T58" s="78">
        <f t="shared" si="9"/>
        <v>12.83638185678776</v>
      </c>
    </row>
    <row r="59" spans="1:20" s="1" customFormat="1" ht="11.25" customHeight="1" x14ac:dyDescent="0.2">
      <c r="A59" s="83">
        <v>56</v>
      </c>
      <c r="B59" s="83" t="s">
        <v>603</v>
      </c>
      <c r="C59" s="84">
        <v>1.181</v>
      </c>
      <c r="D59" s="84">
        <v>0.30254300000000001</v>
      </c>
      <c r="E59" s="84">
        <v>-1.8946054746039609</v>
      </c>
      <c r="F59" s="84">
        <v>0.98592374999999999</v>
      </c>
      <c r="G59" s="84">
        <v>-20.308125666024978</v>
      </c>
      <c r="H59" s="101">
        <f t="shared" si="10"/>
        <v>-25.428404430677528</v>
      </c>
      <c r="I59" s="78">
        <f t="shared" si="0"/>
        <v>-3.0592511584035513</v>
      </c>
      <c r="J59" s="79">
        <f t="shared" si="1"/>
        <v>0.83482112616426751</v>
      </c>
      <c r="K59" s="79"/>
      <c r="L59" s="79"/>
      <c r="M59" s="79">
        <f t="shared" si="2"/>
        <v>0</v>
      </c>
      <c r="N59" s="180">
        <f t="shared" si="3"/>
        <v>5.4085805077499993E-2</v>
      </c>
      <c r="O59" s="81">
        <f t="shared" si="4"/>
        <v>4.5796617339119381</v>
      </c>
      <c r="P59" s="79">
        <f t="shared" si="5"/>
        <v>0.25617527519051653</v>
      </c>
      <c r="Q59" s="79"/>
      <c r="R59" s="180">
        <f t="shared" si="7"/>
        <v>6.8162937900000005E-3</v>
      </c>
      <c r="S59" s="82">
        <f t="shared" si="8"/>
        <v>0.57716289500423379</v>
      </c>
      <c r="T59" s="78">
        <f t="shared" si="9"/>
        <v>7.9347819715235586</v>
      </c>
    </row>
    <row r="60" spans="1:20" s="1" customFormat="1" ht="11.25" customHeight="1" x14ac:dyDescent="0.2">
      <c r="A60" s="95">
        <v>57</v>
      </c>
      <c r="B60" s="95" t="s">
        <v>604</v>
      </c>
      <c r="C60" s="96">
        <v>1.901</v>
      </c>
      <c r="D60" s="96">
        <v>0.33231253124999999</v>
      </c>
      <c r="E60" s="96">
        <v>-0.73734818496051791</v>
      </c>
      <c r="F60" s="96">
        <v>1.3181616249999999</v>
      </c>
      <c r="G60" s="96">
        <v>-20.589060029404873</v>
      </c>
      <c r="H60" s="101">
        <f t="shared" si="10"/>
        <v>-25.715519350051782</v>
      </c>
      <c r="I60" s="78">
        <f t="shared" si="0"/>
        <v>-1.9019938687601083</v>
      </c>
      <c r="J60" s="79">
        <f t="shared" si="1"/>
        <v>0.69340432667017349</v>
      </c>
      <c r="K60" s="79"/>
      <c r="L60" s="79"/>
      <c r="M60" s="79">
        <f t="shared" si="2"/>
        <v>0</v>
      </c>
      <c r="N60" s="180">
        <f t="shared" si="3"/>
        <v>7.2311710424249984E-2</v>
      </c>
      <c r="O60" s="81">
        <f t="shared" si="4"/>
        <v>3.8038774552472372</v>
      </c>
      <c r="P60" s="79">
        <f t="shared" si="5"/>
        <v>0.17480932732772225</v>
      </c>
      <c r="Q60" s="79"/>
      <c r="R60" s="180">
        <f t="shared" si="7"/>
        <v>7.4870013290625004E-3</v>
      </c>
      <c r="S60" s="82">
        <f t="shared" si="8"/>
        <v>0.39384541446935828</v>
      </c>
      <c r="T60" s="78">
        <f t="shared" si="9"/>
        <v>9.6583007329724406</v>
      </c>
    </row>
    <row r="61" spans="1:20" s="1" customFormat="1" ht="11.25" customHeight="1" x14ac:dyDescent="0.2">
      <c r="A61" s="83">
        <v>58</v>
      </c>
      <c r="B61" s="83" t="s">
        <v>605</v>
      </c>
      <c r="C61" s="84">
        <v>1.9730000000000001</v>
      </c>
      <c r="D61" s="84">
        <v>0.31614840625000001</v>
      </c>
      <c r="E61" s="84">
        <v>-1.1549375834599696</v>
      </c>
      <c r="F61" s="84">
        <v>1.142978625</v>
      </c>
      <c r="G61" s="84">
        <v>-20.532123459542323</v>
      </c>
      <c r="H61" s="101">
        <f t="shared" si="10"/>
        <v>-25.657330175652255</v>
      </c>
      <c r="I61" s="78">
        <f t="shared" si="0"/>
        <v>-2.31958326725956</v>
      </c>
      <c r="J61" s="79">
        <f t="shared" si="1"/>
        <v>0.57930999746578815</v>
      </c>
      <c r="K61" s="79"/>
      <c r="L61" s="79"/>
      <c r="M61" s="79">
        <f t="shared" si="2"/>
        <v>0</v>
      </c>
      <c r="N61" s="180">
        <f t="shared" si="3"/>
        <v>6.2701521410249997E-2</v>
      </c>
      <c r="O61" s="81">
        <f t="shared" si="4"/>
        <v>3.17797878409782</v>
      </c>
      <c r="P61" s="79">
        <f t="shared" si="5"/>
        <v>0.16023740813482007</v>
      </c>
      <c r="Q61" s="79"/>
      <c r="R61" s="180">
        <f t="shared" si="7"/>
        <v>7.1228235928125008E-3</v>
      </c>
      <c r="S61" s="82">
        <f t="shared" si="8"/>
        <v>0.3610148805277496</v>
      </c>
      <c r="T61" s="78">
        <f t="shared" si="9"/>
        <v>8.8029024716435273</v>
      </c>
    </row>
    <row r="62" spans="1:20" s="1" customFormat="1" ht="11.25" customHeight="1" x14ac:dyDescent="0.2">
      <c r="A62" s="95">
        <v>59</v>
      </c>
      <c r="B62" s="95" t="s">
        <v>606</v>
      </c>
      <c r="C62" s="96">
        <v>2.0110000000000001</v>
      </c>
      <c r="D62" s="96">
        <v>0.37386831250000002</v>
      </c>
      <c r="E62" s="96">
        <v>3.1259366781055675E-2</v>
      </c>
      <c r="F62" s="96">
        <v>1.756772875</v>
      </c>
      <c r="G62" s="96">
        <v>-20.86484295845187</v>
      </c>
      <c r="H62" s="101">
        <f t="shared" si="10"/>
        <v>-25.997369503537811</v>
      </c>
      <c r="I62" s="78">
        <f t="shared" si="0"/>
        <v>-1.1333863170185348</v>
      </c>
      <c r="J62" s="79">
        <f t="shared" si="1"/>
        <v>0.87358173794132266</v>
      </c>
      <c r="K62" s="79"/>
      <c r="L62" s="79"/>
      <c r="M62" s="79">
        <f t="shared" si="2"/>
        <v>0</v>
      </c>
      <c r="N62" s="180">
        <f t="shared" si="3"/>
        <v>9.6373046376749996E-2</v>
      </c>
      <c r="O62" s="81">
        <f t="shared" si="4"/>
        <v>4.7922946979985079</v>
      </c>
      <c r="P62" s="79">
        <f t="shared" si="5"/>
        <v>0.1859116422178021</v>
      </c>
      <c r="Q62" s="79"/>
      <c r="R62" s="180">
        <f t="shared" si="7"/>
        <v>8.4232530806250018E-3</v>
      </c>
      <c r="S62" s="82">
        <f t="shared" si="8"/>
        <v>0.4188589299167082</v>
      </c>
      <c r="T62" s="78">
        <f t="shared" si="9"/>
        <v>11.441309605005856</v>
      </c>
    </row>
    <row r="63" spans="1:20" s="1" customFormat="1" ht="11.25" customHeight="1" x14ac:dyDescent="0.2">
      <c r="A63" s="83">
        <v>60</v>
      </c>
      <c r="B63" s="83" t="s">
        <v>607</v>
      </c>
      <c r="C63" s="84">
        <v>2.0019999999999998</v>
      </c>
      <c r="D63" s="84">
        <v>0.27781668749999999</v>
      </c>
      <c r="E63" s="84">
        <v>-1.7171713415423673</v>
      </c>
      <c r="F63" s="84">
        <v>0.78917843750000005</v>
      </c>
      <c r="G63" s="84">
        <v>-19.87704831908043</v>
      </c>
      <c r="H63" s="101">
        <f>$B$26*G63+$D$26</f>
        <v>-24.987843382100202</v>
      </c>
      <c r="I63" s="78">
        <f>$B$27*E63+$D$27</f>
        <v>-2.8818170253419577</v>
      </c>
      <c r="J63" s="79">
        <f>(F63)/C63</f>
        <v>0.3941950237262738</v>
      </c>
      <c r="K63" s="79"/>
      <c r="L63" s="79"/>
      <c r="M63" s="79">
        <f>C63*(K63/100)</f>
        <v>0</v>
      </c>
      <c r="N63" s="180">
        <f>F63*$B$28+$D$28</f>
        <v>4.3292750724375002E-2</v>
      </c>
      <c r="O63" s="81">
        <f>N63/C63*100</f>
        <v>2.1624750611575925</v>
      </c>
      <c r="P63" s="79">
        <f>D63/C63</f>
        <v>0.1387695741758242</v>
      </c>
      <c r="Q63" s="79"/>
      <c r="R63" s="180">
        <f>D63*$B$29+$D$29</f>
        <v>6.2592099693750004E-3</v>
      </c>
      <c r="S63" s="82">
        <f>R63/C63*100</f>
        <v>0.31264785061813194</v>
      </c>
      <c r="T63" s="78">
        <f>N63/R63</f>
        <v>6.9166477776264639</v>
      </c>
    </row>
    <row r="64" spans="1:20" s="1" customFormat="1" ht="11.25" customHeight="1" x14ac:dyDescent="0.2">
      <c r="A64" s="95">
        <v>61</v>
      </c>
      <c r="B64" s="95" t="s">
        <v>608</v>
      </c>
      <c r="C64" s="96">
        <v>1.865</v>
      </c>
      <c r="D64" s="96">
        <v>0.2929735</v>
      </c>
      <c r="E64" s="96">
        <v>-0.70147412131216225</v>
      </c>
      <c r="F64" s="96">
        <v>0.94376499999999997</v>
      </c>
      <c r="G64" s="96">
        <v>-20.361408245243204</v>
      </c>
      <c r="H64" s="101">
        <f t="shared" si="10"/>
        <v>-25.482859226638556</v>
      </c>
      <c r="I64" s="78">
        <f t="shared" si="0"/>
        <v>-1.8661198051117527</v>
      </c>
      <c r="J64" s="79">
        <f t="shared" si="1"/>
        <v>0.50604021447721181</v>
      </c>
      <c r="K64" s="79"/>
      <c r="L64" s="79"/>
      <c r="M64" s="79">
        <f t="shared" ref="M64:M67" si="22">C64*(K64/100)</f>
        <v>0</v>
      </c>
      <c r="N64" s="180">
        <f t="shared" ref="N64:N67" si="23">F64*$B$28+$D$28</f>
        <v>5.1773060369999999E-2</v>
      </c>
      <c r="O64" s="81">
        <f t="shared" ref="O64:O67" si="24">N64/C64*100</f>
        <v>2.7760354085790886</v>
      </c>
      <c r="P64" s="79">
        <f t="shared" ref="P64:P67" si="25">D64/C64</f>
        <v>0.15709034852546916</v>
      </c>
      <c r="Q64" s="79"/>
      <c r="R64" s="180">
        <f t="shared" si="7"/>
        <v>6.6006929550000001E-3</v>
      </c>
      <c r="S64" s="82">
        <f t="shared" si="8"/>
        <v>0.35392455522788208</v>
      </c>
      <c r="T64" s="78">
        <f t="shared" si="9"/>
        <v>7.843579563988369</v>
      </c>
    </row>
    <row r="65" spans="1:20" s="1" customFormat="1" ht="11.25" customHeight="1" x14ac:dyDescent="0.2">
      <c r="A65" s="83">
        <v>62</v>
      </c>
      <c r="B65" s="83" t="s">
        <v>609</v>
      </c>
      <c r="C65" s="84">
        <v>2.0489999999999999</v>
      </c>
      <c r="D65" s="84">
        <v>0.24694579687500001</v>
      </c>
      <c r="E65" s="84">
        <v>-3.4089777276052891</v>
      </c>
      <c r="F65" s="84">
        <v>0.29415021875000003</v>
      </c>
      <c r="G65" s="84">
        <v>-19.770559866859127</v>
      </c>
      <c r="H65" s="101">
        <f t="shared" si="10"/>
        <v>-24.87901218393003</v>
      </c>
      <c r="I65" s="78">
        <f t="shared" si="0"/>
        <v>-4.5736234114048795</v>
      </c>
      <c r="J65" s="79">
        <f t="shared" si="1"/>
        <v>0.14355793984870671</v>
      </c>
      <c r="K65" s="79"/>
      <c r="L65" s="79"/>
      <c r="M65" s="79">
        <f t="shared" si="22"/>
        <v>0</v>
      </c>
      <c r="N65" s="180">
        <f t="shared" si="23"/>
        <v>1.6136492700187501E-2</v>
      </c>
      <c r="O65" s="81">
        <f t="shared" si="24"/>
        <v>0.78753014642203523</v>
      </c>
      <c r="P65" s="79">
        <f t="shared" si="25"/>
        <v>0.12052015464860909</v>
      </c>
      <c r="Q65" s="79"/>
      <c r="R65" s="180">
        <f t="shared" si="7"/>
        <v>5.5636888035937504E-3</v>
      </c>
      <c r="S65" s="82">
        <f t="shared" si="8"/>
        <v>0.27153190842331631</v>
      </c>
      <c r="T65" s="78">
        <f t="shared" si="9"/>
        <v>2.9003226581911745</v>
      </c>
    </row>
    <row r="66" spans="1:20" s="90" customFormat="1" ht="11.25" customHeight="1" x14ac:dyDescent="0.2">
      <c r="A66" s="117">
        <v>63</v>
      </c>
      <c r="B66" s="117" t="s">
        <v>61</v>
      </c>
      <c r="C66" s="105">
        <v>1.228</v>
      </c>
      <c r="D66" s="105">
        <v>1.5565523750000001</v>
      </c>
      <c r="E66" s="105">
        <v>3.4760592970155546</v>
      </c>
      <c r="F66" s="105">
        <v>10.146818</v>
      </c>
      <c r="G66" s="105">
        <v>-21.521193490604272</v>
      </c>
      <c r="H66" s="100">
        <f t="shared" si="10"/>
        <v>-26.668159747397567</v>
      </c>
      <c r="I66" s="86">
        <f t="shared" si="0"/>
        <v>2.3114136132159642</v>
      </c>
      <c r="J66" s="87">
        <f t="shared" si="1"/>
        <v>8.2628811074918573</v>
      </c>
      <c r="K66" s="87">
        <f t="shared" ref="K66:L66" si="26">H$14</f>
        <v>44.65</v>
      </c>
      <c r="L66" s="87">
        <f t="shared" si="26"/>
        <v>2.83</v>
      </c>
      <c r="M66" s="87">
        <f t="shared" si="22"/>
        <v>0.54830199999999996</v>
      </c>
      <c r="N66" s="179">
        <f t="shared" si="23"/>
        <v>0.55663414184399995</v>
      </c>
      <c r="O66" s="91">
        <f t="shared" si="24"/>
        <v>45.328513179478826</v>
      </c>
      <c r="P66" s="87">
        <f t="shared" si="25"/>
        <v>1.2675507939739414</v>
      </c>
      <c r="Q66" s="87">
        <f t="shared" ref="Q66" si="27">C66*(L66/100)</f>
        <v>3.4752400000000003E-2</v>
      </c>
      <c r="R66" s="179">
        <f t="shared" si="7"/>
        <v>3.5069125008750007E-2</v>
      </c>
      <c r="S66" s="89">
        <f t="shared" si="8"/>
        <v>2.8557919388232906</v>
      </c>
      <c r="T66" s="86">
        <f t="shared" si="9"/>
        <v>15.87248446333108</v>
      </c>
    </row>
    <row r="67" spans="1:20" s="126" customFormat="1" ht="11.25" customHeight="1" x14ac:dyDescent="0.2">
      <c r="A67" s="119">
        <v>64</v>
      </c>
      <c r="B67" s="119" t="s">
        <v>98</v>
      </c>
      <c r="C67" s="120">
        <v>2.1280000000000001</v>
      </c>
      <c r="D67" s="120">
        <v>0.32267649999999998</v>
      </c>
      <c r="E67" s="120">
        <v>-0.92935697072815682</v>
      </c>
      <c r="F67" s="120">
        <v>1.2440310000000001</v>
      </c>
      <c r="G67" s="120">
        <v>-14.461581769885244</v>
      </c>
      <c r="H67" s="121">
        <f t="shared" si="10"/>
        <v>-19.453236568822721</v>
      </c>
      <c r="I67" s="122">
        <f t="shared" si="0"/>
        <v>-2.0940026545277473</v>
      </c>
      <c r="J67" s="118">
        <f t="shared" si="1"/>
        <v>0.5846010338345865</v>
      </c>
      <c r="K67" s="118">
        <f>H$13</f>
        <v>3.3479999999999999</v>
      </c>
      <c r="L67" s="118"/>
      <c r="M67" s="118">
        <f t="shared" si="22"/>
        <v>7.1245439999999993E-2</v>
      </c>
      <c r="N67" s="181">
        <f t="shared" si="23"/>
        <v>6.8245052597999997E-2</v>
      </c>
      <c r="O67" s="124">
        <f t="shared" si="24"/>
        <v>3.2070043514097741</v>
      </c>
      <c r="P67" s="118">
        <f t="shared" si="25"/>
        <v>0.15163369360902254</v>
      </c>
      <c r="Q67" s="118"/>
      <c r="R67" s="181">
        <f t="shared" si="7"/>
        <v>7.2699015449999996E-3</v>
      </c>
      <c r="S67" s="125">
        <f t="shared" si="8"/>
        <v>0.3416307117011278</v>
      </c>
      <c r="T67" s="122">
        <f t="shared" si="9"/>
        <v>9.387342067230156</v>
      </c>
    </row>
    <row r="68" spans="1:20" s="1" customFormat="1" ht="11.25" customHeight="1" x14ac:dyDescent="0.2">
      <c r="A68" s="95">
        <v>65</v>
      </c>
      <c r="B68" s="95" t="s">
        <v>610</v>
      </c>
      <c r="C68" s="96">
        <v>1.9410000000000001</v>
      </c>
      <c r="D68" s="96">
        <v>0.3837914375</v>
      </c>
      <c r="E68" s="96">
        <v>0.12830427601562278</v>
      </c>
      <c r="F68" s="96">
        <v>2.262092</v>
      </c>
      <c r="G68" s="96">
        <v>-20.729333749440062</v>
      </c>
      <c r="H68" s="101">
        <f t="shared" si="10"/>
        <v>-25.858879091927744</v>
      </c>
      <c r="I68" s="78">
        <f t="shared" si="0"/>
        <v>-1.0363414077839677</v>
      </c>
      <c r="J68" s="79">
        <f t="shared" si="1"/>
        <v>1.165426069036579</v>
      </c>
      <c r="K68" s="79"/>
      <c r="L68" s="79"/>
      <c r="M68" s="79">
        <f t="shared" si="2"/>
        <v>0</v>
      </c>
      <c r="N68" s="180">
        <f t="shared" si="3"/>
        <v>0.124093842936</v>
      </c>
      <c r="O68" s="81">
        <f t="shared" si="4"/>
        <v>6.3932943295208657</v>
      </c>
      <c r="P68" s="79">
        <f t="shared" si="5"/>
        <v>0.19772871586810922</v>
      </c>
      <c r="Q68" s="79"/>
      <c r="R68" s="180">
        <f t="shared" si="7"/>
        <v>8.646821086875001E-3</v>
      </c>
      <c r="S68" s="82">
        <f t="shared" si="8"/>
        <v>0.44548279685085013</v>
      </c>
      <c r="T68" s="78">
        <f t="shared" si="9"/>
        <v>14.35138320652452</v>
      </c>
    </row>
    <row r="69" spans="1:20" s="1" customFormat="1" ht="11.25" customHeight="1" x14ac:dyDescent="0.2">
      <c r="A69" s="83">
        <v>66</v>
      </c>
      <c r="B69" s="83" t="s">
        <v>611</v>
      </c>
      <c r="C69" s="84">
        <v>1.9950000000000001</v>
      </c>
      <c r="D69" s="84">
        <v>0.24853609374999999</v>
      </c>
      <c r="E69" s="84">
        <v>-3.6487918341236991</v>
      </c>
      <c r="F69" s="84">
        <v>0.39082725000000001</v>
      </c>
      <c r="G69" s="84">
        <v>-19.71268444525359</v>
      </c>
      <c r="H69" s="101">
        <f t="shared" si="10"/>
        <v>-24.81986350304917</v>
      </c>
      <c r="I69" s="78">
        <f t="shared" si="0"/>
        <v>-4.8134375179232896</v>
      </c>
      <c r="J69" s="79">
        <f t="shared" si="1"/>
        <v>0.19590338345864661</v>
      </c>
      <c r="K69" s="79"/>
      <c r="L69" s="79"/>
      <c r="M69" s="79">
        <f t="shared" si="2"/>
        <v>0</v>
      </c>
      <c r="N69" s="180">
        <f t="shared" si="3"/>
        <v>2.1440001280499998E-2</v>
      </c>
      <c r="O69" s="81">
        <f t="shared" si="4"/>
        <v>1.0746867809774434</v>
      </c>
      <c r="P69" s="79">
        <f t="shared" si="5"/>
        <v>0.12457949561403507</v>
      </c>
      <c r="Q69" s="79"/>
      <c r="R69" s="180">
        <f t="shared" si="7"/>
        <v>5.5995181921874998E-3</v>
      </c>
      <c r="S69" s="82">
        <f t="shared" si="8"/>
        <v>0.28067760361842103</v>
      </c>
      <c r="T69" s="78">
        <f t="shared" si="9"/>
        <v>3.8289010848135629</v>
      </c>
    </row>
    <row r="70" spans="1:20" s="1" customFormat="1" ht="11.25" customHeight="1" x14ac:dyDescent="0.2">
      <c r="A70" s="95">
        <v>67</v>
      </c>
      <c r="B70" s="95" t="s">
        <v>612</v>
      </c>
      <c r="C70" s="96">
        <v>2.0449999999999999</v>
      </c>
      <c r="D70" s="96">
        <v>0.26808975000000002</v>
      </c>
      <c r="E70" s="96">
        <v>-3.6160712963978492</v>
      </c>
      <c r="F70" s="96">
        <v>0.45814396875000002</v>
      </c>
      <c r="G70" s="96">
        <v>-20.105916466310326</v>
      </c>
      <c r="H70" s="101">
        <f t="shared" si="10"/>
        <v>-25.221746628569154</v>
      </c>
      <c r="I70" s="78">
        <f t="shared" si="0"/>
        <v>-4.7807169801974396</v>
      </c>
      <c r="J70" s="79">
        <f t="shared" si="1"/>
        <v>0.2240312805623472</v>
      </c>
      <c r="K70" s="79"/>
      <c r="L70" s="79"/>
      <c r="M70" s="79">
        <f t="shared" si="2"/>
        <v>0</v>
      </c>
      <c r="N70" s="180">
        <f t="shared" si="3"/>
        <v>2.5132861837687499E-2</v>
      </c>
      <c r="O70" s="81">
        <f t="shared" si="4"/>
        <v>1.2289907989089242</v>
      </c>
      <c r="P70" s="79">
        <f t="shared" si="5"/>
        <v>0.13109523227383865</v>
      </c>
      <c r="Q70" s="79"/>
      <c r="R70" s="180">
        <f t="shared" si="7"/>
        <v>6.0400620675000009E-3</v>
      </c>
      <c r="S70" s="82">
        <f t="shared" si="8"/>
        <v>0.29535755831295851</v>
      </c>
      <c r="T70" s="78">
        <f t="shared" si="9"/>
        <v>4.161027081645547</v>
      </c>
    </row>
    <row r="71" spans="1:20" s="1" customFormat="1" ht="11.25" customHeight="1" x14ac:dyDescent="0.2">
      <c r="A71" s="83">
        <v>68</v>
      </c>
      <c r="B71" s="83" t="s">
        <v>613</v>
      </c>
      <c r="C71" s="84">
        <v>2.0840000000000001</v>
      </c>
      <c r="D71" s="84">
        <v>0.33582050000000002</v>
      </c>
      <c r="E71" s="84">
        <v>-0.20500273452483952</v>
      </c>
      <c r="F71" s="84">
        <v>1.1440386250000001</v>
      </c>
      <c r="G71" s="84">
        <v>-20.386929064721514</v>
      </c>
      <c r="H71" s="101">
        <f t="shared" si="10"/>
        <v>-25.508941504145387</v>
      </c>
      <c r="I71" s="78">
        <f t="shared" si="0"/>
        <v>-1.36964841832443</v>
      </c>
      <c r="J71" s="79">
        <f t="shared" si="1"/>
        <v>0.54896287188099813</v>
      </c>
      <c r="K71" s="79"/>
      <c r="L71" s="79"/>
      <c r="M71" s="79">
        <f t="shared" si="2"/>
        <v>0</v>
      </c>
      <c r="N71" s="180">
        <f t="shared" si="3"/>
        <v>6.2759670890250002E-2</v>
      </c>
      <c r="O71" s="81">
        <f t="shared" si="4"/>
        <v>3.0115005225647793</v>
      </c>
      <c r="P71" s="79">
        <f t="shared" si="5"/>
        <v>0.16114227447216892</v>
      </c>
      <c r="Q71" s="79"/>
      <c r="R71" s="180">
        <f t="shared" si="7"/>
        <v>7.5660358650000009E-3</v>
      </c>
      <c r="S71" s="82">
        <f t="shared" si="8"/>
        <v>0.36305354438579657</v>
      </c>
      <c r="T71" s="78">
        <f t="shared" si="9"/>
        <v>8.2949211462996413</v>
      </c>
    </row>
    <row r="72" spans="1:20" s="1" customFormat="1" ht="11.25" customHeight="1" x14ac:dyDescent="0.2">
      <c r="A72" s="95">
        <v>69</v>
      </c>
      <c r="B72" s="95" t="s">
        <v>614</v>
      </c>
      <c r="C72" s="96">
        <v>2.1779999999999999</v>
      </c>
      <c r="D72" s="96">
        <v>0.78276837499999996</v>
      </c>
      <c r="E72" s="96">
        <v>3.4256490011144169</v>
      </c>
      <c r="F72" s="96">
        <v>5.8643495000000003</v>
      </c>
      <c r="G72" s="96">
        <v>-21.679726668056798</v>
      </c>
      <c r="H72" s="101">
        <f t="shared" si="10"/>
        <v>-26.830180654754049</v>
      </c>
      <c r="I72" s="78">
        <f t="shared" si="0"/>
        <v>2.2610033173148265</v>
      </c>
      <c r="J72" s="79">
        <f t="shared" si="1"/>
        <v>2.6925387970615247</v>
      </c>
      <c r="K72" s="79"/>
      <c r="L72" s="79"/>
      <c r="M72" s="79">
        <f t="shared" si="2"/>
        <v>0</v>
      </c>
      <c r="N72" s="180">
        <f t="shared" si="3"/>
        <v>0.32170648487100001</v>
      </c>
      <c r="O72" s="81">
        <f t="shared" si="4"/>
        <v>14.77072933292011</v>
      </c>
      <c r="P72" s="79">
        <f t="shared" si="5"/>
        <v>0.35939778466483013</v>
      </c>
      <c r="Q72" s="79"/>
      <c r="R72" s="180">
        <f t="shared" si="7"/>
        <v>1.763577148875E-2</v>
      </c>
      <c r="S72" s="82">
        <f t="shared" si="8"/>
        <v>0.80972320884986226</v>
      </c>
      <c r="T72" s="78">
        <f t="shared" si="9"/>
        <v>18.241701820428958</v>
      </c>
    </row>
    <row r="73" spans="1:20" s="1" customFormat="1" ht="11.25" customHeight="1" x14ac:dyDescent="0.2">
      <c r="A73" s="83">
        <v>70</v>
      </c>
      <c r="B73" s="83" t="s">
        <v>615</v>
      </c>
      <c r="C73" s="84">
        <v>1.984</v>
      </c>
      <c r="D73" s="84">
        <v>0.38462337499999999</v>
      </c>
      <c r="E73" s="84">
        <v>-0.28920366793416807</v>
      </c>
      <c r="F73" s="84">
        <v>1.740238</v>
      </c>
      <c r="G73" s="84">
        <v>-20.412039066954346</v>
      </c>
      <c r="H73" s="101">
        <f t="shared" si="10"/>
        <v>-25.534603926427344</v>
      </c>
      <c r="I73" s="78">
        <f t="shared" si="0"/>
        <v>-1.4538493517337585</v>
      </c>
      <c r="J73" s="79">
        <f t="shared" si="1"/>
        <v>0.87713608870967741</v>
      </c>
      <c r="K73" s="79"/>
      <c r="L73" s="79"/>
      <c r="M73" s="79">
        <f t="shared" si="2"/>
        <v>0</v>
      </c>
      <c r="N73" s="180">
        <f t="shared" si="3"/>
        <v>9.5465976203999992E-2</v>
      </c>
      <c r="O73" s="81">
        <f t="shared" si="4"/>
        <v>4.8117931554435476</v>
      </c>
      <c r="P73" s="79">
        <f t="shared" si="5"/>
        <v>0.19386258820564517</v>
      </c>
      <c r="Q73" s="79"/>
      <c r="R73" s="180">
        <f t="shared" si="7"/>
        <v>8.6655646387499997E-3</v>
      </c>
      <c r="S73" s="82">
        <f t="shared" si="8"/>
        <v>0.43677241122731852</v>
      </c>
      <c r="T73" s="78">
        <f t="shared" si="9"/>
        <v>11.016705798616128</v>
      </c>
    </row>
    <row r="74" spans="1:20" s="90" customFormat="1" ht="11.25" customHeight="1" x14ac:dyDescent="0.2">
      <c r="A74" s="95">
        <v>71</v>
      </c>
      <c r="B74" s="95" t="s">
        <v>616</v>
      </c>
      <c r="C74" s="96">
        <v>1.8080000000000001</v>
      </c>
      <c r="D74" s="96">
        <v>0.31697975</v>
      </c>
      <c r="E74" s="96">
        <v>-2.0281735362006614</v>
      </c>
      <c r="F74" s="96">
        <v>1.2914775000000001</v>
      </c>
      <c r="G74" s="96">
        <v>-20.841627423397462</v>
      </c>
      <c r="H74" s="101">
        <f t="shared" si="10"/>
        <v>-25.973643226712205</v>
      </c>
      <c r="I74" s="78">
        <f t="shared" si="0"/>
        <v>-3.1928192200002519</v>
      </c>
      <c r="J74" s="79">
        <f t="shared" si="1"/>
        <v>0.71431277654867253</v>
      </c>
      <c r="K74" s="79"/>
      <c r="L74" s="79"/>
      <c r="M74" s="79">
        <f t="shared" si="2"/>
        <v>0</v>
      </c>
      <c r="N74" s="180">
        <f t="shared" si="3"/>
        <v>7.0847872694999994E-2</v>
      </c>
      <c r="O74" s="81">
        <f t="shared" si="4"/>
        <v>3.9185770295907076</v>
      </c>
      <c r="P74" s="79">
        <f t="shared" si="5"/>
        <v>0.17532065818584069</v>
      </c>
      <c r="Q74" s="79"/>
      <c r="R74" s="180">
        <f t="shared" si="7"/>
        <v>7.1415537675000003E-3</v>
      </c>
      <c r="S74" s="82">
        <f t="shared" si="8"/>
        <v>0.39499744289269911</v>
      </c>
      <c r="T74" s="78">
        <f t="shared" si="9"/>
        <v>9.9205123984946582</v>
      </c>
    </row>
    <row r="75" spans="1:20" s="1" customFormat="1" ht="11.25" customHeight="1" x14ac:dyDescent="0.2">
      <c r="A75" s="83">
        <v>72</v>
      </c>
      <c r="B75" s="83" t="s">
        <v>617</v>
      </c>
      <c r="C75" s="84">
        <v>2.1659999999999999</v>
      </c>
      <c r="D75" s="84">
        <v>0.34710584374999998</v>
      </c>
      <c r="E75" s="84">
        <v>2.4248142662643968</v>
      </c>
      <c r="F75" s="84">
        <v>1.3603713749999999</v>
      </c>
      <c r="G75" s="84">
        <v>-20.165805877499793</v>
      </c>
      <c r="H75" s="101">
        <f t="shared" si="10"/>
        <v>-25.282953606804789</v>
      </c>
      <c r="I75" s="78">
        <f t="shared" si="0"/>
        <v>1.2601685824648063</v>
      </c>
      <c r="J75" s="79">
        <f t="shared" si="1"/>
        <v>0.62805695983379506</v>
      </c>
      <c r="K75" s="79"/>
      <c r="L75" s="79"/>
      <c r="M75" s="79">
        <f t="shared" si="2"/>
        <v>0</v>
      </c>
      <c r="N75" s="180">
        <f t="shared" si="3"/>
        <v>7.4627252889749987E-2</v>
      </c>
      <c r="O75" s="81">
        <f t="shared" si="4"/>
        <v>3.4453948702562318</v>
      </c>
      <c r="P75" s="79">
        <f t="shared" si="5"/>
        <v>0.16025200542474607</v>
      </c>
      <c r="Q75" s="79"/>
      <c r="R75" s="180">
        <f t="shared" si="7"/>
        <v>7.8202946596874993E-3</v>
      </c>
      <c r="S75" s="82">
        <f t="shared" si="8"/>
        <v>0.36104776822195289</v>
      </c>
      <c r="T75" s="78">
        <f t="shared" si="9"/>
        <v>9.5427673939759341</v>
      </c>
    </row>
    <row r="76" spans="1:20" s="1" customFormat="1" ht="11.25" customHeight="1" x14ac:dyDescent="0.2">
      <c r="A76" s="95">
        <v>73</v>
      </c>
      <c r="B76" s="95" t="s">
        <v>618</v>
      </c>
      <c r="C76" s="96">
        <v>2.1800000000000002</v>
      </c>
      <c r="D76" s="96">
        <v>0.30455118749999999</v>
      </c>
      <c r="E76" s="96">
        <v>-1.603300476013203</v>
      </c>
      <c r="F76" s="96">
        <v>0.84336218750000003</v>
      </c>
      <c r="G76" s="96">
        <v>-20.165763464424717</v>
      </c>
      <c r="H76" s="101">
        <f>$B$26*G76+$D$26</f>
        <v>-25.282910260642062</v>
      </c>
      <c r="I76" s="78">
        <f>$B$27*E76+$D$27</f>
        <v>-2.7679461598127935</v>
      </c>
      <c r="J76" s="79">
        <f>(F76)/C76</f>
        <v>0.38686338876146786</v>
      </c>
      <c r="K76" s="79"/>
      <c r="L76" s="79"/>
      <c r="M76" s="79">
        <f t="shared" si="2"/>
        <v>0</v>
      </c>
      <c r="N76" s="180">
        <f t="shared" si="3"/>
        <v>4.6265162881875002E-2</v>
      </c>
      <c r="O76" s="81">
        <f t="shared" si="4"/>
        <v>2.1222551780676606</v>
      </c>
      <c r="P76" s="79">
        <f t="shared" si="5"/>
        <v>0.13970237958715595</v>
      </c>
      <c r="Q76" s="79"/>
      <c r="R76" s="180">
        <f>D76*$B$29+$D$29</f>
        <v>6.8615382543749997E-3</v>
      </c>
      <c r="S76" s="82">
        <f>R76/C76*100</f>
        <v>0.31474946120986236</v>
      </c>
      <c r="T76" s="78">
        <f>N76/R76</f>
        <v>6.7426808926374164</v>
      </c>
    </row>
    <row r="77" spans="1:20" s="126" customFormat="1" ht="11.25" customHeight="1" x14ac:dyDescent="0.2">
      <c r="A77" s="119">
        <v>74</v>
      </c>
      <c r="B77" s="119" t="s">
        <v>109</v>
      </c>
      <c r="C77" s="120">
        <v>1.1990000000000001</v>
      </c>
      <c r="D77" s="120">
        <v>0.28251596875000001</v>
      </c>
      <c r="E77" s="120">
        <v>-2.3881471063873505</v>
      </c>
      <c r="F77" s="120">
        <v>0.7181570625</v>
      </c>
      <c r="G77" s="120">
        <v>-14.101550582425375</v>
      </c>
      <c r="H77" s="121">
        <f t="shared" si="10"/>
        <v>-19.085284695238734</v>
      </c>
      <c r="I77" s="122">
        <f t="shared" si="0"/>
        <v>-3.5527927901869409</v>
      </c>
      <c r="J77" s="118">
        <f t="shared" si="1"/>
        <v>0.59896335487906582</v>
      </c>
      <c r="K77" s="118">
        <f>H$13</f>
        <v>3.3479999999999999</v>
      </c>
      <c r="L77" s="118"/>
      <c r="M77" s="118">
        <f t="shared" si="2"/>
        <v>4.0142519999999994E-2</v>
      </c>
      <c r="N77" s="181">
        <f t="shared" si="3"/>
        <v>3.9396660134624999E-2</v>
      </c>
      <c r="O77" s="124">
        <f t="shared" si="4"/>
        <v>3.2857931721955795</v>
      </c>
      <c r="P77" s="118">
        <f t="shared" si="5"/>
        <v>0.23562632923269392</v>
      </c>
      <c r="Q77" s="118"/>
      <c r="R77" s="181">
        <f t="shared" si="7"/>
        <v>6.3650847759375009E-3</v>
      </c>
      <c r="S77" s="125">
        <f t="shared" si="8"/>
        <v>0.53086611976125941</v>
      </c>
      <c r="T77" s="122">
        <f t="shared" si="9"/>
        <v>6.1894949590553319</v>
      </c>
    </row>
    <row r="78" spans="1:20" s="90" customFormat="1" ht="11.25" customHeight="1" x14ac:dyDescent="0.2">
      <c r="A78" s="117">
        <v>75</v>
      </c>
      <c r="B78" s="117" t="s">
        <v>84</v>
      </c>
      <c r="C78" s="105">
        <v>1.002</v>
      </c>
      <c r="D78" s="105">
        <v>1.2940704999999999</v>
      </c>
      <c r="E78" s="105">
        <v>3.4089227080211781</v>
      </c>
      <c r="F78" s="105">
        <v>8.4165299999999998</v>
      </c>
      <c r="G78" s="105">
        <v>-21.489179954945584</v>
      </c>
      <c r="H78" s="100">
        <f t="shared" si="10"/>
        <v>-26.635441913954388</v>
      </c>
      <c r="I78" s="86">
        <f t="shared" si="0"/>
        <v>2.2442770242215877</v>
      </c>
      <c r="J78" s="87">
        <f t="shared" si="1"/>
        <v>8.3997305389221548</v>
      </c>
      <c r="K78" s="87">
        <f t="shared" ref="K78" si="28">H$14</f>
        <v>44.65</v>
      </c>
      <c r="L78" s="87">
        <f t="shared" ref="L78" si="29">I$14</f>
        <v>2.83</v>
      </c>
      <c r="M78" s="87">
        <f t="shared" si="2"/>
        <v>0.44739299999999999</v>
      </c>
      <c r="N78" s="179">
        <f t="shared" si="3"/>
        <v>0.46171400273999996</v>
      </c>
      <c r="O78" s="91">
        <f t="shared" si="4"/>
        <v>46.079241790419154</v>
      </c>
      <c r="P78" s="87">
        <f t="shared" si="5"/>
        <v>1.2914875249500997</v>
      </c>
      <c r="Q78" s="87">
        <f t="shared" ref="Q78" si="30">C78*(L78/100)</f>
        <v>2.8356600000000003E-2</v>
      </c>
      <c r="R78" s="179">
        <f t="shared" si="7"/>
        <v>2.9155408365E-2</v>
      </c>
      <c r="S78" s="89">
        <f t="shared" si="8"/>
        <v>2.9097213937125748</v>
      </c>
      <c r="T78" s="86">
        <f t="shared" si="9"/>
        <v>15.836307177033772</v>
      </c>
    </row>
    <row r="79" spans="1:20" s="1" customFormat="1" ht="11.25" customHeight="1" x14ac:dyDescent="0.2">
      <c r="A79" s="83">
        <v>76</v>
      </c>
      <c r="B79" s="83" t="s">
        <v>62</v>
      </c>
      <c r="C79" s="84">
        <v>0.71</v>
      </c>
      <c r="D79" s="84">
        <v>0.24581106250000001</v>
      </c>
      <c r="E79" s="84">
        <v>-4.6707256206909298</v>
      </c>
      <c r="F79" s="84">
        <v>5.420903</v>
      </c>
      <c r="G79" s="84">
        <v>-19.90673985765898</v>
      </c>
      <c r="H79" s="101">
        <f t="shared" si="10"/>
        <v>-25.018188134527477</v>
      </c>
      <c r="I79" s="78">
        <f t="shared" si="0"/>
        <v>-5.8353713044905202</v>
      </c>
      <c r="J79" s="79">
        <f t="shared" si="1"/>
        <v>7.6350746478873246</v>
      </c>
      <c r="K79" s="79"/>
      <c r="L79" s="79"/>
      <c r="M79" s="79">
        <f t="shared" si="2"/>
        <v>0</v>
      </c>
      <c r="N79" s="180">
        <f t="shared" si="3"/>
        <v>0.29737989677400001</v>
      </c>
      <c r="O79" s="81">
        <f t="shared" si="4"/>
        <v>41.88449250338028</v>
      </c>
      <c r="P79" s="79">
        <f t="shared" si="5"/>
        <v>0.34621276408450707</v>
      </c>
      <c r="Q79" s="79"/>
      <c r="R79" s="180">
        <f t="shared" si="7"/>
        <v>5.5381232381250005E-3</v>
      </c>
      <c r="S79" s="82">
        <f t="shared" si="8"/>
        <v>0.78001735748239454</v>
      </c>
      <c r="T79" s="78">
        <f t="shared" si="9"/>
        <v>53.696872385722067</v>
      </c>
    </row>
    <row r="80" spans="1:20" s="1" customFormat="1" ht="11.25" customHeight="1" x14ac:dyDescent="0.2">
      <c r="A80" s="83">
        <v>77</v>
      </c>
      <c r="B80" s="83" t="s">
        <v>63</v>
      </c>
      <c r="C80" s="84">
        <v>0.92500000000000004</v>
      </c>
      <c r="D80" s="84">
        <v>0.24225129687499999</v>
      </c>
      <c r="E80" s="84">
        <v>-4.287875943520425</v>
      </c>
      <c r="F80" s="84">
        <v>7.0839429999999997</v>
      </c>
      <c r="G80" s="84">
        <v>-5.9419834220357934</v>
      </c>
      <c r="H80" s="101">
        <f t="shared" si="10"/>
        <v>-10.74620705732058</v>
      </c>
      <c r="I80" s="78">
        <f t="shared" si="0"/>
        <v>-5.4525216273200154</v>
      </c>
      <c r="J80" s="79">
        <f t="shared" si="1"/>
        <v>7.658316756756756</v>
      </c>
      <c r="K80" s="79"/>
      <c r="L80" s="79">
        <f t="shared" ref="L80" si="31">I$14</f>
        <v>2.83</v>
      </c>
      <c r="M80" s="79">
        <f t="shared" si="2"/>
        <v>0</v>
      </c>
      <c r="N80" s="180">
        <f t="shared" si="3"/>
        <v>0.38861094509399996</v>
      </c>
      <c r="O80" s="81">
        <f t="shared" si="4"/>
        <v>42.011994064216211</v>
      </c>
      <c r="P80" s="79">
        <f t="shared" si="5"/>
        <v>0.26189329391891891</v>
      </c>
      <c r="Q80" s="79"/>
      <c r="R80" s="180">
        <f t="shared" si="7"/>
        <v>5.4579217185937506E-3</v>
      </c>
      <c r="S80" s="82">
        <f t="shared" si="8"/>
        <v>0.59004559119932432</v>
      </c>
      <c r="T80" s="78">
        <f t="shared" si="9"/>
        <v>71.201267649204524</v>
      </c>
    </row>
    <row r="81" spans="1:28" ht="11.25" customHeight="1" x14ac:dyDescent="0.2">
      <c r="A81" s="110">
        <v>78</v>
      </c>
      <c r="B81" s="110" t="s">
        <v>70</v>
      </c>
      <c r="C81" s="84">
        <v>1.0309999999999999</v>
      </c>
      <c r="D81" s="84">
        <v>0.232462890625</v>
      </c>
      <c r="E81" s="84">
        <v>-4.7784839299738202</v>
      </c>
      <c r="F81" s="85">
        <v>3.58818525</v>
      </c>
      <c r="G81" s="85">
        <v>-13.436811178575564</v>
      </c>
      <c r="H81" s="101">
        <f t="shared" si="10"/>
        <v>-18.405921024504227</v>
      </c>
      <c r="I81" s="78">
        <f t="shared" si="0"/>
        <v>-5.9431296137734106</v>
      </c>
      <c r="J81" s="79">
        <f t="shared" si="1"/>
        <v>3.4802960717749762</v>
      </c>
      <c r="K81" s="79"/>
      <c r="L81" s="79"/>
      <c r="M81" s="79">
        <f t="shared" si="2"/>
        <v>0</v>
      </c>
      <c r="N81" s="180">
        <f t="shared" si="3"/>
        <v>0.19684066644449999</v>
      </c>
      <c r="O81" s="81">
        <f t="shared" si="4"/>
        <v>19.092208190543161</v>
      </c>
      <c r="P81" s="79">
        <f t="shared" si="5"/>
        <v>0.22547322078079537</v>
      </c>
      <c r="Q81" s="79"/>
      <c r="R81" s="180">
        <f t="shared" si="7"/>
        <v>5.2373889257812502E-3</v>
      </c>
      <c r="S81" s="82">
        <f t="shared" si="8"/>
        <v>0.50799116641913189</v>
      </c>
      <c r="T81" s="78">
        <f t="shared" si="9"/>
        <v>37.583740530619018</v>
      </c>
      <c r="V81" s="1"/>
      <c r="W81" s="1"/>
      <c r="X81" s="1"/>
      <c r="Y81" s="1"/>
      <c r="Z81" s="1"/>
      <c r="AA81" s="1"/>
      <c r="AB81" s="1"/>
    </row>
    <row r="82" spans="1:28" ht="11.25" customHeight="1" x14ac:dyDescent="0.2">
      <c r="A82" s="114">
        <v>79</v>
      </c>
      <c r="B82" s="114" t="s">
        <v>86</v>
      </c>
      <c r="C82" s="108">
        <v>0</v>
      </c>
      <c r="D82" s="108">
        <v>0.23579962500000001</v>
      </c>
      <c r="E82" s="108">
        <v>-3.1992019850608511</v>
      </c>
      <c r="H82" s="101">
        <f t="shared" si="10"/>
        <v>-4.6734999999999998</v>
      </c>
      <c r="I82" s="78">
        <f t="shared" si="0"/>
        <v>-4.3638476688604415</v>
      </c>
      <c r="J82" s="79" t="e">
        <f t="shared" si="1"/>
        <v>#DIV/0!</v>
      </c>
      <c r="K82" s="79"/>
      <c r="L82" s="79">
        <v>0</v>
      </c>
      <c r="M82" s="79">
        <f t="shared" si="2"/>
        <v>0</v>
      </c>
      <c r="N82" s="180">
        <f t="shared" si="3"/>
        <v>0</v>
      </c>
      <c r="O82" s="81" t="e">
        <f t="shared" si="4"/>
        <v>#DIV/0!</v>
      </c>
      <c r="P82" s="79" t="e">
        <f t="shared" si="5"/>
        <v>#DIV/0!</v>
      </c>
      <c r="Q82" s="79"/>
      <c r="R82" s="180">
        <f t="shared" si="7"/>
        <v>5.3125655512500005E-3</v>
      </c>
      <c r="S82" s="82" t="e">
        <f t="shared" si="8"/>
        <v>#DIV/0!</v>
      </c>
      <c r="T82" s="78">
        <f t="shared" si="9"/>
        <v>0</v>
      </c>
      <c r="V82" s="1"/>
      <c r="W82" s="1"/>
      <c r="X82" s="1"/>
      <c r="Y82" s="1"/>
      <c r="Z82" s="1"/>
      <c r="AA82" s="1"/>
      <c r="AB82" s="1"/>
    </row>
    <row r="83" spans="1:28" ht="11.25" customHeight="1" x14ac:dyDescent="0.2">
      <c r="A83" s="110"/>
      <c r="B83" s="110"/>
      <c r="C83" s="85"/>
      <c r="D83" s="85"/>
      <c r="E83" s="85"/>
      <c r="V83" s="1"/>
      <c r="W83" s="1"/>
      <c r="X83" s="1"/>
      <c r="Y83" s="1"/>
      <c r="Z83" s="1"/>
      <c r="AA83" s="1"/>
      <c r="AB83" s="1"/>
    </row>
    <row r="84" spans="1:28" ht="11.25" customHeight="1" x14ac:dyDescent="0.25">
      <c r="A84" s="1" t="s">
        <v>83</v>
      </c>
      <c r="H84" s="101">
        <f>STDEV(H89:H96)</f>
        <v>0.20283717214873526</v>
      </c>
      <c r="I84" s="101">
        <f>STDEV(I89:I96)</f>
        <v>0.6177263881247993</v>
      </c>
      <c r="J84" s="79"/>
      <c r="K84" s="1"/>
      <c r="L84" s="1"/>
      <c r="M84" s="79"/>
      <c r="N84" s="80"/>
      <c r="O84" s="101">
        <f>STDEV(O89:O96)</f>
        <v>0.73938611735153859</v>
      </c>
      <c r="P84" s="79"/>
      <c r="Q84" s="79"/>
      <c r="R84" s="80"/>
      <c r="S84" s="101">
        <f>STDEV(S89:S96)</f>
        <v>0.10017351488166808</v>
      </c>
      <c r="T84" s="101">
        <f>STDEV(T89:T96)</f>
        <v>0.51116892179889506</v>
      </c>
    </row>
    <row r="85" spans="1:28" ht="11.25" customHeight="1" x14ac:dyDescent="0.25">
      <c r="H85" s="102"/>
      <c r="I85" s="102"/>
      <c r="J85"/>
      <c r="K85" s="1"/>
      <c r="L85" s="1"/>
      <c r="O85" s="102"/>
      <c r="S85" s="102"/>
      <c r="T85" s="102"/>
      <c r="V85" s="1"/>
      <c r="W85" s="1"/>
      <c r="X85" s="1"/>
      <c r="Y85" s="1"/>
      <c r="Z85" s="1"/>
      <c r="AA85" s="1"/>
      <c r="AB85" s="1"/>
    </row>
    <row r="86" spans="1:28" s="90" customFormat="1" ht="11.25" customHeight="1" x14ac:dyDescent="0.2">
      <c r="A86" s="119">
        <v>53</v>
      </c>
      <c r="B86" s="119" t="s">
        <v>87</v>
      </c>
      <c r="C86" s="120">
        <v>1.7949999999999999</v>
      </c>
      <c r="D86" s="120">
        <v>0.43010756249999998</v>
      </c>
      <c r="E86" s="120">
        <v>-4.6829684873592736</v>
      </c>
      <c r="F86" s="120">
        <v>1.11417575</v>
      </c>
      <c r="G86" s="120">
        <v>-14.329041340561211</v>
      </c>
      <c r="H86" s="121">
        <f t="shared" ref="H86:H96" si="32">$B$26*G86+$D$26</f>
        <v>-19.317780250053559</v>
      </c>
      <c r="I86" s="122">
        <f t="shared" ref="I86:I96" si="33">$B$27*E86+$D$27</f>
        <v>-5.8476141711588641</v>
      </c>
      <c r="J86" s="118">
        <f t="shared" ref="J86:J96" si="34">(F86)/C86</f>
        <v>0.62071072423398332</v>
      </c>
      <c r="K86" s="118">
        <f>H$13</f>
        <v>3.3479999999999999</v>
      </c>
      <c r="L86" s="118"/>
      <c r="M86" s="118">
        <f t="shared" ref="M86:M96" si="35">C86*(K86/100)</f>
        <v>6.0096599999999993E-2</v>
      </c>
      <c r="N86" s="181">
        <f t="shared" ref="N86:N96" si="36">F86*$B$28+$D$28</f>
        <v>6.1121453293500001E-2</v>
      </c>
      <c r="O86" s="124">
        <f t="shared" ref="O86:O96" si="37">N86/C86*100</f>
        <v>3.4050948910027854</v>
      </c>
      <c r="P86" s="118">
        <f t="shared" ref="P86:P96" si="38">D86/C86</f>
        <v>0.2396142409470752</v>
      </c>
      <c r="Q86" s="118"/>
      <c r="R86" s="181">
        <f t="shared" ref="R86:R96" si="39">D86*$B$29+$D$29</f>
        <v>9.6903233831249994E-3</v>
      </c>
      <c r="S86" s="125">
        <f t="shared" ref="S86:S96" si="40">R86/C86*100</f>
        <v>0.53985088485376043</v>
      </c>
      <c r="T86" s="122">
        <f t="shared" ref="T86:T96" si="41">N86/R86</f>
        <v>6.3074730199343616</v>
      </c>
      <c r="U86" s="126"/>
      <c r="V86" s="126"/>
      <c r="W86" s="126"/>
      <c r="X86" s="126"/>
      <c r="Y86" s="126"/>
      <c r="Z86" s="126"/>
      <c r="AA86" s="126"/>
      <c r="AB86" s="126"/>
    </row>
    <row r="87" spans="1:28" s="90" customFormat="1" ht="11.25" customHeight="1" x14ac:dyDescent="0.2">
      <c r="A87" s="119">
        <v>64</v>
      </c>
      <c r="B87" s="119" t="s">
        <v>98</v>
      </c>
      <c r="C87" s="120">
        <v>2.1280000000000001</v>
      </c>
      <c r="D87" s="120">
        <v>0.32267649999999998</v>
      </c>
      <c r="E87" s="120">
        <v>-0.92935697072815682</v>
      </c>
      <c r="F87" s="120">
        <v>1.2440310000000001</v>
      </c>
      <c r="G87" s="120">
        <v>-14.461581769885244</v>
      </c>
      <c r="H87" s="121">
        <f t="shared" si="32"/>
        <v>-19.453236568822721</v>
      </c>
      <c r="I87" s="122">
        <f t="shared" si="33"/>
        <v>-2.0940026545277473</v>
      </c>
      <c r="J87" s="118">
        <f t="shared" si="34"/>
        <v>0.5846010338345865</v>
      </c>
      <c r="K87" s="118">
        <f>H$13</f>
        <v>3.3479999999999999</v>
      </c>
      <c r="L87" s="118"/>
      <c r="M87" s="118">
        <f t="shared" si="35"/>
        <v>7.1245439999999993E-2</v>
      </c>
      <c r="N87" s="181">
        <f t="shared" si="36"/>
        <v>6.8245052597999997E-2</v>
      </c>
      <c r="O87" s="124">
        <f t="shared" si="37"/>
        <v>3.2070043514097741</v>
      </c>
      <c r="P87" s="118">
        <f t="shared" si="38"/>
        <v>0.15163369360902254</v>
      </c>
      <c r="Q87" s="118"/>
      <c r="R87" s="181">
        <f t="shared" si="39"/>
        <v>7.2699015449999996E-3</v>
      </c>
      <c r="S87" s="125">
        <f t="shared" si="40"/>
        <v>0.3416307117011278</v>
      </c>
      <c r="T87" s="122">
        <f t="shared" si="41"/>
        <v>9.387342067230156</v>
      </c>
      <c r="U87" s="126"/>
      <c r="V87" s="126"/>
      <c r="W87" s="126"/>
      <c r="X87" s="126"/>
      <c r="Y87" s="126"/>
      <c r="Z87" s="126"/>
      <c r="AA87" s="126"/>
      <c r="AB87" s="126"/>
    </row>
    <row r="88" spans="1:28" s="90" customFormat="1" ht="11.25" customHeight="1" x14ac:dyDescent="0.2">
      <c r="A88" s="119">
        <v>74</v>
      </c>
      <c r="B88" s="119" t="s">
        <v>109</v>
      </c>
      <c r="C88" s="120">
        <v>1.1990000000000001</v>
      </c>
      <c r="D88" s="120">
        <v>0.28251596875000001</v>
      </c>
      <c r="E88" s="120">
        <v>-2.3881471063873505</v>
      </c>
      <c r="F88" s="120">
        <v>0.7181570625</v>
      </c>
      <c r="G88" s="120">
        <v>-14.101550582425375</v>
      </c>
      <c r="H88" s="121">
        <f t="shared" si="32"/>
        <v>-19.085284695238734</v>
      </c>
      <c r="I88" s="122">
        <f t="shared" si="33"/>
        <v>-3.5527927901869409</v>
      </c>
      <c r="J88" s="118">
        <f t="shared" si="34"/>
        <v>0.59896335487906582</v>
      </c>
      <c r="K88" s="118">
        <f>H$13</f>
        <v>3.3479999999999999</v>
      </c>
      <c r="L88" s="118"/>
      <c r="M88" s="118">
        <f t="shared" si="35"/>
        <v>4.0142519999999994E-2</v>
      </c>
      <c r="N88" s="181">
        <f t="shared" si="36"/>
        <v>3.9396660134624999E-2</v>
      </c>
      <c r="O88" s="124">
        <f t="shared" si="37"/>
        <v>3.2857931721955795</v>
      </c>
      <c r="P88" s="118">
        <f t="shared" si="38"/>
        <v>0.23562632923269392</v>
      </c>
      <c r="Q88" s="118"/>
      <c r="R88" s="181">
        <f t="shared" si="39"/>
        <v>6.3650847759375009E-3</v>
      </c>
      <c r="S88" s="125">
        <f t="shared" si="40"/>
        <v>0.53086611976125941</v>
      </c>
      <c r="T88" s="122">
        <f t="shared" si="41"/>
        <v>6.1894949590553319</v>
      </c>
      <c r="U88" s="126"/>
      <c r="V88" s="126"/>
      <c r="W88" s="126"/>
      <c r="X88" s="126"/>
      <c r="Y88" s="126"/>
      <c r="Z88" s="126"/>
      <c r="AA88" s="126"/>
      <c r="AB88" s="126"/>
    </row>
    <row r="89" spans="1:28" s="90" customFormat="1" ht="11.25" customHeight="1" x14ac:dyDescent="0.2">
      <c r="A89" s="117">
        <v>30</v>
      </c>
      <c r="B89" s="117" t="s">
        <v>55</v>
      </c>
      <c r="C89" s="105">
        <v>0.97099999999999997</v>
      </c>
      <c r="D89" s="105">
        <v>1.1766516250000001</v>
      </c>
      <c r="E89" s="105">
        <v>4.3232640166910308</v>
      </c>
      <c r="F89" s="105">
        <v>7.7812425000000003</v>
      </c>
      <c r="G89" s="105">
        <v>-21.902719891811749</v>
      </c>
      <c r="H89" s="100">
        <f t="shared" si="32"/>
        <v>-27.058079729431608</v>
      </c>
      <c r="I89" s="86">
        <f t="shared" si="33"/>
        <v>3.1586183328914403</v>
      </c>
      <c r="J89" s="87">
        <f t="shared" si="34"/>
        <v>8.0136380020597322</v>
      </c>
      <c r="K89" s="87">
        <f t="shared" ref="K89:L96" si="42">H$14</f>
        <v>44.65</v>
      </c>
      <c r="L89" s="87">
        <f t="shared" si="42"/>
        <v>2.83</v>
      </c>
      <c r="M89" s="87">
        <f t="shared" si="35"/>
        <v>0.43355149999999998</v>
      </c>
      <c r="N89" s="179">
        <f t="shared" si="36"/>
        <v>0.42686340106499998</v>
      </c>
      <c r="O89" s="91">
        <f t="shared" si="37"/>
        <v>43.961215351699281</v>
      </c>
      <c r="P89" s="87">
        <f t="shared" si="38"/>
        <v>1.2117936405767251</v>
      </c>
      <c r="Q89" s="87">
        <f t="shared" ref="Q89:Q96" si="43">C89*(L89/100)</f>
        <v>2.7479300000000002E-2</v>
      </c>
      <c r="R89" s="179">
        <f t="shared" si="39"/>
        <v>2.6509961111250004E-2</v>
      </c>
      <c r="S89" s="89">
        <f t="shared" si="40"/>
        <v>2.7301710722193619</v>
      </c>
      <c r="T89" s="86">
        <f t="shared" si="41"/>
        <v>16.102000273544437</v>
      </c>
    </row>
    <row r="90" spans="1:28" s="90" customFormat="1" ht="11.25" customHeight="1" x14ac:dyDescent="0.2">
      <c r="A90" s="117">
        <v>31</v>
      </c>
      <c r="B90" s="117" t="s">
        <v>56</v>
      </c>
      <c r="C90" s="105">
        <v>0.77400000000000002</v>
      </c>
      <c r="D90" s="105">
        <v>0.94444075000000005</v>
      </c>
      <c r="E90" s="105">
        <v>2.6918521713794608</v>
      </c>
      <c r="F90" s="105">
        <v>6.2339444999999998</v>
      </c>
      <c r="G90" s="105">
        <v>-21.872016065781629</v>
      </c>
      <c r="H90" s="100">
        <f t="shared" si="32"/>
        <v>-27.026700419228828</v>
      </c>
      <c r="I90" s="86">
        <f t="shared" si="33"/>
        <v>1.5272064875798703</v>
      </c>
      <c r="J90" s="87">
        <f t="shared" si="34"/>
        <v>8.0541918604651155</v>
      </c>
      <c r="K90" s="87">
        <f t="shared" si="42"/>
        <v>44.65</v>
      </c>
      <c r="L90" s="87">
        <f t="shared" si="42"/>
        <v>2.83</v>
      </c>
      <c r="M90" s="87">
        <f t="shared" si="35"/>
        <v>0.34559100000000004</v>
      </c>
      <c r="N90" s="179">
        <f t="shared" si="36"/>
        <v>0.34198172738099997</v>
      </c>
      <c r="O90" s="91">
        <f t="shared" si="37"/>
        <v>44.183685708139528</v>
      </c>
      <c r="P90" s="87">
        <f t="shared" si="38"/>
        <v>1.2202076873385013</v>
      </c>
      <c r="Q90" s="87">
        <f t="shared" si="43"/>
        <v>2.1904200000000002E-2</v>
      </c>
      <c r="R90" s="179">
        <f t="shared" si="39"/>
        <v>2.1278250097500003E-2</v>
      </c>
      <c r="S90" s="89">
        <f t="shared" si="40"/>
        <v>2.749127919573644</v>
      </c>
      <c r="T90" s="86">
        <f t="shared" si="41"/>
        <v>16.071891523691587</v>
      </c>
    </row>
    <row r="91" spans="1:28" s="90" customFormat="1" ht="11.25" customHeight="1" x14ac:dyDescent="0.2">
      <c r="A91" s="117">
        <v>32</v>
      </c>
      <c r="B91" s="117" t="s">
        <v>57</v>
      </c>
      <c r="C91" s="105">
        <v>1.194</v>
      </c>
      <c r="D91" s="105">
        <v>1.4920009999999999</v>
      </c>
      <c r="E91" s="105">
        <v>3.4200030925257696</v>
      </c>
      <c r="F91" s="105">
        <v>9.677937</v>
      </c>
      <c r="G91" s="105">
        <v>-21.978907884339854</v>
      </c>
      <c r="H91" s="100">
        <f t="shared" si="32"/>
        <v>-27.135943857795333</v>
      </c>
      <c r="I91" s="86">
        <f t="shared" si="33"/>
        <v>2.2553574087261792</v>
      </c>
      <c r="J91" s="87">
        <f t="shared" si="34"/>
        <v>8.1054748743718594</v>
      </c>
      <c r="K91" s="87">
        <f t="shared" si="42"/>
        <v>44.65</v>
      </c>
      <c r="L91" s="87">
        <f t="shared" si="42"/>
        <v>2.83</v>
      </c>
      <c r="M91" s="87">
        <f t="shared" si="35"/>
        <v>0.53312099999999996</v>
      </c>
      <c r="N91" s="179">
        <f t="shared" si="36"/>
        <v>0.53091226794599999</v>
      </c>
      <c r="O91" s="91">
        <f t="shared" si="37"/>
        <v>44.465014065829145</v>
      </c>
      <c r="P91" s="87">
        <f t="shared" si="38"/>
        <v>1.2495820770519264</v>
      </c>
      <c r="Q91" s="87">
        <f t="shared" si="43"/>
        <v>3.3790199999999999E-2</v>
      </c>
      <c r="R91" s="179">
        <f t="shared" si="39"/>
        <v>3.3614782529999998E-2</v>
      </c>
      <c r="S91" s="89">
        <f t="shared" si="40"/>
        <v>2.8153084195979896</v>
      </c>
      <c r="T91" s="86">
        <f t="shared" si="41"/>
        <v>15.794011681383918</v>
      </c>
    </row>
    <row r="92" spans="1:28" s="126" customFormat="1" ht="11.25" customHeight="1" x14ac:dyDescent="0.2">
      <c r="A92" s="117">
        <v>33</v>
      </c>
      <c r="B92" s="117" t="s">
        <v>58</v>
      </c>
      <c r="C92" s="105">
        <v>1.0309999999999999</v>
      </c>
      <c r="D92" s="105">
        <v>1.240726</v>
      </c>
      <c r="E92" s="105">
        <v>3.1580458244260257</v>
      </c>
      <c r="F92" s="105">
        <v>8.3017620000000001</v>
      </c>
      <c r="G92" s="105">
        <v>-21.829447692914414</v>
      </c>
      <c r="H92" s="100">
        <f t="shared" si="32"/>
        <v>-26.983195542158533</v>
      </c>
      <c r="I92" s="86">
        <f t="shared" si="33"/>
        <v>1.9934001406264352</v>
      </c>
      <c r="J92" s="87">
        <f t="shared" si="34"/>
        <v>8.0521454898157128</v>
      </c>
      <c r="K92" s="87">
        <f t="shared" si="42"/>
        <v>44.65</v>
      </c>
      <c r="L92" s="87">
        <f t="shared" si="42"/>
        <v>2.83</v>
      </c>
      <c r="M92" s="87">
        <f t="shared" si="35"/>
        <v>0.46034149999999996</v>
      </c>
      <c r="N92" s="179">
        <f t="shared" si="36"/>
        <v>0.45541805979599997</v>
      </c>
      <c r="O92" s="91">
        <f t="shared" si="37"/>
        <v>44.172459728031036</v>
      </c>
      <c r="P92" s="87">
        <f t="shared" si="38"/>
        <v>1.2034199806013579</v>
      </c>
      <c r="Q92" s="87">
        <f t="shared" si="43"/>
        <v>2.91773E-2</v>
      </c>
      <c r="R92" s="179">
        <f t="shared" si="39"/>
        <v>2.7953556780000003E-2</v>
      </c>
      <c r="S92" s="89">
        <f t="shared" si="40"/>
        <v>2.7113052162948597</v>
      </c>
      <c r="T92" s="86">
        <f t="shared" si="41"/>
        <v>16.291953949911626</v>
      </c>
      <c r="U92" s="90"/>
      <c r="V92" s="90"/>
      <c r="W92" s="90"/>
      <c r="X92" s="90"/>
      <c r="Y92" s="90"/>
      <c r="Z92" s="90"/>
      <c r="AA92" s="90"/>
      <c r="AB92" s="90"/>
    </row>
    <row r="93" spans="1:28" s="90" customFormat="1" ht="11.25" customHeight="1" x14ac:dyDescent="0.2">
      <c r="A93" s="117">
        <v>37</v>
      </c>
      <c r="B93" s="117" t="s">
        <v>59</v>
      </c>
      <c r="C93" s="105">
        <v>0.93</v>
      </c>
      <c r="D93" s="105">
        <v>1.12672225</v>
      </c>
      <c r="E93" s="105">
        <v>3.2747606755281211</v>
      </c>
      <c r="F93" s="105">
        <v>7.5825459999999998</v>
      </c>
      <c r="G93" s="105">
        <v>-21.781291071865244</v>
      </c>
      <c r="H93" s="100">
        <f t="shared" si="32"/>
        <v>-26.933979475446279</v>
      </c>
      <c r="I93" s="86">
        <f t="shared" si="33"/>
        <v>2.1101149917285307</v>
      </c>
      <c r="J93" s="87">
        <f t="shared" si="34"/>
        <v>8.1532752688172039</v>
      </c>
      <c r="K93" s="87">
        <f t="shared" si="42"/>
        <v>44.65</v>
      </c>
      <c r="L93" s="87">
        <f t="shared" si="42"/>
        <v>2.83</v>
      </c>
      <c r="M93" s="87">
        <f t="shared" si="35"/>
        <v>0.41524500000000003</v>
      </c>
      <c r="N93" s="179">
        <f t="shared" si="36"/>
        <v>0.41596330846799995</v>
      </c>
      <c r="O93" s="91">
        <f t="shared" si="37"/>
        <v>44.727237469677412</v>
      </c>
      <c r="P93" s="87">
        <f t="shared" si="38"/>
        <v>1.2115293010752688</v>
      </c>
      <c r="Q93" s="87">
        <f t="shared" si="43"/>
        <v>2.6319000000000002E-2</v>
      </c>
      <c r="R93" s="179">
        <f t="shared" si="39"/>
        <v>2.5385052292500002E-2</v>
      </c>
      <c r="S93" s="89">
        <f t="shared" si="40"/>
        <v>2.7295755153225807</v>
      </c>
      <c r="T93" s="86">
        <f t="shared" si="41"/>
        <v>16.386151333274821</v>
      </c>
    </row>
    <row r="94" spans="1:28" s="126" customFormat="1" ht="11.25" customHeight="1" x14ac:dyDescent="0.2">
      <c r="A94" s="117">
        <v>52</v>
      </c>
      <c r="B94" s="117" t="s">
        <v>82</v>
      </c>
      <c r="C94" s="105">
        <v>1.2010000000000001</v>
      </c>
      <c r="D94" s="105">
        <v>1.5931247500000001</v>
      </c>
      <c r="E94" s="105">
        <v>2.2042576848095852</v>
      </c>
      <c r="F94" s="105">
        <v>9.6418379999999999</v>
      </c>
      <c r="G94" s="105">
        <v>-21.506665742967947</v>
      </c>
      <c r="H94" s="100">
        <f t="shared" si="32"/>
        <v>-26.653312389313243</v>
      </c>
      <c r="I94" s="86">
        <f t="shared" si="33"/>
        <v>1.0396120010099947</v>
      </c>
      <c r="J94" s="87">
        <f t="shared" si="34"/>
        <v>8.0281748542880926</v>
      </c>
      <c r="K94" s="87">
        <f t="shared" si="42"/>
        <v>44.65</v>
      </c>
      <c r="L94" s="87">
        <f t="shared" si="42"/>
        <v>2.83</v>
      </c>
      <c r="M94" s="87">
        <f t="shared" si="35"/>
        <v>0.53624650000000007</v>
      </c>
      <c r="N94" s="179">
        <f t="shared" si="36"/>
        <v>0.52893194900399998</v>
      </c>
      <c r="O94" s="91">
        <f t="shared" si="37"/>
        <v>44.040961615653615</v>
      </c>
      <c r="P94" s="87">
        <f t="shared" si="38"/>
        <v>1.3264985428809326</v>
      </c>
      <c r="Q94" s="87">
        <f t="shared" si="43"/>
        <v>3.3988300000000006E-2</v>
      </c>
      <c r="R94" s="179">
        <f t="shared" si="39"/>
        <v>3.5893100617500007E-2</v>
      </c>
      <c r="S94" s="89">
        <f t="shared" si="40"/>
        <v>2.9886012171107414</v>
      </c>
      <c r="T94" s="86">
        <f t="shared" si="41"/>
        <v>14.736312547657541</v>
      </c>
      <c r="U94" s="90"/>
      <c r="V94" s="90"/>
      <c r="W94" s="90"/>
      <c r="X94" s="90"/>
      <c r="Y94" s="90"/>
      <c r="Z94" s="90"/>
      <c r="AA94" s="90"/>
      <c r="AB94" s="90"/>
    </row>
    <row r="95" spans="1:28" s="126" customFormat="1" ht="11.25" customHeight="1" x14ac:dyDescent="0.2">
      <c r="A95" s="117">
        <v>63</v>
      </c>
      <c r="B95" s="117" t="s">
        <v>61</v>
      </c>
      <c r="C95" s="105">
        <v>1.228</v>
      </c>
      <c r="D95" s="105">
        <v>1.5565523750000001</v>
      </c>
      <c r="E95" s="105">
        <v>3.4760592970155546</v>
      </c>
      <c r="F95" s="105">
        <v>10.146818</v>
      </c>
      <c r="G95" s="105">
        <v>-21.521193490604272</v>
      </c>
      <c r="H95" s="100">
        <f t="shared" si="32"/>
        <v>-26.668159747397567</v>
      </c>
      <c r="I95" s="86">
        <f t="shared" si="33"/>
        <v>2.3114136132159642</v>
      </c>
      <c r="J95" s="87">
        <f t="shared" si="34"/>
        <v>8.2628811074918573</v>
      </c>
      <c r="K95" s="87">
        <f t="shared" si="42"/>
        <v>44.65</v>
      </c>
      <c r="L95" s="87">
        <f t="shared" si="42"/>
        <v>2.83</v>
      </c>
      <c r="M95" s="87">
        <f t="shared" si="35"/>
        <v>0.54830199999999996</v>
      </c>
      <c r="N95" s="179">
        <f t="shared" si="36"/>
        <v>0.55663414184399995</v>
      </c>
      <c r="O95" s="91">
        <f t="shared" si="37"/>
        <v>45.328513179478826</v>
      </c>
      <c r="P95" s="87">
        <f t="shared" si="38"/>
        <v>1.2675507939739414</v>
      </c>
      <c r="Q95" s="87">
        <f t="shared" si="43"/>
        <v>3.4752400000000003E-2</v>
      </c>
      <c r="R95" s="179">
        <f t="shared" si="39"/>
        <v>3.5069125008750007E-2</v>
      </c>
      <c r="S95" s="89">
        <f t="shared" si="40"/>
        <v>2.8557919388232906</v>
      </c>
      <c r="T95" s="86">
        <f t="shared" si="41"/>
        <v>15.87248446333108</v>
      </c>
      <c r="U95" s="90"/>
      <c r="V95" s="90"/>
      <c r="W95" s="90"/>
      <c r="X95" s="90"/>
      <c r="Y95" s="90"/>
      <c r="Z95" s="90"/>
      <c r="AA95" s="90"/>
      <c r="AB95" s="90"/>
    </row>
    <row r="96" spans="1:28" s="90" customFormat="1" ht="11.25" customHeight="1" x14ac:dyDescent="0.2">
      <c r="A96" s="117">
        <v>75</v>
      </c>
      <c r="B96" s="117" t="s">
        <v>84</v>
      </c>
      <c r="C96" s="105">
        <v>1.002</v>
      </c>
      <c r="D96" s="105">
        <v>1.2940704999999999</v>
      </c>
      <c r="E96" s="105">
        <v>3.4089227080211781</v>
      </c>
      <c r="F96" s="105">
        <v>8.4165299999999998</v>
      </c>
      <c r="G96" s="105">
        <v>-21.489179954945584</v>
      </c>
      <c r="H96" s="100">
        <f t="shared" si="32"/>
        <v>-26.635441913954388</v>
      </c>
      <c r="I96" s="86">
        <f t="shared" si="33"/>
        <v>2.2442770242215877</v>
      </c>
      <c r="J96" s="87">
        <f t="shared" si="34"/>
        <v>8.3997305389221548</v>
      </c>
      <c r="K96" s="87">
        <f t="shared" si="42"/>
        <v>44.65</v>
      </c>
      <c r="L96" s="87">
        <f t="shared" si="42"/>
        <v>2.83</v>
      </c>
      <c r="M96" s="87">
        <f t="shared" si="35"/>
        <v>0.44739299999999999</v>
      </c>
      <c r="N96" s="179">
        <f t="shared" si="36"/>
        <v>0.46171400273999996</v>
      </c>
      <c r="O96" s="91">
        <f t="shared" si="37"/>
        <v>46.079241790419154</v>
      </c>
      <c r="P96" s="87">
        <f t="shared" si="38"/>
        <v>1.2914875249500997</v>
      </c>
      <c r="Q96" s="87">
        <f t="shared" si="43"/>
        <v>2.8356600000000003E-2</v>
      </c>
      <c r="R96" s="179">
        <f t="shared" si="39"/>
        <v>2.9155408365E-2</v>
      </c>
      <c r="S96" s="89">
        <f t="shared" si="40"/>
        <v>2.9097213937125748</v>
      </c>
      <c r="T96" s="86">
        <f t="shared" si="41"/>
        <v>15.836307177033772</v>
      </c>
    </row>
    <row r="97" spans="1:28" s="126" customFormat="1" ht="11.25" customHeight="1" x14ac:dyDescent="0.2">
      <c r="A97" s="197"/>
      <c r="B97" s="197"/>
      <c r="C97" s="120"/>
      <c r="D97" s="120"/>
      <c r="E97" s="120"/>
      <c r="F97" s="198"/>
      <c r="G97" s="198"/>
      <c r="H97" s="121"/>
      <c r="I97" s="122"/>
      <c r="J97" s="118"/>
      <c r="K97" s="118"/>
      <c r="L97" s="118"/>
      <c r="M97" s="118"/>
      <c r="N97" s="181"/>
      <c r="O97" s="124"/>
      <c r="P97" s="118"/>
      <c r="Q97" s="118"/>
      <c r="R97" s="181"/>
      <c r="S97" s="125"/>
      <c r="T97" s="122"/>
    </row>
    <row r="98" spans="1:28" ht="11.25" customHeight="1" x14ac:dyDescent="0.2">
      <c r="A98" s="92" t="s">
        <v>71</v>
      </c>
      <c r="B98" s="93" t="s">
        <v>40</v>
      </c>
      <c r="C98" s="92" t="s">
        <v>54</v>
      </c>
      <c r="D98" s="92" t="s">
        <v>72</v>
      </c>
      <c r="E98" s="94" t="s">
        <v>79</v>
      </c>
      <c r="F98" s="92" t="s">
        <v>72</v>
      </c>
      <c r="G98" s="94" t="s">
        <v>73</v>
      </c>
      <c r="J98" s="1"/>
      <c r="K98" s="1"/>
      <c r="L98" s="1"/>
      <c r="V98" s="1"/>
      <c r="W98" s="1"/>
      <c r="X98" s="1"/>
      <c r="Y98" s="1"/>
      <c r="Z98" s="1"/>
      <c r="AA98" s="1"/>
      <c r="AB98" s="1"/>
    </row>
    <row r="99" spans="1:28" ht="11.25" customHeight="1" x14ac:dyDescent="0.2">
      <c r="A99" s="97" t="s">
        <v>74</v>
      </c>
      <c r="B99" s="97" t="s">
        <v>75</v>
      </c>
      <c r="C99" s="98" t="s">
        <v>77</v>
      </c>
      <c r="D99" s="98" t="s">
        <v>76</v>
      </c>
      <c r="E99" s="98" t="s">
        <v>78</v>
      </c>
      <c r="F99" s="98" t="s">
        <v>76</v>
      </c>
      <c r="G99" s="98" t="s">
        <v>78</v>
      </c>
      <c r="J99" s="1"/>
      <c r="K99" s="1"/>
      <c r="L99" s="1"/>
      <c r="V99" s="1"/>
      <c r="W99" s="1"/>
      <c r="X99" s="1"/>
      <c r="Y99" s="1"/>
      <c r="Z99" s="1"/>
      <c r="AA99" s="1"/>
      <c r="AB99" s="1"/>
    </row>
    <row r="100" spans="1:28" ht="11.25" customHeight="1" x14ac:dyDescent="0.2">
      <c r="A100" s="95">
        <v>33</v>
      </c>
      <c r="B100" s="95" t="s">
        <v>85</v>
      </c>
      <c r="C100" s="96">
        <v>1.5680000000000001</v>
      </c>
      <c r="D100" s="96">
        <v>0.57160343749999998</v>
      </c>
      <c r="E100" s="96">
        <v>2.8799411243840556</v>
      </c>
      <c r="F100" s="96">
        <v>1.5817239999999999</v>
      </c>
      <c r="G100" s="96">
        <v>-21.848580214636076</v>
      </c>
      <c r="J100" s="1"/>
      <c r="K100" s="1"/>
      <c r="L100" s="1"/>
      <c r="V100" s="1"/>
      <c r="W100" s="1"/>
      <c r="X100" s="1"/>
      <c r="Y100" s="1"/>
      <c r="Z100" s="1"/>
      <c r="AA100" s="1"/>
      <c r="AB100" s="1"/>
    </row>
    <row r="101" spans="1:28" ht="11.25" customHeight="1" x14ac:dyDescent="0.2">
      <c r="A101" s="114"/>
      <c r="B101" s="114"/>
      <c r="C101" s="108"/>
      <c r="D101" s="108"/>
      <c r="E101" s="108"/>
      <c r="F101" s="108"/>
      <c r="J101" s="1"/>
      <c r="K101" s="1"/>
      <c r="L101" s="1"/>
      <c r="V101" s="1"/>
      <c r="W101" s="1"/>
      <c r="X101" s="1"/>
      <c r="Y101" s="1"/>
      <c r="Z101" s="1"/>
      <c r="AA101" s="1"/>
      <c r="AB101" s="1"/>
    </row>
    <row r="102" spans="1:28" ht="11.25" customHeight="1" x14ac:dyDescent="0.2">
      <c r="J102" s="1"/>
      <c r="K102" s="1"/>
      <c r="L102" s="1"/>
      <c r="V102" s="1"/>
      <c r="W102" s="1"/>
      <c r="X102" s="1"/>
      <c r="Y102" s="1"/>
      <c r="Z102" s="1"/>
      <c r="AA102" s="1"/>
      <c r="AB102" s="1"/>
    </row>
    <row r="103" spans="1:28" ht="11.25" customHeight="1" x14ac:dyDescent="0.25">
      <c r="J103" s="1"/>
      <c r="K103" s="1"/>
      <c r="L103" s="1"/>
      <c r="P103"/>
      <c r="Q103"/>
      <c r="R103"/>
      <c r="S103"/>
      <c r="T103"/>
      <c r="U103"/>
      <c r="W103" s="1"/>
      <c r="X103" s="1"/>
      <c r="Y103" s="1"/>
      <c r="Z103" s="1"/>
      <c r="AA103" s="1"/>
      <c r="AB103" s="1"/>
    </row>
    <row r="104" spans="1:28" ht="11.25" customHeight="1" x14ac:dyDescent="0.2">
      <c r="A104" s="92" t="s">
        <v>71</v>
      </c>
      <c r="B104" s="93" t="s">
        <v>40</v>
      </c>
      <c r="C104" s="92" t="s">
        <v>54</v>
      </c>
      <c r="D104" s="92" t="s">
        <v>72</v>
      </c>
      <c r="E104" s="94" t="s">
        <v>79</v>
      </c>
      <c r="F104" s="92" t="s">
        <v>72</v>
      </c>
      <c r="G104" s="94" t="s">
        <v>73</v>
      </c>
      <c r="H104" s="5"/>
      <c r="J104" s="1"/>
      <c r="K104" s="1"/>
      <c r="L104" s="1"/>
      <c r="V104" s="1"/>
      <c r="W104" s="1"/>
      <c r="X104" s="1"/>
      <c r="Y104" s="1"/>
      <c r="Z104" s="1"/>
      <c r="AA104" s="1"/>
      <c r="AB104" s="1"/>
    </row>
    <row r="105" spans="1:28" ht="11.25" customHeight="1" x14ac:dyDescent="0.2">
      <c r="A105" s="97" t="s">
        <v>74</v>
      </c>
      <c r="B105" s="97" t="s">
        <v>75</v>
      </c>
      <c r="C105" s="98" t="s">
        <v>77</v>
      </c>
      <c r="D105" s="98" t="s">
        <v>76</v>
      </c>
      <c r="E105" s="98" t="s">
        <v>78</v>
      </c>
      <c r="F105" s="98" t="s">
        <v>76</v>
      </c>
      <c r="G105" s="98" t="s">
        <v>78</v>
      </c>
      <c r="H105" s="5"/>
      <c r="J105" s="1"/>
      <c r="K105" s="1"/>
      <c r="L105" s="1"/>
      <c r="V105" s="1"/>
      <c r="W105" s="1"/>
      <c r="X105" s="1"/>
      <c r="Y105" s="1"/>
      <c r="Z105" s="1"/>
      <c r="AA105" s="1"/>
      <c r="AB105" s="1"/>
    </row>
    <row r="106" spans="1:28" ht="11.25" customHeight="1" x14ac:dyDescent="0.2">
      <c r="A106" s="83">
        <v>30</v>
      </c>
      <c r="B106" s="83" t="s">
        <v>55</v>
      </c>
      <c r="C106" s="84">
        <v>0.97099999999999997</v>
      </c>
      <c r="D106" s="84">
        <v>1.1766516250000001</v>
      </c>
      <c r="E106" s="84">
        <v>4.3232640166910308</v>
      </c>
      <c r="F106" s="84">
        <v>7.7812425000000003</v>
      </c>
      <c r="G106" s="84">
        <v>-21.902719891811749</v>
      </c>
      <c r="H106" s="5"/>
      <c r="J106" s="1"/>
      <c r="K106" s="1"/>
      <c r="L106" s="1"/>
      <c r="V106" s="1"/>
      <c r="W106" s="1"/>
      <c r="X106" s="1"/>
      <c r="Y106" s="1"/>
      <c r="Z106" s="1"/>
      <c r="AA106" s="1"/>
      <c r="AB106" s="1"/>
    </row>
    <row r="107" spans="1:28" ht="11.25" customHeight="1" x14ac:dyDescent="0.2">
      <c r="A107" s="95">
        <v>31</v>
      </c>
      <c r="B107" s="95" t="s">
        <v>56</v>
      </c>
      <c r="C107" s="96">
        <v>0.77400000000000002</v>
      </c>
      <c r="D107" s="96">
        <v>0.94444075000000005</v>
      </c>
      <c r="E107" s="96">
        <v>2.6918521713794608</v>
      </c>
      <c r="F107" s="96">
        <v>6.2339444999999998</v>
      </c>
      <c r="G107" s="96">
        <v>-21.872016065781629</v>
      </c>
      <c r="H107" s="5"/>
      <c r="J107" s="1"/>
      <c r="K107" s="1"/>
      <c r="L107" s="1"/>
      <c r="V107" s="1"/>
      <c r="W107" s="1"/>
      <c r="X107" s="1"/>
      <c r="Y107" s="1"/>
      <c r="Z107" s="1"/>
      <c r="AA107" s="1"/>
      <c r="AB107" s="1"/>
    </row>
    <row r="108" spans="1:28" ht="11.25" customHeight="1" x14ac:dyDescent="0.2">
      <c r="A108" s="83">
        <v>32</v>
      </c>
      <c r="B108" s="83" t="s">
        <v>57</v>
      </c>
      <c r="C108" s="84">
        <v>1.194</v>
      </c>
      <c r="D108" s="84">
        <v>1.4920009999999999</v>
      </c>
      <c r="E108" s="84">
        <v>3.4200030925257696</v>
      </c>
      <c r="F108" s="84">
        <v>9.677937</v>
      </c>
      <c r="G108" s="84">
        <v>-21.978907884339854</v>
      </c>
      <c r="H108" s="5"/>
      <c r="J108" s="1"/>
      <c r="K108" s="1"/>
      <c r="L108" s="1"/>
      <c r="V108" s="1"/>
      <c r="W108" s="1"/>
      <c r="X108" s="1"/>
      <c r="Y108" s="1"/>
      <c r="Z108" s="1"/>
      <c r="AA108" s="1"/>
      <c r="AB108" s="1"/>
    </row>
    <row r="109" spans="1:28" ht="11.25" customHeight="1" x14ac:dyDescent="0.2">
      <c r="A109" s="95">
        <v>33</v>
      </c>
      <c r="B109" s="95" t="s">
        <v>58</v>
      </c>
      <c r="C109" s="96">
        <v>1.0309999999999999</v>
      </c>
      <c r="D109" s="96">
        <v>1.240726</v>
      </c>
      <c r="E109" s="96">
        <v>3.1580458244260257</v>
      </c>
      <c r="F109" s="96">
        <v>8.3017620000000001</v>
      </c>
      <c r="G109" s="96">
        <v>-21.829447692914414</v>
      </c>
      <c r="H109" s="5"/>
      <c r="J109" s="1"/>
      <c r="K109" s="1"/>
      <c r="L109" s="1"/>
      <c r="V109" s="1"/>
      <c r="W109" s="1"/>
      <c r="X109" s="1"/>
      <c r="Y109" s="1"/>
      <c r="Z109" s="1"/>
      <c r="AA109" s="1"/>
      <c r="AB109" s="1"/>
    </row>
    <row r="110" spans="1:28" ht="11.25" customHeight="1" x14ac:dyDescent="0.2">
      <c r="A110" s="83">
        <v>34</v>
      </c>
      <c r="B110" s="83" t="s">
        <v>60</v>
      </c>
      <c r="C110" s="84">
        <v>0.80300000000000005</v>
      </c>
      <c r="D110" s="84">
        <v>0.16868259375</v>
      </c>
      <c r="E110" s="84">
        <v>-7.8096566774374931</v>
      </c>
      <c r="F110" s="84">
        <v>5.9782694999999997</v>
      </c>
      <c r="G110" s="84">
        <v>-20.447858133680555</v>
      </c>
      <c r="H110" s="5"/>
      <c r="J110" s="1"/>
      <c r="K110" s="1"/>
      <c r="L110" s="1"/>
      <c r="V110" s="1"/>
      <c r="W110" s="1"/>
      <c r="X110" s="1"/>
      <c r="Y110" s="1"/>
      <c r="Z110" s="1"/>
      <c r="AA110" s="1"/>
      <c r="AB110" s="1"/>
    </row>
    <row r="111" spans="1:28" ht="11.25" customHeight="1" x14ac:dyDescent="0.2">
      <c r="A111" s="95">
        <v>35</v>
      </c>
      <c r="B111" s="95" t="s">
        <v>66</v>
      </c>
      <c r="C111" s="96">
        <v>0.68899999999999995</v>
      </c>
      <c r="D111" s="96">
        <v>0.169026453125</v>
      </c>
      <c r="E111" s="96">
        <v>-7.3327729689081078</v>
      </c>
      <c r="F111" s="96">
        <v>5.1201334999999997</v>
      </c>
      <c r="G111" s="96">
        <v>-6.2578380615781164</v>
      </c>
      <c r="H111" s="5"/>
      <c r="J111" s="1"/>
      <c r="K111" s="1"/>
      <c r="L111" s="1"/>
      <c r="V111" s="1"/>
      <c r="W111" s="1"/>
      <c r="X111" s="1"/>
      <c r="Y111" s="1"/>
      <c r="Z111" s="1"/>
      <c r="AA111" s="1"/>
      <c r="AB111" s="1"/>
    </row>
    <row r="112" spans="1:28" ht="11.25" customHeight="1" x14ac:dyDescent="0.2">
      <c r="A112" s="83">
        <v>36</v>
      </c>
      <c r="B112" s="83" t="s">
        <v>65</v>
      </c>
      <c r="C112" s="84">
        <v>1.0740000000000001</v>
      </c>
      <c r="D112" s="84">
        <v>0.16981467187499999</v>
      </c>
      <c r="E112" s="84">
        <v>-6.795023272636258</v>
      </c>
      <c r="F112" s="84">
        <v>3.6059049999999999</v>
      </c>
      <c r="G112" s="84">
        <v>-13.814092207324929</v>
      </c>
      <c r="H112" s="5"/>
      <c r="J112" s="1"/>
      <c r="K112" s="1"/>
      <c r="L112" s="1"/>
      <c r="V112" s="1"/>
      <c r="W112" s="1"/>
      <c r="X112" s="1"/>
      <c r="Y112" s="1"/>
      <c r="Z112" s="1"/>
      <c r="AA112" s="1"/>
      <c r="AB112" s="1"/>
    </row>
    <row r="113" spans="1:28" ht="11.25" customHeight="1" x14ac:dyDescent="0.2">
      <c r="A113" s="95">
        <v>37</v>
      </c>
      <c r="B113" s="95" t="s">
        <v>59</v>
      </c>
      <c r="C113" s="96">
        <v>0.93</v>
      </c>
      <c r="D113" s="96">
        <v>1.12672225</v>
      </c>
      <c r="E113" s="96">
        <v>3.2747606755281211</v>
      </c>
      <c r="F113" s="96">
        <v>7.5825459999999998</v>
      </c>
      <c r="G113" s="96">
        <v>-21.781291071865244</v>
      </c>
      <c r="H113" s="5"/>
      <c r="J113" s="1"/>
      <c r="K113" s="1"/>
      <c r="L113" s="1"/>
      <c r="V113" s="1"/>
      <c r="W113" s="1"/>
      <c r="X113" s="1"/>
      <c r="Y113" s="1"/>
      <c r="Z113" s="1"/>
      <c r="AA113" s="1"/>
      <c r="AB113" s="1"/>
    </row>
    <row r="114" spans="1:28" ht="11.25" customHeight="1" x14ac:dyDescent="0.2">
      <c r="A114" s="83">
        <v>38</v>
      </c>
      <c r="B114" s="83" t="s">
        <v>587</v>
      </c>
      <c r="C114" s="84">
        <v>2.1789999999999998</v>
      </c>
      <c r="D114" s="84">
        <v>0.242269796875</v>
      </c>
      <c r="E114" s="84">
        <v>-2.7513070679423546</v>
      </c>
      <c r="F114" s="84">
        <v>0.75079668749999995</v>
      </c>
      <c r="G114" s="84">
        <v>-20.148666954107824</v>
      </c>
      <c r="H114" s="5"/>
      <c r="J114" s="1"/>
      <c r="K114" s="1"/>
      <c r="L114" s="1"/>
      <c r="V114" s="1"/>
      <c r="W114" s="1"/>
      <c r="X114" s="1"/>
      <c r="Y114" s="1"/>
      <c r="Z114" s="1"/>
      <c r="AA114" s="1"/>
      <c r="AB114" s="1"/>
    </row>
    <row r="115" spans="1:28" ht="11.25" customHeight="1" x14ac:dyDescent="0.2">
      <c r="A115" s="95">
        <v>39</v>
      </c>
      <c r="B115" s="95" t="s">
        <v>588</v>
      </c>
      <c r="C115" s="96">
        <v>2.37</v>
      </c>
      <c r="D115" s="96">
        <v>0.2486719375</v>
      </c>
      <c r="E115" s="96">
        <v>-2.6352293386806558</v>
      </c>
      <c r="F115" s="96">
        <v>0.81000174999999996</v>
      </c>
      <c r="G115" s="96">
        <v>-20.637977941271991</v>
      </c>
      <c r="H115" s="5"/>
      <c r="J115" s="1"/>
      <c r="K115" s="1"/>
      <c r="L115" s="1"/>
      <c r="V115" s="1"/>
      <c r="W115" s="1"/>
      <c r="X115" s="1"/>
      <c r="Y115" s="1"/>
      <c r="Z115" s="1"/>
      <c r="AA115" s="1"/>
      <c r="AB115" s="1"/>
    </row>
    <row r="116" spans="1:28" ht="11.25" customHeight="1" x14ac:dyDescent="0.2">
      <c r="A116" s="83">
        <v>40</v>
      </c>
      <c r="B116" s="83" t="s">
        <v>589</v>
      </c>
      <c r="C116" s="84">
        <v>1.8120000000000001</v>
      </c>
      <c r="D116" s="84">
        <v>0.212961796875</v>
      </c>
      <c r="E116" s="84">
        <v>-6.1756082929074196</v>
      </c>
      <c r="F116" s="84">
        <v>0.339910875</v>
      </c>
      <c r="G116" s="84">
        <v>-21.944513525863897</v>
      </c>
      <c r="H116" s="5"/>
      <c r="J116" s="1"/>
      <c r="K116" s="1"/>
      <c r="L116" s="1"/>
      <c r="V116" s="1"/>
      <c r="W116" s="1"/>
      <c r="X116" s="1"/>
      <c r="Y116" s="1"/>
      <c r="Z116" s="1"/>
      <c r="AA116" s="1"/>
      <c r="AB116" s="1"/>
    </row>
    <row r="117" spans="1:28" ht="11.25" customHeight="1" x14ac:dyDescent="0.2">
      <c r="A117" s="95">
        <v>41</v>
      </c>
      <c r="B117" s="95" t="s">
        <v>590</v>
      </c>
      <c r="C117" s="96">
        <v>2.0249999999999999</v>
      </c>
      <c r="D117" s="96">
        <v>0.41826865624999998</v>
      </c>
      <c r="E117" s="96">
        <v>0.41754132771498753</v>
      </c>
      <c r="F117" s="96">
        <v>2.1350577500000001</v>
      </c>
      <c r="G117" s="96">
        <v>-21.030640039162801</v>
      </c>
      <c r="H117" s="5"/>
      <c r="J117" s="1"/>
      <c r="K117" s="1"/>
      <c r="L117" s="1"/>
      <c r="V117" s="1"/>
      <c r="W117" s="1"/>
      <c r="X117" s="1"/>
      <c r="Y117" s="1"/>
      <c r="Z117" s="1"/>
      <c r="AA117" s="1"/>
      <c r="AB117" s="1"/>
    </row>
    <row r="118" spans="1:28" ht="11.25" customHeight="1" x14ac:dyDescent="0.2">
      <c r="A118" s="83">
        <v>42</v>
      </c>
      <c r="B118" s="83" t="s">
        <v>591</v>
      </c>
      <c r="C118" s="84">
        <v>1.8480000000000001</v>
      </c>
      <c r="D118" s="84">
        <v>0.40576709374999997</v>
      </c>
      <c r="E118" s="84">
        <v>-2.6527551699996321</v>
      </c>
      <c r="F118" s="84">
        <v>1.2952831250000001</v>
      </c>
      <c r="G118" s="84">
        <v>-20.750875833374486</v>
      </c>
      <c r="H118" s="5"/>
      <c r="J118" s="1"/>
      <c r="K118" s="1"/>
      <c r="L118" s="1"/>
      <c r="V118" s="1"/>
      <c r="W118" s="1"/>
      <c r="X118" s="1"/>
      <c r="Y118" s="1"/>
      <c r="Z118" s="1"/>
      <c r="AA118" s="1"/>
      <c r="AB118" s="1"/>
    </row>
    <row r="119" spans="1:28" ht="11.25" customHeight="1" x14ac:dyDescent="0.2">
      <c r="A119" s="95">
        <v>43</v>
      </c>
      <c r="B119" s="95" t="s">
        <v>592</v>
      </c>
      <c r="C119" s="96">
        <v>2.1760000000000002</v>
      </c>
      <c r="D119" s="96">
        <v>0.50335003125</v>
      </c>
      <c r="E119" s="96">
        <v>-1.050596132526338</v>
      </c>
      <c r="F119" s="96">
        <v>1.2165431250000001</v>
      </c>
      <c r="G119" s="96">
        <v>-20.795539561033781</v>
      </c>
      <c r="H119" s="5"/>
      <c r="J119" s="1"/>
      <c r="K119" s="1"/>
      <c r="L119" s="1"/>
      <c r="V119" s="1"/>
      <c r="W119" s="1"/>
      <c r="X119" s="1"/>
      <c r="Y119" s="1"/>
      <c r="Z119" s="1"/>
      <c r="AA119" s="1"/>
      <c r="AB119" s="1"/>
    </row>
    <row r="120" spans="1:28" ht="11.25" customHeight="1" x14ac:dyDescent="0.2">
      <c r="A120" s="83">
        <v>44</v>
      </c>
      <c r="B120" s="83" t="s">
        <v>593</v>
      </c>
      <c r="C120" s="84">
        <v>2.2109999999999999</v>
      </c>
      <c r="D120" s="84">
        <v>0.63605962500000002</v>
      </c>
      <c r="E120" s="84">
        <v>-0.99662411920664606</v>
      </c>
      <c r="F120" s="84">
        <v>1.9612126249999999</v>
      </c>
      <c r="G120" s="84">
        <v>-21.051371394930069</v>
      </c>
      <c r="H120" s="5"/>
      <c r="J120" s="1"/>
      <c r="K120" s="1"/>
      <c r="L120" s="1"/>
      <c r="V120" s="1"/>
      <c r="W120" s="1"/>
      <c r="X120" s="1"/>
      <c r="Y120" s="1"/>
      <c r="Z120" s="1"/>
      <c r="AA120" s="1"/>
      <c r="AB120" s="1"/>
    </row>
    <row r="121" spans="1:28" ht="11.25" customHeight="1" x14ac:dyDescent="0.2">
      <c r="A121" s="95">
        <v>45</v>
      </c>
      <c r="B121" s="95" t="s">
        <v>594</v>
      </c>
      <c r="C121" s="96">
        <v>1.992</v>
      </c>
      <c r="D121" s="96">
        <v>0.58299243749999996</v>
      </c>
      <c r="E121" s="96">
        <v>-3.7115573902213317</v>
      </c>
      <c r="F121" s="96">
        <v>0.59116800000000003</v>
      </c>
      <c r="G121" s="96">
        <v>-20.009210604326977</v>
      </c>
      <c r="H121" s="5"/>
      <c r="J121" s="1"/>
      <c r="K121" s="1"/>
      <c r="L121" s="1"/>
      <c r="V121" s="1"/>
      <c r="W121" s="1"/>
      <c r="X121" s="1"/>
      <c r="Y121" s="1"/>
      <c r="Z121" s="1"/>
      <c r="AA121" s="1"/>
      <c r="AB121" s="1"/>
    </row>
    <row r="122" spans="1:28" ht="11.25" customHeight="1" x14ac:dyDescent="0.2">
      <c r="A122" s="83">
        <v>46</v>
      </c>
      <c r="B122" s="83" t="s">
        <v>595</v>
      </c>
      <c r="C122" s="84">
        <v>1.972</v>
      </c>
      <c r="D122" s="84">
        <v>0.64363375</v>
      </c>
      <c r="E122" s="84">
        <v>-2.2964498766614438</v>
      </c>
      <c r="F122" s="84">
        <v>1.0056955000000001</v>
      </c>
      <c r="G122" s="84">
        <v>-20.211521520553148</v>
      </c>
      <c r="H122" s="5"/>
      <c r="J122" s="1"/>
      <c r="K122" s="1"/>
      <c r="L122" s="1"/>
      <c r="V122" s="1"/>
      <c r="W122" s="1"/>
      <c r="X122" s="1"/>
      <c r="Y122" s="1"/>
      <c r="Z122" s="1"/>
      <c r="AA122" s="1"/>
      <c r="AB122" s="1"/>
    </row>
    <row r="123" spans="1:28" ht="11.25" customHeight="1" x14ac:dyDescent="0.2">
      <c r="A123" s="95">
        <v>47</v>
      </c>
      <c r="B123" s="95" t="s">
        <v>596</v>
      </c>
      <c r="C123" s="96">
        <v>2.3479999999999999</v>
      </c>
      <c r="D123" s="96">
        <v>0.60183237499999997</v>
      </c>
      <c r="E123" s="96">
        <v>-3.0059003429150355</v>
      </c>
      <c r="F123" s="96">
        <v>0.60619274999999995</v>
      </c>
      <c r="G123" s="96">
        <v>-19.961065267171332</v>
      </c>
      <c r="H123" s="5"/>
      <c r="J123" s="1"/>
      <c r="K123" s="1"/>
      <c r="L123" s="1"/>
      <c r="V123" s="1"/>
      <c r="W123" s="1"/>
      <c r="X123" s="1"/>
      <c r="Y123" s="1"/>
      <c r="Z123" s="1"/>
      <c r="AA123" s="1"/>
      <c r="AB123" s="1"/>
    </row>
    <row r="124" spans="1:28" ht="11.25" customHeight="1" x14ac:dyDescent="0.2">
      <c r="A124" s="83">
        <v>48</v>
      </c>
      <c r="B124" s="83" t="s">
        <v>597</v>
      </c>
      <c r="C124" s="84">
        <v>2.0059999999999998</v>
      </c>
      <c r="D124" s="84">
        <v>0.5794248125</v>
      </c>
      <c r="E124" s="84">
        <v>-2.3590102942178115</v>
      </c>
      <c r="F124" s="84">
        <v>0.59847506250000004</v>
      </c>
      <c r="G124" s="84">
        <v>-19.936433482999906</v>
      </c>
      <c r="H124" s="5"/>
      <c r="J124" s="1"/>
      <c r="K124" s="1"/>
      <c r="L124" s="1"/>
      <c r="V124" s="1"/>
      <c r="W124" s="1"/>
      <c r="X124" s="1"/>
      <c r="Y124" s="1"/>
      <c r="Z124" s="1"/>
      <c r="AA124" s="1"/>
      <c r="AB124" s="1"/>
    </row>
    <row r="125" spans="1:28" ht="11.25" customHeight="1" x14ac:dyDescent="0.2">
      <c r="A125" s="95">
        <v>49</v>
      </c>
      <c r="B125" s="95" t="s">
        <v>598</v>
      </c>
      <c r="C125" s="96">
        <v>2.0739999999999998</v>
      </c>
      <c r="D125" s="96">
        <v>0.60080524999999996</v>
      </c>
      <c r="E125" s="96">
        <v>-3.8220168670126675</v>
      </c>
      <c r="F125" s="96">
        <v>1.0475276250000001</v>
      </c>
      <c r="G125" s="96">
        <v>-20.521522358446855</v>
      </c>
      <c r="H125" s="5"/>
      <c r="J125" s="1"/>
      <c r="K125" s="1"/>
      <c r="L125" s="1"/>
      <c r="V125" s="1"/>
      <c r="W125" s="1"/>
      <c r="X125" s="1"/>
      <c r="Y125" s="1"/>
      <c r="Z125" s="1"/>
      <c r="AA125" s="1"/>
      <c r="AB125" s="1"/>
    </row>
    <row r="126" spans="1:28" ht="11.25" customHeight="1" x14ac:dyDescent="0.2">
      <c r="A126" s="83">
        <v>50</v>
      </c>
      <c r="B126" s="83" t="s">
        <v>599</v>
      </c>
      <c r="C126" s="84">
        <v>2.1920000000000002</v>
      </c>
      <c r="D126" s="84">
        <v>0.62502512499999996</v>
      </c>
      <c r="E126" s="84">
        <v>-3.2031890825562348</v>
      </c>
      <c r="F126" s="84">
        <v>0.97562062500000002</v>
      </c>
      <c r="G126" s="84">
        <v>-20.810845326273764</v>
      </c>
      <c r="H126" s="5"/>
      <c r="J126" s="1"/>
      <c r="K126" s="1"/>
      <c r="L126" s="1"/>
      <c r="V126" s="1"/>
      <c r="W126" s="1"/>
      <c r="X126" s="1"/>
      <c r="Y126" s="1"/>
      <c r="Z126" s="1"/>
      <c r="AA126" s="1"/>
      <c r="AB126" s="1"/>
    </row>
    <row r="127" spans="1:28" ht="11.25" customHeight="1" x14ac:dyDescent="0.2">
      <c r="A127" s="95">
        <v>51</v>
      </c>
      <c r="B127" s="95" t="s">
        <v>600</v>
      </c>
      <c r="C127" s="96">
        <v>1.742</v>
      </c>
      <c r="D127" s="96">
        <v>0.70913024999999996</v>
      </c>
      <c r="E127" s="96">
        <v>-1.7766540626648064</v>
      </c>
      <c r="F127" s="96">
        <v>1.3187517499999999</v>
      </c>
      <c r="G127" s="96">
        <v>-20.580288238718925</v>
      </c>
      <c r="H127" s="5"/>
      <c r="J127" s="1"/>
      <c r="K127" s="1"/>
      <c r="L127" s="1"/>
      <c r="V127" s="1"/>
      <c r="W127" s="1"/>
      <c r="X127" s="1"/>
      <c r="Y127" s="1"/>
      <c r="Z127" s="1"/>
      <c r="AA127" s="1"/>
      <c r="AB127" s="1"/>
    </row>
    <row r="128" spans="1:28" ht="11.25" customHeight="1" x14ac:dyDescent="0.2">
      <c r="A128" s="83">
        <v>52</v>
      </c>
      <c r="B128" s="83" t="s">
        <v>82</v>
      </c>
      <c r="C128" s="84">
        <v>1.2010000000000001</v>
      </c>
      <c r="D128" s="84">
        <v>1.5931247500000001</v>
      </c>
      <c r="E128" s="84">
        <v>2.2042576848095852</v>
      </c>
      <c r="F128" s="84">
        <v>9.6418379999999999</v>
      </c>
      <c r="G128" s="84">
        <v>-21.506665742967947</v>
      </c>
      <c r="H128" s="5"/>
      <c r="J128" s="1"/>
      <c r="K128" s="1"/>
      <c r="L128" s="1"/>
      <c r="V128" s="1"/>
      <c r="W128" s="1"/>
      <c r="X128" s="1"/>
      <c r="Y128" s="1"/>
      <c r="Z128" s="1"/>
      <c r="AA128" s="1"/>
      <c r="AB128" s="1"/>
    </row>
    <row r="129" spans="1:28" ht="11.25" customHeight="1" x14ac:dyDescent="0.2">
      <c r="A129" s="95">
        <v>53</v>
      </c>
      <c r="B129" s="95" t="s">
        <v>87</v>
      </c>
      <c r="C129" s="96">
        <v>1.7949999999999999</v>
      </c>
      <c r="D129" s="96">
        <v>0.43010756249999998</v>
      </c>
      <c r="E129" s="96">
        <v>-4.6829684873592736</v>
      </c>
      <c r="F129" s="96">
        <v>1.11417575</v>
      </c>
      <c r="G129" s="96">
        <v>-14.329041340561211</v>
      </c>
      <c r="H129" s="5"/>
      <c r="J129" s="1"/>
      <c r="K129" s="1"/>
      <c r="L129" s="1"/>
      <c r="V129" s="1"/>
      <c r="W129" s="1"/>
      <c r="X129" s="1"/>
      <c r="Y129" s="1"/>
      <c r="Z129" s="1"/>
      <c r="AA129" s="1"/>
      <c r="AB129" s="1"/>
    </row>
    <row r="130" spans="1:28" ht="11.25" customHeight="1" x14ac:dyDescent="0.2">
      <c r="A130" s="83">
        <v>54</v>
      </c>
      <c r="B130" s="83" t="s">
        <v>601</v>
      </c>
      <c r="C130" s="84">
        <v>2.0779999999999998</v>
      </c>
      <c r="D130" s="84">
        <v>0.29888306250000002</v>
      </c>
      <c r="E130" s="84">
        <v>-3.8773388328080527</v>
      </c>
      <c r="F130" s="84">
        <v>0.72431674999999995</v>
      </c>
      <c r="G130" s="84">
        <v>-19.725309264040348</v>
      </c>
      <c r="H130" s="5"/>
      <c r="J130" s="1"/>
      <c r="K130" s="1"/>
      <c r="L130" s="1"/>
      <c r="V130" s="1"/>
      <c r="W130" s="1"/>
      <c r="X130" s="1"/>
      <c r="Y130" s="1"/>
      <c r="Z130" s="1"/>
      <c r="AA130" s="1"/>
      <c r="AB130" s="1"/>
    </row>
    <row r="131" spans="1:28" ht="11.25" customHeight="1" x14ac:dyDescent="0.2">
      <c r="A131" s="95">
        <v>55</v>
      </c>
      <c r="B131" s="95" t="s">
        <v>602</v>
      </c>
      <c r="C131" s="96">
        <v>2.1360000000000001</v>
      </c>
      <c r="D131" s="96">
        <v>0.35730806250000002</v>
      </c>
      <c r="E131" s="96">
        <v>-0.58378785777957187</v>
      </c>
      <c r="F131" s="96">
        <v>1.883678</v>
      </c>
      <c r="G131" s="96">
        <v>-20.812529866338355</v>
      </c>
      <c r="H131" s="5"/>
      <c r="J131" s="1"/>
      <c r="K131" s="1"/>
      <c r="L131" s="1"/>
      <c r="V131" s="1"/>
      <c r="W131" s="1"/>
      <c r="X131" s="1"/>
      <c r="Y131" s="1"/>
      <c r="Z131" s="1"/>
      <c r="AA131" s="1"/>
      <c r="AB131" s="1"/>
    </row>
    <row r="132" spans="1:28" ht="11.25" customHeight="1" x14ac:dyDescent="0.2">
      <c r="A132" s="83">
        <v>56</v>
      </c>
      <c r="B132" s="83" t="s">
        <v>603</v>
      </c>
      <c r="C132" s="84">
        <v>1.181</v>
      </c>
      <c r="D132" s="84">
        <v>0.30254300000000001</v>
      </c>
      <c r="E132" s="84">
        <v>-1.8946054746039609</v>
      </c>
      <c r="F132" s="84">
        <v>0.98592374999999999</v>
      </c>
      <c r="G132" s="84">
        <v>-20.308125666024978</v>
      </c>
      <c r="H132" s="5"/>
      <c r="J132" s="1"/>
      <c r="K132" s="1"/>
      <c r="L132" s="1"/>
      <c r="V132" s="1"/>
      <c r="W132" s="1"/>
      <c r="X132" s="1"/>
      <c r="Y132" s="1"/>
      <c r="Z132" s="1"/>
      <c r="AA132" s="1"/>
      <c r="AB132" s="1"/>
    </row>
    <row r="133" spans="1:28" ht="11.25" customHeight="1" x14ac:dyDescent="0.2">
      <c r="A133" s="95">
        <v>57</v>
      </c>
      <c r="B133" s="95" t="s">
        <v>604</v>
      </c>
      <c r="C133" s="96">
        <v>1.901</v>
      </c>
      <c r="D133" s="96">
        <v>0.33231253124999999</v>
      </c>
      <c r="E133" s="96">
        <v>-0.73734818496051791</v>
      </c>
      <c r="F133" s="96">
        <v>1.3181616249999999</v>
      </c>
      <c r="G133" s="96">
        <v>-20.589060029404873</v>
      </c>
      <c r="H133" s="5"/>
      <c r="J133" s="1"/>
      <c r="K133" s="1"/>
      <c r="L133" s="1"/>
      <c r="V133" s="1"/>
      <c r="W133" s="1"/>
      <c r="X133" s="1"/>
      <c r="Y133" s="1"/>
      <c r="Z133" s="1"/>
      <c r="AA133" s="1"/>
      <c r="AB133" s="1"/>
    </row>
    <row r="134" spans="1:28" ht="11.25" customHeight="1" x14ac:dyDescent="0.2">
      <c r="A134" s="83">
        <v>58</v>
      </c>
      <c r="B134" s="83" t="s">
        <v>605</v>
      </c>
      <c r="C134" s="84">
        <v>1.9730000000000001</v>
      </c>
      <c r="D134" s="84">
        <v>0.31614840625000001</v>
      </c>
      <c r="E134" s="84">
        <v>-1.1549375834599696</v>
      </c>
      <c r="F134" s="84">
        <v>1.142978625</v>
      </c>
      <c r="G134" s="84">
        <v>-20.532123459542323</v>
      </c>
      <c r="H134" s="5"/>
      <c r="J134" s="1"/>
      <c r="K134" s="1"/>
      <c r="L134" s="1"/>
      <c r="V134" s="1"/>
      <c r="W134" s="1"/>
      <c r="X134" s="1"/>
      <c r="Y134" s="1"/>
      <c r="Z134" s="1"/>
      <c r="AA134" s="1"/>
      <c r="AB134" s="1"/>
    </row>
    <row r="135" spans="1:28" ht="11.25" customHeight="1" x14ac:dyDescent="0.2">
      <c r="A135" s="95">
        <v>59</v>
      </c>
      <c r="B135" s="95" t="s">
        <v>606</v>
      </c>
      <c r="C135" s="96">
        <v>2.0110000000000001</v>
      </c>
      <c r="D135" s="96">
        <v>0.37386831250000002</v>
      </c>
      <c r="E135" s="96">
        <v>3.1259366781055675E-2</v>
      </c>
      <c r="F135" s="96">
        <v>1.756772875</v>
      </c>
      <c r="G135" s="96">
        <v>-20.86484295845187</v>
      </c>
      <c r="H135" s="5"/>
      <c r="J135" s="1"/>
      <c r="K135" s="1"/>
      <c r="L135" s="1"/>
      <c r="V135" s="1"/>
      <c r="W135" s="1"/>
      <c r="X135" s="1"/>
      <c r="Y135" s="1"/>
      <c r="Z135" s="1"/>
      <c r="AA135" s="1"/>
      <c r="AB135" s="1"/>
    </row>
    <row r="136" spans="1:28" ht="11.25" customHeight="1" x14ac:dyDescent="0.2">
      <c r="A136" s="83">
        <v>60</v>
      </c>
      <c r="B136" s="83" t="s">
        <v>607</v>
      </c>
      <c r="C136" s="84">
        <v>2.0019999999999998</v>
      </c>
      <c r="D136" s="84">
        <v>0.27781668749999999</v>
      </c>
      <c r="E136" s="84">
        <v>-1.7171713415423673</v>
      </c>
      <c r="F136" s="84">
        <v>0.78917843750000005</v>
      </c>
      <c r="G136" s="84">
        <v>-19.87704831908043</v>
      </c>
      <c r="H136" s="5"/>
      <c r="J136" s="1"/>
      <c r="K136" s="1"/>
      <c r="L136" s="1"/>
      <c r="V136" s="1"/>
      <c r="W136" s="1"/>
      <c r="X136" s="1"/>
      <c r="Y136" s="1"/>
      <c r="Z136" s="1"/>
      <c r="AA136" s="1"/>
      <c r="AB136" s="1"/>
    </row>
    <row r="137" spans="1:28" ht="11.25" customHeight="1" x14ac:dyDescent="0.2">
      <c r="A137" s="95">
        <v>61</v>
      </c>
      <c r="B137" s="95" t="s">
        <v>608</v>
      </c>
      <c r="C137" s="96">
        <v>1.865</v>
      </c>
      <c r="D137" s="96">
        <v>0.2929735</v>
      </c>
      <c r="E137" s="96">
        <v>-0.70147412131216225</v>
      </c>
      <c r="F137" s="96">
        <v>0.94376499999999997</v>
      </c>
      <c r="G137" s="96">
        <v>-20.361408245243204</v>
      </c>
      <c r="H137" s="5"/>
      <c r="J137" s="1"/>
      <c r="K137" s="1"/>
      <c r="L137" s="1"/>
      <c r="V137" s="1"/>
      <c r="W137" s="1"/>
      <c r="X137" s="1"/>
      <c r="Y137" s="1"/>
      <c r="Z137" s="1"/>
      <c r="AA137" s="1"/>
      <c r="AB137" s="1"/>
    </row>
    <row r="138" spans="1:28" ht="11.25" customHeight="1" x14ac:dyDescent="0.2">
      <c r="A138" s="83">
        <v>62</v>
      </c>
      <c r="B138" s="83" t="s">
        <v>609</v>
      </c>
      <c r="C138" s="84">
        <v>2.0489999999999999</v>
      </c>
      <c r="D138" s="84">
        <v>0.24694579687500001</v>
      </c>
      <c r="E138" s="84">
        <v>-3.4089777276052891</v>
      </c>
      <c r="F138" s="84">
        <v>0.29415021875000003</v>
      </c>
      <c r="G138" s="84">
        <v>-19.770559866859127</v>
      </c>
      <c r="H138" s="5"/>
      <c r="J138" s="1"/>
      <c r="K138" s="1"/>
      <c r="L138" s="1"/>
      <c r="V138" s="1"/>
      <c r="W138" s="1"/>
      <c r="X138" s="1"/>
      <c r="Y138" s="1"/>
      <c r="Z138" s="1"/>
      <c r="AA138" s="1"/>
      <c r="AB138" s="1"/>
    </row>
    <row r="139" spans="1:28" ht="11.25" customHeight="1" x14ac:dyDescent="0.2">
      <c r="A139" s="95">
        <v>63</v>
      </c>
      <c r="B139" s="95" t="s">
        <v>61</v>
      </c>
      <c r="C139" s="96">
        <v>1.228</v>
      </c>
      <c r="D139" s="96">
        <v>1.5565523750000001</v>
      </c>
      <c r="E139" s="96">
        <v>3.4760592970155546</v>
      </c>
      <c r="F139" s="96">
        <v>10.146818</v>
      </c>
      <c r="G139" s="96">
        <v>-21.521193490604272</v>
      </c>
      <c r="H139" s="5"/>
      <c r="J139" s="1"/>
      <c r="K139" s="1"/>
      <c r="L139" s="1"/>
      <c r="V139" s="1"/>
      <c r="W139" s="1"/>
      <c r="X139" s="1"/>
      <c r="Y139" s="1"/>
      <c r="Z139" s="1"/>
      <c r="AA139" s="1"/>
      <c r="AB139" s="1"/>
    </row>
    <row r="140" spans="1:28" ht="11.25" customHeight="1" x14ac:dyDescent="0.2">
      <c r="A140" s="83">
        <v>64</v>
      </c>
      <c r="B140" s="83" t="s">
        <v>98</v>
      </c>
      <c r="C140" s="84">
        <v>2.1280000000000001</v>
      </c>
      <c r="D140" s="84">
        <v>0.32267649999999998</v>
      </c>
      <c r="E140" s="84">
        <v>-0.92935697072815682</v>
      </c>
      <c r="F140" s="84">
        <v>1.2440310000000001</v>
      </c>
      <c r="G140" s="84">
        <v>-14.461581769885244</v>
      </c>
      <c r="H140" s="5"/>
      <c r="J140" s="1"/>
      <c r="K140" s="1"/>
      <c r="L140" s="1"/>
      <c r="V140" s="1"/>
      <c r="W140" s="1"/>
      <c r="X140" s="1"/>
      <c r="Y140" s="1"/>
      <c r="Z140" s="1"/>
      <c r="AA140" s="1"/>
      <c r="AB140" s="1"/>
    </row>
    <row r="141" spans="1:28" ht="11.25" customHeight="1" x14ac:dyDescent="0.2">
      <c r="A141" s="95">
        <v>65</v>
      </c>
      <c r="B141" s="95" t="s">
        <v>610</v>
      </c>
      <c r="C141" s="96">
        <v>1.9410000000000001</v>
      </c>
      <c r="D141" s="96">
        <v>0.3837914375</v>
      </c>
      <c r="E141" s="96">
        <v>0.12830427601562278</v>
      </c>
      <c r="F141" s="96">
        <v>2.262092</v>
      </c>
      <c r="G141" s="96">
        <v>-20.729333749440062</v>
      </c>
      <c r="H141" s="5"/>
      <c r="J141" s="1"/>
      <c r="K141" s="1"/>
      <c r="L141" s="1"/>
      <c r="V141" s="1"/>
      <c r="W141" s="1"/>
      <c r="X141" s="1"/>
      <c r="Y141" s="1"/>
      <c r="Z141" s="1"/>
      <c r="AA141" s="1"/>
      <c r="AB141" s="1"/>
    </row>
    <row r="142" spans="1:28" ht="11.25" customHeight="1" x14ac:dyDescent="0.2">
      <c r="A142" s="83">
        <v>66</v>
      </c>
      <c r="B142" s="83" t="s">
        <v>611</v>
      </c>
      <c r="C142" s="84">
        <v>1.9950000000000001</v>
      </c>
      <c r="D142" s="84">
        <v>0.24853609374999999</v>
      </c>
      <c r="E142" s="84">
        <v>-3.6487918341236991</v>
      </c>
      <c r="F142" s="84">
        <v>0.39082725000000001</v>
      </c>
      <c r="G142" s="84">
        <v>-19.71268444525359</v>
      </c>
      <c r="H142" s="5"/>
      <c r="J142" s="1"/>
      <c r="K142" s="1"/>
      <c r="L142" s="1"/>
      <c r="V142" s="1"/>
      <c r="W142" s="1"/>
      <c r="X142" s="1"/>
      <c r="Y142" s="1"/>
      <c r="Z142" s="1"/>
      <c r="AA142" s="1"/>
      <c r="AB142" s="1"/>
    </row>
    <row r="143" spans="1:28" ht="11.25" customHeight="1" x14ac:dyDescent="0.2">
      <c r="A143" s="95">
        <v>67</v>
      </c>
      <c r="B143" s="95" t="s">
        <v>612</v>
      </c>
      <c r="C143" s="96">
        <v>2.0449999999999999</v>
      </c>
      <c r="D143" s="96">
        <v>0.26808975000000002</v>
      </c>
      <c r="E143" s="96">
        <v>-3.6160712963978492</v>
      </c>
      <c r="F143" s="96">
        <v>0.45814396875000002</v>
      </c>
      <c r="G143" s="96">
        <v>-20.105916466310326</v>
      </c>
      <c r="H143" s="5"/>
      <c r="J143" s="1"/>
      <c r="K143" s="1"/>
      <c r="L143" s="1"/>
      <c r="V143" s="1"/>
      <c r="W143" s="1"/>
      <c r="X143" s="1"/>
      <c r="Y143" s="1"/>
      <c r="Z143" s="1"/>
      <c r="AA143" s="1"/>
      <c r="AB143" s="1"/>
    </row>
    <row r="144" spans="1:28" ht="11.25" customHeight="1" x14ac:dyDescent="0.2">
      <c r="A144" s="83">
        <v>68</v>
      </c>
      <c r="B144" s="83" t="s">
        <v>613</v>
      </c>
      <c r="C144" s="84">
        <v>2.0840000000000001</v>
      </c>
      <c r="D144" s="84">
        <v>0.33582050000000002</v>
      </c>
      <c r="E144" s="84">
        <v>-0.20500273452483952</v>
      </c>
      <c r="F144" s="84">
        <v>1.1440386250000001</v>
      </c>
      <c r="G144" s="84">
        <v>-20.386929064721514</v>
      </c>
      <c r="H144" s="5"/>
      <c r="J144" s="1"/>
      <c r="K144" s="1"/>
      <c r="L144" s="1"/>
      <c r="V144" s="1"/>
      <c r="W144" s="1"/>
      <c r="X144" s="1"/>
      <c r="Y144" s="1"/>
      <c r="Z144" s="1"/>
      <c r="AA144" s="1"/>
      <c r="AB144" s="1"/>
    </row>
    <row r="145" spans="1:28" ht="11.25" customHeight="1" x14ac:dyDescent="0.2">
      <c r="A145" s="95">
        <v>69</v>
      </c>
      <c r="B145" s="95" t="s">
        <v>614</v>
      </c>
      <c r="C145" s="96">
        <v>2.1779999999999999</v>
      </c>
      <c r="D145" s="96">
        <v>0.78276837499999996</v>
      </c>
      <c r="E145" s="96">
        <v>3.4256490011144169</v>
      </c>
      <c r="F145" s="96">
        <v>5.8643495000000003</v>
      </c>
      <c r="G145" s="96">
        <v>-21.679726668056798</v>
      </c>
      <c r="H145" s="5"/>
      <c r="J145" s="1"/>
      <c r="K145" s="1"/>
      <c r="L145" s="1"/>
      <c r="V145" s="1"/>
      <c r="W145" s="1"/>
      <c r="X145" s="1"/>
      <c r="Y145" s="1"/>
      <c r="Z145" s="1"/>
      <c r="AA145" s="1"/>
      <c r="AB145" s="1"/>
    </row>
    <row r="146" spans="1:28" ht="11.25" customHeight="1" x14ac:dyDescent="0.2">
      <c r="A146" s="83">
        <v>70</v>
      </c>
      <c r="B146" s="83" t="s">
        <v>615</v>
      </c>
      <c r="C146" s="84">
        <v>1.984</v>
      </c>
      <c r="D146" s="84">
        <v>0.38462337499999999</v>
      </c>
      <c r="E146" s="84">
        <v>-0.28920366793416807</v>
      </c>
      <c r="F146" s="84">
        <v>1.740238</v>
      </c>
      <c r="G146" s="84">
        <v>-20.412039066954346</v>
      </c>
      <c r="H146" s="5"/>
      <c r="J146" s="1"/>
      <c r="K146" s="1"/>
      <c r="L146" s="1"/>
      <c r="V146" s="1"/>
      <c r="W146" s="1"/>
      <c r="X146" s="1"/>
      <c r="Y146" s="1"/>
      <c r="Z146" s="1"/>
      <c r="AA146" s="1"/>
      <c r="AB146" s="1"/>
    </row>
    <row r="147" spans="1:28" ht="11.25" customHeight="1" x14ac:dyDescent="0.2">
      <c r="A147" s="95">
        <v>71</v>
      </c>
      <c r="B147" s="95" t="s">
        <v>616</v>
      </c>
      <c r="C147" s="96">
        <v>1.8080000000000001</v>
      </c>
      <c r="D147" s="96">
        <v>0.31697975</v>
      </c>
      <c r="E147" s="96">
        <v>-2.0281735362006614</v>
      </c>
      <c r="F147" s="96">
        <v>1.2914775000000001</v>
      </c>
      <c r="G147" s="96">
        <v>-20.841627423397462</v>
      </c>
      <c r="H147" s="5"/>
      <c r="J147" s="1"/>
      <c r="K147" s="1"/>
      <c r="L147" s="1"/>
      <c r="V147" s="1"/>
      <c r="W147" s="1"/>
      <c r="X147" s="1"/>
      <c r="Y147" s="1"/>
      <c r="Z147" s="1"/>
      <c r="AA147" s="1"/>
      <c r="AB147" s="1"/>
    </row>
    <row r="148" spans="1:28" ht="11.25" customHeight="1" x14ac:dyDescent="0.2">
      <c r="A148" s="83">
        <v>72</v>
      </c>
      <c r="B148" s="83" t="s">
        <v>617</v>
      </c>
      <c r="C148" s="84">
        <v>2.1659999999999999</v>
      </c>
      <c r="D148" s="84">
        <v>0.34710584374999998</v>
      </c>
      <c r="E148" s="84">
        <v>2.4248142662643968</v>
      </c>
      <c r="F148" s="84">
        <v>1.3603713749999999</v>
      </c>
      <c r="G148" s="84">
        <v>-20.165805877499793</v>
      </c>
      <c r="H148" s="5"/>
      <c r="J148" s="1"/>
      <c r="K148" s="1"/>
      <c r="L148" s="1"/>
      <c r="V148" s="1"/>
      <c r="W148" s="1"/>
      <c r="X148" s="1"/>
      <c r="Y148" s="1"/>
      <c r="Z148" s="1"/>
      <c r="AA148" s="1"/>
      <c r="AB148" s="1"/>
    </row>
    <row r="149" spans="1:28" ht="11.25" customHeight="1" x14ac:dyDescent="0.2">
      <c r="A149" s="95">
        <v>73</v>
      </c>
      <c r="B149" s="95" t="s">
        <v>618</v>
      </c>
      <c r="C149" s="96">
        <v>2.1800000000000002</v>
      </c>
      <c r="D149" s="96">
        <v>0.30455118749999999</v>
      </c>
      <c r="E149" s="96">
        <v>-1.603300476013203</v>
      </c>
      <c r="F149" s="96">
        <v>0.84336218750000003</v>
      </c>
      <c r="G149" s="96">
        <v>-20.165763464424717</v>
      </c>
      <c r="H149" s="5"/>
      <c r="J149" s="1"/>
      <c r="K149" s="1"/>
      <c r="L149" s="1"/>
      <c r="V149" s="1"/>
      <c r="W149" s="1"/>
      <c r="X149" s="1"/>
      <c r="Y149" s="1"/>
      <c r="Z149" s="1"/>
      <c r="AA149" s="1"/>
      <c r="AB149" s="1"/>
    </row>
    <row r="150" spans="1:28" ht="11.25" customHeight="1" x14ac:dyDescent="0.2">
      <c r="A150" s="83">
        <v>74</v>
      </c>
      <c r="B150" s="83" t="s">
        <v>109</v>
      </c>
      <c r="C150" s="84">
        <v>1.1990000000000001</v>
      </c>
      <c r="D150" s="84">
        <v>0.28251596875000001</v>
      </c>
      <c r="E150" s="84">
        <v>-2.3881471063873505</v>
      </c>
      <c r="F150" s="84">
        <v>0.7181570625</v>
      </c>
      <c r="G150" s="84">
        <v>-14.101550582425375</v>
      </c>
      <c r="H150" s="5"/>
      <c r="J150" s="1"/>
      <c r="K150" s="1"/>
      <c r="L150" s="1"/>
      <c r="V150" s="1"/>
      <c r="W150" s="1"/>
      <c r="X150" s="1"/>
      <c r="Y150" s="1"/>
      <c r="Z150" s="1"/>
      <c r="AA150" s="1"/>
      <c r="AB150" s="1"/>
    </row>
    <row r="151" spans="1:28" ht="11.25" customHeight="1" x14ac:dyDescent="0.2">
      <c r="A151" s="95">
        <v>75</v>
      </c>
      <c r="B151" s="95" t="s">
        <v>84</v>
      </c>
      <c r="C151" s="96">
        <v>1.002</v>
      </c>
      <c r="D151" s="96">
        <v>1.2940704999999999</v>
      </c>
      <c r="E151" s="96">
        <v>3.4089227080211781</v>
      </c>
      <c r="F151" s="96">
        <v>8.4165299999999998</v>
      </c>
      <c r="G151" s="96">
        <v>-21.489179954945584</v>
      </c>
      <c r="H151" s="5"/>
      <c r="J151" s="1"/>
      <c r="K151" s="1"/>
      <c r="L151" s="1"/>
      <c r="V151" s="1"/>
      <c r="W151" s="1"/>
      <c r="X151" s="1"/>
      <c r="Y151" s="1"/>
      <c r="Z151" s="1"/>
      <c r="AA151" s="1"/>
      <c r="AB151" s="1"/>
    </row>
    <row r="152" spans="1:28" ht="11.25" customHeight="1" x14ac:dyDescent="0.2">
      <c r="A152" s="83">
        <v>76</v>
      </c>
      <c r="B152" s="83" t="s">
        <v>62</v>
      </c>
      <c r="C152" s="84">
        <v>0.71</v>
      </c>
      <c r="D152" s="84">
        <v>0.24581106250000001</v>
      </c>
      <c r="E152" s="84">
        <v>-4.6707256206909298</v>
      </c>
      <c r="F152" s="84">
        <v>5.420903</v>
      </c>
      <c r="G152" s="84">
        <v>-19.90673985765898</v>
      </c>
      <c r="H152" s="5"/>
      <c r="J152" s="1"/>
      <c r="K152" s="1"/>
      <c r="L152" s="1"/>
      <c r="V152" s="1"/>
      <c r="W152" s="1"/>
      <c r="X152" s="1"/>
      <c r="Y152" s="1"/>
      <c r="Z152" s="1"/>
      <c r="AA152" s="1"/>
      <c r="AB152" s="1"/>
    </row>
    <row r="153" spans="1:28" ht="11.25" customHeight="1" x14ac:dyDescent="0.2">
      <c r="A153" s="95">
        <v>77</v>
      </c>
      <c r="B153" s="95" t="s">
        <v>63</v>
      </c>
      <c r="C153" s="96">
        <v>0.92500000000000004</v>
      </c>
      <c r="D153" s="96">
        <v>0.24225129687499999</v>
      </c>
      <c r="E153" s="96">
        <v>-4.287875943520425</v>
      </c>
      <c r="F153" s="96">
        <v>7.0839429999999997</v>
      </c>
      <c r="G153" s="96">
        <v>-5.9419834220357934</v>
      </c>
      <c r="H153" s="5"/>
      <c r="J153" s="1"/>
      <c r="K153" s="1"/>
      <c r="L153" s="1"/>
      <c r="V153" s="1"/>
      <c r="W153" s="1"/>
      <c r="X153" s="1"/>
      <c r="Y153" s="1"/>
      <c r="Z153" s="1"/>
      <c r="AA153" s="1"/>
      <c r="AB153" s="1"/>
    </row>
    <row r="154" spans="1:28" ht="11.25" customHeight="1" x14ac:dyDescent="0.2">
      <c r="A154" s="110">
        <v>78</v>
      </c>
      <c r="B154" s="110" t="s">
        <v>70</v>
      </c>
      <c r="C154" s="84">
        <v>1.0309999999999999</v>
      </c>
      <c r="D154" s="84">
        <v>0.232462890625</v>
      </c>
      <c r="E154" s="84">
        <v>-4.7784839299738202</v>
      </c>
      <c r="F154" s="85">
        <v>3.58818525</v>
      </c>
      <c r="G154" s="85">
        <v>-13.436811178575564</v>
      </c>
      <c r="H154" s="5"/>
      <c r="J154" s="1"/>
      <c r="K154" s="1"/>
      <c r="L154" s="1"/>
      <c r="V154" s="1"/>
      <c r="W154" s="1"/>
      <c r="X154" s="1"/>
      <c r="Y154" s="1"/>
      <c r="Z154" s="1"/>
      <c r="AA154" s="1"/>
      <c r="AB154" s="1"/>
    </row>
    <row r="155" spans="1:28" ht="11.25" customHeight="1" x14ac:dyDescent="0.2">
      <c r="A155" s="114">
        <v>79</v>
      </c>
      <c r="B155" s="114" t="s">
        <v>86</v>
      </c>
      <c r="C155" s="108">
        <v>0</v>
      </c>
      <c r="D155" s="108">
        <v>0.23579962500000001</v>
      </c>
      <c r="E155" s="108">
        <v>-3.1992019850608511</v>
      </c>
      <c r="H155" s="5"/>
      <c r="J155" s="1"/>
      <c r="K155" s="1"/>
      <c r="L155" s="1"/>
      <c r="V155" s="1"/>
      <c r="W155" s="1"/>
      <c r="X155" s="1"/>
      <c r="Y155" s="1"/>
      <c r="Z155" s="1"/>
      <c r="AA155" s="1"/>
      <c r="AB155" s="1"/>
    </row>
    <row r="156" spans="1:28" ht="11.25" customHeight="1" x14ac:dyDescent="0.25">
      <c r="I156"/>
      <c r="J156"/>
      <c r="K156"/>
      <c r="L156"/>
      <c r="M156"/>
      <c r="N156"/>
      <c r="O156"/>
      <c r="V156" s="1"/>
      <c r="W156" s="1"/>
      <c r="X156" s="1"/>
      <c r="Y156" s="1"/>
      <c r="Z156" s="1"/>
      <c r="AA156" s="1"/>
      <c r="AB156" s="1"/>
    </row>
    <row r="157" spans="1:28" ht="11.25" customHeight="1" x14ac:dyDescent="0.25">
      <c r="J157"/>
      <c r="K157"/>
      <c r="L157"/>
      <c r="M157"/>
      <c r="N157"/>
      <c r="O157"/>
      <c r="P157"/>
      <c r="V157" s="1"/>
      <c r="W157" s="1"/>
      <c r="X157" s="1"/>
      <c r="Y157" s="1"/>
      <c r="Z157" s="1"/>
      <c r="AA157" s="1"/>
      <c r="AB157" s="1"/>
    </row>
    <row r="158" spans="1:28" ht="11.25" customHeight="1" x14ac:dyDescent="0.25">
      <c r="J158"/>
      <c r="K158"/>
      <c r="L158"/>
      <c r="M158"/>
      <c r="N158"/>
      <c r="O158"/>
      <c r="P158"/>
      <c r="V158" s="1"/>
      <c r="W158" s="1"/>
      <c r="X158" s="1"/>
      <c r="Y158" s="1"/>
      <c r="Z158" s="1"/>
      <c r="AA158" s="1"/>
      <c r="AB158" s="1"/>
    </row>
    <row r="159" spans="1:28" ht="11.25" customHeight="1" x14ac:dyDescent="0.25">
      <c r="J159"/>
      <c r="K159"/>
      <c r="L159"/>
      <c r="M159"/>
      <c r="N159"/>
      <c r="O159"/>
      <c r="P159"/>
      <c r="V159" s="1"/>
      <c r="W159" s="1"/>
      <c r="X159" s="1"/>
      <c r="Y159" s="1"/>
      <c r="Z159" s="1"/>
      <c r="AA159" s="1"/>
      <c r="AB159" s="1"/>
    </row>
    <row r="160" spans="1:28" ht="11.25" customHeight="1" x14ac:dyDescent="0.25">
      <c r="J160"/>
      <c r="K160"/>
      <c r="L160"/>
      <c r="M160"/>
      <c r="N160"/>
      <c r="O160"/>
      <c r="P160"/>
      <c r="V160" s="1"/>
      <c r="W160" s="1"/>
      <c r="X160" s="1"/>
      <c r="Y160" s="1"/>
      <c r="Z160" s="1"/>
      <c r="AA160" s="1"/>
      <c r="AB160" s="1"/>
    </row>
    <row r="161" spans="10:28" ht="11.25" customHeight="1" x14ac:dyDescent="0.25">
      <c r="J161"/>
      <c r="K161"/>
      <c r="L161"/>
      <c r="M161"/>
      <c r="N161"/>
      <c r="O161"/>
      <c r="P161"/>
      <c r="V161" s="1"/>
      <c r="W161" s="1"/>
      <c r="X161" s="1"/>
      <c r="Y161" s="1"/>
      <c r="Z161" s="1"/>
      <c r="AA161" s="1"/>
      <c r="AB161" s="1"/>
    </row>
    <row r="162" spans="10:28" ht="11.25" customHeight="1" x14ac:dyDescent="0.25">
      <c r="J162"/>
      <c r="K162"/>
      <c r="L162"/>
      <c r="M162"/>
      <c r="N162"/>
      <c r="O162"/>
      <c r="P162"/>
      <c r="V162" s="1"/>
      <c r="W162" s="1"/>
      <c r="X162" s="1"/>
      <c r="Y162" s="1"/>
      <c r="Z162" s="1"/>
      <c r="AA162" s="1"/>
      <c r="AB162" s="1"/>
    </row>
    <row r="163" spans="10:28" ht="11.25" customHeight="1" x14ac:dyDescent="0.25">
      <c r="J163"/>
      <c r="K163"/>
      <c r="L163"/>
      <c r="M163"/>
      <c r="N163"/>
      <c r="O163"/>
      <c r="P163"/>
      <c r="V163" s="1"/>
      <c r="W163" s="1"/>
      <c r="X163" s="1"/>
      <c r="Y163" s="1"/>
      <c r="Z163" s="1"/>
      <c r="AA163" s="1"/>
      <c r="AB163" s="1"/>
    </row>
    <row r="164" spans="10:28" ht="11.25" customHeight="1" x14ac:dyDescent="0.25">
      <c r="J164"/>
      <c r="K164"/>
      <c r="L164"/>
      <c r="M164"/>
      <c r="N164"/>
      <c r="O164"/>
      <c r="P164"/>
      <c r="V164" s="1"/>
      <c r="W164" s="1"/>
      <c r="X164" s="1"/>
      <c r="Y164" s="1"/>
      <c r="Z164" s="1"/>
      <c r="AA164" s="1"/>
      <c r="AB164" s="1"/>
    </row>
    <row r="165" spans="10:28" ht="11.25" customHeight="1" x14ac:dyDescent="0.25">
      <c r="J165"/>
      <c r="K165"/>
      <c r="L165"/>
      <c r="M165"/>
      <c r="N165"/>
      <c r="O165"/>
      <c r="P165"/>
      <c r="V165" s="1"/>
      <c r="W165" s="1"/>
      <c r="X165" s="1"/>
      <c r="Y165" s="1"/>
      <c r="Z165" s="1"/>
      <c r="AA165" s="1"/>
      <c r="AB165" s="1"/>
    </row>
    <row r="166" spans="10:28" ht="11.25" customHeight="1" x14ac:dyDescent="0.25">
      <c r="J166"/>
      <c r="K166"/>
      <c r="L166"/>
      <c r="M166"/>
      <c r="N166"/>
      <c r="O166"/>
      <c r="P166"/>
      <c r="V166" s="1"/>
      <c r="W166" s="1"/>
      <c r="X166" s="1"/>
      <c r="Y166" s="1"/>
      <c r="Z166" s="1"/>
      <c r="AA166" s="1"/>
      <c r="AB166" s="1"/>
    </row>
    <row r="167" spans="10:28" ht="11.25" customHeight="1" x14ac:dyDescent="0.25">
      <c r="J167"/>
      <c r="K167"/>
      <c r="L167"/>
      <c r="M167"/>
      <c r="N167"/>
      <c r="O167"/>
      <c r="P167"/>
      <c r="V167" s="1"/>
      <c r="W167" s="1"/>
      <c r="X167" s="1"/>
      <c r="Y167" s="1"/>
      <c r="Z167" s="1"/>
      <c r="AA167" s="1"/>
      <c r="AB167" s="1"/>
    </row>
    <row r="168" spans="10:28" ht="11.25" customHeight="1" x14ac:dyDescent="0.25">
      <c r="J168"/>
      <c r="K168"/>
      <c r="L168"/>
      <c r="M168"/>
      <c r="N168"/>
      <c r="O168"/>
      <c r="P168"/>
      <c r="V168" s="1"/>
      <c r="W168" s="1"/>
      <c r="X168" s="1"/>
      <c r="Y168" s="1"/>
      <c r="Z168" s="1"/>
      <c r="AA168" s="1"/>
      <c r="AB168" s="1"/>
    </row>
    <row r="169" spans="10:28" ht="11.25" customHeight="1" x14ac:dyDescent="0.25">
      <c r="J169"/>
      <c r="K169"/>
      <c r="L169"/>
      <c r="M169"/>
      <c r="N169"/>
      <c r="O169"/>
      <c r="P169"/>
      <c r="V169" s="1"/>
      <c r="W169" s="1"/>
      <c r="X169" s="1"/>
      <c r="Y169" s="1"/>
      <c r="Z169" s="1"/>
      <c r="AA169" s="1"/>
      <c r="AB169" s="1"/>
    </row>
    <row r="170" spans="10:28" ht="11.25" customHeight="1" x14ac:dyDescent="0.25">
      <c r="J170"/>
      <c r="K170"/>
      <c r="L170"/>
      <c r="M170"/>
      <c r="N170"/>
      <c r="O170"/>
      <c r="P170"/>
      <c r="V170" s="1"/>
      <c r="W170" s="1"/>
      <c r="X170" s="1"/>
      <c r="Y170" s="1"/>
      <c r="Z170" s="1"/>
      <c r="AA170" s="1"/>
      <c r="AB170" s="1"/>
    </row>
    <row r="171" spans="10:28" ht="11.25" customHeight="1" x14ac:dyDescent="0.25">
      <c r="J171"/>
      <c r="K171"/>
      <c r="L171"/>
      <c r="M171"/>
      <c r="N171"/>
      <c r="O171"/>
      <c r="P171"/>
      <c r="V171" s="1"/>
      <c r="W171" s="1"/>
      <c r="X171" s="1"/>
      <c r="Y171" s="1"/>
      <c r="Z171" s="1"/>
      <c r="AA171" s="1"/>
      <c r="AB171" s="1"/>
    </row>
    <row r="172" spans="10:28" ht="11.25" customHeight="1" x14ac:dyDescent="0.25">
      <c r="J172"/>
      <c r="K172"/>
      <c r="L172"/>
      <c r="M172"/>
      <c r="N172"/>
      <c r="O172"/>
      <c r="P172"/>
      <c r="V172" s="1"/>
      <c r="W172" s="1"/>
      <c r="X172" s="1"/>
      <c r="Y172" s="1"/>
      <c r="Z172" s="1"/>
      <c r="AA172" s="1"/>
      <c r="AB172" s="1"/>
    </row>
    <row r="173" spans="10:28" ht="11.25" customHeight="1" x14ac:dyDescent="0.25">
      <c r="J173"/>
      <c r="K173"/>
      <c r="L173"/>
      <c r="M173"/>
      <c r="N173"/>
      <c r="O173"/>
      <c r="P173"/>
      <c r="V173" s="1"/>
      <c r="W173" s="1"/>
      <c r="X173" s="1"/>
      <c r="Y173" s="1"/>
      <c r="Z173" s="1"/>
      <c r="AA173" s="1"/>
      <c r="AB173" s="1"/>
    </row>
    <row r="174" spans="10:28" ht="11.25" customHeight="1" x14ac:dyDescent="0.25">
      <c r="J174"/>
      <c r="K174"/>
      <c r="L174"/>
      <c r="M174"/>
      <c r="N174"/>
      <c r="O174"/>
      <c r="P174"/>
      <c r="V174" s="1"/>
      <c r="W174" s="1"/>
      <c r="X174" s="1"/>
      <c r="Y174" s="1"/>
      <c r="Z174" s="1"/>
      <c r="AA174" s="1"/>
      <c r="AB174" s="1"/>
    </row>
    <row r="175" spans="10:28" ht="11.25" customHeight="1" x14ac:dyDescent="0.25">
      <c r="J175"/>
      <c r="K175"/>
      <c r="L175"/>
      <c r="M175"/>
      <c r="N175"/>
      <c r="O175"/>
      <c r="P175"/>
      <c r="V175" s="1"/>
      <c r="W175" s="1"/>
      <c r="X175" s="1"/>
      <c r="Y175" s="1"/>
      <c r="Z175" s="1"/>
      <c r="AA175" s="1"/>
      <c r="AB175" s="1"/>
    </row>
    <row r="176" spans="10:28" ht="11.25" customHeight="1" x14ac:dyDescent="0.25">
      <c r="J176"/>
      <c r="K176"/>
      <c r="L176"/>
      <c r="M176"/>
      <c r="N176"/>
      <c r="O176"/>
      <c r="P176"/>
      <c r="V176" s="1"/>
      <c r="W176" s="1"/>
      <c r="X176" s="1"/>
      <c r="Y176" s="1"/>
      <c r="Z176" s="1"/>
      <c r="AA176" s="1"/>
      <c r="AB176" s="1"/>
    </row>
    <row r="177" spans="10:28" ht="11.25" customHeight="1" x14ac:dyDescent="0.25">
      <c r="J177"/>
      <c r="K177"/>
      <c r="L177"/>
      <c r="M177"/>
      <c r="N177"/>
      <c r="O177"/>
      <c r="P177"/>
      <c r="V177" s="1"/>
      <c r="W177" s="1"/>
      <c r="X177" s="1"/>
      <c r="Y177" s="1"/>
      <c r="Z177" s="1"/>
      <c r="AA177" s="1"/>
      <c r="AB177" s="1"/>
    </row>
    <row r="178" spans="10:28" ht="11.25" customHeight="1" x14ac:dyDescent="0.25">
      <c r="J178"/>
      <c r="K178"/>
      <c r="L178"/>
      <c r="M178"/>
      <c r="N178"/>
      <c r="O178"/>
      <c r="P178"/>
      <c r="V178" s="1"/>
      <c r="W178" s="1"/>
      <c r="X178" s="1"/>
      <c r="Y178" s="1"/>
      <c r="Z178" s="1"/>
      <c r="AA178" s="1"/>
      <c r="AB178" s="1"/>
    </row>
    <row r="179" spans="10:28" ht="11.25" customHeight="1" x14ac:dyDescent="0.25">
      <c r="J179"/>
      <c r="K179"/>
      <c r="L179"/>
      <c r="M179"/>
      <c r="N179"/>
      <c r="O179"/>
      <c r="P179"/>
      <c r="V179" s="1"/>
      <c r="W179" s="1"/>
      <c r="X179" s="1"/>
      <c r="Y179" s="1"/>
      <c r="Z179" s="1"/>
      <c r="AA179" s="1"/>
      <c r="AB179" s="1"/>
    </row>
    <row r="180" spans="10:28" ht="11.25" customHeight="1" x14ac:dyDescent="0.25">
      <c r="J180"/>
      <c r="K180"/>
      <c r="L180"/>
      <c r="M180"/>
      <c r="N180"/>
      <c r="O180"/>
      <c r="P180"/>
      <c r="V180" s="1"/>
      <c r="W180" s="1"/>
      <c r="X180" s="1"/>
      <c r="Y180" s="1"/>
      <c r="Z180" s="1"/>
      <c r="AA180" s="1"/>
      <c r="AB180" s="1"/>
    </row>
    <row r="181" spans="10:28" ht="11.25" customHeight="1" x14ac:dyDescent="0.25">
      <c r="J181"/>
      <c r="K181"/>
      <c r="L181"/>
      <c r="M181"/>
      <c r="N181"/>
      <c r="O181"/>
      <c r="P181"/>
      <c r="V181" s="1"/>
      <c r="W181" s="1"/>
      <c r="X181" s="1"/>
      <c r="Y181" s="1"/>
      <c r="Z181" s="1"/>
      <c r="AA181" s="1"/>
      <c r="AB181" s="1"/>
    </row>
    <row r="182" spans="10:28" ht="11.25" customHeight="1" x14ac:dyDescent="0.25">
      <c r="J182"/>
      <c r="K182"/>
      <c r="L182"/>
      <c r="M182"/>
      <c r="N182"/>
      <c r="O182"/>
      <c r="P182"/>
      <c r="V182" s="1"/>
      <c r="W182" s="1"/>
      <c r="X182" s="1"/>
      <c r="Y182" s="1"/>
      <c r="Z182" s="1"/>
      <c r="AA182" s="1"/>
      <c r="AB182" s="1"/>
    </row>
    <row r="183" spans="10:28" ht="11.25" customHeight="1" x14ac:dyDescent="0.25">
      <c r="J183"/>
      <c r="K183"/>
      <c r="L183"/>
      <c r="M183"/>
      <c r="N183"/>
      <c r="O183"/>
      <c r="P183"/>
      <c r="V183" s="1"/>
      <c r="W183" s="1"/>
      <c r="X183" s="1"/>
      <c r="Y183" s="1"/>
      <c r="Z183" s="1"/>
      <c r="AA183" s="1"/>
      <c r="AB183" s="1"/>
    </row>
    <row r="184" spans="10:28" ht="11.25" customHeight="1" x14ac:dyDescent="0.25">
      <c r="J184"/>
      <c r="K184"/>
      <c r="L184"/>
      <c r="M184"/>
      <c r="N184"/>
      <c r="O184"/>
      <c r="P184"/>
      <c r="V184" s="1"/>
      <c r="W184" s="1"/>
      <c r="X184" s="1"/>
      <c r="Y184" s="1"/>
      <c r="Z184" s="1"/>
      <c r="AA184" s="1"/>
      <c r="AB184" s="1"/>
    </row>
    <row r="185" spans="10:28" ht="11.25" customHeight="1" x14ac:dyDescent="0.25">
      <c r="J185"/>
      <c r="K185"/>
      <c r="L185"/>
      <c r="M185"/>
      <c r="N185"/>
      <c r="O185"/>
      <c r="P185"/>
      <c r="V185" s="1"/>
      <c r="W185" s="1"/>
      <c r="X185" s="1"/>
      <c r="Y185" s="1"/>
      <c r="Z185" s="1"/>
      <c r="AA185" s="1"/>
      <c r="AB185" s="1"/>
    </row>
    <row r="186" spans="10:28" ht="11.25" customHeight="1" x14ac:dyDescent="0.25">
      <c r="J186"/>
      <c r="K186"/>
      <c r="L186"/>
      <c r="M186"/>
      <c r="N186"/>
      <c r="O186"/>
      <c r="P186"/>
      <c r="V186" s="1"/>
      <c r="W186" s="1"/>
      <c r="X186" s="1"/>
      <c r="Y186" s="1"/>
      <c r="Z186" s="1"/>
      <c r="AA186" s="1"/>
      <c r="AB186" s="1"/>
    </row>
    <row r="187" spans="10:28" ht="11.25" customHeight="1" x14ac:dyDescent="0.25">
      <c r="J187"/>
      <c r="K187"/>
      <c r="L187"/>
      <c r="M187"/>
      <c r="N187"/>
      <c r="O187"/>
      <c r="P187"/>
      <c r="V187" s="1"/>
      <c r="W187" s="1"/>
      <c r="X187" s="1"/>
      <c r="Y187" s="1"/>
      <c r="Z187" s="1"/>
      <c r="AA187" s="1"/>
      <c r="AB187" s="1"/>
    </row>
    <row r="188" spans="10:28" ht="11.25" customHeight="1" x14ac:dyDescent="0.25">
      <c r="J188"/>
      <c r="K188"/>
      <c r="L188"/>
      <c r="M188"/>
      <c r="N188"/>
      <c r="O188"/>
      <c r="P188"/>
      <c r="V188" s="1"/>
      <c r="W188" s="1"/>
      <c r="X188" s="1"/>
      <c r="Y188" s="1"/>
      <c r="Z188" s="1"/>
      <c r="AA188" s="1"/>
      <c r="AB188" s="1"/>
    </row>
    <row r="189" spans="10:28" ht="11.25" customHeight="1" x14ac:dyDescent="0.25">
      <c r="J189"/>
      <c r="K189"/>
      <c r="L189"/>
      <c r="M189"/>
      <c r="N189"/>
      <c r="O189"/>
      <c r="P189"/>
      <c r="V189" s="1"/>
      <c r="W189" s="1"/>
      <c r="X189" s="1"/>
      <c r="Y189" s="1"/>
      <c r="Z189" s="1"/>
      <c r="AA189" s="1"/>
      <c r="AB189" s="1"/>
    </row>
    <row r="190" spans="10:28" ht="11.25" customHeight="1" x14ac:dyDescent="0.25">
      <c r="J190"/>
      <c r="K190"/>
      <c r="L190"/>
      <c r="M190"/>
      <c r="N190"/>
      <c r="O190"/>
      <c r="P190"/>
      <c r="V190" s="1"/>
      <c r="W190" s="1"/>
      <c r="X190" s="1"/>
      <c r="Y190" s="1"/>
      <c r="Z190" s="1"/>
      <c r="AA190" s="1"/>
      <c r="AB190" s="1"/>
    </row>
    <row r="191" spans="10:28" ht="11.25" customHeight="1" x14ac:dyDescent="0.25">
      <c r="J191"/>
      <c r="K191"/>
      <c r="L191"/>
      <c r="M191"/>
      <c r="N191"/>
      <c r="O191"/>
      <c r="P191"/>
      <c r="V191" s="1"/>
      <c r="W191" s="1"/>
      <c r="X191" s="1"/>
      <c r="Y191" s="1"/>
      <c r="Z191" s="1"/>
      <c r="AA191" s="1"/>
      <c r="AB191" s="1"/>
    </row>
    <row r="192" spans="10:28" ht="11.25" customHeight="1" x14ac:dyDescent="0.25">
      <c r="J192"/>
      <c r="K192"/>
      <c r="L192"/>
      <c r="M192"/>
      <c r="N192"/>
      <c r="O192"/>
      <c r="P192"/>
      <c r="V192" s="1"/>
      <c r="W192" s="1"/>
      <c r="X192" s="1"/>
      <c r="Y192" s="1"/>
      <c r="Z192" s="1"/>
      <c r="AA192" s="1"/>
      <c r="AB192" s="1"/>
    </row>
    <row r="193" spans="10:28" ht="11.25" customHeight="1" x14ac:dyDescent="0.25">
      <c r="J193"/>
      <c r="K193"/>
      <c r="L193"/>
      <c r="M193"/>
      <c r="N193"/>
      <c r="O193"/>
      <c r="P193"/>
      <c r="V193" s="1"/>
      <c r="W193" s="1"/>
      <c r="X193" s="1"/>
      <c r="Y193" s="1"/>
      <c r="Z193" s="1"/>
      <c r="AA193" s="1"/>
      <c r="AB193" s="1"/>
    </row>
    <row r="194" spans="10:28" ht="11.25" customHeight="1" x14ac:dyDescent="0.25">
      <c r="J194"/>
      <c r="K194"/>
      <c r="L194"/>
      <c r="M194"/>
      <c r="N194"/>
      <c r="O194"/>
      <c r="P194"/>
      <c r="V194" s="1"/>
      <c r="W194" s="1"/>
      <c r="X194" s="1"/>
      <c r="Y194" s="1"/>
      <c r="Z194" s="1"/>
      <c r="AA194" s="1"/>
      <c r="AB194" s="1"/>
    </row>
    <row r="195" spans="10:28" ht="11.25" customHeight="1" x14ac:dyDescent="0.25">
      <c r="J195"/>
      <c r="K195"/>
      <c r="L195"/>
      <c r="M195"/>
      <c r="N195"/>
      <c r="O195"/>
      <c r="P195"/>
      <c r="V195" s="1"/>
      <c r="W195" s="1"/>
      <c r="X195" s="1"/>
      <c r="Y195" s="1"/>
      <c r="Z195" s="1"/>
      <c r="AA195" s="1"/>
      <c r="AB195" s="1"/>
    </row>
    <row r="196" spans="10:28" ht="11.25" customHeight="1" x14ac:dyDescent="0.25">
      <c r="J196"/>
      <c r="K196"/>
      <c r="L196"/>
      <c r="M196"/>
      <c r="N196"/>
      <c r="O196"/>
      <c r="P196"/>
      <c r="V196" s="1"/>
      <c r="W196" s="1"/>
      <c r="X196" s="1"/>
      <c r="Y196" s="1"/>
      <c r="Z196" s="1"/>
      <c r="AA196" s="1"/>
      <c r="AB196" s="1"/>
    </row>
    <row r="197" spans="10:28" ht="11.25" customHeight="1" x14ac:dyDescent="0.25">
      <c r="J197"/>
      <c r="K197"/>
      <c r="L197"/>
      <c r="M197"/>
      <c r="N197"/>
      <c r="O197"/>
      <c r="P197"/>
      <c r="V197" s="1"/>
      <c r="W197" s="1"/>
      <c r="X197" s="1"/>
      <c r="Y197" s="1"/>
      <c r="Z197" s="1"/>
      <c r="AA197" s="1"/>
      <c r="AB197" s="1"/>
    </row>
    <row r="198" spans="10:28" ht="11.25" customHeight="1" x14ac:dyDescent="0.25">
      <c r="J198"/>
      <c r="K198"/>
      <c r="L198"/>
      <c r="M198"/>
      <c r="N198"/>
      <c r="O198"/>
      <c r="P198"/>
      <c r="V198" s="1"/>
      <c r="W198" s="1"/>
      <c r="X198" s="1"/>
      <c r="Y198" s="1"/>
      <c r="Z198" s="1"/>
      <c r="AA198" s="1"/>
      <c r="AB198" s="1"/>
    </row>
    <row r="199" spans="10:28" ht="11.25" customHeight="1" x14ac:dyDescent="0.25">
      <c r="J199"/>
      <c r="K199"/>
      <c r="L199"/>
      <c r="M199"/>
      <c r="N199"/>
      <c r="O199"/>
      <c r="P199"/>
      <c r="V199" s="1"/>
      <c r="W199" s="1"/>
      <c r="X199" s="1"/>
      <c r="Y199" s="1"/>
      <c r="Z199" s="1"/>
      <c r="AA199" s="1"/>
      <c r="AB199" s="1"/>
    </row>
    <row r="200" spans="10:28" ht="11.25" customHeight="1" x14ac:dyDescent="0.25">
      <c r="J200"/>
      <c r="K200"/>
      <c r="L200"/>
      <c r="M200"/>
      <c r="N200"/>
      <c r="O200"/>
      <c r="P200"/>
      <c r="V200" s="1"/>
      <c r="W200" s="1"/>
      <c r="X200" s="1"/>
      <c r="Y200" s="1"/>
      <c r="Z200" s="1"/>
      <c r="AA200" s="1"/>
      <c r="AB200" s="1"/>
    </row>
    <row r="201" spans="10:28" ht="11.25" customHeight="1" x14ac:dyDescent="0.25">
      <c r="J201"/>
      <c r="K201"/>
      <c r="L201"/>
      <c r="M201"/>
      <c r="N201"/>
      <c r="O201"/>
      <c r="P201"/>
      <c r="V201" s="1"/>
      <c r="W201" s="1"/>
      <c r="X201" s="1"/>
      <c r="Y201" s="1"/>
      <c r="Z201" s="1"/>
      <c r="AA201" s="1"/>
      <c r="AB201" s="1"/>
    </row>
    <row r="202" spans="10:28" ht="11.25" customHeight="1" x14ac:dyDescent="0.25">
      <c r="J202"/>
      <c r="K202"/>
      <c r="L202"/>
      <c r="M202"/>
      <c r="N202"/>
      <c r="O202"/>
      <c r="P202"/>
      <c r="V202" s="1"/>
      <c r="W202" s="1"/>
      <c r="X202" s="1"/>
      <c r="Y202" s="1"/>
      <c r="Z202" s="1"/>
      <c r="AA202" s="1"/>
      <c r="AB202" s="1"/>
    </row>
    <row r="203" spans="10:28" ht="11.25" customHeight="1" x14ac:dyDescent="0.25">
      <c r="J203"/>
      <c r="K203"/>
      <c r="L203"/>
      <c r="M203"/>
      <c r="N203"/>
      <c r="O203"/>
      <c r="P203"/>
      <c r="V203" s="1"/>
      <c r="W203" s="1"/>
      <c r="X203" s="1"/>
      <c r="Y203" s="1"/>
      <c r="Z203" s="1"/>
      <c r="AA203" s="1"/>
      <c r="AB203" s="1"/>
    </row>
    <row r="204" spans="10:28" ht="11.25" customHeight="1" x14ac:dyDescent="0.25">
      <c r="J204"/>
      <c r="K204"/>
      <c r="L204"/>
      <c r="M204"/>
      <c r="N204"/>
      <c r="O204"/>
      <c r="P204"/>
      <c r="V204" s="1"/>
      <c r="W204" s="1"/>
      <c r="X204" s="1"/>
      <c r="Y204" s="1"/>
      <c r="Z204" s="1"/>
      <c r="AA204" s="1"/>
      <c r="AB204" s="1"/>
    </row>
    <row r="205" spans="10:28" ht="11.25" customHeight="1" x14ac:dyDescent="0.25">
      <c r="J205"/>
      <c r="K205"/>
      <c r="L205"/>
      <c r="M205"/>
      <c r="N205"/>
      <c r="O205"/>
      <c r="P205"/>
      <c r="V205" s="1"/>
      <c r="W205" s="1"/>
      <c r="X205" s="1"/>
      <c r="Y205" s="1"/>
      <c r="Z205" s="1"/>
      <c r="AA205" s="1"/>
      <c r="AB205" s="1"/>
    </row>
    <row r="206" spans="10:28" ht="11.25" customHeight="1" x14ac:dyDescent="0.25">
      <c r="J206" s="1"/>
      <c r="K206" s="1"/>
      <c r="L206" s="1"/>
      <c r="P206"/>
      <c r="Q206"/>
      <c r="R206"/>
      <c r="S206"/>
      <c r="T206"/>
      <c r="U206"/>
      <c r="W206" s="1"/>
      <c r="X206" s="1"/>
      <c r="Y206" s="1"/>
      <c r="Z206" s="1"/>
      <c r="AA206" s="1"/>
      <c r="AB206" s="1"/>
    </row>
  </sheetData>
  <sortState xmlns:xlrd2="http://schemas.microsoft.com/office/spreadsheetml/2017/richdata2" ref="A86:AB96">
    <sortCondition ref="B86:B96"/>
  </sortState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B207"/>
  <sheetViews>
    <sheetView topLeftCell="A12" zoomScaleNormal="100" workbookViewId="0">
      <selection activeCell="A32" sqref="A32:XFD84"/>
    </sheetView>
  </sheetViews>
  <sheetFormatPr defaultColWidth="9.140625" defaultRowHeight="11.25" customHeight="1" x14ac:dyDescent="0.25"/>
  <cols>
    <col min="1" max="1" width="12" style="1" customWidth="1"/>
    <col min="2" max="2" width="25.28515625" style="1" customWidth="1"/>
    <col min="3" max="3" width="10.85546875" style="1" customWidth="1"/>
    <col min="4" max="4" width="8.28515625" style="1" customWidth="1"/>
    <col min="5" max="5" width="14" style="1" customWidth="1"/>
    <col min="6" max="6" width="10.7109375" style="1" customWidth="1"/>
    <col min="7" max="7" width="11.42578125" style="1" customWidth="1"/>
    <col min="8" max="8" width="9" style="1" customWidth="1"/>
    <col min="9" max="9" width="9.5703125" style="1" customWidth="1"/>
    <col min="10" max="10" width="11.42578125" style="5" customWidth="1"/>
    <col min="11" max="12" width="9.42578125" style="5" customWidth="1"/>
    <col min="13" max="14" width="10" style="1" customWidth="1"/>
    <col min="15" max="15" width="13" style="1" customWidth="1"/>
    <col min="16" max="16" width="9.140625" style="1"/>
    <col min="17" max="17" width="9.5703125" style="1" customWidth="1"/>
    <col min="18" max="18" width="9.140625" style="1"/>
    <col min="19" max="19" width="9.5703125" style="1" customWidth="1"/>
    <col min="20" max="21" width="9.140625" style="1"/>
    <col min="26" max="26" width="8.85546875" customWidth="1"/>
    <col min="27" max="28" width="8.7109375" customWidth="1"/>
    <col min="29" max="16384" width="9.140625" style="1"/>
  </cols>
  <sheetData>
    <row r="2" spans="1:19" s="1" customFormat="1" ht="45" customHeight="1" x14ac:dyDescent="0.65">
      <c r="B2" s="2" t="s">
        <v>0</v>
      </c>
      <c r="C2" s="2"/>
      <c r="D2" s="2"/>
      <c r="E2" s="2"/>
      <c r="F2" s="2"/>
      <c r="G2" s="3"/>
      <c r="H2" s="3"/>
      <c r="I2" s="3"/>
      <c r="J2" s="4"/>
      <c r="K2" s="4"/>
      <c r="L2" s="5"/>
    </row>
    <row r="3" spans="1:19" s="1" customFormat="1" ht="11.25" customHeight="1" x14ac:dyDescent="0.2">
      <c r="B3" s="6" t="s">
        <v>1</v>
      </c>
      <c r="C3" s="6"/>
      <c r="D3" s="6"/>
      <c r="E3" s="6"/>
      <c r="F3" s="6"/>
      <c r="G3" s="7">
        <v>45197</v>
      </c>
      <c r="J3" s="5"/>
      <c r="K3" s="5"/>
      <c r="L3" s="5"/>
    </row>
    <row r="4" spans="1:19" s="1" customFormat="1" ht="11.25" customHeight="1" x14ac:dyDescent="0.2">
      <c r="B4" s="6" t="s">
        <v>2</v>
      </c>
      <c r="C4" s="6"/>
      <c r="D4" s="6"/>
      <c r="E4" s="6"/>
      <c r="F4" s="6"/>
      <c r="G4" s="1" t="s">
        <v>3</v>
      </c>
      <c r="J4" s="5"/>
      <c r="K4" s="5"/>
      <c r="L4" s="5"/>
    </row>
    <row r="5" spans="1:19" s="1" customFormat="1" ht="11.25" customHeight="1" x14ac:dyDescent="0.25">
      <c r="B5" s="6" t="s">
        <v>4</v>
      </c>
      <c r="C5" s="6"/>
      <c r="D5" s="6"/>
      <c r="E5" s="6"/>
      <c r="F5" s="6"/>
      <c r="G5" s="8" t="s">
        <v>382</v>
      </c>
      <c r="J5" s="5"/>
      <c r="K5" s="5"/>
      <c r="L5" s="5"/>
      <c r="M5" s="9"/>
      <c r="N5" s="9"/>
    </row>
    <row r="6" spans="1:19" s="1" customFormat="1" ht="11.25" customHeight="1" x14ac:dyDescent="0.2">
      <c r="B6" s="6" t="s">
        <v>5</v>
      </c>
      <c r="C6" s="6"/>
      <c r="D6" s="6"/>
      <c r="E6" s="6"/>
      <c r="F6" s="6"/>
      <c r="G6" s="1" t="s">
        <v>6</v>
      </c>
      <c r="J6" s="5"/>
      <c r="K6" s="5"/>
      <c r="L6" s="5"/>
      <c r="S6" s="10"/>
    </row>
    <row r="7" spans="1:19" s="1" customFormat="1" ht="11.25" customHeight="1" x14ac:dyDescent="0.2">
      <c r="B7" s="6" t="s">
        <v>7</v>
      </c>
      <c r="C7" s="6"/>
      <c r="D7" s="6"/>
      <c r="E7" s="6"/>
      <c r="F7" s="6"/>
      <c r="G7" s="6" t="s">
        <v>53</v>
      </c>
      <c r="J7" s="5"/>
      <c r="K7" s="5"/>
      <c r="L7" s="5"/>
    </row>
    <row r="8" spans="1:19" s="1" customFormat="1" ht="11.25" customHeight="1" x14ac:dyDescent="0.2">
      <c r="B8" s="6" t="s">
        <v>8</v>
      </c>
      <c r="C8" s="6"/>
      <c r="D8" s="6"/>
      <c r="E8" s="6"/>
      <c r="F8" s="6"/>
      <c r="G8" s="6" t="s">
        <v>9</v>
      </c>
      <c r="J8" s="5"/>
      <c r="K8" s="11"/>
      <c r="M8" s="12"/>
      <c r="N8" s="13"/>
    </row>
    <row r="9" spans="1:19" s="1" customFormat="1" ht="11.25" customHeight="1" x14ac:dyDescent="0.25">
      <c r="A9" s="14" t="s">
        <v>10</v>
      </c>
      <c r="B9" s="15"/>
      <c r="C9" s="16" t="s">
        <v>11</v>
      </c>
      <c r="D9" s="17"/>
      <c r="E9" s="16" t="s">
        <v>12</v>
      </c>
      <c r="F9" s="18"/>
      <c r="G9" s="14" t="s">
        <v>13</v>
      </c>
      <c r="H9" s="19" t="s">
        <v>14</v>
      </c>
      <c r="I9" s="20" t="s">
        <v>14</v>
      </c>
      <c r="J9" s="21" t="s">
        <v>14</v>
      </c>
      <c r="K9" s="22"/>
      <c r="M9" s="12"/>
      <c r="N9" s="13"/>
    </row>
    <row r="10" spans="1:19" s="1" customFormat="1" ht="11.25" customHeight="1" x14ac:dyDescent="0.25">
      <c r="A10" s="23"/>
      <c r="B10" s="24"/>
      <c r="C10" s="25" t="s">
        <v>14</v>
      </c>
      <c r="D10" s="26" t="s">
        <v>15</v>
      </c>
      <c r="E10" s="25" t="s">
        <v>14</v>
      </c>
      <c r="F10" s="27" t="s">
        <v>15</v>
      </c>
      <c r="G10" s="28" t="s">
        <v>16</v>
      </c>
      <c r="H10" s="28" t="s">
        <v>17</v>
      </c>
      <c r="I10" s="29" t="s">
        <v>18</v>
      </c>
      <c r="J10" s="30" t="s">
        <v>19</v>
      </c>
      <c r="K10" s="22"/>
      <c r="M10" s="12"/>
      <c r="N10" s="13"/>
    </row>
    <row r="11" spans="1:19" s="1" customFormat="1" ht="11.25" customHeight="1" x14ac:dyDescent="0.25">
      <c r="A11" s="31"/>
      <c r="B11" s="32" t="s">
        <v>20</v>
      </c>
      <c r="C11" s="33">
        <v>-26.6</v>
      </c>
      <c r="D11" s="34"/>
      <c r="E11" s="35">
        <v>-21.3</v>
      </c>
      <c r="F11" s="36"/>
      <c r="G11" s="37"/>
      <c r="H11" s="38">
        <v>72.53</v>
      </c>
      <c r="I11" s="38">
        <v>6.51</v>
      </c>
      <c r="J11" s="39">
        <f>H11/I11</f>
        <v>11.141321044546851</v>
      </c>
      <c r="K11" s="22"/>
      <c r="M11" s="12"/>
      <c r="N11" s="13"/>
    </row>
    <row r="12" spans="1:19" s="1" customFormat="1" ht="11.25" customHeight="1" x14ac:dyDescent="0.25">
      <c r="A12" s="40"/>
      <c r="B12" s="41" t="s">
        <v>21</v>
      </c>
      <c r="C12" s="42"/>
      <c r="D12" s="43"/>
      <c r="E12"/>
      <c r="F12" s="44"/>
      <c r="G12" s="37"/>
      <c r="H12" s="45">
        <v>20</v>
      </c>
      <c r="I12" s="45">
        <v>46.65</v>
      </c>
      <c r="J12" s="46">
        <f>H12/I12</f>
        <v>0.4287245444801715</v>
      </c>
      <c r="K12" s="5"/>
      <c r="L12" s="5"/>
    </row>
    <row r="13" spans="1:19" s="1" customFormat="1" ht="11.25" customHeight="1" x14ac:dyDescent="0.25">
      <c r="A13" s="40"/>
      <c r="B13" s="41">
        <v>2704</v>
      </c>
      <c r="C13" s="42"/>
      <c r="D13" s="43"/>
      <c r="E13"/>
      <c r="F13" s="44"/>
      <c r="G13" s="47"/>
      <c r="H13" s="45">
        <v>3.3479999999999999</v>
      </c>
      <c r="I13" s="45"/>
      <c r="J13" s="46"/>
      <c r="K13" s="5"/>
      <c r="L13" s="5"/>
    </row>
    <row r="14" spans="1:19" s="1" customFormat="1" ht="11.25" customHeight="1" x14ac:dyDescent="0.25">
      <c r="A14" s="40"/>
      <c r="B14" s="41" t="s">
        <v>22</v>
      </c>
      <c r="C14" s="42">
        <v>-25.95</v>
      </c>
      <c r="D14" s="48"/>
      <c r="E14" s="49">
        <v>2.08</v>
      </c>
      <c r="F14" s="50">
        <f>AVERAGE(E89:E93,E95:E96)</f>
        <v>3.5367061850329109</v>
      </c>
      <c r="G14" s="47"/>
      <c r="H14" s="45">
        <v>44.65</v>
      </c>
      <c r="I14" s="45">
        <v>2.83</v>
      </c>
      <c r="J14" s="46">
        <f>H14/I14</f>
        <v>15.777385159010599</v>
      </c>
      <c r="K14" s="5"/>
      <c r="L14" s="5"/>
    </row>
    <row r="15" spans="1:19" s="1" customFormat="1" ht="11.25" customHeight="1" x14ac:dyDescent="0.25">
      <c r="A15" s="40"/>
      <c r="B15" s="41" t="s">
        <v>23</v>
      </c>
      <c r="C15" s="51">
        <v>-18.3</v>
      </c>
      <c r="D15" s="52">
        <f>AVERAGE(G39,G77)</f>
        <v>-13.55557145056579</v>
      </c>
      <c r="E15" s="49"/>
      <c r="F15" s="53"/>
      <c r="G15" s="54"/>
      <c r="H15" s="55"/>
      <c r="I15" s="55"/>
      <c r="J15" s="54"/>
      <c r="K15" s="5"/>
      <c r="L15" s="5"/>
    </row>
    <row r="16" spans="1:19" s="1" customFormat="1" ht="11.25" customHeight="1" x14ac:dyDescent="0.25">
      <c r="A16" s="40"/>
      <c r="B16" s="41" t="s">
        <v>24</v>
      </c>
      <c r="C16" s="42">
        <v>-25.49</v>
      </c>
      <c r="D16" s="52"/>
      <c r="E16" s="56"/>
      <c r="F16" s="57"/>
      <c r="G16" s="54"/>
      <c r="H16" s="55"/>
      <c r="I16" s="55"/>
      <c r="J16" s="54"/>
      <c r="K16" s="5"/>
      <c r="L16" s="5"/>
    </row>
    <row r="17" spans="1:20" s="1" customFormat="1" ht="11.25" customHeight="1" x14ac:dyDescent="0.25">
      <c r="A17" s="40"/>
      <c r="B17" s="41" t="s">
        <v>25</v>
      </c>
      <c r="C17" s="42">
        <v>-10.8</v>
      </c>
      <c r="D17" s="52">
        <f>AVERAGE(G38,G76)</f>
        <v>-6.0297910559222281</v>
      </c>
      <c r="E17" s="56"/>
      <c r="F17" s="57"/>
      <c r="G17" s="54"/>
      <c r="H17" s="55"/>
      <c r="I17" s="55"/>
      <c r="J17" s="54"/>
      <c r="K17" s="5"/>
      <c r="L17" s="5"/>
    </row>
    <row r="18" spans="1:20" s="1" customFormat="1" ht="11.25" customHeight="1" x14ac:dyDescent="0.25">
      <c r="A18" s="40"/>
      <c r="B18" s="41" t="s">
        <v>26</v>
      </c>
      <c r="C18" s="42">
        <v>-24.91</v>
      </c>
      <c r="D18" s="52">
        <f>AVERAGE(G75,G37)</f>
        <v>-19.978669931662647</v>
      </c>
      <c r="E18" s="56"/>
      <c r="F18" s="57"/>
      <c r="G18" s="54"/>
      <c r="H18" s="55"/>
      <c r="I18" s="55"/>
      <c r="J18" s="54"/>
      <c r="K18" s="5"/>
      <c r="L18" s="5"/>
    </row>
    <row r="19" spans="1:20" s="1" customFormat="1" ht="11.25" customHeight="1" x14ac:dyDescent="0.25">
      <c r="A19" s="40"/>
      <c r="B19" s="5" t="s">
        <v>27</v>
      </c>
      <c r="C19" s="42"/>
      <c r="D19" s="52"/>
      <c r="E19" s="58">
        <v>2.7</v>
      </c>
      <c r="F19" s="57"/>
      <c r="G19" s="54"/>
      <c r="H19" s="55"/>
      <c r="I19" s="55"/>
      <c r="J19" s="54"/>
      <c r="K19" s="5"/>
      <c r="L19" s="5"/>
    </row>
    <row r="20" spans="1:20" s="1" customFormat="1" ht="11.25" customHeight="1" x14ac:dyDescent="0.25">
      <c r="A20" s="40"/>
      <c r="B20" s="5" t="s">
        <v>28</v>
      </c>
      <c r="C20" s="42"/>
      <c r="D20" s="52"/>
      <c r="E20" s="58">
        <v>180</v>
      </c>
      <c r="F20" s="57"/>
      <c r="G20" s="54"/>
      <c r="H20" s="55"/>
      <c r="I20" s="55"/>
      <c r="J20" s="54"/>
      <c r="K20" s="5"/>
      <c r="L20" s="5"/>
    </row>
    <row r="21" spans="1:20" s="1" customFormat="1" ht="11.25" customHeight="1" x14ac:dyDescent="0.25">
      <c r="A21" s="40"/>
      <c r="B21" s="5" t="s">
        <v>29</v>
      </c>
      <c r="C21" s="42"/>
      <c r="D21" s="52"/>
      <c r="E21" s="58">
        <v>-1.8</v>
      </c>
      <c r="F21" s="57"/>
      <c r="G21" s="54"/>
      <c r="H21" s="55"/>
      <c r="I21" s="55"/>
      <c r="J21" s="54"/>
      <c r="K21" s="5"/>
      <c r="L21" s="5"/>
    </row>
    <row r="22" spans="1:20" s="1" customFormat="1" ht="11.25" customHeight="1" x14ac:dyDescent="0.25">
      <c r="A22" s="40"/>
      <c r="B22" s="41" t="s">
        <v>30</v>
      </c>
      <c r="C22" s="40"/>
      <c r="D22" s="59"/>
      <c r="E22" s="53">
        <v>0.4</v>
      </c>
      <c r="F22" s="50"/>
      <c r="G22" s="54"/>
      <c r="H22"/>
      <c r="I22"/>
      <c r="J22" s="54"/>
      <c r="K22" s="5"/>
      <c r="L22" s="5"/>
    </row>
    <row r="23" spans="1:20" s="1" customFormat="1" ht="11.25" customHeight="1" x14ac:dyDescent="0.25">
      <c r="A23" s="40"/>
      <c r="B23" s="41" t="s">
        <v>31</v>
      </c>
      <c r="C23" s="60"/>
      <c r="D23" s="59"/>
      <c r="E23" s="53">
        <v>20.3</v>
      </c>
      <c r="F23" s="50"/>
      <c r="G23" s="54"/>
      <c r="H23"/>
      <c r="I23"/>
      <c r="J23" s="54"/>
      <c r="K23" s="5"/>
      <c r="L23" s="5"/>
    </row>
    <row r="24" spans="1:20" s="1" customFormat="1" ht="11.25" customHeight="1" x14ac:dyDescent="0.25">
      <c r="A24" s="40"/>
      <c r="B24" s="41" t="s">
        <v>32</v>
      </c>
      <c r="C24" s="60"/>
      <c r="D24" s="52"/>
      <c r="E24" s="53">
        <v>4.7</v>
      </c>
      <c r="F24" s="50"/>
      <c r="G24" s="54"/>
      <c r="H24"/>
      <c r="I24"/>
      <c r="J24" s="54"/>
      <c r="K24" s="5"/>
      <c r="L24" s="5"/>
    </row>
    <row r="25" spans="1:20" customFormat="1" ht="11.25" customHeight="1" x14ac:dyDescent="0.25">
      <c r="A25" s="31"/>
      <c r="B25" s="61" t="s">
        <v>33</v>
      </c>
      <c r="C25" s="62"/>
      <c r="D25" s="61" t="s">
        <v>34</v>
      </c>
      <c r="E25" s="61"/>
      <c r="F25" s="62"/>
      <c r="G25" s="31"/>
      <c r="H25" s="62"/>
      <c r="I25" s="62"/>
      <c r="J25" s="63"/>
      <c r="K25" s="53"/>
      <c r="L25" s="53"/>
    </row>
    <row r="26" spans="1:20" customFormat="1" ht="11.25" customHeight="1" x14ac:dyDescent="0.25">
      <c r="A26" s="64" t="s">
        <v>35</v>
      </c>
      <c r="B26" s="53">
        <v>1.0111000000000001</v>
      </c>
      <c r="C26" s="65" t="s">
        <v>52</v>
      </c>
      <c r="D26" s="53">
        <v>-4.6685999999999996</v>
      </c>
      <c r="E26" s="53"/>
      <c r="F26" s="53"/>
      <c r="G26" s="40"/>
      <c r="H26" s="53"/>
      <c r="I26" s="53"/>
      <c r="J26" s="66"/>
      <c r="K26" s="53"/>
      <c r="L26" s="53"/>
    </row>
    <row r="27" spans="1:20" customFormat="1" ht="11.25" customHeight="1" x14ac:dyDescent="0.25">
      <c r="A27" s="64" t="s">
        <v>37</v>
      </c>
      <c r="B27" s="53">
        <v>1</v>
      </c>
      <c r="C27" s="65"/>
      <c r="D27" s="67">
        <f>$E$14-$F$14</f>
        <v>-1.4567061850329108</v>
      </c>
      <c r="E27" s="53"/>
      <c r="F27" s="53"/>
      <c r="G27" s="40"/>
      <c r="H27" s="53"/>
      <c r="I27" s="53"/>
      <c r="J27" s="66"/>
      <c r="K27" s="53"/>
      <c r="L27" s="53"/>
    </row>
    <row r="28" spans="1:20" customFormat="1" ht="11.25" customHeight="1" x14ac:dyDescent="0.25">
      <c r="A28" s="68" t="s">
        <v>38</v>
      </c>
      <c r="B28" s="53">
        <v>5.5334000000000001E-2</v>
      </c>
      <c r="C28" s="65" t="s">
        <v>36</v>
      </c>
      <c r="D28" s="67">
        <v>0</v>
      </c>
      <c r="E28" s="49"/>
      <c r="F28" s="53"/>
      <c r="G28" s="40"/>
      <c r="H28" s="53"/>
      <c r="I28" s="53"/>
      <c r="J28" s="66"/>
      <c r="K28" s="53"/>
      <c r="L28" s="53"/>
    </row>
    <row r="29" spans="1:20" customFormat="1" ht="11.25" customHeight="1" x14ac:dyDescent="0.25">
      <c r="A29" s="68" t="s">
        <v>39</v>
      </c>
      <c r="B29" s="53">
        <v>2.4753000000000001E-2</v>
      </c>
      <c r="C29" s="49" t="s">
        <v>36</v>
      </c>
      <c r="D29" s="69">
        <v>-2.392E-3</v>
      </c>
      <c r="E29" s="69"/>
      <c r="F29" s="69"/>
      <c r="G29" s="70"/>
      <c r="H29" s="69"/>
      <c r="I29" s="69"/>
      <c r="J29" s="71"/>
      <c r="K29" s="53"/>
      <c r="L29" s="53"/>
      <c r="Q29" s="72"/>
    </row>
    <row r="30" spans="1:20" s="1" customFormat="1" ht="11.25" customHeight="1" x14ac:dyDescent="0.2">
      <c r="A30" s="73"/>
      <c r="B30" s="49"/>
      <c r="C30" s="49"/>
      <c r="D30" s="49"/>
      <c r="E30" s="49"/>
      <c r="F30" s="49"/>
      <c r="G30" s="74"/>
      <c r="H30" s="49"/>
      <c r="I30" s="56"/>
      <c r="J30" s="41"/>
      <c r="K30" s="5"/>
      <c r="L30" s="5"/>
    </row>
    <row r="31" spans="1:20" s="1" customFormat="1" ht="12" customHeight="1" x14ac:dyDescent="0.2">
      <c r="I31" s="3"/>
      <c r="J31" s="4"/>
    </row>
    <row r="32" spans="1:20" s="1" customFormat="1" ht="11.25" customHeight="1" x14ac:dyDescent="0.2">
      <c r="A32" s="75"/>
      <c r="B32" s="75" t="s">
        <v>40</v>
      </c>
      <c r="C32" s="75" t="s">
        <v>54</v>
      </c>
      <c r="D32" s="75" t="s">
        <v>80</v>
      </c>
      <c r="E32" s="75" t="s">
        <v>41</v>
      </c>
      <c r="F32" s="75" t="s">
        <v>81</v>
      </c>
      <c r="G32" s="99" t="s">
        <v>42</v>
      </c>
      <c r="H32" s="76" t="s">
        <v>43</v>
      </c>
      <c r="I32" s="77" t="s">
        <v>44</v>
      </c>
      <c r="J32" s="77" t="s">
        <v>45</v>
      </c>
      <c r="K32" s="77" t="s">
        <v>46</v>
      </c>
      <c r="L32" s="77" t="s">
        <v>47</v>
      </c>
      <c r="M32" s="178" t="s">
        <v>38</v>
      </c>
      <c r="N32" s="77" t="s">
        <v>38</v>
      </c>
      <c r="O32" s="77" t="s">
        <v>48</v>
      </c>
      <c r="P32" s="77" t="s">
        <v>49</v>
      </c>
      <c r="Q32" s="77" t="s">
        <v>39</v>
      </c>
      <c r="R32" s="77" t="s">
        <v>39</v>
      </c>
      <c r="S32" s="77" t="s">
        <v>50</v>
      </c>
      <c r="T32" s="77" t="s">
        <v>51</v>
      </c>
    </row>
    <row r="33" spans="1:20" s="90" customFormat="1" ht="11.25" customHeight="1" x14ac:dyDescent="0.2">
      <c r="A33" s="117">
        <v>30</v>
      </c>
      <c r="B33" s="117" t="s">
        <v>55</v>
      </c>
      <c r="C33" s="105">
        <v>1.3939999999999999</v>
      </c>
      <c r="D33" s="105">
        <v>1.658446375</v>
      </c>
      <c r="E33" s="105">
        <v>4.3426866976095102</v>
      </c>
      <c r="F33" s="105">
        <v>11.075849</v>
      </c>
      <c r="G33" s="105">
        <v>-21.754928416890614</v>
      </c>
      <c r="H33" s="100">
        <f>$B$26*G33+$D$26</f>
        <v>-26.665008122318099</v>
      </c>
      <c r="I33" s="86">
        <f t="shared" ref="I33:I82" si="0">$B$27*E33+$D$27</f>
        <v>2.8859805125765994</v>
      </c>
      <c r="J33" s="87">
        <f t="shared" ref="J33:J82" si="1">(F33)/C33</f>
        <v>7.9453723098995699</v>
      </c>
      <c r="K33" s="87">
        <f>H$14</f>
        <v>44.65</v>
      </c>
      <c r="L33" s="87">
        <f>I$14</f>
        <v>2.83</v>
      </c>
      <c r="M33" s="87">
        <f t="shared" ref="M33:M82" si="2">C33*(K33/100)</f>
        <v>0.622421</v>
      </c>
      <c r="N33" s="179">
        <f t="shared" ref="N33:N82" si="3">F33*$B$28+$D$28</f>
        <v>0.61287102856599995</v>
      </c>
      <c r="O33" s="91">
        <f t="shared" ref="O33:O82" si="4">N33/C33*100</f>
        <v>43.964923139598277</v>
      </c>
      <c r="P33" s="87">
        <f t="shared" ref="P33:P82" si="5">D33/C33</f>
        <v>1.1897032819225253</v>
      </c>
      <c r="Q33" s="87">
        <f t="shared" ref="Q33:Q36" si="6">C33*(L33/100)</f>
        <v>3.9450199999999998E-2</v>
      </c>
      <c r="R33" s="179">
        <f t="shared" ref="R33:R82" si="7">D33*$B$29+$D$29</f>
        <v>3.8659523120375003E-2</v>
      </c>
      <c r="S33" s="89">
        <f t="shared" ref="S33:S82" si="8">R33/C33*100</f>
        <v>2.7732799942880204</v>
      </c>
      <c r="T33" s="86">
        <f t="shared" ref="T33:T82" si="9">N33/R33</f>
        <v>15.853041607825581</v>
      </c>
    </row>
    <row r="34" spans="1:20" s="90" customFormat="1" ht="11.25" customHeight="1" x14ac:dyDescent="0.2">
      <c r="A34" s="117">
        <v>31</v>
      </c>
      <c r="B34" s="117" t="s">
        <v>56</v>
      </c>
      <c r="C34" s="105">
        <v>1.01</v>
      </c>
      <c r="D34" s="105">
        <v>1.2422145</v>
      </c>
      <c r="E34" s="105">
        <v>2.9185818415420339</v>
      </c>
      <c r="F34" s="105">
        <v>8.1761210000000002</v>
      </c>
      <c r="G34" s="105">
        <v>-21.649915840650635</v>
      </c>
      <c r="H34" s="100">
        <f t="shared" ref="H34:H82" si="10">$B$26*G34+$D$26</f>
        <v>-26.558829906481861</v>
      </c>
      <c r="I34" s="86">
        <f t="shared" si="0"/>
        <v>1.4618756565091231</v>
      </c>
      <c r="J34" s="87">
        <f t="shared" si="1"/>
        <v>8.0951693069306927</v>
      </c>
      <c r="K34" s="87">
        <f t="shared" ref="K34:L36" si="11">H$14</f>
        <v>44.65</v>
      </c>
      <c r="L34" s="87">
        <f t="shared" si="11"/>
        <v>2.83</v>
      </c>
      <c r="M34" s="87">
        <f t="shared" si="2"/>
        <v>0.450965</v>
      </c>
      <c r="N34" s="179">
        <f t="shared" si="3"/>
        <v>0.45241747941400001</v>
      </c>
      <c r="O34" s="91">
        <f t="shared" si="4"/>
        <v>44.793809842970298</v>
      </c>
      <c r="P34" s="87">
        <f t="shared" si="5"/>
        <v>1.2299153465346535</v>
      </c>
      <c r="Q34" s="87">
        <f t="shared" si="6"/>
        <v>2.8583000000000004E-2</v>
      </c>
      <c r="R34" s="179">
        <f t="shared" si="7"/>
        <v>2.8356535518500002E-2</v>
      </c>
      <c r="S34" s="89">
        <f t="shared" si="8"/>
        <v>2.807577774108911</v>
      </c>
      <c r="T34" s="86">
        <f t="shared" si="9"/>
        <v>15.954610503065146</v>
      </c>
    </row>
    <row r="35" spans="1:20" s="90" customFormat="1" ht="11.25" customHeight="1" x14ac:dyDescent="0.2">
      <c r="A35" s="117">
        <v>32</v>
      </c>
      <c r="B35" s="117" t="s">
        <v>57</v>
      </c>
      <c r="C35" s="105">
        <v>1.292</v>
      </c>
      <c r="D35" s="105">
        <v>1.5616785</v>
      </c>
      <c r="E35" s="105">
        <v>3.4125873949542029</v>
      </c>
      <c r="F35" s="105">
        <v>10.38654</v>
      </c>
      <c r="G35" s="105">
        <v>-21.671400595860312</v>
      </c>
      <c r="H35" s="100">
        <f t="shared" si="10"/>
        <v>-26.580553142474365</v>
      </c>
      <c r="I35" s="86">
        <f t="shared" si="0"/>
        <v>1.9558812099212921</v>
      </c>
      <c r="J35" s="87">
        <f t="shared" si="1"/>
        <v>8.0391176470588235</v>
      </c>
      <c r="K35" s="87">
        <f t="shared" si="11"/>
        <v>44.65</v>
      </c>
      <c r="L35" s="87">
        <f t="shared" si="11"/>
        <v>2.83</v>
      </c>
      <c r="M35" s="87">
        <f t="shared" si="2"/>
        <v>0.576878</v>
      </c>
      <c r="N35" s="179">
        <f t="shared" si="3"/>
        <v>0.57472880436000007</v>
      </c>
      <c r="O35" s="91">
        <f t="shared" si="4"/>
        <v>44.483653588235299</v>
      </c>
      <c r="P35" s="87">
        <f t="shared" si="5"/>
        <v>1.2087294891640867</v>
      </c>
      <c r="Q35" s="87">
        <f t="shared" si="6"/>
        <v>3.6563600000000002E-2</v>
      </c>
      <c r="R35" s="179">
        <f t="shared" si="7"/>
        <v>3.6264227910500005E-2</v>
      </c>
      <c r="S35" s="89">
        <f t="shared" si="8"/>
        <v>2.806828785642415</v>
      </c>
      <c r="T35" s="86">
        <f t="shared" si="9"/>
        <v>15.848367316089808</v>
      </c>
    </row>
    <row r="36" spans="1:20" s="90" customFormat="1" ht="11.25" customHeight="1" x14ac:dyDescent="0.2">
      <c r="A36" s="117">
        <v>33</v>
      </c>
      <c r="B36" s="117" t="s">
        <v>58</v>
      </c>
      <c r="C36" s="105">
        <v>1.4950000000000001</v>
      </c>
      <c r="D36" s="105">
        <v>1.8022907500000001</v>
      </c>
      <c r="E36" s="105">
        <v>3.1958684957988925</v>
      </c>
      <c r="F36" s="105">
        <v>12.046118999999999</v>
      </c>
      <c r="G36" s="105">
        <v>-21.68261725786299</v>
      </c>
      <c r="H36" s="100">
        <f t="shared" si="10"/>
        <v>-26.591894309425271</v>
      </c>
      <c r="I36" s="86">
        <f t="shared" si="0"/>
        <v>1.7391623107659817</v>
      </c>
      <c r="J36" s="87">
        <f t="shared" si="1"/>
        <v>8.0576046822742455</v>
      </c>
      <c r="K36" s="87">
        <f t="shared" si="11"/>
        <v>44.65</v>
      </c>
      <c r="L36" s="87">
        <f t="shared" si="11"/>
        <v>2.83</v>
      </c>
      <c r="M36" s="87">
        <f t="shared" si="2"/>
        <v>0.6675175000000001</v>
      </c>
      <c r="N36" s="179">
        <f t="shared" si="3"/>
        <v>0.666559948746</v>
      </c>
      <c r="O36" s="91">
        <f t="shared" si="4"/>
        <v>44.585949748896319</v>
      </c>
      <c r="P36" s="87">
        <f t="shared" si="5"/>
        <v>1.205545652173913</v>
      </c>
      <c r="Q36" s="87">
        <f t="shared" si="6"/>
        <v>4.2308500000000006E-2</v>
      </c>
      <c r="R36" s="179">
        <f t="shared" si="7"/>
        <v>4.2220102934750002E-2</v>
      </c>
      <c r="S36" s="89">
        <f t="shared" si="8"/>
        <v>2.8240871528260869</v>
      </c>
      <c r="T36" s="86">
        <f t="shared" si="9"/>
        <v>15.787738598746429</v>
      </c>
    </row>
    <row r="37" spans="1:20" s="1" customFormat="1" ht="11.25" customHeight="1" x14ac:dyDescent="0.2">
      <c r="A37" s="83">
        <v>34</v>
      </c>
      <c r="B37" s="83" t="s">
        <v>60</v>
      </c>
      <c r="C37" s="84">
        <v>0.86199999999999999</v>
      </c>
      <c r="D37" s="84">
        <v>0.14027395312499999</v>
      </c>
      <c r="E37" s="84">
        <v>-8.9835405903514456</v>
      </c>
      <c r="F37" s="84">
        <v>6.4264595</v>
      </c>
      <c r="G37" s="84">
        <v>-20.133218255356137</v>
      </c>
      <c r="H37" s="101">
        <f t="shared" si="10"/>
        <v>-25.025296977990592</v>
      </c>
      <c r="I37" s="78">
        <f t="shared" si="0"/>
        <v>-10.440246775384356</v>
      </c>
      <c r="J37" s="79">
        <f t="shared" si="1"/>
        <v>7.4552894431554524</v>
      </c>
      <c r="K37" s="79"/>
      <c r="L37" s="79"/>
      <c r="M37" s="79">
        <f t="shared" si="2"/>
        <v>0</v>
      </c>
      <c r="N37" s="180">
        <f t="shared" si="3"/>
        <v>0.355601709973</v>
      </c>
      <c r="O37" s="81">
        <f t="shared" si="4"/>
        <v>41.253098604756381</v>
      </c>
      <c r="P37" s="79">
        <f t="shared" si="5"/>
        <v>0.16273080408932714</v>
      </c>
      <c r="Q37" s="79"/>
      <c r="R37" s="180">
        <f t="shared" si="7"/>
        <v>1.0802011617031247E-3</v>
      </c>
      <c r="S37" s="82">
        <f t="shared" si="8"/>
        <v>0.12531335982634856</v>
      </c>
      <c r="T37" s="78">
        <f t="shared" si="9"/>
        <v>329.19952558867107</v>
      </c>
    </row>
    <row r="38" spans="1:20" s="1" customFormat="1" ht="11.25" customHeight="1" x14ac:dyDescent="0.2">
      <c r="A38" s="95">
        <v>35</v>
      </c>
      <c r="B38" s="95" t="s">
        <v>66</v>
      </c>
      <c r="C38" s="96">
        <v>1.1619999999999999</v>
      </c>
      <c r="D38" s="96">
        <v>0.140557796875</v>
      </c>
      <c r="E38" s="96">
        <v>-9.3389440145125171</v>
      </c>
      <c r="F38" s="96">
        <v>8.6202930000000002</v>
      </c>
      <c r="G38" s="96">
        <v>-6.12107958534967</v>
      </c>
      <c r="H38" s="101">
        <f t="shared" si="10"/>
        <v>-10.857623568747051</v>
      </c>
      <c r="I38" s="78">
        <f t="shared" si="0"/>
        <v>-10.795650199545427</v>
      </c>
      <c r="J38" s="79">
        <f t="shared" si="1"/>
        <v>7.4184965576592088</v>
      </c>
      <c r="K38" s="79"/>
      <c r="L38" s="79"/>
      <c r="M38" s="79">
        <f t="shared" si="2"/>
        <v>0</v>
      </c>
      <c r="N38" s="180">
        <f t="shared" si="3"/>
        <v>0.47699529286200004</v>
      </c>
      <c r="O38" s="81">
        <f t="shared" si="4"/>
        <v>41.049508852151469</v>
      </c>
      <c r="P38" s="79">
        <f t="shared" si="5"/>
        <v>0.12096195944492255</v>
      </c>
      <c r="Q38" s="79"/>
      <c r="R38" s="180">
        <f t="shared" si="7"/>
        <v>1.0872271460468752E-3</v>
      </c>
      <c r="S38" s="82">
        <f t="shared" si="8"/>
        <v>9.3565158868061549E-2</v>
      </c>
      <c r="T38" s="78">
        <f t="shared" si="9"/>
        <v>438.72643779760318</v>
      </c>
    </row>
    <row r="39" spans="1:20" s="1" customFormat="1" ht="11.25" customHeight="1" x14ac:dyDescent="0.2">
      <c r="A39" s="83">
        <v>36</v>
      </c>
      <c r="B39" s="83" t="s">
        <v>65</v>
      </c>
      <c r="C39" s="84">
        <v>1.343</v>
      </c>
      <c r="D39" s="84">
        <v>0.13643912499999999</v>
      </c>
      <c r="E39" s="84">
        <v>-8.3954684436041696</v>
      </c>
      <c r="F39" s="84">
        <v>4.5572344999999999</v>
      </c>
      <c r="G39" s="84">
        <v>-13.600069983150158</v>
      </c>
      <c r="H39" s="101">
        <f t="shared" si="10"/>
        <v>-18.419630759963127</v>
      </c>
      <c r="I39" s="78">
        <f t="shared" si="0"/>
        <v>-9.8521746286370799</v>
      </c>
      <c r="J39" s="79">
        <f t="shared" si="1"/>
        <v>3.3933242740134029</v>
      </c>
      <c r="K39" s="79"/>
      <c r="L39" s="79"/>
      <c r="M39" s="79">
        <f t="shared" si="2"/>
        <v>0</v>
      </c>
      <c r="N39" s="180">
        <f t="shared" si="3"/>
        <v>0.25217001382299997</v>
      </c>
      <c r="O39" s="81">
        <f t="shared" si="4"/>
        <v>18.77662053782576</v>
      </c>
      <c r="P39" s="79">
        <f t="shared" si="5"/>
        <v>0.10159279597915115</v>
      </c>
      <c r="Q39" s="79"/>
      <c r="R39" s="180">
        <f t="shared" si="7"/>
        <v>9.8527766112499991E-4</v>
      </c>
      <c r="S39" s="82">
        <f t="shared" si="8"/>
        <v>7.3363936048026809E-2</v>
      </c>
      <c r="T39" s="78">
        <f t="shared" si="9"/>
        <v>255.93802008569821</v>
      </c>
    </row>
    <row r="40" spans="1:20" s="1" customFormat="1" ht="11.25" customHeight="1" x14ac:dyDescent="0.2">
      <c r="A40" s="83">
        <v>37</v>
      </c>
      <c r="B40" s="83" t="s">
        <v>67</v>
      </c>
      <c r="C40" s="84">
        <v>0.35599999999999998</v>
      </c>
      <c r="D40" s="84">
        <v>3.09569275</v>
      </c>
      <c r="E40" s="84">
        <v>2.0802942631350518</v>
      </c>
      <c r="F40" s="84">
        <v>9.6391074218749994E-3</v>
      </c>
      <c r="G40" s="84">
        <v>-19.555669097448948</v>
      </c>
      <c r="H40" s="101">
        <f t="shared" si="10"/>
        <v>-24.441337024430631</v>
      </c>
      <c r="I40" s="78">
        <f t="shared" si="0"/>
        <v>0.62358807810214101</v>
      </c>
      <c r="J40" s="79">
        <f t="shared" si="1"/>
        <v>2.7076144443469102E-2</v>
      </c>
      <c r="K40" s="79"/>
      <c r="L40" s="79"/>
      <c r="M40" s="79">
        <f t="shared" si="2"/>
        <v>0</v>
      </c>
      <c r="N40" s="180">
        <f t="shared" si="3"/>
        <v>5.3337037008203123E-4</v>
      </c>
      <c r="O40" s="81">
        <f t="shared" si="4"/>
        <v>0.14982313766349192</v>
      </c>
      <c r="P40" s="79">
        <f t="shared" si="5"/>
        <v>8.6957661516853939</v>
      </c>
      <c r="Q40" s="79"/>
      <c r="R40" s="180">
        <f t="shared" si="7"/>
        <v>7.4235682640749992E-2</v>
      </c>
      <c r="S40" s="82">
        <f t="shared" si="8"/>
        <v>20.852719842907302</v>
      </c>
      <c r="T40" s="78">
        <f t="shared" si="9"/>
        <v>7.1848247515036616E-3</v>
      </c>
    </row>
    <row r="41" spans="1:20" s="1" customFormat="1" ht="11.25" customHeight="1" x14ac:dyDescent="0.2">
      <c r="A41" s="83">
        <v>38</v>
      </c>
      <c r="B41" s="83" t="s">
        <v>68</v>
      </c>
      <c r="C41" s="84">
        <v>0.55400000000000005</v>
      </c>
      <c r="D41" s="84">
        <v>4.8277710000000003</v>
      </c>
      <c r="E41" s="84">
        <v>21.163799279175997</v>
      </c>
      <c r="F41" s="84">
        <v>1.1730189453125E-2</v>
      </c>
      <c r="G41" s="84">
        <v>-18.885438915663855</v>
      </c>
      <c r="H41" s="101">
        <f t="shared" si="10"/>
        <v>-23.763667287627726</v>
      </c>
      <c r="I41" s="78">
        <f t="shared" si="0"/>
        <v>19.707093094143087</v>
      </c>
      <c r="J41" s="79">
        <f t="shared" si="1"/>
        <v>2.1173627171705775E-2</v>
      </c>
      <c r="K41" s="79"/>
      <c r="L41" s="79"/>
      <c r="M41" s="79">
        <f t="shared" si="2"/>
        <v>0</v>
      </c>
      <c r="N41" s="180">
        <f t="shared" si="3"/>
        <v>6.4907830319921875E-4</v>
      </c>
      <c r="O41" s="81">
        <f t="shared" si="4"/>
        <v>0.11716214859191675</v>
      </c>
      <c r="P41" s="79">
        <f t="shared" si="5"/>
        <v>8.7143880866425985</v>
      </c>
      <c r="Q41" s="79"/>
      <c r="R41" s="180">
        <f t="shared" si="7"/>
        <v>0.117109815563</v>
      </c>
      <c r="S41" s="82">
        <f t="shared" si="8"/>
        <v>21.138955877797834</v>
      </c>
      <c r="T41" s="78">
        <f t="shared" si="9"/>
        <v>5.5424756676355855E-3</v>
      </c>
    </row>
    <row r="42" spans="1:20" s="90" customFormat="1" ht="11.25" customHeight="1" x14ac:dyDescent="0.2">
      <c r="A42" s="117">
        <v>39</v>
      </c>
      <c r="B42" s="117" t="s">
        <v>59</v>
      </c>
      <c r="C42" s="105">
        <v>0.75700000000000001</v>
      </c>
      <c r="D42" s="105">
        <v>0.94405756249999995</v>
      </c>
      <c r="E42" s="105">
        <v>3.5384713680068902</v>
      </c>
      <c r="F42" s="105">
        <v>6.1863634999999997</v>
      </c>
      <c r="G42" s="105">
        <v>-19.07549343027112</v>
      </c>
      <c r="H42" s="100">
        <f t="shared" si="10"/>
        <v>-23.955831407347134</v>
      </c>
      <c r="I42" s="86">
        <f t="shared" si="0"/>
        <v>2.0817651829739794</v>
      </c>
      <c r="J42" s="87">
        <f t="shared" si="1"/>
        <v>8.1722107001320996</v>
      </c>
      <c r="K42" s="87">
        <f t="shared" ref="K42" si="12">H$14</f>
        <v>44.65</v>
      </c>
      <c r="L42" s="87">
        <f t="shared" ref="L42" si="13">I$14</f>
        <v>2.83</v>
      </c>
      <c r="M42" s="87">
        <f t="shared" ref="M42" si="14">C42*(K42/100)</f>
        <v>0.33800049999999998</v>
      </c>
      <c r="N42" s="179">
        <f t="shared" ref="N42" si="15">F42*$B$28+$D$28</f>
        <v>0.34231623790900001</v>
      </c>
      <c r="O42" s="91">
        <f t="shared" ref="O42" si="16">N42/C42*100</f>
        <v>45.220110688110964</v>
      </c>
      <c r="P42" s="87">
        <f t="shared" ref="P42" si="17">D42/C42</f>
        <v>1.2471037813738441</v>
      </c>
      <c r="Q42" s="87">
        <f t="shared" ref="Q42" si="18">C42*(L42/100)</f>
        <v>2.14231E-2</v>
      </c>
      <c r="R42" s="179">
        <f t="shared" si="7"/>
        <v>2.0976256844562502E-2</v>
      </c>
      <c r="S42" s="89">
        <f t="shared" si="8"/>
        <v>2.7709718420822327</v>
      </c>
      <c r="T42" s="86">
        <f t="shared" si="9"/>
        <v>16.319224180253865</v>
      </c>
    </row>
    <row r="43" spans="1:20" s="1" customFormat="1" ht="11.25" customHeight="1" x14ac:dyDescent="0.2">
      <c r="A43" s="83">
        <v>40</v>
      </c>
      <c r="B43" s="83" t="s">
        <v>325</v>
      </c>
      <c r="C43" s="84">
        <v>6.2450000000000001</v>
      </c>
      <c r="D43" s="84">
        <v>0.17935781249999999</v>
      </c>
      <c r="E43" s="84">
        <v>-1.9065079471864976</v>
      </c>
      <c r="F43" s="84">
        <v>0.46267515625</v>
      </c>
      <c r="G43" s="84">
        <v>-22.276163744115255</v>
      </c>
      <c r="H43" s="101">
        <f t="shared" si="10"/>
        <v>-27.192029161674938</v>
      </c>
      <c r="I43" s="78">
        <f t="shared" si="0"/>
        <v>-3.3632141322194085</v>
      </c>
      <c r="J43" s="79">
        <f t="shared" si="1"/>
        <v>7.4087294835868692E-2</v>
      </c>
      <c r="K43" s="79"/>
      <c r="L43" s="79"/>
      <c r="M43" s="79">
        <f t="shared" si="2"/>
        <v>0</v>
      </c>
      <c r="N43" s="180">
        <f t="shared" si="3"/>
        <v>2.5601667095937499E-2</v>
      </c>
      <c r="O43" s="81">
        <f t="shared" si="4"/>
        <v>0.40995463724479581</v>
      </c>
      <c r="P43" s="79">
        <f t="shared" si="5"/>
        <v>2.8720226180944754E-2</v>
      </c>
      <c r="Q43" s="79"/>
      <c r="R43" s="180">
        <f t="shared" si="7"/>
        <v>2.0476439328125E-3</v>
      </c>
      <c r="S43" s="82">
        <f t="shared" si="8"/>
        <v>3.2788533752001602E-2</v>
      </c>
      <c r="T43" s="78">
        <f t="shared" si="9"/>
        <v>12.502987792791126</v>
      </c>
    </row>
    <row r="44" spans="1:20" s="1" customFormat="1" ht="11.25" customHeight="1" x14ac:dyDescent="0.2">
      <c r="A44" s="95">
        <v>41</v>
      </c>
      <c r="B44" s="95" t="s">
        <v>326</v>
      </c>
      <c r="C44" s="96">
        <v>6.2009999999999996</v>
      </c>
      <c r="D44" s="96">
        <v>0.19603465624999999</v>
      </c>
      <c r="E44" s="96">
        <v>0.22601067308802847</v>
      </c>
      <c r="F44" s="96">
        <v>0.63943843749999996</v>
      </c>
      <c r="G44" s="96">
        <v>-21.386963572353238</v>
      </c>
      <c r="H44" s="101">
        <f t="shared" si="10"/>
        <v>-26.292958868006359</v>
      </c>
      <c r="I44" s="78">
        <f t="shared" si="0"/>
        <v>-1.2306955119448824</v>
      </c>
      <c r="J44" s="79">
        <f t="shared" si="1"/>
        <v>0.10311859982260925</v>
      </c>
      <c r="K44" s="79"/>
      <c r="L44" s="79"/>
      <c r="M44" s="79">
        <f t="shared" si="2"/>
        <v>0</v>
      </c>
      <c r="N44" s="180">
        <f t="shared" si="3"/>
        <v>3.5382686500624996E-2</v>
      </c>
      <c r="O44" s="81">
        <f t="shared" si="4"/>
        <v>0.57059646025842603</v>
      </c>
      <c r="P44" s="79">
        <f t="shared" si="5"/>
        <v>3.16133940090308E-2</v>
      </c>
      <c r="Q44" s="79"/>
      <c r="R44" s="180">
        <f t="shared" si="7"/>
        <v>2.4604458461562496E-3</v>
      </c>
      <c r="S44" s="82">
        <f t="shared" si="8"/>
        <v>3.9678210710470077E-2</v>
      </c>
      <c r="T44" s="78">
        <f t="shared" si="9"/>
        <v>14.380599579503215</v>
      </c>
    </row>
    <row r="45" spans="1:20" s="1" customFormat="1" ht="11.25" customHeight="1" x14ac:dyDescent="0.2">
      <c r="A45" s="83">
        <v>42</v>
      </c>
      <c r="B45" s="83" t="s">
        <v>327</v>
      </c>
      <c r="C45" s="84">
        <v>5.9</v>
      </c>
      <c r="D45" s="84">
        <v>0.15857231250000001</v>
      </c>
      <c r="E45" s="84">
        <v>-4.2879534630380078</v>
      </c>
      <c r="F45" s="84">
        <v>0.33823443749999998</v>
      </c>
      <c r="G45" s="84">
        <v>-22.692403266284771</v>
      </c>
      <c r="H45" s="101">
        <f t="shared" si="10"/>
        <v>-27.612888942540536</v>
      </c>
      <c r="I45" s="78">
        <f t="shared" si="0"/>
        <v>-5.7446596480709182</v>
      </c>
      <c r="J45" s="79">
        <f t="shared" si="1"/>
        <v>5.7327870762711855E-2</v>
      </c>
      <c r="K45" s="79"/>
      <c r="L45" s="79"/>
      <c r="M45" s="79">
        <f t="shared" si="2"/>
        <v>0</v>
      </c>
      <c r="N45" s="180">
        <f t="shared" si="3"/>
        <v>1.8715864364624999E-2</v>
      </c>
      <c r="O45" s="81">
        <f t="shared" si="4"/>
        <v>0.31721804007838977</v>
      </c>
      <c r="P45" s="79">
        <f t="shared" si="5"/>
        <v>2.6876663135593219E-2</v>
      </c>
      <c r="Q45" s="79"/>
      <c r="R45" s="180">
        <f t="shared" si="7"/>
        <v>1.5331404513125001E-3</v>
      </c>
      <c r="S45" s="82">
        <f t="shared" si="8"/>
        <v>2.5985431378177964E-2</v>
      </c>
      <c r="T45" s="78">
        <f t="shared" si="9"/>
        <v>12.207534116396584</v>
      </c>
    </row>
    <row r="46" spans="1:20" s="1" customFormat="1" ht="11.25" customHeight="1" x14ac:dyDescent="0.2">
      <c r="A46" s="95">
        <v>43</v>
      </c>
      <c r="B46" s="95" t="s">
        <v>328</v>
      </c>
      <c r="C46" s="96">
        <v>6.2690000000000001</v>
      </c>
      <c r="D46" s="96">
        <v>0.27460581249999999</v>
      </c>
      <c r="E46" s="96">
        <v>3.0381987403016453E-2</v>
      </c>
      <c r="F46" s="96">
        <v>0.91671875000000003</v>
      </c>
      <c r="G46" s="96">
        <v>-23.319501828066773</v>
      </c>
      <c r="H46" s="101">
        <f t="shared" si="10"/>
        <v>-28.246948298358319</v>
      </c>
      <c r="I46" s="78">
        <f t="shared" si="0"/>
        <v>-1.4263241976298944</v>
      </c>
      <c r="J46" s="79">
        <f t="shared" si="1"/>
        <v>0.14623045940341362</v>
      </c>
      <c r="K46" s="79"/>
      <c r="L46" s="79"/>
      <c r="M46" s="79">
        <f t="shared" si="2"/>
        <v>0</v>
      </c>
      <c r="N46" s="180">
        <f t="shared" si="3"/>
        <v>5.0725715312500003E-2</v>
      </c>
      <c r="O46" s="81">
        <f t="shared" si="4"/>
        <v>0.80915162406284891</v>
      </c>
      <c r="P46" s="79">
        <f t="shared" si="5"/>
        <v>4.3803766549688941E-2</v>
      </c>
      <c r="Q46" s="79"/>
      <c r="R46" s="180">
        <f t="shared" si="7"/>
        <v>4.4053176768124999E-3</v>
      </c>
      <c r="S46" s="82">
        <f t="shared" si="8"/>
        <v>7.0271457597902376E-2</v>
      </c>
      <c r="T46" s="78">
        <f t="shared" si="9"/>
        <v>11.514655476379394</v>
      </c>
    </row>
    <row r="47" spans="1:20" s="1" customFormat="1" ht="11.25" customHeight="1" x14ac:dyDescent="0.2">
      <c r="A47" s="83">
        <v>44</v>
      </c>
      <c r="B47" s="83" t="s">
        <v>329</v>
      </c>
      <c r="C47" s="84">
        <v>6.1769999999999996</v>
      </c>
      <c r="D47" s="84">
        <v>0.23363365624999999</v>
      </c>
      <c r="E47" s="84">
        <v>-1.7119416873234705</v>
      </c>
      <c r="F47" s="84">
        <v>0.82787175000000002</v>
      </c>
      <c r="G47" s="84">
        <v>-21.489159210470572</v>
      </c>
      <c r="H47" s="101">
        <f t="shared" si="10"/>
        <v>-26.396288877706795</v>
      </c>
      <c r="I47" s="78">
        <f t="shared" si="0"/>
        <v>-3.1686478723563813</v>
      </c>
      <c r="J47" s="79">
        <f t="shared" si="1"/>
        <v>0.13402489072365226</v>
      </c>
      <c r="K47" s="79"/>
      <c r="L47" s="79"/>
      <c r="M47" s="79">
        <f t="shared" si="2"/>
        <v>0</v>
      </c>
      <c r="N47" s="180">
        <f t="shared" si="3"/>
        <v>4.5809455414500003E-2</v>
      </c>
      <c r="O47" s="81">
        <f t="shared" si="4"/>
        <v>0.74161333033025745</v>
      </c>
      <c r="P47" s="79">
        <f t="shared" si="5"/>
        <v>3.7823159502994981E-2</v>
      </c>
      <c r="Q47" s="79"/>
      <c r="R47" s="180">
        <f t="shared" si="7"/>
        <v>3.3911338931562496E-3</v>
      </c>
      <c r="S47" s="82">
        <f t="shared" si="8"/>
        <v>5.4899366895843446E-2</v>
      </c>
      <c r="T47" s="78">
        <f t="shared" si="9"/>
        <v>13.508595312897983</v>
      </c>
    </row>
    <row r="48" spans="1:20" s="1" customFormat="1" ht="11.25" customHeight="1" x14ac:dyDescent="0.2">
      <c r="A48" s="95">
        <v>45</v>
      </c>
      <c r="B48" s="95" t="s">
        <v>330</v>
      </c>
      <c r="C48" s="96">
        <v>6.2649999999999997</v>
      </c>
      <c r="D48" s="96">
        <v>0.23828279687500001</v>
      </c>
      <c r="E48" s="96">
        <v>-3.4411786168642156</v>
      </c>
      <c r="F48" s="96">
        <v>0.82066587499999999</v>
      </c>
      <c r="G48" s="96">
        <v>-21.853402148797208</v>
      </c>
      <c r="H48" s="101">
        <f t="shared" si="10"/>
        <v>-26.764574912648861</v>
      </c>
      <c r="I48" s="78">
        <f t="shared" si="0"/>
        <v>-4.8978848018971259</v>
      </c>
      <c r="J48" s="79">
        <f t="shared" si="1"/>
        <v>0.1309921588188348</v>
      </c>
      <c r="K48" s="79"/>
      <c r="L48" s="79"/>
      <c r="M48" s="79">
        <f t="shared" si="2"/>
        <v>0</v>
      </c>
      <c r="N48" s="180">
        <f t="shared" si="3"/>
        <v>4.541072552725E-2</v>
      </c>
      <c r="O48" s="81">
        <f t="shared" si="4"/>
        <v>0.72483201160814048</v>
      </c>
      <c r="P48" s="79">
        <f t="shared" si="5"/>
        <v>3.8033965981644061E-2</v>
      </c>
      <c r="Q48" s="79"/>
      <c r="R48" s="180">
        <f t="shared" si="7"/>
        <v>3.5062140710468755E-3</v>
      </c>
      <c r="S48" s="82">
        <f t="shared" si="8"/>
        <v>5.5965108875448928E-2</v>
      </c>
      <c r="T48" s="78">
        <f t="shared" si="9"/>
        <v>12.951498284784247</v>
      </c>
    </row>
    <row r="49" spans="1:20" s="1" customFormat="1" ht="11.25" customHeight="1" x14ac:dyDescent="0.2">
      <c r="A49" s="83">
        <v>46</v>
      </c>
      <c r="B49" s="83" t="s">
        <v>331</v>
      </c>
      <c r="C49" s="84">
        <v>6.2430000000000003</v>
      </c>
      <c r="D49" s="84">
        <v>0.31344640624999998</v>
      </c>
      <c r="E49" s="84">
        <v>-0.80601160578852582</v>
      </c>
      <c r="F49" s="84">
        <v>0.88152843749999998</v>
      </c>
      <c r="G49" s="84">
        <v>-23.172708565101722</v>
      </c>
      <c r="H49" s="101">
        <f t="shared" si="10"/>
        <v>-28.09852563017435</v>
      </c>
      <c r="I49" s="78">
        <f t="shared" si="0"/>
        <v>-2.2627177908214366</v>
      </c>
      <c r="J49" s="79">
        <f t="shared" si="1"/>
        <v>0.14120269702066313</v>
      </c>
      <c r="K49" s="79"/>
      <c r="L49" s="79"/>
      <c r="M49" s="79">
        <f t="shared" si="2"/>
        <v>0</v>
      </c>
      <c r="N49" s="180">
        <f>F49*$B$28+$D$28</f>
        <v>4.8778494560625003E-2</v>
      </c>
      <c r="O49" s="81">
        <f>N49/C49*100</f>
        <v>0.78133100369413744</v>
      </c>
      <c r="P49" s="79">
        <f t="shared" si="5"/>
        <v>5.0207657576485661E-2</v>
      </c>
      <c r="Q49" s="79"/>
      <c r="R49" s="180">
        <f t="shared" si="7"/>
        <v>5.3667388939062496E-3</v>
      </c>
      <c r="S49" s="82">
        <f t="shared" si="8"/>
        <v>8.596410209684846E-2</v>
      </c>
      <c r="T49" s="78">
        <f t="shared" si="9"/>
        <v>9.0890381523892163</v>
      </c>
    </row>
    <row r="50" spans="1:20" s="1" customFormat="1" ht="11.25" customHeight="1" x14ac:dyDescent="0.2">
      <c r="A50" s="95">
        <v>47</v>
      </c>
      <c r="B50" s="95" t="s">
        <v>332</v>
      </c>
      <c r="C50" s="96">
        <v>6.1310000000000002</v>
      </c>
      <c r="D50" s="96">
        <v>0.42520337499999999</v>
      </c>
      <c r="E50" s="96">
        <v>-1.9770591074684818</v>
      </c>
      <c r="F50" s="96">
        <v>0.75230756249999997</v>
      </c>
      <c r="G50" s="96">
        <v>-21.894359601798289</v>
      </c>
      <c r="H50" s="101">
        <f t="shared" si="10"/>
        <v>-26.805986993378255</v>
      </c>
      <c r="I50" s="78">
        <f t="shared" si="0"/>
        <v>-3.4337652925013926</v>
      </c>
      <c r="J50" s="79">
        <f t="shared" si="1"/>
        <v>0.12270552316098515</v>
      </c>
      <c r="K50" s="79"/>
      <c r="L50" s="79"/>
      <c r="M50" s="79">
        <f t="shared" si="2"/>
        <v>0</v>
      </c>
      <c r="N50" s="180">
        <f t="shared" si="3"/>
        <v>4.1628186663374998E-2</v>
      </c>
      <c r="O50" s="81">
        <f t="shared" si="4"/>
        <v>0.67897874185899521</v>
      </c>
      <c r="P50" s="79">
        <f t="shared" si="5"/>
        <v>6.9353021529929865E-2</v>
      </c>
      <c r="Q50" s="79"/>
      <c r="R50" s="180">
        <f t="shared" si="7"/>
        <v>8.133059141375E-3</v>
      </c>
      <c r="S50" s="82">
        <f t="shared" si="8"/>
        <v>0.13265469158987114</v>
      </c>
      <c r="T50" s="78">
        <f t="shared" si="9"/>
        <v>5.1183922236101198</v>
      </c>
    </row>
    <row r="51" spans="1:20" s="1" customFormat="1" ht="11.25" customHeight="1" x14ac:dyDescent="0.2">
      <c r="A51" s="83">
        <v>48</v>
      </c>
      <c r="B51" s="83" t="s">
        <v>333</v>
      </c>
      <c r="C51" s="84">
        <v>6.3869999999999996</v>
      </c>
      <c r="D51" s="84">
        <v>0.58335881249999999</v>
      </c>
      <c r="E51" s="84">
        <v>-2.5667194635025092</v>
      </c>
      <c r="F51" s="84">
        <v>0.67822968750000001</v>
      </c>
      <c r="G51" s="84">
        <v>-21.912749026328704</v>
      </c>
      <c r="H51" s="101">
        <f t="shared" si="10"/>
        <v>-26.824580540520955</v>
      </c>
      <c r="I51" s="78">
        <f t="shared" si="0"/>
        <v>-4.0234256485354205</v>
      </c>
      <c r="J51" s="79">
        <f t="shared" si="1"/>
        <v>0.1061890852512917</v>
      </c>
      <c r="K51" s="79"/>
      <c r="L51" s="79"/>
      <c r="M51" s="79">
        <f t="shared" si="2"/>
        <v>0</v>
      </c>
      <c r="N51" s="180">
        <f t="shared" si="3"/>
        <v>3.7529161528125E-2</v>
      </c>
      <c r="O51" s="81">
        <f t="shared" si="4"/>
        <v>0.58758668432949746</v>
      </c>
      <c r="P51" s="79">
        <f t="shared" si="5"/>
        <v>9.1335339361202444E-2</v>
      </c>
      <c r="Q51" s="79"/>
      <c r="R51" s="180">
        <f t="shared" si="7"/>
        <v>1.2047880685812501E-2</v>
      </c>
      <c r="S51" s="82">
        <f t="shared" si="8"/>
        <v>0.18863129302978709</v>
      </c>
      <c r="T51" s="78">
        <f t="shared" si="9"/>
        <v>3.1150010949493447</v>
      </c>
    </row>
    <row r="52" spans="1:20" s="1" customFormat="1" ht="11.25" customHeight="1" x14ac:dyDescent="0.2">
      <c r="A52" s="95">
        <v>49</v>
      </c>
      <c r="B52" s="95" t="s">
        <v>334</v>
      </c>
      <c r="C52" s="96">
        <v>6.2939999999999996</v>
      </c>
      <c r="D52" s="96">
        <v>0.72711243749999999</v>
      </c>
      <c r="E52" s="96">
        <v>-1.6427481330864024</v>
      </c>
      <c r="F52" s="96">
        <v>0.73352249999999997</v>
      </c>
      <c r="G52" s="96">
        <v>-21.593509205348113</v>
      </c>
      <c r="H52" s="101">
        <f>$B$26*G52+$D$26</f>
        <v>-26.501797157527477</v>
      </c>
      <c r="I52" s="78">
        <f>$B$27*E52+$D$27</f>
        <v>-3.0994543181193133</v>
      </c>
      <c r="J52" s="79">
        <f>(F52)/C52</f>
        <v>0.11654313632030505</v>
      </c>
      <c r="K52" s="79"/>
      <c r="L52" s="79"/>
      <c r="M52" s="79">
        <f>C52*(K52/100)</f>
        <v>0</v>
      </c>
      <c r="N52" s="180">
        <f>F52*$B$28+$D$28</f>
        <v>4.0588734014999996E-2</v>
      </c>
      <c r="O52" s="81">
        <f>N52/C52*100</f>
        <v>0.64487979051477595</v>
      </c>
      <c r="P52" s="79">
        <f>D52/C52</f>
        <v>0.11552469613918018</v>
      </c>
      <c r="Q52" s="79"/>
      <c r="R52" s="180">
        <f>D52*$B$29+$D$29</f>
        <v>1.5606214165437499E-2</v>
      </c>
      <c r="S52" s="82">
        <f>R52/C52*100</f>
        <v>0.24795383167202892</v>
      </c>
      <c r="T52" s="78">
        <f>N52/R52</f>
        <v>2.6008059087700048</v>
      </c>
    </row>
    <row r="53" spans="1:20" s="90" customFormat="1" ht="11.25" customHeight="1" x14ac:dyDescent="0.2">
      <c r="A53" s="117">
        <v>50</v>
      </c>
      <c r="B53" s="117" t="s">
        <v>82</v>
      </c>
      <c r="C53" s="105">
        <v>1.151</v>
      </c>
      <c r="D53" s="105">
        <v>1.7715952500000001</v>
      </c>
      <c r="E53" s="105">
        <v>0.90380354592323187</v>
      </c>
      <c r="F53" s="105">
        <v>9.3544730000000005</v>
      </c>
      <c r="G53" s="105">
        <v>-21.494197853047439</v>
      </c>
      <c r="H53" s="100">
        <f t="shared" si="10"/>
        <v>-26.401383449216269</v>
      </c>
      <c r="I53" s="86">
        <f t="shared" si="0"/>
        <v>-0.55290263910967896</v>
      </c>
      <c r="J53" s="87">
        <f t="shared" si="1"/>
        <v>8.1272571676802787</v>
      </c>
      <c r="K53" s="87">
        <f t="shared" ref="K53:L53" si="19">H$14</f>
        <v>44.65</v>
      </c>
      <c r="L53" s="87">
        <f t="shared" si="19"/>
        <v>2.83</v>
      </c>
      <c r="M53" s="87">
        <f t="shared" ref="M53:M54" si="20">C53*(K53/100)</f>
        <v>0.51392150000000003</v>
      </c>
      <c r="N53" s="179">
        <f t="shared" ref="N53:N54" si="21">F53*$B$28+$D$28</f>
        <v>0.51762040898200001</v>
      </c>
      <c r="O53" s="91">
        <f t="shared" ref="O53:O54" si="22">N53/C53*100</f>
        <v>44.971364811642047</v>
      </c>
      <c r="P53" s="87">
        <f t="shared" ref="P53:P54" si="23">D53/C53</f>
        <v>1.5391791920069504</v>
      </c>
      <c r="Q53" s="87">
        <f t="shared" ref="Q53" si="24">C53*(L53/100)</f>
        <v>3.2573300000000006E-2</v>
      </c>
      <c r="R53" s="179">
        <f t="shared" si="7"/>
        <v>4.1460297223250002E-2</v>
      </c>
      <c r="S53" s="89">
        <f t="shared" si="8"/>
        <v>3.6021109663987838</v>
      </c>
      <c r="T53" s="86">
        <f t="shared" si="9"/>
        <v>12.484724993522963</v>
      </c>
    </row>
    <row r="54" spans="1:20" s="126" customFormat="1" ht="11.25" customHeight="1" x14ac:dyDescent="0.2">
      <c r="A54" s="119">
        <v>51</v>
      </c>
      <c r="B54" s="119" t="s">
        <v>87</v>
      </c>
      <c r="C54" s="120">
        <v>1.704</v>
      </c>
      <c r="D54" s="120">
        <v>0.84306143749999995</v>
      </c>
      <c r="E54" s="120">
        <v>-3.0871916617742912</v>
      </c>
      <c r="F54" s="120">
        <v>1.0336239375</v>
      </c>
      <c r="G54" s="120">
        <v>-14.323960039675097</v>
      </c>
      <c r="H54" s="121">
        <f t="shared" si="10"/>
        <v>-19.151555996115491</v>
      </c>
      <c r="I54" s="122">
        <f t="shared" si="0"/>
        <v>-4.5438978468072015</v>
      </c>
      <c r="J54" s="118">
        <f t="shared" si="1"/>
        <v>0.60658681778169021</v>
      </c>
      <c r="K54" s="118">
        <f>H$13</f>
        <v>3.3479999999999999</v>
      </c>
      <c r="L54" s="118"/>
      <c r="M54" s="118">
        <f t="shared" si="20"/>
        <v>5.704991999999999E-2</v>
      </c>
      <c r="N54" s="181">
        <f t="shared" si="21"/>
        <v>5.7194546957625006E-2</v>
      </c>
      <c r="O54" s="124">
        <f t="shared" si="22"/>
        <v>3.3564874975132044</v>
      </c>
      <c r="P54" s="118">
        <f t="shared" si="23"/>
        <v>0.49475436473004691</v>
      </c>
      <c r="Q54" s="118"/>
      <c r="R54" s="181">
        <f t="shared" si="7"/>
        <v>1.8476299762437497E-2</v>
      </c>
      <c r="S54" s="125">
        <f t="shared" si="8"/>
        <v>1.0842898921618249</v>
      </c>
      <c r="T54" s="122">
        <f t="shared" si="9"/>
        <v>3.0955628395844763</v>
      </c>
    </row>
    <row r="55" spans="1:20" s="1" customFormat="1" ht="11.25" customHeight="1" x14ac:dyDescent="0.2">
      <c r="A55" s="83">
        <v>52</v>
      </c>
      <c r="B55" s="83" t="s">
        <v>335</v>
      </c>
      <c r="C55" s="84">
        <v>6.19</v>
      </c>
      <c r="D55" s="84">
        <v>0.7420814375</v>
      </c>
      <c r="E55" s="84">
        <v>-1.9091305983131024</v>
      </c>
      <c r="F55" s="84">
        <v>0.79164306250000005</v>
      </c>
      <c r="G55" s="84">
        <v>-21.978719251192317</v>
      </c>
      <c r="H55" s="101">
        <f t="shared" si="10"/>
        <v>-26.891283034880551</v>
      </c>
      <c r="I55" s="78">
        <f t="shared" si="0"/>
        <v>-3.3658367833460132</v>
      </c>
      <c r="J55" s="79">
        <f t="shared" si="1"/>
        <v>0.12789064014539581</v>
      </c>
      <c r="K55" s="79"/>
      <c r="L55" s="79"/>
      <c r="M55" s="79">
        <f t="shared" si="2"/>
        <v>0</v>
      </c>
      <c r="N55" s="180">
        <f t="shared" si="3"/>
        <v>4.3804777220375006E-2</v>
      </c>
      <c r="O55" s="81">
        <f t="shared" si="4"/>
        <v>0.70767006818053313</v>
      </c>
      <c r="P55" s="79">
        <f t="shared" si="5"/>
        <v>0.11988391558966073</v>
      </c>
      <c r="Q55" s="79"/>
      <c r="R55" s="180">
        <f t="shared" si="7"/>
        <v>1.5976741822437503E-2</v>
      </c>
      <c r="S55" s="82">
        <f t="shared" si="8"/>
        <v>0.25810568372273834</v>
      </c>
      <c r="T55" s="78">
        <f t="shared" si="9"/>
        <v>2.741784132660654</v>
      </c>
    </row>
    <row r="56" spans="1:20" s="1" customFormat="1" ht="11.25" customHeight="1" x14ac:dyDescent="0.2">
      <c r="A56" s="95">
        <v>53</v>
      </c>
      <c r="B56" s="95" t="s">
        <v>336</v>
      </c>
      <c r="C56" s="96">
        <v>6.1989999999999998</v>
      </c>
      <c r="D56" s="96">
        <v>0.52957393750000004</v>
      </c>
      <c r="E56" s="96">
        <v>-3.1470421539357973</v>
      </c>
      <c r="F56" s="96">
        <v>0.88106593749999995</v>
      </c>
      <c r="G56" s="96">
        <v>-22.148299592471712</v>
      </c>
      <c r="H56" s="101">
        <f t="shared" si="10"/>
        <v>-27.062745717948154</v>
      </c>
      <c r="I56" s="78">
        <f t="shared" si="0"/>
        <v>-4.6037483389687086</v>
      </c>
      <c r="J56" s="79">
        <f t="shared" si="1"/>
        <v>0.14213033352153573</v>
      </c>
      <c r="K56" s="79"/>
      <c r="L56" s="79"/>
      <c r="M56" s="79">
        <f t="shared" si="2"/>
        <v>0</v>
      </c>
      <c r="N56" s="180">
        <f t="shared" si="3"/>
        <v>4.8752902585625001E-2</v>
      </c>
      <c r="O56" s="81">
        <f t="shared" si="4"/>
        <v>0.7864639875080659</v>
      </c>
      <c r="P56" s="79">
        <f t="shared" si="5"/>
        <v>8.5428930069366041E-2</v>
      </c>
      <c r="Q56" s="79"/>
      <c r="R56" s="180">
        <f t="shared" si="7"/>
        <v>1.0716543674937502E-2</v>
      </c>
      <c r="S56" s="82">
        <f t="shared" si="8"/>
        <v>0.17287536175088727</v>
      </c>
      <c r="T56" s="78">
        <f t="shared" si="9"/>
        <v>4.5493121723230718</v>
      </c>
    </row>
    <row r="57" spans="1:20" s="1" customFormat="1" ht="11.25" customHeight="1" x14ac:dyDescent="0.2">
      <c r="A57" s="83">
        <v>54</v>
      </c>
      <c r="B57" s="83" t="s">
        <v>337</v>
      </c>
      <c r="C57" s="84">
        <v>6.0730000000000004</v>
      </c>
      <c r="D57" s="84">
        <v>0.27250706250000001</v>
      </c>
      <c r="E57" s="84">
        <v>-6.5075639027516452</v>
      </c>
      <c r="F57" s="84">
        <v>0.46988131249999998</v>
      </c>
      <c r="G57" s="84">
        <v>-21.915480555182377</v>
      </c>
      <c r="H57" s="101">
        <f t="shared" si="10"/>
        <v>-26.827342389344906</v>
      </c>
      <c r="I57" s="78">
        <f t="shared" si="0"/>
        <v>-7.9642700877845556</v>
      </c>
      <c r="J57" s="79">
        <f t="shared" si="1"/>
        <v>7.7372190433064369E-2</v>
      </c>
      <c r="K57" s="79"/>
      <c r="L57" s="79"/>
      <c r="M57" s="79">
        <f t="shared" si="2"/>
        <v>0</v>
      </c>
      <c r="N57" s="180">
        <f t="shared" si="3"/>
        <v>2.6000412545874999E-2</v>
      </c>
      <c r="O57" s="81">
        <f t="shared" si="4"/>
        <v>0.42813127854231836</v>
      </c>
      <c r="P57" s="79">
        <f t="shared" si="5"/>
        <v>4.4871902272353034E-2</v>
      </c>
      <c r="Q57" s="79"/>
      <c r="R57" s="180">
        <f t="shared" si="7"/>
        <v>4.3533673180625003E-3</v>
      </c>
      <c r="S57" s="82">
        <f t="shared" si="8"/>
        <v>7.1683967035443774E-2</v>
      </c>
      <c r="T57" s="78">
        <f t="shared" si="9"/>
        <v>5.9724830565059426</v>
      </c>
    </row>
    <row r="58" spans="1:20" s="1" customFormat="1" ht="11.25" customHeight="1" x14ac:dyDescent="0.2">
      <c r="A58" s="95">
        <v>55</v>
      </c>
      <c r="B58" s="95" t="s">
        <v>338</v>
      </c>
      <c r="C58" s="96">
        <v>6.3019999999999996</v>
      </c>
      <c r="D58" s="96">
        <v>0.241981453125</v>
      </c>
      <c r="E58" s="96">
        <v>-5.2916349892053738</v>
      </c>
      <c r="F58" s="96">
        <v>0.66296412500000002</v>
      </c>
      <c r="G58" s="96">
        <v>-21.600427942422296</v>
      </c>
      <c r="H58" s="101">
        <f t="shared" si="10"/>
        <v>-26.508792692583185</v>
      </c>
      <c r="I58" s="78">
        <f t="shared" si="0"/>
        <v>-6.7483411742382842</v>
      </c>
      <c r="J58" s="79">
        <f t="shared" si="1"/>
        <v>0.10519900428435418</v>
      </c>
      <c r="K58" s="79"/>
      <c r="L58" s="79"/>
      <c r="M58" s="79">
        <f t="shared" si="2"/>
        <v>0</v>
      </c>
      <c r="N58" s="180">
        <f t="shared" si="3"/>
        <v>3.6684456892750003E-2</v>
      </c>
      <c r="O58" s="81">
        <f t="shared" si="4"/>
        <v>0.58210817030704542</v>
      </c>
      <c r="P58" s="79">
        <f t="shared" si="5"/>
        <v>3.8397564761186928E-2</v>
      </c>
      <c r="Q58" s="79"/>
      <c r="R58" s="180">
        <f t="shared" si="7"/>
        <v>3.5977669092031248E-3</v>
      </c>
      <c r="S58" s="82">
        <f t="shared" si="8"/>
        <v>5.7089287673803953E-2</v>
      </c>
      <c r="T58" s="78">
        <f t="shared" si="9"/>
        <v>10.196451804287483</v>
      </c>
    </row>
    <row r="59" spans="1:20" s="1" customFormat="1" ht="11.25" customHeight="1" x14ac:dyDescent="0.2">
      <c r="A59" s="83">
        <v>56</v>
      </c>
      <c r="B59" s="83" t="s">
        <v>339</v>
      </c>
      <c r="C59" s="84">
        <v>5.9329999999999998</v>
      </c>
      <c r="D59" s="84">
        <v>0.30855809374999998</v>
      </c>
      <c r="E59" s="84">
        <v>-2.4761721275744497</v>
      </c>
      <c r="F59" s="84">
        <v>0.87203206249999998</v>
      </c>
      <c r="G59" s="84">
        <v>-21.598403571690788</v>
      </c>
      <c r="H59" s="101">
        <f t="shared" si="10"/>
        <v>-26.506745851336561</v>
      </c>
      <c r="I59" s="78">
        <f t="shared" si="0"/>
        <v>-3.9328783126073605</v>
      </c>
      <c r="J59" s="79">
        <f t="shared" si="1"/>
        <v>0.14697995322770943</v>
      </c>
      <c r="K59" s="79"/>
      <c r="L59" s="79"/>
      <c r="M59" s="79">
        <f t="shared" si="2"/>
        <v>0</v>
      </c>
      <c r="N59" s="180">
        <f t="shared" si="3"/>
        <v>4.8253022146375002E-2</v>
      </c>
      <c r="O59" s="81">
        <f t="shared" si="4"/>
        <v>0.81329887319020744</v>
      </c>
      <c r="P59" s="79">
        <f t="shared" si="5"/>
        <v>5.2007094850834316E-2</v>
      </c>
      <c r="Q59" s="79"/>
      <c r="R59" s="180">
        <f t="shared" si="7"/>
        <v>5.2457384945937494E-3</v>
      </c>
      <c r="S59" s="82">
        <f t="shared" si="8"/>
        <v>8.8416290149903071E-2</v>
      </c>
      <c r="T59" s="78">
        <f t="shared" si="9"/>
        <v>9.1985184156824626</v>
      </c>
    </row>
    <row r="60" spans="1:20" s="1" customFormat="1" ht="11.25" customHeight="1" x14ac:dyDescent="0.2">
      <c r="A60" s="95">
        <v>57</v>
      </c>
      <c r="B60" s="95" t="s">
        <v>340</v>
      </c>
      <c r="C60" s="96">
        <v>5.0170000000000003</v>
      </c>
      <c r="D60" s="96">
        <v>0.24088237500000001</v>
      </c>
      <c r="E60" s="96">
        <v>-3.8528464792741968</v>
      </c>
      <c r="F60" s="96">
        <v>0.30660225000000002</v>
      </c>
      <c r="G60" s="96">
        <v>-22.875005901292425</v>
      </c>
      <c r="H60" s="101">
        <f t="shared" si="10"/>
        <v>-27.797518466796774</v>
      </c>
      <c r="I60" s="78">
        <f t="shared" si="0"/>
        <v>-5.3095526643071072</v>
      </c>
      <c r="J60" s="79">
        <f t="shared" si="1"/>
        <v>6.1112666932429741E-2</v>
      </c>
      <c r="K60" s="79"/>
      <c r="L60" s="79"/>
      <c r="M60" s="79">
        <f t="shared" si="2"/>
        <v>0</v>
      </c>
      <c r="N60" s="180">
        <f t="shared" si="3"/>
        <v>1.69655289015E-2</v>
      </c>
      <c r="O60" s="81">
        <f t="shared" si="4"/>
        <v>0.33816083120390666</v>
      </c>
      <c r="P60" s="79">
        <f t="shared" si="5"/>
        <v>4.8013230017939008E-2</v>
      </c>
      <c r="Q60" s="79"/>
      <c r="R60" s="180">
        <f t="shared" si="7"/>
        <v>3.5705614283750003E-3</v>
      </c>
      <c r="S60" s="82">
        <f t="shared" si="8"/>
        <v>7.116925310693642E-2</v>
      </c>
      <c r="T60" s="78">
        <f t="shared" si="9"/>
        <v>4.7515017573080067</v>
      </c>
    </row>
    <row r="61" spans="1:20" s="1" customFormat="1" ht="11.25" customHeight="1" x14ac:dyDescent="0.2">
      <c r="A61" s="83">
        <v>58</v>
      </c>
      <c r="B61" s="83" t="s">
        <v>341</v>
      </c>
      <c r="C61" s="84">
        <v>5.9740000000000002</v>
      </c>
      <c r="D61" s="84">
        <v>0.29408237500000001</v>
      </c>
      <c r="E61" s="84">
        <v>-1.149325923275879</v>
      </c>
      <c r="F61" s="84">
        <v>0.659759125</v>
      </c>
      <c r="G61" s="84">
        <v>-21.634827846057224</v>
      </c>
      <c r="H61" s="101">
        <f t="shared" si="10"/>
        <v>-26.543574435148464</v>
      </c>
      <c r="I61" s="78">
        <f t="shared" si="0"/>
        <v>-2.6060321083087898</v>
      </c>
      <c r="J61" s="79">
        <f t="shared" si="1"/>
        <v>0.11043842065617676</v>
      </c>
      <c r="K61" s="79"/>
      <c r="L61" s="79"/>
      <c r="M61" s="79">
        <f t="shared" si="2"/>
        <v>0</v>
      </c>
      <c r="N61" s="180">
        <f t="shared" si="3"/>
        <v>3.6507111422750003E-2</v>
      </c>
      <c r="O61" s="81">
        <f t="shared" si="4"/>
        <v>0.61109995685888863</v>
      </c>
      <c r="P61" s="79">
        <f t="shared" si="5"/>
        <v>4.9227046367592904E-2</v>
      </c>
      <c r="Q61" s="79"/>
      <c r="R61" s="180">
        <f t="shared" si="7"/>
        <v>4.8874210283750006E-3</v>
      </c>
      <c r="S61" s="82">
        <f t="shared" si="8"/>
        <v>8.1811533785989293E-2</v>
      </c>
      <c r="T61" s="78">
        <f t="shared" si="9"/>
        <v>7.4696064060779532</v>
      </c>
    </row>
    <row r="62" spans="1:20" s="1" customFormat="1" ht="11.25" customHeight="1" x14ac:dyDescent="0.2">
      <c r="A62" s="95">
        <v>59</v>
      </c>
      <c r="B62" s="95" t="s">
        <v>342</v>
      </c>
      <c r="C62" s="96">
        <v>6.47</v>
      </c>
      <c r="D62" s="96">
        <v>0.43100925000000001</v>
      </c>
      <c r="E62" s="96">
        <v>2.9293964534420347</v>
      </c>
      <c r="F62" s="96">
        <v>1.5888752500000001</v>
      </c>
      <c r="G62" s="96">
        <v>-21.880135595992016</v>
      </c>
      <c r="H62" s="101">
        <f t="shared" si="10"/>
        <v>-26.791605101107528</v>
      </c>
      <c r="I62" s="78">
        <f t="shared" si="0"/>
        <v>1.4726902684091239</v>
      </c>
      <c r="J62" s="79">
        <f t="shared" si="1"/>
        <v>0.24557577279752707</v>
      </c>
      <c r="K62" s="79"/>
      <c r="L62" s="79"/>
      <c r="M62" s="79">
        <f t="shared" si="2"/>
        <v>0</v>
      </c>
      <c r="N62" s="180">
        <f t="shared" si="3"/>
        <v>8.7918823083500006E-2</v>
      </c>
      <c r="O62" s="81">
        <f t="shared" si="4"/>
        <v>1.3588689811978363</v>
      </c>
      <c r="P62" s="79">
        <f t="shared" si="5"/>
        <v>6.6616576506955183E-2</v>
      </c>
      <c r="Q62" s="79"/>
      <c r="R62" s="180">
        <f t="shared" si="7"/>
        <v>8.2767719652500002E-3</v>
      </c>
      <c r="S62" s="82">
        <f t="shared" si="8"/>
        <v>0.12792537813369398</v>
      </c>
      <c r="T62" s="78">
        <f t="shared" si="9"/>
        <v>10.622356572420612</v>
      </c>
    </row>
    <row r="63" spans="1:20" s="1" customFormat="1" ht="11.25" customHeight="1" x14ac:dyDescent="0.2">
      <c r="A63" s="83">
        <v>60</v>
      </c>
      <c r="B63" s="83" t="s">
        <v>343</v>
      </c>
      <c r="C63" s="84">
        <v>6.181</v>
      </c>
      <c r="D63" s="84">
        <v>0.26603512499999998</v>
      </c>
      <c r="E63" s="84">
        <v>-1.2579259781061447</v>
      </c>
      <c r="F63" s="84">
        <v>0.53504450000000003</v>
      </c>
      <c r="G63" s="84">
        <v>-21.618381073110502</v>
      </c>
      <c r="H63" s="101">
        <f>$B$26*G63+$D$26</f>
        <v>-26.52694510302203</v>
      </c>
      <c r="I63" s="78">
        <f>$B$27*E63+$D$27</f>
        <v>-2.7146321631390555</v>
      </c>
      <c r="J63" s="79">
        <f>(F63)/C63</f>
        <v>8.6562773014075403E-2</v>
      </c>
      <c r="K63" s="79"/>
      <c r="L63" s="79"/>
      <c r="M63" s="79">
        <f>C63*(K63/100)</f>
        <v>0</v>
      </c>
      <c r="N63" s="180">
        <f>F63*$B$28+$D$28</f>
        <v>2.9606152363000002E-2</v>
      </c>
      <c r="O63" s="81">
        <f>N63/C63*100</f>
        <v>0.47898644819608482</v>
      </c>
      <c r="P63" s="79">
        <f>D63/C63</f>
        <v>4.3040790325190093E-2</v>
      </c>
      <c r="Q63" s="79"/>
      <c r="R63" s="180">
        <f>D63*$B$29+$D$29</f>
        <v>4.1931674491249996E-3</v>
      </c>
      <c r="S63" s="82">
        <f>R63/C63*100</f>
        <v>6.7839628686701181E-2</v>
      </c>
      <c r="T63" s="78">
        <f>N63/R63</f>
        <v>7.060570015914343</v>
      </c>
    </row>
    <row r="64" spans="1:20" s="1" customFormat="1" ht="11.25" customHeight="1" x14ac:dyDescent="0.2">
      <c r="A64" s="83">
        <v>61</v>
      </c>
      <c r="B64" s="83" t="s">
        <v>344</v>
      </c>
      <c r="C64" s="84">
        <v>5.976</v>
      </c>
      <c r="D64" s="84">
        <v>0.27009878124999998</v>
      </c>
      <c r="E64" s="84">
        <v>-3.3727516536301572</v>
      </c>
      <c r="F64" s="84">
        <v>0.5638061875</v>
      </c>
      <c r="G64" s="84">
        <v>-21.614036573907171</v>
      </c>
      <c r="H64" s="101">
        <f t="shared" si="10"/>
        <v>-26.522552379877546</v>
      </c>
      <c r="I64" s="78">
        <f t="shared" si="0"/>
        <v>-4.8294578386630675</v>
      </c>
      <c r="J64" s="79">
        <f t="shared" si="1"/>
        <v>9.4345078229585003E-2</v>
      </c>
      <c r="K64" s="79"/>
      <c r="L64" s="79"/>
      <c r="M64" s="79">
        <f t="shared" ref="M64:M67" si="25">C64*(K64/100)</f>
        <v>0</v>
      </c>
      <c r="N64" s="180">
        <f t="shared" ref="N64:N67" si="26">F64*$B$28+$D$28</f>
        <v>3.1197651579125001E-2</v>
      </c>
      <c r="O64" s="81">
        <f t="shared" ref="O64:O67" si="27">N64/C64*100</f>
        <v>0.5220490558755857</v>
      </c>
      <c r="P64" s="79">
        <f t="shared" ref="P64:P67" si="28">D64/C64</f>
        <v>4.5197252551874158E-2</v>
      </c>
      <c r="Q64" s="79"/>
      <c r="R64" s="180">
        <f t="shared" si="7"/>
        <v>4.2937551322812491E-3</v>
      </c>
      <c r="S64" s="82">
        <f t="shared" si="8"/>
        <v>7.1849985479940578E-2</v>
      </c>
      <c r="T64" s="78">
        <f t="shared" si="9"/>
        <v>7.2658199217219579</v>
      </c>
    </row>
    <row r="65" spans="1:20" s="1" customFormat="1" ht="11.25" customHeight="1" x14ac:dyDescent="0.2">
      <c r="A65" s="83">
        <v>62</v>
      </c>
      <c r="B65" s="83" t="s">
        <v>345</v>
      </c>
      <c r="C65" s="84">
        <v>6.0730000000000004</v>
      </c>
      <c r="D65" s="84">
        <v>0.30105646874999997</v>
      </c>
      <c r="E65" s="84">
        <v>-0.71044358364547033</v>
      </c>
      <c r="F65" s="84">
        <v>0.78759625</v>
      </c>
      <c r="G65" s="84">
        <v>-21.459434916120646</v>
      </c>
      <c r="H65" s="101">
        <f t="shared" si="10"/>
        <v>-26.366234643689587</v>
      </c>
      <c r="I65" s="78">
        <f t="shared" si="0"/>
        <v>-2.1671497686783812</v>
      </c>
      <c r="J65" s="79">
        <f t="shared" si="1"/>
        <v>0.12968816894450846</v>
      </c>
      <c r="K65" s="79"/>
      <c r="L65" s="79"/>
      <c r="M65" s="79">
        <f t="shared" si="25"/>
        <v>0</v>
      </c>
      <c r="N65" s="180">
        <f t="shared" si="26"/>
        <v>4.3580850897500002E-2</v>
      </c>
      <c r="O65" s="81">
        <f t="shared" si="27"/>
        <v>0.71761651403754323</v>
      </c>
      <c r="P65" s="79">
        <f t="shared" si="28"/>
        <v>4.9572940680059269E-2</v>
      </c>
      <c r="Q65" s="79"/>
      <c r="R65" s="180">
        <f t="shared" si="7"/>
        <v>5.0600507709687497E-3</v>
      </c>
      <c r="S65" s="82">
        <f t="shared" si="8"/>
        <v>8.3320447406039014E-2</v>
      </c>
      <c r="T65" s="78">
        <f t="shared" si="9"/>
        <v>8.6127299645960704</v>
      </c>
    </row>
    <row r="66" spans="1:20" s="90" customFormat="1" ht="11.25" customHeight="1" x14ac:dyDescent="0.2">
      <c r="A66" s="117">
        <v>63</v>
      </c>
      <c r="B66" s="117" t="s">
        <v>61</v>
      </c>
      <c r="C66" s="105">
        <v>1.0569999999999999</v>
      </c>
      <c r="D66" s="105">
        <v>1.3325251250000001</v>
      </c>
      <c r="E66" s="105">
        <v>3.5042560092708452</v>
      </c>
      <c r="F66" s="105">
        <v>8.603453</v>
      </c>
      <c r="G66" s="105">
        <v>-21.423495853396851</v>
      </c>
      <c r="H66" s="100">
        <f t="shared" si="10"/>
        <v>-26.329896657369559</v>
      </c>
      <c r="I66" s="86">
        <f t="shared" si="0"/>
        <v>2.0475498242379344</v>
      </c>
      <c r="J66" s="87">
        <f t="shared" si="1"/>
        <v>8.1395014191106903</v>
      </c>
      <c r="K66" s="87">
        <f t="shared" ref="K66" si="29">H$14</f>
        <v>44.65</v>
      </c>
      <c r="L66" s="87">
        <f t="shared" ref="L66" si="30">I$14</f>
        <v>2.83</v>
      </c>
      <c r="M66" s="87">
        <f t="shared" si="25"/>
        <v>0.4719505</v>
      </c>
      <c r="N66" s="179">
        <f t="shared" si="26"/>
        <v>0.47606346830200003</v>
      </c>
      <c r="O66" s="91">
        <f t="shared" si="27"/>
        <v>45.039117152507103</v>
      </c>
      <c r="P66" s="87">
        <f t="shared" si="28"/>
        <v>1.2606671002838223</v>
      </c>
      <c r="Q66" s="87">
        <f t="shared" ref="Q66" si="31">C66*(L66/100)</f>
        <v>2.9913100000000001E-2</v>
      </c>
      <c r="R66" s="179">
        <f t="shared" si="7"/>
        <v>3.0591994419125003E-2</v>
      </c>
      <c r="S66" s="89">
        <f t="shared" si="8"/>
        <v>2.8942284218661309</v>
      </c>
      <c r="T66" s="86">
        <f t="shared" si="9"/>
        <v>15.561700939785164</v>
      </c>
    </row>
    <row r="67" spans="1:20" s="126" customFormat="1" ht="11.25" customHeight="1" x14ac:dyDescent="0.2">
      <c r="A67" s="119">
        <v>64</v>
      </c>
      <c r="B67" s="119" t="s">
        <v>98</v>
      </c>
      <c r="C67" s="120">
        <v>2.5590000000000002</v>
      </c>
      <c r="D67" s="120">
        <v>0.36897600000000003</v>
      </c>
      <c r="E67" s="120">
        <v>0.58849742659949911</v>
      </c>
      <c r="F67" s="120">
        <v>1.625448875</v>
      </c>
      <c r="G67" s="120">
        <v>-14.719250653999934</v>
      </c>
      <c r="H67" s="121">
        <f t="shared" si="10"/>
        <v>-19.551234336259334</v>
      </c>
      <c r="I67" s="122">
        <f t="shared" si="0"/>
        <v>-0.86820875843341172</v>
      </c>
      <c r="J67" s="118">
        <f t="shared" si="1"/>
        <v>0.63518908753419301</v>
      </c>
      <c r="K67" s="118">
        <f>H$13</f>
        <v>3.3479999999999999</v>
      </c>
      <c r="L67" s="118"/>
      <c r="M67" s="118">
        <f t="shared" si="25"/>
        <v>8.5675319999999999E-2</v>
      </c>
      <c r="N67" s="181">
        <f t="shared" si="26"/>
        <v>8.9942588049249997E-2</v>
      </c>
      <c r="O67" s="124">
        <f t="shared" si="27"/>
        <v>3.5147552969617033</v>
      </c>
      <c r="P67" s="118">
        <f t="shared" si="28"/>
        <v>0.14418757327080892</v>
      </c>
      <c r="Q67" s="118"/>
      <c r="R67" s="181">
        <f t="shared" si="7"/>
        <v>6.7412629280000011E-3</v>
      </c>
      <c r="S67" s="125">
        <f t="shared" si="8"/>
        <v>0.26343348683079332</v>
      </c>
      <c r="T67" s="122">
        <f t="shared" si="9"/>
        <v>13.342097617298274</v>
      </c>
    </row>
    <row r="68" spans="1:20" s="1" customFormat="1" ht="11.25" customHeight="1" x14ac:dyDescent="0.2">
      <c r="A68" s="95">
        <v>65</v>
      </c>
      <c r="B68" s="95" t="s">
        <v>346</v>
      </c>
      <c r="C68" s="96">
        <v>6.3010000000000002</v>
      </c>
      <c r="D68" s="96">
        <v>0.301332875</v>
      </c>
      <c r="E68" s="96">
        <v>-0.92869260054406766</v>
      </c>
      <c r="F68" s="96">
        <v>0.74885475000000001</v>
      </c>
      <c r="G68" s="96">
        <v>-21.443296592954496</v>
      </c>
      <c r="H68" s="101">
        <f t="shared" si="10"/>
        <v>-26.349917185136292</v>
      </c>
      <c r="I68" s="78">
        <f t="shared" si="0"/>
        <v>-2.3853987855769785</v>
      </c>
      <c r="J68" s="79">
        <f t="shared" si="1"/>
        <v>0.11884696873512141</v>
      </c>
      <c r="K68" s="79"/>
      <c r="L68" s="79"/>
      <c r="M68" s="79">
        <f t="shared" si="2"/>
        <v>0</v>
      </c>
      <c r="N68" s="180">
        <f t="shared" si="3"/>
        <v>4.1437128736500004E-2</v>
      </c>
      <c r="O68" s="81">
        <f t="shared" si="4"/>
        <v>0.65762781679892079</v>
      </c>
      <c r="P68" s="79">
        <f t="shared" si="5"/>
        <v>4.7823024123155054E-2</v>
      </c>
      <c r="Q68" s="79"/>
      <c r="R68" s="180">
        <f t="shared" si="7"/>
        <v>5.0668926548750005E-3</v>
      </c>
      <c r="S68" s="82">
        <f t="shared" si="8"/>
        <v>8.0414103394302494E-2</v>
      </c>
      <c r="T68" s="78">
        <f t="shared" si="9"/>
        <v>8.1780159081586561</v>
      </c>
    </row>
    <row r="69" spans="1:20" s="1" customFormat="1" ht="11.25" customHeight="1" x14ac:dyDescent="0.2">
      <c r="A69" s="83">
        <v>66</v>
      </c>
      <c r="B69" s="83" t="s">
        <v>347</v>
      </c>
      <c r="C69" s="84">
        <v>6.1349999999999998</v>
      </c>
      <c r="D69" s="84">
        <v>0.29317093750000001</v>
      </c>
      <c r="E69" s="84">
        <v>-2.6450081913712564</v>
      </c>
      <c r="F69" s="84">
        <v>0.63354537499999997</v>
      </c>
      <c r="G69" s="84">
        <v>-25.20304108878749</v>
      </c>
      <c r="H69" s="101">
        <f t="shared" si="10"/>
        <v>-30.151394844873032</v>
      </c>
      <c r="I69" s="78">
        <f t="shared" si="0"/>
        <v>-4.1017143764041677</v>
      </c>
      <c r="J69" s="79">
        <f t="shared" si="1"/>
        <v>0.10326737978810106</v>
      </c>
      <c r="K69" s="79"/>
      <c r="L69" s="79"/>
      <c r="M69" s="79">
        <f t="shared" si="2"/>
        <v>0</v>
      </c>
      <c r="N69" s="180">
        <f t="shared" si="3"/>
        <v>3.5056599780249997E-2</v>
      </c>
      <c r="O69" s="81">
        <f t="shared" si="4"/>
        <v>0.57141971931947833</v>
      </c>
      <c r="P69" s="79">
        <f t="shared" si="5"/>
        <v>4.7786623879380603E-2</v>
      </c>
      <c r="Q69" s="79"/>
      <c r="R69" s="180">
        <f t="shared" si="7"/>
        <v>4.8648602159375E-3</v>
      </c>
      <c r="S69" s="82">
        <f t="shared" si="8"/>
        <v>7.9296825035656077E-2</v>
      </c>
      <c r="T69" s="78">
        <f t="shared" si="9"/>
        <v>7.2060857299461567</v>
      </c>
    </row>
    <row r="70" spans="1:20" s="1" customFormat="1" ht="11.25" customHeight="1" x14ac:dyDescent="0.2">
      <c r="A70" s="95">
        <v>67</v>
      </c>
      <c r="B70" s="95" t="s">
        <v>348</v>
      </c>
      <c r="C70" s="96">
        <v>6.0919999999999996</v>
      </c>
      <c r="D70" s="96">
        <v>0.24660226562500001</v>
      </c>
      <c r="E70" s="96">
        <v>-3.8677981562418307</v>
      </c>
      <c r="F70" s="96">
        <v>0.31318784374999997</v>
      </c>
      <c r="G70" s="96">
        <v>-23.617345732413561</v>
      </c>
      <c r="H70" s="101">
        <f t="shared" si="10"/>
        <v>-28.548098270043354</v>
      </c>
      <c r="I70" s="78">
        <f t="shared" si="0"/>
        <v>-5.324504341274741</v>
      </c>
      <c r="J70" s="79">
        <f t="shared" si="1"/>
        <v>5.1409692014116874E-2</v>
      </c>
      <c r="K70" s="79"/>
      <c r="L70" s="79"/>
      <c r="M70" s="79">
        <f t="shared" si="2"/>
        <v>0</v>
      </c>
      <c r="N70" s="180">
        <f t="shared" si="3"/>
        <v>1.73299361460625E-2</v>
      </c>
      <c r="O70" s="81">
        <f t="shared" si="4"/>
        <v>0.28447038979091432</v>
      </c>
      <c r="P70" s="79">
        <f t="shared" si="5"/>
        <v>4.0479689038903484E-2</v>
      </c>
      <c r="Q70" s="79"/>
      <c r="R70" s="180">
        <f t="shared" si="7"/>
        <v>3.7121458810156251E-3</v>
      </c>
      <c r="S70" s="82">
        <f t="shared" si="8"/>
        <v>6.0934764954294569E-2</v>
      </c>
      <c r="T70" s="78">
        <f t="shared" si="9"/>
        <v>4.668441570329966</v>
      </c>
    </row>
    <row r="71" spans="1:20" s="1" customFormat="1" ht="11.25" customHeight="1" x14ac:dyDescent="0.2">
      <c r="A71" s="83">
        <v>68</v>
      </c>
      <c r="B71" s="83" t="s">
        <v>349</v>
      </c>
      <c r="C71" s="84">
        <v>6.0279999999999996</v>
      </c>
      <c r="D71" s="84">
        <v>0.22752862500000001</v>
      </c>
      <c r="E71" s="84">
        <v>-3.0994691836837562</v>
      </c>
      <c r="F71" s="84">
        <v>0.151274625</v>
      </c>
      <c r="G71" s="84">
        <v>-23.85778693117712</v>
      </c>
      <c r="H71" s="101">
        <f t="shared" si="10"/>
        <v>-28.791208366113189</v>
      </c>
      <c r="I71" s="78">
        <f t="shared" si="0"/>
        <v>-4.5561753687166675</v>
      </c>
      <c r="J71" s="79">
        <f t="shared" si="1"/>
        <v>2.5095325978765761E-2</v>
      </c>
      <c r="K71" s="79"/>
      <c r="L71" s="79"/>
      <c r="M71" s="79">
        <f t="shared" si="2"/>
        <v>0</v>
      </c>
      <c r="N71" s="180">
        <f t="shared" si="3"/>
        <v>8.3706300997500004E-3</v>
      </c>
      <c r="O71" s="81">
        <f t="shared" si="4"/>
        <v>0.13886247677090249</v>
      </c>
      <c r="P71" s="79">
        <f t="shared" si="5"/>
        <v>3.774529280026543E-2</v>
      </c>
      <c r="Q71" s="79"/>
      <c r="R71" s="180">
        <f t="shared" si="7"/>
        <v>3.2400160546250008E-3</v>
      </c>
      <c r="S71" s="82">
        <f t="shared" si="8"/>
        <v>5.3749436871682162E-2</v>
      </c>
      <c r="T71" s="78">
        <f t="shared" si="9"/>
        <v>2.5835150069090682</v>
      </c>
    </row>
    <row r="72" spans="1:20" s="1" customFormat="1" ht="11.25" customHeight="1" x14ac:dyDescent="0.2">
      <c r="A72" s="95">
        <v>69</v>
      </c>
      <c r="B72" s="95" t="s">
        <v>350</v>
      </c>
      <c r="C72" s="96">
        <v>6.109</v>
      </c>
      <c r="D72" s="96">
        <v>0.23023739062500001</v>
      </c>
      <c r="E72" s="96">
        <v>-3.6922824829915823</v>
      </c>
      <c r="F72" s="96">
        <v>0.1748839375</v>
      </c>
      <c r="G72" s="96">
        <v>-21.001490047769227</v>
      </c>
      <c r="H72" s="101">
        <f t="shared" si="10"/>
        <v>-25.903206587299465</v>
      </c>
      <c r="I72" s="78">
        <f t="shared" si="0"/>
        <v>-5.1489886680244936</v>
      </c>
      <c r="J72" s="79">
        <f t="shared" si="1"/>
        <v>2.862726100834834E-2</v>
      </c>
      <c r="K72" s="79"/>
      <c r="L72" s="79"/>
      <c r="M72" s="79">
        <f t="shared" si="2"/>
        <v>0</v>
      </c>
      <c r="N72" s="180">
        <f t="shared" si="3"/>
        <v>9.6770277976250003E-3</v>
      </c>
      <c r="O72" s="81">
        <f t="shared" si="4"/>
        <v>0.15840608606359471</v>
      </c>
      <c r="P72" s="79">
        <f t="shared" si="5"/>
        <v>3.768822894499918E-2</v>
      </c>
      <c r="Q72" s="79"/>
      <c r="R72" s="180">
        <f t="shared" si="7"/>
        <v>3.3070661301406257E-3</v>
      </c>
      <c r="S72" s="82">
        <f t="shared" si="8"/>
        <v>5.4134328533976518E-2</v>
      </c>
      <c r="T72" s="78">
        <f t="shared" si="9"/>
        <v>2.9261670062864771</v>
      </c>
    </row>
    <row r="73" spans="1:20" s="1" customFormat="1" ht="11.25" customHeight="1" x14ac:dyDescent="0.2">
      <c r="A73" s="83">
        <v>70</v>
      </c>
      <c r="B73" s="83" t="s">
        <v>351</v>
      </c>
      <c r="C73" s="84">
        <v>5.9420000000000002</v>
      </c>
      <c r="D73" s="84">
        <v>0.22603982812500001</v>
      </c>
      <c r="E73" s="84">
        <v>-5.2339824436349325</v>
      </c>
      <c r="F73" s="84">
        <v>0.10546434374999999</v>
      </c>
      <c r="G73" s="84">
        <v>-21.04453778776849</v>
      </c>
      <c r="H73" s="101">
        <f t="shared" si="10"/>
        <v>-25.946732157212722</v>
      </c>
      <c r="I73" s="78">
        <f t="shared" si="0"/>
        <v>-6.6906886286678429</v>
      </c>
      <c r="J73" s="79">
        <f t="shared" si="1"/>
        <v>1.7748963943116796E-2</v>
      </c>
      <c r="K73" s="79"/>
      <c r="L73" s="79"/>
      <c r="M73" s="79">
        <f t="shared" si="2"/>
        <v>0</v>
      </c>
      <c r="N73" s="180">
        <f t="shared" si="3"/>
        <v>5.8357639970625002E-3</v>
      </c>
      <c r="O73" s="81">
        <f t="shared" si="4"/>
        <v>9.8212117082842484E-2</v>
      </c>
      <c r="P73" s="79">
        <f t="shared" si="5"/>
        <v>3.8041034689498487E-2</v>
      </c>
      <c r="Q73" s="79"/>
      <c r="R73" s="180">
        <f t="shared" si="7"/>
        <v>3.203163865578125E-3</v>
      </c>
      <c r="S73" s="82">
        <f t="shared" si="8"/>
        <v>5.3907167041032059E-2</v>
      </c>
      <c r="T73" s="78">
        <f t="shared" si="9"/>
        <v>1.8218749467596247</v>
      </c>
    </row>
    <row r="74" spans="1:20" s="90" customFormat="1" ht="11.25" customHeight="1" x14ac:dyDescent="0.2">
      <c r="A74" s="95">
        <v>71</v>
      </c>
      <c r="B74" s="95" t="s">
        <v>352</v>
      </c>
      <c r="C74" s="96">
        <v>6.0529999999999999</v>
      </c>
      <c r="D74" s="96">
        <v>0.23431553124999999</v>
      </c>
      <c r="E74" s="96">
        <v>-4.9324693258047114</v>
      </c>
      <c r="F74" s="96">
        <v>0.12506753125</v>
      </c>
      <c r="G74" s="96">
        <v>-21.698390286553025</v>
      </c>
      <c r="H74" s="101">
        <f t="shared" si="10"/>
        <v>-26.607842418733767</v>
      </c>
      <c r="I74" s="78">
        <f t="shared" si="0"/>
        <v>-6.3891755108376227</v>
      </c>
      <c r="J74" s="79">
        <f t="shared" si="1"/>
        <v>2.0662073558566002E-2</v>
      </c>
      <c r="K74" s="79"/>
      <c r="L74" s="79"/>
      <c r="M74" s="79">
        <f t="shared" si="2"/>
        <v>0</v>
      </c>
      <c r="N74" s="180">
        <f t="shared" si="3"/>
        <v>6.9204867741875006E-3</v>
      </c>
      <c r="O74" s="81">
        <f t="shared" si="4"/>
        <v>0.11433151782896912</v>
      </c>
      <c r="P74" s="79">
        <f t="shared" si="5"/>
        <v>3.8710644515116473E-2</v>
      </c>
      <c r="Q74" s="79"/>
      <c r="R74" s="180">
        <f t="shared" si="7"/>
        <v>3.4080123450312494E-3</v>
      </c>
      <c r="S74" s="82">
        <f t="shared" si="8"/>
        <v>5.6302863787068384E-2</v>
      </c>
      <c r="T74" s="78">
        <f t="shared" si="9"/>
        <v>2.0306519089572266</v>
      </c>
    </row>
    <row r="75" spans="1:20" s="1" customFormat="1" ht="11.25" customHeight="1" x14ac:dyDescent="0.2">
      <c r="A75" s="83">
        <v>72</v>
      </c>
      <c r="B75" s="83" t="s">
        <v>62</v>
      </c>
      <c r="C75" s="84">
        <v>0.84499999999999997</v>
      </c>
      <c r="D75" s="84">
        <v>0.23620204687499999</v>
      </c>
      <c r="E75" s="84">
        <v>1.7655217315768468</v>
      </c>
      <c r="F75" s="84">
        <v>6.2724834999999999</v>
      </c>
      <c r="G75" s="84">
        <v>-19.824121607969158</v>
      </c>
      <c r="H75" s="101">
        <f t="shared" si="10"/>
        <v>-24.712769357817614</v>
      </c>
      <c r="I75" s="78">
        <f t="shared" si="0"/>
        <v>0.30881554654393595</v>
      </c>
      <c r="J75" s="79">
        <f t="shared" si="1"/>
        <v>7.4230573964497042</v>
      </c>
      <c r="K75" s="79"/>
      <c r="L75" s="79"/>
      <c r="M75" s="79">
        <f t="shared" si="2"/>
        <v>0</v>
      </c>
      <c r="N75" s="180">
        <f t="shared" si="3"/>
        <v>0.34708160198900001</v>
      </c>
      <c r="O75" s="81">
        <f t="shared" si="4"/>
        <v>41.074745797514794</v>
      </c>
      <c r="P75" s="79">
        <f t="shared" si="5"/>
        <v>0.27952904955621299</v>
      </c>
      <c r="Q75" s="79"/>
      <c r="R75" s="180">
        <f t="shared" si="7"/>
        <v>3.4547092662968746E-3</v>
      </c>
      <c r="S75" s="82">
        <f t="shared" si="8"/>
        <v>0.40884133328957101</v>
      </c>
      <c r="T75" s="78">
        <f t="shared" si="9"/>
        <v>100.46622602226643</v>
      </c>
    </row>
    <row r="76" spans="1:20" s="1" customFormat="1" ht="11.25" customHeight="1" x14ac:dyDescent="0.2">
      <c r="A76" s="95">
        <v>73</v>
      </c>
      <c r="B76" s="95" t="s">
        <v>63</v>
      </c>
      <c r="C76" s="96">
        <v>0.94699999999999995</v>
      </c>
      <c r="D76" s="96">
        <v>0.239120078125</v>
      </c>
      <c r="E76" s="96">
        <v>-4.2475454407201463</v>
      </c>
      <c r="F76" s="96">
        <v>6.9968244999999998</v>
      </c>
      <c r="G76" s="96">
        <v>-5.9385025264947853</v>
      </c>
      <c r="H76" s="101">
        <f>$B$26*G76+$D$26</f>
        <v>-10.673019904538878</v>
      </c>
      <c r="I76" s="78">
        <f>$B$27*E76+$D$27</f>
        <v>-5.7042516257530576</v>
      </c>
      <c r="J76" s="79">
        <f>(F76)/C76</f>
        <v>7.3884102428722285</v>
      </c>
      <c r="K76" s="79"/>
      <c r="L76" s="79"/>
      <c r="M76" s="79">
        <f t="shared" si="2"/>
        <v>0</v>
      </c>
      <c r="N76" s="180">
        <f t="shared" si="3"/>
        <v>0.38716228688299997</v>
      </c>
      <c r="O76" s="81">
        <f t="shared" si="4"/>
        <v>40.883029237909184</v>
      </c>
      <c r="P76" s="79">
        <f t="shared" si="5"/>
        <v>0.2525027224128828</v>
      </c>
      <c r="Q76" s="79"/>
      <c r="R76" s="180">
        <f>D76*$B$29+$D$29</f>
        <v>3.5269392938281248E-3</v>
      </c>
      <c r="S76" s="82">
        <f>R76/C76*100</f>
        <v>0.37243287157635951</v>
      </c>
      <c r="T76" s="78">
        <f>N76/R76</f>
        <v>109.77288085465619</v>
      </c>
    </row>
    <row r="77" spans="1:20" s="1" customFormat="1" ht="11.25" customHeight="1" x14ac:dyDescent="0.2">
      <c r="A77" s="83">
        <v>74</v>
      </c>
      <c r="B77" s="83" t="s">
        <v>70</v>
      </c>
      <c r="C77" s="84">
        <v>1.214</v>
      </c>
      <c r="D77" s="84">
        <v>0.23086693750000001</v>
      </c>
      <c r="E77" s="84">
        <v>-4.6240329448101747</v>
      </c>
      <c r="F77" s="84">
        <v>4.1509435000000003</v>
      </c>
      <c r="G77" s="84">
        <v>-13.511072917981419</v>
      </c>
      <c r="H77" s="101">
        <f t="shared" si="10"/>
        <v>-18.329645827371014</v>
      </c>
      <c r="I77" s="78">
        <f t="shared" si="0"/>
        <v>-6.0807391298430851</v>
      </c>
      <c r="J77" s="79">
        <f t="shared" si="1"/>
        <v>3.4192285831960465</v>
      </c>
      <c r="K77" s="79"/>
      <c r="L77" s="79"/>
      <c r="M77" s="79">
        <f t="shared" si="2"/>
        <v>0</v>
      </c>
      <c r="N77" s="180">
        <f t="shared" si="3"/>
        <v>0.22968830762900003</v>
      </c>
      <c r="O77" s="81">
        <f t="shared" si="4"/>
        <v>18.919959442257003</v>
      </c>
      <c r="P77" s="79">
        <f t="shared" si="5"/>
        <v>0.19017045922570017</v>
      </c>
      <c r="Q77" s="79"/>
      <c r="R77" s="180">
        <f t="shared" si="7"/>
        <v>3.3226493039375006E-3</v>
      </c>
      <c r="S77" s="82">
        <f t="shared" si="8"/>
        <v>0.27369434134575787</v>
      </c>
      <c r="T77" s="78">
        <f t="shared" si="9"/>
        <v>69.12806216316848</v>
      </c>
    </row>
    <row r="78" spans="1:20" s="1" customFormat="1" ht="11.25" customHeight="1" x14ac:dyDescent="0.2">
      <c r="A78" s="83">
        <v>75</v>
      </c>
      <c r="B78" s="83" t="s">
        <v>64</v>
      </c>
      <c r="C78" s="84">
        <v>0.55600000000000005</v>
      </c>
      <c r="D78" s="84">
        <v>4.7571709999999996</v>
      </c>
      <c r="E78" s="84">
        <v>1.9453940882310228</v>
      </c>
      <c r="F78" s="84">
        <v>1.03015673828125E-2</v>
      </c>
      <c r="G78" s="84">
        <v>-14.225359718372937</v>
      </c>
      <c r="H78" s="101">
        <f t="shared" si="10"/>
        <v>-19.05186121124688</v>
      </c>
      <c r="I78" s="78">
        <f t="shared" si="0"/>
        <v>0.48868790319811195</v>
      </c>
      <c r="J78" s="79">
        <f t="shared" si="1"/>
        <v>1.8527998889950537E-2</v>
      </c>
      <c r="K78" s="79"/>
      <c r="L78" s="79"/>
      <c r="M78" s="79">
        <f t="shared" si="2"/>
        <v>0</v>
      </c>
      <c r="N78" s="180">
        <f t="shared" si="3"/>
        <v>5.7002692956054687E-4</v>
      </c>
      <c r="O78" s="81">
        <f t="shared" si="4"/>
        <v>0.10252282905765231</v>
      </c>
      <c r="P78" s="79">
        <f t="shared" si="5"/>
        <v>8.5560629496402871</v>
      </c>
      <c r="Q78" s="79"/>
      <c r="R78" s="180">
        <f t="shared" si="7"/>
        <v>0.11536225376299999</v>
      </c>
      <c r="S78" s="82">
        <f t="shared" si="8"/>
        <v>20.748606791906472</v>
      </c>
      <c r="T78" s="78">
        <f t="shared" si="9"/>
        <v>4.9411909959006968E-3</v>
      </c>
    </row>
    <row r="79" spans="1:20" s="1" customFormat="1" ht="11.25" customHeight="1" x14ac:dyDescent="0.2">
      <c r="A79" s="83">
        <v>76</v>
      </c>
      <c r="B79" s="83" t="s">
        <v>69</v>
      </c>
      <c r="C79" s="84">
        <v>0.44800000000000001</v>
      </c>
      <c r="D79" s="84">
        <v>3.896779</v>
      </c>
      <c r="E79" s="84">
        <v>20.567960203944136</v>
      </c>
      <c r="F79" s="84">
        <v>9.7321162109375008E-3</v>
      </c>
      <c r="G79" s="84">
        <v>-16.733876256840848</v>
      </c>
      <c r="H79" s="101">
        <f t="shared" si="10"/>
        <v>-21.588222283291785</v>
      </c>
      <c r="I79" s="78">
        <f t="shared" si="0"/>
        <v>19.111254018911225</v>
      </c>
      <c r="J79" s="79">
        <f t="shared" si="1"/>
        <v>2.172347368512835E-2</v>
      </c>
      <c r="K79" s="79"/>
      <c r="L79" s="79"/>
      <c r="M79" s="79">
        <f t="shared" si="2"/>
        <v>0</v>
      </c>
      <c r="N79" s="180">
        <f t="shared" si="3"/>
        <v>5.3851691841601572E-4</v>
      </c>
      <c r="O79" s="81">
        <f t="shared" si="4"/>
        <v>0.12020466928928922</v>
      </c>
      <c r="P79" s="79">
        <f t="shared" si="5"/>
        <v>8.6981674107142855</v>
      </c>
      <c r="Q79" s="79"/>
      <c r="R79" s="180">
        <f t="shared" si="7"/>
        <v>9.4064970587000002E-2</v>
      </c>
      <c r="S79" s="82">
        <f t="shared" si="8"/>
        <v>20.996645220312498</v>
      </c>
      <c r="T79" s="78">
        <f t="shared" si="9"/>
        <v>5.7249464392054999E-3</v>
      </c>
    </row>
    <row r="80" spans="1:20" s="90" customFormat="1" ht="11.25" customHeight="1" x14ac:dyDescent="0.2">
      <c r="A80" s="117">
        <v>77</v>
      </c>
      <c r="B80" s="117" t="s">
        <v>84</v>
      </c>
      <c r="C80" s="105">
        <v>0.89700000000000002</v>
      </c>
      <c r="D80" s="105">
        <v>1.104357</v>
      </c>
      <c r="E80" s="105">
        <v>3.8444914880479963</v>
      </c>
      <c r="F80" s="105">
        <v>7.3059669999999999</v>
      </c>
      <c r="G80" s="105">
        <v>-21.388353895530049</v>
      </c>
      <c r="H80" s="100">
        <f t="shared" si="10"/>
        <v>-26.294364623770434</v>
      </c>
      <c r="I80" s="86">
        <f t="shared" si="0"/>
        <v>2.3877853030150855</v>
      </c>
      <c r="J80" s="87">
        <f t="shared" si="1"/>
        <v>8.1448907469342249</v>
      </c>
      <c r="K80" s="87">
        <f t="shared" ref="K80" si="32">H$14</f>
        <v>44.65</v>
      </c>
      <c r="L80" s="87">
        <f t="shared" ref="L80" si="33">I$14</f>
        <v>2.83</v>
      </c>
      <c r="M80" s="87">
        <f t="shared" si="2"/>
        <v>0.40051049999999999</v>
      </c>
      <c r="N80" s="179">
        <f t="shared" si="3"/>
        <v>0.40426837797800003</v>
      </c>
      <c r="O80" s="91">
        <f t="shared" si="4"/>
        <v>45.068938459085842</v>
      </c>
      <c r="P80" s="87">
        <f t="shared" si="5"/>
        <v>1.2311672240802676</v>
      </c>
      <c r="Q80" s="87">
        <f t="shared" ref="Q80" si="34">C80*(L80/100)</f>
        <v>2.5385100000000004E-2</v>
      </c>
      <c r="R80" s="179">
        <f t="shared" si="7"/>
        <v>2.4944148821000003E-2</v>
      </c>
      <c r="S80" s="89">
        <f t="shared" si="8"/>
        <v>2.7808415630992198</v>
      </c>
      <c r="T80" s="86">
        <f t="shared" si="9"/>
        <v>16.206942192296985</v>
      </c>
    </row>
    <row r="81" spans="1:28" s="126" customFormat="1" ht="11.25" customHeight="1" x14ac:dyDescent="0.2">
      <c r="A81" s="197">
        <v>78</v>
      </c>
      <c r="B81" s="197" t="s">
        <v>109</v>
      </c>
      <c r="C81" s="120">
        <v>2.4390000000000001</v>
      </c>
      <c r="D81" s="120">
        <v>0.34281015625</v>
      </c>
      <c r="E81" s="120">
        <v>-0.26277341905078799</v>
      </c>
      <c r="F81" s="198">
        <v>1.4348696249999999</v>
      </c>
      <c r="G81" s="198">
        <v>-14.468609976557994</v>
      </c>
      <c r="H81" s="121">
        <f t="shared" si="10"/>
        <v>-19.29781154729779</v>
      </c>
      <c r="I81" s="122">
        <f t="shared" si="0"/>
        <v>-1.7194796040836988</v>
      </c>
      <c r="J81" s="118">
        <f t="shared" si="1"/>
        <v>0.58830242927429266</v>
      </c>
      <c r="K81" s="118">
        <f>H$13</f>
        <v>3.3479999999999999</v>
      </c>
      <c r="L81" s="118"/>
      <c r="M81" s="118">
        <f t="shared" si="2"/>
        <v>8.1657719999999989E-2</v>
      </c>
      <c r="N81" s="181">
        <f t="shared" si="3"/>
        <v>7.9397075829750002E-2</v>
      </c>
      <c r="O81" s="124">
        <f t="shared" si="4"/>
        <v>3.2553126621463715</v>
      </c>
      <c r="P81" s="118">
        <f t="shared" si="5"/>
        <v>0.14055356959819598</v>
      </c>
      <c r="Q81" s="118"/>
      <c r="R81" s="181">
        <f t="shared" si="7"/>
        <v>6.0935797976562501E-3</v>
      </c>
      <c r="S81" s="125">
        <f t="shared" si="8"/>
        <v>0.2498392700966072</v>
      </c>
      <c r="T81" s="122">
        <f t="shared" si="9"/>
        <v>13.029627651760332</v>
      </c>
    </row>
    <row r="82" spans="1:28" ht="11.25" customHeight="1" x14ac:dyDescent="0.2">
      <c r="A82" s="114">
        <v>79</v>
      </c>
      <c r="B82" s="114" t="s">
        <v>86</v>
      </c>
      <c r="C82" s="108">
        <v>0</v>
      </c>
      <c r="D82" s="108">
        <v>0.21623217187499999</v>
      </c>
      <c r="E82" s="108">
        <v>-4.5624869300641135</v>
      </c>
      <c r="H82" s="101">
        <f t="shared" si="10"/>
        <v>-4.6685999999999996</v>
      </c>
      <c r="I82" s="78">
        <f t="shared" si="0"/>
        <v>-6.0191931150970248</v>
      </c>
      <c r="J82" s="79" t="e">
        <f t="shared" si="1"/>
        <v>#DIV/0!</v>
      </c>
      <c r="K82" s="79"/>
      <c r="L82" s="79">
        <v>0</v>
      </c>
      <c r="M82" s="79">
        <f t="shared" si="2"/>
        <v>0</v>
      </c>
      <c r="N82" s="180">
        <f t="shared" si="3"/>
        <v>0</v>
      </c>
      <c r="O82" s="81" t="e">
        <f t="shared" si="4"/>
        <v>#DIV/0!</v>
      </c>
      <c r="P82" s="79" t="e">
        <f t="shared" si="5"/>
        <v>#DIV/0!</v>
      </c>
      <c r="Q82" s="79">
        <f t="shared" ref="Q82" si="35">C82*(L82/100)</f>
        <v>0</v>
      </c>
      <c r="R82" s="180">
        <f t="shared" si="7"/>
        <v>2.9603949504218748E-3</v>
      </c>
      <c r="S82" s="82" t="e">
        <f t="shared" si="8"/>
        <v>#DIV/0!</v>
      </c>
      <c r="T82" s="78">
        <f t="shared" si="9"/>
        <v>0</v>
      </c>
      <c r="V82" s="1"/>
      <c r="W82" s="1"/>
      <c r="X82" s="1"/>
      <c r="Y82" s="1"/>
      <c r="Z82" s="1"/>
      <c r="AA82" s="1"/>
      <c r="AB82" s="1"/>
    </row>
    <row r="83" spans="1:28" ht="11.25" customHeight="1" x14ac:dyDescent="0.2">
      <c r="A83" s="110"/>
      <c r="B83" s="110"/>
      <c r="C83" s="85"/>
      <c r="D83" s="85"/>
      <c r="E83" s="85"/>
      <c r="V83" s="1"/>
      <c r="W83" s="1"/>
      <c r="X83" s="1"/>
      <c r="Y83" s="1"/>
      <c r="Z83" s="1"/>
      <c r="AA83" s="1"/>
      <c r="AB83" s="1"/>
    </row>
    <row r="84" spans="1:28" ht="11.25" customHeight="1" x14ac:dyDescent="0.25">
      <c r="A84" s="1" t="s">
        <v>83</v>
      </c>
      <c r="H84" s="101">
        <f>STDEV(H89:H96)</f>
        <v>0.14473976162125071</v>
      </c>
      <c r="I84" s="101">
        <f>STDEV(I89:I96)</f>
        <v>0.45808405663376095</v>
      </c>
      <c r="J84" s="79"/>
      <c r="K84" s="1"/>
      <c r="L84" s="1"/>
      <c r="M84" s="79"/>
      <c r="N84" s="80"/>
      <c r="O84" s="101">
        <f>STDEV(O89:O96)</f>
        <v>0.40872467549395619</v>
      </c>
      <c r="P84" s="79"/>
      <c r="Q84" s="79"/>
      <c r="R84" s="80"/>
      <c r="S84" s="101">
        <f>STDEV(S89:S96)</f>
        <v>4.2835655574883572E-2</v>
      </c>
      <c r="T84" s="101">
        <f>STDEV(T89:T96)</f>
        <v>0.2572937046086804</v>
      </c>
    </row>
    <row r="85" spans="1:28" ht="11.25" customHeight="1" x14ac:dyDescent="0.25">
      <c r="H85" s="102"/>
      <c r="I85" s="102"/>
      <c r="J85"/>
      <c r="K85" s="1"/>
      <c r="L85" s="1"/>
      <c r="O85" s="102"/>
      <c r="S85" s="102"/>
      <c r="T85" s="102"/>
      <c r="V85" s="1"/>
      <c r="W85" s="1"/>
      <c r="X85" s="1"/>
      <c r="Y85" s="1"/>
      <c r="Z85" s="1"/>
      <c r="AA85" s="1"/>
      <c r="AB85" s="1"/>
    </row>
    <row r="86" spans="1:28" s="90" customFormat="1" ht="11.25" customHeight="1" x14ac:dyDescent="0.2">
      <c r="A86" s="119">
        <v>51</v>
      </c>
      <c r="B86" s="119" t="s">
        <v>87</v>
      </c>
      <c r="C86" s="120">
        <v>1.704</v>
      </c>
      <c r="D86" s="120">
        <v>0.84306143749999995</v>
      </c>
      <c r="E86" s="120">
        <v>-3.0871916617742912</v>
      </c>
      <c r="F86" s="120">
        <v>1.0336239375</v>
      </c>
      <c r="G86" s="120">
        <v>-14.323960039675097</v>
      </c>
      <c r="H86" s="121">
        <f t="shared" ref="H86:H92" si="36">$B$26*G86+$D$26</f>
        <v>-19.151555996115491</v>
      </c>
      <c r="I86" s="122">
        <f t="shared" ref="I86:I93" si="37">$B$27*E86+$D$27</f>
        <v>-4.5438978468072015</v>
      </c>
      <c r="J86" s="118">
        <f t="shared" ref="J86:J96" si="38">(F86)/C86</f>
        <v>0.60658681778169021</v>
      </c>
      <c r="K86" s="118">
        <f>H$13</f>
        <v>3.3479999999999999</v>
      </c>
      <c r="L86" s="118"/>
      <c r="M86" s="118">
        <f t="shared" ref="M86:M96" si="39">C86*(K86/100)</f>
        <v>5.704991999999999E-2</v>
      </c>
      <c r="N86" s="181">
        <f t="shared" ref="N86:N96" si="40">F86*$B$28+$D$28</f>
        <v>5.7194546957625006E-2</v>
      </c>
      <c r="O86" s="124">
        <f t="shared" ref="O86:O96" si="41">N86/C86*100</f>
        <v>3.3564874975132044</v>
      </c>
      <c r="P86" s="118">
        <f t="shared" ref="P86:P96" si="42">D86/C86</f>
        <v>0.49475436473004691</v>
      </c>
      <c r="Q86" s="118"/>
      <c r="R86" s="181">
        <f t="shared" ref="R86:R93" si="43">D86*$B$29+$D$29</f>
        <v>1.8476299762437497E-2</v>
      </c>
      <c r="S86" s="125">
        <f t="shared" ref="S86:S93" si="44">R86/C86*100</f>
        <v>1.0842898921618249</v>
      </c>
      <c r="T86" s="122">
        <f t="shared" ref="T86:T93" si="45">N86/R86</f>
        <v>3.0955628395844763</v>
      </c>
      <c r="U86" s="126"/>
      <c r="V86" s="126"/>
      <c r="W86" s="126"/>
      <c r="X86" s="126"/>
      <c r="Y86" s="126"/>
      <c r="Z86" s="126"/>
      <c r="AA86" s="126"/>
      <c r="AB86" s="126"/>
    </row>
    <row r="87" spans="1:28" s="90" customFormat="1" ht="11.25" customHeight="1" x14ac:dyDescent="0.2">
      <c r="A87" s="119">
        <v>64</v>
      </c>
      <c r="B87" s="119" t="s">
        <v>98</v>
      </c>
      <c r="C87" s="120">
        <v>2.5590000000000002</v>
      </c>
      <c r="D87" s="120">
        <v>0.36897600000000003</v>
      </c>
      <c r="E87" s="120">
        <v>0.58849742659949911</v>
      </c>
      <c r="F87" s="120">
        <v>1.625448875</v>
      </c>
      <c r="G87" s="120">
        <v>-14.719250653999934</v>
      </c>
      <c r="H87" s="121">
        <f t="shared" si="36"/>
        <v>-19.551234336259334</v>
      </c>
      <c r="I87" s="122">
        <f t="shared" si="37"/>
        <v>-0.86820875843341172</v>
      </c>
      <c r="J87" s="118">
        <f t="shared" si="38"/>
        <v>0.63518908753419301</v>
      </c>
      <c r="K87" s="118">
        <f>H$13</f>
        <v>3.3479999999999999</v>
      </c>
      <c r="L87" s="118"/>
      <c r="M87" s="118">
        <f t="shared" si="39"/>
        <v>8.5675319999999999E-2</v>
      </c>
      <c r="N87" s="181">
        <f t="shared" si="40"/>
        <v>8.9942588049249997E-2</v>
      </c>
      <c r="O87" s="124">
        <f t="shared" si="41"/>
        <v>3.5147552969617033</v>
      </c>
      <c r="P87" s="118">
        <f t="shared" si="42"/>
        <v>0.14418757327080892</v>
      </c>
      <c r="Q87" s="118"/>
      <c r="R87" s="181">
        <f t="shared" si="43"/>
        <v>6.7412629280000011E-3</v>
      </c>
      <c r="S87" s="125">
        <f t="shared" si="44"/>
        <v>0.26343348683079332</v>
      </c>
      <c r="T87" s="122">
        <f t="shared" si="45"/>
        <v>13.342097617298274</v>
      </c>
      <c r="U87" s="126"/>
      <c r="V87" s="126"/>
      <c r="W87" s="126"/>
      <c r="X87" s="126"/>
      <c r="Y87" s="126"/>
      <c r="Z87" s="126"/>
      <c r="AA87" s="126"/>
      <c r="AB87" s="126"/>
    </row>
    <row r="88" spans="1:28" s="90" customFormat="1" ht="11.25" customHeight="1" x14ac:dyDescent="0.2">
      <c r="A88" s="119">
        <v>78</v>
      </c>
      <c r="B88" s="119" t="s">
        <v>109</v>
      </c>
      <c r="C88" s="120">
        <v>2.4390000000000001</v>
      </c>
      <c r="D88" s="120">
        <v>0.34281015625</v>
      </c>
      <c r="E88" s="120">
        <v>-0.26277341905078799</v>
      </c>
      <c r="F88" s="120">
        <v>1.4348696249999999</v>
      </c>
      <c r="G88" s="120">
        <v>-14.468609976557994</v>
      </c>
      <c r="H88" s="121">
        <f t="shared" si="36"/>
        <v>-19.29781154729779</v>
      </c>
      <c r="I88" s="122">
        <f t="shared" si="37"/>
        <v>-1.7194796040836988</v>
      </c>
      <c r="J88" s="118">
        <f t="shared" si="38"/>
        <v>0.58830242927429266</v>
      </c>
      <c r="K88" s="118">
        <f>H$13</f>
        <v>3.3479999999999999</v>
      </c>
      <c r="L88" s="118"/>
      <c r="M88" s="118">
        <f t="shared" si="39"/>
        <v>8.1657719999999989E-2</v>
      </c>
      <c r="N88" s="181">
        <f t="shared" si="40"/>
        <v>7.9397075829750002E-2</v>
      </c>
      <c r="O88" s="124">
        <f t="shared" si="41"/>
        <v>3.2553126621463715</v>
      </c>
      <c r="P88" s="118">
        <f t="shared" si="42"/>
        <v>0.14055356959819598</v>
      </c>
      <c r="Q88" s="118"/>
      <c r="R88" s="181">
        <f t="shared" si="43"/>
        <v>6.0935797976562501E-3</v>
      </c>
      <c r="S88" s="125">
        <f t="shared" si="44"/>
        <v>0.2498392700966072</v>
      </c>
      <c r="T88" s="122">
        <f t="shared" si="45"/>
        <v>13.029627651760332</v>
      </c>
      <c r="U88" s="126"/>
      <c r="V88" s="126"/>
      <c r="W88" s="126"/>
      <c r="X88" s="126"/>
      <c r="Y88" s="126"/>
      <c r="Z88" s="126"/>
      <c r="AA88" s="126"/>
      <c r="AB88" s="126"/>
    </row>
    <row r="89" spans="1:28" s="90" customFormat="1" ht="11.25" customHeight="1" x14ac:dyDescent="0.2">
      <c r="A89" s="117">
        <v>30</v>
      </c>
      <c r="B89" s="117" t="s">
        <v>55</v>
      </c>
      <c r="C89" s="105">
        <v>1.3939999999999999</v>
      </c>
      <c r="D89" s="105">
        <v>1.658446375</v>
      </c>
      <c r="E89" s="105">
        <v>4.3426866976095102</v>
      </c>
      <c r="F89" s="105">
        <v>11.075849</v>
      </c>
      <c r="G89" s="105">
        <v>-21.754928416890614</v>
      </c>
      <c r="H89" s="100">
        <f t="shared" si="36"/>
        <v>-26.665008122318099</v>
      </c>
      <c r="I89" s="86">
        <f t="shared" si="37"/>
        <v>2.8859805125765994</v>
      </c>
      <c r="J89" s="87">
        <f t="shared" si="38"/>
        <v>7.9453723098995699</v>
      </c>
      <c r="K89" s="87">
        <f t="shared" ref="K89:L96" si="46">H$14</f>
        <v>44.65</v>
      </c>
      <c r="L89" s="87">
        <f t="shared" si="46"/>
        <v>2.83</v>
      </c>
      <c r="M89" s="87">
        <f t="shared" si="39"/>
        <v>0.622421</v>
      </c>
      <c r="N89" s="179">
        <f t="shared" si="40"/>
        <v>0.61287102856599995</v>
      </c>
      <c r="O89" s="91">
        <f t="shared" si="41"/>
        <v>43.964923139598277</v>
      </c>
      <c r="P89" s="87">
        <f t="shared" si="42"/>
        <v>1.1897032819225253</v>
      </c>
      <c r="Q89" s="87">
        <f>C89*(L89/100)</f>
        <v>3.9450199999999998E-2</v>
      </c>
      <c r="R89" s="179">
        <f t="shared" si="43"/>
        <v>3.8659523120375003E-2</v>
      </c>
      <c r="S89" s="89">
        <f t="shared" si="44"/>
        <v>2.7732799942880204</v>
      </c>
      <c r="T89" s="86">
        <f t="shared" si="45"/>
        <v>15.853041607825581</v>
      </c>
    </row>
    <row r="90" spans="1:28" s="90" customFormat="1" ht="11.25" customHeight="1" x14ac:dyDescent="0.2">
      <c r="A90" s="117">
        <v>31</v>
      </c>
      <c r="B90" s="117" t="s">
        <v>56</v>
      </c>
      <c r="C90" s="105">
        <v>1.01</v>
      </c>
      <c r="D90" s="105">
        <v>1.2422145</v>
      </c>
      <c r="E90" s="105">
        <v>2.9185818415420339</v>
      </c>
      <c r="F90" s="105">
        <v>8.1761210000000002</v>
      </c>
      <c r="G90" s="105">
        <v>-21.649915840650635</v>
      </c>
      <c r="H90" s="100">
        <f t="shared" si="36"/>
        <v>-26.558829906481861</v>
      </c>
      <c r="I90" s="86">
        <f t="shared" si="37"/>
        <v>1.4618756565091231</v>
      </c>
      <c r="J90" s="87">
        <f t="shared" si="38"/>
        <v>8.0951693069306927</v>
      </c>
      <c r="K90" s="87">
        <f t="shared" si="46"/>
        <v>44.65</v>
      </c>
      <c r="L90" s="87">
        <f t="shared" si="46"/>
        <v>2.83</v>
      </c>
      <c r="M90" s="87">
        <f t="shared" si="39"/>
        <v>0.450965</v>
      </c>
      <c r="N90" s="179">
        <f t="shared" si="40"/>
        <v>0.45241747941400001</v>
      </c>
      <c r="O90" s="91">
        <f t="shared" si="41"/>
        <v>44.793809842970298</v>
      </c>
      <c r="P90" s="87">
        <f t="shared" si="42"/>
        <v>1.2299153465346535</v>
      </c>
      <c r="Q90" s="87">
        <f>C90*(L90/100)</f>
        <v>2.8583000000000004E-2</v>
      </c>
      <c r="R90" s="179">
        <f t="shared" si="43"/>
        <v>2.8356535518500002E-2</v>
      </c>
      <c r="S90" s="89">
        <f t="shared" si="44"/>
        <v>2.807577774108911</v>
      </c>
      <c r="T90" s="86">
        <f t="shared" si="45"/>
        <v>15.954610503065146</v>
      </c>
    </row>
    <row r="91" spans="1:28" s="90" customFormat="1" ht="11.25" customHeight="1" x14ac:dyDescent="0.2">
      <c r="A91" s="117">
        <v>32</v>
      </c>
      <c r="B91" s="117" t="s">
        <v>57</v>
      </c>
      <c r="C91" s="105">
        <v>1.292</v>
      </c>
      <c r="D91" s="105">
        <v>1.5616785</v>
      </c>
      <c r="E91" s="105">
        <v>3.4125873949542029</v>
      </c>
      <c r="F91" s="105">
        <v>10.38654</v>
      </c>
      <c r="G91" s="105">
        <v>-21.671400595860312</v>
      </c>
      <c r="H91" s="100">
        <f t="shared" si="36"/>
        <v>-26.580553142474365</v>
      </c>
      <c r="I91" s="86">
        <f t="shared" si="37"/>
        <v>1.9558812099212921</v>
      </c>
      <c r="J91" s="87">
        <f t="shared" si="38"/>
        <v>8.0391176470588235</v>
      </c>
      <c r="K91" s="87">
        <f t="shared" si="46"/>
        <v>44.65</v>
      </c>
      <c r="L91" s="87">
        <f t="shared" si="46"/>
        <v>2.83</v>
      </c>
      <c r="M91" s="87">
        <f t="shared" si="39"/>
        <v>0.576878</v>
      </c>
      <c r="N91" s="179">
        <f t="shared" si="40"/>
        <v>0.57472880436000007</v>
      </c>
      <c r="O91" s="91">
        <f t="shared" si="41"/>
        <v>44.483653588235299</v>
      </c>
      <c r="P91" s="87">
        <f t="shared" si="42"/>
        <v>1.2087294891640867</v>
      </c>
      <c r="Q91" s="87">
        <f>C91*(L91/100)</f>
        <v>3.6563600000000002E-2</v>
      </c>
      <c r="R91" s="179">
        <f t="shared" si="43"/>
        <v>3.6264227910500005E-2</v>
      </c>
      <c r="S91" s="89">
        <f t="shared" si="44"/>
        <v>2.806828785642415</v>
      </c>
      <c r="T91" s="86">
        <f t="shared" si="45"/>
        <v>15.848367316089808</v>
      </c>
    </row>
    <row r="92" spans="1:28" s="126" customFormat="1" ht="11.25" customHeight="1" x14ac:dyDescent="0.2">
      <c r="A92" s="117">
        <v>33</v>
      </c>
      <c r="B92" s="117" t="s">
        <v>58</v>
      </c>
      <c r="C92" s="105">
        <v>1.4950000000000001</v>
      </c>
      <c r="D92" s="105">
        <v>1.8022907500000001</v>
      </c>
      <c r="E92" s="105">
        <v>3.1958684957988925</v>
      </c>
      <c r="F92" s="105">
        <v>12.046118999999999</v>
      </c>
      <c r="G92" s="105">
        <v>-21.68261725786299</v>
      </c>
      <c r="H92" s="100">
        <f t="shared" si="36"/>
        <v>-26.591894309425271</v>
      </c>
      <c r="I92" s="86">
        <f t="shared" si="37"/>
        <v>1.7391623107659817</v>
      </c>
      <c r="J92" s="87">
        <f t="shared" si="38"/>
        <v>8.0576046822742455</v>
      </c>
      <c r="K92" s="87">
        <f t="shared" si="46"/>
        <v>44.65</v>
      </c>
      <c r="L92" s="87">
        <f t="shared" si="46"/>
        <v>2.83</v>
      </c>
      <c r="M92" s="87">
        <f t="shared" si="39"/>
        <v>0.6675175000000001</v>
      </c>
      <c r="N92" s="179">
        <f t="shared" si="40"/>
        <v>0.666559948746</v>
      </c>
      <c r="O92" s="91">
        <f t="shared" si="41"/>
        <v>44.585949748896319</v>
      </c>
      <c r="P92" s="87">
        <f t="shared" si="42"/>
        <v>1.205545652173913</v>
      </c>
      <c r="Q92" s="87">
        <f>C92*(L92/100)</f>
        <v>4.2308500000000006E-2</v>
      </c>
      <c r="R92" s="179">
        <f t="shared" si="43"/>
        <v>4.2220102934750002E-2</v>
      </c>
      <c r="S92" s="89">
        <f t="shared" si="44"/>
        <v>2.8240871528260869</v>
      </c>
      <c r="T92" s="86">
        <f t="shared" si="45"/>
        <v>15.787738598746429</v>
      </c>
      <c r="U92" s="90"/>
      <c r="V92" s="90"/>
      <c r="W92" s="90"/>
      <c r="X92" s="90"/>
      <c r="Y92" s="90"/>
      <c r="Z92" s="90"/>
      <c r="AA92" s="90"/>
      <c r="AB92" s="90"/>
    </row>
    <row r="93" spans="1:28" s="90" customFormat="1" ht="11.25" customHeight="1" x14ac:dyDescent="0.2">
      <c r="A93" s="117">
        <v>39</v>
      </c>
      <c r="B93" s="117" t="s">
        <v>59</v>
      </c>
      <c r="C93" s="105">
        <v>0.75700000000000001</v>
      </c>
      <c r="D93" s="105">
        <v>0.94405756249999995</v>
      </c>
      <c r="E93" s="105">
        <v>3.5384713680068902</v>
      </c>
      <c r="F93" s="105">
        <v>6.1863634999999997</v>
      </c>
      <c r="G93" s="105">
        <v>-19.07549343027112</v>
      </c>
      <c r="H93" s="100"/>
      <c r="I93" s="86">
        <f t="shared" si="37"/>
        <v>2.0817651829739794</v>
      </c>
      <c r="J93" s="87">
        <f t="shared" si="38"/>
        <v>8.1722107001320996</v>
      </c>
      <c r="K93" s="87">
        <f t="shared" si="46"/>
        <v>44.65</v>
      </c>
      <c r="L93" s="87">
        <f t="shared" si="46"/>
        <v>2.83</v>
      </c>
      <c r="M93" s="87">
        <f t="shared" si="39"/>
        <v>0.33800049999999998</v>
      </c>
      <c r="N93" s="179">
        <f t="shared" si="40"/>
        <v>0.34231623790900001</v>
      </c>
      <c r="O93" s="91">
        <f t="shared" si="41"/>
        <v>45.220110688110964</v>
      </c>
      <c r="P93" s="87">
        <f t="shared" si="42"/>
        <v>1.2471037813738441</v>
      </c>
      <c r="Q93" s="87">
        <f>C93*(L93/100)</f>
        <v>2.14231E-2</v>
      </c>
      <c r="R93" s="179">
        <f t="shared" si="43"/>
        <v>2.0976256844562502E-2</v>
      </c>
      <c r="S93" s="89">
        <f t="shared" si="44"/>
        <v>2.7709718420822327</v>
      </c>
      <c r="T93" s="86">
        <f t="shared" si="45"/>
        <v>16.319224180253865</v>
      </c>
    </row>
    <row r="94" spans="1:28" s="126" customFormat="1" ht="11.25" customHeight="1" x14ac:dyDescent="0.2">
      <c r="A94" s="117">
        <v>50</v>
      </c>
      <c r="B94" s="117" t="s">
        <v>82</v>
      </c>
      <c r="C94" s="105">
        <v>1.151</v>
      </c>
      <c r="D94" s="105"/>
      <c r="E94" s="105">
        <v>0.90380354592323187</v>
      </c>
      <c r="F94" s="105">
        <v>9.3544730000000005</v>
      </c>
      <c r="G94" s="105">
        <v>-21.494197853047439</v>
      </c>
      <c r="H94" s="100">
        <f>$B$26*G94+$D$26</f>
        <v>-26.401383449216269</v>
      </c>
      <c r="I94" s="86"/>
      <c r="J94" s="87">
        <f t="shared" si="38"/>
        <v>8.1272571676802787</v>
      </c>
      <c r="K94" s="87">
        <f t="shared" si="46"/>
        <v>44.65</v>
      </c>
      <c r="L94" s="87">
        <f t="shared" si="46"/>
        <v>2.83</v>
      </c>
      <c r="M94" s="87">
        <f t="shared" si="39"/>
        <v>0.51392150000000003</v>
      </c>
      <c r="N94" s="179">
        <f t="shared" si="40"/>
        <v>0.51762040898200001</v>
      </c>
      <c r="O94" s="91">
        <f t="shared" si="41"/>
        <v>44.971364811642047</v>
      </c>
      <c r="P94" s="87">
        <f t="shared" si="42"/>
        <v>0</v>
      </c>
      <c r="Q94" s="87"/>
      <c r="R94" s="179"/>
      <c r="S94" s="89"/>
      <c r="T94" s="86"/>
      <c r="U94" s="90"/>
      <c r="V94" s="90"/>
      <c r="W94" s="90"/>
      <c r="X94" s="90"/>
      <c r="Y94" s="90"/>
      <c r="Z94" s="90"/>
      <c r="AA94" s="90"/>
      <c r="AB94" s="90"/>
    </row>
    <row r="95" spans="1:28" s="90" customFormat="1" ht="11.25" customHeight="1" x14ac:dyDescent="0.2">
      <c r="A95" s="117">
        <v>63</v>
      </c>
      <c r="B95" s="117" t="s">
        <v>61</v>
      </c>
      <c r="C95" s="105">
        <v>1.0569999999999999</v>
      </c>
      <c r="D95" s="105">
        <v>1.3325251250000001</v>
      </c>
      <c r="E95" s="105">
        <v>3.5042560092708452</v>
      </c>
      <c r="F95" s="105">
        <v>8.603453</v>
      </c>
      <c r="G95" s="105">
        <v>-21.423495853396851</v>
      </c>
      <c r="H95" s="100">
        <f>$B$26*G95+$D$26</f>
        <v>-26.329896657369559</v>
      </c>
      <c r="I95" s="86">
        <f>$B$27*E95+$D$27</f>
        <v>2.0475498242379344</v>
      </c>
      <c r="J95" s="87">
        <f t="shared" si="38"/>
        <v>8.1395014191106903</v>
      </c>
      <c r="K95" s="87">
        <f t="shared" si="46"/>
        <v>44.65</v>
      </c>
      <c r="L95" s="87">
        <f t="shared" si="46"/>
        <v>2.83</v>
      </c>
      <c r="M95" s="87">
        <f t="shared" si="39"/>
        <v>0.4719505</v>
      </c>
      <c r="N95" s="179">
        <f t="shared" si="40"/>
        <v>0.47606346830200003</v>
      </c>
      <c r="O95" s="91">
        <f t="shared" si="41"/>
        <v>45.039117152507103</v>
      </c>
      <c r="P95" s="87">
        <f t="shared" si="42"/>
        <v>1.2606671002838223</v>
      </c>
      <c r="Q95" s="87">
        <f>C95*(L95/100)</f>
        <v>2.9913100000000001E-2</v>
      </c>
      <c r="R95" s="179">
        <f>D95*$B$29+$D$29</f>
        <v>3.0591994419125003E-2</v>
      </c>
      <c r="S95" s="89">
        <f>R95/C95*100</f>
        <v>2.8942284218661309</v>
      </c>
      <c r="T95" s="86">
        <f>N95/R95</f>
        <v>15.561700939785164</v>
      </c>
    </row>
    <row r="96" spans="1:28" s="126" customFormat="1" ht="11.25" customHeight="1" x14ac:dyDescent="0.2">
      <c r="A96" s="199">
        <v>77</v>
      </c>
      <c r="B96" s="199" t="s">
        <v>84</v>
      </c>
      <c r="C96" s="105">
        <v>0.89700000000000002</v>
      </c>
      <c r="D96" s="105">
        <v>1.104357</v>
      </c>
      <c r="E96" s="105">
        <v>3.8444914880479963</v>
      </c>
      <c r="F96" s="200">
        <v>7.3059669999999999</v>
      </c>
      <c r="G96" s="200">
        <v>-21.388353895530049</v>
      </c>
      <c r="H96" s="100">
        <f>$B$26*G96+$D$26</f>
        <v>-26.294364623770434</v>
      </c>
      <c r="I96" s="86">
        <f>$B$27*E96+$D$27</f>
        <v>2.3877853030150855</v>
      </c>
      <c r="J96" s="87">
        <f t="shared" si="38"/>
        <v>8.1448907469342249</v>
      </c>
      <c r="K96" s="87">
        <f t="shared" si="46"/>
        <v>44.65</v>
      </c>
      <c r="L96" s="87">
        <f t="shared" si="46"/>
        <v>2.83</v>
      </c>
      <c r="M96" s="87">
        <f t="shared" si="39"/>
        <v>0.40051049999999999</v>
      </c>
      <c r="N96" s="179">
        <f t="shared" si="40"/>
        <v>0.40426837797800003</v>
      </c>
      <c r="O96" s="91">
        <f t="shared" si="41"/>
        <v>45.068938459085842</v>
      </c>
      <c r="P96" s="87">
        <f t="shared" si="42"/>
        <v>1.2311672240802676</v>
      </c>
      <c r="Q96" s="87">
        <f>C96*(L96/100)</f>
        <v>2.5385100000000004E-2</v>
      </c>
      <c r="R96" s="179">
        <f>D96*$B$29+$D$29</f>
        <v>2.4944148821000003E-2</v>
      </c>
      <c r="S96" s="89">
        <f>R96/C96*100</f>
        <v>2.7808415630992198</v>
      </c>
      <c r="T96" s="86">
        <f>N96/R96</f>
        <v>16.206942192296985</v>
      </c>
      <c r="U96" s="90"/>
      <c r="V96" s="90"/>
      <c r="W96" s="90"/>
      <c r="X96" s="90"/>
      <c r="Y96" s="90"/>
      <c r="Z96" s="90"/>
      <c r="AA96" s="90"/>
      <c r="AB96" s="90"/>
    </row>
    <row r="97" spans="1:28" s="126" customFormat="1" ht="11.25" customHeight="1" x14ac:dyDescent="0.2">
      <c r="A97" s="197"/>
      <c r="B97" s="197"/>
      <c r="C97" s="120"/>
      <c r="D97" s="120"/>
      <c r="E97" s="120"/>
      <c r="F97" s="198"/>
      <c r="G97" s="198"/>
      <c r="H97" s="121"/>
      <c r="I97" s="122"/>
      <c r="J97" s="118"/>
      <c r="K97" s="118"/>
      <c r="L97" s="118"/>
      <c r="M97" s="118"/>
      <c r="N97" s="181"/>
      <c r="O97" s="124"/>
      <c r="P97" s="118"/>
      <c r="Q97" s="118"/>
      <c r="R97" s="181"/>
      <c r="S97" s="125"/>
      <c r="T97" s="122"/>
    </row>
    <row r="98" spans="1:28" ht="11.25" customHeight="1" x14ac:dyDescent="0.2">
      <c r="A98" s="92" t="s">
        <v>71</v>
      </c>
      <c r="B98" s="93" t="s">
        <v>40</v>
      </c>
      <c r="C98" s="92" t="s">
        <v>54</v>
      </c>
      <c r="D98" s="92" t="s">
        <v>72</v>
      </c>
      <c r="E98" s="94" t="s">
        <v>79</v>
      </c>
      <c r="F98" s="92" t="s">
        <v>72</v>
      </c>
      <c r="G98" s="94" t="s">
        <v>73</v>
      </c>
      <c r="J98" s="1"/>
      <c r="K98" s="1"/>
      <c r="L98" s="1"/>
      <c r="V98" s="1"/>
      <c r="W98" s="1"/>
      <c r="X98" s="1"/>
      <c r="Y98" s="1"/>
      <c r="Z98" s="1"/>
      <c r="AA98" s="1"/>
      <c r="AB98" s="1"/>
    </row>
    <row r="99" spans="1:28" ht="11.25" customHeight="1" x14ac:dyDescent="0.2">
      <c r="A99" s="97" t="s">
        <v>74</v>
      </c>
      <c r="B99" s="97" t="s">
        <v>75</v>
      </c>
      <c r="C99" s="98" t="s">
        <v>77</v>
      </c>
      <c r="D99" s="98" t="s">
        <v>76</v>
      </c>
      <c r="E99" s="98" t="s">
        <v>78</v>
      </c>
      <c r="F99" s="98" t="s">
        <v>76</v>
      </c>
      <c r="G99" s="98" t="s">
        <v>78</v>
      </c>
      <c r="J99" s="1"/>
      <c r="K99" s="1"/>
      <c r="L99" s="1"/>
      <c r="V99" s="1"/>
      <c r="W99" s="1"/>
      <c r="X99" s="1"/>
      <c r="Y99" s="1"/>
      <c r="Z99" s="1"/>
      <c r="AA99" s="1"/>
      <c r="AB99" s="1"/>
    </row>
    <row r="100" spans="1:28" ht="11.25" customHeight="1" x14ac:dyDescent="0.2">
      <c r="A100" s="95">
        <v>33</v>
      </c>
      <c r="B100" s="95" t="s">
        <v>85</v>
      </c>
      <c r="C100" s="96">
        <v>1.5680000000000001</v>
      </c>
      <c r="D100" s="96">
        <v>0.57160343749999998</v>
      </c>
      <c r="E100" s="96">
        <v>2.8799411243840556</v>
      </c>
      <c r="F100" s="96">
        <v>1.5817239999999999</v>
      </c>
      <c r="G100" s="96">
        <v>-21.848580214636076</v>
      </c>
      <c r="J100" s="1"/>
      <c r="K100" s="1"/>
      <c r="L100" s="1"/>
      <c r="V100" s="1"/>
      <c r="W100" s="1"/>
      <c r="X100" s="1"/>
      <c r="Y100" s="1"/>
      <c r="Z100" s="1"/>
      <c r="AA100" s="1"/>
      <c r="AB100" s="1"/>
    </row>
    <row r="101" spans="1:28" ht="11.25" customHeight="1" x14ac:dyDescent="0.2">
      <c r="A101" s="114"/>
      <c r="B101" s="114"/>
      <c r="C101" s="108"/>
      <c r="D101" s="108"/>
      <c r="E101" s="108"/>
      <c r="F101" s="108"/>
      <c r="J101" s="1"/>
      <c r="K101" s="1"/>
      <c r="L101" s="1"/>
      <c r="V101" s="1"/>
      <c r="W101" s="1"/>
      <c r="X101" s="1"/>
      <c r="Y101" s="1"/>
      <c r="Z101" s="1"/>
      <c r="AA101" s="1"/>
      <c r="AB101" s="1"/>
    </row>
    <row r="102" spans="1:28" ht="11.25" customHeight="1" x14ac:dyDescent="0.2">
      <c r="J102" s="1"/>
      <c r="K102" s="1"/>
      <c r="L102" s="1"/>
      <c r="V102" s="1"/>
      <c r="W102" s="1"/>
      <c r="X102" s="1"/>
      <c r="Y102" s="1"/>
      <c r="Z102" s="1"/>
      <c r="AA102" s="1"/>
      <c r="AB102" s="1"/>
    </row>
    <row r="103" spans="1:28" ht="11.25" customHeight="1" x14ac:dyDescent="0.25">
      <c r="J103" s="1"/>
      <c r="K103" s="1"/>
      <c r="L103" s="1"/>
      <c r="P103"/>
      <c r="Q103"/>
      <c r="R103"/>
      <c r="S103"/>
      <c r="T103"/>
      <c r="U103"/>
      <c r="W103" s="1"/>
      <c r="X103" s="1"/>
      <c r="Y103" s="1"/>
      <c r="Z103" s="1"/>
      <c r="AA103" s="1"/>
      <c r="AB103" s="1"/>
    </row>
    <row r="104" spans="1:28" ht="11.25" customHeight="1" x14ac:dyDescent="0.2">
      <c r="A104" s="92" t="s">
        <v>71</v>
      </c>
      <c r="B104" s="93" t="s">
        <v>40</v>
      </c>
      <c r="C104" s="92" t="s">
        <v>54</v>
      </c>
      <c r="D104" s="92" t="s">
        <v>72</v>
      </c>
      <c r="E104" s="94" t="s">
        <v>79</v>
      </c>
      <c r="F104" s="92" t="s">
        <v>72</v>
      </c>
      <c r="G104" s="94" t="s">
        <v>73</v>
      </c>
      <c r="H104" s="5"/>
      <c r="J104" s="1"/>
      <c r="K104" s="1"/>
      <c r="L104" s="1"/>
      <c r="V104" s="1"/>
      <c r="W104" s="1"/>
      <c r="X104" s="1"/>
      <c r="Y104" s="1"/>
      <c r="Z104" s="1"/>
      <c r="AA104" s="1"/>
      <c r="AB104" s="1"/>
    </row>
    <row r="105" spans="1:28" ht="11.25" customHeight="1" x14ac:dyDescent="0.2">
      <c r="A105" s="97" t="s">
        <v>74</v>
      </c>
      <c r="B105" s="97" t="s">
        <v>75</v>
      </c>
      <c r="C105" s="98" t="s">
        <v>77</v>
      </c>
      <c r="D105" s="98" t="s">
        <v>76</v>
      </c>
      <c r="E105" s="98" t="s">
        <v>78</v>
      </c>
      <c r="F105" s="98" t="s">
        <v>76</v>
      </c>
      <c r="G105" s="98" t="s">
        <v>78</v>
      </c>
      <c r="H105" s="5"/>
      <c r="J105" s="1"/>
      <c r="K105" s="1"/>
      <c r="L105" s="1"/>
      <c r="V105" s="1"/>
      <c r="W105" s="1"/>
      <c r="X105" s="1"/>
      <c r="Y105" s="1"/>
      <c r="Z105" s="1"/>
      <c r="AA105" s="1"/>
      <c r="AB105" s="1"/>
    </row>
    <row r="106" spans="1:28" ht="11.25" customHeight="1" x14ac:dyDescent="0.2">
      <c r="A106" s="83">
        <v>30</v>
      </c>
      <c r="B106" s="83" t="s">
        <v>55</v>
      </c>
      <c r="C106" s="84">
        <v>1.3939999999999999</v>
      </c>
      <c r="D106" s="84">
        <v>1.658446375</v>
      </c>
      <c r="E106" s="84">
        <v>4.3426866976095102</v>
      </c>
      <c r="F106" s="84">
        <v>11.075849</v>
      </c>
      <c r="G106" s="84">
        <v>-21.754928416890614</v>
      </c>
      <c r="H106" s="5"/>
      <c r="J106" s="1"/>
      <c r="K106" s="1"/>
      <c r="L106" s="1"/>
      <c r="V106" s="1"/>
      <c r="W106" s="1"/>
      <c r="X106" s="1"/>
      <c r="Y106" s="1"/>
      <c r="Z106" s="1"/>
      <c r="AA106" s="1"/>
      <c r="AB106" s="1"/>
    </row>
    <row r="107" spans="1:28" ht="11.25" customHeight="1" x14ac:dyDescent="0.2">
      <c r="A107" s="95">
        <v>31</v>
      </c>
      <c r="B107" s="95" t="s">
        <v>56</v>
      </c>
      <c r="C107" s="96">
        <v>1.01</v>
      </c>
      <c r="D107" s="96">
        <v>1.2422145</v>
      </c>
      <c r="E107" s="96">
        <v>2.9185818415420339</v>
      </c>
      <c r="F107" s="96">
        <v>8.1761210000000002</v>
      </c>
      <c r="G107" s="96">
        <v>-21.649915840650635</v>
      </c>
      <c r="H107" s="5"/>
      <c r="J107" s="1"/>
      <c r="K107" s="1"/>
      <c r="L107" s="1"/>
      <c r="V107" s="1"/>
      <c r="W107" s="1"/>
      <c r="X107" s="1"/>
      <c r="Y107" s="1"/>
      <c r="Z107" s="1"/>
      <c r="AA107" s="1"/>
      <c r="AB107" s="1"/>
    </row>
    <row r="108" spans="1:28" ht="11.25" customHeight="1" x14ac:dyDescent="0.2">
      <c r="A108" s="83">
        <v>32</v>
      </c>
      <c r="B108" s="83" t="s">
        <v>57</v>
      </c>
      <c r="C108" s="84">
        <v>1.292</v>
      </c>
      <c r="D108" s="84">
        <v>1.5616785</v>
      </c>
      <c r="E108" s="84">
        <v>3.4125873949542029</v>
      </c>
      <c r="F108" s="84">
        <v>10.38654</v>
      </c>
      <c r="G108" s="84">
        <v>-21.671400595860312</v>
      </c>
      <c r="H108" s="5"/>
      <c r="J108" s="1"/>
      <c r="K108" s="1"/>
      <c r="L108" s="1"/>
      <c r="V108" s="1"/>
      <c r="W108" s="1"/>
      <c r="X108" s="1"/>
      <c r="Y108" s="1"/>
      <c r="Z108" s="1"/>
      <c r="AA108" s="1"/>
      <c r="AB108" s="1"/>
    </row>
    <row r="109" spans="1:28" ht="11.25" customHeight="1" x14ac:dyDescent="0.2">
      <c r="A109" s="95">
        <v>33</v>
      </c>
      <c r="B109" s="95" t="s">
        <v>58</v>
      </c>
      <c r="C109" s="96">
        <v>1.4950000000000001</v>
      </c>
      <c r="D109" s="96">
        <v>1.8022907500000001</v>
      </c>
      <c r="E109" s="96">
        <v>3.1958684957988925</v>
      </c>
      <c r="F109" s="96">
        <v>12.046118999999999</v>
      </c>
      <c r="G109" s="96">
        <v>-21.68261725786299</v>
      </c>
      <c r="H109" s="5"/>
      <c r="J109" s="1"/>
      <c r="K109" s="1"/>
      <c r="L109" s="1"/>
      <c r="V109" s="1"/>
      <c r="W109" s="1"/>
      <c r="X109" s="1"/>
      <c r="Y109" s="1"/>
      <c r="Z109" s="1"/>
      <c r="AA109" s="1"/>
      <c r="AB109" s="1"/>
    </row>
    <row r="110" spans="1:28" ht="11.25" customHeight="1" x14ac:dyDescent="0.2">
      <c r="A110" s="83">
        <v>34</v>
      </c>
      <c r="B110" s="83" t="s">
        <v>60</v>
      </c>
      <c r="C110" s="84">
        <v>0.86199999999999999</v>
      </c>
      <c r="D110" s="84">
        <v>0.14027395312499999</v>
      </c>
      <c r="E110" s="84">
        <v>-8.9835405903514456</v>
      </c>
      <c r="F110" s="84">
        <v>6.4264595</v>
      </c>
      <c r="G110" s="84">
        <v>-20.133218255356137</v>
      </c>
      <c r="H110" s="5"/>
      <c r="J110" s="1"/>
      <c r="K110" s="1"/>
      <c r="L110" s="1"/>
      <c r="V110" s="1"/>
      <c r="W110" s="1"/>
      <c r="X110" s="1"/>
      <c r="Y110" s="1"/>
      <c r="Z110" s="1"/>
      <c r="AA110" s="1"/>
      <c r="AB110" s="1"/>
    </row>
    <row r="111" spans="1:28" ht="11.25" customHeight="1" x14ac:dyDescent="0.2">
      <c r="A111" s="95">
        <v>35</v>
      </c>
      <c r="B111" s="95" t="s">
        <v>66</v>
      </c>
      <c r="C111" s="96">
        <v>1.1619999999999999</v>
      </c>
      <c r="D111" s="96">
        <v>0.140557796875</v>
      </c>
      <c r="E111" s="96">
        <v>-9.3389440145125171</v>
      </c>
      <c r="F111" s="96">
        <v>8.6202930000000002</v>
      </c>
      <c r="G111" s="96">
        <v>-6.12107958534967</v>
      </c>
      <c r="H111" s="5"/>
      <c r="J111" s="1"/>
      <c r="K111" s="1"/>
      <c r="L111" s="1"/>
      <c r="V111" s="1"/>
      <c r="W111" s="1"/>
      <c r="X111" s="1"/>
      <c r="Y111" s="1"/>
      <c r="Z111" s="1"/>
      <c r="AA111" s="1"/>
      <c r="AB111" s="1"/>
    </row>
    <row r="112" spans="1:28" ht="11.25" customHeight="1" x14ac:dyDescent="0.2">
      <c r="A112" s="83">
        <v>36</v>
      </c>
      <c r="B112" s="83" t="s">
        <v>65</v>
      </c>
      <c r="C112" s="84">
        <v>1.343</v>
      </c>
      <c r="D112" s="84">
        <v>0.13643912499999999</v>
      </c>
      <c r="E112" s="84">
        <v>-8.3954684436041696</v>
      </c>
      <c r="F112" s="84">
        <v>4.5572344999999999</v>
      </c>
      <c r="G112" s="84">
        <v>-13.600069983150158</v>
      </c>
      <c r="H112" s="5"/>
      <c r="J112" s="1"/>
      <c r="K112" s="1"/>
      <c r="L112" s="1"/>
      <c r="V112" s="1"/>
      <c r="W112" s="1"/>
      <c r="X112" s="1"/>
      <c r="Y112" s="1"/>
      <c r="Z112" s="1"/>
      <c r="AA112" s="1"/>
      <c r="AB112" s="1"/>
    </row>
    <row r="113" spans="1:28" ht="11.25" customHeight="1" x14ac:dyDescent="0.2">
      <c r="A113" s="95">
        <v>37</v>
      </c>
      <c r="B113" s="95" t="s">
        <v>67</v>
      </c>
      <c r="C113" s="96">
        <v>0.35599999999999998</v>
      </c>
      <c r="D113" s="96">
        <v>3.09569275</v>
      </c>
      <c r="E113" s="96">
        <v>2.0802942631350518</v>
      </c>
      <c r="F113" s="96">
        <v>9.6391074218749994E-3</v>
      </c>
      <c r="G113" s="96">
        <v>-19.555669097448948</v>
      </c>
      <c r="H113" s="5"/>
      <c r="J113" s="1"/>
      <c r="K113" s="1"/>
      <c r="L113" s="1"/>
      <c r="V113" s="1"/>
      <c r="W113" s="1"/>
      <c r="X113" s="1"/>
      <c r="Y113" s="1"/>
      <c r="Z113" s="1"/>
      <c r="AA113" s="1"/>
      <c r="AB113" s="1"/>
    </row>
    <row r="114" spans="1:28" ht="11.25" customHeight="1" x14ac:dyDescent="0.2">
      <c r="A114" s="83">
        <v>38</v>
      </c>
      <c r="B114" s="83" t="s">
        <v>68</v>
      </c>
      <c r="C114" s="84">
        <v>0.55400000000000005</v>
      </c>
      <c r="D114" s="84">
        <v>4.8277710000000003</v>
      </c>
      <c r="E114" s="84">
        <v>21.163799279175997</v>
      </c>
      <c r="F114" s="84">
        <v>1.1730189453125E-2</v>
      </c>
      <c r="G114" s="84">
        <v>-18.885438915663855</v>
      </c>
      <c r="H114" s="5"/>
      <c r="J114" s="1"/>
      <c r="K114" s="1"/>
      <c r="L114" s="1"/>
      <c r="V114" s="1"/>
      <c r="W114" s="1"/>
      <c r="X114" s="1"/>
      <c r="Y114" s="1"/>
      <c r="Z114" s="1"/>
      <c r="AA114" s="1"/>
      <c r="AB114" s="1"/>
    </row>
    <row r="115" spans="1:28" ht="11.25" customHeight="1" x14ac:dyDescent="0.2">
      <c r="A115" s="95">
        <v>39</v>
      </c>
      <c r="B115" s="95" t="s">
        <v>59</v>
      </c>
      <c r="C115" s="96">
        <v>0.75700000000000001</v>
      </c>
      <c r="D115" s="96">
        <v>0.94405756249999995</v>
      </c>
      <c r="E115" s="96">
        <v>3.5384713680068902</v>
      </c>
      <c r="F115" s="96">
        <v>6.1863634999999997</v>
      </c>
      <c r="G115" s="96">
        <v>-19.07549343027112</v>
      </c>
      <c r="H115" s="5"/>
      <c r="J115" s="1"/>
      <c r="K115" s="1"/>
      <c r="L115" s="1"/>
      <c r="V115" s="1"/>
      <c r="W115" s="1"/>
      <c r="X115" s="1"/>
      <c r="Y115" s="1"/>
      <c r="Z115" s="1"/>
      <c r="AA115" s="1"/>
      <c r="AB115" s="1"/>
    </row>
    <row r="116" spans="1:28" ht="11.25" customHeight="1" x14ac:dyDescent="0.2">
      <c r="A116" s="83">
        <v>40</v>
      </c>
      <c r="B116" s="83" t="s">
        <v>325</v>
      </c>
      <c r="C116" s="84">
        <v>6.2450000000000001</v>
      </c>
      <c r="D116" s="84">
        <v>0.17935781249999999</v>
      </c>
      <c r="E116" s="84">
        <v>-1.9065079471864976</v>
      </c>
      <c r="F116" s="84">
        <v>0.46267515625</v>
      </c>
      <c r="G116" s="84">
        <v>-22.276163744115255</v>
      </c>
      <c r="H116" s="5"/>
      <c r="J116" s="1"/>
      <c r="K116" s="1"/>
      <c r="L116" s="1"/>
      <c r="V116" s="1"/>
      <c r="W116" s="1"/>
      <c r="X116" s="1"/>
      <c r="Y116" s="1"/>
      <c r="Z116" s="1"/>
      <c r="AA116" s="1"/>
      <c r="AB116" s="1"/>
    </row>
    <row r="117" spans="1:28" ht="11.25" customHeight="1" x14ac:dyDescent="0.2">
      <c r="A117" s="95">
        <v>41</v>
      </c>
      <c r="B117" s="95" t="s">
        <v>326</v>
      </c>
      <c r="C117" s="96">
        <v>6.2009999999999996</v>
      </c>
      <c r="D117" s="96">
        <v>0.19603465624999999</v>
      </c>
      <c r="E117" s="96">
        <v>0.22601067308802847</v>
      </c>
      <c r="F117" s="96">
        <v>0.63943843749999996</v>
      </c>
      <c r="G117" s="96">
        <v>-21.386963572353238</v>
      </c>
      <c r="H117" s="5"/>
      <c r="J117" s="1"/>
      <c r="K117" s="1"/>
      <c r="L117" s="1"/>
      <c r="V117" s="1"/>
      <c r="W117" s="1"/>
      <c r="X117" s="1"/>
      <c r="Y117" s="1"/>
      <c r="Z117" s="1"/>
      <c r="AA117" s="1"/>
      <c r="AB117" s="1"/>
    </row>
    <row r="118" spans="1:28" ht="11.25" customHeight="1" x14ac:dyDescent="0.2">
      <c r="A118" s="83">
        <v>42</v>
      </c>
      <c r="B118" s="83" t="s">
        <v>327</v>
      </c>
      <c r="C118" s="84">
        <v>5.9</v>
      </c>
      <c r="D118" s="84">
        <v>0.15857231250000001</v>
      </c>
      <c r="E118" s="84">
        <v>-4.2879534630380078</v>
      </c>
      <c r="F118" s="84">
        <v>0.33823443749999998</v>
      </c>
      <c r="G118" s="84">
        <v>-22.692403266284771</v>
      </c>
      <c r="H118" s="5"/>
      <c r="J118" s="1"/>
      <c r="K118" s="1"/>
      <c r="L118" s="1"/>
      <c r="V118" s="1"/>
      <c r="W118" s="1"/>
      <c r="X118" s="1"/>
      <c r="Y118" s="1"/>
      <c r="Z118" s="1"/>
      <c r="AA118" s="1"/>
      <c r="AB118" s="1"/>
    </row>
    <row r="119" spans="1:28" ht="11.25" customHeight="1" x14ac:dyDescent="0.2">
      <c r="A119" s="95">
        <v>43</v>
      </c>
      <c r="B119" s="95" t="s">
        <v>328</v>
      </c>
      <c r="C119" s="96">
        <v>6.2690000000000001</v>
      </c>
      <c r="D119" s="96">
        <v>0.27460581249999999</v>
      </c>
      <c r="E119" s="96">
        <v>3.0381987403016453E-2</v>
      </c>
      <c r="F119" s="96">
        <v>0.91671875000000003</v>
      </c>
      <c r="G119" s="96">
        <v>-23.319501828066773</v>
      </c>
      <c r="H119" s="5"/>
      <c r="J119" s="1"/>
      <c r="K119" s="1"/>
      <c r="L119" s="1"/>
      <c r="V119" s="1"/>
      <c r="W119" s="1"/>
      <c r="X119" s="1"/>
      <c r="Y119" s="1"/>
      <c r="Z119" s="1"/>
      <c r="AA119" s="1"/>
      <c r="AB119" s="1"/>
    </row>
    <row r="120" spans="1:28" ht="11.25" customHeight="1" x14ac:dyDescent="0.2">
      <c r="A120" s="83">
        <v>44</v>
      </c>
      <c r="B120" s="83" t="s">
        <v>329</v>
      </c>
      <c r="C120" s="84">
        <v>6.1769999999999996</v>
      </c>
      <c r="D120" s="84">
        <v>0.23363365624999999</v>
      </c>
      <c r="E120" s="84">
        <v>-1.7119416873234705</v>
      </c>
      <c r="F120" s="84">
        <v>0.82787175000000002</v>
      </c>
      <c r="G120" s="84">
        <v>-21.489159210470572</v>
      </c>
      <c r="H120" s="5"/>
      <c r="J120" s="1"/>
      <c r="K120" s="1"/>
      <c r="L120" s="1"/>
      <c r="V120" s="1"/>
      <c r="W120" s="1"/>
      <c r="X120" s="1"/>
      <c r="Y120" s="1"/>
      <c r="Z120" s="1"/>
      <c r="AA120" s="1"/>
      <c r="AB120" s="1"/>
    </row>
    <row r="121" spans="1:28" ht="11.25" customHeight="1" x14ac:dyDescent="0.2">
      <c r="A121" s="95">
        <v>45</v>
      </c>
      <c r="B121" s="95" t="s">
        <v>330</v>
      </c>
      <c r="C121" s="96">
        <v>6.2649999999999997</v>
      </c>
      <c r="D121" s="96">
        <v>0.23828279687500001</v>
      </c>
      <c r="E121" s="96">
        <v>-3.4411786168642156</v>
      </c>
      <c r="F121" s="96">
        <v>0.82066587499999999</v>
      </c>
      <c r="G121" s="96">
        <v>-21.853402148797208</v>
      </c>
      <c r="H121" s="5"/>
      <c r="J121" s="1"/>
      <c r="K121" s="1"/>
      <c r="L121" s="1"/>
      <c r="V121" s="1"/>
      <c r="W121" s="1"/>
      <c r="X121" s="1"/>
      <c r="Y121" s="1"/>
      <c r="Z121" s="1"/>
      <c r="AA121" s="1"/>
      <c r="AB121" s="1"/>
    </row>
    <row r="122" spans="1:28" ht="11.25" customHeight="1" x14ac:dyDescent="0.2">
      <c r="A122" s="83">
        <v>46</v>
      </c>
      <c r="B122" s="83" t="s">
        <v>331</v>
      </c>
      <c r="C122" s="84">
        <v>6.2430000000000003</v>
      </c>
      <c r="D122" s="84">
        <v>0.31344640624999998</v>
      </c>
      <c r="E122" s="84">
        <v>-0.80601160578852582</v>
      </c>
      <c r="F122" s="84">
        <v>0.88152843749999998</v>
      </c>
      <c r="G122" s="84">
        <v>-23.172708565101722</v>
      </c>
      <c r="H122" s="5"/>
      <c r="J122" s="1"/>
      <c r="K122" s="1"/>
      <c r="L122" s="1"/>
      <c r="V122" s="1"/>
      <c r="W122" s="1"/>
      <c r="X122" s="1"/>
      <c r="Y122" s="1"/>
      <c r="Z122" s="1"/>
      <c r="AA122" s="1"/>
      <c r="AB122" s="1"/>
    </row>
    <row r="123" spans="1:28" ht="11.25" customHeight="1" x14ac:dyDescent="0.2">
      <c r="A123" s="95">
        <v>47</v>
      </c>
      <c r="B123" s="95" t="s">
        <v>332</v>
      </c>
      <c r="C123" s="96">
        <v>6.1310000000000002</v>
      </c>
      <c r="D123" s="96">
        <v>0.42520337499999999</v>
      </c>
      <c r="E123" s="96">
        <v>-1.9770591074684818</v>
      </c>
      <c r="F123" s="96">
        <v>0.75230756249999997</v>
      </c>
      <c r="G123" s="96">
        <v>-21.894359601798289</v>
      </c>
      <c r="H123" s="5"/>
      <c r="J123" s="1"/>
      <c r="K123" s="1"/>
      <c r="L123" s="1"/>
      <c r="V123" s="1"/>
      <c r="W123" s="1"/>
      <c r="X123" s="1"/>
      <c r="Y123" s="1"/>
      <c r="Z123" s="1"/>
      <c r="AA123" s="1"/>
      <c r="AB123" s="1"/>
    </row>
    <row r="124" spans="1:28" ht="11.25" customHeight="1" x14ac:dyDescent="0.2">
      <c r="A124" s="83">
        <v>48</v>
      </c>
      <c r="B124" s="83" t="s">
        <v>333</v>
      </c>
      <c r="C124" s="84">
        <v>6.3869999999999996</v>
      </c>
      <c r="D124" s="84">
        <v>0.58335881249999999</v>
      </c>
      <c r="E124" s="84">
        <v>-2.5667194635025092</v>
      </c>
      <c r="F124" s="84">
        <v>0.67822968750000001</v>
      </c>
      <c r="G124" s="84">
        <v>-21.912749026328704</v>
      </c>
      <c r="H124" s="5"/>
      <c r="J124" s="1"/>
      <c r="K124" s="1"/>
      <c r="L124" s="1"/>
      <c r="V124" s="1"/>
      <c r="W124" s="1"/>
      <c r="X124" s="1"/>
      <c r="Y124" s="1"/>
      <c r="Z124" s="1"/>
      <c r="AA124" s="1"/>
      <c r="AB124" s="1"/>
    </row>
    <row r="125" spans="1:28" ht="11.25" customHeight="1" x14ac:dyDescent="0.2">
      <c r="A125" s="95">
        <v>49</v>
      </c>
      <c r="B125" s="95" t="s">
        <v>334</v>
      </c>
      <c r="C125" s="96">
        <v>6.2939999999999996</v>
      </c>
      <c r="D125" s="96">
        <v>0.72711243749999999</v>
      </c>
      <c r="E125" s="96">
        <v>-1.6427481330864024</v>
      </c>
      <c r="F125" s="96">
        <v>0.73352249999999997</v>
      </c>
      <c r="G125" s="96">
        <v>-21.593509205348113</v>
      </c>
      <c r="H125" s="5"/>
      <c r="J125" s="1"/>
      <c r="K125" s="1"/>
      <c r="L125" s="1"/>
      <c r="V125" s="1"/>
      <c r="W125" s="1"/>
      <c r="X125" s="1"/>
      <c r="Y125" s="1"/>
      <c r="Z125" s="1"/>
      <c r="AA125" s="1"/>
      <c r="AB125" s="1"/>
    </row>
    <row r="126" spans="1:28" ht="11.25" customHeight="1" x14ac:dyDescent="0.2">
      <c r="A126" s="83">
        <v>50</v>
      </c>
      <c r="B126" s="83" t="s">
        <v>82</v>
      </c>
      <c r="C126" s="84">
        <v>1.151</v>
      </c>
      <c r="D126" s="84">
        <v>1.7715952500000001</v>
      </c>
      <c r="E126" s="84">
        <v>0.90380354592323187</v>
      </c>
      <c r="F126" s="84">
        <v>9.3544730000000005</v>
      </c>
      <c r="G126" s="84">
        <v>-21.494197853047439</v>
      </c>
      <c r="H126" s="5"/>
      <c r="J126" s="1"/>
      <c r="K126" s="1"/>
      <c r="L126" s="1"/>
      <c r="V126" s="1"/>
      <c r="W126" s="1"/>
      <c r="X126" s="1"/>
      <c r="Y126" s="1"/>
      <c r="Z126" s="1"/>
      <c r="AA126" s="1"/>
      <c r="AB126" s="1"/>
    </row>
    <row r="127" spans="1:28" ht="11.25" customHeight="1" x14ac:dyDescent="0.2">
      <c r="A127" s="95">
        <v>51</v>
      </c>
      <c r="B127" s="95" t="s">
        <v>87</v>
      </c>
      <c r="C127" s="96">
        <v>1.704</v>
      </c>
      <c r="D127" s="96">
        <v>0.84306143749999995</v>
      </c>
      <c r="E127" s="96">
        <v>-3.0871916617742912</v>
      </c>
      <c r="F127" s="96">
        <v>1.0336239375</v>
      </c>
      <c r="G127" s="96">
        <v>-14.323960039675097</v>
      </c>
      <c r="H127" s="5"/>
      <c r="J127" s="1"/>
      <c r="K127" s="1"/>
      <c r="L127" s="1"/>
      <c r="V127" s="1"/>
      <c r="W127" s="1"/>
      <c r="X127" s="1"/>
      <c r="Y127" s="1"/>
      <c r="Z127" s="1"/>
      <c r="AA127" s="1"/>
      <c r="AB127" s="1"/>
    </row>
    <row r="128" spans="1:28" ht="11.25" customHeight="1" x14ac:dyDescent="0.2">
      <c r="A128" s="83">
        <v>52</v>
      </c>
      <c r="B128" s="83" t="s">
        <v>335</v>
      </c>
      <c r="C128" s="84">
        <v>6.19</v>
      </c>
      <c r="D128" s="84">
        <v>0.7420814375</v>
      </c>
      <c r="E128" s="84">
        <v>-1.9091305983131024</v>
      </c>
      <c r="F128" s="84">
        <v>0.79164306250000005</v>
      </c>
      <c r="G128" s="84">
        <v>-21.978719251192317</v>
      </c>
      <c r="H128" s="5"/>
      <c r="J128" s="1"/>
      <c r="K128" s="1"/>
      <c r="L128" s="1"/>
      <c r="V128" s="1"/>
      <c r="W128" s="1"/>
      <c r="X128" s="1"/>
      <c r="Y128" s="1"/>
      <c r="Z128" s="1"/>
      <c r="AA128" s="1"/>
      <c r="AB128" s="1"/>
    </row>
    <row r="129" spans="1:28" ht="11.25" customHeight="1" x14ac:dyDescent="0.2">
      <c r="A129" s="95">
        <v>53</v>
      </c>
      <c r="B129" s="95" t="s">
        <v>336</v>
      </c>
      <c r="C129" s="96">
        <v>6.1989999999999998</v>
      </c>
      <c r="D129" s="96">
        <v>0.52957393750000004</v>
      </c>
      <c r="E129" s="96">
        <v>-3.1470421539357973</v>
      </c>
      <c r="F129" s="96">
        <v>0.88106593749999995</v>
      </c>
      <c r="G129" s="96">
        <v>-22.148299592471712</v>
      </c>
      <c r="H129" s="5"/>
      <c r="J129" s="1"/>
      <c r="K129" s="1"/>
      <c r="L129" s="1"/>
      <c r="V129" s="1"/>
      <c r="W129" s="1"/>
      <c r="X129" s="1"/>
      <c r="Y129" s="1"/>
      <c r="Z129" s="1"/>
      <c r="AA129" s="1"/>
      <c r="AB129" s="1"/>
    </row>
    <row r="130" spans="1:28" ht="11.25" customHeight="1" x14ac:dyDescent="0.2">
      <c r="A130" s="83">
        <v>54</v>
      </c>
      <c r="B130" s="83" t="s">
        <v>337</v>
      </c>
      <c r="C130" s="84">
        <v>6.0730000000000004</v>
      </c>
      <c r="D130" s="84">
        <v>0.27250706250000001</v>
      </c>
      <c r="E130" s="84">
        <v>-6.5075639027516452</v>
      </c>
      <c r="F130" s="84">
        <v>0.46988131249999998</v>
      </c>
      <c r="G130" s="84">
        <v>-21.915480555182377</v>
      </c>
      <c r="H130" s="5"/>
      <c r="J130" s="1"/>
      <c r="K130" s="1"/>
      <c r="L130" s="1"/>
      <c r="V130" s="1"/>
      <c r="W130" s="1"/>
      <c r="X130" s="1"/>
      <c r="Y130" s="1"/>
      <c r="Z130" s="1"/>
      <c r="AA130" s="1"/>
      <c r="AB130" s="1"/>
    </row>
    <row r="131" spans="1:28" ht="11.25" customHeight="1" x14ac:dyDescent="0.2">
      <c r="A131" s="95">
        <v>55</v>
      </c>
      <c r="B131" s="95" t="s">
        <v>338</v>
      </c>
      <c r="C131" s="96">
        <v>6.3019999999999996</v>
      </c>
      <c r="D131" s="96">
        <v>0.241981453125</v>
      </c>
      <c r="E131" s="96">
        <v>-5.2916349892053738</v>
      </c>
      <c r="F131" s="96">
        <v>0.66296412500000002</v>
      </c>
      <c r="G131" s="96">
        <v>-21.600427942422296</v>
      </c>
      <c r="H131" s="5"/>
      <c r="J131" s="1"/>
      <c r="K131" s="1"/>
      <c r="L131" s="1"/>
      <c r="V131" s="1"/>
      <c r="W131" s="1"/>
      <c r="X131" s="1"/>
      <c r="Y131" s="1"/>
      <c r="Z131" s="1"/>
      <c r="AA131" s="1"/>
      <c r="AB131" s="1"/>
    </row>
    <row r="132" spans="1:28" ht="11.25" customHeight="1" x14ac:dyDescent="0.2">
      <c r="A132" s="83">
        <v>56</v>
      </c>
      <c r="B132" s="83" t="s">
        <v>339</v>
      </c>
      <c r="C132" s="84">
        <v>5.9329999999999998</v>
      </c>
      <c r="D132" s="84">
        <v>0.30855809374999998</v>
      </c>
      <c r="E132" s="84">
        <v>-2.4761721275744497</v>
      </c>
      <c r="F132" s="84">
        <v>0.87203206249999998</v>
      </c>
      <c r="G132" s="84">
        <v>-21.598403571690788</v>
      </c>
      <c r="H132" s="5"/>
      <c r="J132" s="1"/>
      <c r="K132" s="1"/>
      <c r="L132" s="1"/>
      <c r="V132" s="1"/>
      <c r="W132" s="1"/>
      <c r="X132" s="1"/>
      <c r="Y132" s="1"/>
      <c r="Z132" s="1"/>
      <c r="AA132" s="1"/>
      <c r="AB132" s="1"/>
    </row>
    <row r="133" spans="1:28" ht="11.25" customHeight="1" x14ac:dyDescent="0.2">
      <c r="A133" s="95">
        <v>57</v>
      </c>
      <c r="B133" s="95" t="s">
        <v>340</v>
      </c>
      <c r="C133" s="96">
        <v>5.0170000000000003</v>
      </c>
      <c r="D133" s="96">
        <v>0.24088237500000001</v>
      </c>
      <c r="E133" s="96">
        <v>-3.8528464792741968</v>
      </c>
      <c r="F133" s="96">
        <v>0.30660225000000002</v>
      </c>
      <c r="G133" s="96">
        <v>-22.875005901292425</v>
      </c>
      <c r="H133" s="5"/>
      <c r="J133" s="1"/>
      <c r="K133" s="1"/>
      <c r="L133" s="1"/>
      <c r="V133" s="1"/>
      <c r="W133" s="1"/>
      <c r="X133" s="1"/>
      <c r="Y133" s="1"/>
      <c r="Z133" s="1"/>
      <c r="AA133" s="1"/>
      <c r="AB133" s="1"/>
    </row>
    <row r="134" spans="1:28" ht="11.25" customHeight="1" x14ac:dyDescent="0.2">
      <c r="A134" s="83">
        <v>58</v>
      </c>
      <c r="B134" s="83" t="s">
        <v>341</v>
      </c>
      <c r="C134" s="84">
        <v>5.9740000000000002</v>
      </c>
      <c r="D134" s="84">
        <v>0.29408237500000001</v>
      </c>
      <c r="E134" s="84">
        <v>-1.149325923275879</v>
      </c>
      <c r="F134" s="84">
        <v>0.659759125</v>
      </c>
      <c r="G134" s="84">
        <v>-21.634827846057224</v>
      </c>
      <c r="H134" s="5"/>
      <c r="J134" s="1"/>
      <c r="K134" s="1"/>
      <c r="L134" s="1"/>
      <c r="V134" s="1"/>
      <c r="W134" s="1"/>
      <c r="X134" s="1"/>
      <c r="Y134" s="1"/>
      <c r="Z134" s="1"/>
      <c r="AA134" s="1"/>
      <c r="AB134" s="1"/>
    </row>
    <row r="135" spans="1:28" ht="11.25" customHeight="1" x14ac:dyDescent="0.2">
      <c r="A135" s="95">
        <v>59</v>
      </c>
      <c r="B135" s="95" t="s">
        <v>342</v>
      </c>
      <c r="C135" s="96">
        <v>6.47</v>
      </c>
      <c r="D135" s="96">
        <v>0.43100925000000001</v>
      </c>
      <c r="E135" s="96">
        <v>2.9293964534420347</v>
      </c>
      <c r="F135" s="96">
        <v>1.5888752500000001</v>
      </c>
      <c r="G135" s="96">
        <v>-21.880135595992016</v>
      </c>
      <c r="H135" s="5"/>
      <c r="J135" s="1"/>
      <c r="K135" s="1"/>
      <c r="L135" s="1"/>
      <c r="V135" s="1"/>
      <c r="W135" s="1"/>
      <c r="X135" s="1"/>
      <c r="Y135" s="1"/>
      <c r="Z135" s="1"/>
      <c r="AA135" s="1"/>
      <c r="AB135" s="1"/>
    </row>
    <row r="136" spans="1:28" ht="11.25" customHeight="1" x14ac:dyDescent="0.2">
      <c r="A136" s="83">
        <v>60</v>
      </c>
      <c r="B136" s="83" t="s">
        <v>343</v>
      </c>
      <c r="C136" s="84">
        <v>6.181</v>
      </c>
      <c r="D136" s="84">
        <v>0.26603512499999998</v>
      </c>
      <c r="E136" s="84">
        <v>-1.2579259781061447</v>
      </c>
      <c r="F136" s="84">
        <v>0.53504450000000003</v>
      </c>
      <c r="G136" s="84">
        <v>-21.618381073110502</v>
      </c>
      <c r="H136" s="5"/>
      <c r="J136" s="1"/>
      <c r="K136" s="1"/>
      <c r="L136" s="1"/>
      <c r="V136" s="1"/>
      <c r="W136" s="1"/>
      <c r="X136" s="1"/>
      <c r="Y136" s="1"/>
      <c r="Z136" s="1"/>
      <c r="AA136" s="1"/>
      <c r="AB136" s="1"/>
    </row>
    <row r="137" spans="1:28" ht="11.25" customHeight="1" x14ac:dyDescent="0.2">
      <c r="A137" s="95">
        <v>61</v>
      </c>
      <c r="B137" s="95" t="s">
        <v>344</v>
      </c>
      <c r="C137" s="96">
        <v>5.976</v>
      </c>
      <c r="D137" s="96">
        <v>0.27009878124999998</v>
      </c>
      <c r="E137" s="96">
        <v>-3.3727516536301572</v>
      </c>
      <c r="F137" s="96">
        <v>0.5638061875</v>
      </c>
      <c r="G137" s="96">
        <v>-21.614036573907171</v>
      </c>
      <c r="H137" s="5"/>
      <c r="J137" s="1"/>
      <c r="K137" s="1"/>
      <c r="L137" s="1"/>
      <c r="V137" s="1"/>
      <c r="W137" s="1"/>
      <c r="X137" s="1"/>
      <c r="Y137" s="1"/>
      <c r="Z137" s="1"/>
      <c r="AA137" s="1"/>
      <c r="AB137" s="1"/>
    </row>
    <row r="138" spans="1:28" ht="11.25" customHeight="1" x14ac:dyDescent="0.2">
      <c r="A138" s="83">
        <v>62</v>
      </c>
      <c r="B138" s="83" t="s">
        <v>345</v>
      </c>
      <c r="C138" s="84">
        <v>6.0730000000000004</v>
      </c>
      <c r="D138" s="84">
        <v>0.30105646874999997</v>
      </c>
      <c r="E138" s="84">
        <v>-0.71044358364547033</v>
      </c>
      <c r="F138" s="84">
        <v>0.78759625</v>
      </c>
      <c r="G138" s="84">
        <v>-21.459434916120646</v>
      </c>
      <c r="H138" s="5"/>
      <c r="J138" s="1"/>
      <c r="K138" s="1"/>
      <c r="L138" s="1"/>
      <c r="V138" s="1"/>
      <c r="W138" s="1"/>
      <c r="X138" s="1"/>
      <c r="Y138" s="1"/>
      <c r="Z138" s="1"/>
      <c r="AA138" s="1"/>
      <c r="AB138" s="1"/>
    </row>
    <row r="139" spans="1:28" ht="11.25" customHeight="1" x14ac:dyDescent="0.2">
      <c r="A139" s="95">
        <v>63</v>
      </c>
      <c r="B139" s="95" t="s">
        <v>61</v>
      </c>
      <c r="C139" s="96">
        <v>1.0569999999999999</v>
      </c>
      <c r="D139" s="96">
        <v>1.3325251250000001</v>
      </c>
      <c r="E139" s="96">
        <v>3.5042560092708452</v>
      </c>
      <c r="F139" s="96">
        <v>8.603453</v>
      </c>
      <c r="G139" s="96">
        <v>-21.423495853396851</v>
      </c>
      <c r="H139" s="5"/>
      <c r="J139" s="1"/>
      <c r="K139" s="1"/>
      <c r="L139" s="1"/>
      <c r="V139" s="1"/>
      <c r="W139" s="1"/>
      <c r="X139" s="1"/>
      <c r="Y139" s="1"/>
      <c r="Z139" s="1"/>
      <c r="AA139" s="1"/>
      <c r="AB139" s="1"/>
    </row>
    <row r="140" spans="1:28" ht="11.25" customHeight="1" x14ac:dyDescent="0.2">
      <c r="A140" s="83">
        <v>64</v>
      </c>
      <c r="B140" s="83" t="s">
        <v>98</v>
      </c>
      <c r="C140" s="84">
        <v>2.5590000000000002</v>
      </c>
      <c r="D140" s="84">
        <v>0.36897600000000003</v>
      </c>
      <c r="E140" s="84">
        <v>0.58849742659949911</v>
      </c>
      <c r="F140" s="84">
        <v>1.625448875</v>
      </c>
      <c r="G140" s="84">
        <v>-14.719250653999934</v>
      </c>
      <c r="H140" s="5"/>
      <c r="J140" s="1"/>
      <c r="K140" s="1"/>
      <c r="L140" s="1"/>
      <c r="V140" s="1"/>
      <c r="W140" s="1"/>
      <c r="X140" s="1"/>
      <c r="Y140" s="1"/>
      <c r="Z140" s="1"/>
      <c r="AA140" s="1"/>
      <c r="AB140" s="1"/>
    </row>
    <row r="141" spans="1:28" ht="11.25" customHeight="1" x14ac:dyDescent="0.2">
      <c r="A141" s="95">
        <v>65</v>
      </c>
      <c r="B141" s="95" t="s">
        <v>346</v>
      </c>
      <c r="C141" s="96">
        <v>6.3010000000000002</v>
      </c>
      <c r="D141" s="96">
        <v>0.301332875</v>
      </c>
      <c r="E141" s="96">
        <v>-0.92869260054406766</v>
      </c>
      <c r="F141" s="96">
        <v>0.74885475000000001</v>
      </c>
      <c r="G141" s="96">
        <v>-21.443296592954496</v>
      </c>
      <c r="H141" s="5"/>
      <c r="J141" s="1"/>
      <c r="K141" s="1"/>
      <c r="L141" s="1"/>
      <c r="V141" s="1"/>
      <c r="W141" s="1"/>
      <c r="X141" s="1"/>
      <c r="Y141" s="1"/>
      <c r="Z141" s="1"/>
      <c r="AA141" s="1"/>
      <c r="AB141" s="1"/>
    </row>
    <row r="142" spans="1:28" ht="11.25" customHeight="1" x14ac:dyDescent="0.2">
      <c r="A142" s="83">
        <v>66</v>
      </c>
      <c r="B142" s="83" t="s">
        <v>347</v>
      </c>
      <c r="C142" s="84">
        <v>6.1349999999999998</v>
      </c>
      <c r="D142" s="84">
        <v>0.29317093750000001</v>
      </c>
      <c r="E142" s="84">
        <v>-2.6450081913712564</v>
      </c>
      <c r="F142" s="84">
        <v>0.63354537499999997</v>
      </c>
      <c r="G142" s="84">
        <v>-25.20304108878749</v>
      </c>
      <c r="H142" s="5"/>
      <c r="J142" s="1"/>
      <c r="K142" s="1"/>
      <c r="L142" s="1"/>
      <c r="V142" s="1"/>
      <c r="W142" s="1"/>
      <c r="X142" s="1"/>
      <c r="Y142" s="1"/>
      <c r="Z142" s="1"/>
      <c r="AA142" s="1"/>
      <c r="AB142" s="1"/>
    </row>
    <row r="143" spans="1:28" ht="11.25" customHeight="1" x14ac:dyDescent="0.2">
      <c r="A143" s="95">
        <v>67</v>
      </c>
      <c r="B143" s="95" t="s">
        <v>348</v>
      </c>
      <c r="C143" s="96">
        <v>6.0919999999999996</v>
      </c>
      <c r="D143" s="96">
        <v>0.24660226562500001</v>
      </c>
      <c r="E143" s="96">
        <v>-3.8677981562418307</v>
      </c>
      <c r="F143" s="96">
        <v>0.31318784374999997</v>
      </c>
      <c r="G143" s="96">
        <v>-23.617345732413561</v>
      </c>
      <c r="H143" s="5"/>
      <c r="J143" s="1"/>
      <c r="K143" s="1"/>
      <c r="L143" s="1"/>
      <c r="V143" s="1"/>
      <c r="W143" s="1"/>
      <c r="X143" s="1"/>
      <c r="Y143" s="1"/>
      <c r="Z143" s="1"/>
      <c r="AA143" s="1"/>
      <c r="AB143" s="1"/>
    </row>
    <row r="144" spans="1:28" ht="11.25" customHeight="1" x14ac:dyDescent="0.2">
      <c r="A144" s="83">
        <v>68</v>
      </c>
      <c r="B144" s="83" t="s">
        <v>349</v>
      </c>
      <c r="C144" s="84">
        <v>6.0279999999999996</v>
      </c>
      <c r="D144" s="84">
        <v>0.22752862500000001</v>
      </c>
      <c r="E144" s="84">
        <v>-3.0994691836837562</v>
      </c>
      <c r="F144" s="84">
        <v>0.151274625</v>
      </c>
      <c r="G144" s="84">
        <v>-23.85778693117712</v>
      </c>
      <c r="H144" s="5"/>
      <c r="J144" s="1"/>
      <c r="K144" s="1"/>
      <c r="L144" s="1"/>
      <c r="V144" s="1"/>
      <c r="W144" s="1"/>
      <c r="X144" s="1"/>
      <c r="Y144" s="1"/>
      <c r="Z144" s="1"/>
      <c r="AA144" s="1"/>
      <c r="AB144" s="1"/>
    </row>
    <row r="145" spans="1:28" ht="11.25" customHeight="1" x14ac:dyDescent="0.2">
      <c r="A145" s="95">
        <v>69</v>
      </c>
      <c r="B145" s="95" t="s">
        <v>350</v>
      </c>
      <c r="C145" s="96">
        <v>6.109</v>
      </c>
      <c r="D145" s="96">
        <v>0.23023739062500001</v>
      </c>
      <c r="E145" s="96">
        <v>-3.6922824829915823</v>
      </c>
      <c r="F145" s="96">
        <v>0.1748839375</v>
      </c>
      <c r="G145" s="96">
        <v>-21.001490047769227</v>
      </c>
      <c r="H145" s="5"/>
      <c r="J145" s="1"/>
      <c r="K145" s="1"/>
      <c r="L145" s="1"/>
      <c r="V145" s="1"/>
      <c r="W145" s="1"/>
      <c r="X145" s="1"/>
      <c r="Y145" s="1"/>
      <c r="Z145" s="1"/>
      <c r="AA145" s="1"/>
      <c r="AB145" s="1"/>
    </row>
    <row r="146" spans="1:28" ht="11.25" customHeight="1" x14ac:dyDescent="0.2">
      <c r="A146" s="83">
        <v>70</v>
      </c>
      <c r="B146" s="83" t="s">
        <v>351</v>
      </c>
      <c r="C146" s="84">
        <v>5.9420000000000002</v>
      </c>
      <c r="D146" s="84">
        <v>0.22603982812500001</v>
      </c>
      <c r="E146" s="84">
        <v>-5.2339824436349325</v>
      </c>
      <c r="F146" s="84">
        <v>0.10546434374999999</v>
      </c>
      <c r="G146" s="84">
        <v>-21.04453778776849</v>
      </c>
      <c r="H146" s="5"/>
      <c r="J146" s="1"/>
      <c r="K146" s="1"/>
      <c r="L146" s="1"/>
      <c r="V146" s="1"/>
      <c r="W146" s="1"/>
      <c r="X146" s="1"/>
      <c r="Y146" s="1"/>
      <c r="Z146" s="1"/>
      <c r="AA146" s="1"/>
      <c r="AB146" s="1"/>
    </row>
    <row r="147" spans="1:28" ht="11.25" customHeight="1" x14ac:dyDescent="0.2">
      <c r="A147" s="95">
        <v>71</v>
      </c>
      <c r="B147" s="95" t="s">
        <v>352</v>
      </c>
      <c r="C147" s="96">
        <v>6.0529999999999999</v>
      </c>
      <c r="D147" s="96">
        <v>0.23431553124999999</v>
      </c>
      <c r="E147" s="96">
        <v>-4.9324693258047114</v>
      </c>
      <c r="F147" s="96">
        <v>0.12506753125</v>
      </c>
      <c r="G147" s="96">
        <v>-21.698390286553025</v>
      </c>
      <c r="H147" s="5"/>
      <c r="J147" s="1"/>
      <c r="K147" s="1"/>
      <c r="L147" s="1"/>
      <c r="V147" s="1"/>
      <c r="W147" s="1"/>
      <c r="X147" s="1"/>
      <c r="Y147" s="1"/>
      <c r="Z147" s="1"/>
      <c r="AA147" s="1"/>
      <c r="AB147" s="1"/>
    </row>
    <row r="148" spans="1:28" ht="11.25" customHeight="1" x14ac:dyDescent="0.2">
      <c r="A148" s="83">
        <v>72</v>
      </c>
      <c r="B148" s="83" t="s">
        <v>62</v>
      </c>
      <c r="C148" s="84">
        <v>0.84499999999999997</v>
      </c>
      <c r="D148" s="84">
        <v>0.23620204687499999</v>
      </c>
      <c r="E148" s="84">
        <v>1.7655217315768468</v>
      </c>
      <c r="F148" s="84">
        <v>6.2724834999999999</v>
      </c>
      <c r="G148" s="84">
        <v>-19.824121607969158</v>
      </c>
      <c r="H148" s="5"/>
      <c r="J148" s="1"/>
      <c r="K148" s="1"/>
      <c r="L148" s="1"/>
      <c r="V148" s="1"/>
      <c r="W148" s="1"/>
      <c r="X148" s="1"/>
      <c r="Y148" s="1"/>
      <c r="Z148" s="1"/>
      <c r="AA148" s="1"/>
      <c r="AB148" s="1"/>
    </row>
    <row r="149" spans="1:28" ht="11.25" customHeight="1" x14ac:dyDescent="0.2">
      <c r="A149" s="95">
        <v>73</v>
      </c>
      <c r="B149" s="95" t="s">
        <v>63</v>
      </c>
      <c r="C149" s="96">
        <v>0.94699999999999995</v>
      </c>
      <c r="D149" s="96">
        <v>0.239120078125</v>
      </c>
      <c r="E149" s="96">
        <v>-4.2475454407201463</v>
      </c>
      <c r="F149" s="96">
        <v>6.9968244999999998</v>
      </c>
      <c r="G149" s="96">
        <v>-5.9385025264947853</v>
      </c>
      <c r="H149" s="5"/>
      <c r="J149" s="1"/>
      <c r="K149" s="1"/>
      <c r="L149" s="1"/>
      <c r="V149" s="1"/>
      <c r="W149" s="1"/>
      <c r="X149" s="1"/>
      <c r="Y149" s="1"/>
      <c r="Z149" s="1"/>
      <c r="AA149" s="1"/>
      <c r="AB149" s="1"/>
    </row>
    <row r="150" spans="1:28" ht="11.25" customHeight="1" x14ac:dyDescent="0.2">
      <c r="A150" s="83">
        <v>74</v>
      </c>
      <c r="B150" s="83" t="s">
        <v>70</v>
      </c>
      <c r="C150" s="84">
        <v>1.214</v>
      </c>
      <c r="D150" s="84">
        <v>0.23086693750000001</v>
      </c>
      <c r="E150" s="84">
        <v>-4.6240329448101747</v>
      </c>
      <c r="F150" s="84">
        <v>4.1509435000000003</v>
      </c>
      <c r="G150" s="84">
        <v>-13.511072917981419</v>
      </c>
      <c r="H150" s="5"/>
      <c r="J150" s="1"/>
      <c r="K150" s="1"/>
      <c r="L150" s="1"/>
      <c r="V150" s="1"/>
      <c r="W150" s="1"/>
      <c r="X150" s="1"/>
      <c r="Y150" s="1"/>
      <c r="Z150" s="1"/>
      <c r="AA150" s="1"/>
      <c r="AB150" s="1"/>
    </row>
    <row r="151" spans="1:28" ht="11.25" customHeight="1" x14ac:dyDescent="0.2">
      <c r="A151" s="95">
        <v>75</v>
      </c>
      <c r="B151" s="95" t="s">
        <v>64</v>
      </c>
      <c r="C151" s="96">
        <v>0.55600000000000005</v>
      </c>
      <c r="D151" s="96">
        <v>4.7571709999999996</v>
      </c>
      <c r="E151" s="96">
        <v>1.9453940882310228</v>
      </c>
      <c r="F151" s="96">
        <v>1.03015673828125E-2</v>
      </c>
      <c r="G151" s="96">
        <v>-14.225359718372937</v>
      </c>
      <c r="H151" s="5"/>
      <c r="J151" s="1"/>
      <c r="K151" s="1"/>
      <c r="L151" s="1"/>
      <c r="V151" s="1"/>
      <c r="W151" s="1"/>
      <c r="X151" s="1"/>
      <c r="Y151" s="1"/>
      <c r="Z151" s="1"/>
      <c r="AA151" s="1"/>
      <c r="AB151" s="1"/>
    </row>
    <row r="152" spans="1:28" ht="11.25" customHeight="1" x14ac:dyDescent="0.2">
      <c r="A152" s="83">
        <v>76</v>
      </c>
      <c r="B152" s="83" t="s">
        <v>69</v>
      </c>
      <c r="C152" s="84">
        <v>0.44800000000000001</v>
      </c>
      <c r="D152" s="84">
        <v>3.896779</v>
      </c>
      <c r="E152" s="84">
        <v>20.567960203944136</v>
      </c>
      <c r="F152" s="84">
        <v>9.7321162109375008E-3</v>
      </c>
      <c r="G152" s="84">
        <v>-16.733876256840848</v>
      </c>
      <c r="H152" s="5"/>
      <c r="J152" s="1"/>
      <c r="K152" s="1"/>
      <c r="L152" s="1"/>
      <c r="V152" s="1"/>
      <c r="W152" s="1"/>
      <c r="X152" s="1"/>
      <c r="Y152" s="1"/>
      <c r="Z152" s="1"/>
      <c r="AA152" s="1"/>
      <c r="AB152" s="1"/>
    </row>
    <row r="153" spans="1:28" ht="11.25" customHeight="1" x14ac:dyDescent="0.2">
      <c r="A153" s="95">
        <v>77</v>
      </c>
      <c r="B153" s="95" t="s">
        <v>84</v>
      </c>
      <c r="C153" s="96">
        <v>0.89700000000000002</v>
      </c>
      <c r="D153" s="96">
        <v>1.104357</v>
      </c>
      <c r="E153" s="96">
        <v>3.8444914880479963</v>
      </c>
      <c r="F153" s="96">
        <v>7.3059669999999999</v>
      </c>
      <c r="G153" s="96">
        <v>-21.388353895530049</v>
      </c>
      <c r="H153" s="5"/>
      <c r="J153" s="1"/>
      <c r="K153" s="1"/>
      <c r="L153" s="1"/>
      <c r="V153" s="1"/>
      <c r="W153" s="1"/>
      <c r="X153" s="1"/>
      <c r="Y153" s="1"/>
      <c r="Z153" s="1"/>
      <c r="AA153" s="1"/>
      <c r="AB153" s="1"/>
    </row>
    <row r="154" spans="1:28" ht="11.25" customHeight="1" x14ac:dyDescent="0.2">
      <c r="A154" s="110">
        <v>78</v>
      </c>
      <c r="B154" s="110" t="s">
        <v>109</v>
      </c>
      <c r="C154" s="84">
        <v>2.4390000000000001</v>
      </c>
      <c r="D154" s="84">
        <v>0.34281015625</v>
      </c>
      <c r="E154" s="84">
        <v>-0.26277341905078799</v>
      </c>
      <c r="F154" s="85">
        <v>1.4348696249999999</v>
      </c>
      <c r="G154" s="85">
        <v>-14.468609976557994</v>
      </c>
      <c r="H154" s="5"/>
      <c r="J154" s="1"/>
      <c r="K154" s="1"/>
      <c r="L154" s="1"/>
      <c r="V154" s="1"/>
      <c r="W154" s="1"/>
      <c r="X154" s="1"/>
      <c r="Y154" s="1"/>
      <c r="Z154" s="1"/>
      <c r="AA154" s="1"/>
      <c r="AB154" s="1"/>
    </row>
    <row r="155" spans="1:28" ht="11.25" customHeight="1" x14ac:dyDescent="0.25">
      <c r="A155" s="114">
        <v>79</v>
      </c>
      <c r="B155" s="114" t="s">
        <v>86</v>
      </c>
      <c r="C155" s="108">
        <v>0</v>
      </c>
      <c r="D155" s="108">
        <v>0.21623217187499999</v>
      </c>
      <c r="E155" s="108">
        <v>-4.5624869300641135</v>
      </c>
      <c r="H155" s="5"/>
      <c r="J155" s="1"/>
      <c r="K155" s="1"/>
      <c r="L155"/>
      <c r="M155"/>
      <c r="N155"/>
      <c r="O155"/>
      <c r="P155"/>
      <c r="Q155"/>
      <c r="R155"/>
      <c r="V155" s="1"/>
      <c r="W155" s="1"/>
      <c r="X155" s="1"/>
      <c r="Y155" s="1"/>
      <c r="Z155" s="1"/>
      <c r="AA155" s="1"/>
      <c r="AB155" s="1"/>
    </row>
    <row r="156" spans="1:28" ht="11.25" customHeight="1" x14ac:dyDescent="0.25">
      <c r="J156" s="1"/>
      <c r="K156" s="1"/>
      <c r="L156" s="1"/>
      <c r="O156"/>
      <c r="P156"/>
      <c r="Q156"/>
      <c r="R156"/>
      <c r="S156"/>
      <c r="T156"/>
      <c r="U156"/>
      <c r="V156" s="1"/>
      <c r="W156" s="1"/>
      <c r="X156" s="1"/>
      <c r="Y156" s="1"/>
      <c r="Z156" s="1"/>
      <c r="AA156" s="1"/>
      <c r="AB156" s="1"/>
    </row>
    <row r="157" spans="1:28" ht="11.25" customHeight="1" x14ac:dyDescent="0.25">
      <c r="J157" s="1"/>
      <c r="K157" s="1"/>
      <c r="L157" s="1"/>
      <c r="P157"/>
      <c r="Q157"/>
      <c r="R157"/>
      <c r="S157"/>
      <c r="T157"/>
      <c r="U157"/>
      <c r="W157" s="1"/>
      <c r="X157" s="1"/>
      <c r="Y157" s="1"/>
      <c r="Z157" s="1"/>
      <c r="AA157" s="1"/>
      <c r="AB157" s="1"/>
    </row>
    <row r="158" spans="1:28" ht="11.25" customHeight="1" x14ac:dyDescent="0.25">
      <c r="J158" s="1"/>
      <c r="K158" s="1"/>
      <c r="L158" s="1"/>
      <c r="P158"/>
      <c r="Q158"/>
      <c r="R158"/>
      <c r="S158"/>
      <c r="T158"/>
      <c r="U158"/>
      <c r="W158" s="1"/>
      <c r="X158" s="1"/>
      <c r="Y158" s="1"/>
      <c r="Z158" s="1"/>
      <c r="AA158" s="1"/>
      <c r="AB158" s="1"/>
    </row>
    <row r="159" spans="1:28" ht="11.25" customHeight="1" x14ac:dyDescent="0.25">
      <c r="J159" s="1"/>
      <c r="K159" s="1"/>
      <c r="L159" s="1"/>
      <c r="P159"/>
      <c r="Q159"/>
      <c r="R159"/>
      <c r="S159"/>
      <c r="T159"/>
      <c r="U159"/>
      <c r="W159" s="1"/>
      <c r="X159" s="1"/>
      <c r="Y159" s="1"/>
      <c r="Z159" s="1"/>
      <c r="AA159" s="1"/>
      <c r="AB159" s="1"/>
    </row>
    <row r="160" spans="1:28" ht="11.25" customHeight="1" x14ac:dyDescent="0.25">
      <c r="J160" s="1"/>
      <c r="K160" s="1"/>
      <c r="L160" s="1"/>
      <c r="P160"/>
      <c r="Q160"/>
      <c r="R160"/>
      <c r="S160"/>
      <c r="T160"/>
      <c r="U160"/>
      <c r="W160" s="1"/>
      <c r="X160" s="1"/>
      <c r="Y160" s="1"/>
      <c r="Z160" s="1"/>
      <c r="AA160" s="1"/>
      <c r="AB160" s="1"/>
    </row>
    <row r="161" spans="16:22" s="1" customFormat="1" ht="11.25" customHeight="1" x14ac:dyDescent="0.25">
      <c r="P161"/>
      <c r="Q161"/>
      <c r="R161"/>
      <c r="S161"/>
      <c r="T161"/>
      <c r="U161"/>
      <c r="V161"/>
    </row>
    <row r="162" spans="16:22" s="1" customFormat="1" ht="11.25" customHeight="1" x14ac:dyDescent="0.25">
      <c r="P162"/>
      <c r="Q162"/>
      <c r="R162"/>
      <c r="S162"/>
      <c r="T162"/>
      <c r="U162"/>
      <c r="V162"/>
    </row>
    <row r="163" spans="16:22" s="1" customFormat="1" ht="11.25" customHeight="1" x14ac:dyDescent="0.25">
      <c r="P163"/>
      <c r="Q163"/>
      <c r="R163"/>
      <c r="S163"/>
      <c r="T163"/>
      <c r="U163"/>
      <c r="V163"/>
    </row>
    <row r="164" spans="16:22" s="1" customFormat="1" ht="11.25" customHeight="1" x14ac:dyDescent="0.25">
      <c r="P164"/>
      <c r="Q164"/>
      <c r="R164"/>
      <c r="S164"/>
      <c r="T164"/>
      <c r="U164"/>
      <c r="V164"/>
    </row>
    <row r="165" spans="16:22" s="1" customFormat="1" ht="11.25" customHeight="1" x14ac:dyDescent="0.25">
      <c r="P165"/>
      <c r="Q165"/>
      <c r="R165"/>
      <c r="S165"/>
      <c r="T165"/>
      <c r="U165"/>
      <c r="V165"/>
    </row>
    <row r="166" spans="16:22" s="1" customFormat="1" ht="11.25" customHeight="1" x14ac:dyDescent="0.25">
      <c r="P166"/>
      <c r="Q166"/>
      <c r="R166"/>
      <c r="S166"/>
      <c r="T166"/>
      <c r="U166"/>
      <c r="V166"/>
    </row>
    <row r="167" spans="16:22" s="1" customFormat="1" ht="11.25" customHeight="1" x14ac:dyDescent="0.25">
      <c r="P167"/>
      <c r="Q167"/>
      <c r="R167"/>
      <c r="S167"/>
      <c r="T167"/>
      <c r="U167"/>
      <c r="V167"/>
    </row>
    <row r="168" spans="16:22" s="1" customFormat="1" ht="11.25" customHeight="1" x14ac:dyDescent="0.25">
      <c r="P168"/>
      <c r="Q168"/>
      <c r="R168"/>
      <c r="S168"/>
      <c r="T168"/>
      <c r="U168"/>
      <c r="V168"/>
    </row>
    <row r="169" spans="16:22" s="1" customFormat="1" ht="11.25" customHeight="1" x14ac:dyDescent="0.25">
      <c r="P169"/>
      <c r="Q169"/>
      <c r="R169"/>
      <c r="S169"/>
      <c r="T169"/>
      <c r="U169"/>
      <c r="V169"/>
    </row>
    <row r="170" spans="16:22" s="1" customFormat="1" ht="11.25" customHeight="1" x14ac:dyDescent="0.25">
      <c r="P170"/>
      <c r="Q170"/>
      <c r="R170"/>
      <c r="S170"/>
      <c r="T170"/>
      <c r="U170"/>
      <c r="V170"/>
    </row>
    <row r="171" spans="16:22" s="1" customFormat="1" ht="11.25" customHeight="1" x14ac:dyDescent="0.25">
      <c r="P171"/>
      <c r="Q171"/>
      <c r="R171"/>
      <c r="S171"/>
      <c r="T171"/>
      <c r="U171"/>
      <c r="V171"/>
    </row>
    <row r="172" spans="16:22" s="1" customFormat="1" ht="11.25" customHeight="1" x14ac:dyDescent="0.25">
      <c r="P172"/>
      <c r="Q172"/>
      <c r="R172"/>
      <c r="S172"/>
      <c r="T172"/>
      <c r="U172"/>
      <c r="V172"/>
    </row>
    <row r="173" spans="16:22" s="1" customFormat="1" ht="11.25" customHeight="1" x14ac:dyDescent="0.25">
      <c r="P173"/>
      <c r="Q173"/>
      <c r="R173"/>
      <c r="S173"/>
      <c r="T173"/>
      <c r="U173"/>
      <c r="V173"/>
    </row>
    <row r="174" spans="16:22" s="1" customFormat="1" ht="11.25" customHeight="1" x14ac:dyDescent="0.25">
      <c r="P174"/>
      <c r="Q174"/>
      <c r="R174"/>
      <c r="S174"/>
      <c r="T174"/>
      <c r="U174"/>
      <c r="V174"/>
    </row>
    <row r="175" spans="16:22" s="1" customFormat="1" ht="11.25" customHeight="1" x14ac:dyDescent="0.25">
      <c r="P175"/>
      <c r="Q175"/>
      <c r="R175"/>
      <c r="S175"/>
      <c r="T175"/>
      <c r="U175"/>
      <c r="V175"/>
    </row>
    <row r="176" spans="16:22" s="1" customFormat="1" ht="11.25" customHeight="1" x14ac:dyDescent="0.25">
      <c r="P176"/>
      <c r="Q176"/>
      <c r="R176"/>
      <c r="S176"/>
      <c r="T176"/>
      <c r="U176"/>
      <c r="V176"/>
    </row>
    <row r="177" spans="16:22" s="1" customFormat="1" ht="11.25" customHeight="1" x14ac:dyDescent="0.25">
      <c r="P177"/>
      <c r="Q177"/>
      <c r="R177"/>
      <c r="S177"/>
      <c r="T177"/>
      <c r="U177"/>
      <c r="V177"/>
    </row>
    <row r="178" spans="16:22" s="1" customFormat="1" ht="11.25" customHeight="1" x14ac:dyDescent="0.25">
      <c r="P178"/>
      <c r="Q178"/>
      <c r="R178"/>
      <c r="S178"/>
      <c r="T178"/>
      <c r="U178"/>
      <c r="V178"/>
    </row>
    <row r="179" spans="16:22" s="1" customFormat="1" ht="11.25" customHeight="1" x14ac:dyDescent="0.25">
      <c r="P179"/>
      <c r="Q179"/>
      <c r="R179"/>
      <c r="S179"/>
      <c r="T179"/>
      <c r="U179"/>
      <c r="V179"/>
    </row>
    <row r="180" spans="16:22" s="1" customFormat="1" ht="11.25" customHeight="1" x14ac:dyDescent="0.25">
      <c r="P180"/>
      <c r="Q180"/>
      <c r="R180"/>
      <c r="S180"/>
      <c r="T180"/>
      <c r="U180"/>
      <c r="V180"/>
    </row>
    <row r="181" spans="16:22" s="1" customFormat="1" ht="11.25" customHeight="1" x14ac:dyDescent="0.25">
      <c r="P181"/>
      <c r="Q181"/>
      <c r="R181"/>
      <c r="S181"/>
      <c r="T181"/>
      <c r="U181"/>
      <c r="V181"/>
    </row>
    <row r="182" spans="16:22" s="1" customFormat="1" ht="11.25" customHeight="1" x14ac:dyDescent="0.25">
      <c r="P182"/>
      <c r="Q182"/>
      <c r="R182"/>
      <c r="S182"/>
      <c r="T182"/>
      <c r="U182"/>
      <c r="V182"/>
    </row>
    <row r="183" spans="16:22" s="1" customFormat="1" ht="11.25" customHeight="1" x14ac:dyDescent="0.25">
      <c r="P183"/>
      <c r="Q183"/>
      <c r="R183"/>
      <c r="S183"/>
      <c r="T183"/>
      <c r="U183"/>
      <c r="V183"/>
    </row>
    <row r="184" spans="16:22" s="1" customFormat="1" ht="11.25" customHeight="1" x14ac:dyDescent="0.25">
      <c r="P184"/>
      <c r="Q184"/>
      <c r="R184"/>
      <c r="S184"/>
      <c r="T184"/>
      <c r="U184"/>
      <c r="V184"/>
    </row>
    <row r="185" spans="16:22" s="1" customFormat="1" ht="11.25" customHeight="1" x14ac:dyDescent="0.25">
      <c r="P185"/>
      <c r="Q185"/>
      <c r="R185"/>
      <c r="S185"/>
      <c r="T185"/>
      <c r="U185"/>
      <c r="V185"/>
    </row>
    <row r="186" spans="16:22" s="1" customFormat="1" ht="11.25" customHeight="1" x14ac:dyDescent="0.25">
      <c r="P186"/>
      <c r="Q186"/>
      <c r="R186"/>
      <c r="S186"/>
      <c r="T186"/>
      <c r="U186"/>
      <c r="V186"/>
    </row>
    <row r="187" spans="16:22" s="1" customFormat="1" ht="11.25" customHeight="1" x14ac:dyDescent="0.25">
      <c r="P187"/>
      <c r="Q187"/>
      <c r="R187"/>
      <c r="S187"/>
      <c r="T187"/>
      <c r="U187"/>
      <c r="V187"/>
    </row>
    <row r="188" spans="16:22" s="1" customFormat="1" ht="11.25" customHeight="1" x14ac:dyDescent="0.25">
      <c r="P188"/>
      <c r="Q188"/>
      <c r="R188"/>
      <c r="S188"/>
      <c r="T188"/>
      <c r="U188"/>
      <c r="V188"/>
    </row>
    <row r="189" spans="16:22" s="1" customFormat="1" ht="11.25" customHeight="1" x14ac:dyDescent="0.25">
      <c r="P189"/>
      <c r="Q189"/>
      <c r="R189"/>
      <c r="S189"/>
      <c r="T189"/>
      <c r="U189"/>
      <c r="V189"/>
    </row>
    <row r="190" spans="16:22" s="1" customFormat="1" ht="11.25" customHeight="1" x14ac:dyDescent="0.25">
      <c r="P190"/>
      <c r="Q190"/>
      <c r="R190"/>
      <c r="S190"/>
      <c r="T190"/>
      <c r="U190"/>
      <c r="V190"/>
    </row>
    <row r="191" spans="16:22" s="1" customFormat="1" ht="11.25" customHeight="1" x14ac:dyDescent="0.25">
      <c r="P191"/>
      <c r="Q191"/>
      <c r="R191"/>
      <c r="S191"/>
      <c r="T191"/>
      <c r="U191"/>
      <c r="V191"/>
    </row>
    <row r="192" spans="16:22" s="1" customFormat="1" ht="11.25" customHeight="1" x14ac:dyDescent="0.25">
      <c r="P192"/>
      <c r="Q192"/>
      <c r="R192"/>
      <c r="S192"/>
      <c r="T192"/>
      <c r="U192"/>
      <c r="V192"/>
    </row>
    <row r="193" spans="16:22" s="1" customFormat="1" ht="11.25" customHeight="1" x14ac:dyDescent="0.25">
      <c r="P193"/>
      <c r="Q193"/>
      <c r="R193"/>
      <c r="S193"/>
      <c r="T193"/>
      <c r="U193"/>
      <c r="V193"/>
    </row>
    <row r="194" spans="16:22" s="1" customFormat="1" ht="11.25" customHeight="1" x14ac:dyDescent="0.25">
      <c r="P194"/>
      <c r="Q194"/>
      <c r="R194"/>
      <c r="S194"/>
      <c r="T194"/>
      <c r="U194"/>
      <c r="V194"/>
    </row>
    <row r="195" spans="16:22" s="1" customFormat="1" ht="11.25" customHeight="1" x14ac:dyDescent="0.25">
      <c r="P195"/>
      <c r="Q195"/>
      <c r="R195"/>
      <c r="S195"/>
      <c r="T195"/>
      <c r="U195"/>
      <c r="V195"/>
    </row>
    <row r="196" spans="16:22" s="1" customFormat="1" ht="11.25" customHeight="1" x14ac:dyDescent="0.25">
      <c r="P196"/>
      <c r="Q196"/>
      <c r="R196"/>
      <c r="S196"/>
      <c r="T196"/>
      <c r="U196"/>
      <c r="V196"/>
    </row>
    <row r="197" spans="16:22" s="1" customFormat="1" ht="11.25" customHeight="1" x14ac:dyDescent="0.25">
      <c r="P197"/>
      <c r="Q197"/>
      <c r="R197"/>
      <c r="S197"/>
      <c r="T197"/>
      <c r="U197"/>
      <c r="V197"/>
    </row>
    <row r="198" spans="16:22" s="1" customFormat="1" ht="11.25" customHeight="1" x14ac:dyDescent="0.25">
      <c r="P198"/>
      <c r="Q198"/>
      <c r="R198"/>
      <c r="S198"/>
      <c r="T198"/>
      <c r="U198"/>
      <c r="V198"/>
    </row>
    <row r="199" spans="16:22" s="1" customFormat="1" ht="11.25" customHeight="1" x14ac:dyDescent="0.25">
      <c r="P199"/>
      <c r="Q199"/>
      <c r="R199"/>
      <c r="S199"/>
      <c r="T199"/>
      <c r="U199"/>
      <c r="V199"/>
    </row>
    <row r="200" spans="16:22" s="1" customFormat="1" ht="11.25" customHeight="1" x14ac:dyDescent="0.25">
      <c r="P200"/>
      <c r="Q200"/>
      <c r="R200"/>
      <c r="S200"/>
      <c r="T200"/>
      <c r="U200"/>
      <c r="V200"/>
    </row>
    <row r="201" spans="16:22" s="1" customFormat="1" ht="11.25" customHeight="1" x14ac:dyDescent="0.25">
      <c r="P201"/>
      <c r="Q201"/>
      <c r="R201"/>
      <c r="S201"/>
      <c r="T201"/>
      <c r="U201"/>
      <c r="V201"/>
    </row>
    <row r="202" spans="16:22" s="1" customFormat="1" ht="11.25" customHeight="1" x14ac:dyDescent="0.25">
      <c r="P202"/>
      <c r="Q202"/>
      <c r="R202"/>
      <c r="S202"/>
      <c r="T202"/>
      <c r="U202"/>
      <c r="V202"/>
    </row>
    <row r="203" spans="16:22" s="1" customFormat="1" ht="11.25" customHeight="1" x14ac:dyDescent="0.25">
      <c r="P203"/>
      <c r="Q203"/>
      <c r="R203"/>
      <c r="S203"/>
      <c r="T203"/>
      <c r="U203"/>
      <c r="V203"/>
    </row>
    <row r="204" spans="16:22" s="1" customFormat="1" ht="11.25" customHeight="1" x14ac:dyDescent="0.25">
      <c r="P204"/>
      <c r="Q204"/>
      <c r="R204"/>
      <c r="S204"/>
      <c r="T204"/>
      <c r="U204"/>
      <c r="V204"/>
    </row>
    <row r="205" spans="16:22" s="1" customFormat="1" ht="11.25" customHeight="1" x14ac:dyDescent="0.25">
      <c r="P205"/>
      <c r="Q205"/>
      <c r="R205"/>
      <c r="S205"/>
      <c r="T205"/>
      <c r="U205"/>
      <c r="V205"/>
    </row>
    <row r="206" spans="16:22" s="1" customFormat="1" ht="11.25" customHeight="1" x14ac:dyDescent="0.25">
      <c r="P206"/>
      <c r="Q206"/>
      <c r="R206"/>
      <c r="S206"/>
      <c r="T206"/>
      <c r="U206"/>
      <c r="V206"/>
    </row>
    <row r="207" spans="16:22" s="1" customFormat="1" ht="11.25" customHeight="1" x14ac:dyDescent="0.25">
      <c r="P207"/>
      <c r="Q207"/>
      <c r="R207"/>
      <c r="S207"/>
      <c r="T207"/>
      <c r="U207"/>
      <c r="V207"/>
    </row>
  </sheetData>
  <sortState xmlns:xlrd2="http://schemas.microsoft.com/office/spreadsheetml/2017/richdata2" ref="A86:AB96">
    <sortCondition ref="B86:B96"/>
  </sortState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B205"/>
  <sheetViews>
    <sheetView topLeftCell="A12" zoomScaleNormal="100" workbookViewId="0">
      <selection activeCell="A32" sqref="A32:XFD84"/>
    </sheetView>
  </sheetViews>
  <sheetFormatPr defaultColWidth="9.140625" defaultRowHeight="11.25" customHeight="1" x14ac:dyDescent="0.25"/>
  <cols>
    <col min="1" max="1" width="12" style="1" customWidth="1"/>
    <col min="2" max="2" width="25.28515625" style="1" customWidth="1"/>
    <col min="3" max="3" width="10.85546875" style="1" customWidth="1"/>
    <col min="4" max="4" width="8.28515625" style="1" customWidth="1"/>
    <col min="5" max="5" width="14" style="1" customWidth="1"/>
    <col min="6" max="6" width="10.7109375" style="1" customWidth="1"/>
    <col min="7" max="7" width="11.42578125" style="1" customWidth="1"/>
    <col min="8" max="8" width="9" style="1" customWidth="1"/>
    <col min="9" max="9" width="9.5703125" style="1" customWidth="1"/>
    <col min="10" max="10" width="11.42578125" style="5" customWidth="1"/>
    <col min="11" max="12" width="9.42578125" style="5" customWidth="1"/>
    <col min="13" max="14" width="10" style="1" customWidth="1"/>
    <col min="15" max="15" width="13" style="1" customWidth="1"/>
    <col min="16" max="16" width="9.140625" style="1"/>
    <col min="17" max="17" width="9.5703125" style="1" customWidth="1"/>
    <col min="18" max="18" width="9.140625" style="1"/>
    <col min="19" max="19" width="9.5703125" style="1" customWidth="1"/>
    <col min="20" max="21" width="9.140625" style="1"/>
    <col min="26" max="26" width="8.85546875" customWidth="1"/>
    <col min="27" max="28" width="8.7109375" customWidth="1"/>
    <col min="29" max="16384" width="9.140625" style="1"/>
  </cols>
  <sheetData>
    <row r="2" spans="1:19" s="1" customFormat="1" ht="45" customHeight="1" x14ac:dyDescent="0.65">
      <c r="B2" s="2" t="s">
        <v>0</v>
      </c>
      <c r="C2" s="2"/>
      <c r="D2" s="2"/>
      <c r="E2" s="2"/>
      <c r="F2" s="2"/>
      <c r="G2" s="3"/>
      <c r="H2" s="3"/>
      <c r="I2" s="3"/>
      <c r="J2" s="4"/>
      <c r="K2" s="4"/>
      <c r="L2" s="5"/>
    </row>
    <row r="3" spans="1:19" s="1" customFormat="1" ht="11.25" customHeight="1" x14ac:dyDescent="0.2">
      <c r="B3" s="6" t="s">
        <v>1</v>
      </c>
      <c r="C3" s="6"/>
      <c r="D3" s="6"/>
      <c r="E3" s="6"/>
      <c r="F3" s="6"/>
      <c r="G3" s="7">
        <v>45196</v>
      </c>
      <c r="J3" s="5"/>
      <c r="K3" s="5"/>
      <c r="L3" s="5"/>
    </row>
    <row r="4" spans="1:19" s="1" customFormat="1" ht="11.25" customHeight="1" x14ac:dyDescent="0.2">
      <c r="B4" s="6" t="s">
        <v>2</v>
      </c>
      <c r="C4" s="6"/>
      <c r="D4" s="6"/>
      <c r="E4" s="6"/>
      <c r="F4" s="6"/>
      <c r="G4" s="1" t="s">
        <v>3</v>
      </c>
      <c r="J4" s="5"/>
      <c r="K4" s="5"/>
      <c r="L4" s="5"/>
    </row>
    <row r="5" spans="1:19" s="1" customFormat="1" ht="11.25" customHeight="1" x14ac:dyDescent="0.25">
      <c r="B5" s="6" t="s">
        <v>4</v>
      </c>
      <c r="C5" s="6"/>
      <c r="D5" s="6"/>
      <c r="E5" s="6"/>
      <c r="F5" s="6"/>
      <c r="G5" s="8" t="s">
        <v>411</v>
      </c>
      <c r="J5" s="5"/>
      <c r="K5" s="5"/>
      <c r="L5" s="5"/>
      <c r="M5" s="9"/>
      <c r="N5" s="9"/>
    </row>
    <row r="6" spans="1:19" s="1" customFormat="1" ht="11.25" customHeight="1" x14ac:dyDescent="0.2">
      <c r="B6" s="6" t="s">
        <v>5</v>
      </c>
      <c r="C6" s="6"/>
      <c r="D6" s="6"/>
      <c r="E6" s="6"/>
      <c r="F6" s="6"/>
      <c r="G6" s="1" t="s">
        <v>6</v>
      </c>
      <c r="J6" s="5"/>
      <c r="K6" s="5"/>
      <c r="L6" s="5"/>
      <c r="S6" s="10"/>
    </row>
    <row r="7" spans="1:19" s="1" customFormat="1" ht="11.25" customHeight="1" x14ac:dyDescent="0.2">
      <c r="B7" s="6" t="s">
        <v>7</v>
      </c>
      <c r="C7" s="6"/>
      <c r="D7" s="6"/>
      <c r="E7" s="6"/>
      <c r="F7" s="6"/>
      <c r="G7" s="6" t="s">
        <v>53</v>
      </c>
      <c r="J7" s="5"/>
      <c r="K7" s="5"/>
      <c r="L7" s="5"/>
    </row>
    <row r="8" spans="1:19" s="1" customFormat="1" ht="11.25" customHeight="1" x14ac:dyDescent="0.2">
      <c r="B8" s="6" t="s">
        <v>8</v>
      </c>
      <c r="C8" s="6"/>
      <c r="D8" s="6"/>
      <c r="E8" s="6"/>
      <c r="F8" s="6"/>
      <c r="G8" s="6" t="s">
        <v>9</v>
      </c>
      <c r="J8" s="5"/>
      <c r="K8" s="11"/>
      <c r="M8" s="12"/>
      <c r="N8" s="13"/>
    </row>
    <row r="9" spans="1:19" s="1" customFormat="1" ht="11.25" customHeight="1" x14ac:dyDescent="0.25">
      <c r="A9" s="14" t="s">
        <v>10</v>
      </c>
      <c r="B9" s="15"/>
      <c r="C9" s="16" t="s">
        <v>11</v>
      </c>
      <c r="D9" s="17"/>
      <c r="E9" s="16" t="s">
        <v>12</v>
      </c>
      <c r="F9" s="18"/>
      <c r="G9" s="14" t="s">
        <v>13</v>
      </c>
      <c r="H9" s="19" t="s">
        <v>14</v>
      </c>
      <c r="I9" s="20" t="s">
        <v>14</v>
      </c>
      <c r="J9" s="21" t="s">
        <v>14</v>
      </c>
      <c r="K9" s="22"/>
      <c r="M9" s="12"/>
      <c r="N9" s="13"/>
    </row>
    <row r="10" spans="1:19" s="1" customFormat="1" ht="11.25" customHeight="1" x14ac:dyDescent="0.25">
      <c r="A10" s="23"/>
      <c r="B10" s="24"/>
      <c r="C10" s="25" t="s">
        <v>14</v>
      </c>
      <c r="D10" s="26" t="s">
        <v>15</v>
      </c>
      <c r="E10" s="25" t="s">
        <v>14</v>
      </c>
      <c r="F10" s="27" t="s">
        <v>15</v>
      </c>
      <c r="G10" s="28" t="s">
        <v>16</v>
      </c>
      <c r="H10" s="28" t="s">
        <v>17</v>
      </c>
      <c r="I10" s="29" t="s">
        <v>18</v>
      </c>
      <c r="J10" s="30" t="s">
        <v>19</v>
      </c>
      <c r="K10" s="22"/>
      <c r="M10" s="12"/>
      <c r="N10" s="13"/>
    </row>
    <row r="11" spans="1:19" s="1" customFormat="1" ht="11.25" customHeight="1" x14ac:dyDescent="0.25">
      <c r="A11" s="31"/>
      <c r="B11" s="32" t="s">
        <v>20</v>
      </c>
      <c r="C11" s="33">
        <v>-26.6</v>
      </c>
      <c r="D11" s="34"/>
      <c r="E11" s="35">
        <v>-21.3</v>
      </c>
      <c r="F11" s="36"/>
      <c r="G11" s="37"/>
      <c r="H11" s="38">
        <v>72.53</v>
      </c>
      <c r="I11" s="38">
        <v>6.51</v>
      </c>
      <c r="J11" s="39">
        <f>H11/I11</f>
        <v>11.141321044546851</v>
      </c>
      <c r="K11" s="22"/>
      <c r="M11" s="12"/>
      <c r="N11" s="13"/>
    </row>
    <row r="12" spans="1:19" s="1" customFormat="1" ht="11.25" customHeight="1" x14ac:dyDescent="0.25">
      <c r="A12" s="40"/>
      <c r="B12" s="41" t="s">
        <v>21</v>
      </c>
      <c r="C12" s="42"/>
      <c r="D12" s="43"/>
      <c r="E12"/>
      <c r="F12" s="44"/>
      <c r="G12" s="37"/>
      <c r="H12" s="45">
        <v>20</v>
      </c>
      <c r="I12" s="45">
        <v>46.65</v>
      </c>
      <c r="J12" s="46">
        <f>H12/I12</f>
        <v>0.4287245444801715</v>
      </c>
      <c r="K12" s="5"/>
      <c r="L12" s="5"/>
    </row>
    <row r="13" spans="1:19" s="1" customFormat="1" ht="11.25" customHeight="1" x14ac:dyDescent="0.25">
      <c r="A13" s="40"/>
      <c r="B13" s="41">
        <v>2704</v>
      </c>
      <c r="C13" s="42"/>
      <c r="D13" s="43"/>
      <c r="E13"/>
      <c r="F13" s="44"/>
      <c r="G13" s="47"/>
      <c r="H13" s="45">
        <v>3.3479999999999999</v>
      </c>
      <c r="I13" s="45"/>
      <c r="J13" s="46"/>
      <c r="K13" s="5"/>
      <c r="L13" s="5"/>
    </row>
    <row r="14" spans="1:19" s="1" customFormat="1" ht="11.25" customHeight="1" x14ac:dyDescent="0.25">
      <c r="A14" s="40"/>
      <c r="B14" s="41" t="s">
        <v>22</v>
      </c>
      <c r="C14" s="42">
        <v>-25.95</v>
      </c>
      <c r="D14" s="48"/>
      <c r="E14" s="49">
        <v>2.08</v>
      </c>
      <c r="F14" s="50"/>
      <c r="G14" s="47"/>
      <c r="H14" s="45">
        <v>44.65</v>
      </c>
      <c r="I14" s="45">
        <v>2.83</v>
      </c>
      <c r="J14" s="46">
        <f>H14/I14</f>
        <v>15.777385159010599</v>
      </c>
      <c r="K14" s="5"/>
      <c r="L14" s="5"/>
    </row>
    <row r="15" spans="1:19" s="1" customFormat="1" ht="11.25" customHeight="1" x14ac:dyDescent="0.25">
      <c r="A15" s="40"/>
      <c r="B15" s="41" t="s">
        <v>23</v>
      </c>
      <c r="C15" s="51">
        <v>-18.3</v>
      </c>
      <c r="D15" s="52">
        <f>AVERAGE(G39,G81)</f>
        <v>-13.820790107997873</v>
      </c>
      <c r="E15" s="49"/>
      <c r="F15" s="53"/>
      <c r="G15" s="54"/>
      <c r="H15" s="55"/>
      <c r="I15" s="55"/>
      <c r="J15" s="54"/>
      <c r="K15" s="5"/>
      <c r="L15" s="5"/>
    </row>
    <row r="16" spans="1:19" s="1" customFormat="1" ht="11.25" customHeight="1" x14ac:dyDescent="0.25">
      <c r="A16" s="40"/>
      <c r="B16" s="41" t="s">
        <v>24</v>
      </c>
      <c r="C16" s="42">
        <v>-25.49</v>
      </c>
      <c r="D16" s="52"/>
      <c r="E16" s="56"/>
      <c r="F16" s="57"/>
      <c r="G16" s="54"/>
      <c r="H16" s="55"/>
      <c r="I16" s="55"/>
      <c r="J16" s="54"/>
      <c r="K16" s="5"/>
      <c r="L16" s="5"/>
    </row>
    <row r="17" spans="1:20" s="1" customFormat="1" ht="11.25" customHeight="1" x14ac:dyDescent="0.25">
      <c r="A17" s="40"/>
      <c r="B17" s="41" t="s">
        <v>25</v>
      </c>
      <c r="C17" s="42">
        <v>-10.8</v>
      </c>
      <c r="D17" s="52">
        <f>AVERAGE(G38,G80)</f>
        <v>-6.3032727900735548</v>
      </c>
      <c r="E17" s="56"/>
      <c r="F17" s="57"/>
      <c r="G17" s="54"/>
      <c r="H17" s="55"/>
      <c r="I17" s="55"/>
      <c r="J17" s="54"/>
      <c r="K17" s="5"/>
      <c r="L17" s="5"/>
    </row>
    <row r="18" spans="1:20" s="1" customFormat="1" ht="11.25" customHeight="1" x14ac:dyDescent="0.25">
      <c r="A18" s="40"/>
      <c r="B18" s="41" t="s">
        <v>26</v>
      </c>
      <c r="C18" s="42">
        <v>-24.91</v>
      </c>
      <c r="D18" s="52">
        <f>AVERAGE(G79,G37)</f>
        <v>-20.49042816385375</v>
      </c>
      <c r="E18" s="56"/>
      <c r="F18" s="57"/>
      <c r="G18" s="54"/>
      <c r="H18" s="55"/>
      <c r="I18" s="55"/>
      <c r="J18" s="54"/>
      <c r="K18" s="5"/>
      <c r="L18" s="5"/>
    </row>
    <row r="19" spans="1:20" s="1" customFormat="1" ht="11.25" customHeight="1" x14ac:dyDescent="0.25">
      <c r="A19" s="40"/>
      <c r="B19" s="5" t="s">
        <v>27</v>
      </c>
      <c r="C19" s="42"/>
      <c r="D19" s="52"/>
      <c r="E19" s="58">
        <v>2.7</v>
      </c>
      <c r="F19" s="57"/>
      <c r="G19" s="54"/>
      <c r="H19" s="55"/>
      <c r="I19" s="55"/>
      <c r="J19" s="54"/>
      <c r="K19" s="5"/>
      <c r="L19" s="5"/>
    </row>
    <row r="20" spans="1:20" s="1" customFormat="1" ht="11.25" customHeight="1" x14ac:dyDescent="0.25">
      <c r="A20" s="40"/>
      <c r="B20" s="5" t="s">
        <v>28</v>
      </c>
      <c r="C20" s="42"/>
      <c r="D20" s="52"/>
      <c r="E20" s="58">
        <v>180</v>
      </c>
      <c r="F20" s="57"/>
      <c r="G20" s="54"/>
      <c r="H20" s="55"/>
      <c r="I20" s="55"/>
      <c r="J20" s="54"/>
      <c r="K20" s="5"/>
      <c r="L20" s="5"/>
    </row>
    <row r="21" spans="1:20" s="1" customFormat="1" ht="11.25" customHeight="1" x14ac:dyDescent="0.25">
      <c r="A21" s="40"/>
      <c r="B21" s="5" t="s">
        <v>29</v>
      </c>
      <c r="C21" s="42"/>
      <c r="D21" s="52"/>
      <c r="E21" s="58">
        <v>-1.8</v>
      </c>
      <c r="F21" s="57"/>
      <c r="G21" s="54"/>
      <c r="H21" s="55"/>
      <c r="I21" s="55"/>
      <c r="J21" s="54"/>
      <c r="K21" s="5"/>
      <c r="L21" s="5"/>
    </row>
    <row r="22" spans="1:20" s="1" customFormat="1" ht="11.25" customHeight="1" x14ac:dyDescent="0.25">
      <c r="A22" s="40"/>
      <c r="B22" s="41" t="s">
        <v>30</v>
      </c>
      <c r="C22" s="40"/>
      <c r="D22" s="59"/>
      <c r="E22" s="53">
        <v>0.4</v>
      </c>
      <c r="F22" s="50">
        <f>AVERAGE(E41,E76)</f>
        <v>2.4462499156822082</v>
      </c>
      <c r="G22" s="54"/>
      <c r="H22"/>
      <c r="I22"/>
      <c r="J22" s="54"/>
      <c r="K22" s="5"/>
      <c r="L22" s="5"/>
    </row>
    <row r="23" spans="1:20" s="1" customFormat="1" ht="11.25" customHeight="1" x14ac:dyDescent="0.25">
      <c r="A23" s="40"/>
      <c r="B23" s="41" t="s">
        <v>31</v>
      </c>
      <c r="C23" s="60"/>
      <c r="D23" s="59"/>
      <c r="E23" s="53">
        <v>20.3</v>
      </c>
      <c r="F23" s="50">
        <f>AVERAGE(E42,E77)</f>
        <v>21.336792737714163</v>
      </c>
      <c r="G23" s="54"/>
      <c r="H23"/>
      <c r="I23"/>
      <c r="J23" s="54"/>
      <c r="K23" s="5"/>
      <c r="L23" s="5"/>
    </row>
    <row r="24" spans="1:20" s="1" customFormat="1" ht="11.25" customHeight="1" x14ac:dyDescent="0.25">
      <c r="A24" s="40"/>
      <c r="B24" s="41" t="s">
        <v>32</v>
      </c>
      <c r="C24" s="60"/>
      <c r="D24" s="52"/>
      <c r="E24" s="53">
        <v>4.7</v>
      </c>
      <c r="F24" s="50"/>
      <c r="G24" s="54"/>
      <c r="H24"/>
      <c r="I24"/>
      <c r="J24" s="54"/>
      <c r="K24" s="5"/>
      <c r="L24" s="5"/>
    </row>
    <row r="25" spans="1:20" customFormat="1" ht="11.25" customHeight="1" x14ac:dyDescent="0.25">
      <c r="A25" s="31"/>
      <c r="B25" s="61" t="s">
        <v>33</v>
      </c>
      <c r="C25" s="62"/>
      <c r="D25" s="61" t="s">
        <v>34</v>
      </c>
      <c r="E25" s="61"/>
      <c r="F25" s="62"/>
      <c r="G25" s="31"/>
      <c r="H25" s="62"/>
      <c r="I25" s="62"/>
      <c r="J25" s="63"/>
      <c r="K25" s="53"/>
      <c r="L25" s="53"/>
    </row>
    <row r="26" spans="1:20" customFormat="1" ht="11.25" customHeight="1" x14ac:dyDescent="0.25">
      <c r="A26" s="64" t="s">
        <v>35</v>
      </c>
      <c r="B26" s="53">
        <v>0.99460000000000004</v>
      </c>
      <c r="C26" s="65" t="s">
        <v>52</v>
      </c>
      <c r="D26" s="53">
        <v>-4.5378999999999996</v>
      </c>
      <c r="E26" s="53"/>
      <c r="F26" s="53"/>
      <c r="G26" s="40"/>
      <c r="H26" s="53"/>
      <c r="I26" s="53"/>
      <c r="J26" s="66"/>
      <c r="K26" s="53"/>
      <c r="L26" s="53"/>
    </row>
    <row r="27" spans="1:20" customFormat="1" ht="11.25" customHeight="1" x14ac:dyDescent="0.25">
      <c r="A27" s="64" t="s">
        <v>37</v>
      </c>
      <c r="B27" s="53">
        <v>1.0533999999999999</v>
      </c>
      <c r="C27" s="65"/>
      <c r="D27" s="67">
        <v>-2.177</v>
      </c>
      <c r="E27" s="53"/>
      <c r="F27" s="53"/>
      <c r="G27" s="40"/>
      <c r="H27" s="53"/>
      <c r="I27" s="53"/>
      <c r="J27" s="66"/>
      <c r="K27" s="53"/>
      <c r="L27" s="53"/>
    </row>
    <row r="28" spans="1:20" customFormat="1" ht="11.25" customHeight="1" x14ac:dyDescent="0.25">
      <c r="A28" s="68" t="s">
        <v>38</v>
      </c>
      <c r="B28" s="53">
        <v>5.3344000000000003E-2</v>
      </c>
      <c r="C28" s="65" t="s">
        <v>36</v>
      </c>
      <c r="D28" s="67">
        <v>0</v>
      </c>
      <c r="E28" s="49"/>
      <c r="F28" s="53"/>
      <c r="G28" s="40"/>
      <c r="H28" s="53"/>
      <c r="I28" s="53"/>
      <c r="J28" s="66"/>
      <c r="K28" s="53"/>
      <c r="L28" s="53"/>
    </row>
    <row r="29" spans="1:20" customFormat="1" ht="11.25" customHeight="1" x14ac:dyDescent="0.25">
      <c r="A29" s="68" t="s">
        <v>39</v>
      </c>
      <c r="B29" s="53">
        <v>2.3977999999999999E-2</v>
      </c>
      <c r="C29" s="49" t="s">
        <v>36</v>
      </c>
      <c r="D29" s="69">
        <v>0</v>
      </c>
      <c r="E29" s="69"/>
      <c r="F29" s="69"/>
      <c r="G29" s="70"/>
      <c r="H29" s="69"/>
      <c r="I29" s="69"/>
      <c r="J29" s="71"/>
      <c r="K29" s="53"/>
      <c r="L29" s="53"/>
      <c r="Q29" s="72"/>
    </row>
    <row r="30" spans="1:20" s="1" customFormat="1" ht="11.25" customHeight="1" x14ac:dyDescent="0.2">
      <c r="A30" s="73"/>
      <c r="B30" s="49"/>
      <c r="C30" s="49"/>
      <c r="D30" s="49"/>
      <c r="E30" s="49"/>
      <c r="F30" s="49"/>
      <c r="G30" s="74"/>
      <c r="H30" s="49"/>
      <c r="I30" s="56"/>
      <c r="J30" s="41"/>
      <c r="K30" s="5"/>
      <c r="L30" s="5"/>
    </row>
    <row r="31" spans="1:20" s="1" customFormat="1" ht="12" customHeight="1" x14ac:dyDescent="0.2">
      <c r="I31" s="3"/>
      <c r="J31" s="4"/>
    </row>
    <row r="32" spans="1:20" s="1" customFormat="1" ht="11.25" customHeight="1" x14ac:dyDescent="0.2">
      <c r="A32" s="75"/>
      <c r="B32" s="75" t="s">
        <v>40</v>
      </c>
      <c r="C32" s="75" t="s">
        <v>54</v>
      </c>
      <c r="D32" s="75" t="s">
        <v>80</v>
      </c>
      <c r="E32" s="75" t="s">
        <v>41</v>
      </c>
      <c r="F32" s="75" t="s">
        <v>81</v>
      </c>
      <c r="G32" s="99" t="s">
        <v>42</v>
      </c>
      <c r="H32" s="76" t="s">
        <v>43</v>
      </c>
      <c r="I32" s="77" t="s">
        <v>44</v>
      </c>
      <c r="J32" s="77" t="s">
        <v>45</v>
      </c>
      <c r="K32" s="77" t="s">
        <v>46</v>
      </c>
      <c r="L32" s="77" t="s">
        <v>47</v>
      </c>
      <c r="M32" s="178" t="s">
        <v>38</v>
      </c>
      <c r="N32" s="77" t="s">
        <v>38</v>
      </c>
      <c r="O32" s="77" t="s">
        <v>48</v>
      </c>
      <c r="P32" s="77" t="s">
        <v>49</v>
      </c>
      <c r="Q32" s="77" t="s">
        <v>39</v>
      </c>
      <c r="R32" s="77" t="s">
        <v>39</v>
      </c>
      <c r="S32" s="77" t="s">
        <v>50</v>
      </c>
      <c r="T32" s="77" t="s">
        <v>51</v>
      </c>
    </row>
    <row r="33" spans="1:20" s="1" customFormat="1" ht="11.25" customHeight="1" x14ac:dyDescent="0.2">
      <c r="A33" s="83"/>
      <c r="B33" s="83"/>
      <c r="C33" s="84"/>
      <c r="D33" s="84"/>
      <c r="E33" s="84"/>
      <c r="F33" s="84"/>
      <c r="G33" s="84"/>
      <c r="H33" s="101"/>
      <c r="I33" s="78"/>
      <c r="J33" s="79"/>
      <c r="K33" s="79"/>
      <c r="L33" s="79"/>
      <c r="M33" s="79"/>
      <c r="N33" s="180"/>
      <c r="O33" s="81"/>
      <c r="P33" s="79"/>
      <c r="Q33" s="79"/>
      <c r="R33" s="180"/>
      <c r="S33" s="82"/>
      <c r="T33" s="78"/>
    </row>
    <row r="34" spans="1:20" s="90" customFormat="1" ht="11.25" customHeight="1" x14ac:dyDescent="0.2">
      <c r="A34" s="117">
        <v>31</v>
      </c>
      <c r="B34" s="117" t="s">
        <v>56</v>
      </c>
      <c r="C34" s="105">
        <v>0.98899999999999999</v>
      </c>
      <c r="D34" s="105">
        <v>1.150854625</v>
      </c>
      <c r="E34" s="105">
        <v>4.9386732987781734</v>
      </c>
      <c r="F34" s="105">
        <v>8.3077555000000007</v>
      </c>
      <c r="G34" s="105">
        <v>-21.639959865735513</v>
      </c>
      <c r="H34" s="100">
        <f t="shared" ref="H34:H82" si="0">$B$26*G34+$D$26</f>
        <v>-26.061004082460542</v>
      </c>
      <c r="I34" s="86">
        <f t="shared" ref="I34:I82" si="1">$B$27*E34+$D$27</f>
        <v>3.0253984529329272</v>
      </c>
      <c r="J34" s="87">
        <f t="shared" ref="J34:J82" si="2">(F34)/C34</f>
        <v>8.4001572295247726</v>
      </c>
      <c r="K34" s="87">
        <f t="shared" ref="K34:L36" si="3">H$14</f>
        <v>44.65</v>
      </c>
      <c r="L34" s="87">
        <f t="shared" si="3"/>
        <v>2.83</v>
      </c>
      <c r="M34" s="87">
        <f t="shared" ref="M34:M82" si="4">C34*(K34/100)</f>
        <v>0.44158849999999999</v>
      </c>
      <c r="N34" s="179">
        <f t="shared" ref="N34:N82" si="5">F34*$B$28+$D$28</f>
        <v>0.44316890939200004</v>
      </c>
      <c r="O34" s="91">
        <f t="shared" ref="O34:O82" si="6">N34/C34*100</f>
        <v>44.809798725176954</v>
      </c>
      <c r="P34" s="87">
        <f t="shared" ref="P34:P82" si="7">D34/C34</f>
        <v>1.1636548281092012</v>
      </c>
      <c r="Q34" s="87">
        <f t="shared" ref="Q34:Q36" si="8">C34*(L34/100)</f>
        <v>2.7988700000000002E-2</v>
      </c>
      <c r="R34" s="179">
        <f t="shared" ref="R34:R82" si="9">D34*$B$29+$D$29</f>
        <v>2.7595192198250001E-2</v>
      </c>
      <c r="S34" s="89">
        <f t="shared" ref="S34:S82" si="10">R34/C34*100</f>
        <v>2.7902115468402426</v>
      </c>
      <c r="T34" s="86">
        <f t="shared" ref="T34:T82" si="11">N34/R34</f>
        <v>16.059642064029706</v>
      </c>
    </row>
    <row r="35" spans="1:20" s="90" customFormat="1" ht="11.25" customHeight="1" x14ac:dyDescent="0.2">
      <c r="A35" s="117">
        <v>32</v>
      </c>
      <c r="B35" s="117" t="s">
        <v>57</v>
      </c>
      <c r="C35" s="105">
        <v>0.82399999999999995</v>
      </c>
      <c r="D35" s="105">
        <v>0.93843793750000004</v>
      </c>
      <c r="E35" s="105">
        <v>4.6255405427459984</v>
      </c>
      <c r="F35" s="105">
        <v>6.8956689999999998</v>
      </c>
      <c r="G35" s="105">
        <v>-21.516526017520107</v>
      </c>
      <c r="H35" s="100">
        <f t="shared" si="0"/>
        <v>-25.938236777025498</v>
      </c>
      <c r="I35" s="86">
        <f t="shared" si="1"/>
        <v>2.6955444077286344</v>
      </c>
      <c r="J35" s="87">
        <f t="shared" si="2"/>
        <v>8.3685303398058259</v>
      </c>
      <c r="K35" s="87">
        <f t="shared" si="3"/>
        <v>44.65</v>
      </c>
      <c r="L35" s="87">
        <f t="shared" si="3"/>
        <v>2.83</v>
      </c>
      <c r="M35" s="87">
        <f t="shared" si="4"/>
        <v>0.36791599999999997</v>
      </c>
      <c r="N35" s="179">
        <f t="shared" si="5"/>
        <v>0.367842567136</v>
      </c>
      <c r="O35" s="91">
        <f t="shared" si="6"/>
        <v>44.641088244660196</v>
      </c>
      <c r="P35" s="87">
        <f t="shared" si="7"/>
        <v>1.1388809921116505</v>
      </c>
      <c r="Q35" s="87">
        <f t="shared" si="8"/>
        <v>2.3319200000000002E-2</v>
      </c>
      <c r="R35" s="179">
        <f t="shared" si="9"/>
        <v>2.2501864865375001E-2</v>
      </c>
      <c r="S35" s="89">
        <f t="shared" si="10"/>
        <v>2.7308088428853159</v>
      </c>
      <c r="T35" s="86">
        <f t="shared" si="11"/>
        <v>16.347203635642746</v>
      </c>
    </row>
    <row r="36" spans="1:20" s="90" customFormat="1" ht="11.25" customHeight="1" x14ac:dyDescent="0.2">
      <c r="A36" s="117">
        <v>33</v>
      </c>
      <c r="B36" s="117" t="s">
        <v>58</v>
      </c>
      <c r="C36" s="105">
        <v>1.026</v>
      </c>
      <c r="D36" s="105">
        <v>1.16235825</v>
      </c>
      <c r="E36" s="105">
        <v>4.2404156402708892</v>
      </c>
      <c r="F36" s="105">
        <v>8.5797290000000004</v>
      </c>
      <c r="G36" s="105">
        <v>-21.57339896038545</v>
      </c>
      <c r="H36" s="100">
        <f t="shared" si="0"/>
        <v>-25.994802605999372</v>
      </c>
      <c r="I36" s="86">
        <f t="shared" si="1"/>
        <v>2.2898538354613538</v>
      </c>
      <c r="J36" s="87">
        <f t="shared" si="2"/>
        <v>8.3623089668615993</v>
      </c>
      <c r="K36" s="87">
        <f t="shared" si="3"/>
        <v>44.65</v>
      </c>
      <c r="L36" s="87">
        <f t="shared" si="3"/>
        <v>2.83</v>
      </c>
      <c r="M36" s="87">
        <f t="shared" si="4"/>
        <v>0.45810900000000004</v>
      </c>
      <c r="N36" s="179">
        <f t="shared" si="5"/>
        <v>0.45767706377600004</v>
      </c>
      <c r="O36" s="91">
        <f t="shared" si="6"/>
        <v>44.607900952826512</v>
      </c>
      <c r="P36" s="87">
        <f t="shared" si="7"/>
        <v>1.1329027777777778</v>
      </c>
      <c r="Q36" s="87">
        <f t="shared" si="8"/>
        <v>2.9035800000000004E-2</v>
      </c>
      <c r="R36" s="179">
        <f t="shared" si="9"/>
        <v>2.7871026118500002E-2</v>
      </c>
      <c r="S36" s="89">
        <f t="shared" si="10"/>
        <v>2.7164742805555555</v>
      </c>
      <c r="T36" s="86">
        <f t="shared" si="11"/>
        <v>16.421249143468273</v>
      </c>
    </row>
    <row r="37" spans="1:20" s="1" customFormat="1" ht="11.25" customHeight="1" x14ac:dyDescent="0.2">
      <c r="A37" s="95">
        <v>34</v>
      </c>
      <c r="B37" s="95" t="s">
        <v>60</v>
      </c>
      <c r="C37" s="96">
        <v>1.026</v>
      </c>
      <c r="D37" s="96">
        <v>2.4626695312499999E-2</v>
      </c>
      <c r="E37" s="96">
        <v>-12.369513838785263</v>
      </c>
      <c r="F37" s="96">
        <v>7.9102119999999996</v>
      </c>
      <c r="G37" s="96">
        <v>-20.155537326572968</v>
      </c>
      <c r="H37" s="101">
        <f t="shared" si="0"/>
        <v>-24.584597425009477</v>
      </c>
      <c r="I37" s="78">
        <f t="shared" si="1"/>
        <v>-15.207045877776395</v>
      </c>
      <c r="J37" s="79">
        <f t="shared" si="2"/>
        <v>7.7097582846003894</v>
      </c>
      <c r="K37" s="79"/>
      <c r="L37" s="79"/>
      <c r="M37" s="79">
        <f t="shared" si="4"/>
        <v>0</v>
      </c>
      <c r="N37" s="180">
        <f t="shared" si="5"/>
        <v>0.421962348928</v>
      </c>
      <c r="O37" s="81">
        <f t="shared" si="6"/>
        <v>41.126934593372319</v>
      </c>
      <c r="P37" s="79">
        <f t="shared" si="7"/>
        <v>2.4002627010233916E-2</v>
      </c>
      <c r="Q37" s="79"/>
      <c r="R37" s="180">
        <f t="shared" si="9"/>
        <v>5.90498900203125E-4</v>
      </c>
      <c r="S37" s="82">
        <f t="shared" si="10"/>
        <v>5.7553499045138894E-2</v>
      </c>
      <c r="T37" s="78">
        <f t="shared" si="11"/>
        <v>714.58617244308107</v>
      </c>
    </row>
    <row r="38" spans="1:20" s="1" customFormat="1" ht="11.25" customHeight="1" x14ac:dyDescent="0.2">
      <c r="A38" s="83">
        <v>35</v>
      </c>
      <c r="B38" s="83" t="s">
        <v>66</v>
      </c>
      <c r="C38" s="84">
        <v>0.81399999999999995</v>
      </c>
      <c r="D38" s="84">
        <v>1.3698910156250001E-2</v>
      </c>
      <c r="E38" s="84">
        <v>-23.80380544693217</v>
      </c>
      <c r="F38" s="84">
        <v>6.3546569999999996</v>
      </c>
      <c r="G38" s="84">
        <v>-6.0146326517604933</v>
      </c>
      <c r="H38" s="101">
        <f t="shared" si="0"/>
        <v>-10.520053635440988</v>
      </c>
      <c r="I38" s="78">
        <f t="shared" si="1"/>
        <v>-27.251928657798345</v>
      </c>
      <c r="J38" s="79">
        <f t="shared" si="2"/>
        <v>7.8067039312039315</v>
      </c>
      <c r="K38" s="79"/>
      <c r="L38" s="79"/>
      <c r="M38" s="79">
        <f t="shared" si="4"/>
        <v>0</v>
      </c>
      <c r="N38" s="180">
        <f t="shared" si="5"/>
        <v>0.33898282300799998</v>
      </c>
      <c r="O38" s="81">
        <f t="shared" si="6"/>
        <v>41.644081450614252</v>
      </c>
      <c r="P38" s="79">
        <f t="shared" si="7"/>
        <v>1.6829127956081082E-2</v>
      </c>
      <c r="Q38" s="79"/>
      <c r="R38" s="180">
        <f t="shared" si="9"/>
        <v>3.2847246772656251E-4</v>
      </c>
      <c r="S38" s="82">
        <f t="shared" si="10"/>
        <v>4.0352883013091222E-2</v>
      </c>
      <c r="T38" s="78">
        <f t="shared" si="11"/>
        <v>1031.9976750385874</v>
      </c>
    </row>
    <row r="39" spans="1:20" s="1" customFormat="1" ht="11.25" customHeight="1" x14ac:dyDescent="0.2">
      <c r="A39" s="95">
        <v>36</v>
      </c>
      <c r="B39" s="95" t="s">
        <v>65</v>
      </c>
      <c r="C39" s="96">
        <v>1.131</v>
      </c>
      <c r="D39" s="96">
        <v>1.2544237304687501E-2</v>
      </c>
      <c r="E39" s="96">
        <v>-30.978741216772466</v>
      </c>
      <c r="F39" s="96">
        <v>4.0129130000000002</v>
      </c>
      <c r="G39" s="96">
        <v>-13.69154980938764</v>
      </c>
      <c r="H39" s="101">
        <f t="shared" si="0"/>
        <v>-18.155515440416945</v>
      </c>
      <c r="I39" s="78">
        <f t="shared" si="1"/>
        <v>-34.810005997748114</v>
      </c>
      <c r="J39" s="79">
        <f t="shared" si="2"/>
        <v>3.5481105216622457</v>
      </c>
      <c r="K39" s="79"/>
      <c r="L39" s="79"/>
      <c r="M39" s="79">
        <f t="shared" si="4"/>
        <v>0</v>
      </c>
      <c r="N39" s="180">
        <f t="shared" si="5"/>
        <v>0.21406483107200003</v>
      </c>
      <c r="O39" s="81">
        <f t="shared" si="6"/>
        <v>18.927040766755088</v>
      </c>
      <c r="P39" s="79">
        <f t="shared" si="7"/>
        <v>1.109127966815871E-2</v>
      </c>
      <c r="Q39" s="79"/>
      <c r="R39" s="180">
        <f t="shared" si="9"/>
        <v>3.0078572209179687E-4</v>
      </c>
      <c r="S39" s="82">
        <f t="shared" si="10"/>
        <v>2.659467038831095E-2</v>
      </c>
      <c r="T39" s="78">
        <f t="shared" si="11"/>
        <v>711.68548022591824</v>
      </c>
    </row>
    <row r="40" spans="1:20" s="90" customFormat="1" ht="11.25" customHeight="1" x14ac:dyDescent="0.2">
      <c r="A40" s="117">
        <v>37</v>
      </c>
      <c r="B40" s="117" t="s">
        <v>59</v>
      </c>
      <c r="C40" s="105">
        <v>0.97399999999999998</v>
      </c>
      <c r="D40" s="105">
        <v>1.102964375</v>
      </c>
      <c r="E40" s="105">
        <v>4.3973519686459905</v>
      </c>
      <c r="F40" s="105">
        <v>8.1942374999999998</v>
      </c>
      <c r="G40" s="105">
        <v>-21.518971322640322</v>
      </c>
      <c r="H40" s="100">
        <f t="shared" si="0"/>
        <v>-25.940668877498066</v>
      </c>
      <c r="I40" s="86">
        <f t="shared" si="1"/>
        <v>2.4551705637716856</v>
      </c>
      <c r="J40" s="87">
        <f t="shared" si="2"/>
        <v>8.412974845995894</v>
      </c>
      <c r="K40" s="87">
        <f t="shared" ref="K40:L40" si="12">H$14</f>
        <v>44.65</v>
      </c>
      <c r="L40" s="87">
        <f t="shared" si="12"/>
        <v>2.83</v>
      </c>
      <c r="M40" s="87">
        <f t="shared" si="4"/>
        <v>0.43489099999999997</v>
      </c>
      <c r="N40" s="179">
        <f t="shared" si="5"/>
        <v>0.43711340520000003</v>
      </c>
      <c r="O40" s="91">
        <f t="shared" si="6"/>
        <v>44.878173018480496</v>
      </c>
      <c r="P40" s="87">
        <f t="shared" si="7"/>
        <v>1.1324069558521561</v>
      </c>
      <c r="Q40" s="87">
        <f t="shared" ref="Q40" si="13">C40*(L40/100)</f>
        <v>2.7564200000000001E-2</v>
      </c>
      <c r="R40" s="179">
        <f t="shared" si="9"/>
        <v>2.6446879783749998E-2</v>
      </c>
      <c r="S40" s="89">
        <f t="shared" si="10"/>
        <v>2.7152853987422998</v>
      </c>
      <c r="T40" s="86">
        <f t="shared" si="11"/>
        <v>16.527976410607788</v>
      </c>
    </row>
    <row r="41" spans="1:20" s="1" customFormat="1" ht="11.25" customHeight="1" x14ac:dyDescent="0.2">
      <c r="A41" s="95">
        <v>38</v>
      </c>
      <c r="B41" s="95" t="s">
        <v>67</v>
      </c>
      <c r="C41" s="96">
        <v>0.318</v>
      </c>
      <c r="D41" s="96">
        <v>2.7021305</v>
      </c>
      <c r="E41" s="96">
        <v>2.6631097169804718</v>
      </c>
      <c r="F41" s="96">
        <v>1.5056724609375001E-2</v>
      </c>
      <c r="G41" s="96">
        <v>-15.765418379887016</v>
      </c>
      <c r="H41" s="101">
        <f t="shared" si="0"/>
        <v>-20.218185120635628</v>
      </c>
      <c r="I41" s="78">
        <f t="shared" si="1"/>
        <v>0.62831977586722854</v>
      </c>
      <c r="J41" s="79">
        <f t="shared" si="2"/>
        <v>4.7348190595518869E-2</v>
      </c>
      <c r="K41" s="79"/>
      <c r="L41" s="79"/>
      <c r="M41" s="79">
        <f t="shared" si="4"/>
        <v>0</v>
      </c>
      <c r="N41" s="180">
        <f t="shared" si="5"/>
        <v>8.0318591756250004E-4</v>
      </c>
      <c r="O41" s="81">
        <f t="shared" si="6"/>
        <v>0.25257418791273589</v>
      </c>
      <c r="P41" s="79">
        <f t="shared" si="7"/>
        <v>8.4972657232704396</v>
      </c>
      <c r="Q41" s="79"/>
      <c r="R41" s="180">
        <f t="shared" si="9"/>
        <v>6.4791685128999993E-2</v>
      </c>
      <c r="S41" s="82">
        <f t="shared" si="10"/>
        <v>20.37474375125786</v>
      </c>
      <c r="T41" s="78">
        <f t="shared" si="11"/>
        <v>1.2396435066681165E-2</v>
      </c>
    </row>
    <row r="42" spans="1:20" s="1" customFormat="1" ht="11.25" customHeight="1" x14ac:dyDescent="0.2">
      <c r="A42" s="83">
        <v>39</v>
      </c>
      <c r="B42" s="83" t="s">
        <v>68</v>
      </c>
      <c r="C42" s="84">
        <v>0.35499999999999998</v>
      </c>
      <c r="D42" s="84">
        <v>3.1300737500000002</v>
      </c>
      <c r="E42" s="84">
        <v>22.163481218081316</v>
      </c>
      <c r="F42" s="84">
        <v>1.4054743164062499E-2</v>
      </c>
      <c r="G42" s="84">
        <v>-19.067704826827605</v>
      </c>
      <c r="H42" s="101">
        <f t="shared" si="0"/>
        <v>-23.502639220762738</v>
      </c>
      <c r="I42" s="78">
        <f t="shared" si="1"/>
        <v>21.170011115126854</v>
      </c>
      <c r="J42" s="79">
        <f t="shared" si="2"/>
        <v>3.9590825814260565E-2</v>
      </c>
      <c r="K42" s="79"/>
      <c r="L42" s="79"/>
      <c r="M42" s="79">
        <f t="shared" si="4"/>
        <v>0</v>
      </c>
      <c r="N42" s="180">
        <f t="shared" si="5"/>
        <v>7.4973621934374996E-4</v>
      </c>
      <c r="O42" s="81">
        <f t="shared" si="6"/>
        <v>0.21119330122359153</v>
      </c>
      <c r="P42" s="79">
        <f t="shared" si="7"/>
        <v>8.8171091549295788</v>
      </c>
      <c r="Q42" s="79"/>
      <c r="R42" s="180">
        <f t="shared" si="9"/>
        <v>7.5052908377500005E-2</v>
      </c>
      <c r="S42" s="82">
        <f t="shared" si="10"/>
        <v>21.141664331690144</v>
      </c>
      <c r="T42" s="78">
        <f t="shared" si="11"/>
        <v>9.9894359266230939E-3</v>
      </c>
    </row>
    <row r="43" spans="1:20" s="1" customFormat="1" ht="11.25" customHeight="1" x14ac:dyDescent="0.2">
      <c r="A43" s="95">
        <v>40</v>
      </c>
      <c r="B43" s="95" t="s">
        <v>383</v>
      </c>
      <c r="C43" s="96">
        <v>5.9180000000000001</v>
      </c>
      <c r="D43" s="96">
        <v>4.5675078124999997E-2</v>
      </c>
      <c r="E43" s="96">
        <v>-7.2043131038564967</v>
      </c>
      <c r="F43" s="96">
        <v>0.29269974999999998</v>
      </c>
      <c r="G43" s="96">
        <v>-23.569040785643054</v>
      </c>
      <c r="H43" s="101">
        <f t="shared" si="0"/>
        <v>-27.979667965400584</v>
      </c>
      <c r="I43" s="78">
        <f t="shared" si="1"/>
        <v>-9.7660234236024337</v>
      </c>
      <c r="J43" s="79">
        <f t="shared" si="2"/>
        <v>4.9459234538695503E-2</v>
      </c>
      <c r="K43" s="79"/>
      <c r="L43" s="79"/>
      <c r="M43" s="79">
        <f t="shared" si="4"/>
        <v>0</v>
      </c>
      <c r="N43" s="180">
        <f t="shared" si="5"/>
        <v>1.5613775464E-2</v>
      </c>
      <c r="O43" s="81">
        <f t="shared" si="6"/>
        <v>0.26383534072321729</v>
      </c>
      <c r="P43" s="79">
        <f t="shared" si="7"/>
        <v>7.7179922482257515E-3</v>
      </c>
      <c r="Q43" s="79"/>
      <c r="R43" s="180">
        <f t="shared" si="9"/>
        <v>1.09519702328125E-3</v>
      </c>
      <c r="S43" s="82">
        <f t="shared" si="10"/>
        <v>1.8506201812795706E-2</v>
      </c>
      <c r="T43" s="78">
        <f t="shared" si="11"/>
        <v>14.256590487454542</v>
      </c>
    </row>
    <row r="44" spans="1:20" s="1" customFormat="1" ht="11.25" customHeight="1" x14ac:dyDescent="0.2">
      <c r="A44" s="83">
        <v>41</v>
      </c>
      <c r="B44" s="83" t="s">
        <v>384</v>
      </c>
      <c r="C44" s="84">
        <v>6.2350000000000003</v>
      </c>
      <c r="D44" s="84">
        <v>0.15608195312500001</v>
      </c>
      <c r="E44" s="84">
        <v>5.9172488868797224</v>
      </c>
      <c r="F44" s="84">
        <v>0.85680106249999999</v>
      </c>
      <c r="G44" s="84">
        <v>-23.172496078747951</v>
      </c>
      <c r="H44" s="101">
        <f t="shared" si="0"/>
        <v>-27.585264599922713</v>
      </c>
      <c r="I44" s="78">
        <f t="shared" si="1"/>
        <v>4.0562299774390986</v>
      </c>
      <c r="J44" s="79">
        <f t="shared" si="2"/>
        <v>0.13741797313552526</v>
      </c>
      <c r="K44" s="79"/>
      <c r="L44" s="79"/>
      <c r="M44" s="79">
        <f t="shared" si="4"/>
        <v>0</v>
      </c>
      <c r="N44" s="180">
        <f t="shared" si="5"/>
        <v>4.5705195878000003E-2</v>
      </c>
      <c r="O44" s="81">
        <f t="shared" si="6"/>
        <v>0.73304243589414597</v>
      </c>
      <c r="P44" s="79">
        <f t="shared" si="7"/>
        <v>2.5033192161186848E-2</v>
      </c>
      <c r="Q44" s="79"/>
      <c r="R44" s="180">
        <f t="shared" si="9"/>
        <v>3.74253307203125E-3</v>
      </c>
      <c r="S44" s="82">
        <f t="shared" si="10"/>
        <v>6.0024588164093819E-2</v>
      </c>
      <c r="T44" s="78">
        <f t="shared" si="11"/>
        <v>12.212369269242991</v>
      </c>
    </row>
    <row r="45" spans="1:20" s="1" customFormat="1" ht="11.25" customHeight="1" x14ac:dyDescent="0.2">
      <c r="A45" s="95">
        <v>42</v>
      </c>
      <c r="B45" s="95" t="s">
        <v>385</v>
      </c>
      <c r="C45" s="96">
        <v>5.9969999999999999</v>
      </c>
      <c r="D45" s="96">
        <v>3.3014667968750001E-2</v>
      </c>
      <c r="E45" s="96">
        <v>-17.509856040227145</v>
      </c>
      <c r="F45" s="96">
        <v>0.2220413125</v>
      </c>
      <c r="G45" s="96">
        <v>-22.519232333359533</v>
      </c>
      <c r="H45" s="101">
        <f t="shared" si="0"/>
        <v>-26.935528478759391</v>
      </c>
      <c r="I45" s="78">
        <f t="shared" si="1"/>
        <v>-20.621882352775273</v>
      </c>
      <c r="J45" s="79">
        <f t="shared" si="2"/>
        <v>3.7025398115724528E-2</v>
      </c>
      <c r="K45" s="79"/>
      <c r="L45" s="79"/>
      <c r="M45" s="79">
        <f t="shared" si="4"/>
        <v>0</v>
      </c>
      <c r="N45" s="180">
        <f t="shared" si="5"/>
        <v>1.1844571774000001E-2</v>
      </c>
      <c r="O45" s="81">
        <f t="shared" si="6"/>
        <v>0.19750828370852097</v>
      </c>
      <c r="P45" s="79">
        <f t="shared" si="7"/>
        <v>5.5051972600883778E-3</v>
      </c>
      <c r="Q45" s="79"/>
      <c r="R45" s="180">
        <f t="shared" si="9"/>
        <v>7.9162570855468748E-4</v>
      </c>
      <c r="S45" s="82">
        <f t="shared" si="10"/>
        <v>1.3200361990239912E-2</v>
      </c>
      <c r="T45" s="78">
        <f t="shared" si="11"/>
        <v>14.962338446063425</v>
      </c>
    </row>
    <row r="46" spans="1:20" s="1" customFormat="1" ht="11.25" customHeight="1" x14ac:dyDescent="0.2">
      <c r="A46" s="83">
        <v>43</v>
      </c>
      <c r="B46" s="83" t="s">
        <v>386</v>
      </c>
      <c r="C46" s="84">
        <v>6.41</v>
      </c>
      <c r="D46" s="84">
        <v>9.7556749999999998E-2</v>
      </c>
      <c r="E46" s="84">
        <v>-1.4271306332919176</v>
      </c>
      <c r="F46" s="84">
        <v>0.63773643749999998</v>
      </c>
      <c r="G46" s="84">
        <v>-21.796489901204083</v>
      </c>
      <c r="H46" s="101">
        <f t="shared" si="0"/>
        <v>-26.216688855737583</v>
      </c>
      <c r="I46" s="78">
        <f t="shared" si="1"/>
        <v>-3.6803394091097061</v>
      </c>
      <c r="J46" s="79">
        <f t="shared" si="2"/>
        <v>9.9490863884555372E-2</v>
      </c>
      <c r="K46" s="79"/>
      <c r="L46" s="79"/>
      <c r="M46" s="79">
        <f t="shared" si="4"/>
        <v>0</v>
      </c>
      <c r="N46" s="180">
        <f t="shared" si="5"/>
        <v>3.4019412521999998E-2</v>
      </c>
      <c r="O46" s="81">
        <f t="shared" si="6"/>
        <v>0.53072406430577224</v>
      </c>
      <c r="P46" s="79">
        <f t="shared" si="7"/>
        <v>1.5219461778471138E-2</v>
      </c>
      <c r="Q46" s="79"/>
      <c r="R46" s="180">
        <f t="shared" si="9"/>
        <v>2.3392157514999998E-3</v>
      </c>
      <c r="S46" s="82">
        <f t="shared" si="10"/>
        <v>3.6493225452418093E-2</v>
      </c>
      <c r="T46" s="78">
        <f t="shared" si="11"/>
        <v>14.543084578746264</v>
      </c>
    </row>
    <row r="47" spans="1:20" s="1" customFormat="1" ht="11.25" customHeight="1" x14ac:dyDescent="0.2">
      <c r="A47" s="95">
        <v>44</v>
      </c>
      <c r="B47" s="95" t="s">
        <v>387</v>
      </c>
      <c r="C47" s="96">
        <v>6.0519999999999996</v>
      </c>
      <c r="D47" s="96">
        <v>5.9432585937499997E-2</v>
      </c>
      <c r="E47" s="96">
        <v>0.4557406357048599</v>
      </c>
      <c r="F47" s="96">
        <v>0.38504018750000002</v>
      </c>
      <c r="G47" s="96">
        <v>-22.139658974263455</v>
      </c>
      <c r="H47" s="101">
        <f t="shared" si="0"/>
        <v>-26.558004815802434</v>
      </c>
      <c r="I47" s="78">
        <f t="shared" si="1"/>
        <v>-1.6969228143485007</v>
      </c>
      <c r="J47" s="79">
        <f t="shared" si="2"/>
        <v>6.3621974140779913E-2</v>
      </c>
      <c r="K47" s="79"/>
      <c r="L47" s="79"/>
      <c r="M47" s="79">
        <f t="shared" si="4"/>
        <v>0</v>
      </c>
      <c r="N47" s="180">
        <f t="shared" si="5"/>
        <v>2.0539583762000001E-2</v>
      </c>
      <c r="O47" s="81">
        <f t="shared" si="6"/>
        <v>0.33938505885657638</v>
      </c>
      <c r="P47" s="79">
        <f t="shared" si="7"/>
        <v>9.8203215362690013E-3</v>
      </c>
      <c r="Q47" s="79"/>
      <c r="R47" s="180">
        <f t="shared" si="9"/>
        <v>1.4250745456093749E-3</v>
      </c>
      <c r="S47" s="82">
        <f t="shared" si="10"/>
        <v>2.3547166979665812E-2</v>
      </c>
      <c r="T47" s="78">
        <f t="shared" si="11"/>
        <v>14.412989008386988</v>
      </c>
    </row>
    <row r="48" spans="1:20" s="1" customFormat="1" ht="11.25" customHeight="1" x14ac:dyDescent="0.2">
      <c r="A48" s="83">
        <v>45</v>
      </c>
      <c r="B48" s="83" t="s">
        <v>388</v>
      </c>
      <c r="C48" s="84">
        <v>6.23</v>
      </c>
      <c r="D48" s="84">
        <v>0.106604734375</v>
      </c>
      <c r="E48" s="84">
        <v>0.71315784700520801</v>
      </c>
      <c r="F48" s="84">
        <v>0.68684168749999996</v>
      </c>
      <c r="G48" s="84">
        <v>-21.142346439899857</v>
      </c>
      <c r="H48" s="101">
        <f t="shared" si="0"/>
        <v>-25.566077769124398</v>
      </c>
      <c r="I48" s="78">
        <f t="shared" si="1"/>
        <v>-1.4257595239647141</v>
      </c>
      <c r="J48" s="79">
        <f t="shared" si="2"/>
        <v>0.11024746187800961</v>
      </c>
      <c r="K48" s="79"/>
      <c r="L48" s="79"/>
      <c r="M48" s="79">
        <f t="shared" si="4"/>
        <v>0</v>
      </c>
      <c r="N48" s="180">
        <f t="shared" si="5"/>
        <v>3.6638882977999998E-2</v>
      </c>
      <c r="O48" s="81">
        <f t="shared" si="6"/>
        <v>0.58810406064205456</v>
      </c>
      <c r="P48" s="79">
        <f t="shared" si="7"/>
        <v>1.7111514345906902E-2</v>
      </c>
      <c r="Q48" s="79"/>
      <c r="R48" s="180">
        <f t="shared" si="9"/>
        <v>2.5561683208437497E-3</v>
      </c>
      <c r="S48" s="82">
        <f t="shared" si="10"/>
        <v>4.1029989098615563E-2</v>
      </c>
      <c r="T48" s="78">
        <f t="shared" si="11"/>
        <v>14.333517350651658</v>
      </c>
    </row>
    <row r="49" spans="1:20" s="1" customFormat="1" ht="11.25" customHeight="1" x14ac:dyDescent="0.2">
      <c r="A49" s="95">
        <v>46</v>
      </c>
      <c r="B49" s="95" t="s">
        <v>389</v>
      </c>
      <c r="C49" s="96">
        <v>6.0730000000000004</v>
      </c>
      <c r="D49" s="96">
        <v>7.2744812500000006E-2</v>
      </c>
      <c r="E49" s="96">
        <v>-11.711781499196272</v>
      </c>
      <c r="F49" s="96">
        <v>0.45918356249999998</v>
      </c>
      <c r="G49" s="96">
        <v>-21.61092129345078</v>
      </c>
      <c r="H49" s="101">
        <f t="shared" si="0"/>
        <v>-26.032122318466147</v>
      </c>
      <c r="I49" s="78">
        <f t="shared" si="1"/>
        <v>-14.514190631253351</v>
      </c>
      <c r="J49" s="79">
        <f t="shared" si="2"/>
        <v>7.5610664004610556E-2</v>
      </c>
      <c r="K49" s="79"/>
      <c r="L49" s="79"/>
      <c r="M49" s="79">
        <f t="shared" si="4"/>
        <v>0</v>
      </c>
      <c r="N49" s="180">
        <f>F49*$B$28+$D$28</f>
        <v>2.4494687958E-2</v>
      </c>
      <c r="O49" s="81">
        <f>N49/C49*100</f>
        <v>0.40333752606619455</v>
      </c>
      <c r="P49" s="79">
        <f t="shared" si="7"/>
        <v>1.197839823810308E-2</v>
      </c>
      <c r="Q49" s="79"/>
      <c r="R49" s="180">
        <f t="shared" si="9"/>
        <v>1.744275114125E-3</v>
      </c>
      <c r="S49" s="82">
        <f t="shared" si="10"/>
        <v>2.8721803295323561E-2</v>
      </c>
      <c r="T49" s="78">
        <f t="shared" si="11"/>
        <v>14.04290398896595</v>
      </c>
    </row>
    <row r="50" spans="1:20" s="1" customFormat="1" ht="11.25" customHeight="1" x14ac:dyDescent="0.2">
      <c r="A50" s="83">
        <v>47</v>
      </c>
      <c r="B50" s="83" t="s">
        <v>390</v>
      </c>
      <c r="C50" s="84">
        <v>6.1890000000000001</v>
      </c>
      <c r="D50" s="84">
        <v>9.3792085937500005E-2</v>
      </c>
      <c r="E50" s="84">
        <v>-6.2041553149188022</v>
      </c>
      <c r="F50" s="84">
        <v>0.46219390625000001</v>
      </c>
      <c r="G50" s="84">
        <v>-21.677094060813857</v>
      </c>
      <c r="H50" s="101">
        <f t="shared" si="0"/>
        <v>-26.097937752885464</v>
      </c>
      <c r="I50" s="78">
        <f t="shared" si="1"/>
        <v>-8.712457208735465</v>
      </c>
      <c r="J50" s="79">
        <f t="shared" si="2"/>
        <v>7.4679900832121504E-2</v>
      </c>
      <c r="K50" s="79"/>
      <c r="L50" s="79"/>
      <c r="M50" s="79">
        <f t="shared" si="4"/>
        <v>0</v>
      </c>
      <c r="N50" s="180">
        <f t="shared" si="5"/>
        <v>2.4655271735000001E-2</v>
      </c>
      <c r="O50" s="81">
        <f t="shared" si="6"/>
        <v>0.39837246299886897</v>
      </c>
      <c r="P50" s="79">
        <f t="shared" si="7"/>
        <v>1.5154643066327356E-2</v>
      </c>
      <c r="Q50" s="79"/>
      <c r="R50" s="180">
        <f t="shared" si="9"/>
        <v>2.248946636609375E-3</v>
      </c>
      <c r="S50" s="82">
        <f t="shared" si="10"/>
        <v>3.6337803144439733E-2</v>
      </c>
      <c r="T50" s="78">
        <f t="shared" si="11"/>
        <v>10.963031018010961</v>
      </c>
    </row>
    <row r="51" spans="1:20" s="1" customFormat="1" ht="11.25" customHeight="1" x14ac:dyDescent="0.2">
      <c r="A51" s="95">
        <v>48</v>
      </c>
      <c r="B51" s="95" t="s">
        <v>391</v>
      </c>
      <c r="C51" s="96">
        <v>5.923</v>
      </c>
      <c r="D51" s="96">
        <v>0.14503965625000001</v>
      </c>
      <c r="E51" s="96">
        <v>-9.69972458356294</v>
      </c>
      <c r="F51" s="96">
        <v>0.175595515625</v>
      </c>
      <c r="G51" s="96">
        <v>-21.801088335992645</v>
      </c>
      <c r="H51" s="101">
        <f t="shared" si="0"/>
        <v>-26.221262458978288</v>
      </c>
      <c r="I51" s="78">
        <f t="shared" si="1"/>
        <v>-12.394689876325199</v>
      </c>
      <c r="J51" s="79">
        <f t="shared" si="2"/>
        <v>2.9646381162417693E-2</v>
      </c>
      <c r="K51" s="79"/>
      <c r="L51" s="79"/>
      <c r="M51" s="79">
        <f t="shared" si="4"/>
        <v>0</v>
      </c>
      <c r="N51" s="180">
        <f t="shared" si="5"/>
        <v>9.3669671855000011E-3</v>
      </c>
      <c r="O51" s="81">
        <f t="shared" si="6"/>
        <v>0.15814565567280095</v>
      </c>
      <c r="P51" s="79">
        <f t="shared" si="7"/>
        <v>2.4487532711463787E-2</v>
      </c>
      <c r="Q51" s="79"/>
      <c r="R51" s="180">
        <f t="shared" si="9"/>
        <v>3.4777608775625E-3</v>
      </c>
      <c r="S51" s="82">
        <f t="shared" si="10"/>
        <v>5.8716205935547869E-2</v>
      </c>
      <c r="T51" s="78">
        <f t="shared" si="11"/>
        <v>2.693390234484764</v>
      </c>
    </row>
    <row r="52" spans="1:20" s="1" customFormat="1" ht="11.25" customHeight="1" x14ac:dyDescent="0.2">
      <c r="A52" s="83">
        <v>49</v>
      </c>
      <c r="B52" s="83" t="s">
        <v>392</v>
      </c>
      <c r="C52" s="84">
        <v>5.9290000000000003</v>
      </c>
      <c r="D52" s="84">
        <v>0.32982175000000002</v>
      </c>
      <c r="E52" s="84">
        <v>-6.7064005162728035</v>
      </c>
      <c r="F52" s="84">
        <v>0.244416546875</v>
      </c>
      <c r="G52" s="84">
        <v>-21.455435382510764</v>
      </c>
      <c r="H52" s="101">
        <f>$B$26*G52+$D$26</f>
        <v>-25.877476031445209</v>
      </c>
      <c r="I52" s="78">
        <f>$B$27*E52+$D$27</f>
        <v>-9.2415223038417711</v>
      </c>
      <c r="J52" s="79">
        <f>(F52)/C52</f>
        <v>4.1223907383201211E-2</v>
      </c>
      <c r="K52" s="79"/>
      <c r="L52" s="79"/>
      <c r="M52" s="79">
        <f>C52*(K52/100)</f>
        <v>0</v>
      </c>
      <c r="N52" s="180">
        <f>F52*$B$28+$D$28</f>
        <v>1.30381562765E-2</v>
      </c>
      <c r="O52" s="81">
        <f>N52/C52*100</f>
        <v>0.21990481154494854</v>
      </c>
      <c r="P52" s="79">
        <f>D52/C52</f>
        <v>5.5628562995446114E-2</v>
      </c>
      <c r="Q52" s="79"/>
      <c r="R52" s="180">
        <f>D52*$B$29+$D$29</f>
        <v>7.9084659214999995E-3</v>
      </c>
      <c r="S52" s="82">
        <f>R52/C52*100</f>
        <v>0.13338616835048067</v>
      </c>
      <c r="T52" s="78">
        <f>N52/R52</f>
        <v>1.6486327950221542</v>
      </c>
    </row>
    <row r="53" spans="1:20" s="1" customFormat="1" ht="11.25" customHeight="1" x14ac:dyDescent="0.2">
      <c r="A53" s="95">
        <v>50</v>
      </c>
      <c r="B53" s="95" t="s">
        <v>393</v>
      </c>
      <c r="C53" s="96">
        <v>6.3659999999999997</v>
      </c>
      <c r="D53" s="96">
        <v>0.69779987499999996</v>
      </c>
      <c r="E53" s="96">
        <v>-2.5455186015060915</v>
      </c>
      <c r="F53" s="96">
        <v>1.0080512500000001</v>
      </c>
      <c r="G53" s="96">
        <v>-21.191718666120657</v>
      </c>
      <c r="H53" s="101">
        <f t="shared" si="0"/>
        <v>-25.615183385323608</v>
      </c>
      <c r="I53" s="78">
        <f t="shared" si="1"/>
        <v>-4.8584492948265172</v>
      </c>
      <c r="J53" s="79">
        <f t="shared" si="2"/>
        <v>0.15834923814011939</v>
      </c>
      <c r="K53" s="79"/>
      <c r="L53" s="79"/>
      <c r="M53" s="79">
        <f t="shared" ref="M53:M56" si="14">C53*(K53/100)</f>
        <v>0</v>
      </c>
      <c r="N53" s="180">
        <f t="shared" ref="N53:N56" si="15">F53*$B$28+$D$28</f>
        <v>5.3773485880000006E-2</v>
      </c>
      <c r="O53" s="81">
        <f t="shared" ref="O53:O56" si="16">N53/C53*100</f>
        <v>0.84469817593465291</v>
      </c>
      <c r="P53" s="79">
        <f t="shared" ref="P53:P56" si="17">D53/C53</f>
        <v>0.10961355246622682</v>
      </c>
      <c r="Q53" s="79"/>
      <c r="R53" s="180">
        <f t="shared" si="9"/>
        <v>1.6731845402749999E-2</v>
      </c>
      <c r="S53" s="82">
        <f t="shared" si="10"/>
        <v>0.2628313761035187</v>
      </c>
      <c r="T53" s="78">
        <f t="shared" si="11"/>
        <v>3.2138407082796707</v>
      </c>
    </row>
    <row r="54" spans="1:20" s="1" customFormat="1" ht="11.25" customHeight="1" x14ac:dyDescent="0.2">
      <c r="A54" s="83">
        <v>51</v>
      </c>
      <c r="B54" s="83" t="s">
        <v>394</v>
      </c>
      <c r="C54" s="84">
        <v>6.21</v>
      </c>
      <c r="D54" s="84">
        <v>0.89143087499999996</v>
      </c>
      <c r="E54" s="84">
        <v>-1.9540691720837389</v>
      </c>
      <c r="F54" s="84">
        <v>0.5123505625</v>
      </c>
      <c r="G54" s="84">
        <v>-21.34947750145048</v>
      </c>
      <c r="H54" s="101">
        <f t="shared" si="0"/>
        <v>-25.772090322942649</v>
      </c>
      <c r="I54" s="78">
        <f t="shared" si="1"/>
        <v>-4.2354164658730102</v>
      </c>
      <c r="J54" s="79">
        <f t="shared" si="2"/>
        <v>8.2504116344605472E-2</v>
      </c>
      <c r="K54" s="79"/>
      <c r="L54" s="79"/>
      <c r="M54" s="79">
        <f t="shared" si="14"/>
        <v>0</v>
      </c>
      <c r="N54" s="180">
        <f t="shared" si="15"/>
        <v>2.7330828406000002E-2</v>
      </c>
      <c r="O54" s="81">
        <f t="shared" si="16"/>
        <v>0.4401099582286635</v>
      </c>
      <c r="P54" s="79">
        <f t="shared" si="17"/>
        <v>0.14354764492753622</v>
      </c>
      <c r="Q54" s="79"/>
      <c r="R54" s="180">
        <f t="shared" si="9"/>
        <v>2.1374729520749997E-2</v>
      </c>
      <c r="S54" s="82">
        <f t="shared" si="10"/>
        <v>0.34419854300724634</v>
      </c>
      <c r="T54" s="78">
        <f t="shared" si="11"/>
        <v>1.2786514271194864</v>
      </c>
    </row>
    <row r="55" spans="1:20" s="90" customFormat="1" ht="11.25" customHeight="1" x14ac:dyDescent="0.2">
      <c r="A55" s="117">
        <v>52</v>
      </c>
      <c r="B55" s="117" t="s">
        <v>82</v>
      </c>
      <c r="C55" s="105">
        <v>1.194</v>
      </c>
      <c r="D55" s="105">
        <v>2.017025625</v>
      </c>
      <c r="E55" s="105">
        <v>0.98366310445729965</v>
      </c>
      <c r="F55" s="105">
        <v>10.000696</v>
      </c>
      <c r="G55" s="105">
        <v>-21.496032141359311</v>
      </c>
      <c r="H55" s="100">
        <f t="shared" si="0"/>
        <v>-25.917853567795973</v>
      </c>
      <c r="I55" s="86">
        <f t="shared" si="1"/>
        <v>-1.1408092857646808</v>
      </c>
      <c r="J55" s="87">
        <f t="shared" si="2"/>
        <v>8.3757922948073702</v>
      </c>
      <c r="K55" s="87">
        <f t="shared" ref="K55:L55" si="18">H$14</f>
        <v>44.65</v>
      </c>
      <c r="L55" s="87">
        <f t="shared" si="18"/>
        <v>2.83</v>
      </c>
      <c r="M55" s="87">
        <f t="shared" si="14"/>
        <v>0.53312099999999996</v>
      </c>
      <c r="N55" s="179">
        <f t="shared" si="15"/>
        <v>0.533477127424</v>
      </c>
      <c r="O55" s="91">
        <f t="shared" si="16"/>
        <v>44.679826417420436</v>
      </c>
      <c r="P55" s="87">
        <f t="shared" si="17"/>
        <v>1.6893011934673368</v>
      </c>
      <c r="Q55" s="87">
        <f t="shared" ref="Q55" si="19">C55*(L55/100)</f>
        <v>3.3790199999999999E-2</v>
      </c>
      <c r="R55" s="179">
        <f t="shared" si="9"/>
        <v>4.8364240436249997E-2</v>
      </c>
      <c r="S55" s="89">
        <f t="shared" si="10"/>
        <v>4.0506064016959797</v>
      </c>
      <c r="T55" s="86">
        <f t="shared" si="11"/>
        <v>11.030404336178675</v>
      </c>
    </row>
    <row r="56" spans="1:20" s="126" customFormat="1" ht="11.25" customHeight="1" x14ac:dyDescent="0.2">
      <c r="A56" s="119">
        <v>53</v>
      </c>
      <c r="B56" s="119" t="s">
        <v>87</v>
      </c>
      <c r="C56" s="120">
        <v>2.3380000000000001</v>
      </c>
      <c r="D56" s="120">
        <v>1.0580207500000001</v>
      </c>
      <c r="E56" s="120">
        <v>-1.5087075010895568</v>
      </c>
      <c r="F56" s="120">
        <v>1.4612111249999999</v>
      </c>
      <c r="G56" s="120">
        <v>-14.879025722716696</v>
      </c>
      <c r="H56" s="121">
        <f t="shared" si="0"/>
        <v>-19.336578983814025</v>
      </c>
      <c r="I56" s="122">
        <f t="shared" si="1"/>
        <v>-3.7662724816477389</v>
      </c>
      <c r="J56" s="118">
        <f t="shared" si="2"/>
        <v>0.62498337254063296</v>
      </c>
      <c r="K56" s="118">
        <f>H$13</f>
        <v>3.3479999999999999</v>
      </c>
      <c r="L56" s="118"/>
      <c r="M56" s="118">
        <f t="shared" si="14"/>
        <v>7.8276239999999997E-2</v>
      </c>
      <c r="N56" s="181">
        <f t="shared" si="15"/>
        <v>7.7946846252000004E-2</v>
      </c>
      <c r="O56" s="124">
        <f t="shared" si="16"/>
        <v>3.333911302480753</v>
      </c>
      <c r="P56" s="118">
        <f t="shared" si="17"/>
        <v>0.45253239948674084</v>
      </c>
      <c r="Q56" s="118"/>
      <c r="R56" s="181">
        <f t="shared" si="9"/>
        <v>2.5369221543499999E-2</v>
      </c>
      <c r="S56" s="125">
        <f t="shared" si="10"/>
        <v>1.0850821874893068</v>
      </c>
      <c r="T56" s="122">
        <f t="shared" si="11"/>
        <v>3.072496572996787</v>
      </c>
    </row>
    <row r="57" spans="1:20" s="1" customFormat="1" ht="11.25" customHeight="1" x14ac:dyDescent="0.2">
      <c r="A57" s="95">
        <v>54</v>
      </c>
      <c r="B57" s="95" t="s">
        <v>395</v>
      </c>
      <c r="C57" s="96">
        <v>6.52</v>
      </c>
      <c r="D57" s="96">
        <v>0.88490968749999999</v>
      </c>
      <c r="E57" s="96">
        <v>-1.5225189147693996</v>
      </c>
      <c r="F57" s="96">
        <v>2.0501170000000002</v>
      </c>
      <c r="G57" s="96">
        <v>-26.340055387240209</v>
      </c>
      <c r="H57" s="101">
        <f t="shared" si="0"/>
        <v>-30.735719088149114</v>
      </c>
      <c r="I57" s="78">
        <f t="shared" si="1"/>
        <v>-3.7808214248180851</v>
      </c>
      <c r="J57" s="79">
        <f t="shared" si="2"/>
        <v>0.31443512269938656</v>
      </c>
      <c r="K57" s="79"/>
      <c r="L57" s="79"/>
      <c r="M57" s="79">
        <f t="shared" si="4"/>
        <v>0</v>
      </c>
      <c r="N57" s="180">
        <f t="shared" si="5"/>
        <v>0.10936144124800001</v>
      </c>
      <c r="O57" s="81">
        <f t="shared" si="6"/>
        <v>1.6773227185276078</v>
      </c>
      <c r="P57" s="79">
        <f t="shared" si="7"/>
        <v>0.13572234470858896</v>
      </c>
      <c r="Q57" s="79"/>
      <c r="R57" s="180">
        <f t="shared" si="9"/>
        <v>2.1218364486874999E-2</v>
      </c>
      <c r="S57" s="82">
        <f t="shared" si="10"/>
        <v>0.32543503814225461</v>
      </c>
      <c r="T57" s="78">
        <f t="shared" si="11"/>
        <v>5.1540938188542995</v>
      </c>
    </row>
    <row r="58" spans="1:20" s="1" customFormat="1" ht="11.25" customHeight="1" x14ac:dyDescent="0.2">
      <c r="A58" s="83">
        <v>55</v>
      </c>
      <c r="B58" s="83" t="s">
        <v>396</v>
      </c>
      <c r="C58" s="84">
        <v>6.0869999999999997</v>
      </c>
      <c r="D58" s="84">
        <v>0.41730678124999998</v>
      </c>
      <c r="E58" s="84">
        <v>-8.3032230674049412</v>
      </c>
      <c r="F58" s="84">
        <v>0.24655021874999999</v>
      </c>
      <c r="G58" s="84">
        <v>-22.351019390639763</v>
      </c>
      <c r="H58" s="101">
        <f t="shared" si="0"/>
        <v>-26.768223885930311</v>
      </c>
      <c r="I58" s="78">
        <f t="shared" si="1"/>
        <v>-10.923615179204363</v>
      </c>
      <c r="J58" s="79">
        <f t="shared" si="2"/>
        <v>4.0504389477575162E-2</v>
      </c>
      <c r="K58" s="79"/>
      <c r="L58" s="79"/>
      <c r="M58" s="79">
        <f t="shared" si="4"/>
        <v>0</v>
      </c>
      <c r="N58" s="180">
        <f t="shared" si="5"/>
        <v>1.3151974869000001E-2</v>
      </c>
      <c r="O58" s="81">
        <f t="shared" si="6"/>
        <v>0.21606661522917694</v>
      </c>
      <c r="P58" s="79">
        <f t="shared" si="7"/>
        <v>6.855705294069328E-2</v>
      </c>
      <c r="Q58" s="79"/>
      <c r="R58" s="180">
        <f t="shared" si="9"/>
        <v>1.00061820008125E-2</v>
      </c>
      <c r="S58" s="82">
        <f t="shared" si="10"/>
        <v>0.16438610154119435</v>
      </c>
      <c r="T58" s="78">
        <f t="shared" si="11"/>
        <v>1.3143849340269909</v>
      </c>
    </row>
    <row r="59" spans="1:20" s="1" customFormat="1" ht="11.25" customHeight="1" x14ac:dyDescent="0.2">
      <c r="A59" s="95">
        <v>56</v>
      </c>
      <c r="B59" s="95" t="s">
        <v>397</v>
      </c>
      <c r="C59" s="96">
        <v>6.23</v>
      </c>
      <c r="D59" s="96">
        <v>0.2843425</v>
      </c>
      <c r="E59" s="96">
        <v>-4.387458112741216</v>
      </c>
      <c r="F59" s="96">
        <v>0.51049740624999995</v>
      </c>
      <c r="G59" s="96">
        <v>-21.40186913635193</v>
      </c>
      <c r="H59" s="101">
        <f t="shared" si="0"/>
        <v>-25.824199043015632</v>
      </c>
      <c r="I59" s="78">
        <f t="shared" si="1"/>
        <v>-6.7987483759615959</v>
      </c>
      <c r="J59" s="79">
        <f t="shared" si="2"/>
        <v>8.1941798756019243E-2</v>
      </c>
      <c r="K59" s="79"/>
      <c r="L59" s="79"/>
      <c r="M59" s="79">
        <f t="shared" si="4"/>
        <v>0</v>
      </c>
      <c r="N59" s="180">
        <f t="shared" si="5"/>
        <v>2.7231973638999998E-2</v>
      </c>
      <c r="O59" s="81">
        <f t="shared" si="6"/>
        <v>0.43711033128410909</v>
      </c>
      <c r="P59" s="79">
        <f t="shared" si="7"/>
        <v>4.5640850722311395E-2</v>
      </c>
      <c r="Q59" s="79"/>
      <c r="R59" s="180">
        <f t="shared" si="9"/>
        <v>6.8179644649999996E-3</v>
      </c>
      <c r="S59" s="82">
        <f t="shared" si="10"/>
        <v>0.10943763186195825</v>
      </c>
      <c r="T59" s="78">
        <f t="shared" si="11"/>
        <v>3.9941501277683762</v>
      </c>
    </row>
    <row r="60" spans="1:20" s="1" customFormat="1" ht="11.25" customHeight="1" x14ac:dyDescent="0.2">
      <c r="A60" s="83">
        <v>57</v>
      </c>
      <c r="B60" s="83" t="s">
        <v>398</v>
      </c>
      <c r="C60" s="84">
        <v>6.5279999999999996</v>
      </c>
      <c r="D60" s="84">
        <v>0.40978759375000001</v>
      </c>
      <c r="E60" s="84">
        <v>0.45647147737049032</v>
      </c>
      <c r="F60" s="84">
        <v>1.3845533750000001</v>
      </c>
      <c r="G60" s="84">
        <v>-22.118299184460579</v>
      </c>
      <c r="H60" s="101">
        <f t="shared" si="0"/>
        <v>-26.536760368864492</v>
      </c>
      <c r="I60" s="78">
        <f t="shared" si="1"/>
        <v>-1.6961529457379256</v>
      </c>
      <c r="J60" s="79">
        <f t="shared" si="2"/>
        <v>0.2120945733762255</v>
      </c>
      <c r="K60" s="79"/>
      <c r="L60" s="79"/>
      <c r="M60" s="79">
        <f t="shared" si="4"/>
        <v>0</v>
      </c>
      <c r="N60" s="180">
        <f t="shared" si="5"/>
        <v>7.3857615236000013E-2</v>
      </c>
      <c r="O60" s="81">
        <f t="shared" si="6"/>
        <v>1.1313972922181375</v>
      </c>
      <c r="P60" s="79">
        <f t="shared" si="7"/>
        <v>6.2773834826899522E-2</v>
      </c>
      <c r="Q60" s="79"/>
      <c r="R60" s="180">
        <f t="shared" si="9"/>
        <v>9.8258869229374997E-3</v>
      </c>
      <c r="S60" s="82">
        <f t="shared" si="10"/>
        <v>0.15051910114793965</v>
      </c>
      <c r="T60" s="78">
        <f t="shared" si="11"/>
        <v>7.5166359856622389</v>
      </c>
    </row>
    <row r="61" spans="1:20" s="1" customFormat="1" ht="11.25" customHeight="1" x14ac:dyDescent="0.2">
      <c r="A61" s="95">
        <v>58</v>
      </c>
      <c r="B61" s="95" t="s">
        <v>399</v>
      </c>
      <c r="C61" s="96">
        <v>6.3220000000000001</v>
      </c>
      <c r="D61" s="96">
        <v>0.31778146875000002</v>
      </c>
      <c r="E61" s="96">
        <v>-5.9987340299236802</v>
      </c>
      <c r="F61" s="96">
        <v>0.82220931249999996</v>
      </c>
      <c r="G61" s="96">
        <v>-21.556816512800189</v>
      </c>
      <c r="H61" s="101">
        <f t="shared" si="0"/>
        <v>-25.978309703631069</v>
      </c>
      <c r="I61" s="78">
        <f t="shared" si="1"/>
        <v>-8.4960664271216046</v>
      </c>
      <c r="J61" s="79">
        <f t="shared" si="2"/>
        <v>0.13005525347991143</v>
      </c>
      <c r="K61" s="79"/>
      <c r="L61" s="79"/>
      <c r="M61" s="79">
        <f t="shared" si="4"/>
        <v>0</v>
      </c>
      <c r="N61" s="180">
        <f t="shared" si="5"/>
        <v>4.3859933566000001E-2</v>
      </c>
      <c r="O61" s="81">
        <f t="shared" si="6"/>
        <v>0.69376674416323947</v>
      </c>
      <c r="P61" s="79">
        <f t="shared" si="7"/>
        <v>5.026597101391965E-2</v>
      </c>
      <c r="Q61" s="79"/>
      <c r="R61" s="180">
        <f t="shared" si="9"/>
        <v>7.6197640576875E-3</v>
      </c>
      <c r="S61" s="82">
        <f t="shared" si="10"/>
        <v>0.12052774529717651</v>
      </c>
      <c r="T61" s="78">
        <f t="shared" si="11"/>
        <v>5.7560750220015242</v>
      </c>
    </row>
    <row r="62" spans="1:20" s="1" customFormat="1" ht="11.25" customHeight="1" x14ac:dyDescent="0.2">
      <c r="A62" s="83">
        <v>59</v>
      </c>
      <c r="B62" s="83" t="s">
        <v>400</v>
      </c>
      <c r="C62" s="84">
        <v>6.1859999999999999</v>
      </c>
      <c r="D62" s="84">
        <v>0.32924846875000002</v>
      </c>
      <c r="E62" s="84">
        <v>-9.8872569811284663</v>
      </c>
      <c r="F62" s="84">
        <v>0.7761948125</v>
      </c>
      <c r="G62" s="84">
        <v>-21.372448746129177</v>
      </c>
      <c r="H62" s="101">
        <f t="shared" si="0"/>
        <v>-25.794937522900081</v>
      </c>
      <c r="I62" s="78">
        <f t="shared" si="1"/>
        <v>-12.592236503920725</v>
      </c>
      <c r="J62" s="79">
        <f t="shared" si="2"/>
        <v>0.12547604469770449</v>
      </c>
      <c r="K62" s="79"/>
      <c r="L62" s="79"/>
      <c r="M62" s="79">
        <f t="shared" si="4"/>
        <v>0</v>
      </c>
      <c r="N62" s="180">
        <f t="shared" si="5"/>
        <v>4.1405336078000003E-2</v>
      </c>
      <c r="O62" s="81">
        <f t="shared" si="6"/>
        <v>0.66933941283543485</v>
      </c>
      <c r="P62" s="79">
        <f t="shared" si="7"/>
        <v>5.3224776713546723E-2</v>
      </c>
      <c r="Q62" s="79"/>
      <c r="R62" s="180">
        <f t="shared" si="9"/>
        <v>7.8947197836875E-3</v>
      </c>
      <c r="S62" s="82">
        <f t="shared" si="10"/>
        <v>0.12762236960374232</v>
      </c>
      <c r="T62" s="78">
        <f t="shared" si="11"/>
        <v>5.2446872355816812</v>
      </c>
    </row>
    <row r="63" spans="1:20" s="1" customFormat="1" ht="11.25" customHeight="1" x14ac:dyDescent="0.2">
      <c r="A63" s="95">
        <v>60</v>
      </c>
      <c r="B63" s="95" t="s">
        <v>401</v>
      </c>
      <c r="C63" s="96">
        <v>6.2839999999999998</v>
      </c>
      <c r="D63" s="96">
        <v>0.24934100000000001</v>
      </c>
      <c r="E63" s="96">
        <v>-3.5344287809826458</v>
      </c>
      <c r="F63" s="96">
        <v>0.36518790625000003</v>
      </c>
      <c r="G63" s="96">
        <v>-21.838766228154707</v>
      </c>
      <c r="H63" s="101">
        <f>$B$26*G63+$D$26</f>
        <v>-26.258736890522673</v>
      </c>
      <c r="I63" s="78">
        <f>$B$27*E63+$D$27</f>
        <v>-5.9001672778871193</v>
      </c>
      <c r="J63" s="79">
        <f>(F63)/C63</f>
        <v>5.8113925246658184E-2</v>
      </c>
      <c r="K63" s="79"/>
      <c r="L63" s="79"/>
      <c r="M63" s="79">
        <f>C63*(K63/100)</f>
        <v>0</v>
      </c>
      <c r="N63" s="180">
        <f>F63*$B$28+$D$28</f>
        <v>1.9480583671000001E-2</v>
      </c>
      <c r="O63" s="81">
        <f>N63/C63*100</f>
        <v>0.31000292283577346</v>
      </c>
      <c r="P63" s="79">
        <f>D63/C63</f>
        <v>3.9678707829408022E-2</v>
      </c>
      <c r="Q63" s="79"/>
      <c r="R63" s="180">
        <f>D63*$B$29+$D$29</f>
        <v>5.9786984979999999E-3</v>
      </c>
      <c r="S63" s="82">
        <f>R63/C63*100</f>
        <v>9.5141605633354553E-2</v>
      </c>
      <c r="T63" s="78">
        <f>N63/R63</f>
        <v>3.2583318388637035</v>
      </c>
    </row>
    <row r="64" spans="1:20" s="1" customFormat="1" ht="11.25" customHeight="1" x14ac:dyDescent="0.2">
      <c r="A64" s="83">
        <v>61</v>
      </c>
      <c r="B64" s="83" t="s">
        <v>402</v>
      </c>
      <c r="C64" s="84">
        <v>6.133</v>
      </c>
      <c r="D64" s="84">
        <v>0.26781175000000002</v>
      </c>
      <c r="E64" s="84">
        <v>-15.549276865639005</v>
      </c>
      <c r="F64" s="84">
        <v>0.58987862499999999</v>
      </c>
      <c r="G64" s="84">
        <v>-21.644852663810873</v>
      </c>
      <c r="H64" s="101">
        <f t="shared" si="0"/>
        <v>-26.065870459426296</v>
      </c>
      <c r="I64" s="78">
        <f t="shared" si="1"/>
        <v>-18.556608250264127</v>
      </c>
      <c r="J64" s="79">
        <f t="shared" si="2"/>
        <v>9.618109000489157E-2</v>
      </c>
      <c r="K64" s="79"/>
      <c r="L64" s="79"/>
      <c r="M64" s="79">
        <f t="shared" ref="M64:M67" si="20">C64*(K64/100)</f>
        <v>0</v>
      </c>
      <c r="N64" s="180">
        <f t="shared" ref="N64:N67" si="21">F64*$B$28+$D$28</f>
        <v>3.1466485372000003E-2</v>
      </c>
      <c r="O64" s="81">
        <f t="shared" ref="O64:O67" si="22">N64/C64*100</f>
        <v>0.51306840652209362</v>
      </c>
      <c r="P64" s="79">
        <f t="shared" ref="P64:P67" si="23">D64/C64</f>
        <v>4.3667332463720857E-2</v>
      </c>
      <c r="Q64" s="79"/>
      <c r="R64" s="180">
        <f t="shared" si="9"/>
        <v>6.4215901415000005E-3</v>
      </c>
      <c r="S64" s="82">
        <f t="shared" si="10"/>
        <v>0.10470552978150988</v>
      </c>
      <c r="T64" s="78">
        <f t="shared" si="11"/>
        <v>4.9001080228782454</v>
      </c>
    </row>
    <row r="65" spans="1:20" s="1" customFormat="1" ht="11.25" customHeight="1" x14ac:dyDescent="0.2">
      <c r="A65" s="95">
        <v>62</v>
      </c>
      <c r="B65" s="95" t="s">
        <v>403</v>
      </c>
      <c r="C65" s="96">
        <v>6.1470000000000002</v>
      </c>
      <c r="D65" s="96">
        <v>0.247846234375</v>
      </c>
      <c r="E65" s="96">
        <v>-6.1157628196886193</v>
      </c>
      <c r="F65" s="96">
        <v>0.42725043750000002</v>
      </c>
      <c r="G65" s="96">
        <v>-21.09842868564812</v>
      </c>
      <c r="H65" s="101">
        <f t="shared" si="0"/>
        <v>-25.52239717074562</v>
      </c>
      <c r="I65" s="78">
        <f t="shared" si="1"/>
        <v>-8.6193445542599907</v>
      </c>
      <c r="J65" s="79">
        <f t="shared" si="2"/>
        <v>6.9505520985846753E-2</v>
      </c>
      <c r="K65" s="79"/>
      <c r="L65" s="79"/>
      <c r="M65" s="79">
        <f t="shared" si="20"/>
        <v>0</v>
      </c>
      <c r="N65" s="180">
        <f t="shared" si="21"/>
        <v>2.2791247338000004E-2</v>
      </c>
      <c r="O65" s="81">
        <f t="shared" si="22"/>
        <v>0.37077025114690099</v>
      </c>
      <c r="P65" s="79">
        <f t="shared" si="23"/>
        <v>4.0319868940133397E-2</v>
      </c>
      <c r="Q65" s="79"/>
      <c r="R65" s="180">
        <f t="shared" si="9"/>
        <v>5.9428570078437501E-3</v>
      </c>
      <c r="S65" s="82">
        <f t="shared" si="10"/>
        <v>9.6678981744651865E-2</v>
      </c>
      <c r="T65" s="78">
        <f t="shared" si="11"/>
        <v>3.8350657449638628</v>
      </c>
    </row>
    <row r="66" spans="1:20" s="90" customFormat="1" ht="11.25" customHeight="1" x14ac:dyDescent="0.2">
      <c r="A66" s="117">
        <v>63</v>
      </c>
      <c r="B66" s="117" t="s">
        <v>61</v>
      </c>
      <c r="C66" s="105">
        <v>0.998</v>
      </c>
      <c r="D66" s="105">
        <v>1.215724625</v>
      </c>
      <c r="E66" s="105">
        <v>3.2111050922343232</v>
      </c>
      <c r="F66" s="105">
        <v>8.2114764999999998</v>
      </c>
      <c r="G66" s="105">
        <v>-22.091552715568579</v>
      </c>
      <c r="H66" s="100">
        <f t="shared" si="0"/>
        <v>-26.51015833090451</v>
      </c>
      <c r="I66" s="86">
        <f t="shared" si="1"/>
        <v>1.2055781041596356</v>
      </c>
      <c r="J66" s="87">
        <f t="shared" si="2"/>
        <v>8.2279323647294582</v>
      </c>
      <c r="K66" s="87">
        <f t="shared" ref="K66:L66" si="24">H$14</f>
        <v>44.65</v>
      </c>
      <c r="L66" s="87">
        <f t="shared" si="24"/>
        <v>2.83</v>
      </c>
      <c r="M66" s="87">
        <f t="shared" si="20"/>
        <v>0.44560700000000003</v>
      </c>
      <c r="N66" s="179">
        <f t="shared" si="21"/>
        <v>0.43803300241600002</v>
      </c>
      <c r="O66" s="91">
        <f t="shared" si="22"/>
        <v>43.891082406412828</v>
      </c>
      <c r="P66" s="87">
        <f t="shared" si="23"/>
        <v>1.2181609468937875</v>
      </c>
      <c r="Q66" s="87">
        <f t="shared" ref="Q66" si="25">C66*(L66/100)</f>
        <v>2.8243400000000002E-2</v>
      </c>
      <c r="R66" s="179">
        <f t="shared" si="9"/>
        <v>2.9150645058249998E-2</v>
      </c>
      <c r="S66" s="89">
        <f t="shared" si="10"/>
        <v>2.9209063184619235</v>
      </c>
      <c r="T66" s="86">
        <f t="shared" si="11"/>
        <v>15.026528625377063</v>
      </c>
    </row>
    <row r="67" spans="1:20" s="126" customFormat="1" ht="11.25" customHeight="1" x14ac:dyDescent="0.2">
      <c r="A67" s="119">
        <v>64</v>
      </c>
      <c r="B67" s="119" t="s">
        <v>98</v>
      </c>
      <c r="C67" s="120">
        <v>2.468</v>
      </c>
      <c r="D67" s="120">
        <v>0.334109875</v>
      </c>
      <c r="E67" s="120">
        <v>0.12804672030730657</v>
      </c>
      <c r="F67" s="120">
        <v>1.555968625</v>
      </c>
      <c r="G67" s="120">
        <v>-15.214556247244095</v>
      </c>
      <c r="H67" s="121">
        <f t="shared" si="0"/>
        <v>-19.670297643508977</v>
      </c>
      <c r="I67" s="122">
        <f t="shared" si="1"/>
        <v>-2.0421155848282835</v>
      </c>
      <c r="J67" s="118">
        <f t="shared" si="2"/>
        <v>0.63045730348460294</v>
      </c>
      <c r="K67" s="118">
        <f>H$13</f>
        <v>3.3479999999999999</v>
      </c>
      <c r="L67" s="118"/>
      <c r="M67" s="118">
        <f t="shared" si="20"/>
        <v>8.2628639999999989E-2</v>
      </c>
      <c r="N67" s="181">
        <f t="shared" si="21"/>
        <v>8.3001590331999997E-2</v>
      </c>
      <c r="O67" s="124">
        <f t="shared" si="22"/>
        <v>3.3631114397082653</v>
      </c>
      <c r="P67" s="118">
        <f t="shared" si="23"/>
        <v>0.1353767726904376</v>
      </c>
      <c r="Q67" s="118"/>
      <c r="R67" s="181">
        <f t="shared" si="9"/>
        <v>8.0112865827500004E-3</v>
      </c>
      <c r="S67" s="125">
        <f t="shared" si="10"/>
        <v>0.32460642555713132</v>
      </c>
      <c r="T67" s="122">
        <f t="shared" si="11"/>
        <v>10.360581845957181</v>
      </c>
    </row>
    <row r="68" spans="1:20" s="1" customFormat="1" ht="11.25" customHeight="1" x14ac:dyDescent="0.2">
      <c r="A68" s="83">
        <v>65</v>
      </c>
      <c r="B68" s="83" t="s">
        <v>404</v>
      </c>
      <c r="C68" s="84">
        <v>6.1189999999999998</v>
      </c>
      <c r="D68" s="84">
        <v>0.22390837499999999</v>
      </c>
      <c r="E68" s="84">
        <v>-4.5881793974933416</v>
      </c>
      <c r="F68" s="84">
        <v>0.21966979687499999</v>
      </c>
      <c r="G68" s="84">
        <v>-23.365407536852658</v>
      </c>
      <c r="H68" s="101">
        <f t="shared" si="0"/>
        <v>-27.777134336153654</v>
      </c>
      <c r="I68" s="78">
        <f t="shared" si="1"/>
        <v>-7.0101881773194847</v>
      </c>
      <c r="J68" s="79">
        <f t="shared" si="2"/>
        <v>3.5899623610884134E-2</v>
      </c>
      <c r="K68" s="79"/>
      <c r="L68" s="79"/>
      <c r="M68" s="79">
        <f t="shared" si="4"/>
        <v>0</v>
      </c>
      <c r="N68" s="180">
        <f t="shared" si="5"/>
        <v>1.17180656445E-2</v>
      </c>
      <c r="O68" s="81">
        <f t="shared" si="6"/>
        <v>0.19150295218990032</v>
      </c>
      <c r="P68" s="79">
        <f t="shared" si="7"/>
        <v>3.6592314920738681E-2</v>
      </c>
      <c r="Q68" s="79"/>
      <c r="R68" s="180">
        <f t="shared" si="9"/>
        <v>5.3688750157499998E-3</v>
      </c>
      <c r="S68" s="82">
        <f t="shared" si="10"/>
        <v>8.774105271694721E-2</v>
      </c>
      <c r="T68" s="78">
        <f t="shared" si="11"/>
        <v>2.1825923699330252</v>
      </c>
    </row>
    <row r="69" spans="1:20" s="1" customFormat="1" ht="11.25" customHeight="1" x14ac:dyDescent="0.2">
      <c r="A69" s="95">
        <v>66</v>
      </c>
      <c r="B69" s="95" t="s">
        <v>405</v>
      </c>
      <c r="C69" s="96">
        <v>6.0190000000000001</v>
      </c>
      <c r="D69" s="96">
        <v>0.229078296875</v>
      </c>
      <c r="E69" s="96">
        <v>-2.1840108859115803</v>
      </c>
      <c r="F69" s="96">
        <v>0.2194849375</v>
      </c>
      <c r="G69" s="96">
        <v>-23.041199829675207</v>
      </c>
      <c r="H69" s="101">
        <f t="shared" si="0"/>
        <v>-27.454677350594963</v>
      </c>
      <c r="I69" s="78">
        <f t="shared" si="1"/>
        <v>-4.4776370672192591</v>
      </c>
      <c r="J69" s="79">
        <f t="shared" si="2"/>
        <v>3.6465349310516697E-2</v>
      </c>
      <c r="K69" s="79"/>
      <c r="L69" s="79"/>
      <c r="M69" s="79">
        <f t="shared" si="4"/>
        <v>0</v>
      </c>
      <c r="N69" s="180">
        <f t="shared" si="5"/>
        <v>1.1708204506E-2</v>
      </c>
      <c r="O69" s="81">
        <f t="shared" si="6"/>
        <v>0.19452075936202026</v>
      </c>
      <c r="P69" s="79">
        <f t="shared" si="7"/>
        <v>3.8059195360525003E-2</v>
      </c>
      <c r="Q69" s="79"/>
      <c r="R69" s="180">
        <f t="shared" si="9"/>
        <v>5.4928394024687495E-3</v>
      </c>
      <c r="S69" s="82">
        <f t="shared" si="10"/>
        <v>9.125833863546684E-2</v>
      </c>
      <c r="T69" s="78">
        <f t="shared" si="11"/>
        <v>2.131539564171085</v>
      </c>
    </row>
    <row r="70" spans="1:20" s="1" customFormat="1" ht="11.25" customHeight="1" x14ac:dyDescent="0.2">
      <c r="A70" s="83">
        <v>67</v>
      </c>
      <c r="B70" s="83" t="s">
        <v>406</v>
      </c>
      <c r="C70" s="84">
        <v>6.13</v>
      </c>
      <c r="D70" s="84">
        <v>0.21722675</v>
      </c>
      <c r="E70" s="84">
        <v>-4.7155998187389248</v>
      </c>
      <c r="F70" s="84">
        <v>0.13931134375000001</v>
      </c>
      <c r="G70" s="84">
        <v>-24.186847161212455</v>
      </c>
      <c r="H70" s="101">
        <f t="shared" si="0"/>
        <v>-28.594138186541908</v>
      </c>
      <c r="I70" s="78">
        <f t="shared" si="1"/>
        <v>-7.1444128490595826</v>
      </c>
      <c r="J70" s="79">
        <f t="shared" si="2"/>
        <v>2.2726157218597064E-2</v>
      </c>
      <c r="K70" s="79"/>
      <c r="L70" s="79"/>
      <c r="M70" s="79">
        <f t="shared" si="4"/>
        <v>0</v>
      </c>
      <c r="N70" s="180">
        <f t="shared" si="5"/>
        <v>7.4314243210000007E-3</v>
      </c>
      <c r="O70" s="81">
        <f t="shared" si="6"/>
        <v>0.12123041306688419</v>
      </c>
      <c r="P70" s="79">
        <f t="shared" si="7"/>
        <v>3.5436663947797716E-2</v>
      </c>
      <c r="Q70" s="79"/>
      <c r="R70" s="180">
        <f t="shared" si="9"/>
        <v>5.2086630114999994E-3</v>
      </c>
      <c r="S70" s="82">
        <f t="shared" si="10"/>
        <v>8.4970032814029359E-2</v>
      </c>
      <c r="T70" s="78">
        <f t="shared" si="11"/>
        <v>1.4267431593467375</v>
      </c>
    </row>
    <row r="71" spans="1:20" s="1" customFormat="1" ht="11.25" customHeight="1" x14ac:dyDescent="0.2">
      <c r="A71" s="95">
        <v>68</v>
      </c>
      <c r="B71" s="95" t="s">
        <v>407</v>
      </c>
      <c r="C71" s="96">
        <v>5.9610000000000003</v>
      </c>
      <c r="D71" s="96">
        <v>0.21085582812500001</v>
      </c>
      <c r="E71" s="96">
        <v>-3.9874019296608498</v>
      </c>
      <c r="F71" s="96">
        <v>0.162066203125</v>
      </c>
      <c r="G71" s="96">
        <v>-24.162273576167205</v>
      </c>
      <c r="H71" s="101">
        <f t="shared" si="0"/>
        <v>-28.569697298855903</v>
      </c>
      <c r="I71" s="78">
        <f t="shared" si="1"/>
        <v>-6.3773291927047389</v>
      </c>
      <c r="J71" s="79">
        <f t="shared" si="2"/>
        <v>2.7187754256836099E-2</v>
      </c>
      <c r="K71" s="79"/>
      <c r="L71" s="79"/>
      <c r="M71" s="79">
        <f t="shared" si="4"/>
        <v>0</v>
      </c>
      <c r="N71" s="180">
        <f t="shared" si="5"/>
        <v>8.6452595395000009E-3</v>
      </c>
      <c r="O71" s="81">
        <f t="shared" si="6"/>
        <v>0.14503035630766653</v>
      </c>
      <c r="P71" s="79">
        <f t="shared" si="7"/>
        <v>3.5372559658614328E-2</v>
      </c>
      <c r="Q71" s="79"/>
      <c r="R71" s="180">
        <f t="shared" si="9"/>
        <v>5.0559010467812497E-3</v>
      </c>
      <c r="S71" s="82">
        <f t="shared" si="10"/>
        <v>8.4816323549425421E-2</v>
      </c>
      <c r="T71" s="78">
        <f t="shared" si="11"/>
        <v>1.709934482401283</v>
      </c>
    </row>
    <row r="72" spans="1:20" s="1" customFormat="1" ht="11.25" customHeight="1" x14ac:dyDescent="0.2">
      <c r="A72" s="83">
        <v>69</v>
      </c>
      <c r="B72" s="83" t="s">
        <v>408</v>
      </c>
      <c r="C72" s="84">
        <v>6.1870000000000003</v>
      </c>
      <c r="D72" s="84">
        <v>0.21530487500000001</v>
      </c>
      <c r="E72" s="84">
        <v>-5.3804888096455894</v>
      </c>
      <c r="F72" s="84">
        <v>0.32398234375000001</v>
      </c>
      <c r="G72" s="84">
        <v>-21.963282435561279</v>
      </c>
      <c r="H72" s="101">
        <f t="shared" si="0"/>
        <v>-26.38258071040925</v>
      </c>
      <c r="I72" s="78">
        <f t="shared" si="1"/>
        <v>-7.8448069120806636</v>
      </c>
      <c r="J72" s="79">
        <f t="shared" si="2"/>
        <v>5.2365014344593501E-2</v>
      </c>
      <c r="K72" s="79"/>
      <c r="L72" s="79"/>
      <c r="M72" s="79">
        <f t="shared" si="4"/>
        <v>0</v>
      </c>
      <c r="N72" s="180">
        <f t="shared" si="5"/>
        <v>1.7282514145E-2</v>
      </c>
      <c r="O72" s="81">
        <f t="shared" si="6"/>
        <v>0.2793359325197996</v>
      </c>
      <c r="P72" s="79">
        <f t="shared" si="7"/>
        <v>3.4799559560368516E-2</v>
      </c>
      <c r="Q72" s="79"/>
      <c r="R72" s="180">
        <f t="shared" si="9"/>
        <v>5.1625802927500004E-3</v>
      </c>
      <c r="S72" s="82">
        <f t="shared" si="10"/>
        <v>8.3442383913851628E-2</v>
      </c>
      <c r="T72" s="78">
        <f t="shared" si="11"/>
        <v>3.3476504315623847</v>
      </c>
    </row>
    <row r="73" spans="1:20" s="1" customFormat="1" ht="11.25" customHeight="1" x14ac:dyDescent="0.2">
      <c r="A73" s="95">
        <v>70</v>
      </c>
      <c r="B73" s="95" t="s">
        <v>409</v>
      </c>
      <c r="C73" s="96">
        <v>6.3220000000000001</v>
      </c>
      <c r="D73" s="96">
        <v>0.186644296875</v>
      </c>
      <c r="E73" s="96">
        <v>-5.3544145975092938</v>
      </c>
      <c r="F73" s="96">
        <v>0.17824567187500001</v>
      </c>
      <c r="G73" s="96">
        <v>-22.021651686108928</v>
      </c>
      <c r="H73" s="101">
        <f t="shared" si="0"/>
        <v>-26.440634767003942</v>
      </c>
      <c r="I73" s="78">
        <f t="shared" si="1"/>
        <v>-7.8173403370162902</v>
      </c>
      <c r="J73" s="79">
        <f t="shared" si="2"/>
        <v>2.8194506781872828E-2</v>
      </c>
      <c r="K73" s="79"/>
      <c r="L73" s="79"/>
      <c r="M73" s="79">
        <f t="shared" si="4"/>
        <v>0</v>
      </c>
      <c r="N73" s="180">
        <f t="shared" si="5"/>
        <v>9.508337120500001E-3</v>
      </c>
      <c r="O73" s="81">
        <f t="shared" si="6"/>
        <v>0.15040077697722243</v>
      </c>
      <c r="P73" s="79">
        <f t="shared" si="7"/>
        <v>2.9522982738848465E-2</v>
      </c>
      <c r="Q73" s="79"/>
      <c r="R73" s="180">
        <f t="shared" si="9"/>
        <v>4.4753569504687504E-3</v>
      </c>
      <c r="S73" s="82">
        <f t="shared" si="10"/>
        <v>7.0790208011210845E-2</v>
      </c>
      <c r="T73" s="78">
        <f t="shared" si="11"/>
        <v>2.1245986020185708</v>
      </c>
    </row>
    <row r="74" spans="1:20" s="90" customFormat="1" ht="11.25" customHeight="1" x14ac:dyDescent="0.2">
      <c r="A74" s="83">
        <v>71</v>
      </c>
      <c r="B74" s="83" t="s">
        <v>410</v>
      </c>
      <c r="C74" s="84">
        <v>5.9740000000000002</v>
      </c>
      <c r="D74" s="84">
        <v>0.17357312499999999</v>
      </c>
      <c r="E74" s="84">
        <v>-3.7615552567753507</v>
      </c>
      <c r="F74" s="84">
        <v>0.21587765624999999</v>
      </c>
      <c r="G74" s="84">
        <v>-23.008923290844844</v>
      </c>
      <c r="H74" s="101">
        <f t="shared" si="0"/>
        <v>-27.422575105074284</v>
      </c>
      <c r="I74" s="78">
        <f t="shared" si="1"/>
        <v>-6.1394223074871537</v>
      </c>
      <c r="J74" s="79">
        <f t="shared" si="2"/>
        <v>3.6136199573150313E-2</v>
      </c>
      <c r="K74" s="79"/>
      <c r="L74" s="79"/>
      <c r="M74" s="79">
        <f t="shared" si="4"/>
        <v>0</v>
      </c>
      <c r="N74" s="180">
        <f t="shared" si="5"/>
        <v>1.1515777695E-2</v>
      </c>
      <c r="O74" s="81">
        <f t="shared" si="6"/>
        <v>0.19276494300301306</v>
      </c>
      <c r="P74" s="79">
        <f t="shared" si="7"/>
        <v>2.9054758118513557E-2</v>
      </c>
      <c r="Q74" s="79"/>
      <c r="R74" s="180">
        <f t="shared" si="9"/>
        <v>4.16193639125E-3</v>
      </c>
      <c r="S74" s="82">
        <f t="shared" si="10"/>
        <v>6.9667499016571807E-2</v>
      </c>
      <c r="T74" s="78">
        <f t="shared" si="11"/>
        <v>2.7669278461849198</v>
      </c>
    </row>
    <row r="75" spans="1:20" s="126" customFormat="1" ht="11.25" customHeight="1" x14ac:dyDescent="0.2">
      <c r="A75" s="119">
        <v>72</v>
      </c>
      <c r="B75" s="119" t="s">
        <v>109</v>
      </c>
      <c r="C75" s="120">
        <v>3.0640000000000001</v>
      </c>
      <c r="D75" s="120">
        <v>0.33182078124999997</v>
      </c>
      <c r="E75" s="120">
        <v>0.98515778783214714</v>
      </c>
      <c r="F75" s="120">
        <v>1.8980846250000001</v>
      </c>
      <c r="G75" s="120">
        <v>-15.600898852505955</v>
      </c>
      <c r="H75" s="121">
        <f t="shared" si="0"/>
        <v>-20.054553998702424</v>
      </c>
      <c r="I75" s="122">
        <f t="shared" si="1"/>
        <v>-1.1392347862976164</v>
      </c>
      <c r="J75" s="118">
        <f t="shared" si="2"/>
        <v>0.61947931625326369</v>
      </c>
      <c r="K75" s="118">
        <f>H$13</f>
        <v>3.3479999999999999</v>
      </c>
      <c r="L75" s="118"/>
      <c r="M75" s="118">
        <f t="shared" si="4"/>
        <v>0.10258271999999999</v>
      </c>
      <c r="N75" s="181">
        <f t="shared" si="5"/>
        <v>0.101251426236</v>
      </c>
      <c r="O75" s="124">
        <f t="shared" si="6"/>
        <v>3.3045504646214101</v>
      </c>
      <c r="P75" s="118">
        <f t="shared" si="7"/>
        <v>0.10829659962467363</v>
      </c>
      <c r="Q75" s="118"/>
      <c r="R75" s="181">
        <f t="shared" si="9"/>
        <v>7.9563986928125E-3</v>
      </c>
      <c r="S75" s="125">
        <f t="shared" si="10"/>
        <v>0.25967358658004241</v>
      </c>
      <c r="T75" s="122">
        <f t="shared" si="11"/>
        <v>12.725785891984849</v>
      </c>
    </row>
    <row r="76" spans="1:20" s="1" customFormat="1" ht="11.25" customHeight="1" x14ac:dyDescent="0.2">
      <c r="A76" s="83">
        <v>73</v>
      </c>
      <c r="B76" s="83" t="s">
        <v>64</v>
      </c>
      <c r="C76" s="84">
        <v>0.34799999999999998</v>
      </c>
      <c r="D76" s="84">
        <v>3.0594822499999998</v>
      </c>
      <c r="E76" s="84">
        <v>2.2293901143839445</v>
      </c>
      <c r="F76" s="84">
        <v>1.4427908203124999E-2</v>
      </c>
      <c r="G76" s="84">
        <v>-15.491924974984062</v>
      </c>
      <c r="H76" s="101">
        <f>$B$26*G76+$D$26</f>
        <v>-19.946168580119149</v>
      </c>
      <c r="I76" s="78">
        <f>$B$27*E76+$D$27</f>
        <v>0.17143954649204707</v>
      </c>
      <c r="J76" s="79">
        <f>(F76)/C76</f>
        <v>4.1459506330818963E-2</v>
      </c>
      <c r="K76" s="79"/>
      <c r="L76" s="79"/>
      <c r="M76" s="79">
        <f t="shared" si="4"/>
        <v>0</v>
      </c>
      <c r="N76" s="180">
        <f t="shared" si="5"/>
        <v>7.696423351875E-4</v>
      </c>
      <c r="O76" s="81">
        <f t="shared" si="6"/>
        <v>0.2211615905711207</v>
      </c>
      <c r="P76" s="79">
        <f t="shared" si="7"/>
        <v>8.7916156609195397</v>
      </c>
      <c r="Q76" s="79"/>
      <c r="R76" s="180">
        <f>D76*$B$29+$D$29</f>
        <v>7.3360265390499987E-2</v>
      </c>
      <c r="S76" s="82">
        <f>R76/C76*100</f>
        <v>21.080536031752871</v>
      </c>
      <c r="T76" s="78">
        <f>N76/R76</f>
        <v>1.0491269777864888E-2</v>
      </c>
    </row>
    <row r="77" spans="1:20" s="1" customFormat="1" ht="11.25" customHeight="1" x14ac:dyDescent="0.2">
      <c r="A77" s="95">
        <v>74</v>
      </c>
      <c r="B77" s="95" t="s">
        <v>69</v>
      </c>
      <c r="C77" s="96">
        <v>0.29699999999999999</v>
      </c>
      <c r="D77" s="96">
        <v>2.5652677499999998</v>
      </c>
      <c r="E77" s="96">
        <v>20.510104257347006</v>
      </c>
      <c r="F77" s="96">
        <v>1.1561404296874999E-2</v>
      </c>
      <c r="G77" s="96">
        <v>-16.330389676003762</v>
      </c>
      <c r="H77" s="101">
        <f t="shared" si="0"/>
        <v>-20.780105571753342</v>
      </c>
      <c r="I77" s="78">
        <f t="shared" si="1"/>
        <v>19.428343824689335</v>
      </c>
      <c r="J77" s="79">
        <f t="shared" si="2"/>
        <v>3.8927287194865316E-2</v>
      </c>
      <c r="K77" s="79"/>
      <c r="L77" s="79"/>
      <c r="M77" s="79">
        <f t="shared" si="4"/>
        <v>0</v>
      </c>
      <c r="N77" s="180">
        <f t="shared" si="5"/>
        <v>6.1673155081250002E-4</v>
      </c>
      <c r="O77" s="81">
        <f t="shared" si="6"/>
        <v>0.20765372081228958</v>
      </c>
      <c r="P77" s="79">
        <f t="shared" si="7"/>
        <v>8.6372651515151517</v>
      </c>
      <c r="Q77" s="79"/>
      <c r="R77" s="180">
        <f t="shared" si="9"/>
        <v>6.1509990109499993E-2</v>
      </c>
      <c r="S77" s="82">
        <f t="shared" si="10"/>
        <v>20.710434380303028</v>
      </c>
      <c r="T77" s="78">
        <f t="shared" si="11"/>
        <v>1.0026526580716327E-2</v>
      </c>
    </row>
    <row r="78" spans="1:20" s="90" customFormat="1" ht="11.25" customHeight="1" x14ac:dyDescent="0.2">
      <c r="A78" s="117">
        <v>75</v>
      </c>
      <c r="B78" s="117" t="s">
        <v>84</v>
      </c>
      <c r="C78" s="105">
        <v>1.333</v>
      </c>
      <c r="D78" s="105">
        <v>1.6419368750000001</v>
      </c>
      <c r="E78" s="105">
        <v>4.3021846758017901</v>
      </c>
      <c r="F78" s="105">
        <v>11.214351000000001</v>
      </c>
      <c r="G78" s="105">
        <v>-22.342451090311137</v>
      </c>
      <c r="H78" s="100">
        <f t="shared" si="0"/>
        <v>-26.759701854423458</v>
      </c>
      <c r="I78" s="86">
        <f t="shared" si="1"/>
        <v>2.3549213374896047</v>
      </c>
      <c r="J78" s="87">
        <f t="shared" si="2"/>
        <v>8.4128664666166557</v>
      </c>
      <c r="K78" s="87">
        <f t="shared" ref="K78:L78" si="26">H$14</f>
        <v>44.65</v>
      </c>
      <c r="L78" s="87">
        <f t="shared" si="26"/>
        <v>2.83</v>
      </c>
      <c r="M78" s="87">
        <f t="shared" si="4"/>
        <v>0.59518450000000001</v>
      </c>
      <c r="N78" s="179">
        <f t="shared" si="5"/>
        <v>0.59821833974400007</v>
      </c>
      <c r="O78" s="91">
        <f t="shared" si="6"/>
        <v>44.87759487951989</v>
      </c>
      <c r="P78" s="87">
        <f t="shared" si="7"/>
        <v>1.2317605963990998</v>
      </c>
      <c r="Q78" s="87">
        <f t="shared" ref="Q78" si="27">C78*(L78/100)</f>
        <v>3.7723900000000005E-2</v>
      </c>
      <c r="R78" s="179">
        <f t="shared" si="9"/>
        <v>3.9370362388750003E-2</v>
      </c>
      <c r="S78" s="89">
        <f t="shared" si="10"/>
        <v>2.9535155580457615</v>
      </c>
      <c r="T78" s="86">
        <f t="shared" si="11"/>
        <v>15.1946363570923</v>
      </c>
    </row>
    <row r="79" spans="1:20" s="1" customFormat="1" ht="11.25" customHeight="1" x14ac:dyDescent="0.2">
      <c r="A79" s="95">
        <v>76</v>
      </c>
      <c r="B79" s="95" t="s">
        <v>62</v>
      </c>
      <c r="C79" s="96">
        <v>1.2949999999999999</v>
      </c>
      <c r="D79" s="96">
        <v>0.161471</v>
      </c>
      <c r="E79" s="96">
        <v>-6.057646861021837</v>
      </c>
      <c r="F79" s="96">
        <v>9.9307420000000004</v>
      </c>
      <c r="G79" s="96">
        <v>-20.825319001134531</v>
      </c>
      <c r="H79" s="101">
        <f t="shared" si="0"/>
        <v>-25.250762278528406</v>
      </c>
      <c r="I79" s="78">
        <f t="shared" si="1"/>
        <v>-8.5581252034004027</v>
      </c>
      <c r="J79" s="79">
        <f t="shared" si="2"/>
        <v>7.6685266409266415</v>
      </c>
      <c r="K79" s="79"/>
      <c r="L79" s="79"/>
      <c r="M79" s="79">
        <f t="shared" si="4"/>
        <v>0</v>
      </c>
      <c r="N79" s="180">
        <f t="shared" si="5"/>
        <v>0.52974550124800002</v>
      </c>
      <c r="O79" s="81">
        <f t="shared" si="6"/>
        <v>40.906988513359074</v>
      </c>
      <c r="P79" s="79">
        <f t="shared" si="7"/>
        <v>0.1246880308880309</v>
      </c>
      <c r="Q79" s="79"/>
      <c r="R79" s="180">
        <f t="shared" si="9"/>
        <v>3.8717516380000002E-3</v>
      </c>
      <c r="S79" s="82">
        <f t="shared" si="10"/>
        <v>0.29897696046332051</v>
      </c>
      <c r="T79" s="78">
        <f t="shared" si="11"/>
        <v>136.82321356791533</v>
      </c>
    </row>
    <row r="80" spans="1:20" s="1" customFormat="1" ht="11.25" customHeight="1" x14ac:dyDescent="0.2">
      <c r="A80" s="83">
        <v>77</v>
      </c>
      <c r="B80" s="83" t="s">
        <v>63</v>
      </c>
      <c r="C80" s="84">
        <v>1.0680000000000001</v>
      </c>
      <c r="D80" s="84">
        <v>0.15733681250000001</v>
      </c>
      <c r="E80" s="84">
        <v>-5.7069950861717844</v>
      </c>
      <c r="F80" s="84">
        <v>7.9178715000000004</v>
      </c>
      <c r="G80" s="84">
        <v>-6.5919129283866171</v>
      </c>
      <c r="H80" s="101">
        <f t="shared" si="0"/>
        <v>-11.094216598573329</v>
      </c>
      <c r="I80" s="78">
        <f t="shared" si="1"/>
        <v>-8.1887486237733569</v>
      </c>
      <c r="J80" s="79">
        <f t="shared" si="2"/>
        <v>7.413737359550562</v>
      </c>
      <c r="K80" s="79"/>
      <c r="L80" s="79"/>
      <c r="M80" s="79">
        <f t="shared" si="4"/>
        <v>0</v>
      </c>
      <c r="N80" s="180">
        <f t="shared" si="5"/>
        <v>0.42237093729600006</v>
      </c>
      <c r="O80" s="81">
        <f t="shared" si="6"/>
        <v>39.547840570786519</v>
      </c>
      <c r="P80" s="79">
        <f t="shared" si="7"/>
        <v>0.14731911282771534</v>
      </c>
      <c r="Q80" s="79"/>
      <c r="R80" s="180">
        <f t="shared" si="9"/>
        <v>3.7726220901250001E-3</v>
      </c>
      <c r="S80" s="82">
        <f t="shared" si="10"/>
        <v>0.35324176873829588</v>
      </c>
      <c r="T80" s="78">
        <f t="shared" si="11"/>
        <v>111.9568637424814</v>
      </c>
    </row>
    <row r="81" spans="1:28" ht="11.25" customHeight="1" x14ac:dyDescent="0.2">
      <c r="A81" s="114">
        <v>78</v>
      </c>
      <c r="B81" s="114" t="s">
        <v>70</v>
      </c>
      <c r="C81" s="108">
        <v>1.04</v>
      </c>
      <c r="D81" s="96">
        <v>0.15533703125000001</v>
      </c>
      <c r="E81" s="96">
        <v>-7.264984495336968</v>
      </c>
      <c r="F81" s="108">
        <v>3.68912</v>
      </c>
      <c r="G81" s="108">
        <v>-13.950030406608105</v>
      </c>
      <c r="H81" s="101">
        <f t="shared" si="0"/>
        <v>-18.41260024241242</v>
      </c>
      <c r="I81" s="78">
        <f t="shared" si="1"/>
        <v>-9.8299346673879615</v>
      </c>
      <c r="J81" s="79">
        <f t="shared" si="2"/>
        <v>3.5472307692307692</v>
      </c>
      <c r="K81" s="79"/>
      <c r="L81" s="79"/>
      <c r="M81" s="79">
        <f t="shared" si="4"/>
        <v>0</v>
      </c>
      <c r="N81" s="180">
        <f t="shared" si="5"/>
        <v>0.19679241728000002</v>
      </c>
      <c r="O81" s="81">
        <f t="shared" si="6"/>
        <v>18.922347815384615</v>
      </c>
      <c r="P81" s="79">
        <f t="shared" si="7"/>
        <v>0.14936253004807692</v>
      </c>
      <c r="Q81" s="79"/>
      <c r="R81" s="180">
        <f t="shared" si="9"/>
        <v>3.7246713353125001E-3</v>
      </c>
      <c r="S81" s="82">
        <f t="shared" si="10"/>
        <v>0.35814147454927886</v>
      </c>
      <c r="T81" s="78">
        <f t="shared" si="11"/>
        <v>52.834840866164406</v>
      </c>
      <c r="V81" s="1"/>
      <c r="W81" s="1"/>
      <c r="X81" s="1"/>
      <c r="Y81" s="1"/>
      <c r="Z81" s="1"/>
      <c r="AA81" s="1"/>
      <c r="AB81" s="1"/>
    </row>
    <row r="82" spans="1:28" ht="11.25" customHeight="1" x14ac:dyDescent="0.2">
      <c r="A82" s="110">
        <v>79</v>
      </c>
      <c r="B82" s="110" t="s">
        <v>86</v>
      </c>
      <c r="D82" s="85">
        <v>0.15664275</v>
      </c>
      <c r="E82" s="85">
        <v>-7.3872754858924639</v>
      </c>
      <c r="H82" s="101">
        <f t="shared" si="0"/>
        <v>-4.5378999999999996</v>
      </c>
      <c r="I82" s="78">
        <f t="shared" si="1"/>
        <v>-9.9587559968391215</v>
      </c>
      <c r="J82" s="79" t="e">
        <f t="shared" si="2"/>
        <v>#DIV/0!</v>
      </c>
      <c r="K82" s="79"/>
      <c r="L82" s="79">
        <v>0</v>
      </c>
      <c r="M82" s="79">
        <f t="shared" si="4"/>
        <v>0</v>
      </c>
      <c r="N82" s="180">
        <f t="shared" si="5"/>
        <v>0</v>
      </c>
      <c r="O82" s="81" t="e">
        <f t="shared" si="6"/>
        <v>#DIV/0!</v>
      </c>
      <c r="P82" s="79" t="e">
        <f t="shared" si="7"/>
        <v>#DIV/0!</v>
      </c>
      <c r="Q82" s="79">
        <f t="shared" ref="Q82" si="28">C82*(L82/100)</f>
        <v>0</v>
      </c>
      <c r="R82" s="180">
        <f t="shared" si="9"/>
        <v>3.7559798594999998E-3</v>
      </c>
      <c r="S82" s="82" t="e">
        <f t="shared" si="10"/>
        <v>#DIV/0!</v>
      </c>
      <c r="T82" s="78">
        <f t="shared" si="11"/>
        <v>0</v>
      </c>
      <c r="V82" s="1"/>
      <c r="W82" s="1"/>
      <c r="X82" s="1"/>
      <c r="Y82" s="1"/>
      <c r="Z82" s="1"/>
      <c r="AA82" s="1"/>
      <c r="AB82" s="1"/>
    </row>
    <row r="83" spans="1:28" ht="11.25" customHeight="1" x14ac:dyDescent="0.2">
      <c r="A83" s="110"/>
      <c r="B83" s="110"/>
      <c r="C83" s="85"/>
      <c r="D83" s="85"/>
      <c r="E83" s="85"/>
      <c r="V83" s="1"/>
      <c r="W83" s="1"/>
      <c r="X83" s="1"/>
      <c r="Y83" s="1"/>
      <c r="Z83" s="1"/>
      <c r="AA83" s="1"/>
      <c r="AB83" s="1"/>
    </row>
    <row r="84" spans="1:28" ht="11.25" customHeight="1" x14ac:dyDescent="0.25">
      <c r="A84" s="1" t="s">
        <v>83</v>
      </c>
      <c r="H84" s="101">
        <f>STDEV(H89:H95)</f>
        <v>0.22634699105063447</v>
      </c>
      <c r="I84" s="101">
        <f>STDEV(I89:I95)</f>
        <v>0.61629001627059543</v>
      </c>
      <c r="J84" s="79"/>
      <c r="K84" s="1"/>
      <c r="L84" s="1"/>
      <c r="M84" s="79"/>
      <c r="N84" s="80"/>
      <c r="O84" s="101">
        <f>STDEV(O89:O95)</f>
        <v>0.34259496357837016</v>
      </c>
      <c r="P84" s="79"/>
      <c r="Q84" s="79"/>
      <c r="R84" s="80"/>
      <c r="S84" s="101">
        <f>STDEV(S89:S95)</f>
        <v>0.10686288374588346</v>
      </c>
      <c r="T84" s="101">
        <f>STDEV(T89:T95)</f>
        <v>0.65525359761997437</v>
      </c>
    </row>
    <row r="85" spans="1:28" ht="11.25" customHeight="1" x14ac:dyDescent="0.25">
      <c r="H85" s="102"/>
      <c r="I85" s="102"/>
      <c r="J85"/>
      <c r="K85" s="1"/>
      <c r="L85" s="1"/>
      <c r="O85" s="102"/>
      <c r="S85" s="102"/>
      <c r="T85" s="102"/>
      <c r="V85" s="1"/>
      <c r="W85" s="1"/>
      <c r="X85" s="1"/>
      <c r="Y85" s="1"/>
      <c r="Z85" s="1"/>
      <c r="AA85" s="1"/>
      <c r="AB85" s="1"/>
    </row>
    <row r="86" spans="1:28" s="90" customFormat="1" ht="11.25" customHeight="1" x14ac:dyDescent="0.2">
      <c r="A86" s="119">
        <v>53</v>
      </c>
      <c r="B86" s="119" t="s">
        <v>87</v>
      </c>
      <c r="C86" s="120">
        <v>2.3380000000000001</v>
      </c>
      <c r="D86" s="120">
        <v>1.0580207500000001</v>
      </c>
      <c r="E86" s="120">
        <v>-1.5087075010895568</v>
      </c>
      <c r="F86" s="120">
        <v>1.4612111249999999</v>
      </c>
      <c r="G86" s="120">
        <v>-14.879025722716696</v>
      </c>
      <c r="H86" s="121">
        <f t="shared" ref="H86:H94" si="29">$B$26*G86+$D$26</f>
        <v>-19.336578983814025</v>
      </c>
      <c r="I86" s="122">
        <f t="shared" ref="I86:I92" si="30">$B$27*E86+$D$27</f>
        <v>-3.7662724816477389</v>
      </c>
      <c r="J86" s="118">
        <f t="shared" ref="J86:J95" si="31">(F86)/C86</f>
        <v>0.62498337254063296</v>
      </c>
      <c r="K86" s="118">
        <f>H$13</f>
        <v>3.3479999999999999</v>
      </c>
      <c r="L86" s="118"/>
      <c r="M86" s="118">
        <f t="shared" ref="M86:M95" si="32">C86*(K86/100)</f>
        <v>7.8276239999999997E-2</v>
      </c>
      <c r="N86" s="181">
        <f t="shared" ref="N86:N95" si="33">F86*$B$28+$D$28</f>
        <v>7.7946846252000004E-2</v>
      </c>
      <c r="O86" s="124">
        <f t="shared" ref="O86:O95" si="34">N86/C86*100</f>
        <v>3.333911302480753</v>
      </c>
      <c r="P86" s="118">
        <f t="shared" ref="P86:P95" si="35">D86/C86</f>
        <v>0.45253239948674084</v>
      </c>
      <c r="Q86" s="118"/>
      <c r="R86" s="181">
        <f t="shared" ref="R86:R95" si="36">D86*$B$29+$D$29</f>
        <v>2.5369221543499999E-2</v>
      </c>
      <c r="S86" s="125">
        <f t="shared" ref="S86:S92" si="37">R86/C86*100</f>
        <v>1.0850821874893068</v>
      </c>
      <c r="T86" s="122">
        <f t="shared" ref="T86:T92" si="38">N86/R86</f>
        <v>3.072496572996787</v>
      </c>
      <c r="U86" s="126"/>
      <c r="V86" s="126"/>
      <c r="W86" s="126"/>
      <c r="X86" s="126"/>
      <c r="Y86" s="126"/>
      <c r="Z86" s="126"/>
      <c r="AA86" s="126"/>
      <c r="AB86" s="126"/>
    </row>
    <row r="87" spans="1:28" s="90" customFormat="1" ht="11.25" customHeight="1" x14ac:dyDescent="0.2">
      <c r="A87" s="119">
        <v>64</v>
      </c>
      <c r="B87" s="119" t="s">
        <v>98</v>
      </c>
      <c r="C87" s="120">
        <v>2.468</v>
      </c>
      <c r="D87" s="120">
        <v>0.334109875</v>
      </c>
      <c r="E87" s="120">
        <v>0.12804672030730657</v>
      </c>
      <c r="F87" s="120">
        <v>1.555968625</v>
      </c>
      <c r="G87" s="120">
        <v>-15.214556247244095</v>
      </c>
      <c r="H87" s="121">
        <f t="shared" si="29"/>
        <v>-19.670297643508977</v>
      </c>
      <c r="I87" s="122">
        <f t="shared" si="30"/>
        <v>-2.0421155848282835</v>
      </c>
      <c r="J87" s="118">
        <f t="shared" si="31"/>
        <v>0.63045730348460294</v>
      </c>
      <c r="K87" s="118">
        <f>H$13</f>
        <v>3.3479999999999999</v>
      </c>
      <c r="L87" s="118"/>
      <c r="M87" s="118">
        <f t="shared" si="32"/>
        <v>8.2628639999999989E-2</v>
      </c>
      <c r="N87" s="181">
        <f t="shared" si="33"/>
        <v>8.3001590331999997E-2</v>
      </c>
      <c r="O87" s="124">
        <f t="shared" si="34"/>
        <v>3.3631114397082653</v>
      </c>
      <c r="P87" s="118">
        <f t="shared" si="35"/>
        <v>0.1353767726904376</v>
      </c>
      <c r="Q87" s="118"/>
      <c r="R87" s="181">
        <f t="shared" si="36"/>
        <v>8.0112865827500004E-3</v>
      </c>
      <c r="S87" s="125">
        <f t="shared" si="37"/>
        <v>0.32460642555713132</v>
      </c>
      <c r="T87" s="122">
        <f t="shared" si="38"/>
        <v>10.360581845957181</v>
      </c>
      <c r="U87" s="126"/>
      <c r="V87" s="126"/>
      <c r="W87" s="126"/>
      <c r="X87" s="126"/>
      <c r="Y87" s="126"/>
      <c r="Z87" s="126"/>
      <c r="AA87" s="126"/>
      <c r="AB87" s="126"/>
    </row>
    <row r="88" spans="1:28" s="90" customFormat="1" ht="11.25" customHeight="1" x14ac:dyDescent="0.2">
      <c r="A88" s="119">
        <v>72</v>
      </c>
      <c r="B88" s="119" t="s">
        <v>109</v>
      </c>
      <c r="C88" s="120">
        <v>3.0640000000000001</v>
      </c>
      <c r="D88" s="120">
        <v>0.33182078124999997</v>
      </c>
      <c r="E88" s="120">
        <v>0.98515778783214714</v>
      </c>
      <c r="F88" s="120">
        <v>1.8980846250000001</v>
      </c>
      <c r="G88" s="120">
        <v>-15.600898852505955</v>
      </c>
      <c r="H88" s="121">
        <f t="shared" si="29"/>
        <v>-20.054553998702424</v>
      </c>
      <c r="I88" s="122">
        <f t="shared" si="30"/>
        <v>-1.1392347862976164</v>
      </c>
      <c r="J88" s="118">
        <f t="shared" si="31"/>
        <v>0.61947931625326369</v>
      </c>
      <c r="K88" s="118">
        <f>H$13</f>
        <v>3.3479999999999999</v>
      </c>
      <c r="L88" s="118"/>
      <c r="M88" s="118">
        <f t="shared" si="32"/>
        <v>0.10258271999999999</v>
      </c>
      <c r="N88" s="181">
        <f t="shared" si="33"/>
        <v>0.101251426236</v>
      </c>
      <c r="O88" s="124">
        <f t="shared" si="34"/>
        <v>3.3045504646214101</v>
      </c>
      <c r="P88" s="118">
        <f t="shared" si="35"/>
        <v>0.10829659962467363</v>
      </c>
      <c r="Q88" s="118"/>
      <c r="R88" s="181">
        <f t="shared" si="36"/>
        <v>7.9563986928125E-3</v>
      </c>
      <c r="S88" s="125">
        <f t="shared" si="37"/>
        <v>0.25967358658004241</v>
      </c>
      <c r="T88" s="122">
        <f t="shared" si="38"/>
        <v>12.725785891984849</v>
      </c>
      <c r="U88" s="126"/>
      <c r="V88" s="126"/>
      <c r="W88" s="126"/>
      <c r="X88" s="126"/>
      <c r="Y88" s="126"/>
      <c r="Z88" s="126"/>
      <c r="AA88" s="126"/>
      <c r="AB88" s="126"/>
    </row>
    <row r="89" spans="1:28" s="90" customFormat="1" ht="11.25" customHeight="1" x14ac:dyDescent="0.2">
      <c r="A89" s="117">
        <v>31</v>
      </c>
      <c r="B89" s="117" t="s">
        <v>56</v>
      </c>
      <c r="C89" s="105">
        <v>0.98899999999999999</v>
      </c>
      <c r="D89" s="105">
        <v>1.150854625</v>
      </c>
      <c r="E89" s="105">
        <v>4.9386732987781734</v>
      </c>
      <c r="F89" s="105">
        <v>8.3077555000000007</v>
      </c>
      <c r="G89" s="105">
        <v>-21.639959865735513</v>
      </c>
      <c r="H89" s="100">
        <f t="shared" si="29"/>
        <v>-26.061004082460542</v>
      </c>
      <c r="I89" s="86">
        <f t="shared" si="30"/>
        <v>3.0253984529329272</v>
      </c>
      <c r="J89" s="87">
        <f t="shared" si="31"/>
        <v>8.4001572295247726</v>
      </c>
      <c r="K89" s="87">
        <f t="shared" ref="K89:L95" si="39">H$14</f>
        <v>44.65</v>
      </c>
      <c r="L89" s="87">
        <f t="shared" si="39"/>
        <v>2.83</v>
      </c>
      <c r="M89" s="87">
        <f t="shared" si="32"/>
        <v>0.44158849999999999</v>
      </c>
      <c r="N89" s="179">
        <f t="shared" si="33"/>
        <v>0.44316890939200004</v>
      </c>
      <c r="O89" s="91">
        <f t="shared" si="34"/>
        <v>44.809798725176954</v>
      </c>
      <c r="P89" s="87">
        <f t="shared" si="35"/>
        <v>1.1636548281092012</v>
      </c>
      <c r="Q89" s="87">
        <f>C89*(L89/100)</f>
        <v>2.7988700000000002E-2</v>
      </c>
      <c r="R89" s="179">
        <f t="shared" si="36"/>
        <v>2.7595192198250001E-2</v>
      </c>
      <c r="S89" s="89">
        <f t="shared" si="37"/>
        <v>2.7902115468402426</v>
      </c>
      <c r="T89" s="86">
        <f t="shared" si="38"/>
        <v>16.059642064029706</v>
      </c>
    </row>
    <row r="90" spans="1:28" s="90" customFormat="1" ht="11.25" customHeight="1" x14ac:dyDescent="0.2">
      <c r="A90" s="117">
        <v>32</v>
      </c>
      <c r="B90" s="117" t="s">
        <v>57</v>
      </c>
      <c r="C90" s="105">
        <v>0.82399999999999995</v>
      </c>
      <c r="D90" s="105">
        <v>0.93843793750000004</v>
      </c>
      <c r="E90" s="105">
        <v>4.6255405427459984</v>
      </c>
      <c r="F90" s="105">
        <v>6.8956689999999998</v>
      </c>
      <c r="G90" s="105">
        <v>-21.516526017520107</v>
      </c>
      <c r="H90" s="100">
        <f t="shared" si="29"/>
        <v>-25.938236777025498</v>
      </c>
      <c r="I90" s="86">
        <f t="shared" si="30"/>
        <v>2.6955444077286344</v>
      </c>
      <c r="J90" s="87">
        <f t="shared" si="31"/>
        <v>8.3685303398058259</v>
      </c>
      <c r="K90" s="87">
        <f t="shared" si="39"/>
        <v>44.65</v>
      </c>
      <c r="L90" s="87">
        <f t="shared" si="39"/>
        <v>2.83</v>
      </c>
      <c r="M90" s="87">
        <f t="shared" si="32"/>
        <v>0.36791599999999997</v>
      </c>
      <c r="N90" s="179">
        <f t="shared" si="33"/>
        <v>0.367842567136</v>
      </c>
      <c r="O90" s="91">
        <f t="shared" si="34"/>
        <v>44.641088244660196</v>
      </c>
      <c r="P90" s="87">
        <f t="shared" si="35"/>
        <v>1.1388809921116505</v>
      </c>
      <c r="Q90" s="87">
        <f>C90*(L90/100)</f>
        <v>2.3319200000000002E-2</v>
      </c>
      <c r="R90" s="179">
        <f t="shared" si="36"/>
        <v>2.2501864865375001E-2</v>
      </c>
      <c r="S90" s="89">
        <f t="shared" si="37"/>
        <v>2.7308088428853159</v>
      </c>
      <c r="T90" s="86">
        <f t="shared" si="38"/>
        <v>16.347203635642746</v>
      </c>
    </row>
    <row r="91" spans="1:28" s="126" customFormat="1" ht="11.25" customHeight="1" x14ac:dyDescent="0.2">
      <c r="A91" s="117">
        <v>33</v>
      </c>
      <c r="B91" s="117" t="s">
        <v>58</v>
      </c>
      <c r="C91" s="105">
        <v>1.026</v>
      </c>
      <c r="D91" s="105">
        <v>1.16235825</v>
      </c>
      <c r="E91" s="105">
        <v>4.2404156402708892</v>
      </c>
      <c r="F91" s="105">
        <v>8.5797290000000004</v>
      </c>
      <c r="G91" s="105">
        <v>-21.57339896038545</v>
      </c>
      <c r="H91" s="100">
        <f t="shared" si="29"/>
        <v>-25.994802605999372</v>
      </c>
      <c r="I91" s="86">
        <f t="shared" si="30"/>
        <v>2.2898538354613538</v>
      </c>
      <c r="J91" s="87">
        <f t="shared" si="31"/>
        <v>8.3623089668615993</v>
      </c>
      <c r="K91" s="87">
        <f t="shared" si="39"/>
        <v>44.65</v>
      </c>
      <c r="L91" s="87">
        <f t="shared" si="39"/>
        <v>2.83</v>
      </c>
      <c r="M91" s="87">
        <f t="shared" si="32"/>
        <v>0.45810900000000004</v>
      </c>
      <c r="N91" s="179">
        <f t="shared" si="33"/>
        <v>0.45767706377600004</v>
      </c>
      <c r="O91" s="91">
        <f t="shared" si="34"/>
        <v>44.607900952826512</v>
      </c>
      <c r="P91" s="87">
        <f t="shared" si="35"/>
        <v>1.1329027777777778</v>
      </c>
      <c r="Q91" s="87">
        <f>C91*(L91/100)</f>
        <v>2.9035800000000004E-2</v>
      </c>
      <c r="R91" s="179">
        <f t="shared" si="36"/>
        <v>2.7871026118500002E-2</v>
      </c>
      <c r="S91" s="89">
        <f t="shared" si="37"/>
        <v>2.7164742805555555</v>
      </c>
      <c r="T91" s="86">
        <f t="shared" si="38"/>
        <v>16.421249143468273</v>
      </c>
      <c r="U91" s="90"/>
      <c r="V91" s="90"/>
      <c r="W91" s="90"/>
      <c r="X91" s="90"/>
      <c r="Y91" s="90"/>
      <c r="Z91" s="90"/>
      <c r="AA91" s="90"/>
      <c r="AB91" s="90"/>
    </row>
    <row r="92" spans="1:28" s="90" customFormat="1" ht="11.25" customHeight="1" x14ac:dyDescent="0.2">
      <c r="A92" s="117">
        <v>37</v>
      </c>
      <c r="B92" s="117" t="s">
        <v>59</v>
      </c>
      <c r="C92" s="105">
        <v>0.97399999999999998</v>
      </c>
      <c r="D92" s="105">
        <v>1.102964375</v>
      </c>
      <c r="E92" s="105">
        <v>4.3973519686459905</v>
      </c>
      <c r="F92" s="105">
        <v>8.1942374999999998</v>
      </c>
      <c r="G92" s="105">
        <v>-21.518971322640322</v>
      </c>
      <c r="H92" s="100">
        <f t="shared" si="29"/>
        <v>-25.940668877498066</v>
      </c>
      <c r="I92" s="86">
        <f t="shared" si="30"/>
        <v>2.4551705637716856</v>
      </c>
      <c r="J92" s="87">
        <f t="shared" si="31"/>
        <v>8.412974845995894</v>
      </c>
      <c r="K92" s="87">
        <f t="shared" si="39"/>
        <v>44.65</v>
      </c>
      <c r="L92" s="87">
        <f t="shared" si="39"/>
        <v>2.83</v>
      </c>
      <c r="M92" s="87">
        <f t="shared" si="32"/>
        <v>0.43489099999999997</v>
      </c>
      <c r="N92" s="179">
        <f t="shared" si="33"/>
        <v>0.43711340520000003</v>
      </c>
      <c r="O92" s="91">
        <f t="shared" si="34"/>
        <v>44.878173018480496</v>
      </c>
      <c r="P92" s="87">
        <f t="shared" si="35"/>
        <v>1.1324069558521561</v>
      </c>
      <c r="Q92" s="87">
        <f>C92*(L92/100)</f>
        <v>2.7564200000000001E-2</v>
      </c>
      <c r="R92" s="179">
        <f t="shared" si="36"/>
        <v>2.6446879783749998E-2</v>
      </c>
      <c r="S92" s="89">
        <f t="shared" si="37"/>
        <v>2.7152853987422998</v>
      </c>
      <c r="T92" s="86">
        <f t="shared" si="38"/>
        <v>16.527976410607788</v>
      </c>
    </row>
    <row r="93" spans="1:28" s="126" customFormat="1" ht="11.25" customHeight="1" x14ac:dyDescent="0.2">
      <c r="A93" s="117">
        <v>52</v>
      </c>
      <c r="B93" s="117" t="s">
        <v>82</v>
      </c>
      <c r="C93" s="105">
        <v>1.194</v>
      </c>
      <c r="D93" s="105"/>
      <c r="E93" s="105"/>
      <c r="F93" s="105">
        <v>10.000696</v>
      </c>
      <c r="G93" s="105">
        <v>-21.496032141359311</v>
      </c>
      <c r="H93" s="100">
        <f t="shared" si="29"/>
        <v>-25.917853567795973</v>
      </c>
      <c r="I93" s="86"/>
      <c r="J93" s="87">
        <f t="shared" si="31"/>
        <v>8.3757922948073702</v>
      </c>
      <c r="K93" s="87">
        <f t="shared" si="39"/>
        <v>44.65</v>
      </c>
      <c r="L93" s="87">
        <f t="shared" si="39"/>
        <v>2.83</v>
      </c>
      <c r="M93" s="87">
        <f t="shared" si="32"/>
        <v>0.53312099999999996</v>
      </c>
      <c r="N93" s="179">
        <f t="shared" si="33"/>
        <v>0.533477127424</v>
      </c>
      <c r="O93" s="91">
        <f t="shared" si="34"/>
        <v>44.679826417420436</v>
      </c>
      <c r="P93" s="87">
        <f t="shared" si="35"/>
        <v>0</v>
      </c>
      <c r="Q93" s="87"/>
      <c r="R93" s="179">
        <f t="shared" si="36"/>
        <v>0</v>
      </c>
      <c r="S93" s="89"/>
      <c r="T93" s="86"/>
      <c r="U93" s="90"/>
      <c r="V93" s="90"/>
      <c r="W93" s="90"/>
      <c r="X93" s="90"/>
      <c r="Y93" s="90"/>
      <c r="Z93" s="90"/>
      <c r="AA93" s="90"/>
      <c r="AB93" s="90"/>
    </row>
    <row r="94" spans="1:28" s="126" customFormat="1" ht="11.25" customHeight="1" x14ac:dyDescent="0.2">
      <c r="A94" s="117">
        <v>63</v>
      </c>
      <c r="B94" s="117" t="s">
        <v>61</v>
      </c>
      <c r="C94" s="105">
        <v>0.998</v>
      </c>
      <c r="D94" s="105">
        <v>1.215724625</v>
      </c>
      <c r="E94" s="105">
        <v>3.2111050922343232</v>
      </c>
      <c r="F94" s="105">
        <v>8.2114764999999998</v>
      </c>
      <c r="G94" s="105">
        <v>-22.091552715568579</v>
      </c>
      <c r="H94" s="100">
        <f t="shared" si="29"/>
        <v>-26.51015833090451</v>
      </c>
      <c r="I94" s="86">
        <f>$B$27*E94+$D$27</f>
        <v>1.2055781041596356</v>
      </c>
      <c r="J94" s="87">
        <f t="shared" si="31"/>
        <v>8.2279323647294582</v>
      </c>
      <c r="K94" s="87">
        <f t="shared" si="39"/>
        <v>44.65</v>
      </c>
      <c r="L94" s="87">
        <f t="shared" si="39"/>
        <v>2.83</v>
      </c>
      <c r="M94" s="87">
        <f t="shared" si="32"/>
        <v>0.44560700000000003</v>
      </c>
      <c r="N94" s="179">
        <f t="shared" si="33"/>
        <v>0.43803300241600002</v>
      </c>
      <c r="O94" s="91">
        <f t="shared" si="34"/>
        <v>43.891082406412828</v>
      </c>
      <c r="P94" s="87">
        <f t="shared" si="35"/>
        <v>1.2181609468937875</v>
      </c>
      <c r="Q94" s="87">
        <f>C94*(L94/100)</f>
        <v>2.8243400000000002E-2</v>
      </c>
      <c r="R94" s="179">
        <f t="shared" si="36"/>
        <v>2.9150645058249998E-2</v>
      </c>
      <c r="S94" s="89">
        <f>R94/C94*100</f>
        <v>2.9209063184619235</v>
      </c>
      <c r="T94" s="86">
        <f>N94/R94</f>
        <v>15.026528625377063</v>
      </c>
      <c r="U94" s="90"/>
      <c r="V94" s="90"/>
      <c r="W94" s="90"/>
      <c r="X94" s="90"/>
      <c r="Y94" s="90"/>
      <c r="Z94" s="90"/>
      <c r="AA94" s="90"/>
      <c r="AB94" s="90"/>
    </row>
    <row r="95" spans="1:28" s="90" customFormat="1" ht="11.25" customHeight="1" x14ac:dyDescent="0.2">
      <c r="A95" s="117">
        <v>75</v>
      </c>
      <c r="B95" s="117" t="s">
        <v>84</v>
      </c>
      <c r="C95" s="105">
        <v>1.333</v>
      </c>
      <c r="D95" s="105">
        <v>1.6419368750000001</v>
      </c>
      <c r="E95" s="105">
        <v>4.3021846758017901</v>
      </c>
      <c r="F95" s="105">
        <v>11.214351000000001</v>
      </c>
      <c r="G95" s="105">
        <v>-22.342451090311137</v>
      </c>
      <c r="H95" s="100"/>
      <c r="I95" s="86">
        <f>$B$27*E95+$D$27</f>
        <v>2.3549213374896047</v>
      </c>
      <c r="J95" s="87">
        <f t="shared" si="31"/>
        <v>8.4128664666166557</v>
      </c>
      <c r="K95" s="87">
        <f t="shared" si="39"/>
        <v>44.65</v>
      </c>
      <c r="L95" s="87">
        <f t="shared" si="39"/>
        <v>2.83</v>
      </c>
      <c r="M95" s="87">
        <f t="shared" si="32"/>
        <v>0.59518450000000001</v>
      </c>
      <c r="N95" s="179">
        <f t="shared" si="33"/>
        <v>0.59821833974400007</v>
      </c>
      <c r="O95" s="91">
        <f t="shared" si="34"/>
        <v>44.87759487951989</v>
      </c>
      <c r="P95" s="87">
        <f t="shared" si="35"/>
        <v>1.2317605963990998</v>
      </c>
      <c r="Q95" s="87">
        <f>C95*(L95/100)</f>
        <v>3.7723900000000005E-2</v>
      </c>
      <c r="R95" s="179">
        <f t="shared" si="36"/>
        <v>3.9370362388750003E-2</v>
      </c>
      <c r="S95" s="89">
        <f>R95/C95*100</f>
        <v>2.9535155580457615</v>
      </c>
      <c r="T95" s="86">
        <f>N95/R95</f>
        <v>15.1946363570923</v>
      </c>
    </row>
    <row r="96" spans="1:28" s="90" customFormat="1" ht="11.25" customHeight="1" x14ac:dyDescent="0.2">
      <c r="A96" s="117"/>
      <c r="B96" s="117"/>
      <c r="C96" s="105"/>
      <c r="D96" s="105"/>
      <c r="E96" s="105"/>
      <c r="F96" s="105"/>
      <c r="G96" s="105"/>
      <c r="H96" s="100"/>
      <c r="I96" s="86"/>
      <c r="J96" s="87"/>
      <c r="K96" s="87"/>
      <c r="L96" s="87"/>
      <c r="M96" s="87"/>
      <c r="N96" s="179"/>
      <c r="O96" s="91"/>
      <c r="P96" s="87"/>
      <c r="Q96" s="87"/>
      <c r="R96" s="179"/>
      <c r="S96" s="89"/>
      <c r="T96" s="86"/>
    </row>
    <row r="97" spans="1:28" s="126" customFormat="1" ht="11.25" customHeight="1" x14ac:dyDescent="0.2">
      <c r="A97" s="197"/>
      <c r="B97" s="197"/>
      <c r="C97" s="120"/>
      <c r="D97" s="120"/>
      <c r="E97" s="120"/>
      <c r="F97" s="198"/>
      <c r="G97" s="198"/>
      <c r="H97" s="121"/>
      <c r="I97" s="122"/>
      <c r="J97" s="118"/>
      <c r="K97" s="118"/>
      <c r="L97" s="118"/>
      <c r="M97" s="118"/>
      <c r="N97" s="181"/>
      <c r="O97" s="124"/>
      <c r="P97" s="118"/>
      <c r="Q97" s="118"/>
      <c r="R97" s="181"/>
      <c r="S97" s="125"/>
      <c r="T97" s="122"/>
    </row>
    <row r="98" spans="1:28" ht="11.25" customHeight="1" x14ac:dyDescent="0.2">
      <c r="A98" s="92" t="s">
        <v>71</v>
      </c>
      <c r="B98" s="93" t="s">
        <v>40</v>
      </c>
      <c r="C98" s="92" t="s">
        <v>54</v>
      </c>
      <c r="D98" s="92" t="s">
        <v>72</v>
      </c>
      <c r="E98" s="94" t="s">
        <v>79</v>
      </c>
      <c r="F98" s="92" t="s">
        <v>72</v>
      </c>
      <c r="G98" s="94" t="s">
        <v>73</v>
      </c>
      <c r="J98" s="1"/>
      <c r="K98" s="1"/>
      <c r="L98" s="1"/>
      <c r="V98" s="1"/>
      <c r="W98" s="1"/>
      <c r="X98" s="1"/>
      <c r="Y98" s="1"/>
      <c r="Z98" s="1"/>
      <c r="AA98" s="1"/>
      <c r="AB98" s="1"/>
    </row>
    <row r="99" spans="1:28" ht="11.25" customHeight="1" x14ac:dyDescent="0.2">
      <c r="A99" s="97" t="s">
        <v>74</v>
      </c>
      <c r="B99" s="97" t="s">
        <v>75</v>
      </c>
      <c r="C99" s="98" t="s">
        <v>77</v>
      </c>
      <c r="D99" s="98" t="s">
        <v>76</v>
      </c>
      <c r="E99" s="98" t="s">
        <v>78</v>
      </c>
      <c r="F99" s="98" t="s">
        <v>76</v>
      </c>
      <c r="G99" s="98" t="s">
        <v>78</v>
      </c>
      <c r="J99" s="1"/>
      <c r="K99" s="1"/>
      <c r="L99" s="1"/>
      <c r="V99" s="1"/>
      <c r="W99" s="1"/>
      <c r="X99" s="1"/>
      <c r="Y99" s="1"/>
      <c r="Z99" s="1"/>
      <c r="AA99" s="1"/>
      <c r="AB99" s="1"/>
    </row>
    <row r="100" spans="1:28" ht="11.25" customHeight="1" x14ac:dyDescent="0.2">
      <c r="A100" s="95">
        <v>33</v>
      </c>
      <c r="B100" s="95" t="s">
        <v>85</v>
      </c>
      <c r="C100" s="96">
        <v>1.5680000000000001</v>
      </c>
      <c r="D100" s="96">
        <v>0.57160343749999998</v>
      </c>
      <c r="E100" s="96">
        <v>2.8799411243840556</v>
      </c>
      <c r="F100" s="96">
        <v>1.5817239999999999</v>
      </c>
      <c r="G100" s="96">
        <v>-21.848580214636076</v>
      </c>
      <c r="J100" s="1"/>
      <c r="K100" s="1"/>
      <c r="L100" s="1"/>
      <c r="V100" s="1"/>
      <c r="W100" s="1"/>
      <c r="X100" s="1"/>
      <c r="Y100" s="1"/>
      <c r="Z100" s="1"/>
      <c r="AA100" s="1"/>
      <c r="AB100" s="1"/>
    </row>
    <row r="101" spans="1:28" ht="11.25" customHeight="1" x14ac:dyDescent="0.2">
      <c r="A101" s="114"/>
      <c r="B101" s="114"/>
      <c r="C101" s="108"/>
      <c r="D101" s="108"/>
      <c r="E101" s="108"/>
      <c r="F101" s="108"/>
      <c r="J101" s="1"/>
      <c r="K101" s="1"/>
      <c r="L101" s="1"/>
      <c r="V101" s="1"/>
      <c r="W101" s="1"/>
      <c r="X101" s="1"/>
      <c r="Y101" s="1"/>
      <c r="Z101" s="1"/>
      <c r="AA101" s="1"/>
      <c r="AB101" s="1"/>
    </row>
    <row r="102" spans="1:28" ht="11.25" customHeight="1" x14ac:dyDescent="0.2">
      <c r="J102" s="1"/>
      <c r="K102" s="1"/>
      <c r="L102" s="1"/>
      <c r="V102" s="1"/>
      <c r="W102" s="1"/>
      <c r="X102" s="1"/>
      <c r="Y102" s="1"/>
      <c r="Z102" s="1"/>
      <c r="AA102" s="1"/>
      <c r="AB102" s="1"/>
    </row>
    <row r="103" spans="1:28" ht="11.25" customHeight="1" x14ac:dyDescent="0.25">
      <c r="J103" s="1"/>
      <c r="K103" s="1"/>
      <c r="L103" s="1"/>
      <c r="P103"/>
      <c r="Q103"/>
      <c r="R103"/>
      <c r="S103"/>
      <c r="T103"/>
      <c r="U103"/>
      <c r="W103" s="1"/>
      <c r="X103" s="1"/>
      <c r="Y103" s="1"/>
      <c r="Z103" s="1"/>
      <c r="AA103" s="1"/>
      <c r="AB103" s="1"/>
    </row>
    <row r="104" spans="1:28" ht="11.25" customHeight="1" x14ac:dyDescent="0.2">
      <c r="A104" s="92" t="s">
        <v>71</v>
      </c>
      <c r="B104" s="93" t="s">
        <v>40</v>
      </c>
      <c r="C104" s="92" t="s">
        <v>54</v>
      </c>
      <c r="D104" s="92" t="s">
        <v>72</v>
      </c>
      <c r="E104" s="94" t="s">
        <v>79</v>
      </c>
      <c r="F104" s="92" t="s">
        <v>72</v>
      </c>
      <c r="G104" s="94" t="s">
        <v>73</v>
      </c>
      <c r="J104" s="1"/>
      <c r="K104" s="1"/>
      <c r="L104" s="1"/>
      <c r="V104" s="1"/>
      <c r="W104" s="1"/>
      <c r="X104" s="1"/>
      <c r="Y104" s="1"/>
      <c r="Z104" s="1"/>
      <c r="AA104" s="1"/>
      <c r="AB104" s="1"/>
    </row>
    <row r="105" spans="1:28" ht="11.25" customHeight="1" x14ac:dyDescent="0.2">
      <c r="A105" s="97" t="s">
        <v>74</v>
      </c>
      <c r="B105" s="97" t="s">
        <v>75</v>
      </c>
      <c r="C105" s="98" t="s">
        <v>77</v>
      </c>
      <c r="D105" s="98" t="s">
        <v>76</v>
      </c>
      <c r="E105" s="98" t="s">
        <v>78</v>
      </c>
      <c r="F105" s="98" t="s">
        <v>76</v>
      </c>
      <c r="G105" s="98" t="s">
        <v>78</v>
      </c>
      <c r="J105" s="1"/>
      <c r="K105" s="1"/>
      <c r="L105" s="1"/>
      <c r="V105" s="1"/>
      <c r="W105" s="1"/>
      <c r="X105" s="1"/>
      <c r="Y105" s="1"/>
      <c r="Z105" s="1"/>
      <c r="AA105" s="1"/>
      <c r="AB105" s="1"/>
    </row>
    <row r="106" spans="1:28" ht="11.25" customHeight="1" x14ac:dyDescent="0.2">
      <c r="A106" s="83">
        <v>31</v>
      </c>
      <c r="B106" s="83" t="s">
        <v>56</v>
      </c>
      <c r="C106" s="84">
        <v>0.98899999999999999</v>
      </c>
      <c r="D106" s="84">
        <v>1.150854625</v>
      </c>
      <c r="E106" s="84">
        <v>4.9386732987781734</v>
      </c>
      <c r="F106" s="84">
        <v>8.3077555000000007</v>
      </c>
      <c r="G106" s="84">
        <v>-21.639959865735513</v>
      </c>
      <c r="J106" s="1"/>
      <c r="K106" s="1"/>
      <c r="L106" s="1"/>
      <c r="V106" s="1"/>
      <c r="W106" s="1"/>
      <c r="X106" s="1"/>
      <c r="Y106" s="1"/>
      <c r="Z106" s="1"/>
      <c r="AA106" s="1"/>
      <c r="AB106" s="1"/>
    </row>
    <row r="107" spans="1:28" ht="11.25" customHeight="1" x14ac:dyDescent="0.2">
      <c r="A107" s="95">
        <v>32</v>
      </c>
      <c r="B107" s="95" t="s">
        <v>57</v>
      </c>
      <c r="C107" s="96">
        <v>0.82399999999999995</v>
      </c>
      <c r="D107" s="96">
        <v>0.93843793750000004</v>
      </c>
      <c r="E107" s="96">
        <v>4.6255405427459984</v>
      </c>
      <c r="F107" s="96">
        <v>6.8956689999999998</v>
      </c>
      <c r="G107" s="96">
        <v>-21.516526017520107</v>
      </c>
      <c r="J107" s="1"/>
      <c r="K107" s="1"/>
      <c r="L107" s="1"/>
      <c r="V107" s="1"/>
      <c r="W107" s="1"/>
      <c r="X107" s="1"/>
      <c r="Y107" s="1"/>
      <c r="Z107" s="1"/>
      <c r="AA107" s="1"/>
      <c r="AB107" s="1"/>
    </row>
    <row r="108" spans="1:28" ht="11.25" customHeight="1" x14ac:dyDescent="0.2">
      <c r="A108" s="83">
        <v>33</v>
      </c>
      <c r="B108" s="83" t="s">
        <v>58</v>
      </c>
      <c r="C108" s="84">
        <v>1.026</v>
      </c>
      <c r="D108" s="84">
        <v>1.16235825</v>
      </c>
      <c r="E108" s="84">
        <v>4.2404156402708892</v>
      </c>
      <c r="F108" s="84">
        <v>8.5797290000000004</v>
      </c>
      <c r="G108" s="84">
        <v>-21.57339896038545</v>
      </c>
      <c r="J108" s="1"/>
      <c r="K108" s="1"/>
      <c r="L108" s="1"/>
      <c r="V108" s="1"/>
      <c r="W108" s="1"/>
      <c r="X108" s="1"/>
      <c r="Y108" s="1"/>
      <c r="Z108" s="1"/>
      <c r="AA108" s="1"/>
      <c r="AB108" s="1"/>
    </row>
    <row r="109" spans="1:28" ht="11.25" customHeight="1" x14ac:dyDescent="0.2">
      <c r="A109" s="95">
        <v>34</v>
      </c>
      <c r="B109" s="95" t="s">
        <v>60</v>
      </c>
      <c r="C109" s="96">
        <v>1.026</v>
      </c>
      <c r="D109" s="96">
        <v>2.4626695312499999E-2</v>
      </c>
      <c r="E109" s="96">
        <v>-12.369513838785263</v>
      </c>
      <c r="F109" s="96">
        <v>7.9102119999999996</v>
      </c>
      <c r="G109" s="96">
        <v>-20.155537326572968</v>
      </c>
      <c r="J109" s="1"/>
      <c r="K109" s="1"/>
      <c r="L109" s="1"/>
      <c r="V109" s="1"/>
      <c r="W109" s="1"/>
      <c r="X109" s="1"/>
      <c r="Y109" s="1"/>
      <c r="Z109" s="1"/>
      <c r="AA109" s="1"/>
      <c r="AB109" s="1"/>
    </row>
    <row r="110" spans="1:28" ht="11.25" customHeight="1" x14ac:dyDescent="0.2">
      <c r="A110" s="83">
        <v>35</v>
      </c>
      <c r="B110" s="83" t="s">
        <v>66</v>
      </c>
      <c r="C110" s="84">
        <v>0.81399999999999995</v>
      </c>
      <c r="D110" s="84">
        <v>1.3698910156250001E-2</v>
      </c>
      <c r="E110" s="84">
        <v>-23.80380544693217</v>
      </c>
      <c r="F110" s="84">
        <v>6.3546569999999996</v>
      </c>
      <c r="G110" s="84">
        <v>-6.0146326517604933</v>
      </c>
      <c r="J110" s="1"/>
      <c r="K110" s="1"/>
      <c r="L110" s="1"/>
      <c r="V110" s="1"/>
      <c r="W110" s="1"/>
      <c r="X110" s="1"/>
      <c r="Y110" s="1"/>
      <c r="Z110" s="1"/>
      <c r="AA110" s="1"/>
      <c r="AB110" s="1"/>
    </row>
    <row r="111" spans="1:28" ht="11.25" customHeight="1" x14ac:dyDescent="0.2">
      <c r="A111" s="95">
        <v>36</v>
      </c>
      <c r="B111" s="95" t="s">
        <v>65</v>
      </c>
      <c r="C111" s="96">
        <v>1.131</v>
      </c>
      <c r="D111" s="96">
        <v>1.2544237304687501E-2</v>
      </c>
      <c r="E111" s="96">
        <v>-30.978741216772466</v>
      </c>
      <c r="F111" s="96">
        <v>4.0129130000000002</v>
      </c>
      <c r="G111" s="96">
        <v>-13.69154980938764</v>
      </c>
      <c r="J111" s="1"/>
      <c r="K111" s="1"/>
      <c r="L111" s="1"/>
      <c r="V111" s="1"/>
      <c r="W111" s="1"/>
      <c r="X111" s="1"/>
      <c r="Y111" s="1"/>
      <c r="Z111" s="1"/>
      <c r="AA111" s="1"/>
      <c r="AB111" s="1"/>
    </row>
    <row r="112" spans="1:28" ht="11.25" customHeight="1" x14ac:dyDescent="0.2">
      <c r="A112" s="83">
        <v>37</v>
      </c>
      <c r="B112" s="83" t="s">
        <v>59</v>
      </c>
      <c r="C112" s="84">
        <v>0.97399999999999998</v>
      </c>
      <c r="D112" s="84">
        <v>1.102964375</v>
      </c>
      <c r="E112" s="84">
        <v>4.3973519686459905</v>
      </c>
      <c r="F112" s="84">
        <v>8.1942374999999998</v>
      </c>
      <c r="G112" s="84">
        <v>-21.518971322640322</v>
      </c>
      <c r="J112" s="1"/>
      <c r="K112" s="1"/>
      <c r="L112" s="1"/>
      <c r="V112" s="1"/>
      <c r="W112" s="1"/>
      <c r="X112" s="1"/>
      <c r="Y112" s="1"/>
      <c r="Z112" s="1"/>
      <c r="AA112" s="1"/>
      <c r="AB112" s="1"/>
    </row>
    <row r="113" spans="1:28" ht="11.25" customHeight="1" x14ac:dyDescent="0.2">
      <c r="A113" s="95">
        <v>38</v>
      </c>
      <c r="B113" s="95" t="s">
        <v>67</v>
      </c>
      <c r="C113" s="96">
        <v>0.318</v>
      </c>
      <c r="D113" s="96">
        <v>2.7021305</v>
      </c>
      <c r="E113" s="96">
        <v>2.6631097169804718</v>
      </c>
      <c r="F113" s="96">
        <v>1.5056724609375001E-2</v>
      </c>
      <c r="G113" s="96">
        <v>-15.765418379887016</v>
      </c>
      <c r="J113" s="1"/>
      <c r="K113" s="1"/>
      <c r="L113" s="1"/>
      <c r="V113" s="1"/>
      <c r="W113" s="1"/>
      <c r="X113" s="1"/>
      <c r="Y113" s="1"/>
      <c r="Z113" s="1"/>
      <c r="AA113" s="1"/>
      <c r="AB113" s="1"/>
    </row>
    <row r="114" spans="1:28" ht="11.25" customHeight="1" x14ac:dyDescent="0.2">
      <c r="A114" s="83">
        <v>39</v>
      </c>
      <c r="B114" s="83" t="s">
        <v>68</v>
      </c>
      <c r="C114" s="84">
        <v>0.35499999999999998</v>
      </c>
      <c r="D114" s="84">
        <v>3.1300737500000002</v>
      </c>
      <c r="E114" s="84">
        <v>22.163481218081316</v>
      </c>
      <c r="F114" s="84">
        <v>1.4054743164062499E-2</v>
      </c>
      <c r="G114" s="84">
        <v>-19.067704826827605</v>
      </c>
      <c r="J114" s="1"/>
      <c r="K114" s="1"/>
      <c r="L114" s="1"/>
      <c r="V114" s="1"/>
      <c r="W114" s="1"/>
      <c r="X114" s="1"/>
      <c r="Y114" s="1"/>
      <c r="Z114" s="1"/>
      <c r="AA114" s="1"/>
      <c r="AB114" s="1"/>
    </row>
    <row r="115" spans="1:28" ht="11.25" customHeight="1" x14ac:dyDescent="0.2">
      <c r="A115" s="95">
        <v>40</v>
      </c>
      <c r="B115" s="95" t="s">
        <v>383</v>
      </c>
      <c r="C115" s="96">
        <v>5.9180000000000001</v>
      </c>
      <c r="D115" s="96">
        <v>4.5675078124999997E-2</v>
      </c>
      <c r="E115" s="96">
        <v>-7.2043131038564967</v>
      </c>
      <c r="F115" s="96">
        <v>0.29269974999999998</v>
      </c>
      <c r="G115" s="96">
        <v>-23.569040785643054</v>
      </c>
      <c r="J115" s="1"/>
      <c r="K115" s="1"/>
      <c r="L115" s="1"/>
      <c r="V115" s="1"/>
      <c r="W115" s="1"/>
      <c r="X115" s="1"/>
      <c r="Y115" s="1"/>
      <c r="Z115" s="1"/>
      <c r="AA115" s="1"/>
      <c r="AB115" s="1"/>
    </row>
    <row r="116" spans="1:28" ht="11.25" customHeight="1" x14ac:dyDescent="0.2">
      <c r="A116" s="83">
        <v>41</v>
      </c>
      <c r="B116" s="83" t="s">
        <v>384</v>
      </c>
      <c r="C116" s="84">
        <v>6.2350000000000003</v>
      </c>
      <c r="D116" s="84">
        <v>0.15608195312500001</v>
      </c>
      <c r="E116" s="84">
        <v>5.9172488868797224</v>
      </c>
      <c r="F116" s="84">
        <v>0.85680106249999999</v>
      </c>
      <c r="G116" s="84">
        <v>-23.172496078747951</v>
      </c>
      <c r="J116" s="1"/>
      <c r="K116" s="1"/>
      <c r="L116" s="1"/>
      <c r="V116" s="1"/>
      <c r="W116" s="1"/>
      <c r="X116" s="1"/>
      <c r="Y116" s="1"/>
      <c r="Z116" s="1"/>
      <c r="AA116" s="1"/>
      <c r="AB116" s="1"/>
    </row>
    <row r="117" spans="1:28" ht="11.25" customHeight="1" x14ac:dyDescent="0.2">
      <c r="A117" s="95">
        <v>42</v>
      </c>
      <c r="B117" s="95" t="s">
        <v>385</v>
      </c>
      <c r="C117" s="96">
        <v>5.9969999999999999</v>
      </c>
      <c r="D117" s="96">
        <v>3.3014667968750001E-2</v>
      </c>
      <c r="E117" s="96">
        <v>-17.509856040227145</v>
      </c>
      <c r="F117" s="96">
        <v>0.2220413125</v>
      </c>
      <c r="G117" s="96">
        <v>-22.519232333359533</v>
      </c>
      <c r="J117" s="1"/>
      <c r="K117" s="1"/>
      <c r="L117" s="1"/>
      <c r="V117" s="1"/>
      <c r="W117" s="1"/>
      <c r="X117" s="1"/>
      <c r="Y117" s="1"/>
      <c r="Z117" s="1"/>
      <c r="AA117" s="1"/>
      <c r="AB117" s="1"/>
    </row>
    <row r="118" spans="1:28" ht="11.25" customHeight="1" x14ac:dyDescent="0.2">
      <c r="A118" s="83">
        <v>43</v>
      </c>
      <c r="B118" s="83" t="s">
        <v>386</v>
      </c>
      <c r="C118" s="84">
        <v>6.41</v>
      </c>
      <c r="D118" s="84">
        <v>9.7556749999999998E-2</v>
      </c>
      <c r="E118" s="84">
        <v>-1.4271306332919176</v>
      </c>
      <c r="F118" s="84">
        <v>0.63773643749999998</v>
      </c>
      <c r="G118" s="84">
        <v>-21.796489901204083</v>
      </c>
      <c r="J118" s="1"/>
      <c r="K118" s="1"/>
      <c r="L118" s="1"/>
      <c r="V118" s="1"/>
      <c r="W118" s="1"/>
      <c r="X118" s="1"/>
      <c r="Y118" s="1"/>
      <c r="Z118" s="1"/>
      <c r="AA118" s="1"/>
      <c r="AB118" s="1"/>
    </row>
    <row r="119" spans="1:28" ht="11.25" customHeight="1" x14ac:dyDescent="0.2">
      <c r="A119" s="95">
        <v>44</v>
      </c>
      <c r="B119" s="95" t="s">
        <v>387</v>
      </c>
      <c r="C119" s="96">
        <v>6.0519999999999996</v>
      </c>
      <c r="D119" s="96">
        <v>5.9432585937499997E-2</v>
      </c>
      <c r="E119" s="96">
        <v>0.4557406357048599</v>
      </c>
      <c r="F119" s="96">
        <v>0.38504018750000002</v>
      </c>
      <c r="G119" s="96">
        <v>-22.139658974263455</v>
      </c>
      <c r="J119" s="1"/>
      <c r="K119" s="1"/>
      <c r="L119" s="1"/>
      <c r="V119" s="1"/>
      <c r="W119" s="1"/>
      <c r="X119" s="1"/>
      <c r="Y119" s="1"/>
      <c r="Z119" s="1"/>
      <c r="AA119" s="1"/>
      <c r="AB119" s="1"/>
    </row>
    <row r="120" spans="1:28" ht="11.25" customHeight="1" x14ac:dyDescent="0.2">
      <c r="A120" s="83">
        <v>45</v>
      </c>
      <c r="B120" s="83" t="s">
        <v>388</v>
      </c>
      <c r="C120" s="84">
        <v>6.23</v>
      </c>
      <c r="D120" s="84">
        <v>0.106604734375</v>
      </c>
      <c r="E120" s="84">
        <v>0.71315784700520801</v>
      </c>
      <c r="F120" s="84">
        <v>0.68684168749999996</v>
      </c>
      <c r="G120" s="84">
        <v>-21.142346439899857</v>
      </c>
      <c r="J120" s="1"/>
      <c r="K120" s="1"/>
      <c r="L120" s="1"/>
      <c r="V120" s="1"/>
      <c r="W120" s="1"/>
      <c r="X120" s="1"/>
      <c r="Y120" s="1"/>
      <c r="Z120" s="1"/>
      <c r="AA120" s="1"/>
      <c r="AB120" s="1"/>
    </row>
    <row r="121" spans="1:28" ht="11.25" customHeight="1" x14ac:dyDescent="0.2">
      <c r="A121" s="95">
        <v>46</v>
      </c>
      <c r="B121" s="95" t="s">
        <v>389</v>
      </c>
      <c r="C121" s="96">
        <v>6.0730000000000004</v>
      </c>
      <c r="D121" s="96">
        <v>7.2744812500000006E-2</v>
      </c>
      <c r="E121" s="96">
        <v>-11.711781499196272</v>
      </c>
      <c r="F121" s="96">
        <v>0.45918356249999998</v>
      </c>
      <c r="G121" s="96">
        <v>-21.61092129345078</v>
      </c>
      <c r="J121" s="1"/>
      <c r="K121" s="1"/>
      <c r="L121" s="1"/>
      <c r="V121" s="1"/>
      <c r="W121" s="1"/>
      <c r="X121" s="1"/>
      <c r="Y121" s="1"/>
      <c r="Z121" s="1"/>
      <c r="AA121" s="1"/>
      <c r="AB121" s="1"/>
    </row>
    <row r="122" spans="1:28" ht="11.25" customHeight="1" x14ac:dyDescent="0.2">
      <c r="A122" s="83">
        <v>47</v>
      </c>
      <c r="B122" s="83" t="s">
        <v>390</v>
      </c>
      <c r="C122" s="84">
        <v>6.1890000000000001</v>
      </c>
      <c r="D122" s="84">
        <v>9.3792085937500005E-2</v>
      </c>
      <c r="E122" s="84">
        <v>-6.2041553149188022</v>
      </c>
      <c r="F122" s="84">
        <v>0.46219390625000001</v>
      </c>
      <c r="G122" s="84">
        <v>-21.677094060813857</v>
      </c>
      <c r="J122" s="1"/>
      <c r="K122" s="1"/>
      <c r="L122" s="1"/>
      <c r="V122" s="1"/>
      <c r="W122" s="1"/>
      <c r="X122" s="1"/>
      <c r="Y122" s="1"/>
      <c r="Z122" s="1"/>
      <c r="AA122" s="1"/>
      <c r="AB122" s="1"/>
    </row>
    <row r="123" spans="1:28" ht="11.25" customHeight="1" x14ac:dyDescent="0.2">
      <c r="A123" s="95">
        <v>48</v>
      </c>
      <c r="B123" s="95" t="s">
        <v>391</v>
      </c>
      <c r="C123" s="96">
        <v>5.923</v>
      </c>
      <c r="D123" s="96">
        <v>0.14503965625000001</v>
      </c>
      <c r="E123" s="96">
        <v>-9.69972458356294</v>
      </c>
      <c r="F123" s="96">
        <v>0.175595515625</v>
      </c>
      <c r="G123" s="96">
        <v>-21.801088335992645</v>
      </c>
      <c r="J123" s="1"/>
      <c r="K123" s="1"/>
      <c r="L123" s="1"/>
      <c r="V123" s="1"/>
      <c r="W123" s="1"/>
      <c r="X123" s="1"/>
      <c r="Y123" s="1"/>
      <c r="Z123" s="1"/>
      <c r="AA123" s="1"/>
      <c r="AB123" s="1"/>
    </row>
    <row r="124" spans="1:28" ht="11.25" customHeight="1" x14ac:dyDescent="0.2">
      <c r="A124" s="83">
        <v>49</v>
      </c>
      <c r="B124" s="83" t="s">
        <v>392</v>
      </c>
      <c r="C124" s="84">
        <v>5.9290000000000003</v>
      </c>
      <c r="D124" s="84">
        <v>0.32982175000000002</v>
      </c>
      <c r="E124" s="84">
        <v>-6.7064005162728035</v>
      </c>
      <c r="F124" s="84">
        <v>0.244416546875</v>
      </c>
      <c r="G124" s="84">
        <v>-21.455435382510764</v>
      </c>
      <c r="J124" s="1"/>
      <c r="K124" s="1"/>
      <c r="L124" s="1"/>
      <c r="V124" s="1"/>
      <c r="W124" s="1"/>
      <c r="X124" s="1"/>
      <c r="Y124" s="1"/>
      <c r="Z124" s="1"/>
      <c r="AA124" s="1"/>
      <c r="AB124" s="1"/>
    </row>
    <row r="125" spans="1:28" ht="11.25" customHeight="1" x14ac:dyDescent="0.2">
      <c r="A125" s="95">
        <v>50</v>
      </c>
      <c r="B125" s="95" t="s">
        <v>393</v>
      </c>
      <c r="C125" s="96">
        <v>6.3659999999999997</v>
      </c>
      <c r="D125" s="96">
        <v>0.69779987499999996</v>
      </c>
      <c r="E125" s="96">
        <v>-2.5455186015060915</v>
      </c>
      <c r="F125" s="96">
        <v>1.0080512500000001</v>
      </c>
      <c r="G125" s="96">
        <v>-21.191718666120657</v>
      </c>
      <c r="J125" s="1"/>
      <c r="K125" s="1"/>
      <c r="L125" s="1"/>
      <c r="V125" s="1"/>
      <c r="W125" s="1"/>
      <c r="X125" s="1"/>
      <c r="Y125" s="1"/>
      <c r="Z125" s="1"/>
      <c r="AA125" s="1"/>
      <c r="AB125" s="1"/>
    </row>
    <row r="126" spans="1:28" ht="11.25" customHeight="1" x14ac:dyDescent="0.2">
      <c r="A126" s="83">
        <v>51</v>
      </c>
      <c r="B126" s="83" t="s">
        <v>394</v>
      </c>
      <c r="C126" s="84">
        <v>6.21</v>
      </c>
      <c r="D126" s="84">
        <v>0.89143087499999996</v>
      </c>
      <c r="E126" s="84">
        <v>-1.9540691720837389</v>
      </c>
      <c r="F126" s="84">
        <v>0.5123505625</v>
      </c>
      <c r="G126" s="84">
        <v>-21.34947750145048</v>
      </c>
      <c r="J126" s="1"/>
      <c r="K126" s="1"/>
      <c r="L126" s="1"/>
      <c r="V126" s="1"/>
      <c r="W126" s="1"/>
      <c r="X126" s="1"/>
      <c r="Y126" s="1"/>
      <c r="Z126" s="1"/>
      <c r="AA126" s="1"/>
      <c r="AB126" s="1"/>
    </row>
    <row r="127" spans="1:28" ht="11.25" customHeight="1" x14ac:dyDescent="0.2">
      <c r="A127" s="95">
        <v>52</v>
      </c>
      <c r="B127" s="95" t="s">
        <v>82</v>
      </c>
      <c r="C127" s="96">
        <v>1.194</v>
      </c>
      <c r="D127" s="96">
        <v>2.017025625</v>
      </c>
      <c r="E127" s="96">
        <v>0.98366310445729965</v>
      </c>
      <c r="F127" s="96">
        <v>10.000696</v>
      </c>
      <c r="G127" s="96">
        <v>-21.496032141359311</v>
      </c>
      <c r="J127" s="1"/>
      <c r="K127" s="1"/>
      <c r="L127" s="1"/>
      <c r="V127" s="1"/>
      <c r="W127" s="1"/>
      <c r="X127" s="1"/>
      <c r="Y127" s="1"/>
      <c r="Z127" s="1"/>
      <c r="AA127" s="1"/>
      <c r="AB127" s="1"/>
    </row>
    <row r="128" spans="1:28" ht="11.25" customHeight="1" x14ac:dyDescent="0.2">
      <c r="A128" s="83">
        <v>53</v>
      </c>
      <c r="B128" s="83" t="s">
        <v>87</v>
      </c>
      <c r="C128" s="84">
        <v>2.3380000000000001</v>
      </c>
      <c r="D128" s="84">
        <v>1.0580207500000001</v>
      </c>
      <c r="E128" s="84">
        <v>-1.5087075010895568</v>
      </c>
      <c r="F128" s="84">
        <v>1.4612111249999999</v>
      </c>
      <c r="G128" s="84">
        <v>-14.879025722716696</v>
      </c>
      <c r="J128" s="1"/>
      <c r="K128" s="1"/>
      <c r="L128" s="1"/>
      <c r="V128" s="1"/>
      <c r="W128" s="1"/>
      <c r="X128" s="1"/>
      <c r="Y128" s="1"/>
      <c r="Z128" s="1"/>
      <c r="AA128" s="1"/>
      <c r="AB128" s="1"/>
    </row>
    <row r="129" spans="1:28" ht="11.25" customHeight="1" x14ac:dyDescent="0.2">
      <c r="A129" s="95">
        <v>54</v>
      </c>
      <c r="B129" s="95" t="s">
        <v>395</v>
      </c>
      <c r="C129" s="96">
        <v>6.52</v>
      </c>
      <c r="D129" s="96">
        <v>0.88490968749999999</v>
      </c>
      <c r="E129" s="96">
        <v>-1.5225189147693996</v>
      </c>
      <c r="F129" s="96">
        <v>2.0501170000000002</v>
      </c>
      <c r="G129" s="96">
        <v>-26.340055387240209</v>
      </c>
      <c r="J129" s="1"/>
      <c r="K129" s="1"/>
      <c r="L129" s="1"/>
      <c r="V129" s="1"/>
      <c r="W129" s="1"/>
      <c r="X129" s="1"/>
      <c r="Y129" s="1"/>
      <c r="Z129" s="1"/>
      <c r="AA129" s="1"/>
      <c r="AB129" s="1"/>
    </row>
    <row r="130" spans="1:28" ht="11.25" customHeight="1" x14ac:dyDescent="0.2">
      <c r="A130" s="83">
        <v>55</v>
      </c>
      <c r="B130" s="83" t="s">
        <v>396</v>
      </c>
      <c r="C130" s="84">
        <v>6.0869999999999997</v>
      </c>
      <c r="D130" s="84">
        <v>0.41730678124999998</v>
      </c>
      <c r="E130" s="84">
        <v>-8.3032230674049412</v>
      </c>
      <c r="F130" s="84">
        <v>0.24655021874999999</v>
      </c>
      <c r="G130" s="84">
        <v>-22.351019390639763</v>
      </c>
      <c r="J130" s="1"/>
      <c r="K130" s="1"/>
      <c r="L130" s="1"/>
      <c r="V130" s="1"/>
      <c r="W130" s="1"/>
      <c r="X130" s="1"/>
      <c r="Y130" s="1"/>
      <c r="Z130" s="1"/>
      <c r="AA130" s="1"/>
      <c r="AB130" s="1"/>
    </row>
    <row r="131" spans="1:28" ht="11.25" customHeight="1" x14ac:dyDescent="0.2">
      <c r="A131" s="95">
        <v>56</v>
      </c>
      <c r="B131" s="95" t="s">
        <v>397</v>
      </c>
      <c r="C131" s="96">
        <v>6.23</v>
      </c>
      <c r="D131" s="96">
        <v>0.2843425</v>
      </c>
      <c r="E131" s="96">
        <v>-4.387458112741216</v>
      </c>
      <c r="F131" s="96">
        <v>0.51049740624999995</v>
      </c>
      <c r="G131" s="96">
        <v>-21.40186913635193</v>
      </c>
      <c r="J131" s="1"/>
      <c r="K131" s="1"/>
      <c r="L131" s="1"/>
      <c r="V131" s="1"/>
      <c r="W131" s="1"/>
      <c r="X131" s="1"/>
      <c r="Y131" s="1"/>
      <c r="Z131" s="1"/>
      <c r="AA131" s="1"/>
      <c r="AB131" s="1"/>
    </row>
    <row r="132" spans="1:28" ht="11.25" customHeight="1" x14ac:dyDescent="0.2">
      <c r="A132" s="83">
        <v>57</v>
      </c>
      <c r="B132" s="83" t="s">
        <v>398</v>
      </c>
      <c r="C132" s="84">
        <v>6.5279999999999996</v>
      </c>
      <c r="D132" s="84">
        <v>0.40978759375000001</v>
      </c>
      <c r="E132" s="84">
        <v>0.45647147737049032</v>
      </c>
      <c r="F132" s="84">
        <v>1.3845533750000001</v>
      </c>
      <c r="G132" s="84">
        <v>-22.118299184460579</v>
      </c>
      <c r="J132" s="1"/>
      <c r="K132" s="1"/>
      <c r="L132" s="1"/>
      <c r="V132" s="1"/>
      <c r="W132" s="1"/>
      <c r="X132" s="1"/>
      <c r="Y132" s="1"/>
      <c r="Z132" s="1"/>
      <c r="AA132" s="1"/>
      <c r="AB132" s="1"/>
    </row>
    <row r="133" spans="1:28" ht="11.25" customHeight="1" x14ac:dyDescent="0.2">
      <c r="A133" s="95">
        <v>58</v>
      </c>
      <c r="B133" s="95" t="s">
        <v>399</v>
      </c>
      <c r="C133" s="96">
        <v>6.3220000000000001</v>
      </c>
      <c r="D133" s="96">
        <v>0.31778146875000002</v>
      </c>
      <c r="E133" s="96">
        <v>-5.9987340299236802</v>
      </c>
      <c r="F133" s="96">
        <v>0.82220931249999996</v>
      </c>
      <c r="G133" s="96">
        <v>-21.556816512800189</v>
      </c>
      <c r="J133" s="1"/>
      <c r="K133" s="1"/>
      <c r="L133" s="1"/>
      <c r="V133" s="1"/>
      <c r="W133" s="1"/>
      <c r="X133" s="1"/>
      <c r="Y133" s="1"/>
      <c r="Z133" s="1"/>
      <c r="AA133" s="1"/>
      <c r="AB133" s="1"/>
    </row>
    <row r="134" spans="1:28" ht="11.25" customHeight="1" x14ac:dyDescent="0.2">
      <c r="A134" s="83">
        <v>59</v>
      </c>
      <c r="B134" s="83" t="s">
        <v>400</v>
      </c>
      <c r="C134" s="84">
        <v>6.1859999999999999</v>
      </c>
      <c r="D134" s="84">
        <v>0.32924846875000002</v>
      </c>
      <c r="E134" s="84">
        <v>-9.8872569811284663</v>
      </c>
      <c r="F134" s="84">
        <v>0.7761948125</v>
      </c>
      <c r="G134" s="84">
        <v>-21.372448746129177</v>
      </c>
      <c r="J134" s="1"/>
      <c r="K134" s="1"/>
      <c r="L134" s="1"/>
      <c r="V134" s="1"/>
      <c r="W134" s="1"/>
      <c r="X134" s="1"/>
      <c r="Y134" s="1"/>
      <c r="Z134" s="1"/>
      <c r="AA134" s="1"/>
      <c r="AB134" s="1"/>
    </row>
    <row r="135" spans="1:28" ht="11.25" customHeight="1" x14ac:dyDescent="0.2">
      <c r="A135" s="95">
        <v>60</v>
      </c>
      <c r="B135" s="95" t="s">
        <v>401</v>
      </c>
      <c r="C135" s="96">
        <v>6.2839999999999998</v>
      </c>
      <c r="D135" s="96">
        <v>0.24934100000000001</v>
      </c>
      <c r="E135" s="96">
        <v>-3.5344287809826458</v>
      </c>
      <c r="F135" s="96">
        <v>0.36518790625000003</v>
      </c>
      <c r="G135" s="96">
        <v>-21.838766228154707</v>
      </c>
      <c r="J135" s="1"/>
      <c r="K135" s="1"/>
      <c r="L135" s="1"/>
      <c r="V135" s="1"/>
      <c r="W135" s="1"/>
      <c r="X135" s="1"/>
      <c r="Y135" s="1"/>
      <c r="Z135" s="1"/>
      <c r="AA135" s="1"/>
      <c r="AB135" s="1"/>
    </row>
    <row r="136" spans="1:28" ht="11.25" customHeight="1" x14ac:dyDescent="0.2">
      <c r="A136" s="83">
        <v>61</v>
      </c>
      <c r="B136" s="83" t="s">
        <v>402</v>
      </c>
      <c r="C136" s="84">
        <v>6.133</v>
      </c>
      <c r="D136" s="84">
        <v>0.26781175000000002</v>
      </c>
      <c r="E136" s="84">
        <v>-15.549276865639005</v>
      </c>
      <c r="F136" s="84">
        <v>0.58987862499999999</v>
      </c>
      <c r="G136" s="84">
        <v>-21.644852663810873</v>
      </c>
      <c r="J136" s="1"/>
      <c r="K136" s="1"/>
      <c r="L136" s="1"/>
      <c r="V136" s="1"/>
      <c r="W136" s="1"/>
      <c r="X136" s="1"/>
      <c r="Y136" s="1"/>
      <c r="Z136" s="1"/>
      <c r="AA136" s="1"/>
      <c r="AB136" s="1"/>
    </row>
    <row r="137" spans="1:28" ht="11.25" customHeight="1" x14ac:dyDescent="0.2">
      <c r="A137" s="95">
        <v>62</v>
      </c>
      <c r="B137" s="95" t="s">
        <v>403</v>
      </c>
      <c r="C137" s="96">
        <v>6.1470000000000002</v>
      </c>
      <c r="D137" s="96">
        <v>0.247846234375</v>
      </c>
      <c r="E137" s="96">
        <v>-6.1157628196886193</v>
      </c>
      <c r="F137" s="96">
        <v>0.42725043750000002</v>
      </c>
      <c r="G137" s="96">
        <v>-21.09842868564812</v>
      </c>
      <c r="J137" s="1"/>
      <c r="K137" s="1"/>
      <c r="L137" s="1"/>
      <c r="V137" s="1"/>
      <c r="W137" s="1"/>
      <c r="X137" s="1"/>
      <c r="Y137" s="1"/>
      <c r="Z137" s="1"/>
      <c r="AA137" s="1"/>
      <c r="AB137" s="1"/>
    </row>
    <row r="138" spans="1:28" ht="11.25" customHeight="1" x14ac:dyDescent="0.2">
      <c r="A138" s="83">
        <v>63</v>
      </c>
      <c r="B138" s="83" t="s">
        <v>61</v>
      </c>
      <c r="C138" s="84">
        <v>0.998</v>
      </c>
      <c r="D138" s="84">
        <v>1.215724625</v>
      </c>
      <c r="E138" s="84">
        <v>3.2111050922343232</v>
      </c>
      <c r="F138" s="84">
        <v>8.2114764999999998</v>
      </c>
      <c r="G138" s="84">
        <v>-22.091552715568579</v>
      </c>
      <c r="J138" s="1"/>
      <c r="K138" s="1"/>
      <c r="L138" s="1"/>
      <c r="V138" s="1"/>
      <c r="W138" s="1"/>
      <c r="X138" s="1"/>
      <c r="Y138" s="1"/>
      <c r="Z138" s="1"/>
      <c r="AA138" s="1"/>
      <c r="AB138" s="1"/>
    </row>
    <row r="139" spans="1:28" ht="11.25" customHeight="1" x14ac:dyDescent="0.2">
      <c r="A139" s="95">
        <v>64</v>
      </c>
      <c r="B139" s="95" t="s">
        <v>98</v>
      </c>
      <c r="C139" s="96">
        <v>2.468</v>
      </c>
      <c r="D139" s="96">
        <v>0.334109875</v>
      </c>
      <c r="E139" s="96">
        <v>0.12804672030730657</v>
      </c>
      <c r="F139" s="96">
        <v>1.555968625</v>
      </c>
      <c r="G139" s="96">
        <v>-15.214556247244095</v>
      </c>
      <c r="J139" s="1"/>
      <c r="K139" s="1"/>
      <c r="L139" s="1"/>
      <c r="V139" s="1"/>
      <c r="W139" s="1"/>
      <c r="X139" s="1"/>
      <c r="Y139" s="1"/>
      <c r="Z139" s="1"/>
      <c r="AA139" s="1"/>
      <c r="AB139" s="1"/>
    </row>
    <row r="140" spans="1:28" ht="11.25" customHeight="1" x14ac:dyDescent="0.2">
      <c r="A140" s="83">
        <v>65</v>
      </c>
      <c r="B140" s="83" t="s">
        <v>404</v>
      </c>
      <c r="C140" s="84">
        <v>6.1189999999999998</v>
      </c>
      <c r="D140" s="84">
        <v>0.22390837499999999</v>
      </c>
      <c r="E140" s="84">
        <v>-4.5881793974933416</v>
      </c>
      <c r="F140" s="84">
        <v>0.21966979687499999</v>
      </c>
      <c r="G140" s="84">
        <v>-23.365407536852658</v>
      </c>
      <c r="J140" s="1"/>
      <c r="K140" s="1"/>
      <c r="L140" s="1"/>
      <c r="V140" s="1"/>
      <c r="W140" s="1"/>
      <c r="X140" s="1"/>
      <c r="Y140" s="1"/>
      <c r="Z140" s="1"/>
      <c r="AA140" s="1"/>
      <c r="AB140" s="1"/>
    </row>
    <row r="141" spans="1:28" ht="11.25" customHeight="1" x14ac:dyDescent="0.2">
      <c r="A141" s="95">
        <v>66</v>
      </c>
      <c r="B141" s="95" t="s">
        <v>405</v>
      </c>
      <c r="C141" s="96">
        <v>6.0190000000000001</v>
      </c>
      <c r="D141" s="96">
        <v>0.229078296875</v>
      </c>
      <c r="E141" s="96">
        <v>-2.1840108859115803</v>
      </c>
      <c r="F141" s="96">
        <v>0.2194849375</v>
      </c>
      <c r="G141" s="96">
        <v>-23.041199829675207</v>
      </c>
      <c r="J141" s="1"/>
      <c r="K141" s="1"/>
      <c r="L141" s="1"/>
      <c r="V141" s="1"/>
      <c r="W141" s="1"/>
      <c r="X141" s="1"/>
      <c r="Y141" s="1"/>
      <c r="Z141" s="1"/>
      <c r="AA141" s="1"/>
      <c r="AB141" s="1"/>
    </row>
    <row r="142" spans="1:28" ht="11.25" customHeight="1" x14ac:dyDescent="0.2">
      <c r="A142" s="83">
        <v>67</v>
      </c>
      <c r="B142" s="83" t="s">
        <v>406</v>
      </c>
      <c r="C142" s="84">
        <v>6.13</v>
      </c>
      <c r="D142" s="84">
        <v>0.21722675</v>
      </c>
      <c r="E142" s="84">
        <v>-4.7155998187389248</v>
      </c>
      <c r="F142" s="84">
        <v>0.13931134375000001</v>
      </c>
      <c r="G142" s="84">
        <v>-24.186847161212455</v>
      </c>
      <c r="J142" s="1"/>
      <c r="K142" s="1"/>
      <c r="L142" s="1"/>
      <c r="V142" s="1"/>
      <c r="W142" s="1"/>
      <c r="X142" s="1"/>
      <c r="Y142" s="1"/>
      <c r="Z142" s="1"/>
      <c r="AA142" s="1"/>
      <c r="AB142" s="1"/>
    </row>
    <row r="143" spans="1:28" ht="11.25" customHeight="1" x14ac:dyDescent="0.2">
      <c r="A143" s="95">
        <v>68</v>
      </c>
      <c r="B143" s="95" t="s">
        <v>407</v>
      </c>
      <c r="C143" s="96">
        <v>5.9610000000000003</v>
      </c>
      <c r="D143" s="96">
        <v>0.21085582812500001</v>
      </c>
      <c r="E143" s="96">
        <v>-3.9874019296608498</v>
      </c>
      <c r="F143" s="96">
        <v>0.162066203125</v>
      </c>
      <c r="G143" s="96">
        <v>-24.162273576167205</v>
      </c>
      <c r="J143" s="1"/>
      <c r="K143" s="1"/>
      <c r="L143" s="1"/>
      <c r="V143" s="1"/>
      <c r="W143" s="1"/>
      <c r="X143" s="1"/>
      <c r="Y143" s="1"/>
      <c r="Z143" s="1"/>
      <c r="AA143" s="1"/>
      <c r="AB143" s="1"/>
    </row>
    <row r="144" spans="1:28" ht="11.25" customHeight="1" x14ac:dyDescent="0.2">
      <c r="A144" s="83">
        <v>69</v>
      </c>
      <c r="B144" s="83" t="s">
        <v>408</v>
      </c>
      <c r="C144" s="84">
        <v>6.1870000000000003</v>
      </c>
      <c r="D144" s="84">
        <v>0.21530487500000001</v>
      </c>
      <c r="E144" s="84">
        <v>-5.3804888096455894</v>
      </c>
      <c r="F144" s="84">
        <v>0.32398234375000001</v>
      </c>
      <c r="G144" s="84">
        <v>-21.963282435561279</v>
      </c>
      <c r="J144" s="1"/>
      <c r="K144" s="1"/>
      <c r="L144" s="1"/>
      <c r="V144" s="1"/>
      <c r="W144" s="1"/>
      <c r="X144" s="1"/>
      <c r="Y144" s="1"/>
      <c r="Z144" s="1"/>
      <c r="AA144" s="1"/>
      <c r="AB144" s="1"/>
    </row>
    <row r="145" spans="1:28" ht="11.25" customHeight="1" x14ac:dyDescent="0.2">
      <c r="A145" s="95">
        <v>70</v>
      </c>
      <c r="B145" s="95" t="s">
        <v>409</v>
      </c>
      <c r="C145" s="96">
        <v>6.3220000000000001</v>
      </c>
      <c r="D145" s="96">
        <v>0.186644296875</v>
      </c>
      <c r="E145" s="96">
        <v>-5.3544145975092938</v>
      </c>
      <c r="F145" s="96">
        <v>0.17824567187500001</v>
      </c>
      <c r="G145" s="96">
        <v>-22.021651686108928</v>
      </c>
      <c r="J145" s="1"/>
      <c r="K145" s="1"/>
      <c r="L145" s="1"/>
      <c r="V145" s="1"/>
      <c r="W145" s="1"/>
      <c r="X145" s="1"/>
      <c r="Y145" s="1"/>
      <c r="Z145" s="1"/>
      <c r="AA145" s="1"/>
      <c r="AB145" s="1"/>
    </row>
    <row r="146" spans="1:28" ht="11.25" customHeight="1" x14ac:dyDescent="0.2">
      <c r="A146" s="83">
        <v>71</v>
      </c>
      <c r="B146" s="83" t="s">
        <v>410</v>
      </c>
      <c r="C146" s="84">
        <v>5.9740000000000002</v>
      </c>
      <c r="D146" s="84">
        <v>0.17357312499999999</v>
      </c>
      <c r="E146" s="84">
        <v>-3.7615552567753507</v>
      </c>
      <c r="F146" s="84">
        <v>0.21587765624999999</v>
      </c>
      <c r="G146" s="84">
        <v>-23.008923290844844</v>
      </c>
      <c r="J146" s="1"/>
      <c r="K146" s="1"/>
      <c r="L146" s="1"/>
      <c r="V146" s="1"/>
      <c r="W146" s="1"/>
      <c r="X146" s="1"/>
      <c r="Y146" s="1"/>
      <c r="Z146" s="1"/>
      <c r="AA146" s="1"/>
      <c r="AB146" s="1"/>
    </row>
    <row r="147" spans="1:28" ht="11.25" customHeight="1" x14ac:dyDescent="0.2">
      <c r="A147" s="95">
        <v>72</v>
      </c>
      <c r="B147" s="95" t="s">
        <v>109</v>
      </c>
      <c r="C147" s="96">
        <v>3.0640000000000001</v>
      </c>
      <c r="D147" s="96">
        <v>0.33182078124999997</v>
      </c>
      <c r="E147" s="96">
        <v>0.98515778783214714</v>
      </c>
      <c r="F147" s="96">
        <v>1.8980846250000001</v>
      </c>
      <c r="G147" s="96">
        <v>-15.600898852505955</v>
      </c>
      <c r="J147" s="1"/>
      <c r="K147" s="1"/>
      <c r="L147" s="1"/>
      <c r="V147" s="1"/>
      <c r="W147" s="1"/>
      <c r="X147" s="1"/>
      <c r="Y147" s="1"/>
      <c r="Z147" s="1"/>
      <c r="AA147" s="1"/>
      <c r="AB147" s="1"/>
    </row>
    <row r="148" spans="1:28" ht="11.25" customHeight="1" x14ac:dyDescent="0.2">
      <c r="A148" s="83">
        <v>73</v>
      </c>
      <c r="B148" s="83" t="s">
        <v>64</v>
      </c>
      <c r="C148" s="84">
        <v>0.34799999999999998</v>
      </c>
      <c r="D148" s="84">
        <v>3.0594822499999998</v>
      </c>
      <c r="E148" s="84">
        <v>2.2293901143839445</v>
      </c>
      <c r="F148" s="84">
        <v>1.4427908203124999E-2</v>
      </c>
      <c r="G148" s="84">
        <v>-15.491924974984062</v>
      </c>
      <c r="J148" s="1"/>
      <c r="K148" s="1"/>
      <c r="L148" s="1"/>
      <c r="V148" s="1"/>
      <c r="W148" s="1"/>
      <c r="X148" s="1"/>
      <c r="Y148" s="1"/>
      <c r="Z148" s="1"/>
      <c r="AA148" s="1"/>
      <c r="AB148" s="1"/>
    </row>
    <row r="149" spans="1:28" ht="11.25" customHeight="1" x14ac:dyDescent="0.2">
      <c r="A149" s="95">
        <v>74</v>
      </c>
      <c r="B149" s="95" t="s">
        <v>69</v>
      </c>
      <c r="C149" s="96">
        <v>0.29699999999999999</v>
      </c>
      <c r="D149" s="96">
        <v>2.5652677499999998</v>
      </c>
      <c r="E149" s="96">
        <v>20.510104257347006</v>
      </c>
      <c r="F149" s="96">
        <v>1.1561404296874999E-2</v>
      </c>
      <c r="G149" s="96">
        <v>-16.330389676003762</v>
      </c>
      <c r="J149" s="1"/>
      <c r="K149" s="1"/>
      <c r="L149" s="1"/>
      <c r="V149" s="1"/>
      <c r="W149" s="1"/>
      <c r="X149" s="1"/>
      <c r="Y149" s="1"/>
      <c r="Z149" s="1"/>
      <c r="AA149" s="1"/>
      <c r="AB149" s="1"/>
    </row>
    <row r="150" spans="1:28" ht="11.25" customHeight="1" x14ac:dyDescent="0.2">
      <c r="A150" s="83">
        <v>75</v>
      </c>
      <c r="B150" s="83" t="s">
        <v>84</v>
      </c>
      <c r="C150" s="84">
        <v>1.333</v>
      </c>
      <c r="D150" s="84">
        <v>1.6419368750000001</v>
      </c>
      <c r="E150" s="84">
        <v>4.3021846758017901</v>
      </c>
      <c r="F150" s="84">
        <v>11.214351000000001</v>
      </c>
      <c r="G150" s="84">
        <v>-22.342451090311137</v>
      </c>
      <c r="J150" s="1"/>
      <c r="K150" s="1"/>
      <c r="L150" s="1"/>
      <c r="V150" s="1"/>
      <c r="W150" s="1"/>
      <c r="X150" s="1"/>
      <c r="Y150" s="1"/>
      <c r="Z150" s="1"/>
      <c r="AA150" s="1"/>
      <c r="AB150" s="1"/>
    </row>
    <row r="151" spans="1:28" ht="11.25" customHeight="1" x14ac:dyDescent="0.2">
      <c r="A151" s="95">
        <v>76</v>
      </c>
      <c r="B151" s="95" t="s">
        <v>62</v>
      </c>
      <c r="C151" s="96">
        <v>1.2949999999999999</v>
      </c>
      <c r="D151" s="96">
        <v>0.161471</v>
      </c>
      <c r="E151" s="96">
        <v>-6.057646861021837</v>
      </c>
      <c r="F151" s="96">
        <v>9.9307420000000004</v>
      </c>
      <c r="G151" s="96">
        <v>-20.825319001134531</v>
      </c>
      <c r="J151" s="1"/>
      <c r="K151" s="1"/>
      <c r="L151" s="1"/>
      <c r="V151" s="1"/>
      <c r="W151" s="1"/>
      <c r="X151" s="1"/>
      <c r="Y151" s="1"/>
      <c r="Z151" s="1"/>
      <c r="AA151" s="1"/>
      <c r="AB151" s="1"/>
    </row>
    <row r="152" spans="1:28" ht="11.25" customHeight="1" x14ac:dyDescent="0.2">
      <c r="A152" s="83">
        <v>77</v>
      </c>
      <c r="B152" s="83" t="s">
        <v>63</v>
      </c>
      <c r="C152" s="84">
        <v>1.0680000000000001</v>
      </c>
      <c r="D152" s="84">
        <v>0.15733681250000001</v>
      </c>
      <c r="E152" s="84">
        <v>-5.7069950861717844</v>
      </c>
      <c r="F152" s="84">
        <v>7.9178715000000004</v>
      </c>
      <c r="G152" s="84">
        <v>-6.5919129283866171</v>
      </c>
      <c r="J152" s="1"/>
      <c r="K152" s="1"/>
      <c r="L152" s="1"/>
      <c r="V152" s="1"/>
      <c r="W152" s="1"/>
      <c r="X152" s="1"/>
      <c r="Y152" s="1"/>
      <c r="Z152" s="1"/>
      <c r="AA152" s="1"/>
      <c r="AB152" s="1"/>
    </row>
    <row r="153" spans="1:28" ht="11.25" customHeight="1" x14ac:dyDescent="0.2">
      <c r="A153" s="114">
        <v>78</v>
      </c>
      <c r="B153" s="114" t="s">
        <v>70</v>
      </c>
      <c r="C153" s="108">
        <v>1.04</v>
      </c>
      <c r="D153" s="96">
        <v>0.15533703125000001</v>
      </c>
      <c r="E153" s="96">
        <v>-7.264984495336968</v>
      </c>
      <c r="F153" s="108">
        <v>3.68912</v>
      </c>
      <c r="G153" s="108">
        <v>-13.950030406608105</v>
      </c>
      <c r="J153" s="1"/>
      <c r="K153" s="1"/>
      <c r="L153" s="1"/>
      <c r="V153" s="1"/>
      <c r="W153" s="1"/>
      <c r="X153" s="1"/>
      <c r="Y153" s="1"/>
      <c r="Z153" s="1"/>
      <c r="AA153" s="1"/>
      <c r="AB153" s="1"/>
    </row>
    <row r="154" spans="1:28" ht="11.25" customHeight="1" x14ac:dyDescent="0.2">
      <c r="A154" s="110">
        <v>79</v>
      </c>
      <c r="B154" s="110" t="s">
        <v>86</v>
      </c>
      <c r="D154" s="85">
        <v>0.15664275</v>
      </c>
      <c r="E154" s="85">
        <v>-7.3872754858924639</v>
      </c>
      <c r="J154" s="1"/>
      <c r="K154" s="1"/>
      <c r="L154" s="1"/>
      <c r="V154" s="1"/>
      <c r="W154" s="1"/>
      <c r="X154" s="1"/>
      <c r="Y154" s="1"/>
      <c r="Z154" s="1"/>
      <c r="AA154" s="1"/>
      <c r="AB154" s="1"/>
    </row>
    <row r="155" spans="1:28" ht="11.25" customHeight="1" x14ac:dyDescent="0.25">
      <c r="H155"/>
      <c r="I155"/>
      <c r="J155" s="1"/>
      <c r="K155" s="1"/>
      <c r="L155" s="1"/>
      <c r="V155" s="1"/>
      <c r="W155" s="1"/>
      <c r="X155" s="1"/>
      <c r="Y155" s="1"/>
      <c r="Z155" s="1"/>
      <c r="AA155" s="1"/>
      <c r="AB155" s="1"/>
    </row>
    <row r="156" spans="1:28" ht="11.25" customHeight="1" x14ac:dyDescent="0.25">
      <c r="H156"/>
      <c r="I156"/>
      <c r="J156" s="1"/>
      <c r="K156" s="1"/>
      <c r="L156" s="1"/>
      <c r="V156" s="1"/>
      <c r="W156" s="1"/>
      <c r="X156" s="1"/>
      <c r="Y156" s="1"/>
      <c r="Z156" s="1"/>
      <c r="AA156" s="1"/>
      <c r="AB156" s="1"/>
    </row>
    <row r="157" spans="1:28" ht="11.25" customHeight="1" x14ac:dyDescent="0.25">
      <c r="H157"/>
      <c r="I157"/>
      <c r="J157" s="1"/>
      <c r="K157" s="1"/>
      <c r="L157" s="1"/>
      <c r="V157" s="1"/>
      <c r="W157" s="1"/>
      <c r="X157" s="1"/>
      <c r="Y157" s="1"/>
      <c r="Z157" s="1"/>
      <c r="AA157" s="1"/>
      <c r="AB157" s="1"/>
    </row>
    <row r="158" spans="1:28" ht="11.25" customHeight="1" x14ac:dyDescent="0.25">
      <c r="H158"/>
      <c r="I158"/>
      <c r="J158" s="1"/>
      <c r="K158" s="1"/>
      <c r="L158" s="1"/>
      <c r="V158" s="1"/>
      <c r="W158" s="1"/>
      <c r="X158" s="1"/>
      <c r="Y158" s="1"/>
      <c r="Z158" s="1"/>
      <c r="AA158" s="1"/>
      <c r="AB158" s="1"/>
    </row>
    <row r="159" spans="1:28" ht="11.25" customHeight="1" x14ac:dyDescent="0.25">
      <c r="H159"/>
      <c r="I159"/>
      <c r="J159" s="1"/>
      <c r="K159" s="1"/>
      <c r="L159" s="1"/>
      <c r="V159" s="1"/>
      <c r="W159" s="1"/>
      <c r="X159" s="1"/>
      <c r="Y159" s="1"/>
      <c r="Z159" s="1"/>
      <c r="AA159" s="1"/>
      <c r="AB159" s="1"/>
    </row>
    <row r="160" spans="1:28" ht="11.25" customHeight="1" x14ac:dyDescent="0.25">
      <c r="H160"/>
      <c r="I160"/>
      <c r="J160" s="1"/>
      <c r="K160" s="1"/>
      <c r="L160" s="1"/>
      <c r="V160" s="1"/>
      <c r="W160" s="1"/>
      <c r="X160" s="1"/>
      <c r="Y160" s="1"/>
      <c r="Z160" s="1"/>
      <c r="AA160" s="1"/>
      <c r="AB160" s="1"/>
    </row>
    <row r="161" spans="8:28" ht="11.25" customHeight="1" x14ac:dyDescent="0.25">
      <c r="H161"/>
      <c r="I161"/>
      <c r="J161" s="1"/>
      <c r="K161" s="1"/>
      <c r="L161" s="1"/>
      <c r="V161" s="1"/>
      <c r="W161" s="1"/>
      <c r="X161" s="1"/>
      <c r="Y161" s="1"/>
      <c r="Z161" s="1"/>
      <c r="AA161" s="1"/>
      <c r="AB161" s="1"/>
    </row>
    <row r="162" spans="8:28" ht="11.25" customHeight="1" x14ac:dyDescent="0.25">
      <c r="H162"/>
      <c r="I162"/>
      <c r="J162" s="1"/>
      <c r="K162" s="1"/>
      <c r="L162" s="1"/>
      <c r="V162" s="1"/>
      <c r="W162" s="1"/>
      <c r="X162" s="1"/>
      <c r="Y162" s="1"/>
      <c r="Z162" s="1"/>
      <c r="AA162" s="1"/>
      <c r="AB162" s="1"/>
    </row>
    <row r="163" spans="8:28" ht="11.25" customHeight="1" x14ac:dyDescent="0.25">
      <c r="H163"/>
      <c r="I163"/>
      <c r="J163" s="1"/>
      <c r="K163" s="1"/>
      <c r="L163" s="1"/>
      <c r="V163" s="1"/>
      <c r="W163" s="1"/>
      <c r="X163" s="1"/>
      <c r="Y163" s="1"/>
      <c r="Z163" s="1"/>
      <c r="AA163" s="1"/>
      <c r="AB163" s="1"/>
    </row>
    <row r="164" spans="8:28" ht="11.25" customHeight="1" x14ac:dyDescent="0.25">
      <c r="H164"/>
      <c r="I164"/>
      <c r="J164" s="1"/>
      <c r="K164" s="1"/>
      <c r="L164" s="1"/>
      <c r="V164" s="1"/>
      <c r="W164" s="1"/>
      <c r="X164" s="1"/>
      <c r="Y164" s="1"/>
      <c r="Z164" s="1"/>
      <c r="AA164" s="1"/>
      <c r="AB164" s="1"/>
    </row>
    <row r="165" spans="8:28" ht="11.25" customHeight="1" x14ac:dyDescent="0.25">
      <c r="H165"/>
      <c r="I165"/>
      <c r="J165" s="1"/>
      <c r="K165" s="1"/>
      <c r="L165" s="1"/>
      <c r="V165" s="1"/>
      <c r="W165" s="1"/>
      <c r="X165" s="1"/>
      <c r="Y165" s="1"/>
      <c r="Z165" s="1"/>
      <c r="AA165" s="1"/>
      <c r="AB165" s="1"/>
    </row>
    <row r="166" spans="8:28" ht="11.25" customHeight="1" x14ac:dyDescent="0.25">
      <c r="H166"/>
      <c r="I166"/>
      <c r="J166" s="1"/>
      <c r="K166" s="1"/>
      <c r="L166" s="1"/>
      <c r="V166" s="1"/>
      <c r="W166" s="1"/>
      <c r="X166" s="1"/>
      <c r="Y166" s="1"/>
      <c r="Z166" s="1"/>
      <c r="AA166" s="1"/>
      <c r="AB166" s="1"/>
    </row>
    <row r="167" spans="8:28" ht="11.25" customHeight="1" x14ac:dyDescent="0.25">
      <c r="H167"/>
      <c r="I167"/>
      <c r="J167" s="1"/>
      <c r="K167" s="1"/>
      <c r="L167" s="1"/>
      <c r="V167" s="1"/>
      <c r="W167" s="1"/>
      <c r="X167" s="1"/>
      <c r="Y167" s="1"/>
      <c r="Z167" s="1"/>
      <c r="AA167" s="1"/>
      <c r="AB167" s="1"/>
    </row>
    <row r="168" spans="8:28" ht="11.25" customHeight="1" x14ac:dyDescent="0.25">
      <c r="H168"/>
      <c r="I168"/>
      <c r="J168" s="1"/>
      <c r="K168" s="1"/>
      <c r="L168" s="1"/>
      <c r="V168" s="1"/>
      <c r="W168" s="1"/>
      <c r="X168" s="1"/>
      <c r="Y168" s="1"/>
      <c r="Z168" s="1"/>
      <c r="AA168" s="1"/>
      <c r="AB168" s="1"/>
    </row>
    <row r="169" spans="8:28" ht="11.25" customHeight="1" x14ac:dyDescent="0.25">
      <c r="H169"/>
      <c r="I169"/>
      <c r="J169" s="1"/>
      <c r="K169" s="1"/>
      <c r="L169" s="1"/>
      <c r="V169" s="1"/>
      <c r="W169" s="1"/>
      <c r="X169" s="1"/>
      <c r="Y169" s="1"/>
      <c r="Z169" s="1"/>
      <c r="AA169" s="1"/>
      <c r="AB169" s="1"/>
    </row>
    <row r="170" spans="8:28" ht="11.25" customHeight="1" x14ac:dyDescent="0.25">
      <c r="H170"/>
      <c r="I170"/>
      <c r="J170" s="1"/>
      <c r="K170" s="1"/>
      <c r="L170" s="1"/>
      <c r="V170" s="1"/>
      <c r="W170" s="1"/>
      <c r="X170" s="1"/>
      <c r="Y170" s="1"/>
      <c r="Z170" s="1"/>
      <c r="AA170" s="1"/>
      <c r="AB170" s="1"/>
    </row>
    <row r="171" spans="8:28" ht="11.25" customHeight="1" x14ac:dyDescent="0.25">
      <c r="H171"/>
      <c r="I171"/>
      <c r="J171" s="1"/>
      <c r="K171" s="1"/>
      <c r="L171" s="1"/>
      <c r="V171" s="1"/>
      <c r="W171" s="1"/>
      <c r="X171" s="1"/>
      <c r="Y171" s="1"/>
      <c r="Z171" s="1"/>
      <c r="AA171" s="1"/>
      <c r="AB171" s="1"/>
    </row>
    <row r="172" spans="8:28" ht="11.25" customHeight="1" x14ac:dyDescent="0.25">
      <c r="H172"/>
      <c r="I172"/>
      <c r="J172" s="1"/>
      <c r="K172" s="1"/>
      <c r="L172" s="1"/>
      <c r="V172" s="1"/>
      <c r="W172" s="1"/>
      <c r="X172" s="1"/>
      <c r="Y172" s="1"/>
      <c r="Z172" s="1"/>
      <c r="AA172" s="1"/>
      <c r="AB172" s="1"/>
    </row>
    <row r="173" spans="8:28" ht="11.25" customHeight="1" x14ac:dyDescent="0.25">
      <c r="H173"/>
      <c r="I173"/>
      <c r="J173" s="1"/>
      <c r="K173" s="1"/>
      <c r="L173" s="1"/>
      <c r="V173" s="1"/>
      <c r="W173" s="1"/>
      <c r="X173" s="1"/>
      <c r="Y173" s="1"/>
      <c r="Z173" s="1"/>
      <c r="AA173" s="1"/>
      <c r="AB173" s="1"/>
    </row>
    <row r="174" spans="8:28" ht="11.25" customHeight="1" x14ac:dyDescent="0.25">
      <c r="H174"/>
      <c r="I174"/>
      <c r="J174" s="1"/>
      <c r="K174" s="1"/>
      <c r="L174" s="1"/>
      <c r="V174" s="1"/>
      <c r="W174" s="1"/>
      <c r="X174" s="1"/>
      <c r="Y174" s="1"/>
      <c r="Z174" s="1"/>
      <c r="AA174" s="1"/>
      <c r="AB174" s="1"/>
    </row>
    <row r="175" spans="8:28" ht="11.25" customHeight="1" x14ac:dyDescent="0.25">
      <c r="H175"/>
      <c r="I175"/>
      <c r="J175" s="1"/>
      <c r="K175" s="1"/>
      <c r="L175" s="1"/>
      <c r="V175" s="1"/>
      <c r="W175" s="1"/>
      <c r="X175" s="1"/>
      <c r="Y175" s="1"/>
      <c r="Z175" s="1"/>
      <c r="AA175" s="1"/>
      <c r="AB175" s="1"/>
    </row>
    <row r="176" spans="8:28" ht="11.25" customHeight="1" x14ac:dyDescent="0.25">
      <c r="H176"/>
      <c r="I176"/>
      <c r="J176" s="1"/>
      <c r="K176" s="1"/>
      <c r="L176" s="1"/>
      <c r="V176" s="1"/>
      <c r="W176" s="1"/>
      <c r="X176" s="1"/>
      <c r="Y176" s="1"/>
      <c r="Z176" s="1"/>
      <c r="AA176" s="1"/>
      <c r="AB176" s="1"/>
    </row>
    <row r="177" spans="8:28" ht="11.25" customHeight="1" x14ac:dyDescent="0.25">
      <c r="H177"/>
      <c r="I177"/>
      <c r="J177" s="1"/>
      <c r="K177" s="1"/>
      <c r="L177" s="1"/>
      <c r="V177" s="1"/>
      <c r="W177" s="1"/>
      <c r="X177" s="1"/>
      <c r="Y177" s="1"/>
      <c r="Z177" s="1"/>
      <c r="AA177" s="1"/>
      <c r="AB177" s="1"/>
    </row>
    <row r="178" spans="8:28" ht="11.25" customHeight="1" x14ac:dyDescent="0.25">
      <c r="H178"/>
      <c r="I178"/>
      <c r="J178" s="1"/>
      <c r="K178" s="1"/>
      <c r="L178" s="1"/>
      <c r="V178" s="1"/>
      <c r="W178" s="1"/>
      <c r="X178" s="1"/>
      <c r="Y178" s="1"/>
      <c r="Z178" s="1"/>
      <c r="AA178" s="1"/>
      <c r="AB178" s="1"/>
    </row>
    <row r="179" spans="8:28" ht="11.25" customHeight="1" x14ac:dyDescent="0.25">
      <c r="H179"/>
      <c r="I179"/>
      <c r="J179" s="1"/>
      <c r="K179" s="1"/>
      <c r="L179" s="1"/>
      <c r="V179" s="1"/>
      <c r="W179" s="1"/>
      <c r="X179" s="1"/>
      <c r="Y179" s="1"/>
      <c r="Z179" s="1"/>
      <c r="AA179" s="1"/>
      <c r="AB179" s="1"/>
    </row>
    <row r="180" spans="8:28" ht="11.25" customHeight="1" x14ac:dyDescent="0.25">
      <c r="H180"/>
      <c r="I180"/>
      <c r="J180" s="1"/>
      <c r="K180" s="1"/>
      <c r="L180" s="1"/>
      <c r="V180" s="1"/>
      <c r="W180" s="1"/>
      <c r="X180" s="1"/>
      <c r="Y180" s="1"/>
      <c r="Z180" s="1"/>
      <c r="AA180" s="1"/>
      <c r="AB180" s="1"/>
    </row>
    <row r="181" spans="8:28" ht="11.25" customHeight="1" x14ac:dyDescent="0.25">
      <c r="H181"/>
      <c r="I181"/>
      <c r="J181" s="1"/>
      <c r="K181" s="1"/>
      <c r="L181" s="1"/>
      <c r="V181" s="1"/>
      <c r="W181" s="1"/>
      <c r="X181" s="1"/>
      <c r="Y181" s="1"/>
      <c r="Z181" s="1"/>
      <c r="AA181" s="1"/>
      <c r="AB181" s="1"/>
    </row>
    <row r="182" spans="8:28" ht="11.25" customHeight="1" x14ac:dyDescent="0.25">
      <c r="H182"/>
      <c r="I182"/>
      <c r="J182" s="1"/>
      <c r="K182" s="1"/>
      <c r="L182" s="1"/>
      <c r="V182" s="1"/>
      <c r="W182" s="1"/>
      <c r="X182" s="1"/>
      <c r="Y182" s="1"/>
      <c r="Z182" s="1"/>
      <c r="AA182" s="1"/>
      <c r="AB182" s="1"/>
    </row>
    <row r="183" spans="8:28" ht="11.25" customHeight="1" x14ac:dyDescent="0.25">
      <c r="H183"/>
      <c r="I183"/>
      <c r="J183" s="1"/>
      <c r="K183" s="1"/>
      <c r="L183" s="1"/>
      <c r="V183" s="1"/>
      <c r="W183" s="1"/>
      <c r="X183" s="1"/>
      <c r="Y183" s="1"/>
      <c r="Z183" s="1"/>
      <c r="AA183" s="1"/>
      <c r="AB183" s="1"/>
    </row>
    <row r="184" spans="8:28" ht="11.25" customHeight="1" x14ac:dyDescent="0.25">
      <c r="H184"/>
      <c r="I184"/>
      <c r="J184" s="1"/>
      <c r="K184" s="1"/>
      <c r="L184" s="1"/>
      <c r="V184" s="1"/>
      <c r="W184" s="1"/>
      <c r="X184" s="1"/>
      <c r="Y184" s="1"/>
      <c r="Z184" s="1"/>
      <c r="AA184" s="1"/>
      <c r="AB184" s="1"/>
    </row>
    <row r="185" spans="8:28" ht="11.25" customHeight="1" x14ac:dyDescent="0.25">
      <c r="I185"/>
      <c r="J185"/>
      <c r="K185"/>
      <c r="L185"/>
      <c r="M185"/>
      <c r="N185"/>
      <c r="O185"/>
      <c r="V185" s="1"/>
      <c r="W185" s="1"/>
      <c r="X185" s="1"/>
      <c r="Y185" s="1"/>
      <c r="Z185" s="1"/>
      <c r="AA185" s="1"/>
      <c r="AB185" s="1"/>
    </row>
    <row r="186" spans="8:28" ht="11.25" customHeight="1" x14ac:dyDescent="0.25">
      <c r="I186"/>
      <c r="J186"/>
      <c r="K186"/>
      <c r="L186"/>
      <c r="M186"/>
      <c r="N186"/>
      <c r="O186"/>
      <c r="V186" s="1"/>
      <c r="W186" s="1"/>
      <c r="X186" s="1"/>
      <c r="Y186" s="1"/>
      <c r="Z186" s="1"/>
      <c r="AA186" s="1"/>
      <c r="AB186" s="1"/>
    </row>
    <row r="187" spans="8:28" ht="11.25" customHeight="1" x14ac:dyDescent="0.25">
      <c r="I187"/>
      <c r="J187"/>
      <c r="K187"/>
      <c r="L187"/>
      <c r="M187"/>
      <c r="N187"/>
      <c r="O187"/>
      <c r="V187" s="1"/>
      <c r="W187" s="1"/>
      <c r="X187" s="1"/>
      <c r="Y187" s="1"/>
      <c r="Z187" s="1"/>
      <c r="AA187" s="1"/>
      <c r="AB187" s="1"/>
    </row>
    <row r="188" spans="8:28" ht="11.25" customHeight="1" x14ac:dyDescent="0.25">
      <c r="I188"/>
      <c r="J188"/>
      <c r="K188"/>
      <c r="L188"/>
      <c r="M188"/>
      <c r="N188"/>
      <c r="O188"/>
      <c r="V188" s="1"/>
      <c r="W188" s="1"/>
      <c r="X188" s="1"/>
      <c r="Y188" s="1"/>
      <c r="Z188" s="1"/>
      <c r="AA188" s="1"/>
      <c r="AB188" s="1"/>
    </row>
    <row r="189" spans="8:28" ht="11.25" customHeight="1" x14ac:dyDescent="0.25">
      <c r="I189"/>
      <c r="J189"/>
      <c r="K189"/>
      <c r="L189"/>
      <c r="M189"/>
      <c r="N189"/>
      <c r="O189"/>
      <c r="V189" s="1"/>
      <c r="W189" s="1"/>
      <c r="X189" s="1"/>
      <c r="Y189" s="1"/>
      <c r="Z189" s="1"/>
      <c r="AA189" s="1"/>
      <c r="AB189" s="1"/>
    </row>
    <row r="190" spans="8:28" ht="11.25" customHeight="1" x14ac:dyDescent="0.25">
      <c r="I190"/>
      <c r="J190"/>
      <c r="K190"/>
      <c r="L190"/>
      <c r="M190"/>
      <c r="N190"/>
      <c r="O190"/>
      <c r="V190" s="1"/>
      <c r="W190" s="1"/>
      <c r="X190" s="1"/>
      <c r="Y190" s="1"/>
      <c r="Z190" s="1"/>
      <c r="AA190" s="1"/>
      <c r="AB190" s="1"/>
    </row>
    <row r="191" spans="8:28" ht="11.25" customHeight="1" x14ac:dyDescent="0.25">
      <c r="I191"/>
      <c r="J191"/>
      <c r="K191"/>
      <c r="L191"/>
      <c r="M191"/>
      <c r="N191"/>
      <c r="O191"/>
      <c r="V191" s="1"/>
      <c r="W191" s="1"/>
      <c r="X191" s="1"/>
      <c r="Y191" s="1"/>
      <c r="Z191" s="1"/>
      <c r="AA191" s="1"/>
      <c r="AB191" s="1"/>
    </row>
    <row r="192" spans="8:28" ht="11.25" customHeight="1" x14ac:dyDescent="0.25">
      <c r="I192"/>
      <c r="J192"/>
      <c r="K192"/>
      <c r="L192"/>
      <c r="M192"/>
      <c r="N192"/>
      <c r="O192"/>
      <c r="V192" s="1"/>
      <c r="W192" s="1"/>
      <c r="X192" s="1"/>
      <c r="Y192" s="1"/>
      <c r="Z192" s="1"/>
      <c r="AA192" s="1"/>
      <c r="AB192" s="1"/>
    </row>
    <row r="193" spans="9:28" ht="11.25" customHeight="1" x14ac:dyDescent="0.25">
      <c r="I193"/>
      <c r="J193"/>
      <c r="K193"/>
      <c r="L193"/>
      <c r="M193"/>
      <c r="N193"/>
      <c r="O193"/>
      <c r="V193" s="1"/>
      <c r="W193" s="1"/>
      <c r="X193" s="1"/>
      <c r="Y193" s="1"/>
      <c r="Z193" s="1"/>
      <c r="AA193" s="1"/>
      <c r="AB193" s="1"/>
    </row>
    <row r="194" spans="9:28" ht="11.25" customHeight="1" x14ac:dyDescent="0.25">
      <c r="I194"/>
      <c r="J194"/>
      <c r="K194"/>
      <c r="L194"/>
      <c r="M194"/>
      <c r="N194"/>
      <c r="O194"/>
      <c r="V194" s="1"/>
      <c r="W194" s="1"/>
      <c r="X194" s="1"/>
      <c r="Y194" s="1"/>
      <c r="Z194" s="1"/>
      <c r="AA194" s="1"/>
      <c r="AB194" s="1"/>
    </row>
    <row r="195" spans="9:28" ht="11.25" customHeight="1" x14ac:dyDescent="0.25">
      <c r="I195"/>
      <c r="J195"/>
      <c r="K195"/>
      <c r="L195"/>
      <c r="M195"/>
      <c r="N195"/>
      <c r="O195"/>
      <c r="V195" s="1"/>
      <c r="W195" s="1"/>
      <c r="X195" s="1"/>
      <c r="Y195" s="1"/>
      <c r="Z195" s="1"/>
      <c r="AA195" s="1"/>
      <c r="AB195" s="1"/>
    </row>
    <row r="196" spans="9:28" ht="11.25" customHeight="1" x14ac:dyDescent="0.25">
      <c r="I196"/>
      <c r="J196"/>
      <c r="K196"/>
      <c r="L196"/>
      <c r="M196"/>
      <c r="N196"/>
      <c r="O196"/>
      <c r="V196" s="1"/>
      <c r="W196" s="1"/>
      <c r="X196" s="1"/>
      <c r="Y196" s="1"/>
      <c r="Z196" s="1"/>
      <c r="AA196" s="1"/>
      <c r="AB196" s="1"/>
    </row>
    <row r="197" spans="9:28" ht="11.25" customHeight="1" x14ac:dyDescent="0.25">
      <c r="I197"/>
      <c r="J197"/>
      <c r="K197"/>
      <c r="L197"/>
      <c r="M197"/>
      <c r="N197"/>
      <c r="O197"/>
      <c r="V197" s="1"/>
      <c r="W197" s="1"/>
      <c r="X197" s="1"/>
      <c r="Y197" s="1"/>
      <c r="Z197" s="1"/>
      <c r="AA197" s="1"/>
      <c r="AB197" s="1"/>
    </row>
    <row r="198" spans="9:28" ht="11.25" customHeight="1" x14ac:dyDescent="0.25">
      <c r="J198" s="1"/>
      <c r="K198" s="1"/>
      <c r="L198" s="1"/>
      <c r="O198"/>
      <c r="P198"/>
      <c r="Q198"/>
      <c r="R198"/>
      <c r="S198"/>
      <c r="T198"/>
      <c r="U198"/>
      <c r="V198" s="1"/>
      <c r="W198" s="1"/>
      <c r="X198" s="1"/>
      <c r="Y198" s="1"/>
      <c r="Z198" s="1"/>
      <c r="AA198" s="1"/>
      <c r="AB198" s="1"/>
    </row>
    <row r="199" spans="9:28" ht="11.25" customHeight="1" x14ac:dyDescent="0.25">
      <c r="J199" s="1"/>
      <c r="K199" s="1"/>
      <c r="L199" s="1"/>
      <c r="O199"/>
      <c r="P199"/>
      <c r="Q199"/>
      <c r="R199"/>
      <c r="S199"/>
      <c r="T199"/>
      <c r="U199"/>
      <c r="V199" s="1"/>
      <c r="W199" s="1"/>
      <c r="X199" s="1"/>
      <c r="Y199" s="1"/>
      <c r="Z199" s="1"/>
      <c r="AA199" s="1"/>
      <c r="AB199" s="1"/>
    </row>
    <row r="200" spans="9:28" ht="11.25" customHeight="1" x14ac:dyDescent="0.25">
      <c r="J200" s="1"/>
      <c r="K200" s="1"/>
      <c r="L200" s="1"/>
      <c r="O200"/>
      <c r="P200"/>
      <c r="Q200"/>
      <c r="R200"/>
      <c r="S200"/>
      <c r="T200"/>
      <c r="U200"/>
      <c r="V200" s="1"/>
      <c r="W200" s="1"/>
      <c r="X200" s="1"/>
      <c r="Y200" s="1"/>
      <c r="Z200" s="1"/>
      <c r="AA200" s="1"/>
      <c r="AB200" s="1"/>
    </row>
    <row r="201" spans="9:28" ht="11.25" customHeight="1" x14ac:dyDescent="0.25">
      <c r="J201" s="1"/>
      <c r="K201" s="1"/>
      <c r="L201" s="1"/>
      <c r="O201"/>
      <c r="P201"/>
      <c r="Q201"/>
      <c r="R201"/>
      <c r="S201"/>
      <c r="T201"/>
      <c r="U201"/>
      <c r="V201" s="1"/>
      <c r="W201" s="1"/>
      <c r="X201" s="1"/>
      <c r="Y201" s="1"/>
      <c r="Z201" s="1"/>
      <c r="AA201" s="1"/>
      <c r="AB201" s="1"/>
    </row>
    <row r="202" spans="9:28" ht="11.25" customHeight="1" x14ac:dyDescent="0.25">
      <c r="J202" s="1"/>
      <c r="K202" s="1"/>
      <c r="L202" s="1"/>
      <c r="O202"/>
      <c r="P202"/>
      <c r="Q202"/>
      <c r="R202"/>
      <c r="S202"/>
      <c r="T202"/>
      <c r="U202"/>
      <c r="V202" s="1"/>
      <c r="W202" s="1"/>
      <c r="X202" s="1"/>
      <c r="Y202" s="1"/>
      <c r="Z202" s="1"/>
      <c r="AA202" s="1"/>
      <c r="AB202" s="1"/>
    </row>
    <row r="203" spans="9:28" ht="11.25" customHeight="1" x14ac:dyDescent="0.25">
      <c r="J203" s="1"/>
      <c r="K203" s="1"/>
      <c r="L203" s="1"/>
      <c r="O203"/>
      <c r="P203"/>
      <c r="Q203"/>
      <c r="R203"/>
      <c r="S203"/>
      <c r="T203"/>
      <c r="U203"/>
      <c r="V203" s="1"/>
      <c r="W203" s="1"/>
      <c r="X203" s="1"/>
      <c r="Y203" s="1"/>
      <c r="Z203" s="1"/>
      <c r="AA203" s="1"/>
      <c r="AB203" s="1"/>
    </row>
    <row r="204" spans="9:28" ht="11.25" customHeight="1" x14ac:dyDescent="0.25">
      <c r="J204" s="1"/>
      <c r="K204" s="1"/>
      <c r="L204" s="1"/>
      <c r="O204"/>
      <c r="P204"/>
      <c r="Q204"/>
      <c r="R204"/>
      <c r="S204"/>
      <c r="T204"/>
      <c r="U204"/>
      <c r="V204" s="1"/>
      <c r="W204" s="1"/>
      <c r="X204" s="1"/>
      <c r="Y204" s="1"/>
      <c r="Z204" s="1"/>
      <c r="AA204" s="1"/>
      <c r="AB204" s="1"/>
    </row>
    <row r="205" spans="9:28" ht="11.25" customHeight="1" x14ac:dyDescent="0.25">
      <c r="J205" s="1"/>
      <c r="K205" s="1"/>
      <c r="L205" s="1"/>
      <c r="O205"/>
      <c r="P205"/>
      <c r="Q205"/>
      <c r="R205"/>
      <c r="S205"/>
      <c r="T205"/>
      <c r="U205"/>
      <c r="V205" s="1"/>
      <c r="W205" s="1"/>
      <c r="X205" s="1"/>
      <c r="Y205" s="1"/>
      <c r="Z205" s="1"/>
      <c r="AA205" s="1"/>
      <c r="AB205" s="1"/>
    </row>
  </sheetData>
  <sortState xmlns:xlrd2="http://schemas.microsoft.com/office/spreadsheetml/2017/richdata2" ref="A86:AB95">
    <sortCondition ref="B86:B95"/>
  </sortState>
  <pageMargins left="0.7" right="0.7" top="0.75" bottom="0.75" header="0.3" footer="0.3"/>
  <pageSetup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B207"/>
  <sheetViews>
    <sheetView zoomScaleNormal="100" workbookViewId="0">
      <selection activeCell="A32" sqref="A32:XFD84"/>
    </sheetView>
  </sheetViews>
  <sheetFormatPr defaultColWidth="9.140625" defaultRowHeight="11.25" customHeight="1" x14ac:dyDescent="0.25"/>
  <cols>
    <col min="1" max="1" width="12" style="1" customWidth="1"/>
    <col min="2" max="2" width="25.28515625" style="1" customWidth="1"/>
    <col min="3" max="3" width="10.85546875" style="1" customWidth="1"/>
    <col min="4" max="4" width="8.28515625" style="1" customWidth="1"/>
    <col min="5" max="5" width="14" style="1" customWidth="1"/>
    <col min="6" max="6" width="10.7109375" style="1" customWidth="1"/>
    <col min="7" max="7" width="11.42578125" style="1" customWidth="1"/>
    <col min="8" max="8" width="9" style="1" customWidth="1"/>
    <col min="9" max="9" width="9.5703125" style="1" customWidth="1"/>
    <col min="10" max="10" width="11.42578125" style="5" customWidth="1"/>
    <col min="11" max="12" width="9.42578125" style="5" customWidth="1"/>
    <col min="13" max="14" width="10" style="1" customWidth="1"/>
    <col min="15" max="15" width="13" style="1" customWidth="1"/>
    <col min="16" max="16" width="9.140625" style="1"/>
    <col min="17" max="17" width="9.5703125" style="1" customWidth="1"/>
    <col min="18" max="18" width="9.140625" style="1"/>
    <col min="19" max="19" width="9.5703125" style="1" customWidth="1"/>
    <col min="20" max="21" width="9.140625" style="1"/>
    <col min="26" max="26" width="8.85546875" customWidth="1"/>
    <col min="27" max="28" width="8.7109375" customWidth="1"/>
    <col min="29" max="16384" width="9.140625" style="1"/>
  </cols>
  <sheetData>
    <row r="2" spans="1:19" s="1" customFormat="1" ht="45" customHeight="1" x14ac:dyDescent="0.65">
      <c r="B2" s="2" t="s">
        <v>0</v>
      </c>
      <c r="C2" s="2"/>
      <c r="D2" s="2"/>
      <c r="E2" s="2"/>
      <c r="F2" s="2"/>
      <c r="G2" s="3"/>
      <c r="H2" s="3"/>
      <c r="I2" s="3"/>
      <c r="J2" s="4"/>
      <c r="K2" s="4"/>
      <c r="L2" s="5"/>
    </row>
    <row r="3" spans="1:19" s="1" customFormat="1" ht="11.25" customHeight="1" x14ac:dyDescent="0.2">
      <c r="B3" s="6" t="s">
        <v>1</v>
      </c>
      <c r="C3" s="6"/>
      <c r="D3" s="6"/>
      <c r="E3" s="6"/>
      <c r="F3" s="6"/>
      <c r="G3" s="7">
        <v>45195</v>
      </c>
      <c r="J3" s="5"/>
      <c r="K3" s="5"/>
      <c r="L3" s="5"/>
    </row>
    <row r="4" spans="1:19" s="1" customFormat="1" ht="11.25" customHeight="1" x14ac:dyDescent="0.2">
      <c r="B4" s="6" t="s">
        <v>2</v>
      </c>
      <c r="C4" s="6"/>
      <c r="D4" s="6"/>
      <c r="E4" s="6"/>
      <c r="F4" s="6"/>
      <c r="G4" s="1" t="s">
        <v>3</v>
      </c>
      <c r="J4" s="5"/>
      <c r="K4" s="5"/>
      <c r="L4" s="5"/>
    </row>
    <row r="5" spans="1:19" s="1" customFormat="1" ht="11.25" customHeight="1" x14ac:dyDescent="0.25">
      <c r="B5" s="6" t="s">
        <v>4</v>
      </c>
      <c r="C5" s="6"/>
      <c r="D5" s="6"/>
      <c r="E5" s="6"/>
      <c r="F5" s="6"/>
      <c r="G5" s="8" t="s">
        <v>381</v>
      </c>
      <c r="J5" s="5"/>
      <c r="K5" s="5"/>
      <c r="L5" s="5"/>
      <c r="M5" s="9"/>
      <c r="N5" s="9"/>
    </row>
    <row r="6" spans="1:19" s="1" customFormat="1" ht="11.25" customHeight="1" x14ac:dyDescent="0.2">
      <c r="B6" s="6" t="s">
        <v>5</v>
      </c>
      <c r="C6" s="6"/>
      <c r="D6" s="6"/>
      <c r="E6" s="6"/>
      <c r="F6" s="6"/>
      <c r="G6" s="1" t="s">
        <v>6</v>
      </c>
      <c r="J6" s="5"/>
      <c r="K6" s="5"/>
      <c r="L6" s="5"/>
      <c r="S6" s="10"/>
    </row>
    <row r="7" spans="1:19" s="1" customFormat="1" ht="11.25" customHeight="1" x14ac:dyDescent="0.2">
      <c r="B7" s="6" t="s">
        <v>7</v>
      </c>
      <c r="C7" s="6"/>
      <c r="D7" s="6"/>
      <c r="E7" s="6"/>
      <c r="F7" s="6"/>
      <c r="G7" s="6" t="s">
        <v>53</v>
      </c>
      <c r="J7" s="5"/>
      <c r="K7" s="5"/>
      <c r="L7" s="5"/>
    </row>
    <row r="8" spans="1:19" s="1" customFormat="1" ht="11.25" customHeight="1" x14ac:dyDescent="0.2">
      <c r="B8" s="6" t="s">
        <v>8</v>
      </c>
      <c r="C8" s="6"/>
      <c r="D8" s="6"/>
      <c r="E8" s="6"/>
      <c r="F8" s="6"/>
      <c r="G8" s="6" t="s">
        <v>9</v>
      </c>
      <c r="J8" s="5"/>
      <c r="K8" s="11"/>
      <c r="M8" s="12"/>
      <c r="N8" s="13"/>
    </row>
    <row r="9" spans="1:19" s="1" customFormat="1" ht="11.25" customHeight="1" x14ac:dyDescent="0.25">
      <c r="A9" s="14" t="s">
        <v>10</v>
      </c>
      <c r="B9" s="15"/>
      <c r="C9" s="16" t="s">
        <v>11</v>
      </c>
      <c r="D9" s="17"/>
      <c r="E9" s="16" t="s">
        <v>12</v>
      </c>
      <c r="F9" s="18"/>
      <c r="G9" s="14" t="s">
        <v>13</v>
      </c>
      <c r="H9" s="19" t="s">
        <v>14</v>
      </c>
      <c r="I9" s="20" t="s">
        <v>14</v>
      </c>
      <c r="J9" s="21" t="s">
        <v>14</v>
      </c>
      <c r="K9" s="22"/>
      <c r="M9" s="12"/>
      <c r="N9" s="13"/>
    </row>
    <row r="10" spans="1:19" s="1" customFormat="1" ht="11.25" customHeight="1" x14ac:dyDescent="0.25">
      <c r="A10" s="23"/>
      <c r="B10" s="24"/>
      <c r="C10" s="25" t="s">
        <v>14</v>
      </c>
      <c r="D10" s="26" t="s">
        <v>15</v>
      </c>
      <c r="E10" s="25" t="s">
        <v>14</v>
      </c>
      <c r="F10" s="27" t="s">
        <v>15</v>
      </c>
      <c r="G10" s="28" t="s">
        <v>16</v>
      </c>
      <c r="H10" s="28" t="s">
        <v>17</v>
      </c>
      <c r="I10" s="29" t="s">
        <v>18</v>
      </c>
      <c r="J10" s="30" t="s">
        <v>19</v>
      </c>
      <c r="K10" s="22"/>
      <c r="M10" s="12"/>
      <c r="N10" s="13"/>
    </row>
    <row r="11" spans="1:19" s="1" customFormat="1" ht="11.25" customHeight="1" x14ac:dyDescent="0.25">
      <c r="A11" s="31"/>
      <c r="B11" s="32" t="s">
        <v>20</v>
      </c>
      <c r="C11" s="33">
        <v>-26.6</v>
      </c>
      <c r="D11" s="34"/>
      <c r="E11" s="35">
        <v>-21.3</v>
      </c>
      <c r="F11" s="36"/>
      <c r="G11" s="37"/>
      <c r="H11" s="38">
        <v>72.53</v>
      </c>
      <c r="I11" s="38">
        <v>6.51</v>
      </c>
      <c r="J11" s="39">
        <f>H11/I11</f>
        <v>11.141321044546851</v>
      </c>
      <c r="K11" s="22"/>
      <c r="M11" s="12"/>
      <c r="N11" s="13"/>
    </row>
    <row r="12" spans="1:19" s="1" customFormat="1" ht="11.25" customHeight="1" x14ac:dyDescent="0.25">
      <c r="A12" s="40"/>
      <c r="B12" s="41" t="s">
        <v>21</v>
      </c>
      <c r="C12" s="42"/>
      <c r="D12" s="43"/>
      <c r="E12"/>
      <c r="F12" s="44"/>
      <c r="G12" s="37"/>
      <c r="H12" s="45">
        <v>20</v>
      </c>
      <c r="I12" s="45">
        <v>46.65</v>
      </c>
      <c r="J12" s="46">
        <f>H12/I12</f>
        <v>0.4287245444801715</v>
      </c>
      <c r="K12" s="5"/>
      <c r="L12" s="5"/>
    </row>
    <row r="13" spans="1:19" s="1" customFormat="1" ht="11.25" customHeight="1" x14ac:dyDescent="0.25">
      <c r="A13" s="40"/>
      <c r="B13" s="41">
        <v>2704</v>
      </c>
      <c r="C13" s="42"/>
      <c r="D13" s="43"/>
      <c r="E13"/>
      <c r="F13" s="44"/>
      <c r="G13" s="47"/>
      <c r="H13" s="45">
        <v>3.3479999999999999</v>
      </c>
      <c r="I13" s="45"/>
      <c r="J13" s="46"/>
      <c r="K13" s="5"/>
      <c r="L13" s="5"/>
    </row>
    <row r="14" spans="1:19" s="1" customFormat="1" ht="11.25" customHeight="1" x14ac:dyDescent="0.25">
      <c r="A14" s="40"/>
      <c r="B14" s="41" t="s">
        <v>22</v>
      </c>
      <c r="C14" s="42">
        <v>-25.95</v>
      </c>
      <c r="D14" s="48"/>
      <c r="E14" s="49">
        <v>2.08</v>
      </c>
      <c r="F14" s="50"/>
      <c r="G14" s="47"/>
      <c r="H14" s="45">
        <v>44.65</v>
      </c>
      <c r="I14" s="45">
        <v>2.83</v>
      </c>
      <c r="J14" s="46">
        <f>H14/I14</f>
        <v>15.777385159010599</v>
      </c>
      <c r="K14" s="5"/>
      <c r="L14" s="5"/>
    </row>
    <row r="15" spans="1:19" s="1" customFormat="1" ht="11.25" customHeight="1" x14ac:dyDescent="0.25">
      <c r="A15" s="40"/>
      <c r="B15" s="41" t="s">
        <v>23</v>
      </c>
      <c r="C15" s="51">
        <v>-18.3</v>
      </c>
      <c r="D15" s="52">
        <f>AVERAGE(G39,G81)</f>
        <v>-13.843675050127279</v>
      </c>
      <c r="E15" s="49"/>
      <c r="F15" s="53"/>
      <c r="G15" s="54"/>
      <c r="H15" s="55"/>
      <c r="I15" s="55"/>
      <c r="J15" s="54"/>
      <c r="K15" s="5"/>
      <c r="L15" s="5"/>
    </row>
    <row r="16" spans="1:19" s="1" customFormat="1" ht="11.25" customHeight="1" x14ac:dyDescent="0.25">
      <c r="A16" s="40"/>
      <c r="B16" s="41" t="s">
        <v>24</v>
      </c>
      <c r="C16" s="42">
        <v>-25.49</v>
      </c>
      <c r="D16" s="52"/>
      <c r="E16" s="56"/>
      <c r="F16" s="57"/>
      <c r="G16" s="54"/>
      <c r="H16" s="55"/>
      <c r="I16" s="55"/>
      <c r="J16" s="54"/>
      <c r="K16" s="5"/>
      <c r="L16" s="5"/>
    </row>
    <row r="17" spans="1:20" s="1" customFormat="1" ht="11.25" customHeight="1" x14ac:dyDescent="0.25">
      <c r="A17" s="40"/>
      <c r="B17" s="41" t="s">
        <v>25</v>
      </c>
      <c r="C17" s="42">
        <v>-10.8</v>
      </c>
      <c r="D17" s="52">
        <f>AVERAGE(G38,G80)</f>
        <v>-6.2609566932163849</v>
      </c>
      <c r="E17" s="56"/>
      <c r="F17" s="57"/>
      <c r="G17" s="54"/>
      <c r="H17" s="55"/>
      <c r="I17" s="55"/>
      <c r="J17" s="54"/>
      <c r="K17" s="5"/>
      <c r="L17" s="5"/>
    </row>
    <row r="18" spans="1:20" s="1" customFormat="1" ht="11.25" customHeight="1" x14ac:dyDescent="0.25">
      <c r="A18" s="40"/>
      <c r="B18" s="41" t="s">
        <v>26</v>
      </c>
      <c r="C18" s="42">
        <v>-24.91</v>
      </c>
      <c r="D18" s="52">
        <f>AVERAGE(G79,G37)</f>
        <v>-20.137016215598692</v>
      </c>
      <c r="E18" s="56"/>
      <c r="F18" s="57"/>
      <c r="G18" s="54"/>
      <c r="H18" s="55"/>
      <c r="I18" s="55"/>
      <c r="J18" s="54"/>
      <c r="K18" s="5"/>
      <c r="L18" s="5"/>
    </row>
    <row r="19" spans="1:20" s="1" customFormat="1" ht="11.25" customHeight="1" x14ac:dyDescent="0.25">
      <c r="A19" s="40"/>
      <c r="B19" s="5" t="s">
        <v>27</v>
      </c>
      <c r="C19" s="42"/>
      <c r="D19" s="52"/>
      <c r="E19" s="58">
        <v>2.7</v>
      </c>
      <c r="F19" s="57"/>
      <c r="G19" s="54"/>
      <c r="H19" s="55"/>
      <c r="I19" s="55"/>
      <c r="J19" s="54"/>
      <c r="K19" s="5"/>
      <c r="L19" s="5"/>
    </row>
    <row r="20" spans="1:20" s="1" customFormat="1" ht="11.25" customHeight="1" x14ac:dyDescent="0.25">
      <c r="A20" s="40"/>
      <c r="B20" s="5" t="s">
        <v>28</v>
      </c>
      <c r="C20" s="42"/>
      <c r="D20" s="52"/>
      <c r="E20" s="58">
        <v>180</v>
      </c>
      <c r="F20" s="57"/>
      <c r="G20" s="54"/>
      <c r="H20" s="55"/>
      <c r="I20" s="55"/>
      <c r="J20" s="54"/>
      <c r="K20" s="5"/>
      <c r="L20" s="5"/>
    </row>
    <row r="21" spans="1:20" s="1" customFormat="1" ht="11.25" customHeight="1" x14ac:dyDescent="0.25">
      <c r="A21" s="40"/>
      <c r="B21" s="5" t="s">
        <v>29</v>
      </c>
      <c r="C21" s="42"/>
      <c r="D21" s="52"/>
      <c r="E21" s="58">
        <v>-1.8</v>
      </c>
      <c r="F21" s="57"/>
      <c r="G21" s="54"/>
      <c r="H21" s="55"/>
      <c r="I21" s="55"/>
      <c r="J21" s="54"/>
      <c r="K21" s="5"/>
      <c r="L21" s="5"/>
    </row>
    <row r="22" spans="1:20" s="1" customFormat="1" ht="11.25" customHeight="1" x14ac:dyDescent="0.25">
      <c r="A22" s="40"/>
      <c r="B22" s="41" t="s">
        <v>30</v>
      </c>
      <c r="C22" s="40"/>
      <c r="D22" s="59"/>
      <c r="E22" s="53">
        <v>0.4</v>
      </c>
      <c r="F22" s="50">
        <f>AVERAGE(E41,E76)</f>
        <v>2.7426019538360213</v>
      </c>
      <c r="G22" s="54"/>
      <c r="H22"/>
      <c r="I22"/>
      <c r="J22" s="54"/>
      <c r="K22" s="5"/>
      <c r="L22" s="5"/>
    </row>
    <row r="23" spans="1:20" s="1" customFormat="1" ht="11.25" customHeight="1" x14ac:dyDescent="0.25">
      <c r="A23" s="40"/>
      <c r="B23" s="41" t="s">
        <v>31</v>
      </c>
      <c r="C23" s="60"/>
      <c r="D23" s="59"/>
      <c r="E23" s="53">
        <v>20.3</v>
      </c>
      <c r="F23" s="50">
        <f>AVERAGE(E42,E77)</f>
        <v>22.306292786362203</v>
      </c>
      <c r="G23" s="54"/>
      <c r="H23"/>
      <c r="I23"/>
      <c r="J23" s="54"/>
      <c r="K23" s="5"/>
      <c r="L23" s="5"/>
    </row>
    <row r="24" spans="1:20" s="1" customFormat="1" ht="11.25" customHeight="1" x14ac:dyDescent="0.25">
      <c r="A24" s="40"/>
      <c r="B24" s="41" t="s">
        <v>32</v>
      </c>
      <c r="C24" s="60"/>
      <c r="D24" s="52"/>
      <c r="E24" s="53">
        <v>4.7</v>
      </c>
      <c r="F24" s="50"/>
      <c r="G24" s="54"/>
      <c r="H24"/>
      <c r="I24"/>
      <c r="J24" s="54"/>
      <c r="K24" s="5"/>
      <c r="L24" s="5"/>
    </row>
    <row r="25" spans="1:20" customFormat="1" ht="11.25" customHeight="1" x14ac:dyDescent="0.25">
      <c r="A25" s="31"/>
      <c r="B25" s="61" t="s">
        <v>33</v>
      </c>
      <c r="C25" s="62"/>
      <c r="D25" s="61" t="s">
        <v>34</v>
      </c>
      <c r="E25" s="61"/>
      <c r="F25" s="62"/>
      <c r="G25" s="31"/>
      <c r="H25" s="62"/>
      <c r="I25" s="62"/>
      <c r="J25" s="63"/>
      <c r="K25" s="53"/>
      <c r="L25" s="53"/>
    </row>
    <row r="26" spans="1:20" customFormat="1" ht="11.25" customHeight="1" x14ac:dyDescent="0.25">
      <c r="A26" s="64" t="s">
        <v>35</v>
      </c>
      <c r="B26" s="53">
        <v>1.0159</v>
      </c>
      <c r="C26" s="65" t="s">
        <v>52</v>
      </c>
      <c r="D26" s="53">
        <v>-4.3758999999999997</v>
      </c>
      <c r="E26" s="53"/>
      <c r="F26" s="53"/>
      <c r="G26" s="40"/>
      <c r="H26" s="53"/>
      <c r="I26" s="53"/>
      <c r="J26" s="66"/>
      <c r="K26" s="53"/>
      <c r="L26" s="53"/>
    </row>
    <row r="27" spans="1:20" customFormat="1" ht="11.25" customHeight="1" x14ac:dyDescent="0.25">
      <c r="A27" s="64" t="s">
        <v>37</v>
      </c>
      <c r="B27" s="53">
        <v>1.0172000000000001</v>
      </c>
      <c r="C27" s="65"/>
      <c r="D27" s="67">
        <v>-2.3896999999999999</v>
      </c>
      <c r="E27" s="53"/>
      <c r="F27" s="53"/>
      <c r="G27" s="40"/>
      <c r="H27" s="53"/>
      <c r="I27" s="53"/>
      <c r="J27" s="66"/>
      <c r="K27" s="53"/>
      <c r="L27" s="53"/>
    </row>
    <row r="28" spans="1:20" customFormat="1" ht="11.25" customHeight="1" x14ac:dyDescent="0.25">
      <c r="A28" s="68" t="s">
        <v>38</v>
      </c>
      <c r="B28" s="53">
        <v>5.4796999999999998E-2</v>
      </c>
      <c r="C28" s="65" t="s">
        <v>36</v>
      </c>
      <c r="D28" s="67">
        <v>0</v>
      </c>
      <c r="E28" s="49"/>
      <c r="F28" s="53"/>
      <c r="G28" s="40"/>
      <c r="H28" s="53"/>
      <c r="I28" s="53"/>
      <c r="J28" s="66"/>
      <c r="K28" s="53"/>
      <c r="L28" s="53"/>
    </row>
    <row r="29" spans="1:20" customFormat="1" ht="11.25" customHeight="1" x14ac:dyDescent="0.25">
      <c r="A29" s="68" t="s">
        <v>39</v>
      </c>
      <c r="B29" s="53">
        <v>2.3400000000000001E-2</v>
      </c>
      <c r="C29" s="49" t="s">
        <v>36</v>
      </c>
      <c r="D29" s="69">
        <v>-2.1380000000000001E-3</v>
      </c>
      <c r="E29" s="69"/>
      <c r="F29" s="69"/>
      <c r="G29" s="70"/>
      <c r="H29" s="69"/>
      <c r="I29" s="69"/>
      <c r="J29" s="71"/>
      <c r="K29" s="53"/>
      <c r="L29" s="53"/>
      <c r="Q29" s="72"/>
    </row>
    <row r="30" spans="1:20" s="1" customFormat="1" ht="11.25" customHeight="1" x14ac:dyDescent="0.2">
      <c r="A30" s="73"/>
      <c r="B30" s="49"/>
      <c r="C30" s="49"/>
      <c r="D30" s="49"/>
      <c r="E30" s="49"/>
      <c r="F30" s="49"/>
      <c r="G30" s="74"/>
      <c r="H30" s="49"/>
      <c r="I30" s="56"/>
      <c r="J30" s="41"/>
      <c r="K30" s="5"/>
      <c r="L30" s="5"/>
    </row>
    <row r="31" spans="1:20" s="1" customFormat="1" ht="12" customHeight="1" x14ac:dyDescent="0.2">
      <c r="I31" s="3"/>
      <c r="J31" s="4"/>
    </row>
    <row r="32" spans="1:20" s="1" customFormat="1" ht="11.25" customHeight="1" x14ac:dyDescent="0.2">
      <c r="A32" s="75"/>
      <c r="B32" s="75" t="s">
        <v>40</v>
      </c>
      <c r="C32" s="75" t="s">
        <v>54</v>
      </c>
      <c r="D32" s="75" t="s">
        <v>80</v>
      </c>
      <c r="E32" s="75" t="s">
        <v>41</v>
      </c>
      <c r="F32" s="75" t="s">
        <v>81</v>
      </c>
      <c r="G32" s="99" t="s">
        <v>42</v>
      </c>
      <c r="H32" s="76" t="s">
        <v>43</v>
      </c>
      <c r="I32" s="77" t="s">
        <v>44</v>
      </c>
      <c r="J32" s="77" t="s">
        <v>45</v>
      </c>
      <c r="K32" s="77" t="s">
        <v>46</v>
      </c>
      <c r="L32" s="77" t="s">
        <v>47</v>
      </c>
      <c r="M32" s="178" t="s">
        <v>38</v>
      </c>
      <c r="N32" s="77" t="s">
        <v>38</v>
      </c>
      <c r="O32" s="77" t="s">
        <v>48</v>
      </c>
      <c r="P32" s="77" t="s">
        <v>49</v>
      </c>
      <c r="Q32" s="77" t="s">
        <v>39</v>
      </c>
      <c r="R32" s="77" t="s">
        <v>39</v>
      </c>
      <c r="S32" s="77" t="s">
        <v>50</v>
      </c>
      <c r="T32" s="77" t="s">
        <v>51</v>
      </c>
    </row>
    <row r="33" spans="1:20" s="90" customFormat="1" ht="11.25" customHeight="1" x14ac:dyDescent="0.2">
      <c r="A33" s="117">
        <v>30</v>
      </c>
      <c r="B33" s="117" t="s">
        <v>55</v>
      </c>
      <c r="C33" s="105">
        <v>1.0169999999999999</v>
      </c>
      <c r="D33" s="105">
        <v>1.2885508750000001</v>
      </c>
      <c r="E33" s="105">
        <v>5.524889070305683</v>
      </c>
      <c r="F33" s="105">
        <v>8.2514800000000008</v>
      </c>
      <c r="G33" s="105">
        <v>-21.930543871495033</v>
      </c>
      <c r="H33" s="100">
        <f>$B$26*G33+$D$26</f>
        <v>-26.655139519051801</v>
      </c>
      <c r="I33" s="86">
        <f t="shared" ref="I33:I82" si="0">$B$27*E33+$D$27</f>
        <v>3.2302171623149412</v>
      </c>
      <c r="J33" s="87">
        <f t="shared" ref="J33:J82" si="1">(F33)/C33</f>
        <v>8.1135496558505427</v>
      </c>
      <c r="K33" s="87">
        <f>H$14</f>
        <v>44.65</v>
      </c>
      <c r="L33" s="87">
        <f>I$14</f>
        <v>2.83</v>
      </c>
      <c r="M33" s="87">
        <f t="shared" ref="M33:M82" si="2">C33*(K33/100)</f>
        <v>0.45409049999999995</v>
      </c>
      <c r="N33" s="179">
        <f t="shared" ref="N33:N82" si="3">F33*$B$28+$D$28</f>
        <v>0.45215634956000006</v>
      </c>
      <c r="O33" s="91">
        <f t="shared" ref="O33:O82" si="4">N33/C33*100</f>
        <v>44.45981804916422</v>
      </c>
      <c r="P33" s="87">
        <f t="shared" ref="P33:P82" si="5">D33/C33</f>
        <v>1.2670116764995085</v>
      </c>
      <c r="Q33" s="87">
        <f t="shared" ref="Q33:Q36" si="6">C33*(L33/100)</f>
        <v>2.87811E-2</v>
      </c>
      <c r="R33" s="179">
        <f t="shared" ref="R33:R82" si="7">D33*$B$29+$D$29</f>
        <v>2.8014090475000003E-2</v>
      </c>
      <c r="S33" s="89">
        <f t="shared" ref="S33:S82" si="8">R33/C33*100</f>
        <v>2.7545811676499512</v>
      </c>
      <c r="T33" s="86">
        <f t="shared" ref="T33:T82" si="9">N33/R33</f>
        <v>16.140318742937879</v>
      </c>
    </row>
    <row r="34" spans="1:20" s="90" customFormat="1" ht="11.25" customHeight="1" x14ac:dyDescent="0.2">
      <c r="A34" s="117">
        <v>31</v>
      </c>
      <c r="B34" s="117" t="s">
        <v>56</v>
      </c>
      <c r="C34" s="105">
        <v>0.97199999999999998</v>
      </c>
      <c r="D34" s="105">
        <v>1.2335471250000001</v>
      </c>
      <c r="E34" s="105">
        <v>5.1257359753502652</v>
      </c>
      <c r="F34" s="105">
        <v>7.9860470000000001</v>
      </c>
      <c r="G34" s="105">
        <v>-21.902085303086047</v>
      </c>
      <c r="H34" s="100">
        <f t="shared" ref="H34:H82" si="10">$B$26*G34+$D$26</f>
        <v>-26.626228459405112</v>
      </c>
      <c r="I34" s="86">
        <f t="shared" si="0"/>
        <v>2.8241986341262906</v>
      </c>
      <c r="J34" s="87">
        <f t="shared" si="1"/>
        <v>8.2160977366255139</v>
      </c>
      <c r="K34" s="87">
        <f t="shared" ref="K34:L36" si="11">H$14</f>
        <v>44.65</v>
      </c>
      <c r="L34" s="87">
        <f t="shared" si="11"/>
        <v>2.83</v>
      </c>
      <c r="M34" s="87">
        <f t="shared" si="2"/>
        <v>0.43399799999999999</v>
      </c>
      <c r="N34" s="179">
        <f t="shared" si="3"/>
        <v>0.43761141745900001</v>
      </c>
      <c r="O34" s="91">
        <f t="shared" si="4"/>
        <v>45.021750767386834</v>
      </c>
      <c r="P34" s="87">
        <f t="shared" si="5"/>
        <v>1.2690814043209877</v>
      </c>
      <c r="Q34" s="87">
        <f t="shared" si="6"/>
        <v>2.75076E-2</v>
      </c>
      <c r="R34" s="179">
        <f t="shared" si="7"/>
        <v>2.6727002725000001E-2</v>
      </c>
      <c r="S34" s="89">
        <f t="shared" si="8"/>
        <v>2.749691638374486</v>
      </c>
      <c r="T34" s="86">
        <f t="shared" si="9"/>
        <v>16.373381705448978</v>
      </c>
    </row>
    <row r="35" spans="1:20" s="90" customFormat="1" ht="11.25" customHeight="1" x14ac:dyDescent="0.2">
      <c r="A35" s="117">
        <v>32</v>
      </c>
      <c r="B35" s="117" t="s">
        <v>57</v>
      </c>
      <c r="C35" s="105">
        <v>1.4810000000000001</v>
      </c>
      <c r="D35" s="105">
        <v>1.8662235</v>
      </c>
      <c r="E35" s="105">
        <v>4.8921318402372904</v>
      </c>
      <c r="F35" s="105">
        <v>11.942238</v>
      </c>
      <c r="G35" s="105">
        <v>-21.95828808237103</v>
      </c>
      <c r="H35" s="100">
        <f t="shared" si="10"/>
        <v>-26.683324862880731</v>
      </c>
      <c r="I35" s="86">
        <f t="shared" si="0"/>
        <v>2.5865765078893728</v>
      </c>
      <c r="J35" s="87">
        <f t="shared" si="1"/>
        <v>8.063631330182309</v>
      </c>
      <c r="K35" s="87">
        <f t="shared" si="11"/>
        <v>44.65</v>
      </c>
      <c r="L35" s="87">
        <f t="shared" si="11"/>
        <v>2.83</v>
      </c>
      <c r="M35" s="87">
        <f t="shared" si="2"/>
        <v>0.66126650000000009</v>
      </c>
      <c r="N35" s="179">
        <f t="shared" si="3"/>
        <v>0.654398815686</v>
      </c>
      <c r="O35" s="91">
        <f t="shared" si="4"/>
        <v>44.186280599999996</v>
      </c>
      <c r="P35" s="87">
        <f t="shared" si="5"/>
        <v>1.2601103983794733</v>
      </c>
      <c r="Q35" s="87">
        <f t="shared" si="6"/>
        <v>4.1912300000000006E-2</v>
      </c>
      <c r="R35" s="179">
        <f t="shared" si="7"/>
        <v>4.1531629899999999E-2</v>
      </c>
      <c r="S35" s="89">
        <f t="shared" si="8"/>
        <v>2.8042964145847398</v>
      </c>
      <c r="T35" s="86">
        <f t="shared" si="9"/>
        <v>15.756636983948468</v>
      </c>
    </row>
    <row r="36" spans="1:20" s="90" customFormat="1" ht="11.25" customHeight="1" x14ac:dyDescent="0.2">
      <c r="A36" s="117">
        <v>33</v>
      </c>
      <c r="B36" s="117" t="s">
        <v>58</v>
      </c>
      <c r="C36" s="105">
        <v>1.056</v>
      </c>
      <c r="D36" s="105">
        <v>1.35270175</v>
      </c>
      <c r="E36" s="105">
        <v>4.6514729748623473</v>
      </c>
      <c r="F36" s="105">
        <v>8.6159809999999997</v>
      </c>
      <c r="G36" s="105">
        <v>-21.804702199342287</v>
      </c>
      <c r="H36" s="100">
        <f t="shared" si="10"/>
        <v>-26.52729696431183</v>
      </c>
      <c r="I36" s="86">
        <f t="shared" si="0"/>
        <v>2.3417783100299805</v>
      </c>
      <c r="J36" s="87">
        <f t="shared" si="1"/>
        <v>8.1590729166666662</v>
      </c>
      <c r="K36" s="87">
        <f t="shared" si="11"/>
        <v>44.65</v>
      </c>
      <c r="L36" s="87">
        <f t="shared" si="11"/>
        <v>2.83</v>
      </c>
      <c r="M36" s="87">
        <f t="shared" si="2"/>
        <v>0.47150400000000003</v>
      </c>
      <c r="N36" s="179">
        <f t="shared" si="3"/>
        <v>0.47212991085699996</v>
      </c>
      <c r="O36" s="91">
        <f t="shared" si="4"/>
        <v>44.709271861458326</v>
      </c>
      <c r="P36" s="87">
        <f t="shared" si="5"/>
        <v>1.2809675662878788</v>
      </c>
      <c r="Q36" s="87">
        <f t="shared" si="6"/>
        <v>2.9884800000000003E-2</v>
      </c>
      <c r="R36" s="179">
        <f t="shared" si="7"/>
        <v>2.9515220950000004E-2</v>
      </c>
      <c r="S36" s="89">
        <f t="shared" si="8"/>
        <v>2.7950019839015154</v>
      </c>
      <c r="T36" s="86">
        <f t="shared" si="9"/>
        <v>15.99615031365706</v>
      </c>
    </row>
    <row r="37" spans="1:20" s="1" customFormat="1" ht="11.25" customHeight="1" x14ac:dyDescent="0.2">
      <c r="A37" s="83">
        <v>34</v>
      </c>
      <c r="B37" s="83" t="s">
        <v>60</v>
      </c>
      <c r="C37" s="84">
        <v>0.86399999999999999</v>
      </c>
      <c r="D37" s="84">
        <v>7.0535953124999995E-2</v>
      </c>
      <c r="E37" s="84">
        <v>-7.50383690559564</v>
      </c>
      <c r="F37" s="84">
        <v>6.4968174999999997</v>
      </c>
      <c r="G37" s="84">
        <v>-20.258449470435838</v>
      </c>
      <c r="H37" s="101">
        <f t="shared" si="10"/>
        <v>-24.956458817015772</v>
      </c>
      <c r="I37" s="78">
        <f t="shared" si="0"/>
        <v>-10.022602900371886</v>
      </c>
      <c r="J37" s="79">
        <f t="shared" si="1"/>
        <v>7.5194646990740734</v>
      </c>
      <c r="K37" s="79"/>
      <c r="L37" s="79"/>
      <c r="M37" s="79">
        <f t="shared" si="2"/>
        <v>0</v>
      </c>
      <c r="N37" s="180">
        <f t="shared" si="3"/>
        <v>0.35600610854749998</v>
      </c>
      <c r="O37" s="81">
        <f t="shared" si="4"/>
        <v>41.204410711516203</v>
      </c>
      <c r="P37" s="79">
        <f t="shared" si="5"/>
        <v>8.1638834635416657E-2</v>
      </c>
      <c r="Q37" s="79"/>
      <c r="R37" s="180">
        <f t="shared" si="7"/>
        <v>-4.8745869687500027E-4</v>
      </c>
      <c r="S37" s="82">
        <f t="shared" si="8"/>
        <v>-5.6418830656828733E-2</v>
      </c>
      <c r="T37" s="78">
        <f t="shared" si="9"/>
        <v>-730.33081742060119</v>
      </c>
    </row>
    <row r="38" spans="1:20" s="1" customFormat="1" ht="11.25" customHeight="1" x14ac:dyDescent="0.2">
      <c r="A38" s="95">
        <v>35</v>
      </c>
      <c r="B38" s="95" t="s">
        <v>66</v>
      </c>
      <c r="C38" s="96">
        <v>0.92500000000000004</v>
      </c>
      <c r="D38" s="96">
        <v>8.1248476562500005E-2</v>
      </c>
      <c r="E38" s="96">
        <v>-6.7882987025927877</v>
      </c>
      <c r="F38" s="96">
        <v>6.9048689999999997</v>
      </c>
      <c r="G38" s="96">
        <v>-6.2390701371429467</v>
      </c>
      <c r="H38" s="101">
        <f t="shared" si="10"/>
        <v>-10.714171352323518</v>
      </c>
      <c r="I38" s="78">
        <f t="shared" si="0"/>
        <v>-9.2947574402773849</v>
      </c>
      <c r="J38" s="79">
        <f t="shared" si="1"/>
        <v>7.4647232432432427</v>
      </c>
      <c r="K38" s="79"/>
      <c r="L38" s="79"/>
      <c r="M38" s="79">
        <f t="shared" si="2"/>
        <v>0</v>
      </c>
      <c r="N38" s="180">
        <f t="shared" si="3"/>
        <v>0.37836610659299996</v>
      </c>
      <c r="O38" s="81">
        <f t="shared" si="4"/>
        <v>40.904443955999994</v>
      </c>
      <c r="P38" s="79">
        <f t="shared" si="5"/>
        <v>8.7836190878378378E-2</v>
      </c>
      <c r="Q38" s="79"/>
      <c r="R38" s="180">
        <f t="shared" si="7"/>
        <v>-2.3678564843749987E-4</v>
      </c>
      <c r="S38" s="82">
        <f t="shared" si="8"/>
        <v>-2.5598448479729714E-2</v>
      </c>
      <c r="T38" s="78">
        <f t="shared" si="9"/>
        <v>-1597.9266863923579</v>
      </c>
    </row>
    <row r="39" spans="1:20" s="1" customFormat="1" ht="11.25" customHeight="1" x14ac:dyDescent="0.2">
      <c r="A39" s="83">
        <v>36</v>
      </c>
      <c r="B39" s="83" t="s">
        <v>65</v>
      </c>
      <c r="C39" s="84">
        <v>1.208</v>
      </c>
      <c r="D39" s="84">
        <v>9.7938750000000005E-2</v>
      </c>
      <c r="E39" s="84">
        <v>-8.6966370608694277</v>
      </c>
      <c r="F39" s="84">
        <v>4.0934410000000003</v>
      </c>
      <c r="G39" s="84">
        <v>-13.703207091005025</v>
      </c>
      <c r="H39" s="101">
        <f t="shared" si="10"/>
        <v>-18.296988083752005</v>
      </c>
      <c r="I39" s="78">
        <f t="shared" si="0"/>
        <v>-11.235919218316383</v>
      </c>
      <c r="J39" s="79">
        <f t="shared" si="1"/>
        <v>3.3886100993377486</v>
      </c>
      <c r="K39" s="79"/>
      <c r="L39" s="79"/>
      <c r="M39" s="79">
        <f t="shared" si="2"/>
        <v>0</v>
      </c>
      <c r="N39" s="180">
        <f t="shared" si="3"/>
        <v>0.22430828647700002</v>
      </c>
      <c r="O39" s="81">
        <f t="shared" si="4"/>
        <v>18.568566761341064</v>
      </c>
      <c r="P39" s="79">
        <f t="shared" si="5"/>
        <v>8.1075124172185431E-2</v>
      </c>
      <c r="Q39" s="79"/>
      <c r="R39" s="180">
        <f t="shared" si="7"/>
        <v>1.537667500000001E-4</v>
      </c>
      <c r="S39" s="82">
        <f t="shared" si="8"/>
        <v>1.2729035596026499E-2</v>
      </c>
      <c r="T39" s="78">
        <f t="shared" si="9"/>
        <v>1458.7567629347689</v>
      </c>
    </row>
    <row r="40" spans="1:20" s="90" customFormat="1" ht="11.25" customHeight="1" x14ac:dyDescent="0.2">
      <c r="A40" s="117">
        <v>37</v>
      </c>
      <c r="B40" s="117" t="s">
        <v>59</v>
      </c>
      <c r="C40" s="105">
        <v>0.85899999999999999</v>
      </c>
      <c r="D40" s="105">
        <v>1.1144268749999999</v>
      </c>
      <c r="E40" s="105">
        <v>5.6317881833733985</v>
      </c>
      <c r="F40" s="105">
        <v>7.0876039999999998</v>
      </c>
      <c r="G40" s="105">
        <v>-21.667042461020245</v>
      </c>
      <c r="H40" s="100">
        <f t="shared" si="10"/>
        <v>-26.387448436150464</v>
      </c>
      <c r="I40" s="86">
        <f t="shared" si="0"/>
        <v>3.3389549401274219</v>
      </c>
      <c r="J40" s="87">
        <f t="shared" si="1"/>
        <v>8.25099417927823</v>
      </c>
      <c r="K40" s="87">
        <f t="shared" ref="K40" si="12">H$14</f>
        <v>44.65</v>
      </c>
      <c r="L40" s="87">
        <f t="shared" ref="L40" si="13">I$14</f>
        <v>2.83</v>
      </c>
      <c r="M40" s="87">
        <f t="shared" ref="M40" si="14">C40*(K40/100)</f>
        <v>0.38354349999999998</v>
      </c>
      <c r="N40" s="179">
        <f t="shared" ref="N40" si="15">F40*$B$28+$D$28</f>
        <v>0.38837943638799999</v>
      </c>
      <c r="O40" s="91">
        <f t="shared" ref="O40" si="16">N40/C40*100</f>
        <v>45.212972804190919</v>
      </c>
      <c r="P40" s="87">
        <f t="shared" ref="P40" si="17">D40/C40</f>
        <v>1.2973537543655413</v>
      </c>
      <c r="Q40" s="87">
        <f t="shared" ref="Q40" si="18">C40*(L40/100)</f>
        <v>2.43097E-2</v>
      </c>
      <c r="R40" s="179">
        <f t="shared" si="7"/>
        <v>2.3939588874999997E-2</v>
      </c>
      <c r="S40" s="89">
        <f t="shared" si="8"/>
        <v>2.7869137223515712</v>
      </c>
      <c r="T40" s="86">
        <f t="shared" si="9"/>
        <v>16.22331270665984</v>
      </c>
    </row>
    <row r="41" spans="1:20" s="1" customFormat="1" ht="11.25" customHeight="1" x14ac:dyDescent="0.2">
      <c r="A41" s="83">
        <v>38</v>
      </c>
      <c r="B41" s="83" t="s">
        <v>67</v>
      </c>
      <c r="C41" s="84">
        <v>0.44800000000000001</v>
      </c>
      <c r="D41" s="84">
        <v>4.9933284999999996</v>
      </c>
      <c r="E41" s="84">
        <v>2.5543355579165095</v>
      </c>
      <c r="F41" s="84">
        <v>9.3198232421875006E-3</v>
      </c>
      <c r="G41" s="84">
        <v>-17.926324720196778</v>
      </c>
      <c r="H41" s="101">
        <f t="shared" si="10"/>
        <v>-22.587253283247904</v>
      </c>
      <c r="I41" s="78">
        <f t="shared" si="0"/>
        <v>0.20857012951267384</v>
      </c>
      <c r="J41" s="79">
        <f t="shared" si="1"/>
        <v>2.0803176879882812E-2</v>
      </c>
      <c r="K41" s="79"/>
      <c r="L41" s="79"/>
      <c r="M41" s="79">
        <f t="shared" si="2"/>
        <v>0</v>
      </c>
      <c r="N41" s="180">
        <f t="shared" si="3"/>
        <v>5.1069835420214848E-4</v>
      </c>
      <c r="O41" s="81">
        <f t="shared" si="4"/>
        <v>0.11399516834869386</v>
      </c>
      <c r="P41" s="79">
        <f t="shared" si="5"/>
        <v>11.145822544642856</v>
      </c>
      <c r="Q41" s="79"/>
      <c r="R41" s="180">
        <f t="shared" si="7"/>
        <v>0.1147058869</v>
      </c>
      <c r="S41" s="82">
        <f t="shared" si="8"/>
        <v>25.60399261160714</v>
      </c>
      <c r="T41" s="78">
        <f t="shared" si="9"/>
        <v>4.4522418857837059E-3</v>
      </c>
    </row>
    <row r="42" spans="1:20" s="1" customFormat="1" ht="11.25" customHeight="1" x14ac:dyDescent="0.2">
      <c r="A42" s="83">
        <v>39</v>
      </c>
      <c r="B42" s="83" t="s">
        <v>68</v>
      </c>
      <c r="C42" s="84">
        <v>0.39600000000000002</v>
      </c>
      <c r="D42" s="84">
        <v>3.4100787499999998</v>
      </c>
      <c r="E42" s="84">
        <v>22.974169310865378</v>
      </c>
      <c r="F42" s="84">
        <v>8.3639287109374995E-3</v>
      </c>
      <c r="G42" s="84">
        <v>-19.052407019698855</v>
      </c>
      <c r="H42" s="101">
        <f t="shared" si="10"/>
        <v>-23.731240291312069</v>
      </c>
      <c r="I42" s="78">
        <f t="shared" si="0"/>
        <v>20.979625023012265</v>
      </c>
      <c r="J42" s="79">
        <f t="shared" si="1"/>
        <v>2.1121032098327018E-2</v>
      </c>
      <c r="K42" s="79"/>
      <c r="L42" s="79"/>
      <c r="M42" s="79">
        <f t="shared" si="2"/>
        <v>0</v>
      </c>
      <c r="N42" s="180">
        <f t="shared" si="3"/>
        <v>4.5831820157324213E-4</v>
      </c>
      <c r="O42" s="81">
        <f t="shared" si="4"/>
        <v>0.11573691958920256</v>
      </c>
      <c r="P42" s="79">
        <f t="shared" si="5"/>
        <v>8.6113099747474742</v>
      </c>
      <c r="Q42" s="79"/>
      <c r="R42" s="180">
        <f t="shared" si="7"/>
        <v>7.7657842749999997E-2</v>
      </c>
      <c r="S42" s="82">
        <f t="shared" si="8"/>
        <v>19.6105663510101</v>
      </c>
      <c r="T42" s="78">
        <f t="shared" si="9"/>
        <v>5.9017632391448593E-3</v>
      </c>
    </row>
    <row r="43" spans="1:20" s="1" customFormat="1" ht="11.25" customHeight="1" x14ac:dyDescent="0.2">
      <c r="A43" s="83">
        <v>40</v>
      </c>
      <c r="B43" s="83" t="s">
        <v>353</v>
      </c>
      <c r="C43" s="84">
        <v>6.4960000000000004</v>
      </c>
      <c r="D43" s="84">
        <v>0.24337757812499999</v>
      </c>
      <c r="E43" s="84">
        <v>6.9716131502668421</v>
      </c>
      <c r="F43" s="84">
        <v>1.4038373749999999</v>
      </c>
      <c r="G43" s="84">
        <v>-21.73321273268234</v>
      </c>
      <c r="H43" s="101">
        <f t="shared" si="10"/>
        <v>-26.45467081513199</v>
      </c>
      <c r="I43" s="78">
        <f t="shared" si="0"/>
        <v>4.7018248964514324</v>
      </c>
      <c r="J43" s="79">
        <f t="shared" si="1"/>
        <v>0.21610797028940884</v>
      </c>
      <c r="K43" s="79"/>
      <c r="L43" s="79"/>
      <c r="M43" s="79">
        <f t="shared" si="2"/>
        <v>0</v>
      </c>
      <c r="N43" s="180">
        <f t="shared" si="3"/>
        <v>7.6926076637874999E-2</v>
      </c>
      <c r="O43" s="81">
        <f t="shared" si="4"/>
        <v>1.1842068447948737</v>
      </c>
      <c r="P43" s="79">
        <f t="shared" si="5"/>
        <v>3.7465760179341133E-2</v>
      </c>
      <c r="Q43" s="79"/>
      <c r="R43" s="180">
        <f t="shared" si="7"/>
        <v>3.5570353281249995E-3</v>
      </c>
      <c r="S43" s="82">
        <f t="shared" si="8"/>
        <v>5.4757317243303558E-2</v>
      </c>
      <c r="T43" s="78">
        <f t="shared" si="9"/>
        <v>21.626458424416217</v>
      </c>
    </row>
    <row r="44" spans="1:20" s="1" customFormat="1" ht="11.25" customHeight="1" x14ac:dyDescent="0.2">
      <c r="A44" s="95">
        <v>41</v>
      </c>
      <c r="B44" s="95" t="s">
        <v>354</v>
      </c>
      <c r="C44" s="96">
        <v>6.47</v>
      </c>
      <c r="D44" s="96">
        <v>0.13634585937499999</v>
      </c>
      <c r="E44" s="96">
        <v>5.9118349700306716</v>
      </c>
      <c r="F44" s="96">
        <v>0.75479768749999998</v>
      </c>
      <c r="G44" s="96">
        <v>-21.910946390673079</v>
      </c>
      <c r="H44" s="101">
        <f t="shared" si="10"/>
        <v>-26.635230438284779</v>
      </c>
      <c r="I44" s="78">
        <f t="shared" si="0"/>
        <v>3.6238185315151994</v>
      </c>
      <c r="J44" s="79">
        <f t="shared" si="1"/>
        <v>0.11666115726429675</v>
      </c>
      <c r="K44" s="79"/>
      <c r="L44" s="79"/>
      <c r="M44" s="79">
        <f t="shared" si="2"/>
        <v>0</v>
      </c>
      <c r="N44" s="180">
        <f t="shared" si="3"/>
        <v>4.1360648881937495E-2</v>
      </c>
      <c r="O44" s="81">
        <f t="shared" si="4"/>
        <v>0.63926814346116689</v>
      </c>
      <c r="P44" s="79">
        <f t="shared" si="5"/>
        <v>2.1073548589644511E-2</v>
      </c>
      <c r="Q44" s="79"/>
      <c r="R44" s="180">
        <f t="shared" si="7"/>
        <v>1.0524931093749998E-3</v>
      </c>
      <c r="S44" s="82">
        <f t="shared" si="8"/>
        <v>1.6267281443199378E-2</v>
      </c>
      <c r="T44" s="78">
        <f t="shared" si="9"/>
        <v>39.297785908069862</v>
      </c>
    </row>
    <row r="45" spans="1:20" s="1" customFormat="1" ht="11.25" customHeight="1" x14ac:dyDescent="0.2">
      <c r="A45" s="83">
        <v>42</v>
      </c>
      <c r="B45" s="83" t="s">
        <v>355</v>
      </c>
      <c r="C45" s="84">
        <v>6.38</v>
      </c>
      <c r="D45" s="84">
        <v>8.6435742187499998E-2</v>
      </c>
      <c r="E45" s="84">
        <v>3.5284756901396985</v>
      </c>
      <c r="F45" s="84">
        <v>0.50682371874999999</v>
      </c>
      <c r="G45" s="84">
        <v>-22.171934875547869</v>
      </c>
      <c r="H45" s="101">
        <f t="shared" si="10"/>
        <v>-26.900368640069082</v>
      </c>
      <c r="I45" s="78">
        <f t="shared" si="0"/>
        <v>1.1994654720101017</v>
      </c>
      <c r="J45" s="79">
        <f t="shared" si="1"/>
        <v>7.9439454349529773E-2</v>
      </c>
      <c r="K45" s="79"/>
      <c r="L45" s="79"/>
      <c r="M45" s="79">
        <f t="shared" si="2"/>
        <v>0</v>
      </c>
      <c r="N45" s="180">
        <f t="shared" si="3"/>
        <v>2.7772419316343749E-2</v>
      </c>
      <c r="O45" s="81">
        <f t="shared" si="4"/>
        <v>0.43530437799911836</v>
      </c>
      <c r="P45" s="79">
        <f t="shared" si="5"/>
        <v>1.3547921972962382E-2</v>
      </c>
      <c r="Q45" s="79"/>
      <c r="R45" s="180">
        <f t="shared" si="7"/>
        <v>-1.1540363281250035E-4</v>
      </c>
      <c r="S45" s="82">
        <f t="shared" si="8"/>
        <v>-1.8088343701018865E-3</v>
      </c>
      <c r="T45" s="78">
        <f t="shared" si="9"/>
        <v>-240.65463659594155</v>
      </c>
    </row>
    <row r="46" spans="1:20" s="1" customFormat="1" ht="11.25" customHeight="1" x14ac:dyDescent="0.2">
      <c r="A46" s="95">
        <v>43</v>
      </c>
      <c r="B46" s="95" t="s">
        <v>356</v>
      </c>
      <c r="C46" s="96">
        <v>6.3730000000000002</v>
      </c>
      <c r="D46" s="96">
        <v>0.109477453125</v>
      </c>
      <c r="E46" s="96">
        <v>7.3759580479832998</v>
      </c>
      <c r="F46" s="96">
        <v>0.54049918750000003</v>
      </c>
      <c r="G46" s="96">
        <v>-23.086100605322748</v>
      </c>
      <c r="H46" s="101">
        <f t="shared" si="10"/>
        <v>-27.829069604947378</v>
      </c>
      <c r="I46" s="78">
        <f t="shared" si="0"/>
        <v>5.1131245264086136</v>
      </c>
      <c r="J46" s="79">
        <f t="shared" si="1"/>
        <v>8.4810793582300328E-2</v>
      </c>
      <c r="K46" s="79"/>
      <c r="L46" s="79"/>
      <c r="M46" s="79">
        <f t="shared" si="2"/>
        <v>0</v>
      </c>
      <c r="N46" s="180">
        <f t="shared" si="3"/>
        <v>2.9617733977437503E-2</v>
      </c>
      <c r="O46" s="81">
        <f t="shared" si="4"/>
        <v>0.46473770559293121</v>
      </c>
      <c r="P46" s="79">
        <f t="shared" si="5"/>
        <v>1.7178323101365134E-2</v>
      </c>
      <c r="Q46" s="79"/>
      <c r="R46" s="180">
        <f t="shared" si="7"/>
        <v>4.2377240312499974E-4</v>
      </c>
      <c r="S46" s="82">
        <f t="shared" si="8"/>
        <v>6.6494963616036363E-3</v>
      </c>
      <c r="T46" s="78">
        <f t="shared" si="9"/>
        <v>69.890662438207869</v>
      </c>
    </row>
    <row r="47" spans="1:20" s="1" customFormat="1" ht="11.25" customHeight="1" x14ac:dyDescent="0.2">
      <c r="A47" s="83">
        <v>44</v>
      </c>
      <c r="B47" s="83" t="s">
        <v>357</v>
      </c>
      <c r="C47" s="84">
        <v>6.3440000000000003</v>
      </c>
      <c r="D47" s="84">
        <v>9.3833734375000005E-2</v>
      </c>
      <c r="E47" s="84">
        <v>3.7269855520440931</v>
      </c>
      <c r="F47" s="84">
        <v>0.45176256250000002</v>
      </c>
      <c r="G47" s="84">
        <v>-21.946056384785141</v>
      </c>
      <c r="H47" s="101">
        <f t="shared" si="10"/>
        <v>-26.670898681303228</v>
      </c>
      <c r="I47" s="78">
        <f t="shared" si="0"/>
        <v>1.4013897035392517</v>
      </c>
      <c r="J47" s="79">
        <f t="shared" si="1"/>
        <v>7.1210996610970995E-2</v>
      </c>
      <c r="K47" s="79"/>
      <c r="L47" s="79"/>
      <c r="M47" s="79">
        <f t="shared" si="2"/>
        <v>0</v>
      </c>
      <c r="N47" s="180">
        <f t="shared" si="3"/>
        <v>2.47552331373125E-2</v>
      </c>
      <c r="O47" s="81">
        <f t="shared" si="4"/>
        <v>0.39021489812913773</v>
      </c>
      <c r="P47" s="79">
        <f t="shared" si="5"/>
        <v>1.4790941736286254E-2</v>
      </c>
      <c r="Q47" s="79"/>
      <c r="R47" s="180">
        <f t="shared" si="7"/>
        <v>5.7709384375000117E-5</v>
      </c>
      <c r="S47" s="82">
        <f t="shared" si="8"/>
        <v>9.0966873226671046E-4</v>
      </c>
      <c r="T47" s="78">
        <f t="shared" si="9"/>
        <v>428.96373623483919</v>
      </c>
    </row>
    <row r="48" spans="1:20" s="1" customFormat="1" ht="11.25" customHeight="1" x14ac:dyDescent="0.2">
      <c r="A48" s="95">
        <v>45</v>
      </c>
      <c r="B48" s="95" t="s">
        <v>358</v>
      </c>
      <c r="C48" s="96">
        <v>6.1710000000000003</v>
      </c>
      <c r="D48" s="96">
        <v>5.6581621093749999E-2</v>
      </c>
      <c r="E48" s="96">
        <v>0.34912006465348533</v>
      </c>
      <c r="F48" s="96">
        <v>0.25296129687500002</v>
      </c>
      <c r="G48" s="96">
        <v>-22.719283991787758</v>
      </c>
      <c r="H48" s="101">
        <f t="shared" si="10"/>
        <v>-27.456420607257186</v>
      </c>
      <c r="I48" s="78">
        <f t="shared" si="0"/>
        <v>-2.0345750702344745</v>
      </c>
      <c r="J48" s="79">
        <f t="shared" si="1"/>
        <v>4.0991945693566685E-2</v>
      </c>
      <c r="K48" s="79"/>
      <c r="L48" s="79"/>
      <c r="M48" s="79">
        <f t="shared" si="2"/>
        <v>0</v>
      </c>
      <c r="N48" s="180">
        <f t="shared" si="3"/>
        <v>1.3861520184859377E-2</v>
      </c>
      <c r="O48" s="81">
        <f t="shared" si="4"/>
        <v>0.22462356481703738</v>
      </c>
      <c r="P48" s="79">
        <f t="shared" si="5"/>
        <v>9.1689549657672977E-3</v>
      </c>
      <c r="Q48" s="79"/>
      <c r="R48" s="180">
        <f t="shared" si="7"/>
        <v>-8.1399006640625019E-4</v>
      </c>
      <c r="S48" s="82">
        <f t="shared" si="8"/>
        <v>-1.3190569865601201E-2</v>
      </c>
      <c r="T48" s="78">
        <f t="shared" si="9"/>
        <v>-17.029102389489481</v>
      </c>
    </row>
    <row r="49" spans="1:20" s="1" customFormat="1" ht="11.25" customHeight="1" x14ac:dyDescent="0.2">
      <c r="A49" s="83">
        <v>46</v>
      </c>
      <c r="B49" s="83" t="s">
        <v>359</v>
      </c>
      <c r="C49" s="84">
        <v>6.0670000000000002</v>
      </c>
      <c r="D49" s="84">
        <v>3.92173828125E-2</v>
      </c>
      <c r="E49" s="84">
        <v>-2.5509134929514454</v>
      </c>
      <c r="F49" s="84">
        <v>0.17023450000000001</v>
      </c>
      <c r="G49" s="84">
        <v>-22.831260501493151</v>
      </c>
      <c r="H49" s="101">
        <f t="shared" si="10"/>
        <v>-27.57017754346689</v>
      </c>
      <c r="I49" s="78">
        <f t="shared" si="0"/>
        <v>-4.9844892050302105</v>
      </c>
      <c r="J49" s="79">
        <f t="shared" si="1"/>
        <v>2.8059090159881325E-2</v>
      </c>
      <c r="K49" s="79"/>
      <c r="L49" s="79"/>
      <c r="M49" s="79">
        <f t="shared" si="2"/>
        <v>0</v>
      </c>
      <c r="N49" s="180">
        <f>F49*$B$28+$D$28</f>
        <v>9.3283398965000007E-3</v>
      </c>
      <c r="O49" s="81">
        <f>N49/C49*100</f>
        <v>0.15375539634910171</v>
      </c>
      <c r="P49" s="79">
        <f t="shared" si="5"/>
        <v>6.4640485927970988E-3</v>
      </c>
      <c r="Q49" s="79"/>
      <c r="R49" s="180">
        <f t="shared" si="7"/>
        <v>-1.2203132421875001E-3</v>
      </c>
      <c r="S49" s="82">
        <f t="shared" si="8"/>
        <v>-2.0113948280657656E-2</v>
      </c>
      <c r="T49" s="78">
        <f t="shared" si="9"/>
        <v>-7.6442175451429781</v>
      </c>
    </row>
    <row r="50" spans="1:20" s="1" customFormat="1" ht="11.25" customHeight="1" x14ac:dyDescent="0.2">
      <c r="A50" s="95">
        <v>47</v>
      </c>
      <c r="B50" s="95" t="s">
        <v>360</v>
      </c>
      <c r="C50" s="96">
        <v>6.194</v>
      </c>
      <c r="D50" s="96">
        <v>7.6507015624999994E-2</v>
      </c>
      <c r="E50" s="96">
        <v>1.3684542009830825</v>
      </c>
      <c r="F50" s="96">
        <v>0.42139128125000003</v>
      </c>
      <c r="G50" s="96">
        <v>-22.472343412548856</v>
      </c>
      <c r="H50" s="101">
        <f t="shared" si="10"/>
        <v>-27.205553672808385</v>
      </c>
      <c r="I50" s="78">
        <f t="shared" si="0"/>
        <v>-0.99770838676000828</v>
      </c>
      <c r="J50" s="79">
        <f t="shared" si="1"/>
        <v>6.8032173272521798E-2</v>
      </c>
      <c r="K50" s="79"/>
      <c r="L50" s="79"/>
      <c r="M50" s="79">
        <f t="shared" si="2"/>
        <v>0</v>
      </c>
      <c r="N50" s="180">
        <f t="shared" si="3"/>
        <v>2.309097803865625E-2</v>
      </c>
      <c r="O50" s="81">
        <f t="shared" si="4"/>
        <v>0.37279589988143769</v>
      </c>
      <c r="P50" s="79">
        <f t="shared" si="5"/>
        <v>1.2351794579431707E-2</v>
      </c>
      <c r="Q50" s="79"/>
      <c r="R50" s="180">
        <f t="shared" si="7"/>
        <v>-3.4773583437500014E-4</v>
      </c>
      <c r="S50" s="82">
        <f t="shared" si="8"/>
        <v>-5.6140754661769474E-3</v>
      </c>
      <c r="T50" s="78">
        <f t="shared" si="9"/>
        <v>-66.403792062899157</v>
      </c>
    </row>
    <row r="51" spans="1:20" s="1" customFormat="1" ht="11.25" customHeight="1" x14ac:dyDescent="0.2">
      <c r="A51" s="83">
        <v>48</v>
      </c>
      <c r="B51" s="83" t="s">
        <v>361</v>
      </c>
      <c r="C51" s="84">
        <v>6.218</v>
      </c>
      <c r="D51" s="84">
        <v>3.8818292968750001E-2</v>
      </c>
      <c r="E51" s="84">
        <v>-5.2657449102555542</v>
      </c>
      <c r="F51" s="84">
        <v>0.17637221875</v>
      </c>
      <c r="G51" s="84">
        <v>-24.615964504108742</v>
      </c>
      <c r="H51" s="101">
        <f t="shared" si="10"/>
        <v>-29.383258339724073</v>
      </c>
      <c r="I51" s="78">
        <f t="shared" si="0"/>
        <v>-7.7460157227119506</v>
      </c>
      <c r="J51" s="79">
        <f t="shared" si="1"/>
        <v>2.8364782687359279E-2</v>
      </c>
      <c r="K51" s="79"/>
      <c r="L51" s="79"/>
      <c r="M51" s="79">
        <f t="shared" si="2"/>
        <v>0</v>
      </c>
      <c r="N51" s="180">
        <f t="shared" si="3"/>
        <v>9.6646684708437507E-3</v>
      </c>
      <c r="O51" s="81">
        <f t="shared" si="4"/>
        <v>0.15543049969192266</v>
      </c>
      <c r="P51" s="79">
        <f t="shared" si="5"/>
        <v>6.2428904742280475E-3</v>
      </c>
      <c r="Q51" s="79"/>
      <c r="R51" s="180">
        <f t="shared" si="7"/>
        <v>-1.2296519445312501E-3</v>
      </c>
      <c r="S51" s="82">
        <f t="shared" si="8"/>
        <v>-1.9775682607450148E-2</v>
      </c>
      <c r="T51" s="78">
        <f t="shared" si="9"/>
        <v>-7.859678109587322</v>
      </c>
    </row>
    <row r="52" spans="1:20" s="1" customFormat="1" ht="11.25" customHeight="1" x14ac:dyDescent="0.2">
      <c r="A52" s="95">
        <v>49</v>
      </c>
      <c r="B52" s="95" t="s">
        <v>362</v>
      </c>
      <c r="C52" s="96">
        <v>6.4050000000000002</v>
      </c>
      <c r="D52" s="96">
        <v>7.3930343750000002E-2</v>
      </c>
      <c r="E52" s="96">
        <v>-2.3852836541193856</v>
      </c>
      <c r="F52" s="96">
        <v>0.42696371875</v>
      </c>
      <c r="G52" s="96">
        <v>-21.904136875610565</v>
      </c>
      <c r="H52" s="101">
        <f>$B$26*G52+$D$26</f>
        <v>-26.628312651932774</v>
      </c>
      <c r="I52" s="78">
        <f>$B$27*E52+$D$27</f>
        <v>-4.816010532970239</v>
      </c>
      <c r="J52" s="79">
        <f>(F52)/C52</f>
        <v>6.6661002146760337E-2</v>
      </c>
      <c r="K52" s="79"/>
      <c r="L52" s="79"/>
      <c r="M52" s="79">
        <f>C52*(K52/100)</f>
        <v>0</v>
      </c>
      <c r="N52" s="180">
        <f>F52*$B$28+$D$28</f>
        <v>2.3396330896343749E-2</v>
      </c>
      <c r="O52" s="81">
        <f>N52/C52*100</f>
        <v>0.36528229346360264</v>
      </c>
      <c r="P52" s="79">
        <f>D52/C52</f>
        <v>1.154259855581577E-2</v>
      </c>
      <c r="Q52" s="79"/>
      <c r="R52" s="180">
        <f>D52*$B$29+$D$29</f>
        <v>-4.0802995625000005E-4</v>
      </c>
      <c r="S52" s="82">
        <f>R52/C52*100</f>
        <v>-6.3704911202185788E-3</v>
      </c>
      <c r="T52" s="78">
        <f>N52/R52</f>
        <v>-57.339738266689452</v>
      </c>
    </row>
    <row r="53" spans="1:20" s="1" customFormat="1" ht="11.25" customHeight="1" x14ac:dyDescent="0.2">
      <c r="A53" s="83">
        <v>50</v>
      </c>
      <c r="B53" s="83" t="s">
        <v>363</v>
      </c>
      <c r="C53" s="84">
        <v>6.15</v>
      </c>
      <c r="D53" s="84">
        <v>2.853980859375E-2</v>
      </c>
      <c r="E53" s="84">
        <v>-6.2431722835322168</v>
      </c>
      <c r="F53" s="84">
        <v>0.119828203125</v>
      </c>
      <c r="G53" s="84">
        <v>-24.891976597563772</v>
      </c>
      <c r="H53" s="101">
        <f t="shared" si="10"/>
        <v>-29.663659025465037</v>
      </c>
      <c r="I53" s="78">
        <f t="shared" si="0"/>
        <v>-8.7402548468089716</v>
      </c>
      <c r="J53" s="79">
        <f t="shared" si="1"/>
        <v>1.9484260670731706E-2</v>
      </c>
      <c r="K53" s="79"/>
      <c r="L53" s="79"/>
      <c r="M53" s="79">
        <f t="shared" ref="M53:M56" si="19">C53*(K53/100)</f>
        <v>0</v>
      </c>
      <c r="N53" s="180">
        <f t="shared" ref="N53:N56" si="20">F53*$B$28+$D$28</f>
        <v>6.566226046640625E-3</v>
      </c>
      <c r="O53" s="81">
        <f t="shared" ref="O53:O56" si="21">N53/C53*100</f>
        <v>0.10676790319740853</v>
      </c>
      <c r="P53" s="79">
        <f t="shared" ref="P53:P56" si="22">D53/C53</f>
        <v>4.6406192835365852E-3</v>
      </c>
      <c r="Q53" s="79"/>
      <c r="R53" s="180">
        <f t="shared" si="7"/>
        <v>-1.4701684789062502E-3</v>
      </c>
      <c r="S53" s="82">
        <f t="shared" si="8"/>
        <v>-2.3905178518800814E-2</v>
      </c>
      <c r="T53" s="78">
        <f t="shared" si="9"/>
        <v>-4.4663085495654551</v>
      </c>
    </row>
    <row r="54" spans="1:20" s="1" customFormat="1" ht="11.25" customHeight="1" x14ac:dyDescent="0.2">
      <c r="A54" s="83">
        <v>51</v>
      </c>
      <c r="B54" s="83" t="s">
        <v>364</v>
      </c>
      <c r="C54" s="84">
        <v>6.2450000000000001</v>
      </c>
      <c r="D54" s="84">
        <v>3.4426589843750001E-2</v>
      </c>
      <c r="E54" s="84">
        <v>1.0915261866690784</v>
      </c>
      <c r="F54" s="84">
        <v>0.13777409374999999</v>
      </c>
      <c r="G54" s="84">
        <v>-24.282763737482416</v>
      </c>
      <c r="H54" s="101">
        <f t="shared" si="10"/>
        <v>-29.044759680908385</v>
      </c>
      <c r="I54" s="78">
        <f t="shared" si="0"/>
        <v>-1.2793995629202133</v>
      </c>
      <c r="J54" s="79">
        <f t="shared" si="1"/>
        <v>2.2061504203362687E-2</v>
      </c>
      <c r="K54" s="79"/>
      <c r="L54" s="79"/>
      <c r="M54" s="79">
        <f t="shared" si="19"/>
        <v>0</v>
      </c>
      <c r="N54" s="180">
        <f t="shared" si="20"/>
        <v>7.5496070152187497E-3</v>
      </c>
      <c r="O54" s="81">
        <f t="shared" si="21"/>
        <v>0.12089042458316654</v>
      </c>
      <c r="P54" s="79">
        <f t="shared" si="22"/>
        <v>5.5126645066052842E-3</v>
      </c>
      <c r="Q54" s="79"/>
      <c r="R54" s="180">
        <f t="shared" si="7"/>
        <v>-1.3324177976562501E-3</v>
      </c>
      <c r="S54" s="82">
        <f t="shared" si="8"/>
        <v>-2.1335753365192153E-2</v>
      </c>
      <c r="T54" s="78">
        <f t="shared" si="9"/>
        <v>-5.6660958961210675</v>
      </c>
    </row>
    <row r="55" spans="1:20" s="90" customFormat="1" ht="11.25" customHeight="1" x14ac:dyDescent="0.2">
      <c r="A55" s="117">
        <v>52</v>
      </c>
      <c r="B55" s="117" t="s">
        <v>82</v>
      </c>
      <c r="C55" s="105">
        <v>1.0860000000000001</v>
      </c>
      <c r="D55" s="105">
        <v>1.367821</v>
      </c>
      <c r="E55" s="105">
        <v>6.7572257527463986</v>
      </c>
      <c r="F55" s="105">
        <v>8.8152849999999994</v>
      </c>
      <c r="G55" s="105">
        <v>-21.524143501368556</v>
      </c>
      <c r="H55" s="100">
        <f t="shared" si="10"/>
        <v>-26.242277383040317</v>
      </c>
      <c r="I55" s="86">
        <f t="shared" si="0"/>
        <v>4.4837500356936371</v>
      </c>
      <c r="J55" s="87">
        <f t="shared" si="1"/>
        <v>8.1172053406998153</v>
      </c>
      <c r="K55" s="87">
        <f t="shared" ref="K55" si="23">H$14</f>
        <v>44.65</v>
      </c>
      <c r="L55" s="87">
        <f t="shared" ref="L55" si="24">I$14</f>
        <v>2.83</v>
      </c>
      <c r="M55" s="87">
        <f t="shared" si="19"/>
        <v>0.48489900000000002</v>
      </c>
      <c r="N55" s="179">
        <f t="shared" si="20"/>
        <v>0.48305117214499993</v>
      </c>
      <c r="O55" s="91">
        <f t="shared" si="21"/>
        <v>44.479850105432774</v>
      </c>
      <c r="P55" s="87">
        <f t="shared" si="22"/>
        <v>1.2595036832412523</v>
      </c>
      <c r="Q55" s="87">
        <f t="shared" ref="Q55" si="25">C55*(L55/100)</f>
        <v>3.0733800000000006E-2</v>
      </c>
      <c r="R55" s="179">
        <f t="shared" si="7"/>
        <v>2.9869011399999999E-2</v>
      </c>
      <c r="S55" s="89">
        <f t="shared" si="8"/>
        <v>2.7503693738489869</v>
      </c>
      <c r="T55" s="86">
        <f t="shared" si="9"/>
        <v>16.172318717753075</v>
      </c>
    </row>
    <row r="56" spans="1:20" s="126" customFormat="1" ht="11.25" customHeight="1" x14ac:dyDescent="0.2">
      <c r="A56" s="119">
        <v>53</v>
      </c>
      <c r="B56" s="119" t="s">
        <v>87</v>
      </c>
      <c r="C56" s="120">
        <v>2.3580000000000001</v>
      </c>
      <c r="D56" s="120">
        <v>0.23214296875000001</v>
      </c>
      <c r="E56" s="120">
        <v>8.0337253863589364</v>
      </c>
      <c r="F56" s="120">
        <v>1.3980213749999999</v>
      </c>
      <c r="G56" s="120">
        <v>-14.78543116596436</v>
      </c>
      <c r="H56" s="121">
        <f t="shared" si="10"/>
        <v>-19.396419521503191</v>
      </c>
      <c r="I56" s="122">
        <f t="shared" si="0"/>
        <v>5.7822054630043116</v>
      </c>
      <c r="J56" s="118">
        <f t="shared" si="1"/>
        <v>0.59288438295165391</v>
      </c>
      <c r="K56" s="118">
        <f>H$13</f>
        <v>3.3479999999999999</v>
      </c>
      <c r="L56" s="118"/>
      <c r="M56" s="118">
        <f t="shared" si="19"/>
        <v>7.8945839999999989E-2</v>
      </c>
      <c r="N56" s="181">
        <f t="shared" si="20"/>
        <v>7.6607377285874995E-2</v>
      </c>
      <c r="O56" s="124">
        <f t="shared" si="21"/>
        <v>3.2488285532601782</v>
      </c>
      <c r="P56" s="118">
        <f t="shared" si="22"/>
        <v>9.8449096162001704E-2</v>
      </c>
      <c r="Q56" s="118"/>
      <c r="R56" s="181">
        <f t="shared" si="7"/>
        <v>3.2941454687500007E-3</v>
      </c>
      <c r="S56" s="125">
        <f t="shared" si="8"/>
        <v>0.13970082564673453</v>
      </c>
      <c r="T56" s="122">
        <f t="shared" si="9"/>
        <v>23.255614547873776</v>
      </c>
    </row>
    <row r="57" spans="1:20" s="1" customFormat="1" ht="11.25" customHeight="1" x14ac:dyDescent="0.2">
      <c r="A57" s="83">
        <v>54</v>
      </c>
      <c r="B57" s="83" t="s">
        <v>365</v>
      </c>
      <c r="C57" s="84">
        <v>6.2960000000000003</v>
      </c>
      <c r="D57" s="84">
        <v>8.0632015624999998E-2</v>
      </c>
      <c r="E57" s="84">
        <v>0.49409588417370642</v>
      </c>
      <c r="F57" s="84">
        <v>0.24664373437500001</v>
      </c>
      <c r="G57" s="84">
        <v>-23.495019198784597</v>
      </c>
      <c r="H57" s="101">
        <f t="shared" si="10"/>
        <v>-28.244490004045275</v>
      </c>
      <c r="I57" s="78">
        <f t="shared" si="0"/>
        <v>-1.8871056666185058</v>
      </c>
      <c r="J57" s="79">
        <f t="shared" si="1"/>
        <v>3.9174671914707748E-2</v>
      </c>
      <c r="K57" s="79"/>
      <c r="L57" s="79"/>
      <c r="M57" s="79">
        <f t="shared" si="2"/>
        <v>0</v>
      </c>
      <c r="N57" s="180">
        <f t="shared" si="3"/>
        <v>1.3515336712546875E-2</v>
      </c>
      <c r="O57" s="81">
        <f t="shared" si="4"/>
        <v>0.21466544969102405</v>
      </c>
      <c r="P57" s="79">
        <f t="shared" si="5"/>
        <v>1.280686398109911E-2</v>
      </c>
      <c r="Q57" s="79"/>
      <c r="R57" s="180">
        <f t="shared" si="7"/>
        <v>-2.5121083437500006E-4</v>
      </c>
      <c r="S57" s="82">
        <f t="shared" si="8"/>
        <v>-3.9900068992217291E-3</v>
      </c>
      <c r="T57" s="78">
        <f t="shared" si="9"/>
        <v>-53.800771555782433</v>
      </c>
    </row>
    <row r="58" spans="1:20" s="1" customFormat="1" ht="11.25" customHeight="1" x14ac:dyDescent="0.2">
      <c r="A58" s="95">
        <v>55</v>
      </c>
      <c r="B58" s="95" t="s">
        <v>366</v>
      </c>
      <c r="C58" s="96">
        <v>6.37</v>
      </c>
      <c r="D58" s="96">
        <v>0.1173957421875</v>
      </c>
      <c r="E58" s="96">
        <v>9.4099447199624819</v>
      </c>
      <c r="F58" s="96">
        <v>0.4370480625</v>
      </c>
      <c r="G58" s="96">
        <v>-22.234136750103104</v>
      </c>
      <c r="H58" s="101">
        <f t="shared" si="10"/>
        <v>-26.963559524429741</v>
      </c>
      <c r="I58" s="78">
        <f t="shared" si="0"/>
        <v>7.1820957691458389</v>
      </c>
      <c r="J58" s="79">
        <f t="shared" si="1"/>
        <v>6.8610370879120877E-2</v>
      </c>
      <c r="K58" s="79"/>
      <c r="L58" s="79"/>
      <c r="M58" s="79">
        <f t="shared" si="2"/>
        <v>0</v>
      </c>
      <c r="N58" s="180">
        <f t="shared" si="3"/>
        <v>2.3948922680812501E-2</v>
      </c>
      <c r="O58" s="81">
        <f t="shared" si="4"/>
        <v>0.37596424930631867</v>
      </c>
      <c r="P58" s="79">
        <f t="shared" si="5"/>
        <v>1.8429472870879121E-2</v>
      </c>
      <c r="Q58" s="79"/>
      <c r="R58" s="180">
        <f t="shared" si="7"/>
        <v>6.0906036718749983E-4</v>
      </c>
      <c r="S58" s="82">
        <f t="shared" si="8"/>
        <v>9.561387239992147E-3</v>
      </c>
      <c r="T58" s="78">
        <f t="shared" si="9"/>
        <v>39.321098483887724</v>
      </c>
    </row>
    <row r="59" spans="1:20" s="1" customFormat="1" ht="11.25" customHeight="1" x14ac:dyDescent="0.2">
      <c r="A59" s="83">
        <v>56</v>
      </c>
      <c r="B59" s="83" t="s">
        <v>367</v>
      </c>
      <c r="C59" s="84">
        <v>6.1950000000000003</v>
      </c>
      <c r="D59" s="84">
        <v>0.12984953906249999</v>
      </c>
      <c r="E59" s="84">
        <v>2.686856833248763</v>
      </c>
      <c r="F59" s="84">
        <v>0.41483728125000002</v>
      </c>
      <c r="G59" s="84">
        <v>-22.311244517554716</v>
      </c>
      <c r="H59" s="101">
        <f t="shared" si="10"/>
        <v>-27.041893305383837</v>
      </c>
      <c r="I59" s="78">
        <f t="shared" si="0"/>
        <v>0.34337077078064215</v>
      </c>
      <c r="J59" s="79">
        <f t="shared" si="1"/>
        <v>6.6963241525423725E-2</v>
      </c>
      <c r="K59" s="79"/>
      <c r="L59" s="79"/>
      <c r="M59" s="79">
        <f t="shared" si="2"/>
        <v>0</v>
      </c>
      <c r="N59" s="180">
        <f t="shared" si="3"/>
        <v>2.273183850065625E-2</v>
      </c>
      <c r="O59" s="81">
        <f t="shared" si="4"/>
        <v>0.36693847458686435</v>
      </c>
      <c r="P59" s="79">
        <f t="shared" si="5"/>
        <v>2.0960377572639223E-2</v>
      </c>
      <c r="Q59" s="79"/>
      <c r="R59" s="180">
        <f t="shared" si="7"/>
        <v>9.0047921406249953E-4</v>
      </c>
      <c r="S59" s="82">
        <f t="shared" si="8"/>
        <v>1.453558053369652E-2</v>
      </c>
      <c r="T59" s="78">
        <f t="shared" si="9"/>
        <v>25.24415682856451</v>
      </c>
    </row>
    <row r="60" spans="1:20" s="1" customFormat="1" ht="11.25" customHeight="1" x14ac:dyDescent="0.2">
      <c r="A60" s="95">
        <v>57</v>
      </c>
      <c r="B60" s="95" t="s">
        <v>368</v>
      </c>
      <c r="C60" s="96">
        <v>6.1630000000000003</v>
      </c>
      <c r="D60" s="96">
        <v>0.148402234375</v>
      </c>
      <c r="E60" s="96">
        <v>0.74564551965039527</v>
      </c>
      <c r="F60" s="96">
        <v>0.18500509374999999</v>
      </c>
      <c r="G60" s="96">
        <v>-23.668059388816637</v>
      </c>
      <c r="H60" s="101">
        <f t="shared" si="10"/>
        <v>-28.420281533098823</v>
      </c>
      <c r="I60" s="78">
        <f t="shared" si="0"/>
        <v>-1.6312293774116178</v>
      </c>
      <c r="J60" s="79">
        <f t="shared" si="1"/>
        <v>3.0018674955378872E-2</v>
      </c>
      <c r="K60" s="79"/>
      <c r="L60" s="79"/>
      <c r="M60" s="79">
        <f t="shared" si="2"/>
        <v>0</v>
      </c>
      <c r="N60" s="180">
        <f t="shared" si="3"/>
        <v>1.013772412221875E-2</v>
      </c>
      <c r="O60" s="81">
        <f t="shared" si="4"/>
        <v>0.16449333315298961</v>
      </c>
      <c r="P60" s="79">
        <f t="shared" si="5"/>
        <v>2.4079544763102385E-2</v>
      </c>
      <c r="Q60" s="79"/>
      <c r="R60" s="180">
        <f t="shared" si="7"/>
        <v>1.3346122843749999E-3</v>
      </c>
      <c r="S60" s="82">
        <f t="shared" si="8"/>
        <v>2.1655237455378871E-2</v>
      </c>
      <c r="T60" s="78">
        <f t="shared" si="9"/>
        <v>7.5960069009601954</v>
      </c>
    </row>
    <row r="61" spans="1:20" s="1" customFormat="1" ht="11.25" customHeight="1" x14ac:dyDescent="0.2">
      <c r="A61" s="83">
        <v>58</v>
      </c>
      <c r="B61" s="83" t="s">
        <v>369</v>
      </c>
      <c r="C61" s="84">
        <v>6.1989999999999998</v>
      </c>
      <c r="D61" s="84">
        <v>0.19771343750000001</v>
      </c>
      <c r="E61" s="84">
        <v>1.8363353213162181</v>
      </c>
      <c r="F61" s="84">
        <v>0.15951481249999999</v>
      </c>
      <c r="G61" s="84">
        <v>-24.206612591934736</v>
      </c>
      <c r="H61" s="101">
        <f t="shared" si="10"/>
        <v>-28.967397732146502</v>
      </c>
      <c r="I61" s="78">
        <f t="shared" si="0"/>
        <v>-0.52177971115714272</v>
      </c>
      <c r="J61" s="79">
        <f t="shared" si="1"/>
        <v>2.5732345942894013E-2</v>
      </c>
      <c r="K61" s="79"/>
      <c r="L61" s="79"/>
      <c r="M61" s="79">
        <f t="shared" si="2"/>
        <v>0</v>
      </c>
      <c r="N61" s="180">
        <f t="shared" si="3"/>
        <v>8.7409331805625001E-3</v>
      </c>
      <c r="O61" s="81">
        <f t="shared" si="4"/>
        <v>0.14100553606327634</v>
      </c>
      <c r="P61" s="79">
        <f t="shared" si="5"/>
        <v>3.189440837231812E-2</v>
      </c>
      <c r="Q61" s="79"/>
      <c r="R61" s="180">
        <f t="shared" si="7"/>
        <v>2.4884944374999997E-3</v>
      </c>
      <c r="S61" s="82">
        <f t="shared" si="8"/>
        <v>4.0143481811582504E-2</v>
      </c>
      <c r="T61" s="78">
        <f t="shared" si="9"/>
        <v>3.5125387659471112</v>
      </c>
    </row>
    <row r="62" spans="1:20" s="1" customFormat="1" ht="11.25" customHeight="1" x14ac:dyDescent="0.2">
      <c r="A62" s="95">
        <v>59</v>
      </c>
      <c r="B62" s="95" t="s">
        <v>370</v>
      </c>
      <c r="C62" s="96">
        <v>6.2430000000000003</v>
      </c>
      <c r="D62" s="96">
        <v>0.230674875</v>
      </c>
      <c r="E62" s="96">
        <v>1.2577898655699027</v>
      </c>
      <c r="F62" s="96">
        <v>0.15126559375000001</v>
      </c>
      <c r="G62" s="96">
        <v>-24.957498642058521</v>
      </c>
      <c r="H62" s="101">
        <f t="shared" si="10"/>
        <v>-29.730222870467252</v>
      </c>
      <c r="I62" s="78">
        <f t="shared" si="0"/>
        <v>-1.1102761487422947</v>
      </c>
      <c r="J62" s="79">
        <f t="shared" si="1"/>
        <v>2.4229632188050618E-2</v>
      </c>
      <c r="K62" s="79"/>
      <c r="L62" s="79"/>
      <c r="M62" s="79">
        <f t="shared" si="2"/>
        <v>0</v>
      </c>
      <c r="N62" s="180">
        <f t="shared" si="3"/>
        <v>8.2889007407187503E-3</v>
      </c>
      <c r="O62" s="81">
        <f t="shared" si="4"/>
        <v>0.13277111550086096</v>
      </c>
      <c r="P62" s="79">
        <f t="shared" si="5"/>
        <v>3.6949363286881302E-2</v>
      </c>
      <c r="Q62" s="79"/>
      <c r="R62" s="180">
        <f t="shared" si="7"/>
        <v>3.2597920750000002E-3</v>
      </c>
      <c r="S62" s="82">
        <f t="shared" si="8"/>
        <v>5.2215154172673403E-2</v>
      </c>
      <c r="T62" s="78">
        <f t="shared" si="9"/>
        <v>2.5427697687493609</v>
      </c>
    </row>
    <row r="63" spans="1:20" s="1" customFormat="1" ht="11.25" customHeight="1" x14ac:dyDescent="0.2">
      <c r="A63" s="83">
        <v>60</v>
      </c>
      <c r="B63" s="83" t="s">
        <v>371</v>
      </c>
      <c r="C63" s="84">
        <v>6.3650000000000002</v>
      </c>
      <c r="D63" s="84">
        <v>0.233301203125</v>
      </c>
      <c r="E63" s="84">
        <v>1.9038533738440222</v>
      </c>
      <c r="F63" s="84">
        <v>0.12305904687499999</v>
      </c>
      <c r="G63" s="84">
        <v>-26.982237437912339</v>
      </c>
      <c r="H63" s="101">
        <f>$B$26*G63+$D$26</f>
        <v>-31.787155013175145</v>
      </c>
      <c r="I63" s="78">
        <f>$B$27*E63+$D$27</f>
        <v>-0.45310034812586042</v>
      </c>
      <c r="J63" s="79">
        <f>(F63)/C63</f>
        <v>1.9333707285938726E-2</v>
      </c>
      <c r="K63" s="79"/>
      <c r="L63" s="79"/>
      <c r="M63" s="79">
        <f>C63*(K63/100)</f>
        <v>0</v>
      </c>
      <c r="N63" s="180">
        <f>F63*$B$28+$D$28</f>
        <v>6.7432665916093747E-3</v>
      </c>
      <c r="O63" s="81">
        <f>N63/C63*100</f>
        <v>0.10594291581475844</v>
      </c>
      <c r="P63" s="79">
        <f>D63/C63</f>
        <v>3.6653763256087976E-2</v>
      </c>
      <c r="Q63" s="79"/>
      <c r="R63" s="180">
        <f>D63*$B$29+$D$29</f>
        <v>3.3212481531250003E-3</v>
      </c>
      <c r="S63" s="82">
        <f>R63/C63*100</f>
        <v>5.2179861007462684E-2</v>
      </c>
      <c r="T63" s="78">
        <f>N63/R63</f>
        <v>2.0303410888658102</v>
      </c>
    </row>
    <row r="64" spans="1:20" s="1" customFormat="1" ht="11.25" customHeight="1" x14ac:dyDescent="0.2">
      <c r="A64" s="95">
        <v>61</v>
      </c>
      <c r="B64" s="95" t="s">
        <v>372</v>
      </c>
      <c r="C64" s="96">
        <v>6.2830000000000004</v>
      </c>
      <c r="D64" s="96">
        <v>0.235843140625</v>
      </c>
      <c r="E64" s="96">
        <v>-0.16840822814423451</v>
      </c>
      <c r="F64" s="96">
        <v>0.124027</v>
      </c>
      <c r="G64" s="96">
        <v>-24.247374805423739</v>
      </c>
      <c r="H64" s="101">
        <f t="shared" si="10"/>
        <v>-29.008808064829978</v>
      </c>
      <c r="I64" s="78">
        <f t="shared" si="0"/>
        <v>-2.5610048496683153</v>
      </c>
      <c r="J64" s="79">
        <f t="shared" si="1"/>
        <v>1.9740092312589524E-2</v>
      </c>
      <c r="K64" s="79"/>
      <c r="L64" s="79"/>
      <c r="M64" s="79">
        <f t="shared" ref="M64:M67" si="26">C64*(K64/100)</f>
        <v>0</v>
      </c>
      <c r="N64" s="180">
        <f t="shared" ref="N64:N67" si="27">F64*$B$28+$D$28</f>
        <v>6.7963075189999998E-3</v>
      </c>
      <c r="O64" s="81">
        <f t="shared" ref="O64:O67" si="28">N64/C64*100</f>
        <v>0.10816978384529682</v>
      </c>
      <c r="P64" s="79">
        <f t="shared" ref="P64:P67" si="29">D64/C64</f>
        <v>3.7536708678179209E-2</v>
      </c>
      <c r="Q64" s="79"/>
      <c r="R64" s="180">
        <f t="shared" si="7"/>
        <v>3.3807294906249997E-3</v>
      </c>
      <c r="S64" s="82">
        <f t="shared" si="8"/>
        <v>5.3807567891532702E-2</v>
      </c>
      <c r="T64" s="78">
        <f t="shared" si="9"/>
        <v>2.0103079935400445</v>
      </c>
    </row>
    <row r="65" spans="1:20" s="1" customFormat="1" ht="11.25" customHeight="1" x14ac:dyDescent="0.2">
      <c r="A65" s="83">
        <v>62</v>
      </c>
      <c r="B65" s="83" t="s">
        <v>373</v>
      </c>
      <c r="C65" s="84">
        <v>6.0460000000000003</v>
      </c>
      <c r="D65" s="84">
        <v>0.23727807812500001</v>
      </c>
      <c r="E65" s="84">
        <v>1.181889223015764</v>
      </c>
      <c r="F65" s="84">
        <v>0.1305410859375</v>
      </c>
      <c r="G65" s="84">
        <v>-24.54542458363365</v>
      </c>
      <c r="H65" s="101">
        <f t="shared" si="10"/>
        <v>-29.311596834513423</v>
      </c>
      <c r="I65" s="78">
        <f t="shared" si="0"/>
        <v>-1.1874822823483646</v>
      </c>
      <c r="J65" s="79">
        <f t="shared" si="1"/>
        <v>2.1591314247022823E-2</v>
      </c>
      <c r="K65" s="79"/>
      <c r="L65" s="79"/>
      <c r="M65" s="79">
        <f t="shared" si="26"/>
        <v>0</v>
      </c>
      <c r="N65" s="180">
        <f t="shared" si="27"/>
        <v>7.1532598861171869E-3</v>
      </c>
      <c r="O65" s="81">
        <f t="shared" si="28"/>
        <v>0.11831392467941096</v>
      </c>
      <c r="P65" s="79">
        <f t="shared" si="29"/>
        <v>3.9245464459973539E-2</v>
      </c>
      <c r="Q65" s="79"/>
      <c r="R65" s="180">
        <f t="shared" si="7"/>
        <v>3.4143070281250007E-3</v>
      </c>
      <c r="S65" s="82">
        <f t="shared" si="8"/>
        <v>5.6472163879010925E-2</v>
      </c>
      <c r="T65" s="78">
        <f t="shared" si="9"/>
        <v>2.095083959114675</v>
      </c>
    </row>
    <row r="66" spans="1:20" s="90" customFormat="1" ht="11.25" customHeight="1" x14ac:dyDescent="0.2">
      <c r="A66" s="117">
        <v>63</v>
      </c>
      <c r="B66" s="117" t="s">
        <v>61</v>
      </c>
      <c r="C66" s="105">
        <v>0.83599999999999997</v>
      </c>
      <c r="D66" s="105">
        <v>1.1658897500000001</v>
      </c>
      <c r="E66" s="105">
        <v>5.9882549741476776</v>
      </c>
      <c r="F66" s="105">
        <v>6.8582830000000001</v>
      </c>
      <c r="G66" s="105">
        <v>-21.418816897687584</v>
      </c>
      <c r="H66" s="100">
        <f t="shared" si="10"/>
        <v>-26.135276086360818</v>
      </c>
      <c r="I66" s="86">
        <f t="shared" si="0"/>
        <v>3.7015529597030183</v>
      </c>
      <c r="J66" s="87">
        <f t="shared" si="1"/>
        <v>8.2036877990430632</v>
      </c>
      <c r="K66" s="87">
        <f t="shared" ref="K66:L66" si="30">H$14</f>
        <v>44.65</v>
      </c>
      <c r="L66" s="87">
        <f t="shared" si="30"/>
        <v>2.83</v>
      </c>
      <c r="M66" s="87">
        <f t="shared" si="26"/>
        <v>0.37327399999999999</v>
      </c>
      <c r="N66" s="179">
        <f t="shared" si="27"/>
        <v>0.375813333551</v>
      </c>
      <c r="O66" s="91">
        <f t="shared" si="28"/>
        <v>44.953748032416271</v>
      </c>
      <c r="P66" s="87">
        <f t="shared" si="29"/>
        <v>1.3946049641148326</v>
      </c>
      <c r="Q66" s="87">
        <f t="shared" ref="Q66" si="31">C66*(L66/100)</f>
        <v>2.3658800000000001E-2</v>
      </c>
      <c r="R66" s="179">
        <f t="shared" si="7"/>
        <v>2.5143820150000003E-2</v>
      </c>
      <c r="S66" s="89">
        <f t="shared" si="8"/>
        <v>3.0076339892344501</v>
      </c>
      <c r="T66" s="86">
        <f t="shared" si="9"/>
        <v>14.946548746730514</v>
      </c>
    </row>
    <row r="67" spans="1:20" s="126" customFormat="1" ht="11.25" customHeight="1" x14ac:dyDescent="0.2">
      <c r="A67" s="119">
        <v>64</v>
      </c>
      <c r="B67" s="119" t="s">
        <v>98</v>
      </c>
      <c r="C67" s="120">
        <v>1.306</v>
      </c>
      <c r="D67" s="120">
        <v>0.29317809374999998</v>
      </c>
      <c r="E67" s="120">
        <v>3.2942840899412573</v>
      </c>
      <c r="F67" s="120">
        <v>0.80738662500000002</v>
      </c>
      <c r="G67" s="120">
        <v>-14.428031909760559</v>
      </c>
      <c r="H67" s="121">
        <f t="shared" si="10"/>
        <v>-19.033337617125753</v>
      </c>
      <c r="I67" s="122">
        <f t="shared" si="0"/>
        <v>0.96124577628824737</v>
      </c>
      <c r="J67" s="118">
        <f t="shared" si="1"/>
        <v>0.61821334226646252</v>
      </c>
      <c r="K67" s="118">
        <f>H$13</f>
        <v>3.3479999999999999</v>
      </c>
      <c r="L67" s="118"/>
      <c r="M67" s="118">
        <f t="shared" si="26"/>
        <v>4.3724879999999994E-2</v>
      </c>
      <c r="N67" s="181">
        <f t="shared" si="27"/>
        <v>4.4242364890125001E-2</v>
      </c>
      <c r="O67" s="124">
        <f t="shared" si="28"/>
        <v>3.3876236516175342</v>
      </c>
      <c r="P67" s="118">
        <f t="shared" si="29"/>
        <v>0.22448552354517609</v>
      </c>
      <c r="Q67" s="118"/>
      <c r="R67" s="181">
        <f t="shared" si="7"/>
        <v>4.7223673937499995E-3</v>
      </c>
      <c r="S67" s="125">
        <f t="shared" si="8"/>
        <v>0.3615901526607963</v>
      </c>
      <c r="T67" s="122">
        <f t="shared" si="9"/>
        <v>9.3686833745039149</v>
      </c>
    </row>
    <row r="68" spans="1:20" s="1" customFormat="1" ht="11.25" customHeight="1" x14ac:dyDescent="0.2">
      <c r="A68" s="95">
        <v>65</v>
      </c>
      <c r="B68" s="95" t="s">
        <v>374</v>
      </c>
      <c r="C68" s="96">
        <v>6.0289999999999999</v>
      </c>
      <c r="D68" s="96">
        <v>0.24113275000000001</v>
      </c>
      <c r="E68" s="96">
        <v>1.0907732915697022</v>
      </c>
      <c r="F68" s="96">
        <v>0.13733014062500001</v>
      </c>
      <c r="G68" s="96">
        <v>-25.168467187217072</v>
      </c>
      <c r="H68" s="101">
        <f t="shared" si="10"/>
        <v>-29.944545815493825</v>
      </c>
      <c r="I68" s="78">
        <f t="shared" si="0"/>
        <v>-1.2801654078152989</v>
      </c>
      <c r="J68" s="79">
        <f t="shared" si="1"/>
        <v>2.2778261838613371E-2</v>
      </c>
      <c r="K68" s="79"/>
      <c r="L68" s="79"/>
      <c r="M68" s="79">
        <f t="shared" si="2"/>
        <v>0</v>
      </c>
      <c r="N68" s="180">
        <f t="shared" si="3"/>
        <v>7.5252797158281252E-3</v>
      </c>
      <c r="O68" s="81">
        <f t="shared" si="4"/>
        <v>0.12481804139704968</v>
      </c>
      <c r="P68" s="79">
        <f t="shared" si="5"/>
        <v>3.9995480179134187E-2</v>
      </c>
      <c r="Q68" s="79"/>
      <c r="R68" s="180">
        <f t="shared" si="7"/>
        <v>3.5045063500000005E-3</v>
      </c>
      <c r="S68" s="82">
        <f t="shared" si="8"/>
        <v>5.8127489633438389E-2</v>
      </c>
      <c r="T68" s="78">
        <f t="shared" si="9"/>
        <v>2.1473151891501421</v>
      </c>
    </row>
    <row r="69" spans="1:20" s="1" customFormat="1" ht="11.25" customHeight="1" x14ac:dyDescent="0.2">
      <c r="A69" s="83">
        <v>66</v>
      </c>
      <c r="B69" s="83" t="s">
        <v>375</v>
      </c>
      <c r="C69" s="84">
        <v>6.0640000000000001</v>
      </c>
      <c r="D69" s="84">
        <v>0.23544646875</v>
      </c>
      <c r="E69" s="84">
        <v>-2.1699845328293499E-2</v>
      </c>
      <c r="F69" s="84">
        <v>0.121765703125</v>
      </c>
      <c r="G69" s="84">
        <v>-23.907138527225797</v>
      </c>
      <c r="H69" s="101">
        <f t="shared" si="10"/>
        <v>-28.663162029808689</v>
      </c>
      <c r="I69" s="78">
        <f t="shared" si="0"/>
        <v>-2.4117730826679402</v>
      </c>
      <c r="J69" s="79">
        <f t="shared" si="1"/>
        <v>2.0080096161774405E-2</v>
      </c>
      <c r="K69" s="79"/>
      <c r="L69" s="79"/>
      <c r="M69" s="79">
        <f t="shared" si="2"/>
        <v>0</v>
      </c>
      <c r="N69" s="180">
        <f t="shared" si="3"/>
        <v>6.6723952341406247E-3</v>
      </c>
      <c r="O69" s="81">
        <f t="shared" si="4"/>
        <v>0.1100329029376752</v>
      </c>
      <c r="P69" s="79">
        <f t="shared" si="5"/>
        <v>3.8826924266160946E-2</v>
      </c>
      <c r="Q69" s="79"/>
      <c r="R69" s="180">
        <f t="shared" si="7"/>
        <v>3.3714473687499998E-3</v>
      </c>
      <c r="S69" s="82">
        <f t="shared" si="8"/>
        <v>5.5597746846141161E-2</v>
      </c>
      <c r="T69" s="78">
        <f t="shared" si="9"/>
        <v>1.9790892469469237</v>
      </c>
    </row>
    <row r="70" spans="1:20" s="1" customFormat="1" ht="11.25" customHeight="1" x14ac:dyDescent="0.2">
      <c r="A70" s="95">
        <v>67</v>
      </c>
      <c r="B70" s="95" t="s">
        <v>376</v>
      </c>
      <c r="C70" s="96">
        <v>6.2279999999999998</v>
      </c>
      <c r="D70" s="96">
        <v>0.23709423437499999</v>
      </c>
      <c r="E70" s="96">
        <v>0.1644609770894423</v>
      </c>
      <c r="F70" s="96">
        <v>0.110293875</v>
      </c>
      <c r="G70" s="96">
        <v>-24.659196665083378</v>
      </c>
      <c r="H70" s="101">
        <f t="shared" si="10"/>
        <v>-29.427177892058204</v>
      </c>
      <c r="I70" s="78">
        <f t="shared" si="0"/>
        <v>-2.2224102941046193</v>
      </c>
      <c r="J70" s="79">
        <f t="shared" si="1"/>
        <v>1.7709356936416187E-2</v>
      </c>
      <c r="K70" s="79"/>
      <c r="L70" s="79"/>
      <c r="M70" s="79">
        <f t="shared" si="2"/>
        <v>0</v>
      </c>
      <c r="N70" s="180">
        <f t="shared" si="3"/>
        <v>6.0437734683749999E-3</v>
      </c>
      <c r="O70" s="81">
        <f t="shared" si="4"/>
        <v>9.7041963204479775E-2</v>
      </c>
      <c r="P70" s="79">
        <f t="shared" si="5"/>
        <v>3.8069080663937056E-2</v>
      </c>
      <c r="Q70" s="79"/>
      <c r="R70" s="180">
        <f t="shared" si="7"/>
        <v>3.4100050843749998E-3</v>
      </c>
      <c r="S70" s="82">
        <f t="shared" si="8"/>
        <v>5.4752811245584461E-2</v>
      </c>
      <c r="T70" s="78">
        <f t="shared" si="9"/>
        <v>1.7723649434038098</v>
      </c>
    </row>
    <row r="71" spans="1:20" s="1" customFormat="1" ht="11.25" customHeight="1" x14ac:dyDescent="0.2">
      <c r="A71" s="83">
        <v>68</v>
      </c>
      <c r="B71" s="83" t="s">
        <v>377</v>
      </c>
      <c r="C71" s="84">
        <v>6.1680000000000001</v>
      </c>
      <c r="D71" s="84">
        <v>0.238786671875</v>
      </c>
      <c r="E71" s="84">
        <v>4.3890238528521142</v>
      </c>
      <c r="F71" s="84">
        <v>0.13397565624999999</v>
      </c>
      <c r="G71" s="84">
        <v>-26.253478168930947</v>
      </c>
      <c r="H71" s="101">
        <f t="shared" si="10"/>
        <v>-31.046808471816952</v>
      </c>
      <c r="I71" s="78">
        <f t="shared" si="0"/>
        <v>2.074815063121171</v>
      </c>
      <c r="J71" s="79">
        <f t="shared" si="1"/>
        <v>2.1721085643644614E-2</v>
      </c>
      <c r="K71" s="79"/>
      <c r="L71" s="79"/>
      <c r="M71" s="79">
        <f t="shared" si="2"/>
        <v>0</v>
      </c>
      <c r="N71" s="180">
        <f t="shared" si="3"/>
        <v>7.3414640355312496E-3</v>
      </c>
      <c r="O71" s="81">
        <f t="shared" si="4"/>
        <v>0.1190250330014794</v>
      </c>
      <c r="P71" s="79">
        <f t="shared" si="5"/>
        <v>3.8713792457036315E-2</v>
      </c>
      <c r="Q71" s="79"/>
      <c r="R71" s="180">
        <f t="shared" si="7"/>
        <v>3.4496081218749995E-3</v>
      </c>
      <c r="S71" s="82">
        <f t="shared" si="8"/>
        <v>5.5927498733381965E-2</v>
      </c>
      <c r="T71" s="78">
        <f t="shared" si="9"/>
        <v>2.1282023279620734</v>
      </c>
    </row>
    <row r="72" spans="1:20" s="1" customFormat="1" ht="11.25" customHeight="1" x14ac:dyDescent="0.2">
      <c r="A72" s="95">
        <v>69</v>
      </c>
      <c r="B72" s="95" t="s">
        <v>378</v>
      </c>
      <c r="C72" s="96">
        <v>6.0510000000000002</v>
      </c>
      <c r="D72" s="96">
        <v>0.23750578124999999</v>
      </c>
      <c r="E72" s="96">
        <v>0.91297474718565752</v>
      </c>
      <c r="F72" s="96">
        <v>0.11442578125</v>
      </c>
      <c r="G72" s="96">
        <v>-26.042061722064808</v>
      </c>
      <c r="H72" s="101">
        <f t="shared" si="10"/>
        <v>-30.832030503445637</v>
      </c>
      <c r="I72" s="78">
        <f t="shared" si="0"/>
        <v>-1.4610220871627491</v>
      </c>
      <c r="J72" s="79">
        <f t="shared" si="1"/>
        <v>1.8910226615435465E-2</v>
      </c>
      <c r="K72" s="79"/>
      <c r="L72" s="79"/>
      <c r="M72" s="79">
        <f t="shared" si="2"/>
        <v>0</v>
      </c>
      <c r="N72" s="180">
        <f t="shared" si="3"/>
        <v>6.2701895351562498E-3</v>
      </c>
      <c r="O72" s="81">
        <f t="shared" si="4"/>
        <v>0.10362236878460171</v>
      </c>
      <c r="P72" s="79">
        <f t="shared" si="5"/>
        <v>3.9250666212196327E-2</v>
      </c>
      <c r="Q72" s="79"/>
      <c r="R72" s="180">
        <f t="shared" si="7"/>
        <v>3.4196352812499997E-3</v>
      </c>
      <c r="S72" s="82">
        <f t="shared" si="8"/>
        <v>5.6513556127086424E-2</v>
      </c>
      <c r="T72" s="78">
        <f t="shared" si="9"/>
        <v>1.8335842917330851</v>
      </c>
    </row>
    <row r="73" spans="1:20" s="1" customFormat="1" ht="11.25" customHeight="1" x14ac:dyDescent="0.2">
      <c r="A73" s="83">
        <v>70</v>
      </c>
      <c r="B73" s="83" t="s">
        <v>379</v>
      </c>
      <c r="C73" s="84">
        <v>6.0279999999999996</v>
      </c>
      <c r="D73" s="84">
        <v>0.23393917187499999</v>
      </c>
      <c r="E73" s="84">
        <v>1.2822189226708858</v>
      </c>
      <c r="F73" s="84">
        <v>9.93732265625E-2</v>
      </c>
      <c r="G73" s="84">
        <v>-25.135179884472851</v>
      </c>
      <c r="H73" s="101">
        <f t="shared" si="10"/>
        <v>-29.910729244635966</v>
      </c>
      <c r="I73" s="78">
        <f t="shared" si="0"/>
        <v>-1.0854269118591748</v>
      </c>
      <c r="J73" s="79">
        <f t="shared" si="1"/>
        <v>1.6485273152372262E-2</v>
      </c>
      <c r="K73" s="79"/>
      <c r="L73" s="79"/>
      <c r="M73" s="79">
        <f t="shared" si="2"/>
        <v>0</v>
      </c>
      <c r="N73" s="180">
        <f t="shared" si="3"/>
        <v>5.4453546959453121E-3</v>
      </c>
      <c r="O73" s="81">
        <f t="shared" si="4"/>
        <v>9.0334351293054296E-2</v>
      </c>
      <c r="P73" s="79">
        <f t="shared" si="5"/>
        <v>3.8808754458360982E-2</v>
      </c>
      <c r="Q73" s="79"/>
      <c r="R73" s="180">
        <f t="shared" si="7"/>
        <v>3.336176621875E-3</v>
      </c>
      <c r="S73" s="82">
        <f t="shared" si="8"/>
        <v>5.534466857788653E-2</v>
      </c>
      <c r="T73" s="78">
        <f t="shared" si="9"/>
        <v>1.632214152044777</v>
      </c>
    </row>
    <row r="74" spans="1:20" s="90" customFormat="1" ht="11.25" customHeight="1" x14ac:dyDescent="0.2">
      <c r="A74" s="95">
        <v>71</v>
      </c>
      <c r="B74" s="95" t="s">
        <v>380</v>
      </c>
      <c r="C74" s="96">
        <v>6.1870000000000003</v>
      </c>
      <c r="D74" s="96">
        <v>0.238723546875</v>
      </c>
      <c r="E74" s="96">
        <v>1.9022180182133308</v>
      </c>
      <c r="F74" s="96">
        <v>0.10600280468749999</v>
      </c>
      <c r="G74" s="96">
        <v>-26.599521729329478</v>
      </c>
      <c r="H74" s="101">
        <f t="shared" si="10"/>
        <v>-31.398354124825815</v>
      </c>
      <c r="I74" s="78">
        <f t="shared" si="0"/>
        <v>-0.45476383187339975</v>
      </c>
      <c r="J74" s="79">
        <f t="shared" si="1"/>
        <v>1.7133150911184742E-2</v>
      </c>
      <c r="K74" s="79"/>
      <c r="L74" s="79"/>
      <c r="M74" s="79">
        <f t="shared" si="2"/>
        <v>0</v>
      </c>
      <c r="N74" s="180">
        <f t="shared" si="3"/>
        <v>5.8086356884609371E-3</v>
      </c>
      <c r="O74" s="81">
        <f t="shared" si="4"/>
        <v>9.3884527048019029E-2</v>
      </c>
      <c r="P74" s="79">
        <f t="shared" si="5"/>
        <v>3.8584701288993051E-2</v>
      </c>
      <c r="Q74" s="79"/>
      <c r="R74" s="180">
        <f t="shared" si="7"/>
        <v>3.4481309968749999E-3</v>
      </c>
      <c r="S74" s="82">
        <f t="shared" si="8"/>
        <v>5.5731873232180366E-2</v>
      </c>
      <c r="T74" s="78">
        <f t="shared" si="9"/>
        <v>1.6845751201811168</v>
      </c>
    </row>
    <row r="75" spans="1:20" s="126" customFormat="1" ht="11.25" customHeight="1" x14ac:dyDescent="0.2">
      <c r="A75" s="119">
        <v>72</v>
      </c>
      <c r="B75" s="119" t="s">
        <v>109</v>
      </c>
      <c r="C75" s="120">
        <v>1.871</v>
      </c>
      <c r="D75" s="120">
        <v>0.32464009375000002</v>
      </c>
      <c r="E75" s="120">
        <v>4.6277173206128452</v>
      </c>
      <c r="F75" s="120">
        <v>1.175291375</v>
      </c>
      <c r="G75" s="120">
        <v>-14.443652516259156</v>
      </c>
      <c r="H75" s="121">
        <f t="shared" si="10"/>
        <v>-19.049206591267676</v>
      </c>
      <c r="I75" s="122">
        <f t="shared" si="0"/>
        <v>2.3176140585273868</v>
      </c>
      <c r="J75" s="118">
        <f t="shared" si="1"/>
        <v>0.62816214591127739</v>
      </c>
      <c r="K75" s="118">
        <f>H$13</f>
        <v>3.3479999999999999</v>
      </c>
      <c r="L75" s="118"/>
      <c r="M75" s="118">
        <f t="shared" si="2"/>
        <v>6.2641079999999988E-2</v>
      </c>
      <c r="N75" s="181">
        <f t="shared" si="3"/>
        <v>6.4402441475874997E-2</v>
      </c>
      <c r="O75" s="124">
        <f t="shared" si="4"/>
        <v>3.4421401109500267</v>
      </c>
      <c r="P75" s="118">
        <f t="shared" si="5"/>
        <v>0.17351154128808124</v>
      </c>
      <c r="Q75" s="118"/>
      <c r="R75" s="181">
        <f t="shared" si="7"/>
        <v>5.4585781937500008E-3</v>
      </c>
      <c r="S75" s="125">
        <f t="shared" si="8"/>
        <v>0.29174656300106899</v>
      </c>
      <c r="T75" s="122">
        <f t="shared" si="9"/>
        <v>11.798391300799709</v>
      </c>
    </row>
    <row r="76" spans="1:20" s="1" customFormat="1" ht="11.25" customHeight="1" x14ac:dyDescent="0.2">
      <c r="A76" s="95">
        <v>73</v>
      </c>
      <c r="B76" s="95" t="s">
        <v>64</v>
      </c>
      <c r="C76" s="96">
        <v>0.44800000000000001</v>
      </c>
      <c r="D76" s="96">
        <v>4.376277</v>
      </c>
      <c r="E76" s="96">
        <v>2.9308683497555332</v>
      </c>
      <c r="F76" s="96">
        <v>1.10400966796875E-2</v>
      </c>
      <c r="G76" s="96">
        <v>-20.4420295448583</v>
      </c>
      <c r="H76" s="101">
        <f>$B$26*G76+$D$26</f>
        <v>-25.142957814621546</v>
      </c>
      <c r="I76" s="78">
        <f>$B$27*E76+$D$27</f>
        <v>0.59157928537132864</v>
      </c>
      <c r="J76" s="79">
        <f>(F76)/C76</f>
        <v>2.4643072945731027E-2</v>
      </c>
      <c r="K76" s="79"/>
      <c r="L76" s="79"/>
      <c r="M76" s="79">
        <f t="shared" si="2"/>
        <v>0</v>
      </c>
      <c r="N76" s="180">
        <f t="shared" si="3"/>
        <v>6.0496417775683588E-4</v>
      </c>
      <c r="O76" s="81">
        <f t="shared" si="4"/>
        <v>0.13503664682072231</v>
      </c>
      <c r="P76" s="79">
        <f t="shared" si="5"/>
        <v>9.768475446428571</v>
      </c>
      <c r="Q76" s="79"/>
      <c r="R76" s="180">
        <f>D76*$B$29+$D$29</f>
        <v>0.1002668818</v>
      </c>
      <c r="S76" s="82">
        <f>R76/C76*100</f>
        <v>22.381000401785712</v>
      </c>
      <c r="T76" s="78">
        <f>N76/R76</f>
        <v>6.0335393591230231E-3</v>
      </c>
    </row>
    <row r="77" spans="1:20" s="1" customFormat="1" ht="11.25" customHeight="1" x14ac:dyDescent="0.2">
      <c r="A77" s="83">
        <v>74</v>
      </c>
      <c r="B77" s="83" t="s">
        <v>69</v>
      </c>
      <c r="C77" s="84">
        <v>0.39600000000000002</v>
      </c>
      <c r="D77" s="84">
        <v>3.8335622499999999</v>
      </c>
      <c r="E77" s="84">
        <v>21.638416261859028</v>
      </c>
      <c r="F77" s="84">
        <v>8.5760625000000004E-3</v>
      </c>
      <c r="G77" s="84">
        <v>-21.682417898935881</v>
      </c>
      <c r="H77" s="101">
        <f t="shared" si="10"/>
        <v>-26.403068343528965</v>
      </c>
      <c r="I77" s="78">
        <f t="shared" si="0"/>
        <v>19.620897021563003</v>
      </c>
      <c r="J77" s="79">
        <f t="shared" si="1"/>
        <v>2.1656723484848484E-2</v>
      </c>
      <c r="K77" s="79"/>
      <c r="L77" s="79"/>
      <c r="M77" s="79">
        <f t="shared" si="2"/>
        <v>0</v>
      </c>
      <c r="N77" s="180">
        <f t="shared" si="3"/>
        <v>4.6994249681249999E-4</v>
      </c>
      <c r="O77" s="81">
        <f t="shared" si="4"/>
        <v>0.11867234767992424</v>
      </c>
      <c r="P77" s="79">
        <f t="shared" si="5"/>
        <v>9.6807127525252525</v>
      </c>
      <c r="Q77" s="79"/>
      <c r="R77" s="180">
        <f t="shared" si="7"/>
        <v>8.7567356649999997E-2</v>
      </c>
      <c r="S77" s="82">
        <f t="shared" si="8"/>
        <v>22.112968851010098</v>
      </c>
      <c r="T77" s="78">
        <f t="shared" si="9"/>
        <v>5.3666402046463968E-3</v>
      </c>
    </row>
    <row r="78" spans="1:20" s="90" customFormat="1" ht="11.25" customHeight="1" x14ac:dyDescent="0.2">
      <c r="A78" s="117">
        <v>75</v>
      </c>
      <c r="B78" s="117" t="s">
        <v>84</v>
      </c>
      <c r="C78" s="105">
        <v>1.0740000000000001</v>
      </c>
      <c r="D78" s="105">
        <v>1.4776389999999999</v>
      </c>
      <c r="E78" s="105">
        <v>6.2990772143414198</v>
      </c>
      <c r="F78" s="105">
        <v>8.8112259999999996</v>
      </c>
      <c r="G78" s="105">
        <v>-21.521850592356252</v>
      </c>
      <c r="H78" s="100">
        <f t="shared" si="10"/>
        <v>-26.239948016774719</v>
      </c>
      <c r="I78" s="86">
        <f t="shared" si="0"/>
        <v>4.0177213424280929</v>
      </c>
      <c r="J78" s="87">
        <f t="shared" si="1"/>
        <v>8.2041210428305398</v>
      </c>
      <c r="K78" s="87">
        <f t="shared" ref="K78" si="32">H$14</f>
        <v>44.65</v>
      </c>
      <c r="L78" s="87">
        <f t="shared" ref="L78" si="33">I$14</f>
        <v>2.83</v>
      </c>
      <c r="M78" s="87">
        <f t="shared" ref="M78" si="34">C78*(K78/100)</f>
        <v>0.47954100000000005</v>
      </c>
      <c r="N78" s="179">
        <f t="shared" ref="N78" si="35">F78*$B$28+$D$28</f>
        <v>0.48282875112199997</v>
      </c>
      <c r="O78" s="91">
        <f t="shared" ref="O78" si="36">N78/C78*100</f>
        <v>44.956122078398501</v>
      </c>
      <c r="P78" s="87">
        <f t="shared" ref="P78" si="37">D78/C78</f>
        <v>1.3758277467411544</v>
      </c>
      <c r="Q78" s="87">
        <f t="shared" ref="Q78" si="38">C78*(L78/100)</f>
        <v>3.0394200000000003E-2</v>
      </c>
      <c r="R78" s="179">
        <f t="shared" si="7"/>
        <v>3.2438752599999995E-2</v>
      </c>
      <c r="S78" s="89">
        <f t="shared" si="8"/>
        <v>3.0203680260707628</v>
      </c>
      <c r="T78" s="86">
        <f t="shared" si="9"/>
        <v>14.88431929167338</v>
      </c>
    </row>
    <row r="79" spans="1:20" s="1" customFormat="1" ht="11.25" customHeight="1" x14ac:dyDescent="0.2">
      <c r="A79" s="83">
        <v>76</v>
      </c>
      <c r="B79" s="83" t="s">
        <v>62</v>
      </c>
      <c r="C79" s="84">
        <v>0.78100000000000003</v>
      </c>
      <c r="D79" s="84">
        <v>0.22769600000000001</v>
      </c>
      <c r="E79" s="84">
        <v>2.1443121914348495</v>
      </c>
      <c r="F79" s="84">
        <v>5.9196910000000003</v>
      </c>
      <c r="G79" s="84">
        <v>-20.015582960761549</v>
      </c>
      <c r="H79" s="101">
        <f t="shared" si="10"/>
        <v>-24.709730729837659</v>
      </c>
      <c r="I79" s="78">
        <f t="shared" si="0"/>
        <v>-0.20850563887247064</v>
      </c>
      <c r="J79" s="79">
        <f t="shared" si="1"/>
        <v>7.5796299615877079</v>
      </c>
      <c r="K79" s="79"/>
      <c r="L79" s="79"/>
      <c r="M79" s="79">
        <f t="shared" si="2"/>
        <v>0</v>
      </c>
      <c r="N79" s="180">
        <f t="shared" si="3"/>
        <v>0.32438130772700002</v>
      </c>
      <c r="O79" s="81">
        <f t="shared" si="4"/>
        <v>41.53409830051217</v>
      </c>
      <c r="P79" s="79">
        <f t="shared" si="5"/>
        <v>0.29154417413572342</v>
      </c>
      <c r="Q79" s="79"/>
      <c r="R79" s="180">
        <f t="shared" si="7"/>
        <v>3.1900864000000001E-3</v>
      </c>
      <c r="S79" s="82">
        <f t="shared" si="8"/>
        <v>0.40846176696542891</v>
      </c>
      <c r="T79" s="78">
        <f t="shared" si="9"/>
        <v>101.68417624268734</v>
      </c>
    </row>
    <row r="80" spans="1:20" s="1" customFormat="1" ht="11.25" customHeight="1" x14ac:dyDescent="0.2">
      <c r="A80" s="83">
        <v>77</v>
      </c>
      <c r="B80" s="83" t="s">
        <v>63</v>
      </c>
      <c r="C80" s="84">
        <v>1.111</v>
      </c>
      <c r="D80" s="84">
        <v>0.221085078125</v>
      </c>
      <c r="E80" s="84">
        <v>0.38633333768789413</v>
      </c>
      <c r="F80" s="84">
        <v>8.3224975000000008</v>
      </c>
      <c r="G80" s="84">
        <v>-6.2828432492898232</v>
      </c>
      <c r="H80" s="101">
        <f t="shared" si="10"/>
        <v>-10.758640456953531</v>
      </c>
      <c r="I80" s="78">
        <f t="shared" si="0"/>
        <v>-1.9967217289038741</v>
      </c>
      <c r="J80" s="79">
        <f t="shared" si="1"/>
        <v>7.4909968496849695</v>
      </c>
      <c r="K80" s="79"/>
      <c r="L80" s="79"/>
      <c r="M80" s="79">
        <f t="shared" si="2"/>
        <v>0</v>
      </c>
      <c r="N80" s="180">
        <f t="shared" si="3"/>
        <v>0.45604789550750002</v>
      </c>
      <c r="O80" s="81">
        <f t="shared" si="4"/>
        <v>41.048415437218729</v>
      </c>
      <c r="P80" s="79">
        <f t="shared" si="5"/>
        <v>0.19899646995949596</v>
      </c>
      <c r="Q80" s="79"/>
      <c r="R80" s="180">
        <f t="shared" si="7"/>
        <v>3.0353908281249998E-3</v>
      </c>
      <c r="S80" s="82">
        <f t="shared" si="8"/>
        <v>0.27321249578082807</v>
      </c>
      <c r="T80" s="78">
        <f t="shared" si="9"/>
        <v>150.24355061032017</v>
      </c>
    </row>
    <row r="81" spans="1:28" ht="11.25" customHeight="1" x14ac:dyDescent="0.2">
      <c r="A81" s="110">
        <v>78</v>
      </c>
      <c r="B81" s="110" t="s">
        <v>70</v>
      </c>
      <c r="C81" s="84">
        <v>1.222</v>
      </c>
      <c r="D81" s="84">
        <v>0.21995387499999999</v>
      </c>
      <c r="E81" s="84">
        <v>-1.2766355622995107</v>
      </c>
      <c r="F81" s="85">
        <v>4.2049320000000003</v>
      </c>
      <c r="G81" s="85">
        <v>-13.984143009249534</v>
      </c>
      <c r="H81" s="101">
        <f t="shared" si="10"/>
        <v>-18.5823908830966</v>
      </c>
      <c r="I81" s="78">
        <f t="shared" si="0"/>
        <v>-3.6882936939710627</v>
      </c>
      <c r="J81" s="79">
        <f t="shared" si="1"/>
        <v>3.4410245499181671</v>
      </c>
      <c r="K81" s="79"/>
      <c r="L81" s="79"/>
      <c r="M81" s="79">
        <f t="shared" si="2"/>
        <v>0</v>
      </c>
      <c r="N81" s="180">
        <f t="shared" si="3"/>
        <v>0.230417658804</v>
      </c>
      <c r="O81" s="81">
        <f t="shared" si="4"/>
        <v>18.85578222618658</v>
      </c>
      <c r="P81" s="79">
        <f t="shared" si="5"/>
        <v>0.17999498772504091</v>
      </c>
      <c r="Q81" s="79"/>
      <c r="R81" s="180">
        <f t="shared" si="7"/>
        <v>3.0089206749999995E-3</v>
      </c>
      <c r="S81" s="82">
        <f t="shared" si="8"/>
        <v>0.24622918780687394</v>
      </c>
      <c r="T81" s="78">
        <f t="shared" si="9"/>
        <v>76.578176592840904</v>
      </c>
      <c r="V81" s="1"/>
      <c r="W81" s="1"/>
      <c r="X81" s="1"/>
      <c r="Y81" s="1"/>
      <c r="Z81" s="1"/>
      <c r="AA81" s="1"/>
      <c r="AB81" s="1"/>
    </row>
    <row r="82" spans="1:28" ht="11.25" customHeight="1" x14ac:dyDescent="0.2">
      <c r="A82" s="114">
        <v>79</v>
      </c>
      <c r="B82" s="114" t="s">
        <v>86</v>
      </c>
      <c r="C82" s="108">
        <v>0</v>
      </c>
      <c r="D82" s="108">
        <v>0.222640078125</v>
      </c>
      <c r="E82" s="108">
        <v>0.31935506004643344</v>
      </c>
      <c r="H82" s="101">
        <f t="shared" si="10"/>
        <v>-4.3758999999999997</v>
      </c>
      <c r="I82" s="78">
        <f t="shared" si="0"/>
        <v>-2.0648520329207676</v>
      </c>
      <c r="J82" s="79" t="e">
        <f t="shared" si="1"/>
        <v>#DIV/0!</v>
      </c>
      <c r="K82" s="79"/>
      <c r="L82" s="79">
        <v>0</v>
      </c>
      <c r="M82" s="79">
        <f t="shared" si="2"/>
        <v>0</v>
      </c>
      <c r="N82" s="180">
        <f t="shared" si="3"/>
        <v>0</v>
      </c>
      <c r="O82" s="81" t="e">
        <f t="shared" si="4"/>
        <v>#DIV/0!</v>
      </c>
      <c r="P82" s="79" t="e">
        <f t="shared" si="5"/>
        <v>#DIV/0!</v>
      </c>
      <c r="Q82" s="79">
        <f t="shared" ref="Q82" si="39">C82*(L82/100)</f>
        <v>0</v>
      </c>
      <c r="R82" s="180">
        <f t="shared" si="7"/>
        <v>3.0717778281250004E-3</v>
      </c>
      <c r="S82" s="82" t="e">
        <f t="shared" si="8"/>
        <v>#DIV/0!</v>
      </c>
      <c r="T82" s="78">
        <f t="shared" si="9"/>
        <v>0</v>
      </c>
      <c r="V82" s="1"/>
      <c r="W82" s="1"/>
      <c r="X82" s="1"/>
      <c r="Y82" s="1"/>
      <c r="Z82" s="1"/>
      <c r="AA82" s="1"/>
      <c r="AB82" s="1"/>
    </row>
    <row r="83" spans="1:28" ht="11.25" customHeight="1" x14ac:dyDescent="0.2">
      <c r="A83" s="110"/>
      <c r="B83" s="110"/>
      <c r="C83" s="85"/>
      <c r="D83" s="85"/>
      <c r="E83" s="85"/>
      <c r="V83" s="1"/>
      <c r="W83" s="1"/>
      <c r="X83" s="1"/>
      <c r="Y83" s="1"/>
      <c r="Z83" s="1"/>
      <c r="AA83" s="1"/>
      <c r="AB83" s="1"/>
    </row>
    <row r="84" spans="1:28" ht="11.25" customHeight="1" x14ac:dyDescent="0.25">
      <c r="A84" s="1" t="s">
        <v>83</v>
      </c>
      <c r="H84" s="101">
        <f>STDEV(H89:H96)</f>
        <v>0.21462947749297942</v>
      </c>
      <c r="I84" s="101">
        <f>STDEV(I89:I96)</f>
        <v>0.73052070398557378</v>
      </c>
      <c r="J84" s="79"/>
      <c r="K84" s="1"/>
      <c r="L84" s="1"/>
      <c r="M84" s="79"/>
      <c r="N84" s="80"/>
      <c r="O84" s="101">
        <f>STDEV(O89:O96)</f>
        <v>0.34821294991614743</v>
      </c>
      <c r="P84" s="79"/>
      <c r="Q84" s="79"/>
      <c r="R84" s="80"/>
      <c r="S84" s="101">
        <f>STDEV(S89:S96)</f>
        <v>0.11333273780366282</v>
      </c>
      <c r="T84" s="101">
        <f>STDEV(T89:T96)</f>
        <v>0.58168756618010642</v>
      </c>
    </row>
    <row r="85" spans="1:28" ht="11.25" customHeight="1" x14ac:dyDescent="0.25">
      <c r="H85" s="102"/>
      <c r="I85" s="102"/>
      <c r="J85"/>
      <c r="K85" s="1"/>
      <c r="L85" s="1"/>
      <c r="O85" s="102"/>
      <c r="S85" s="102"/>
      <c r="T85" s="102"/>
      <c r="V85" s="1"/>
      <c r="W85" s="1"/>
      <c r="X85" s="1"/>
      <c r="Y85" s="1"/>
      <c r="Z85" s="1"/>
      <c r="AA85" s="1"/>
      <c r="AB85" s="1"/>
    </row>
    <row r="86" spans="1:28" s="90" customFormat="1" ht="11.25" customHeight="1" x14ac:dyDescent="0.2">
      <c r="A86" s="119">
        <v>53</v>
      </c>
      <c r="B86" s="119" t="s">
        <v>87</v>
      </c>
      <c r="C86" s="120">
        <v>2.3580000000000001</v>
      </c>
      <c r="D86" s="120">
        <v>0.23214296875000001</v>
      </c>
      <c r="E86" s="120">
        <v>8.0337253863589364</v>
      </c>
      <c r="F86" s="120">
        <v>1.3980213749999999</v>
      </c>
      <c r="G86" s="120">
        <v>-14.78543116596436</v>
      </c>
      <c r="H86" s="121">
        <f t="shared" ref="H86:H96" si="40">$B$26*G86+$D$26</f>
        <v>-19.396419521503191</v>
      </c>
      <c r="I86" s="122">
        <f t="shared" ref="I86:I96" si="41">$B$27*E86+$D$27</f>
        <v>5.7822054630043116</v>
      </c>
      <c r="J86" s="118">
        <f t="shared" ref="J86:J96" si="42">(F86)/C86</f>
        <v>0.59288438295165391</v>
      </c>
      <c r="K86" s="118">
        <f>H$13</f>
        <v>3.3479999999999999</v>
      </c>
      <c r="L86" s="118"/>
      <c r="M86" s="118">
        <f t="shared" ref="M86:M96" si="43">C86*(K86/100)</f>
        <v>7.8945839999999989E-2</v>
      </c>
      <c r="N86" s="181">
        <f t="shared" ref="N86:N96" si="44">F86*$B$28+$D$28</f>
        <v>7.6607377285874995E-2</v>
      </c>
      <c r="O86" s="124">
        <f t="shared" ref="O86:O96" si="45">N86/C86*100</f>
        <v>3.2488285532601782</v>
      </c>
      <c r="P86" s="118">
        <f t="shared" ref="P86:P96" si="46">D86/C86</f>
        <v>9.8449096162001704E-2</v>
      </c>
      <c r="Q86" s="118"/>
      <c r="R86" s="181">
        <f t="shared" ref="R86:R96" si="47">D86*$B$29+$D$29</f>
        <v>3.2941454687500007E-3</v>
      </c>
      <c r="S86" s="125">
        <f t="shared" ref="S86:S96" si="48">R86/C86*100</f>
        <v>0.13970082564673453</v>
      </c>
      <c r="T86" s="122">
        <f t="shared" ref="T86:T96" si="49">N86/R86</f>
        <v>23.255614547873776</v>
      </c>
      <c r="U86" s="126"/>
      <c r="V86" s="126"/>
      <c r="W86" s="126"/>
      <c r="X86" s="126"/>
      <c r="Y86" s="126"/>
      <c r="Z86" s="126"/>
      <c r="AA86" s="126"/>
      <c r="AB86" s="126"/>
    </row>
    <row r="87" spans="1:28" s="90" customFormat="1" ht="11.25" customHeight="1" x14ac:dyDescent="0.2">
      <c r="A87" s="119">
        <v>64</v>
      </c>
      <c r="B87" s="119" t="s">
        <v>98</v>
      </c>
      <c r="C87" s="120">
        <v>1.306</v>
      </c>
      <c r="D87" s="120">
        <v>0.29317809374999998</v>
      </c>
      <c r="E87" s="120">
        <v>3.2942840899412573</v>
      </c>
      <c r="F87" s="120">
        <v>0.80738662500000002</v>
      </c>
      <c r="G87" s="120">
        <v>-14.428031909760559</v>
      </c>
      <c r="H87" s="121">
        <f t="shared" si="40"/>
        <v>-19.033337617125753</v>
      </c>
      <c r="I87" s="122">
        <f t="shared" si="41"/>
        <v>0.96124577628824737</v>
      </c>
      <c r="J87" s="118">
        <f t="shared" si="42"/>
        <v>0.61821334226646252</v>
      </c>
      <c r="K87" s="118">
        <f>H$13</f>
        <v>3.3479999999999999</v>
      </c>
      <c r="L87" s="118"/>
      <c r="M87" s="118">
        <f t="shared" si="43"/>
        <v>4.3724879999999994E-2</v>
      </c>
      <c r="N87" s="181">
        <f t="shared" si="44"/>
        <v>4.4242364890125001E-2</v>
      </c>
      <c r="O87" s="124">
        <f t="shared" si="45"/>
        <v>3.3876236516175342</v>
      </c>
      <c r="P87" s="118">
        <f t="shared" si="46"/>
        <v>0.22448552354517609</v>
      </c>
      <c r="Q87" s="118"/>
      <c r="R87" s="181">
        <f t="shared" si="47"/>
        <v>4.7223673937499995E-3</v>
      </c>
      <c r="S87" s="125">
        <f t="shared" si="48"/>
        <v>0.3615901526607963</v>
      </c>
      <c r="T87" s="122">
        <f t="shared" si="49"/>
        <v>9.3686833745039149</v>
      </c>
      <c r="U87" s="126"/>
      <c r="V87" s="126"/>
      <c r="W87" s="126"/>
      <c r="X87" s="126"/>
      <c r="Y87" s="126"/>
      <c r="Z87" s="126"/>
      <c r="AA87" s="126"/>
      <c r="AB87" s="126"/>
    </row>
    <row r="88" spans="1:28" s="90" customFormat="1" ht="11.25" customHeight="1" x14ac:dyDescent="0.2">
      <c r="A88" s="119">
        <v>72</v>
      </c>
      <c r="B88" s="119" t="s">
        <v>109</v>
      </c>
      <c r="C88" s="120">
        <v>1.871</v>
      </c>
      <c r="D88" s="120">
        <v>0.32464009375000002</v>
      </c>
      <c r="E88" s="120">
        <v>4.6277173206128452</v>
      </c>
      <c r="F88" s="120">
        <v>1.175291375</v>
      </c>
      <c r="G88" s="120">
        <v>-14.443652516259156</v>
      </c>
      <c r="H88" s="121">
        <f t="shared" si="40"/>
        <v>-19.049206591267676</v>
      </c>
      <c r="I88" s="122">
        <f t="shared" si="41"/>
        <v>2.3176140585273868</v>
      </c>
      <c r="J88" s="118">
        <f t="shared" si="42"/>
        <v>0.62816214591127739</v>
      </c>
      <c r="K88" s="118">
        <f>H$13</f>
        <v>3.3479999999999999</v>
      </c>
      <c r="L88" s="118"/>
      <c r="M88" s="118">
        <f t="shared" si="43"/>
        <v>6.2641079999999988E-2</v>
      </c>
      <c r="N88" s="181">
        <f t="shared" si="44"/>
        <v>6.4402441475874997E-2</v>
      </c>
      <c r="O88" s="124">
        <f t="shared" si="45"/>
        <v>3.4421401109500267</v>
      </c>
      <c r="P88" s="118">
        <f t="shared" si="46"/>
        <v>0.17351154128808124</v>
      </c>
      <c r="Q88" s="118"/>
      <c r="R88" s="181">
        <f t="shared" si="47"/>
        <v>5.4585781937500008E-3</v>
      </c>
      <c r="S88" s="125">
        <f t="shared" si="48"/>
        <v>0.29174656300106899</v>
      </c>
      <c r="T88" s="122">
        <f t="shared" si="49"/>
        <v>11.798391300799709</v>
      </c>
      <c r="U88" s="126"/>
      <c r="V88" s="126"/>
      <c r="W88" s="126"/>
      <c r="X88" s="126"/>
      <c r="Y88" s="126"/>
      <c r="Z88" s="126"/>
      <c r="AA88" s="126"/>
      <c r="AB88" s="126"/>
    </row>
    <row r="89" spans="1:28" s="90" customFormat="1" ht="11.25" customHeight="1" x14ac:dyDescent="0.2">
      <c r="A89" s="117">
        <v>30</v>
      </c>
      <c r="B89" s="117" t="s">
        <v>55</v>
      </c>
      <c r="C89" s="105">
        <v>1.0169999999999999</v>
      </c>
      <c r="D89" s="105">
        <v>1.2885508750000001</v>
      </c>
      <c r="E89" s="105">
        <v>5.524889070305683</v>
      </c>
      <c r="F89" s="105">
        <v>8.2514800000000008</v>
      </c>
      <c r="G89" s="105">
        <v>-21.930543871495033</v>
      </c>
      <c r="H89" s="100">
        <f t="shared" si="40"/>
        <v>-26.655139519051801</v>
      </c>
      <c r="I89" s="86">
        <f t="shared" si="41"/>
        <v>3.2302171623149412</v>
      </c>
      <c r="J89" s="87">
        <f t="shared" si="42"/>
        <v>8.1135496558505427</v>
      </c>
      <c r="K89" s="87">
        <f t="shared" ref="K89:L96" si="50">H$14</f>
        <v>44.65</v>
      </c>
      <c r="L89" s="87">
        <f t="shared" si="50"/>
        <v>2.83</v>
      </c>
      <c r="M89" s="87">
        <f t="shared" si="43"/>
        <v>0.45409049999999995</v>
      </c>
      <c r="N89" s="179">
        <f t="shared" si="44"/>
        <v>0.45215634956000006</v>
      </c>
      <c r="O89" s="91">
        <f t="shared" si="45"/>
        <v>44.45981804916422</v>
      </c>
      <c r="P89" s="87">
        <f t="shared" si="46"/>
        <v>1.2670116764995085</v>
      </c>
      <c r="Q89" s="87">
        <f t="shared" ref="Q89:Q96" si="51">C89*(L89/100)</f>
        <v>2.87811E-2</v>
      </c>
      <c r="R89" s="179">
        <f t="shared" si="47"/>
        <v>2.8014090475000003E-2</v>
      </c>
      <c r="S89" s="89">
        <f t="shared" si="48"/>
        <v>2.7545811676499512</v>
      </c>
      <c r="T89" s="86">
        <f t="shared" si="49"/>
        <v>16.140318742937879</v>
      </c>
    </row>
    <row r="90" spans="1:28" s="90" customFormat="1" ht="11.25" customHeight="1" x14ac:dyDescent="0.2">
      <c r="A90" s="117">
        <v>31</v>
      </c>
      <c r="B90" s="117" t="s">
        <v>56</v>
      </c>
      <c r="C90" s="105">
        <v>0.97199999999999998</v>
      </c>
      <c r="D90" s="105">
        <v>1.2335471250000001</v>
      </c>
      <c r="E90" s="105">
        <v>5.1257359753502652</v>
      </c>
      <c r="F90" s="105">
        <v>7.9860470000000001</v>
      </c>
      <c r="G90" s="105">
        <v>-21.902085303086047</v>
      </c>
      <c r="H90" s="100">
        <f t="shared" si="40"/>
        <v>-26.626228459405112</v>
      </c>
      <c r="I90" s="86">
        <f t="shared" si="41"/>
        <v>2.8241986341262906</v>
      </c>
      <c r="J90" s="87">
        <f t="shared" si="42"/>
        <v>8.2160977366255139</v>
      </c>
      <c r="K90" s="87">
        <f t="shared" si="50"/>
        <v>44.65</v>
      </c>
      <c r="L90" s="87">
        <f t="shared" si="50"/>
        <v>2.83</v>
      </c>
      <c r="M90" s="87">
        <f t="shared" si="43"/>
        <v>0.43399799999999999</v>
      </c>
      <c r="N90" s="179">
        <f t="shared" si="44"/>
        <v>0.43761141745900001</v>
      </c>
      <c r="O90" s="91">
        <f t="shared" si="45"/>
        <v>45.021750767386834</v>
      </c>
      <c r="P90" s="87">
        <f t="shared" si="46"/>
        <v>1.2690814043209877</v>
      </c>
      <c r="Q90" s="87">
        <f t="shared" si="51"/>
        <v>2.75076E-2</v>
      </c>
      <c r="R90" s="179">
        <f t="shared" si="47"/>
        <v>2.6727002725000001E-2</v>
      </c>
      <c r="S90" s="89">
        <f t="shared" si="48"/>
        <v>2.749691638374486</v>
      </c>
      <c r="T90" s="86">
        <f t="shared" si="49"/>
        <v>16.373381705448978</v>
      </c>
    </row>
    <row r="91" spans="1:28" s="90" customFormat="1" ht="11.25" customHeight="1" x14ac:dyDescent="0.2">
      <c r="A91" s="117">
        <v>32</v>
      </c>
      <c r="B91" s="117" t="s">
        <v>57</v>
      </c>
      <c r="C91" s="105">
        <v>1.4810000000000001</v>
      </c>
      <c r="D91" s="105">
        <v>1.8662235</v>
      </c>
      <c r="E91" s="105">
        <v>4.8921318402372904</v>
      </c>
      <c r="F91" s="105">
        <v>11.942238</v>
      </c>
      <c r="G91" s="105">
        <v>-21.95828808237103</v>
      </c>
      <c r="H91" s="100">
        <f t="shared" si="40"/>
        <v>-26.683324862880731</v>
      </c>
      <c r="I91" s="86">
        <f t="shared" si="41"/>
        <v>2.5865765078893728</v>
      </c>
      <c r="J91" s="87">
        <f t="shared" si="42"/>
        <v>8.063631330182309</v>
      </c>
      <c r="K91" s="87">
        <f t="shared" si="50"/>
        <v>44.65</v>
      </c>
      <c r="L91" s="87">
        <f t="shared" si="50"/>
        <v>2.83</v>
      </c>
      <c r="M91" s="87">
        <f t="shared" si="43"/>
        <v>0.66126650000000009</v>
      </c>
      <c r="N91" s="179">
        <f t="shared" si="44"/>
        <v>0.654398815686</v>
      </c>
      <c r="O91" s="91">
        <f t="shared" si="45"/>
        <v>44.186280599999996</v>
      </c>
      <c r="P91" s="87">
        <f t="shared" si="46"/>
        <v>1.2601103983794733</v>
      </c>
      <c r="Q91" s="87">
        <f t="shared" si="51"/>
        <v>4.1912300000000006E-2</v>
      </c>
      <c r="R91" s="179">
        <f t="shared" si="47"/>
        <v>4.1531629899999999E-2</v>
      </c>
      <c r="S91" s="89">
        <f t="shared" si="48"/>
        <v>2.8042964145847398</v>
      </c>
      <c r="T91" s="86">
        <f t="shared" si="49"/>
        <v>15.756636983948468</v>
      </c>
    </row>
    <row r="92" spans="1:28" s="126" customFormat="1" ht="11.25" customHeight="1" x14ac:dyDescent="0.2">
      <c r="A92" s="117">
        <v>33</v>
      </c>
      <c r="B92" s="117" t="s">
        <v>58</v>
      </c>
      <c r="C92" s="105">
        <v>1.056</v>
      </c>
      <c r="D92" s="105">
        <v>1.35270175</v>
      </c>
      <c r="E92" s="105">
        <v>4.6514729748623473</v>
      </c>
      <c r="F92" s="105">
        <v>8.6159809999999997</v>
      </c>
      <c r="G92" s="105">
        <v>-21.804702199342287</v>
      </c>
      <c r="H92" s="100">
        <f t="shared" si="40"/>
        <v>-26.52729696431183</v>
      </c>
      <c r="I92" s="86">
        <f t="shared" si="41"/>
        <v>2.3417783100299805</v>
      </c>
      <c r="J92" s="87">
        <f t="shared" si="42"/>
        <v>8.1590729166666662</v>
      </c>
      <c r="K92" s="87">
        <f t="shared" si="50"/>
        <v>44.65</v>
      </c>
      <c r="L92" s="87">
        <f t="shared" si="50"/>
        <v>2.83</v>
      </c>
      <c r="M92" s="87">
        <f t="shared" si="43"/>
        <v>0.47150400000000003</v>
      </c>
      <c r="N92" s="179">
        <f t="shared" si="44"/>
        <v>0.47212991085699996</v>
      </c>
      <c r="O92" s="91">
        <f t="shared" si="45"/>
        <v>44.709271861458326</v>
      </c>
      <c r="P92" s="87">
        <f t="shared" si="46"/>
        <v>1.2809675662878788</v>
      </c>
      <c r="Q92" s="87">
        <f t="shared" si="51"/>
        <v>2.9884800000000003E-2</v>
      </c>
      <c r="R92" s="179">
        <f t="shared" si="47"/>
        <v>2.9515220950000004E-2</v>
      </c>
      <c r="S92" s="89">
        <f t="shared" si="48"/>
        <v>2.7950019839015154</v>
      </c>
      <c r="T92" s="86">
        <f t="shared" si="49"/>
        <v>15.99615031365706</v>
      </c>
      <c r="U92" s="90"/>
      <c r="V92" s="90"/>
      <c r="W92" s="90"/>
      <c r="X92" s="90"/>
      <c r="Y92" s="90"/>
      <c r="Z92" s="90"/>
      <c r="AA92" s="90"/>
      <c r="AB92" s="90"/>
    </row>
    <row r="93" spans="1:28" s="90" customFormat="1" ht="11.25" customHeight="1" x14ac:dyDescent="0.2">
      <c r="A93" s="117">
        <v>37</v>
      </c>
      <c r="B93" s="117" t="s">
        <v>59</v>
      </c>
      <c r="C93" s="105">
        <v>0.85899999999999999</v>
      </c>
      <c r="D93" s="105">
        <v>1.1144268749999999</v>
      </c>
      <c r="E93" s="105">
        <v>5.6317881833733985</v>
      </c>
      <c r="F93" s="105">
        <v>7.0876039999999998</v>
      </c>
      <c r="G93" s="105">
        <v>-21.667042461020245</v>
      </c>
      <c r="H93" s="100">
        <f t="shared" si="40"/>
        <v>-26.387448436150464</v>
      </c>
      <c r="I93" s="86">
        <f t="shared" si="41"/>
        <v>3.3389549401274219</v>
      </c>
      <c r="J93" s="87">
        <f t="shared" si="42"/>
        <v>8.25099417927823</v>
      </c>
      <c r="K93" s="87">
        <f t="shared" si="50"/>
        <v>44.65</v>
      </c>
      <c r="L93" s="87">
        <f t="shared" si="50"/>
        <v>2.83</v>
      </c>
      <c r="M93" s="87">
        <f t="shared" si="43"/>
        <v>0.38354349999999998</v>
      </c>
      <c r="N93" s="179">
        <f t="shared" si="44"/>
        <v>0.38837943638799999</v>
      </c>
      <c r="O93" s="91">
        <f t="shared" si="45"/>
        <v>45.212972804190919</v>
      </c>
      <c r="P93" s="87">
        <f t="shared" si="46"/>
        <v>1.2973537543655413</v>
      </c>
      <c r="Q93" s="87">
        <f t="shared" si="51"/>
        <v>2.43097E-2</v>
      </c>
      <c r="R93" s="179">
        <f t="shared" si="47"/>
        <v>2.3939588874999997E-2</v>
      </c>
      <c r="S93" s="89">
        <f t="shared" si="48"/>
        <v>2.7869137223515712</v>
      </c>
      <c r="T93" s="86">
        <f t="shared" si="49"/>
        <v>16.22331270665984</v>
      </c>
    </row>
    <row r="94" spans="1:28" s="126" customFormat="1" ht="11.25" customHeight="1" x14ac:dyDescent="0.2">
      <c r="A94" s="117">
        <v>52</v>
      </c>
      <c r="B94" s="117" t="s">
        <v>82</v>
      </c>
      <c r="C94" s="105">
        <v>1.0860000000000001</v>
      </c>
      <c r="D94" s="105">
        <v>1.367821</v>
      </c>
      <c r="E94" s="105">
        <v>6.7572257527463986</v>
      </c>
      <c r="F94" s="105">
        <v>8.8152849999999994</v>
      </c>
      <c r="G94" s="105">
        <v>-21.524143501368556</v>
      </c>
      <c r="H94" s="100">
        <f t="shared" si="40"/>
        <v>-26.242277383040317</v>
      </c>
      <c r="I94" s="86">
        <f t="shared" si="41"/>
        <v>4.4837500356936371</v>
      </c>
      <c r="J94" s="87">
        <f t="shared" si="42"/>
        <v>8.1172053406998153</v>
      </c>
      <c r="K94" s="87">
        <f t="shared" si="50"/>
        <v>44.65</v>
      </c>
      <c r="L94" s="87">
        <f t="shared" si="50"/>
        <v>2.83</v>
      </c>
      <c r="M94" s="87">
        <f t="shared" si="43"/>
        <v>0.48489900000000002</v>
      </c>
      <c r="N94" s="179">
        <f t="shared" si="44"/>
        <v>0.48305117214499993</v>
      </c>
      <c r="O94" s="91">
        <f t="shared" si="45"/>
        <v>44.479850105432774</v>
      </c>
      <c r="P94" s="87">
        <f t="shared" si="46"/>
        <v>1.2595036832412523</v>
      </c>
      <c r="Q94" s="87">
        <f t="shared" si="51"/>
        <v>3.0733800000000006E-2</v>
      </c>
      <c r="R94" s="179">
        <f t="shared" si="47"/>
        <v>2.9869011399999999E-2</v>
      </c>
      <c r="S94" s="89">
        <f t="shared" si="48"/>
        <v>2.7503693738489869</v>
      </c>
      <c r="T94" s="86">
        <f t="shared" si="49"/>
        <v>16.172318717753075</v>
      </c>
      <c r="U94" s="90"/>
      <c r="V94" s="90"/>
      <c r="W94" s="90"/>
      <c r="X94" s="90"/>
      <c r="Y94" s="90"/>
      <c r="Z94" s="90"/>
      <c r="AA94" s="90"/>
      <c r="AB94" s="90"/>
    </row>
    <row r="95" spans="1:28" s="126" customFormat="1" ht="11.25" customHeight="1" x14ac:dyDescent="0.2">
      <c r="A95" s="117">
        <v>63</v>
      </c>
      <c r="B95" s="117" t="s">
        <v>61</v>
      </c>
      <c r="C95" s="105">
        <v>0.83599999999999997</v>
      </c>
      <c r="D95" s="105">
        <v>1.1658897500000001</v>
      </c>
      <c r="E95" s="105">
        <v>5.9882549741476776</v>
      </c>
      <c r="F95" s="105">
        <v>6.8582830000000001</v>
      </c>
      <c r="G95" s="105">
        <v>-21.418816897687584</v>
      </c>
      <c r="H95" s="100">
        <f t="shared" si="40"/>
        <v>-26.135276086360818</v>
      </c>
      <c r="I95" s="86">
        <f t="shared" si="41"/>
        <v>3.7015529597030183</v>
      </c>
      <c r="J95" s="87">
        <f t="shared" si="42"/>
        <v>8.2036877990430632</v>
      </c>
      <c r="K95" s="87">
        <f t="shared" si="50"/>
        <v>44.65</v>
      </c>
      <c r="L95" s="87">
        <f t="shared" si="50"/>
        <v>2.83</v>
      </c>
      <c r="M95" s="87">
        <f t="shared" si="43"/>
        <v>0.37327399999999999</v>
      </c>
      <c r="N95" s="179">
        <f t="shared" si="44"/>
        <v>0.375813333551</v>
      </c>
      <c r="O95" s="91">
        <f t="shared" si="45"/>
        <v>44.953748032416271</v>
      </c>
      <c r="P95" s="87">
        <f t="shared" si="46"/>
        <v>1.3946049641148326</v>
      </c>
      <c r="Q95" s="87">
        <f t="shared" si="51"/>
        <v>2.3658800000000001E-2</v>
      </c>
      <c r="R95" s="179">
        <f t="shared" si="47"/>
        <v>2.5143820150000003E-2</v>
      </c>
      <c r="S95" s="89">
        <f t="shared" si="48"/>
        <v>3.0076339892344501</v>
      </c>
      <c r="T95" s="86">
        <f t="shared" si="49"/>
        <v>14.946548746730514</v>
      </c>
      <c r="U95" s="90"/>
      <c r="V95" s="90"/>
      <c r="W95" s="90"/>
      <c r="X95" s="90"/>
      <c r="Y95" s="90"/>
      <c r="Z95" s="90"/>
      <c r="AA95" s="90"/>
      <c r="AB95" s="90"/>
    </row>
    <row r="96" spans="1:28" s="90" customFormat="1" ht="11.25" customHeight="1" x14ac:dyDescent="0.2">
      <c r="A96" s="117">
        <v>75</v>
      </c>
      <c r="B96" s="117" t="s">
        <v>84</v>
      </c>
      <c r="C96" s="105">
        <v>1.0740000000000001</v>
      </c>
      <c r="D96" s="105">
        <v>1.4776389999999999</v>
      </c>
      <c r="E96" s="105">
        <v>6.2990772143414198</v>
      </c>
      <c r="F96" s="105">
        <v>8.8112259999999996</v>
      </c>
      <c r="G96" s="105">
        <v>-21.521850592356252</v>
      </c>
      <c r="H96" s="100">
        <f t="shared" si="40"/>
        <v>-26.239948016774719</v>
      </c>
      <c r="I96" s="86">
        <f t="shared" si="41"/>
        <v>4.0177213424280929</v>
      </c>
      <c r="J96" s="87">
        <f t="shared" si="42"/>
        <v>8.2041210428305398</v>
      </c>
      <c r="K96" s="87">
        <f t="shared" si="50"/>
        <v>44.65</v>
      </c>
      <c r="L96" s="87">
        <f t="shared" si="50"/>
        <v>2.83</v>
      </c>
      <c r="M96" s="87">
        <f t="shared" si="43"/>
        <v>0.47954100000000005</v>
      </c>
      <c r="N96" s="179">
        <f t="shared" si="44"/>
        <v>0.48282875112199997</v>
      </c>
      <c r="O96" s="91">
        <f t="shared" si="45"/>
        <v>44.956122078398501</v>
      </c>
      <c r="P96" s="87">
        <f t="shared" si="46"/>
        <v>1.3758277467411544</v>
      </c>
      <c r="Q96" s="87">
        <f t="shared" si="51"/>
        <v>3.0394200000000003E-2</v>
      </c>
      <c r="R96" s="179">
        <f t="shared" si="47"/>
        <v>3.2438752599999995E-2</v>
      </c>
      <c r="S96" s="89">
        <f t="shared" si="48"/>
        <v>3.0203680260707628</v>
      </c>
      <c r="T96" s="86">
        <f t="shared" si="49"/>
        <v>14.88431929167338</v>
      </c>
    </row>
    <row r="97" spans="1:28" s="126" customFormat="1" ht="11.25" customHeight="1" x14ac:dyDescent="0.2">
      <c r="A97" s="197"/>
      <c r="B97" s="197"/>
      <c r="C97" s="120"/>
      <c r="D97" s="120"/>
      <c r="E97" s="120"/>
      <c r="F97" s="198"/>
      <c r="G97" s="198"/>
      <c r="H97" s="121"/>
      <c r="I97" s="122"/>
      <c r="J97" s="118"/>
      <c r="K97" s="118"/>
      <c r="L97" s="118"/>
      <c r="M97" s="118"/>
      <c r="N97" s="181"/>
      <c r="O97" s="124"/>
      <c r="P97" s="118"/>
      <c r="Q97" s="118"/>
      <c r="R97" s="181"/>
      <c r="S97" s="125"/>
      <c r="T97" s="122"/>
    </row>
    <row r="98" spans="1:28" ht="11.25" customHeight="1" x14ac:dyDescent="0.2">
      <c r="A98" s="92" t="s">
        <v>71</v>
      </c>
      <c r="B98" s="93" t="s">
        <v>40</v>
      </c>
      <c r="C98" s="92" t="s">
        <v>54</v>
      </c>
      <c r="D98" s="92" t="s">
        <v>72</v>
      </c>
      <c r="E98" s="94" t="s">
        <v>79</v>
      </c>
      <c r="F98" s="92" t="s">
        <v>72</v>
      </c>
      <c r="G98" s="94" t="s">
        <v>73</v>
      </c>
      <c r="J98" s="1"/>
      <c r="K98" s="1"/>
      <c r="L98" s="1"/>
      <c r="V98" s="1"/>
      <c r="W98" s="1"/>
      <c r="X98" s="1"/>
      <c r="Y98" s="1"/>
      <c r="Z98" s="1"/>
      <c r="AA98" s="1"/>
      <c r="AB98" s="1"/>
    </row>
    <row r="99" spans="1:28" ht="11.25" customHeight="1" x14ac:dyDescent="0.2">
      <c r="A99" s="97" t="s">
        <v>74</v>
      </c>
      <c r="B99" s="97" t="s">
        <v>75</v>
      </c>
      <c r="C99" s="98" t="s">
        <v>77</v>
      </c>
      <c r="D99" s="98" t="s">
        <v>76</v>
      </c>
      <c r="E99" s="98" t="s">
        <v>78</v>
      </c>
      <c r="F99" s="98" t="s">
        <v>76</v>
      </c>
      <c r="G99" s="98" t="s">
        <v>78</v>
      </c>
      <c r="J99" s="1"/>
      <c r="K99" s="1"/>
      <c r="L99" s="1"/>
      <c r="V99" s="1"/>
      <c r="W99" s="1"/>
      <c r="X99" s="1"/>
      <c r="Y99" s="1"/>
      <c r="Z99" s="1"/>
      <c r="AA99" s="1"/>
      <c r="AB99" s="1"/>
    </row>
    <row r="100" spans="1:28" ht="11.25" customHeight="1" x14ac:dyDescent="0.2">
      <c r="A100" s="95">
        <v>33</v>
      </c>
      <c r="B100" s="95" t="s">
        <v>85</v>
      </c>
      <c r="C100" s="96">
        <v>1.5680000000000001</v>
      </c>
      <c r="D100" s="96">
        <v>0.57160343749999998</v>
      </c>
      <c r="E100" s="96">
        <v>2.8799411243840556</v>
      </c>
      <c r="F100" s="96">
        <v>1.5817239999999999</v>
      </c>
      <c r="G100" s="96">
        <v>-21.848580214636076</v>
      </c>
      <c r="J100" s="1"/>
      <c r="K100" s="1"/>
      <c r="L100" s="1"/>
      <c r="V100" s="1"/>
      <c r="W100" s="1"/>
      <c r="X100" s="1"/>
      <c r="Y100" s="1"/>
      <c r="Z100" s="1"/>
      <c r="AA100" s="1"/>
      <c r="AB100" s="1"/>
    </row>
    <row r="101" spans="1:28" ht="11.25" customHeight="1" x14ac:dyDescent="0.2">
      <c r="A101" s="114"/>
      <c r="B101" s="114"/>
      <c r="C101" s="108"/>
      <c r="D101" s="108"/>
      <c r="E101" s="108"/>
      <c r="F101" s="108"/>
      <c r="J101" s="1"/>
      <c r="K101" s="1"/>
      <c r="L101" s="1"/>
      <c r="V101" s="1"/>
      <c r="W101" s="1"/>
      <c r="X101" s="1"/>
      <c r="Y101" s="1"/>
      <c r="Z101" s="1"/>
      <c r="AA101" s="1"/>
      <c r="AB101" s="1"/>
    </row>
    <row r="102" spans="1:28" ht="11.25" customHeight="1" x14ac:dyDescent="0.2">
      <c r="J102" s="1"/>
      <c r="K102" s="1"/>
      <c r="L102" s="1"/>
      <c r="V102" s="1"/>
      <c r="W102" s="1"/>
      <c r="X102" s="1"/>
      <c r="Y102" s="1"/>
      <c r="Z102" s="1"/>
      <c r="AA102" s="1"/>
      <c r="AB102" s="1"/>
    </row>
    <row r="103" spans="1:28" ht="11.25" customHeight="1" x14ac:dyDescent="0.25">
      <c r="J103" s="1"/>
      <c r="K103" s="1"/>
      <c r="L103" s="1"/>
      <c r="P103"/>
      <c r="Q103"/>
      <c r="R103"/>
      <c r="S103"/>
      <c r="T103"/>
      <c r="U103"/>
      <c r="W103" s="1"/>
      <c r="X103" s="1"/>
      <c r="Y103" s="1"/>
      <c r="Z103" s="1"/>
      <c r="AA103" s="1"/>
      <c r="AB103" s="1"/>
    </row>
    <row r="104" spans="1:28" ht="11.25" customHeight="1" x14ac:dyDescent="0.2">
      <c r="A104" s="92" t="s">
        <v>71</v>
      </c>
      <c r="B104" s="93" t="s">
        <v>40</v>
      </c>
      <c r="C104" s="92" t="s">
        <v>54</v>
      </c>
      <c r="D104" s="92" t="s">
        <v>72</v>
      </c>
      <c r="E104" s="94" t="s">
        <v>79</v>
      </c>
      <c r="F104" s="92" t="s">
        <v>72</v>
      </c>
      <c r="G104" s="94" t="s">
        <v>73</v>
      </c>
      <c r="H104" s="5"/>
      <c r="J104" s="1"/>
      <c r="K104" s="1"/>
      <c r="L104" s="1"/>
      <c r="V104" s="1"/>
      <c r="W104" s="1"/>
      <c r="X104" s="1"/>
      <c r="Y104" s="1"/>
      <c r="Z104" s="1"/>
      <c r="AA104" s="1"/>
      <c r="AB104" s="1"/>
    </row>
    <row r="105" spans="1:28" ht="11.25" customHeight="1" x14ac:dyDescent="0.2">
      <c r="A105" s="97" t="s">
        <v>74</v>
      </c>
      <c r="B105" s="97" t="s">
        <v>75</v>
      </c>
      <c r="C105" s="98" t="s">
        <v>77</v>
      </c>
      <c r="D105" s="98" t="s">
        <v>76</v>
      </c>
      <c r="E105" s="98" t="s">
        <v>78</v>
      </c>
      <c r="F105" s="98" t="s">
        <v>76</v>
      </c>
      <c r="G105" s="98" t="s">
        <v>78</v>
      </c>
      <c r="H105" s="5"/>
      <c r="J105" s="1"/>
      <c r="K105" s="1"/>
      <c r="L105" s="1"/>
      <c r="V105" s="1"/>
      <c r="W105" s="1"/>
      <c r="X105" s="1"/>
      <c r="Y105" s="1"/>
      <c r="Z105" s="1"/>
      <c r="AA105" s="1"/>
      <c r="AB105" s="1"/>
    </row>
    <row r="106" spans="1:28" ht="11.25" customHeight="1" x14ac:dyDescent="0.2">
      <c r="A106" s="83">
        <v>30</v>
      </c>
      <c r="B106" s="83" t="s">
        <v>55</v>
      </c>
      <c r="C106" s="84">
        <v>1.0169999999999999</v>
      </c>
      <c r="D106" s="84">
        <v>1.2885508750000001</v>
      </c>
      <c r="E106" s="84">
        <v>5.524889070305683</v>
      </c>
      <c r="F106" s="84">
        <v>8.2514800000000008</v>
      </c>
      <c r="G106" s="84">
        <v>-21.930543871495033</v>
      </c>
      <c r="H106" s="5"/>
      <c r="J106" s="1"/>
      <c r="K106" s="1"/>
      <c r="L106" s="1"/>
      <c r="V106" s="1"/>
      <c r="W106" s="1"/>
      <c r="X106" s="1"/>
      <c r="Y106" s="1"/>
      <c r="Z106" s="1"/>
      <c r="AA106" s="1"/>
      <c r="AB106" s="1"/>
    </row>
    <row r="107" spans="1:28" ht="11.25" customHeight="1" x14ac:dyDescent="0.2">
      <c r="A107" s="95">
        <v>31</v>
      </c>
      <c r="B107" s="95" t="s">
        <v>56</v>
      </c>
      <c r="C107" s="96">
        <v>0.97199999999999998</v>
      </c>
      <c r="D107" s="96">
        <v>1.2335471250000001</v>
      </c>
      <c r="E107" s="96">
        <v>5.1257359753502652</v>
      </c>
      <c r="F107" s="96">
        <v>7.9860470000000001</v>
      </c>
      <c r="G107" s="96">
        <v>-21.902085303086047</v>
      </c>
      <c r="H107" s="5"/>
      <c r="J107" s="1"/>
      <c r="K107" s="1"/>
      <c r="L107" s="1"/>
      <c r="V107" s="1"/>
      <c r="W107" s="1"/>
      <c r="X107" s="1"/>
      <c r="Y107" s="1"/>
      <c r="Z107" s="1"/>
      <c r="AA107" s="1"/>
      <c r="AB107" s="1"/>
    </row>
    <row r="108" spans="1:28" ht="11.25" customHeight="1" x14ac:dyDescent="0.2">
      <c r="A108" s="83">
        <v>32</v>
      </c>
      <c r="B108" s="83" t="s">
        <v>57</v>
      </c>
      <c r="C108" s="84">
        <v>1.4810000000000001</v>
      </c>
      <c r="D108" s="84">
        <v>1.8662235</v>
      </c>
      <c r="E108" s="84">
        <v>4.8921318402372904</v>
      </c>
      <c r="F108" s="84">
        <v>11.942238</v>
      </c>
      <c r="G108" s="84">
        <v>-21.95828808237103</v>
      </c>
      <c r="H108" s="5"/>
      <c r="J108" s="1"/>
      <c r="K108" s="1"/>
      <c r="L108" s="1"/>
      <c r="V108" s="1"/>
      <c r="W108" s="1"/>
      <c r="X108" s="1"/>
      <c r="Y108" s="1"/>
      <c r="Z108" s="1"/>
      <c r="AA108" s="1"/>
      <c r="AB108" s="1"/>
    </row>
    <row r="109" spans="1:28" ht="11.25" customHeight="1" x14ac:dyDescent="0.2">
      <c r="A109" s="95">
        <v>33</v>
      </c>
      <c r="B109" s="95" t="s">
        <v>58</v>
      </c>
      <c r="C109" s="96">
        <v>1.056</v>
      </c>
      <c r="D109" s="96">
        <v>1.35270175</v>
      </c>
      <c r="E109" s="96">
        <v>4.6514729748623473</v>
      </c>
      <c r="F109" s="96">
        <v>8.6159809999999997</v>
      </c>
      <c r="G109" s="96">
        <v>-21.804702199342287</v>
      </c>
      <c r="H109" s="5"/>
      <c r="J109" s="1"/>
      <c r="K109" s="1"/>
      <c r="L109" s="1"/>
      <c r="V109" s="1"/>
      <c r="W109" s="1"/>
      <c r="X109" s="1"/>
      <c r="Y109" s="1"/>
      <c r="Z109" s="1"/>
      <c r="AA109" s="1"/>
      <c r="AB109" s="1"/>
    </row>
    <row r="110" spans="1:28" ht="11.25" customHeight="1" x14ac:dyDescent="0.2">
      <c r="A110" s="83">
        <v>34</v>
      </c>
      <c r="B110" s="83" t="s">
        <v>60</v>
      </c>
      <c r="C110" s="84">
        <v>0.86399999999999999</v>
      </c>
      <c r="D110" s="84">
        <v>7.0535953124999995E-2</v>
      </c>
      <c r="E110" s="84">
        <v>-7.50383690559564</v>
      </c>
      <c r="F110" s="84">
        <v>6.4968174999999997</v>
      </c>
      <c r="G110" s="84">
        <v>-20.258449470435838</v>
      </c>
      <c r="H110" s="5"/>
      <c r="J110" s="1"/>
      <c r="K110" s="1"/>
      <c r="L110" s="1"/>
      <c r="V110" s="1"/>
      <c r="W110" s="1"/>
      <c r="X110" s="1"/>
      <c r="Y110" s="1"/>
      <c r="Z110" s="1"/>
      <c r="AA110" s="1"/>
      <c r="AB110" s="1"/>
    </row>
    <row r="111" spans="1:28" ht="11.25" customHeight="1" x14ac:dyDescent="0.2">
      <c r="A111" s="95">
        <v>35</v>
      </c>
      <c r="B111" s="95" t="s">
        <v>66</v>
      </c>
      <c r="C111" s="96">
        <v>0.92500000000000004</v>
      </c>
      <c r="D111" s="96">
        <v>8.1248476562500005E-2</v>
      </c>
      <c r="E111" s="96">
        <v>-6.7882987025927877</v>
      </c>
      <c r="F111" s="96">
        <v>6.9048689999999997</v>
      </c>
      <c r="G111" s="96">
        <v>-6.2390701371429467</v>
      </c>
      <c r="H111" s="5"/>
      <c r="J111" s="1"/>
      <c r="K111" s="1"/>
      <c r="L111" s="1"/>
      <c r="V111" s="1"/>
      <c r="W111" s="1"/>
      <c r="X111" s="1"/>
      <c r="Y111" s="1"/>
      <c r="Z111" s="1"/>
      <c r="AA111" s="1"/>
      <c r="AB111" s="1"/>
    </row>
    <row r="112" spans="1:28" ht="11.25" customHeight="1" x14ac:dyDescent="0.2">
      <c r="A112" s="83">
        <v>36</v>
      </c>
      <c r="B112" s="83" t="s">
        <v>65</v>
      </c>
      <c r="C112" s="84">
        <v>1.208</v>
      </c>
      <c r="D112" s="84">
        <v>9.7938750000000005E-2</v>
      </c>
      <c r="E112" s="84">
        <v>-8.6966370608694277</v>
      </c>
      <c r="F112" s="84">
        <v>4.0934410000000003</v>
      </c>
      <c r="G112" s="84">
        <v>-13.703207091005025</v>
      </c>
      <c r="H112" s="5"/>
      <c r="J112" s="1"/>
      <c r="K112" s="1"/>
      <c r="L112" s="1"/>
      <c r="V112" s="1"/>
      <c r="W112" s="1"/>
      <c r="X112" s="1"/>
      <c r="Y112" s="1"/>
      <c r="Z112" s="1"/>
      <c r="AA112" s="1"/>
      <c r="AB112" s="1"/>
    </row>
    <row r="113" spans="1:28" ht="11.25" customHeight="1" x14ac:dyDescent="0.2">
      <c r="A113" s="95">
        <v>37</v>
      </c>
      <c r="B113" s="95" t="s">
        <v>59</v>
      </c>
      <c r="C113" s="96">
        <v>0.85899999999999999</v>
      </c>
      <c r="D113" s="96">
        <v>1.1144268749999999</v>
      </c>
      <c r="E113" s="96">
        <v>5.6317881833733985</v>
      </c>
      <c r="F113" s="96">
        <v>7.0876039999999998</v>
      </c>
      <c r="G113" s="96">
        <v>-21.667042461020245</v>
      </c>
      <c r="H113" s="5"/>
      <c r="J113" s="1"/>
      <c r="K113" s="1"/>
      <c r="L113" s="1"/>
      <c r="V113" s="1"/>
      <c r="W113" s="1"/>
      <c r="X113" s="1"/>
      <c r="Y113" s="1"/>
      <c r="Z113" s="1"/>
      <c r="AA113" s="1"/>
      <c r="AB113" s="1"/>
    </row>
    <row r="114" spans="1:28" ht="11.25" customHeight="1" x14ac:dyDescent="0.2">
      <c r="A114" s="83">
        <v>38</v>
      </c>
      <c r="B114" s="83" t="s">
        <v>67</v>
      </c>
      <c r="C114" s="84">
        <v>0.44800000000000001</v>
      </c>
      <c r="D114" s="84">
        <v>4.9933284999999996</v>
      </c>
      <c r="E114" s="84">
        <v>2.5543355579165095</v>
      </c>
      <c r="F114" s="84">
        <v>9.3198232421875006E-3</v>
      </c>
      <c r="G114" s="84">
        <v>-17.926324720196778</v>
      </c>
      <c r="H114" s="5"/>
      <c r="J114" s="1"/>
      <c r="K114" s="1"/>
      <c r="L114" s="1"/>
      <c r="V114" s="1"/>
      <c r="W114" s="1"/>
      <c r="X114" s="1"/>
      <c r="Y114" s="1"/>
      <c r="Z114" s="1"/>
      <c r="AA114" s="1"/>
      <c r="AB114" s="1"/>
    </row>
    <row r="115" spans="1:28" ht="11.25" customHeight="1" x14ac:dyDescent="0.2">
      <c r="A115" s="95">
        <v>39</v>
      </c>
      <c r="B115" s="95" t="s">
        <v>68</v>
      </c>
      <c r="C115" s="96">
        <v>0.39600000000000002</v>
      </c>
      <c r="D115" s="96">
        <v>3.4100787499999998</v>
      </c>
      <c r="E115" s="96">
        <v>22.974169310865378</v>
      </c>
      <c r="F115" s="96">
        <v>8.3639287109374995E-3</v>
      </c>
      <c r="G115" s="96">
        <v>-19.052407019698855</v>
      </c>
      <c r="H115" s="5"/>
      <c r="J115" s="1"/>
      <c r="K115" s="1"/>
      <c r="L115" s="1"/>
      <c r="V115" s="1"/>
      <c r="W115" s="1"/>
      <c r="X115" s="1"/>
      <c r="Y115" s="1"/>
      <c r="Z115" s="1"/>
      <c r="AA115" s="1"/>
      <c r="AB115" s="1"/>
    </row>
    <row r="116" spans="1:28" ht="11.25" customHeight="1" x14ac:dyDescent="0.2">
      <c r="A116" s="83">
        <v>40</v>
      </c>
      <c r="B116" s="83" t="s">
        <v>353</v>
      </c>
      <c r="C116" s="84">
        <v>6.4960000000000004</v>
      </c>
      <c r="D116" s="84">
        <v>0.24337757812499999</v>
      </c>
      <c r="E116" s="84">
        <v>6.9716131502668421</v>
      </c>
      <c r="F116" s="84">
        <v>1.4038373749999999</v>
      </c>
      <c r="G116" s="84">
        <v>-21.73321273268234</v>
      </c>
      <c r="H116" s="5"/>
      <c r="J116" s="1"/>
      <c r="K116" s="1"/>
      <c r="L116" s="1"/>
      <c r="V116" s="1"/>
      <c r="W116" s="1"/>
      <c r="X116" s="1"/>
      <c r="Y116" s="1"/>
      <c r="Z116" s="1"/>
      <c r="AA116" s="1"/>
      <c r="AB116" s="1"/>
    </row>
    <row r="117" spans="1:28" ht="11.25" customHeight="1" x14ac:dyDescent="0.2">
      <c r="A117" s="95">
        <v>41</v>
      </c>
      <c r="B117" s="95" t="s">
        <v>354</v>
      </c>
      <c r="C117" s="96">
        <v>6.47</v>
      </c>
      <c r="D117" s="96">
        <v>0.13634585937499999</v>
      </c>
      <c r="E117" s="96">
        <v>5.9118349700306716</v>
      </c>
      <c r="F117" s="96">
        <v>0.75479768749999998</v>
      </c>
      <c r="G117" s="96">
        <v>-21.910946390673079</v>
      </c>
      <c r="H117" s="5"/>
      <c r="J117" s="1"/>
      <c r="K117" s="1"/>
      <c r="L117" s="1"/>
      <c r="V117" s="1"/>
      <c r="W117" s="1"/>
      <c r="X117" s="1"/>
      <c r="Y117" s="1"/>
      <c r="Z117" s="1"/>
      <c r="AA117" s="1"/>
      <c r="AB117" s="1"/>
    </row>
    <row r="118" spans="1:28" ht="11.25" customHeight="1" x14ac:dyDescent="0.2">
      <c r="A118" s="83">
        <v>42</v>
      </c>
      <c r="B118" s="83" t="s">
        <v>355</v>
      </c>
      <c r="C118" s="84">
        <v>6.38</v>
      </c>
      <c r="D118" s="84">
        <v>8.6435742187499998E-2</v>
      </c>
      <c r="E118" s="84">
        <v>3.5284756901396985</v>
      </c>
      <c r="F118" s="84">
        <v>0.50682371874999999</v>
      </c>
      <c r="G118" s="84">
        <v>-22.171934875547869</v>
      </c>
      <c r="H118" s="5"/>
      <c r="J118" s="1"/>
      <c r="K118" s="1"/>
      <c r="L118" s="1"/>
      <c r="V118" s="1"/>
      <c r="W118" s="1"/>
      <c r="X118" s="1"/>
      <c r="Y118" s="1"/>
      <c r="Z118" s="1"/>
      <c r="AA118" s="1"/>
      <c r="AB118" s="1"/>
    </row>
    <row r="119" spans="1:28" ht="11.25" customHeight="1" x14ac:dyDescent="0.2">
      <c r="A119" s="95">
        <v>43</v>
      </c>
      <c r="B119" s="95" t="s">
        <v>356</v>
      </c>
      <c r="C119" s="96">
        <v>6.3730000000000002</v>
      </c>
      <c r="D119" s="96">
        <v>0.109477453125</v>
      </c>
      <c r="E119" s="96">
        <v>7.3759580479832998</v>
      </c>
      <c r="F119" s="96">
        <v>0.54049918750000003</v>
      </c>
      <c r="G119" s="96">
        <v>-23.086100605322748</v>
      </c>
      <c r="H119" s="5"/>
      <c r="J119" s="1"/>
      <c r="K119" s="1"/>
      <c r="L119" s="1"/>
      <c r="V119" s="1"/>
      <c r="W119" s="1"/>
      <c r="X119" s="1"/>
      <c r="Y119" s="1"/>
      <c r="Z119" s="1"/>
      <c r="AA119" s="1"/>
      <c r="AB119" s="1"/>
    </row>
    <row r="120" spans="1:28" ht="11.25" customHeight="1" x14ac:dyDescent="0.2">
      <c r="A120" s="83">
        <v>44</v>
      </c>
      <c r="B120" s="83" t="s">
        <v>357</v>
      </c>
      <c r="C120" s="84">
        <v>6.3440000000000003</v>
      </c>
      <c r="D120" s="84">
        <v>9.3833734375000005E-2</v>
      </c>
      <c r="E120" s="84">
        <v>3.7269855520440931</v>
      </c>
      <c r="F120" s="84">
        <v>0.45176256250000002</v>
      </c>
      <c r="G120" s="84">
        <v>-21.946056384785141</v>
      </c>
      <c r="H120" s="5"/>
      <c r="J120" s="1"/>
      <c r="K120" s="1"/>
      <c r="L120" s="1"/>
      <c r="V120" s="1"/>
      <c r="W120" s="1"/>
      <c r="X120" s="1"/>
      <c r="Y120" s="1"/>
      <c r="Z120" s="1"/>
      <c r="AA120" s="1"/>
      <c r="AB120" s="1"/>
    </row>
    <row r="121" spans="1:28" ht="11.25" customHeight="1" x14ac:dyDescent="0.2">
      <c r="A121" s="95">
        <v>45</v>
      </c>
      <c r="B121" s="95" t="s">
        <v>358</v>
      </c>
      <c r="C121" s="96">
        <v>6.1710000000000003</v>
      </c>
      <c r="D121" s="96">
        <v>5.6581621093749999E-2</v>
      </c>
      <c r="E121" s="96">
        <v>0.34912006465348533</v>
      </c>
      <c r="F121" s="96">
        <v>0.25296129687500002</v>
      </c>
      <c r="G121" s="96">
        <v>-22.719283991787758</v>
      </c>
      <c r="H121" s="5"/>
      <c r="J121" s="1"/>
      <c r="K121" s="1"/>
      <c r="L121" s="1"/>
      <c r="V121" s="1"/>
      <c r="W121" s="1"/>
      <c r="X121" s="1"/>
      <c r="Y121" s="1"/>
      <c r="Z121" s="1"/>
      <c r="AA121" s="1"/>
      <c r="AB121" s="1"/>
    </row>
    <row r="122" spans="1:28" ht="11.25" customHeight="1" x14ac:dyDescent="0.2">
      <c r="A122" s="83">
        <v>46</v>
      </c>
      <c r="B122" s="83" t="s">
        <v>359</v>
      </c>
      <c r="C122" s="84">
        <v>6.0670000000000002</v>
      </c>
      <c r="D122" s="84">
        <v>3.92173828125E-2</v>
      </c>
      <c r="E122" s="84">
        <v>-2.5509134929514454</v>
      </c>
      <c r="F122" s="84">
        <v>0.17023450000000001</v>
      </c>
      <c r="G122" s="84">
        <v>-22.831260501493151</v>
      </c>
      <c r="H122" s="5"/>
      <c r="J122" s="1"/>
      <c r="K122" s="1"/>
      <c r="L122" s="1"/>
      <c r="V122" s="1"/>
      <c r="W122" s="1"/>
      <c r="X122" s="1"/>
      <c r="Y122" s="1"/>
      <c r="Z122" s="1"/>
      <c r="AA122" s="1"/>
      <c r="AB122" s="1"/>
    </row>
    <row r="123" spans="1:28" ht="11.25" customHeight="1" x14ac:dyDescent="0.2">
      <c r="A123" s="95">
        <v>47</v>
      </c>
      <c r="B123" s="95" t="s">
        <v>360</v>
      </c>
      <c r="C123" s="96">
        <v>6.194</v>
      </c>
      <c r="D123" s="96">
        <v>7.6507015624999994E-2</v>
      </c>
      <c r="E123" s="96">
        <v>1.3684542009830825</v>
      </c>
      <c r="F123" s="96">
        <v>0.42139128125000003</v>
      </c>
      <c r="G123" s="96">
        <v>-22.472343412548856</v>
      </c>
      <c r="H123" s="5"/>
      <c r="J123" s="83"/>
      <c r="K123" s="84"/>
      <c r="L123" s="84"/>
      <c r="M123" s="84"/>
      <c r="N123" s="84"/>
      <c r="V123" s="1"/>
      <c r="W123" s="1"/>
      <c r="X123" s="1"/>
      <c r="Y123" s="1"/>
      <c r="Z123" s="1"/>
      <c r="AA123" s="1"/>
      <c r="AB123" s="1"/>
    </row>
    <row r="124" spans="1:28" ht="11.25" customHeight="1" x14ac:dyDescent="0.2">
      <c r="A124" s="83">
        <v>48</v>
      </c>
      <c r="B124" s="83" t="s">
        <v>361</v>
      </c>
      <c r="C124" s="84">
        <v>6.218</v>
      </c>
      <c r="D124" s="84">
        <v>3.8818292968750001E-2</v>
      </c>
      <c r="E124" s="84">
        <v>-5.2657449102555542</v>
      </c>
      <c r="F124" s="84">
        <v>0.17637221875</v>
      </c>
      <c r="G124" s="84">
        <v>-24.615964504108742</v>
      </c>
      <c r="H124" s="5"/>
      <c r="J124" s="83"/>
      <c r="K124" s="84"/>
      <c r="L124" s="84"/>
      <c r="M124" s="84"/>
      <c r="N124" s="84"/>
      <c r="V124" s="1"/>
      <c r="W124" s="1"/>
      <c r="X124" s="1"/>
      <c r="Y124" s="1"/>
      <c r="Z124" s="1"/>
      <c r="AA124" s="1"/>
      <c r="AB124" s="1"/>
    </row>
    <row r="125" spans="1:28" ht="11.25" customHeight="1" x14ac:dyDescent="0.2">
      <c r="A125" s="95">
        <v>49</v>
      </c>
      <c r="B125" s="95" t="s">
        <v>362</v>
      </c>
      <c r="C125" s="96">
        <v>6.4050000000000002</v>
      </c>
      <c r="D125" s="96">
        <v>7.3930343750000002E-2</v>
      </c>
      <c r="E125" s="96">
        <v>-2.3852836541193856</v>
      </c>
      <c r="F125" s="96">
        <v>0.42696371875</v>
      </c>
      <c r="G125" s="96">
        <v>-21.904136875610565</v>
      </c>
      <c r="H125" s="5"/>
      <c r="J125" s="83"/>
      <c r="K125" s="84"/>
      <c r="L125" s="84"/>
      <c r="M125" s="84"/>
      <c r="N125" s="84"/>
      <c r="V125" s="1"/>
      <c r="W125" s="1"/>
      <c r="X125" s="1"/>
      <c r="Y125" s="1"/>
      <c r="Z125" s="1"/>
      <c r="AA125" s="1"/>
      <c r="AB125" s="1"/>
    </row>
    <row r="126" spans="1:28" ht="11.25" customHeight="1" x14ac:dyDescent="0.2">
      <c r="A126" s="83">
        <v>50</v>
      </c>
      <c r="B126" s="83" t="s">
        <v>363</v>
      </c>
      <c r="C126" s="84">
        <v>6.15</v>
      </c>
      <c r="D126" s="84">
        <v>2.853980859375E-2</v>
      </c>
      <c r="E126" s="84">
        <v>-6.2431722835322168</v>
      </c>
      <c r="F126" s="84">
        <v>0.119828203125</v>
      </c>
      <c r="G126" s="84">
        <v>-24.891976597563772</v>
      </c>
      <c r="H126" s="5"/>
      <c r="J126" s="95"/>
      <c r="K126" s="96"/>
      <c r="L126" s="96"/>
      <c r="M126" s="96"/>
      <c r="N126" s="96"/>
      <c r="V126" s="1"/>
      <c r="W126" s="1"/>
      <c r="X126" s="1"/>
      <c r="Y126" s="1"/>
      <c r="Z126" s="1"/>
      <c r="AA126" s="1"/>
      <c r="AB126" s="1"/>
    </row>
    <row r="127" spans="1:28" ht="11.25" customHeight="1" x14ac:dyDescent="0.2">
      <c r="A127" s="95">
        <v>51</v>
      </c>
      <c r="B127" s="95" t="s">
        <v>364</v>
      </c>
      <c r="C127" s="96">
        <v>6.2450000000000001</v>
      </c>
      <c r="D127" s="96">
        <v>3.4426589843750001E-2</v>
      </c>
      <c r="E127" s="96">
        <v>1.0915261866690784</v>
      </c>
      <c r="F127" s="96">
        <v>0.13777409374999999</v>
      </c>
      <c r="G127" s="96">
        <v>-24.282763737482416</v>
      </c>
      <c r="H127" s="5"/>
      <c r="J127" s="83"/>
      <c r="K127" s="84"/>
      <c r="L127" s="84"/>
      <c r="M127" s="84"/>
      <c r="N127" s="84"/>
      <c r="V127" s="1"/>
      <c r="W127" s="1"/>
      <c r="X127" s="1"/>
      <c r="Y127" s="1"/>
      <c r="Z127" s="1"/>
      <c r="AA127" s="1"/>
      <c r="AB127" s="1"/>
    </row>
    <row r="128" spans="1:28" ht="11.25" customHeight="1" x14ac:dyDescent="0.2">
      <c r="A128" s="83">
        <v>52</v>
      </c>
      <c r="B128" s="83" t="s">
        <v>82</v>
      </c>
      <c r="C128" s="84">
        <v>1.0860000000000001</v>
      </c>
      <c r="D128" s="84">
        <v>1.367821</v>
      </c>
      <c r="E128" s="84">
        <v>6.7572257527463986</v>
      </c>
      <c r="F128" s="84">
        <v>8.8152849999999994</v>
      </c>
      <c r="G128" s="84">
        <v>-21.524143501368556</v>
      </c>
      <c r="H128" s="5"/>
      <c r="J128" s="95"/>
      <c r="K128" s="96"/>
      <c r="L128" s="96"/>
      <c r="M128" s="96"/>
      <c r="N128" s="96"/>
      <c r="V128" s="1"/>
      <c r="W128" s="1"/>
      <c r="X128" s="1"/>
      <c r="Y128" s="1"/>
      <c r="Z128" s="1"/>
      <c r="AA128" s="1"/>
      <c r="AB128" s="1"/>
    </row>
    <row r="129" spans="1:28" ht="11.25" customHeight="1" x14ac:dyDescent="0.2">
      <c r="A129" s="95">
        <v>53</v>
      </c>
      <c r="B129" s="95" t="s">
        <v>87</v>
      </c>
      <c r="C129" s="96">
        <v>2.3580000000000001</v>
      </c>
      <c r="D129" s="96">
        <v>0.23214296875000001</v>
      </c>
      <c r="E129" s="96">
        <v>8.0337253863589364</v>
      </c>
      <c r="F129" s="96">
        <v>1.3980213749999999</v>
      </c>
      <c r="G129" s="96">
        <v>-14.78543116596436</v>
      </c>
      <c r="H129" s="5"/>
      <c r="J129" s="83"/>
      <c r="K129" s="84"/>
      <c r="L129" s="84"/>
      <c r="M129" s="84"/>
      <c r="N129" s="84"/>
      <c r="V129" s="1"/>
      <c r="W129" s="1"/>
      <c r="X129" s="1"/>
      <c r="Y129" s="1"/>
      <c r="Z129" s="1"/>
      <c r="AA129" s="1"/>
      <c r="AB129" s="1"/>
    </row>
    <row r="130" spans="1:28" ht="11.25" customHeight="1" x14ac:dyDescent="0.2">
      <c r="A130" s="83">
        <v>54</v>
      </c>
      <c r="B130" s="83" t="s">
        <v>365</v>
      </c>
      <c r="C130" s="84">
        <v>6.2960000000000003</v>
      </c>
      <c r="D130" s="84">
        <v>8.0632015624999998E-2</v>
      </c>
      <c r="E130" s="84">
        <v>0.49409588417370642</v>
      </c>
      <c r="F130" s="84">
        <v>0.24664373437500001</v>
      </c>
      <c r="G130" s="84">
        <v>-23.495019198784597</v>
      </c>
      <c r="H130" s="5"/>
      <c r="J130" s="95"/>
      <c r="K130" s="96"/>
      <c r="L130" s="96"/>
      <c r="M130" s="96"/>
      <c r="N130" s="96"/>
      <c r="V130" s="1"/>
      <c r="W130" s="1"/>
      <c r="X130" s="1"/>
      <c r="Y130" s="1"/>
      <c r="Z130" s="1"/>
      <c r="AA130" s="1"/>
      <c r="AB130" s="1"/>
    </row>
    <row r="131" spans="1:28" ht="11.25" customHeight="1" x14ac:dyDescent="0.2">
      <c r="A131" s="95">
        <v>55</v>
      </c>
      <c r="B131" s="95" t="s">
        <v>366</v>
      </c>
      <c r="C131" s="96">
        <v>6.37</v>
      </c>
      <c r="D131" s="96">
        <v>0.1173957421875</v>
      </c>
      <c r="E131" s="96">
        <v>9.4099447199624819</v>
      </c>
      <c r="F131" s="96">
        <v>0.4370480625</v>
      </c>
      <c r="G131" s="96">
        <v>-22.234136750103104</v>
      </c>
      <c r="H131" s="5"/>
      <c r="J131" s="83"/>
      <c r="K131" s="84"/>
      <c r="L131" s="84"/>
      <c r="M131" s="84"/>
      <c r="N131" s="84"/>
      <c r="V131" s="1"/>
      <c r="W131" s="1"/>
      <c r="X131" s="1"/>
      <c r="Y131" s="1"/>
      <c r="Z131" s="1"/>
      <c r="AA131" s="1"/>
      <c r="AB131" s="1"/>
    </row>
    <row r="132" spans="1:28" ht="11.25" customHeight="1" x14ac:dyDescent="0.2">
      <c r="A132" s="83">
        <v>56</v>
      </c>
      <c r="B132" s="83" t="s">
        <v>367</v>
      </c>
      <c r="C132" s="84">
        <v>6.1950000000000003</v>
      </c>
      <c r="D132" s="84">
        <v>0.12984953906249999</v>
      </c>
      <c r="E132" s="84">
        <v>2.686856833248763</v>
      </c>
      <c r="F132" s="84">
        <v>0.41483728125000002</v>
      </c>
      <c r="G132" s="84">
        <v>-22.311244517554716</v>
      </c>
      <c r="H132" s="5"/>
      <c r="J132" s="95"/>
      <c r="K132" s="96"/>
      <c r="L132" s="96"/>
      <c r="M132" s="96"/>
      <c r="N132" s="96"/>
      <c r="V132" s="1"/>
      <c r="W132" s="1"/>
      <c r="X132" s="1"/>
      <c r="Y132" s="1"/>
      <c r="Z132" s="1"/>
      <c r="AA132" s="1"/>
      <c r="AB132" s="1"/>
    </row>
    <row r="133" spans="1:28" ht="11.25" customHeight="1" x14ac:dyDescent="0.2">
      <c r="A133" s="95">
        <v>57</v>
      </c>
      <c r="B133" s="95" t="s">
        <v>368</v>
      </c>
      <c r="C133" s="96">
        <v>6.1630000000000003</v>
      </c>
      <c r="D133" s="96">
        <v>0.148402234375</v>
      </c>
      <c r="E133" s="96">
        <v>0.74564551965039527</v>
      </c>
      <c r="F133" s="96">
        <v>0.18500509374999999</v>
      </c>
      <c r="G133" s="96">
        <v>-23.668059388816637</v>
      </c>
      <c r="H133" s="5"/>
      <c r="J133" s="83"/>
      <c r="K133" s="84"/>
      <c r="L133" s="84"/>
      <c r="M133" s="84"/>
      <c r="N133" s="84"/>
      <c r="V133" s="1"/>
      <c r="W133" s="1"/>
      <c r="X133" s="1"/>
      <c r="Y133" s="1"/>
      <c r="Z133" s="1"/>
      <c r="AA133" s="1"/>
      <c r="AB133" s="1"/>
    </row>
    <row r="134" spans="1:28" ht="11.25" customHeight="1" x14ac:dyDescent="0.2">
      <c r="A134" s="83">
        <v>58</v>
      </c>
      <c r="B134" s="83" t="s">
        <v>369</v>
      </c>
      <c r="C134" s="84">
        <v>6.1989999999999998</v>
      </c>
      <c r="D134" s="84">
        <v>0.19771343750000001</v>
      </c>
      <c r="E134" s="84">
        <v>1.8363353213162181</v>
      </c>
      <c r="F134" s="84">
        <v>0.15951481249999999</v>
      </c>
      <c r="G134" s="84">
        <v>-24.206612591934736</v>
      </c>
      <c r="H134" s="5"/>
      <c r="J134" s="95"/>
      <c r="K134" s="96"/>
      <c r="L134" s="96"/>
      <c r="M134" s="96"/>
      <c r="N134" s="96"/>
      <c r="V134" s="1"/>
      <c r="W134" s="1"/>
      <c r="X134" s="1"/>
      <c r="Y134" s="1"/>
      <c r="Z134" s="1"/>
      <c r="AA134" s="1"/>
      <c r="AB134" s="1"/>
    </row>
    <row r="135" spans="1:28" ht="11.25" customHeight="1" x14ac:dyDescent="0.2">
      <c r="A135" s="95">
        <v>59</v>
      </c>
      <c r="B135" s="95" t="s">
        <v>370</v>
      </c>
      <c r="C135" s="96">
        <v>6.2430000000000003</v>
      </c>
      <c r="D135" s="96">
        <v>0.230674875</v>
      </c>
      <c r="E135" s="96">
        <v>1.2577898655699027</v>
      </c>
      <c r="F135" s="96">
        <v>0.15126559375000001</v>
      </c>
      <c r="G135" s="96">
        <v>-24.957498642058521</v>
      </c>
      <c r="H135" s="5"/>
      <c r="J135" s="83"/>
      <c r="K135" s="84"/>
      <c r="L135" s="84"/>
      <c r="M135" s="84"/>
      <c r="N135" s="84"/>
      <c r="V135" s="1"/>
      <c r="W135" s="1"/>
      <c r="X135" s="1"/>
      <c r="Y135" s="1"/>
      <c r="Z135" s="1"/>
      <c r="AA135" s="1"/>
      <c r="AB135" s="1"/>
    </row>
    <row r="136" spans="1:28" ht="11.25" customHeight="1" x14ac:dyDescent="0.2">
      <c r="A136" s="83">
        <v>60</v>
      </c>
      <c r="B136" s="83" t="s">
        <v>371</v>
      </c>
      <c r="C136" s="84">
        <v>6.3650000000000002</v>
      </c>
      <c r="D136" s="84">
        <v>0.233301203125</v>
      </c>
      <c r="E136" s="84">
        <v>1.9038533738440222</v>
      </c>
      <c r="F136" s="84">
        <v>0.12305904687499999</v>
      </c>
      <c r="G136" s="84">
        <v>-26.982237437912339</v>
      </c>
      <c r="H136" s="5"/>
      <c r="J136" s="95"/>
      <c r="K136" s="96"/>
      <c r="L136" s="96"/>
      <c r="M136" s="96"/>
      <c r="N136" s="96"/>
      <c r="V136" s="1"/>
      <c r="W136" s="1"/>
      <c r="X136" s="1"/>
      <c r="Y136" s="1"/>
      <c r="Z136" s="1"/>
      <c r="AA136" s="1"/>
      <c r="AB136" s="1"/>
    </row>
    <row r="137" spans="1:28" ht="11.25" customHeight="1" x14ac:dyDescent="0.2">
      <c r="A137" s="95">
        <v>61</v>
      </c>
      <c r="B137" s="95" t="s">
        <v>372</v>
      </c>
      <c r="C137" s="96">
        <v>6.2830000000000004</v>
      </c>
      <c r="D137" s="96">
        <v>0.235843140625</v>
      </c>
      <c r="E137" s="96">
        <v>-0.16840822814423451</v>
      </c>
      <c r="F137" s="96">
        <v>0.124027</v>
      </c>
      <c r="G137" s="96">
        <v>-24.247374805423739</v>
      </c>
      <c r="H137" s="5"/>
      <c r="J137" s="83"/>
      <c r="K137" s="84"/>
      <c r="L137" s="84"/>
      <c r="M137" s="84"/>
      <c r="N137" s="84"/>
      <c r="V137" s="1"/>
      <c r="W137" s="1"/>
      <c r="X137" s="1"/>
      <c r="Y137" s="1"/>
      <c r="Z137" s="1"/>
      <c r="AA137" s="1"/>
      <c r="AB137" s="1"/>
    </row>
    <row r="138" spans="1:28" ht="11.25" customHeight="1" x14ac:dyDescent="0.2">
      <c r="A138" s="83">
        <v>62</v>
      </c>
      <c r="B138" s="83" t="s">
        <v>373</v>
      </c>
      <c r="C138" s="84">
        <v>6.0460000000000003</v>
      </c>
      <c r="D138" s="84">
        <v>0.23727807812500001</v>
      </c>
      <c r="E138" s="84">
        <v>1.181889223015764</v>
      </c>
      <c r="F138" s="84">
        <v>0.1305410859375</v>
      </c>
      <c r="G138" s="84">
        <v>-24.54542458363365</v>
      </c>
      <c r="H138" s="5"/>
      <c r="J138" s="95"/>
      <c r="K138" s="96"/>
      <c r="L138" s="96"/>
      <c r="M138" s="96"/>
      <c r="N138" s="96"/>
      <c r="V138" s="1"/>
      <c r="W138" s="1"/>
      <c r="X138" s="1"/>
      <c r="Y138" s="1"/>
      <c r="Z138" s="1"/>
      <c r="AA138" s="1"/>
      <c r="AB138" s="1"/>
    </row>
    <row r="139" spans="1:28" ht="11.25" customHeight="1" x14ac:dyDescent="0.2">
      <c r="A139" s="95">
        <v>63</v>
      </c>
      <c r="B139" s="95" t="s">
        <v>61</v>
      </c>
      <c r="C139" s="96">
        <v>0.83599999999999997</v>
      </c>
      <c r="D139" s="96">
        <v>1.1658897500000001</v>
      </c>
      <c r="E139" s="96">
        <v>5.9882549741476776</v>
      </c>
      <c r="F139" s="96">
        <v>6.8582830000000001</v>
      </c>
      <c r="G139" s="96">
        <v>-21.418816897687584</v>
      </c>
      <c r="H139" s="5"/>
      <c r="J139" s="83"/>
      <c r="K139" s="84"/>
      <c r="L139" s="84"/>
      <c r="M139" s="84"/>
      <c r="N139" s="84"/>
      <c r="V139" s="1"/>
      <c r="W139" s="1"/>
      <c r="X139" s="1"/>
      <c r="Y139" s="1"/>
      <c r="Z139" s="1"/>
      <c r="AA139" s="1"/>
      <c r="AB139" s="1"/>
    </row>
    <row r="140" spans="1:28" ht="11.25" customHeight="1" x14ac:dyDescent="0.2">
      <c r="A140" s="83">
        <v>64</v>
      </c>
      <c r="B140" s="83" t="s">
        <v>98</v>
      </c>
      <c r="C140" s="84">
        <v>1.306</v>
      </c>
      <c r="D140" s="84">
        <v>0.29317809374999998</v>
      </c>
      <c r="E140" s="84">
        <v>3.2942840899412573</v>
      </c>
      <c r="F140" s="84">
        <v>0.80738662500000002</v>
      </c>
      <c r="G140" s="84">
        <v>-14.428031909760559</v>
      </c>
      <c r="H140" s="5"/>
      <c r="J140" s="95"/>
      <c r="K140" s="96"/>
      <c r="L140" s="96"/>
      <c r="M140" s="96"/>
      <c r="N140" s="96"/>
      <c r="V140" s="1"/>
      <c r="W140" s="1"/>
      <c r="X140" s="1"/>
      <c r="Y140" s="1"/>
      <c r="Z140" s="1"/>
      <c r="AA140" s="1"/>
      <c r="AB140" s="1"/>
    </row>
    <row r="141" spans="1:28" ht="11.25" customHeight="1" x14ac:dyDescent="0.2">
      <c r="A141" s="95">
        <v>65</v>
      </c>
      <c r="B141" s="95" t="s">
        <v>374</v>
      </c>
      <c r="C141" s="96">
        <v>6.0289999999999999</v>
      </c>
      <c r="D141" s="96">
        <v>0.24113275000000001</v>
      </c>
      <c r="E141" s="96">
        <v>1.0907732915697022</v>
      </c>
      <c r="F141" s="96">
        <v>0.13733014062500001</v>
      </c>
      <c r="G141" s="96">
        <v>-25.168467187217072</v>
      </c>
      <c r="H141" s="5"/>
      <c r="J141" s="83"/>
      <c r="K141" s="84"/>
      <c r="L141" s="84"/>
      <c r="M141" s="84"/>
      <c r="N141" s="84"/>
      <c r="V141" s="1"/>
      <c r="W141" s="1"/>
      <c r="X141" s="1"/>
      <c r="Y141" s="1"/>
      <c r="Z141" s="1"/>
      <c r="AA141" s="1"/>
      <c r="AB141" s="1"/>
    </row>
    <row r="142" spans="1:28" ht="11.25" customHeight="1" x14ac:dyDescent="0.2">
      <c r="A142" s="83">
        <v>66</v>
      </c>
      <c r="B142" s="83" t="s">
        <v>375</v>
      </c>
      <c r="C142" s="84">
        <v>6.0640000000000001</v>
      </c>
      <c r="D142" s="84">
        <v>0.23544646875</v>
      </c>
      <c r="E142" s="84">
        <v>-2.1699845328293499E-2</v>
      </c>
      <c r="F142" s="84">
        <v>0.121765703125</v>
      </c>
      <c r="G142" s="84">
        <v>-23.907138527225797</v>
      </c>
      <c r="H142" s="5"/>
      <c r="J142" s="95"/>
      <c r="K142" s="96"/>
      <c r="L142" s="96"/>
      <c r="M142" s="96"/>
      <c r="N142" s="96"/>
      <c r="V142" s="1"/>
      <c r="W142" s="1"/>
      <c r="X142" s="1"/>
      <c r="Y142" s="1"/>
      <c r="Z142" s="1"/>
      <c r="AA142" s="1"/>
      <c r="AB142" s="1"/>
    </row>
    <row r="143" spans="1:28" ht="11.25" customHeight="1" x14ac:dyDescent="0.2">
      <c r="A143" s="95">
        <v>67</v>
      </c>
      <c r="B143" s="95" t="s">
        <v>376</v>
      </c>
      <c r="C143" s="96">
        <v>6.2279999999999998</v>
      </c>
      <c r="D143" s="96">
        <v>0.23709423437499999</v>
      </c>
      <c r="E143" s="96">
        <v>0.1644609770894423</v>
      </c>
      <c r="F143" s="96">
        <v>0.110293875</v>
      </c>
      <c r="G143" s="96">
        <v>-24.659196665083378</v>
      </c>
      <c r="H143" s="5"/>
      <c r="J143" s="83"/>
      <c r="K143" s="84"/>
      <c r="L143" s="84"/>
      <c r="M143" s="84"/>
      <c r="N143" s="84"/>
      <c r="V143" s="1"/>
      <c r="W143" s="1"/>
      <c r="X143" s="1"/>
      <c r="Y143" s="1"/>
      <c r="Z143" s="1"/>
      <c r="AA143" s="1"/>
      <c r="AB143" s="1"/>
    </row>
    <row r="144" spans="1:28" ht="11.25" customHeight="1" x14ac:dyDescent="0.2">
      <c r="A144" s="83">
        <v>68</v>
      </c>
      <c r="B144" s="83" t="s">
        <v>377</v>
      </c>
      <c r="C144" s="84">
        <v>6.1680000000000001</v>
      </c>
      <c r="D144" s="84">
        <v>0.238786671875</v>
      </c>
      <c r="E144" s="84">
        <v>4.3890238528521142</v>
      </c>
      <c r="F144" s="84">
        <v>0.13397565624999999</v>
      </c>
      <c r="G144" s="84">
        <v>-26.253478168930947</v>
      </c>
      <c r="H144" s="5"/>
      <c r="J144" s="95"/>
      <c r="K144" s="96"/>
      <c r="L144" s="96"/>
      <c r="M144" s="96"/>
      <c r="N144" s="96"/>
      <c r="V144" s="1"/>
      <c r="W144" s="1"/>
      <c r="X144" s="1"/>
      <c r="Y144" s="1"/>
      <c r="Z144" s="1"/>
      <c r="AA144" s="1"/>
      <c r="AB144" s="1"/>
    </row>
    <row r="145" spans="1:28" ht="11.25" customHeight="1" x14ac:dyDescent="0.2">
      <c r="A145" s="95">
        <v>69</v>
      </c>
      <c r="B145" s="95" t="s">
        <v>378</v>
      </c>
      <c r="C145" s="96">
        <v>6.0510000000000002</v>
      </c>
      <c r="D145" s="96">
        <v>0.23750578124999999</v>
      </c>
      <c r="E145" s="96">
        <v>0.91297474718565752</v>
      </c>
      <c r="F145" s="96">
        <v>0.11442578125</v>
      </c>
      <c r="G145" s="96">
        <v>-26.042061722064808</v>
      </c>
      <c r="H145" s="5"/>
      <c r="J145" s="1"/>
      <c r="K145" s="1"/>
      <c r="L145" s="1"/>
      <c r="V145" s="1"/>
      <c r="W145" s="1"/>
      <c r="X145" s="1"/>
      <c r="Y145" s="1"/>
      <c r="Z145" s="1"/>
      <c r="AA145" s="1"/>
      <c r="AB145" s="1"/>
    </row>
    <row r="146" spans="1:28" ht="11.25" customHeight="1" x14ac:dyDescent="0.2">
      <c r="A146" s="83">
        <v>70</v>
      </c>
      <c r="B146" s="83" t="s">
        <v>379</v>
      </c>
      <c r="C146" s="84">
        <v>6.0279999999999996</v>
      </c>
      <c r="D146" s="84">
        <v>0.23393917187499999</v>
      </c>
      <c r="E146" s="84">
        <v>1.2822189226708858</v>
      </c>
      <c r="F146" s="84">
        <v>9.93732265625E-2</v>
      </c>
      <c r="G146" s="84">
        <v>-25.135179884472851</v>
      </c>
      <c r="H146" s="5"/>
      <c r="J146" s="1"/>
      <c r="K146" s="1"/>
      <c r="L146" s="1"/>
      <c r="V146" s="1"/>
      <c r="W146" s="1"/>
      <c r="X146" s="1"/>
      <c r="Y146" s="1"/>
      <c r="Z146" s="1"/>
      <c r="AA146" s="1"/>
      <c r="AB146" s="1"/>
    </row>
    <row r="147" spans="1:28" ht="11.25" customHeight="1" x14ac:dyDescent="0.2">
      <c r="A147" s="95">
        <v>71</v>
      </c>
      <c r="B147" s="95" t="s">
        <v>380</v>
      </c>
      <c r="C147" s="96">
        <v>6.1870000000000003</v>
      </c>
      <c r="D147" s="96">
        <v>0.238723546875</v>
      </c>
      <c r="E147" s="96">
        <v>1.9022180182133308</v>
      </c>
      <c r="F147" s="96">
        <v>0.10600280468749999</v>
      </c>
      <c r="G147" s="96">
        <v>-26.599521729329478</v>
      </c>
      <c r="H147" s="5"/>
      <c r="J147" s="1"/>
      <c r="K147" s="1"/>
      <c r="L147" s="1"/>
      <c r="V147" s="1"/>
      <c r="W147" s="1"/>
      <c r="X147" s="1"/>
      <c r="Y147" s="1"/>
      <c r="Z147" s="1"/>
      <c r="AA147" s="1"/>
      <c r="AB147" s="1"/>
    </row>
    <row r="148" spans="1:28" ht="11.25" customHeight="1" x14ac:dyDescent="0.2">
      <c r="A148" s="83">
        <v>72</v>
      </c>
      <c r="B148" s="83" t="s">
        <v>109</v>
      </c>
      <c r="C148" s="84">
        <v>1.871</v>
      </c>
      <c r="D148" s="84">
        <v>0.32464009375000002</v>
      </c>
      <c r="E148" s="84">
        <v>4.6277173206128452</v>
      </c>
      <c r="F148" s="84">
        <v>1.175291375</v>
      </c>
      <c r="G148" s="84">
        <v>-14.443652516259156</v>
      </c>
      <c r="H148" s="5"/>
      <c r="J148" s="1"/>
      <c r="K148" s="1"/>
      <c r="L148" s="1"/>
      <c r="V148" s="1"/>
      <c r="W148" s="1"/>
      <c r="X148" s="1"/>
      <c r="Y148" s="1"/>
      <c r="Z148" s="1"/>
      <c r="AA148" s="1"/>
      <c r="AB148" s="1"/>
    </row>
    <row r="149" spans="1:28" ht="11.25" customHeight="1" x14ac:dyDescent="0.2">
      <c r="A149" s="95">
        <v>73</v>
      </c>
      <c r="B149" s="95" t="s">
        <v>64</v>
      </c>
      <c r="C149" s="96">
        <v>0.44800000000000001</v>
      </c>
      <c r="D149" s="96">
        <v>4.376277</v>
      </c>
      <c r="E149" s="96">
        <v>2.9308683497555332</v>
      </c>
      <c r="F149" s="96">
        <v>1.10400966796875E-2</v>
      </c>
      <c r="G149" s="96">
        <v>-20.4420295448583</v>
      </c>
      <c r="H149" s="5"/>
      <c r="J149" s="1"/>
      <c r="K149" s="1"/>
      <c r="L149" s="1"/>
      <c r="V149" s="1"/>
      <c r="W149" s="1"/>
      <c r="X149" s="1"/>
      <c r="Y149" s="1"/>
      <c r="Z149" s="1"/>
      <c r="AA149" s="1"/>
      <c r="AB149" s="1"/>
    </row>
    <row r="150" spans="1:28" ht="11.25" customHeight="1" x14ac:dyDescent="0.2">
      <c r="A150" s="83">
        <v>74</v>
      </c>
      <c r="B150" s="83" t="s">
        <v>69</v>
      </c>
      <c r="C150" s="84">
        <v>0.39600000000000002</v>
      </c>
      <c r="D150" s="84">
        <v>3.8335622499999999</v>
      </c>
      <c r="E150" s="84">
        <v>21.638416261859028</v>
      </c>
      <c r="F150" s="84">
        <v>8.5760625000000004E-3</v>
      </c>
      <c r="G150" s="84">
        <v>-21.682417898935881</v>
      </c>
      <c r="H150" s="5"/>
      <c r="J150" s="1"/>
      <c r="K150" s="1"/>
      <c r="L150" s="1"/>
      <c r="V150" s="1"/>
      <c r="W150" s="1"/>
      <c r="X150" s="1"/>
      <c r="Y150" s="1"/>
      <c r="Z150" s="1"/>
      <c r="AA150" s="1"/>
      <c r="AB150" s="1"/>
    </row>
    <row r="151" spans="1:28" ht="11.25" customHeight="1" x14ac:dyDescent="0.2">
      <c r="A151" s="95">
        <v>75</v>
      </c>
      <c r="B151" s="95" t="s">
        <v>84</v>
      </c>
      <c r="C151" s="96">
        <v>1.0740000000000001</v>
      </c>
      <c r="D151" s="96">
        <v>1.4776389999999999</v>
      </c>
      <c r="E151" s="96">
        <v>6.2990772143414198</v>
      </c>
      <c r="F151" s="96">
        <v>8.8112259999999996</v>
      </c>
      <c r="G151" s="96">
        <v>-21.521850592356252</v>
      </c>
      <c r="H151" s="5"/>
      <c r="J151" s="1"/>
      <c r="K151" s="1"/>
      <c r="L151" s="1"/>
      <c r="V151" s="1"/>
      <c r="W151" s="1"/>
      <c r="X151" s="1"/>
      <c r="Y151" s="1"/>
      <c r="Z151" s="1"/>
      <c r="AA151" s="1"/>
      <c r="AB151" s="1"/>
    </row>
    <row r="152" spans="1:28" ht="11.25" customHeight="1" x14ac:dyDescent="0.2">
      <c r="A152" s="83">
        <v>76</v>
      </c>
      <c r="B152" s="83" t="s">
        <v>62</v>
      </c>
      <c r="C152" s="84">
        <v>0.78100000000000003</v>
      </c>
      <c r="D152" s="84">
        <v>0.22769600000000001</v>
      </c>
      <c r="E152" s="84">
        <v>2.1443121914348495</v>
      </c>
      <c r="F152" s="84">
        <v>5.9196910000000003</v>
      </c>
      <c r="G152" s="84">
        <v>-20.015582960761549</v>
      </c>
      <c r="H152" s="5"/>
      <c r="J152" s="1"/>
      <c r="K152" s="1"/>
      <c r="L152" s="1"/>
      <c r="V152" s="1"/>
      <c r="W152" s="1"/>
      <c r="X152" s="1"/>
      <c r="Y152" s="1"/>
      <c r="Z152" s="1"/>
      <c r="AA152" s="1"/>
      <c r="AB152" s="1"/>
    </row>
    <row r="153" spans="1:28" ht="11.25" customHeight="1" x14ac:dyDescent="0.2">
      <c r="A153" s="95">
        <v>77</v>
      </c>
      <c r="B153" s="95" t="s">
        <v>63</v>
      </c>
      <c r="C153" s="96">
        <v>1.111</v>
      </c>
      <c r="D153" s="96">
        <v>0.221085078125</v>
      </c>
      <c r="E153" s="96">
        <v>0.38633333768789413</v>
      </c>
      <c r="F153" s="96">
        <v>8.3224975000000008</v>
      </c>
      <c r="G153" s="96">
        <v>-6.2828432492898232</v>
      </c>
      <c r="H153" s="5"/>
      <c r="J153" s="1"/>
      <c r="K153" s="1"/>
      <c r="L153" s="1"/>
      <c r="V153" s="1"/>
      <c r="W153" s="1"/>
      <c r="X153" s="1"/>
      <c r="Y153" s="1"/>
      <c r="Z153" s="1"/>
      <c r="AA153" s="1"/>
      <c r="AB153" s="1"/>
    </row>
    <row r="154" spans="1:28" ht="11.25" customHeight="1" x14ac:dyDescent="0.25">
      <c r="A154" s="110">
        <v>78</v>
      </c>
      <c r="B154" s="110" t="s">
        <v>70</v>
      </c>
      <c r="C154" s="84">
        <v>1.222</v>
      </c>
      <c r="D154" s="84">
        <v>0.21995387499999999</v>
      </c>
      <c r="E154" s="84">
        <v>-1.2766355622995107</v>
      </c>
      <c r="F154" s="85">
        <v>4.2049320000000003</v>
      </c>
      <c r="G154" s="85">
        <v>-13.984143009249534</v>
      </c>
      <c r="H154" s="5"/>
      <c r="I154"/>
      <c r="J154" s="1"/>
      <c r="K154" s="1"/>
      <c r="L154" s="1"/>
      <c r="V154" s="1"/>
      <c r="W154" s="1"/>
      <c r="X154" s="1"/>
      <c r="Y154" s="1"/>
      <c r="Z154" s="1"/>
      <c r="AA154" s="1"/>
      <c r="AB154" s="1"/>
    </row>
    <row r="155" spans="1:28" ht="11.25" customHeight="1" x14ac:dyDescent="0.25">
      <c r="A155" s="114">
        <v>79</v>
      </c>
      <c r="B155" s="114" t="s">
        <v>86</v>
      </c>
      <c r="C155" s="108">
        <v>0</v>
      </c>
      <c r="D155" s="108">
        <v>0.222640078125</v>
      </c>
      <c r="E155" s="108">
        <v>0.31935506004643344</v>
      </c>
      <c r="H155" s="5"/>
      <c r="I155"/>
      <c r="J155"/>
      <c r="K155" s="1"/>
      <c r="L155" s="1"/>
      <c r="V155" s="1"/>
      <c r="W155" s="1"/>
      <c r="X155" s="1"/>
      <c r="Y155" s="1"/>
      <c r="Z155" s="1"/>
      <c r="AA155" s="1"/>
      <c r="AB155" s="1"/>
    </row>
    <row r="156" spans="1:28" ht="11.25" customHeight="1" x14ac:dyDescent="0.25">
      <c r="J156"/>
      <c r="K156"/>
      <c r="L156"/>
      <c r="M156"/>
      <c r="N156"/>
      <c r="O156"/>
      <c r="P156"/>
      <c r="V156" s="1"/>
      <c r="W156" s="1"/>
      <c r="X156" s="1"/>
      <c r="Y156" s="1"/>
      <c r="Z156" s="1"/>
      <c r="AA156" s="1"/>
      <c r="AB156" s="1"/>
    </row>
    <row r="157" spans="1:28" ht="11.25" customHeight="1" x14ac:dyDescent="0.25">
      <c r="J157"/>
      <c r="K157"/>
      <c r="L157"/>
      <c r="M157"/>
      <c r="N157"/>
      <c r="O157"/>
      <c r="P157"/>
      <c r="V157" s="1"/>
      <c r="W157" s="1"/>
      <c r="X157" s="1"/>
      <c r="Y157" s="1"/>
      <c r="Z157" s="1"/>
      <c r="AA157" s="1"/>
      <c r="AB157" s="1"/>
    </row>
    <row r="158" spans="1:28" ht="11.25" customHeight="1" x14ac:dyDescent="0.25">
      <c r="J158"/>
      <c r="K158"/>
      <c r="L158"/>
      <c r="M158"/>
      <c r="N158"/>
      <c r="O158"/>
      <c r="P158"/>
      <c r="V158" s="1"/>
      <c r="W158" s="1"/>
      <c r="X158" s="1"/>
      <c r="Y158" s="1"/>
      <c r="Z158" s="1"/>
      <c r="AA158" s="1"/>
      <c r="AB158" s="1"/>
    </row>
    <row r="159" spans="1:28" ht="11.25" customHeight="1" x14ac:dyDescent="0.25">
      <c r="J159"/>
      <c r="K159"/>
      <c r="L159"/>
      <c r="M159"/>
      <c r="N159"/>
      <c r="O159"/>
      <c r="P159"/>
      <c r="V159" s="1"/>
      <c r="W159" s="1"/>
      <c r="X159" s="1"/>
      <c r="Y159" s="1"/>
      <c r="Z159" s="1"/>
      <c r="AA159" s="1"/>
      <c r="AB159" s="1"/>
    </row>
    <row r="160" spans="1:28" ht="11.25" customHeight="1" x14ac:dyDescent="0.25">
      <c r="J160"/>
      <c r="K160"/>
      <c r="L160"/>
      <c r="M160"/>
      <c r="N160"/>
      <c r="O160"/>
      <c r="P160"/>
      <c r="V160" s="1"/>
      <c r="W160" s="1"/>
      <c r="X160" s="1"/>
      <c r="Y160" s="1"/>
      <c r="Z160" s="1"/>
      <c r="AA160" s="1"/>
      <c r="AB160" s="1"/>
    </row>
    <row r="161" spans="10:28" ht="11.25" customHeight="1" x14ac:dyDescent="0.25">
      <c r="J161"/>
      <c r="K161"/>
      <c r="L161"/>
      <c r="M161"/>
      <c r="N161"/>
      <c r="O161"/>
      <c r="P161"/>
      <c r="V161" s="1"/>
      <c r="W161" s="1"/>
      <c r="X161" s="1"/>
      <c r="Y161" s="1"/>
      <c r="Z161" s="1"/>
      <c r="AA161" s="1"/>
      <c r="AB161" s="1"/>
    </row>
    <row r="162" spans="10:28" ht="11.25" customHeight="1" x14ac:dyDescent="0.25">
      <c r="J162"/>
      <c r="K162"/>
      <c r="L162"/>
      <c r="M162"/>
      <c r="N162"/>
      <c r="O162"/>
      <c r="P162"/>
      <c r="V162" s="1"/>
      <c r="W162" s="1"/>
      <c r="X162" s="1"/>
      <c r="Y162" s="1"/>
      <c r="Z162" s="1"/>
      <c r="AA162" s="1"/>
      <c r="AB162" s="1"/>
    </row>
    <row r="163" spans="10:28" ht="11.25" customHeight="1" x14ac:dyDescent="0.25">
      <c r="J163"/>
      <c r="K163"/>
      <c r="L163"/>
      <c r="M163"/>
      <c r="N163"/>
      <c r="O163"/>
      <c r="P163"/>
      <c r="V163" s="1"/>
      <c r="W163" s="1"/>
      <c r="X163" s="1"/>
      <c r="Y163" s="1"/>
      <c r="Z163" s="1"/>
      <c r="AA163" s="1"/>
      <c r="AB163" s="1"/>
    </row>
    <row r="164" spans="10:28" ht="11.25" customHeight="1" x14ac:dyDescent="0.25">
      <c r="J164"/>
      <c r="K164"/>
      <c r="L164"/>
      <c r="M164"/>
      <c r="N164"/>
      <c r="O164"/>
      <c r="P164"/>
      <c r="V164" s="1"/>
      <c r="W164" s="1"/>
      <c r="X164" s="1"/>
      <c r="Y164" s="1"/>
      <c r="Z164" s="1"/>
      <c r="AA164" s="1"/>
      <c r="AB164" s="1"/>
    </row>
    <row r="165" spans="10:28" ht="11.25" customHeight="1" x14ac:dyDescent="0.25">
      <c r="J165"/>
      <c r="K165"/>
      <c r="L165"/>
      <c r="M165"/>
      <c r="N165"/>
      <c r="O165"/>
      <c r="P165"/>
      <c r="V165" s="1"/>
      <c r="W165" s="1"/>
      <c r="X165" s="1"/>
      <c r="Y165" s="1"/>
      <c r="Z165" s="1"/>
      <c r="AA165" s="1"/>
      <c r="AB165" s="1"/>
    </row>
    <row r="166" spans="10:28" ht="11.25" customHeight="1" x14ac:dyDescent="0.25">
      <c r="J166"/>
      <c r="K166"/>
      <c r="L166"/>
      <c r="M166"/>
      <c r="N166"/>
      <c r="O166"/>
      <c r="P166"/>
      <c r="V166" s="1"/>
      <c r="W166" s="1"/>
      <c r="X166" s="1"/>
      <c r="Y166" s="1"/>
      <c r="Z166" s="1"/>
      <c r="AA166" s="1"/>
      <c r="AB166" s="1"/>
    </row>
    <row r="167" spans="10:28" ht="11.25" customHeight="1" x14ac:dyDescent="0.25">
      <c r="J167"/>
      <c r="K167"/>
      <c r="L167"/>
      <c r="M167"/>
      <c r="N167"/>
      <c r="O167"/>
      <c r="P167"/>
      <c r="V167" s="1"/>
      <c r="W167" s="1"/>
      <c r="X167" s="1"/>
      <c r="Y167" s="1"/>
      <c r="Z167" s="1"/>
      <c r="AA167" s="1"/>
      <c r="AB167" s="1"/>
    </row>
    <row r="168" spans="10:28" ht="11.25" customHeight="1" x14ac:dyDescent="0.25">
      <c r="J168"/>
      <c r="K168"/>
      <c r="L168"/>
      <c r="M168"/>
      <c r="N168"/>
      <c r="O168"/>
      <c r="P168"/>
      <c r="V168" s="1"/>
      <c r="W168" s="1"/>
      <c r="X168" s="1"/>
      <c r="Y168" s="1"/>
      <c r="Z168" s="1"/>
      <c r="AA168" s="1"/>
      <c r="AB168" s="1"/>
    </row>
    <row r="169" spans="10:28" ht="11.25" customHeight="1" x14ac:dyDescent="0.25">
      <c r="J169"/>
      <c r="K169"/>
      <c r="L169"/>
      <c r="M169"/>
      <c r="N169"/>
      <c r="O169"/>
      <c r="P169"/>
      <c r="V169" s="1"/>
      <c r="W169" s="1"/>
      <c r="X169" s="1"/>
      <c r="Y169" s="1"/>
      <c r="Z169" s="1"/>
      <c r="AA169" s="1"/>
      <c r="AB169" s="1"/>
    </row>
    <row r="170" spans="10:28" ht="11.25" customHeight="1" x14ac:dyDescent="0.25">
      <c r="J170"/>
      <c r="K170"/>
      <c r="L170"/>
      <c r="M170"/>
      <c r="N170"/>
      <c r="O170"/>
      <c r="P170"/>
      <c r="V170" s="1"/>
      <c r="W170" s="1"/>
      <c r="X170" s="1"/>
      <c r="Y170" s="1"/>
      <c r="Z170" s="1"/>
      <c r="AA170" s="1"/>
      <c r="AB170" s="1"/>
    </row>
    <row r="171" spans="10:28" ht="11.25" customHeight="1" x14ac:dyDescent="0.25">
      <c r="J171"/>
      <c r="K171"/>
      <c r="L171"/>
      <c r="M171"/>
      <c r="N171"/>
      <c r="O171"/>
      <c r="P171"/>
      <c r="V171" s="1"/>
      <c r="W171" s="1"/>
      <c r="X171" s="1"/>
      <c r="Y171" s="1"/>
      <c r="Z171" s="1"/>
      <c r="AA171" s="1"/>
      <c r="AB171" s="1"/>
    </row>
    <row r="172" spans="10:28" ht="11.25" customHeight="1" x14ac:dyDescent="0.25">
      <c r="J172"/>
      <c r="K172"/>
      <c r="L172"/>
      <c r="M172"/>
      <c r="N172"/>
      <c r="O172"/>
      <c r="P172"/>
      <c r="V172" s="1"/>
      <c r="W172" s="1"/>
      <c r="X172" s="1"/>
      <c r="Y172" s="1"/>
      <c r="Z172" s="1"/>
      <c r="AA172" s="1"/>
      <c r="AB172" s="1"/>
    </row>
    <row r="173" spans="10:28" ht="11.25" customHeight="1" x14ac:dyDescent="0.25">
      <c r="J173"/>
      <c r="K173"/>
      <c r="L173"/>
      <c r="M173"/>
      <c r="N173"/>
      <c r="O173"/>
      <c r="P173"/>
      <c r="V173" s="1"/>
      <c r="W173" s="1"/>
      <c r="X173" s="1"/>
      <c r="Y173" s="1"/>
      <c r="Z173" s="1"/>
      <c r="AA173" s="1"/>
      <c r="AB173" s="1"/>
    </row>
    <row r="174" spans="10:28" ht="11.25" customHeight="1" x14ac:dyDescent="0.25">
      <c r="J174"/>
      <c r="K174"/>
      <c r="L174"/>
      <c r="M174"/>
      <c r="N174"/>
      <c r="O174"/>
      <c r="P174"/>
      <c r="V174" s="1"/>
      <c r="W174" s="1"/>
      <c r="X174" s="1"/>
      <c r="Y174" s="1"/>
      <c r="Z174" s="1"/>
      <c r="AA174" s="1"/>
      <c r="AB174" s="1"/>
    </row>
    <row r="175" spans="10:28" ht="11.25" customHeight="1" x14ac:dyDescent="0.25">
      <c r="J175"/>
      <c r="K175"/>
      <c r="L175"/>
      <c r="M175"/>
      <c r="N175"/>
      <c r="O175"/>
      <c r="P175"/>
      <c r="V175" s="1"/>
      <c r="W175" s="1"/>
      <c r="X175" s="1"/>
      <c r="Y175" s="1"/>
      <c r="Z175" s="1"/>
      <c r="AA175" s="1"/>
      <c r="AB175" s="1"/>
    </row>
    <row r="176" spans="10:28" ht="11.25" customHeight="1" x14ac:dyDescent="0.25">
      <c r="J176"/>
      <c r="K176"/>
      <c r="L176"/>
      <c r="M176"/>
      <c r="N176"/>
      <c r="O176"/>
      <c r="P176"/>
      <c r="V176" s="1"/>
      <c r="W176" s="1"/>
      <c r="X176" s="1"/>
      <c r="Y176" s="1"/>
      <c r="Z176" s="1"/>
      <c r="AA176" s="1"/>
      <c r="AB176" s="1"/>
    </row>
    <row r="177" spans="10:28" ht="11.25" customHeight="1" x14ac:dyDescent="0.25">
      <c r="J177"/>
      <c r="K177"/>
      <c r="L177"/>
      <c r="M177"/>
      <c r="N177"/>
      <c r="O177"/>
      <c r="P177"/>
      <c r="V177" s="1"/>
      <c r="W177" s="1"/>
      <c r="X177" s="1"/>
      <c r="Y177" s="1"/>
      <c r="Z177" s="1"/>
      <c r="AA177" s="1"/>
      <c r="AB177" s="1"/>
    </row>
    <row r="178" spans="10:28" ht="11.25" customHeight="1" x14ac:dyDescent="0.25">
      <c r="J178"/>
      <c r="K178"/>
      <c r="L178"/>
      <c r="M178"/>
      <c r="N178"/>
      <c r="O178"/>
      <c r="P178"/>
      <c r="V178" s="1"/>
      <c r="W178" s="1"/>
      <c r="X178" s="1"/>
      <c r="Y178" s="1"/>
      <c r="Z178" s="1"/>
      <c r="AA178" s="1"/>
      <c r="AB178" s="1"/>
    </row>
    <row r="179" spans="10:28" ht="11.25" customHeight="1" x14ac:dyDescent="0.25">
      <c r="J179"/>
      <c r="K179"/>
      <c r="L179"/>
      <c r="M179"/>
      <c r="N179"/>
      <c r="O179"/>
      <c r="P179"/>
      <c r="V179" s="1"/>
      <c r="W179" s="1"/>
      <c r="X179" s="1"/>
      <c r="Y179" s="1"/>
      <c r="Z179" s="1"/>
      <c r="AA179" s="1"/>
      <c r="AB179" s="1"/>
    </row>
    <row r="180" spans="10:28" ht="11.25" customHeight="1" x14ac:dyDescent="0.25">
      <c r="J180"/>
      <c r="K180"/>
      <c r="L180"/>
      <c r="M180"/>
      <c r="N180"/>
      <c r="O180"/>
      <c r="P180"/>
      <c r="V180" s="1"/>
      <c r="W180" s="1"/>
      <c r="X180" s="1"/>
      <c r="Y180" s="1"/>
      <c r="Z180" s="1"/>
      <c r="AA180" s="1"/>
      <c r="AB180" s="1"/>
    </row>
    <row r="181" spans="10:28" ht="11.25" customHeight="1" x14ac:dyDescent="0.25">
      <c r="J181"/>
      <c r="K181"/>
      <c r="L181"/>
      <c r="M181"/>
      <c r="N181"/>
      <c r="O181"/>
      <c r="P181"/>
      <c r="V181" s="1"/>
      <c r="W181" s="1"/>
      <c r="X181" s="1"/>
      <c r="Y181" s="1"/>
      <c r="Z181" s="1"/>
      <c r="AA181" s="1"/>
      <c r="AB181" s="1"/>
    </row>
    <row r="182" spans="10:28" ht="11.25" customHeight="1" x14ac:dyDescent="0.25">
      <c r="J182"/>
      <c r="K182"/>
      <c r="L182"/>
      <c r="M182"/>
      <c r="N182"/>
      <c r="O182"/>
      <c r="P182"/>
      <c r="V182" s="1"/>
      <c r="W182" s="1"/>
      <c r="X182" s="1"/>
      <c r="Y182" s="1"/>
      <c r="Z182" s="1"/>
      <c r="AA182" s="1"/>
      <c r="AB182" s="1"/>
    </row>
    <row r="183" spans="10:28" ht="11.25" customHeight="1" x14ac:dyDescent="0.25">
      <c r="J183"/>
      <c r="K183"/>
      <c r="L183"/>
      <c r="M183"/>
      <c r="N183"/>
      <c r="O183"/>
      <c r="P183"/>
      <c r="V183" s="1"/>
      <c r="W183" s="1"/>
      <c r="X183" s="1"/>
      <c r="Y183" s="1"/>
      <c r="Z183" s="1"/>
      <c r="AA183" s="1"/>
      <c r="AB183" s="1"/>
    </row>
    <row r="184" spans="10:28" ht="11.25" customHeight="1" x14ac:dyDescent="0.25">
      <c r="J184"/>
      <c r="K184"/>
      <c r="L184"/>
      <c r="M184"/>
      <c r="N184"/>
      <c r="O184"/>
      <c r="P184"/>
      <c r="V184" s="1"/>
      <c r="W184" s="1"/>
      <c r="X184" s="1"/>
      <c r="Y184" s="1"/>
      <c r="Z184" s="1"/>
      <c r="AA184" s="1"/>
      <c r="AB184" s="1"/>
    </row>
    <row r="185" spans="10:28" ht="11.25" customHeight="1" x14ac:dyDescent="0.25">
      <c r="J185"/>
      <c r="K185"/>
      <c r="L185"/>
      <c r="M185"/>
      <c r="N185"/>
      <c r="O185"/>
      <c r="P185"/>
      <c r="V185" s="1"/>
      <c r="W185" s="1"/>
      <c r="X185" s="1"/>
      <c r="Y185" s="1"/>
      <c r="Z185" s="1"/>
      <c r="AA185" s="1"/>
      <c r="AB185" s="1"/>
    </row>
    <row r="186" spans="10:28" ht="11.25" customHeight="1" x14ac:dyDescent="0.25">
      <c r="J186"/>
      <c r="K186"/>
      <c r="L186"/>
      <c r="M186"/>
      <c r="N186"/>
      <c r="O186"/>
      <c r="P186"/>
      <c r="V186" s="1"/>
      <c r="W186" s="1"/>
      <c r="X186" s="1"/>
      <c r="Y186" s="1"/>
      <c r="Z186" s="1"/>
      <c r="AA186" s="1"/>
      <c r="AB186" s="1"/>
    </row>
    <row r="187" spans="10:28" ht="11.25" customHeight="1" x14ac:dyDescent="0.25">
      <c r="J187"/>
      <c r="K187"/>
      <c r="L187"/>
      <c r="M187"/>
      <c r="N187"/>
      <c r="O187"/>
      <c r="P187"/>
      <c r="V187" s="1"/>
      <c r="W187" s="1"/>
      <c r="X187" s="1"/>
      <c r="Y187" s="1"/>
      <c r="Z187" s="1"/>
      <c r="AA187" s="1"/>
      <c r="AB187" s="1"/>
    </row>
    <row r="188" spans="10:28" ht="11.25" customHeight="1" x14ac:dyDescent="0.25">
      <c r="J188"/>
      <c r="K188"/>
      <c r="L188"/>
      <c r="M188"/>
      <c r="N188"/>
      <c r="O188"/>
      <c r="P188"/>
      <c r="V188" s="1"/>
      <c r="W188" s="1"/>
      <c r="X188" s="1"/>
      <c r="Y188" s="1"/>
      <c r="Z188" s="1"/>
      <c r="AA188" s="1"/>
      <c r="AB188" s="1"/>
    </row>
    <row r="189" spans="10:28" ht="11.25" customHeight="1" x14ac:dyDescent="0.25">
      <c r="J189"/>
      <c r="K189"/>
      <c r="L189"/>
      <c r="M189"/>
      <c r="N189"/>
      <c r="O189"/>
      <c r="P189"/>
      <c r="V189" s="1"/>
      <c r="W189" s="1"/>
      <c r="X189" s="1"/>
      <c r="Y189" s="1"/>
      <c r="Z189" s="1"/>
      <c r="AA189" s="1"/>
      <c r="AB189" s="1"/>
    </row>
    <row r="190" spans="10:28" ht="11.25" customHeight="1" x14ac:dyDescent="0.25">
      <c r="J190"/>
      <c r="K190"/>
      <c r="L190"/>
      <c r="M190"/>
      <c r="N190"/>
      <c r="O190"/>
      <c r="P190"/>
      <c r="V190" s="1"/>
      <c r="W190" s="1"/>
      <c r="X190" s="1"/>
      <c r="Y190" s="1"/>
      <c r="Z190" s="1"/>
      <c r="AA190" s="1"/>
      <c r="AB190" s="1"/>
    </row>
    <row r="191" spans="10:28" ht="11.25" customHeight="1" x14ac:dyDescent="0.25">
      <c r="J191"/>
      <c r="K191"/>
      <c r="L191"/>
      <c r="M191"/>
      <c r="N191"/>
      <c r="O191"/>
      <c r="P191"/>
      <c r="V191" s="1"/>
      <c r="W191" s="1"/>
      <c r="X191" s="1"/>
      <c r="Y191" s="1"/>
      <c r="Z191" s="1"/>
      <c r="AA191" s="1"/>
      <c r="AB191" s="1"/>
    </row>
    <row r="192" spans="10:28" ht="11.25" customHeight="1" x14ac:dyDescent="0.25">
      <c r="J192"/>
      <c r="K192"/>
      <c r="L192"/>
      <c r="M192"/>
      <c r="N192"/>
      <c r="O192"/>
      <c r="P192"/>
      <c r="V192" s="1"/>
      <c r="W192" s="1"/>
      <c r="X192" s="1"/>
      <c r="Y192" s="1"/>
      <c r="Z192" s="1"/>
      <c r="AA192" s="1"/>
      <c r="AB192" s="1"/>
    </row>
    <row r="193" spans="10:28" ht="11.25" customHeight="1" x14ac:dyDescent="0.25">
      <c r="J193"/>
      <c r="K193"/>
      <c r="L193"/>
      <c r="M193"/>
      <c r="N193"/>
      <c r="O193"/>
      <c r="P193"/>
      <c r="V193" s="1"/>
      <c r="W193" s="1"/>
      <c r="X193" s="1"/>
      <c r="Y193" s="1"/>
      <c r="Z193" s="1"/>
      <c r="AA193" s="1"/>
      <c r="AB193" s="1"/>
    </row>
    <row r="194" spans="10:28" ht="11.25" customHeight="1" x14ac:dyDescent="0.25">
      <c r="J194" s="1"/>
      <c r="K194" s="1"/>
      <c r="L194" s="1"/>
      <c r="P194"/>
      <c r="Q194"/>
      <c r="R194"/>
      <c r="S194"/>
      <c r="T194"/>
      <c r="U194"/>
      <c r="W194" s="1"/>
      <c r="X194" s="1"/>
      <c r="Y194" s="1"/>
      <c r="Z194" s="1"/>
      <c r="AA194" s="1"/>
      <c r="AB194" s="1"/>
    </row>
    <row r="195" spans="10:28" ht="11.25" customHeight="1" x14ac:dyDescent="0.25">
      <c r="J195" s="1"/>
      <c r="K195" s="1"/>
      <c r="L195" s="1"/>
      <c r="P195"/>
      <c r="Q195"/>
      <c r="R195"/>
      <c r="S195"/>
      <c r="T195"/>
      <c r="U195"/>
      <c r="W195" s="1"/>
      <c r="X195" s="1"/>
      <c r="Y195" s="1"/>
      <c r="Z195" s="1"/>
      <c r="AA195" s="1"/>
      <c r="AB195" s="1"/>
    </row>
    <row r="196" spans="10:28" ht="11.25" customHeight="1" x14ac:dyDescent="0.25">
      <c r="J196" s="1"/>
      <c r="K196" s="1"/>
      <c r="L196" s="1"/>
      <c r="P196"/>
      <c r="Q196"/>
      <c r="R196"/>
      <c r="S196"/>
      <c r="T196"/>
      <c r="U196"/>
      <c r="W196" s="1"/>
      <c r="X196" s="1"/>
      <c r="Y196" s="1"/>
      <c r="Z196" s="1"/>
      <c r="AA196" s="1"/>
      <c r="AB196" s="1"/>
    </row>
    <row r="197" spans="10:28" ht="11.25" customHeight="1" x14ac:dyDescent="0.25">
      <c r="J197" s="1"/>
      <c r="K197" s="1"/>
      <c r="L197" s="1"/>
      <c r="P197"/>
      <c r="Q197"/>
      <c r="R197"/>
      <c r="S197"/>
      <c r="T197"/>
      <c r="U197"/>
      <c r="W197" s="1"/>
      <c r="X197" s="1"/>
      <c r="Y197" s="1"/>
      <c r="Z197" s="1"/>
      <c r="AA197" s="1"/>
      <c r="AB197" s="1"/>
    </row>
    <row r="198" spans="10:28" ht="11.25" customHeight="1" x14ac:dyDescent="0.25">
      <c r="J198" s="1"/>
      <c r="K198" s="1"/>
      <c r="L198" s="1"/>
      <c r="P198"/>
      <c r="Q198"/>
      <c r="R198"/>
      <c r="S198"/>
      <c r="T198"/>
      <c r="U198"/>
      <c r="W198" s="1"/>
      <c r="X198" s="1"/>
      <c r="Y198" s="1"/>
      <c r="Z198" s="1"/>
      <c r="AA198" s="1"/>
      <c r="AB198" s="1"/>
    </row>
    <row r="199" spans="10:28" ht="11.25" customHeight="1" x14ac:dyDescent="0.25">
      <c r="J199" s="1"/>
      <c r="K199" s="1"/>
      <c r="L199" s="1"/>
      <c r="P199"/>
      <c r="Q199"/>
      <c r="R199"/>
      <c r="S199"/>
      <c r="T199"/>
      <c r="U199"/>
      <c r="W199" s="1"/>
      <c r="X199" s="1"/>
      <c r="Y199" s="1"/>
      <c r="Z199" s="1"/>
      <c r="AA199" s="1"/>
      <c r="AB199" s="1"/>
    </row>
    <row r="200" spans="10:28" ht="11.25" customHeight="1" x14ac:dyDescent="0.25">
      <c r="J200" s="1"/>
      <c r="K200" s="1"/>
      <c r="L200" s="1"/>
      <c r="P200"/>
      <c r="Q200"/>
      <c r="R200"/>
      <c r="S200"/>
      <c r="T200"/>
      <c r="U200"/>
      <c r="W200" s="1"/>
      <c r="X200" s="1"/>
      <c r="Y200" s="1"/>
      <c r="Z200" s="1"/>
      <c r="AA200" s="1"/>
      <c r="AB200" s="1"/>
    </row>
    <row r="201" spans="10:28" ht="11.25" customHeight="1" x14ac:dyDescent="0.25">
      <c r="J201" s="1"/>
      <c r="K201" s="1"/>
      <c r="L201" s="1"/>
      <c r="P201"/>
      <c r="Q201"/>
      <c r="R201"/>
      <c r="S201"/>
      <c r="T201"/>
      <c r="U201"/>
      <c r="W201" s="1"/>
      <c r="X201" s="1"/>
      <c r="Y201" s="1"/>
      <c r="Z201" s="1"/>
      <c r="AA201" s="1"/>
      <c r="AB201" s="1"/>
    </row>
    <row r="202" spans="10:28" ht="11.25" customHeight="1" x14ac:dyDescent="0.25">
      <c r="J202" s="1"/>
      <c r="K202" s="1"/>
      <c r="L202" s="1"/>
      <c r="P202"/>
      <c r="Q202"/>
      <c r="R202"/>
      <c r="S202"/>
      <c r="T202"/>
      <c r="U202"/>
      <c r="W202" s="1"/>
      <c r="X202" s="1"/>
      <c r="Y202" s="1"/>
      <c r="Z202" s="1"/>
      <c r="AA202" s="1"/>
      <c r="AB202" s="1"/>
    </row>
    <row r="203" spans="10:28" ht="11.25" customHeight="1" x14ac:dyDescent="0.25">
      <c r="J203" s="1"/>
      <c r="K203" s="1"/>
      <c r="L203" s="1"/>
      <c r="P203"/>
      <c r="Q203"/>
      <c r="R203"/>
      <c r="S203"/>
      <c r="T203"/>
      <c r="U203"/>
      <c r="W203" s="1"/>
      <c r="X203" s="1"/>
      <c r="Y203" s="1"/>
      <c r="Z203" s="1"/>
      <c r="AA203" s="1"/>
      <c r="AB203" s="1"/>
    </row>
    <row r="204" spans="10:28" ht="11.25" customHeight="1" x14ac:dyDescent="0.25">
      <c r="J204" s="1"/>
      <c r="K204" s="1"/>
      <c r="L204" s="1"/>
      <c r="P204"/>
      <c r="Q204"/>
      <c r="R204"/>
      <c r="S204"/>
      <c r="T204"/>
      <c r="U204"/>
      <c r="W204" s="1"/>
      <c r="X204" s="1"/>
      <c r="Y204" s="1"/>
      <c r="Z204" s="1"/>
      <c r="AA204" s="1"/>
      <c r="AB204" s="1"/>
    </row>
    <row r="205" spans="10:28" ht="11.25" customHeight="1" x14ac:dyDescent="0.25">
      <c r="J205" s="1"/>
      <c r="K205" s="1"/>
      <c r="L205" s="1"/>
      <c r="P205"/>
      <c r="Q205"/>
      <c r="R205"/>
      <c r="S205"/>
      <c r="T205"/>
      <c r="U205"/>
      <c r="W205" s="1"/>
      <c r="X205" s="1"/>
      <c r="Y205" s="1"/>
      <c r="Z205" s="1"/>
      <c r="AA205" s="1"/>
      <c r="AB205" s="1"/>
    </row>
    <row r="206" spans="10:28" ht="11.25" customHeight="1" x14ac:dyDescent="0.25">
      <c r="J206" s="1"/>
      <c r="K206" s="1"/>
      <c r="L206" s="1"/>
      <c r="P206"/>
      <c r="Q206"/>
      <c r="R206"/>
      <c r="S206"/>
      <c r="T206"/>
      <c r="U206"/>
      <c r="W206" s="1"/>
      <c r="X206" s="1"/>
      <c r="Y206" s="1"/>
      <c r="Z206" s="1"/>
      <c r="AA206" s="1"/>
      <c r="AB206" s="1"/>
    </row>
    <row r="207" spans="10:28" ht="11.25" customHeight="1" x14ac:dyDescent="0.25">
      <c r="J207" s="1"/>
      <c r="K207" s="1"/>
      <c r="L207" s="1"/>
      <c r="P207"/>
      <c r="Q207"/>
      <c r="R207"/>
      <c r="S207"/>
      <c r="T207"/>
      <c r="U207"/>
      <c r="W207" s="1"/>
      <c r="X207" s="1"/>
      <c r="Y207" s="1"/>
      <c r="Z207" s="1"/>
      <c r="AA207" s="1"/>
      <c r="AB207" s="1"/>
    </row>
  </sheetData>
  <sortState xmlns:xlrd2="http://schemas.microsoft.com/office/spreadsheetml/2017/richdata2" ref="A86:AB96">
    <sortCondition ref="B86:B96"/>
  </sortState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AB155"/>
  <sheetViews>
    <sheetView zoomScaleNormal="100" workbookViewId="0">
      <selection activeCell="A32" sqref="A32:XFD84"/>
    </sheetView>
  </sheetViews>
  <sheetFormatPr defaultColWidth="9.140625" defaultRowHeight="11.25" customHeight="1" x14ac:dyDescent="0.25"/>
  <cols>
    <col min="1" max="1" width="12" style="1" customWidth="1"/>
    <col min="2" max="2" width="25.28515625" style="1" customWidth="1"/>
    <col min="3" max="3" width="10.85546875" style="1" customWidth="1"/>
    <col min="4" max="4" width="8.28515625" style="1" customWidth="1"/>
    <col min="5" max="5" width="14" style="1" customWidth="1"/>
    <col min="6" max="6" width="10.7109375" style="1" customWidth="1"/>
    <col min="7" max="7" width="11.42578125" style="1" customWidth="1"/>
    <col min="8" max="8" width="9" style="1" customWidth="1"/>
    <col min="9" max="9" width="9.5703125" style="1" customWidth="1"/>
    <col min="10" max="10" width="11.42578125" style="5" customWidth="1"/>
    <col min="11" max="12" width="9.42578125" style="5" customWidth="1"/>
    <col min="13" max="14" width="10" style="1" customWidth="1"/>
    <col min="15" max="15" width="13" style="1" customWidth="1"/>
    <col min="16" max="16" width="9.140625" style="1"/>
    <col min="17" max="17" width="9.5703125" style="1" customWidth="1"/>
    <col min="18" max="18" width="9.140625" style="1"/>
    <col min="19" max="19" width="9.5703125" style="1" customWidth="1"/>
    <col min="20" max="21" width="9.140625" style="1"/>
    <col min="26" max="26" width="8.85546875" customWidth="1"/>
    <col min="27" max="28" width="8.7109375" customWidth="1"/>
    <col min="29" max="16384" width="9.140625" style="1"/>
  </cols>
  <sheetData>
    <row r="2" spans="1:19" s="1" customFormat="1" ht="45" customHeight="1" x14ac:dyDescent="0.65">
      <c r="B2" s="2" t="s">
        <v>0</v>
      </c>
      <c r="C2" s="2"/>
      <c r="D2" s="2"/>
      <c r="E2" s="2"/>
      <c r="F2" s="2"/>
      <c r="G2" s="3"/>
      <c r="H2" s="3"/>
      <c r="I2" s="3"/>
      <c r="J2" s="4"/>
      <c r="K2" s="4"/>
      <c r="L2" s="5"/>
    </row>
    <row r="3" spans="1:19" s="1" customFormat="1" ht="11.25" customHeight="1" x14ac:dyDescent="0.2">
      <c r="B3" s="6" t="s">
        <v>1</v>
      </c>
      <c r="C3" s="6"/>
      <c r="D3" s="6"/>
      <c r="E3" s="6"/>
      <c r="F3" s="6"/>
      <c r="G3" s="7">
        <v>45190</v>
      </c>
      <c r="J3" s="5"/>
      <c r="K3" s="5"/>
      <c r="L3" s="5"/>
    </row>
    <row r="4" spans="1:19" s="1" customFormat="1" ht="11.25" customHeight="1" x14ac:dyDescent="0.2">
      <c r="B4" s="6" t="s">
        <v>2</v>
      </c>
      <c r="C4" s="6"/>
      <c r="D4" s="6"/>
      <c r="E4" s="6"/>
      <c r="F4" s="6"/>
      <c r="G4" s="1" t="s">
        <v>3</v>
      </c>
      <c r="J4" s="5"/>
      <c r="K4" s="5"/>
      <c r="L4" s="5"/>
    </row>
    <row r="5" spans="1:19" s="1" customFormat="1" ht="11.25" customHeight="1" x14ac:dyDescent="0.25">
      <c r="B5" s="6" t="s">
        <v>4</v>
      </c>
      <c r="C5" s="6"/>
      <c r="D5" s="6"/>
      <c r="E5" s="6"/>
      <c r="F5" s="6"/>
      <c r="G5" s="8" t="s">
        <v>324</v>
      </c>
      <c r="J5" s="5"/>
      <c r="K5" s="5"/>
      <c r="L5" s="5"/>
      <c r="M5" s="9"/>
      <c r="N5" s="9"/>
    </row>
    <row r="6" spans="1:19" s="1" customFormat="1" ht="11.25" customHeight="1" x14ac:dyDescent="0.2">
      <c r="B6" s="6" t="s">
        <v>5</v>
      </c>
      <c r="C6" s="6"/>
      <c r="D6" s="6"/>
      <c r="E6" s="6"/>
      <c r="F6" s="6"/>
      <c r="G6" s="1" t="s">
        <v>6</v>
      </c>
      <c r="J6" s="5"/>
      <c r="K6" s="5"/>
      <c r="L6" s="5"/>
      <c r="S6" s="10"/>
    </row>
    <row r="7" spans="1:19" s="1" customFormat="1" ht="11.25" customHeight="1" x14ac:dyDescent="0.2">
      <c r="B7" s="6" t="s">
        <v>7</v>
      </c>
      <c r="C7" s="6"/>
      <c r="D7" s="6"/>
      <c r="E7" s="6"/>
      <c r="F7" s="6"/>
      <c r="G7" s="6" t="s">
        <v>53</v>
      </c>
      <c r="J7" s="5"/>
      <c r="K7" s="5"/>
      <c r="L7" s="5"/>
    </row>
    <row r="8" spans="1:19" s="1" customFormat="1" ht="11.25" customHeight="1" x14ac:dyDescent="0.2">
      <c r="B8" s="6" t="s">
        <v>8</v>
      </c>
      <c r="C8" s="6"/>
      <c r="D8" s="6"/>
      <c r="E8" s="6"/>
      <c r="F8" s="6"/>
      <c r="G8" s="6" t="s">
        <v>9</v>
      </c>
      <c r="J8" s="5"/>
      <c r="K8" s="11"/>
      <c r="M8" s="12"/>
      <c r="N8" s="13"/>
    </row>
    <row r="9" spans="1:19" s="1" customFormat="1" ht="11.25" customHeight="1" x14ac:dyDescent="0.25">
      <c r="A9" s="14" t="s">
        <v>10</v>
      </c>
      <c r="B9" s="15"/>
      <c r="C9" s="16" t="s">
        <v>11</v>
      </c>
      <c r="D9" s="17"/>
      <c r="E9" s="16" t="s">
        <v>12</v>
      </c>
      <c r="F9" s="18"/>
      <c r="G9" s="14" t="s">
        <v>13</v>
      </c>
      <c r="H9" s="19" t="s">
        <v>14</v>
      </c>
      <c r="I9" s="20" t="s">
        <v>14</v>
      </c>
      <c r="J9" s="21" t="s">
        <v>14</v>
      </c>
      <c r="K9" s="22"/>
      <c r="M9" s="12"/>
      <c r="N9" s="13"/>
    </row>
    <row r="10" spans="1:19" s="1" customFormat="1" ht="11.25" customHeight="1" x14ac:dyDescent="0.25">
      <c r="A10" s="23"/>
      <c r="B10" s="24"/>
      <c r="C10" s="25" t="s">
        <v>14</v>
      </c>
      <c r="D10" s="26" t="s">
        <v>15</v>
      </c>
      <c r="E10" s="25" t="s">
        <v>14</v>
      </c>
      <c r="F10" s="27" t="s">
        <v>15</v>
      </c>
      <c r="G10" s="28" t="s">
        <v>16</v>
      </c>
      <c r="H10" s="28" t="s">
        <v>17</v>
      </c>
      <c r="I10" s="29" t="s">
        <v>18</v>
      </c>
      <c r="J10" s="30" t="s">
        <v>19</v>
      </c>
      <c r="K10" s="22"/>
      <c r="M10" s="12"/>
      <c r="N10" s="13"/>
    </row>
    <row r="11" spans="1:19" s="1" customFormat="1" ht="11.25" customHeight="1" x14ac:dyDescent="0.25">
      <c r="A11" s="31"/>
      <c r="B11" s="32" t="s">
        <v>20</v>
      </c>
      <c r="C11" s="33">
        <v>-26.6</v>
      </c>
      <c r="D11" s="34"/>
      <c r="E11" s="35">
        <v>-21.3</v>
      </c>
      <c r="F11" s="36"/>
      <c r="G11" s="37"/>
      <c r="H11" s="38">
        <v>72.53</v>
      </c>
      <c r="I11" s="38">
        <v>6.51</v>
      </c>
      <c r="J11" s="39">
        <f>H11/I11</f>
        <v>11.141321044546851</v>
      </c>
      <c r="K11" s="22"/>
      <c r="M11" s="12"/>
      <c r="N11" s="13"/>
    </row>
    <row r="12" spans="1:19" s="1" customFormat="1" ht="11.25" customHeight="1" x14ac:dyDescent="0.25">
      <c r="A12" s="40"/>
      <c r="B12" s="41" t="s">
        <v>21</v>
      </c>
      <c r="C12" s="42"/>
      <c r="D12" s="43"/>
      <c r="E12"/>
      <c r="F12" s="44"/>
      <c r="G12" s="37"/>
      <c r="H12" s="45">
        <v>20</v>
      </c>
      <c r="I12" s="45">
        <v>46.65</v>
      </c>
      <c r="J12" s="46">
        <f>H12/I12</f>
        <v>0.4287245444801715</v>
      </c>
      <c r="K12" s="5"/>
      <c r="L12" s="5"/>
    </row>
    <row r="13" spans="1:19" s="1" customFormat="1" ht="11.25" customHeight="1" x14ac:dyDescent="0.25">
      <c r="A13" s="40"/>
      <c r="B13" s="41">
        <v>2704</v>
      </c>
      <c r="C13" s="42"/>
      <c r="D13" s="43"/>
      <c r="E13"/>
      <c r="F13" s="44"/>
      <c r="G13" s="47"/>
      <c r="H13" s="45">
        <v>3.3479999999999999</v>
      </c>
      <c r="I13" s="45"/>
      <c r="J13" s="46"/>
      <c r="K13" s="5"/>
      <c r="L13" s="5"/>
    </row>
    <row r="14" spans="1:19" s="1" customFormat="1" ht="11.25" customHeight="1" x14ac:dyDescent="0.25">
      <c r="A14" s="40"/>
      <c r="B14" s="41" t="s">
        <v>22</v>
      </c>
      <c r="C14" s="42">
        <v>-25.95</v>
      </c>
      <c r="D14" s="48"/>
      <c r="E14" s="49">
        <v>2.08</v>
      </c>
      <c r="F14" s="50">
        <f>AVERAGE(E88:E95)</f>
        <v>4.1884221356219831</v>
      </c>
      <c r="G14" s="47"/>
      <c r="H14" s="45">
        <v>44.65</v>
      </c>
      <c r="I14" s="45">
        <v>2.83</v>
      </c>
      <c r="J14" s="46">
        <f>H14/I14</f>
        <v>15.777385159010599</v>
      </c>
      <c r="K14" s="5"/>
      <c r="L14" s="5"/>
    </row>
    <row r="15" spans="1:19" s="1" customFormat="1" ht="11.25" customHeight="1" x14ac:dyDescent="0.25">
      <c r="A15" s="40"/>
      <c r="B15" s="41" t="s">
        <v>23</v>
      </c>
      <c r="C15" s="51">
        <v>-18.3</v>
      </c>
      <c r="D15" s="52">
        <f>AVERAGE(G39,G81)</f>
        <v>-13.687729705974448</v>
      </c>
      <c r="E15" s="49"/>
      <c r="F15" s="53"/>
      <c r="G15" s="54"/>
      <c r="H15" s="55"/>
      <c r="I15" s="55"/>
      <c r="J15" s="54"/>
      <c r="K15" s="5"/>
      <c r="L15" s="5"/>
    </row>
    <row r="16" spans="1:19" s="1" customFormat="1" ht="11.25" customHeight="1" x14ac:dyDescent="0.25">
      <c r="A16" s="40"/>
      <c r="B16" s="41" t="s">
        <v>24</v>
      </c>
      <c r="C16" s="42">
        <v>-25.49</v>
      </c>
      <c r="D16" s="52"/>
      <c r="E16" s="56"/>
      <c r="F16" s="57"/>
      <c r="G16" s="54"/>
      <c r="H16" s="55"/>
      <c r="I16" s="55"/>
      <c r="J16" s="54"/>
      <c r="K16" s="5"/>
      <c r="L16" s="5"/>
    </row>
    <row r="17" spans="1:20" s="1" customFormat="1" ht="11.25" customHeight="1" x14ac:dyDescent="0.25">
      <c r="A17" s="40"/>
      <c r="B17" s="41" t="s">
        <v>25</v>
      </c>
      <c r="C17" s="42">
        <v>-10.8</v>
      </c>
      <c r="D17" s="52">
        <f>AVERAGE(G38,G80)</f>
        <v>-6.2003468747234436</v>
      </c>
      <c r="E17" s="56"/>
      <c r="F17" s="57"/>
      <c r="G17" s="54"/>
      <c r="H17" s="55"/>
      <c r="I17" s="55"/>
      <c r="J17" s="54"/>
      <c r="K17" s="5"/>
      <c r="L17" s="5"/>
    </row>
    <row r="18" spans="1:20" s="1" customFormat="1" ht="11.25" customHeight="1" x14ac:dyDescent="0.25">
      <c r="A18" s="40"/>
      <c r="B18" s="41" t="s">
        <v>26</v>
      </c>
      <c r="C18" s="42">
        <v>-24.91</v>
      </c>
      <c r="D18" s="52">
        <f>AVERAGE(G79,G37)</f>
        <v>-20.33210387112474</v>
      </c>
      <c r="E18" s="56"/>
      <c r="F18" s="57"/>
      <c r="G18" s="54"/>
      <c r="H18" s="55"/>
      <c r="I18" s="55"/>
      <c r="J18" s="54"/>
      <c r="K18" s="5"/>
      <c r="L18" s="5"/>
    </row>
    <row r="19" spans="1:20" s="1" customFormat="1" ht="11.25" customHeight="1" x14ac:dyDescent="0.25">
      <c r="A19" s="40"/>
      <c r="B19" s="5" t="s">
        <v>27</v>
      </c>
      <c r="C19" s="42"/>
      <c r="D19" s="52"/>
      <c r="E19" s="58">
        <v>2.7</v>
      </c>
      <c r="F19" s="57"/>
      <c r="G19" s="54"/>
      <c r="H19" s="55"/>
      <c r="I19" s="55"/>
      <c r="J19" s="54"/>
      <c r="K19" s="5"/>
      <c r="L19" s="5"/>
    </row>
    <row r="20" spans="1:20" s="1" customFormat="1" ht="11.25" customHeight="1" x14ac:dyDescent="0.25">
      <c r="A20" s="40"/>
      <c r="B20" s="5" t="s">
        <v>28</v>
      </c>
      <c r="C20" s="42"/>
      <c r="D20" s="52"/>
      <c r="E20" s="58">
        <v>180</v>
      </c>
      <c r="F20" s="57"/>
      <c r="G20" s="54"/>
      <c r="H20" s="55"/>
      <c r="I20" s="55"/>
      <c r="J20" s="54"/>
      <c r="K20" s="5"/>
      <c r="L20" s="5"/>
    </row>
    <row r="21" spans="1:20" s="1" customFormat="1" ht="11.25" customHeight="1" x14ac:dyDescent="0.25">
      <c r="A21" s="40"/>
      <c r="B21" s="5" t="s">
        <v>29</v>
      </c>
      <c r="C21" s="42"/>
      <c r="D21" s="52"/>
      <c r="E21" s="58">
        <v>-1.8</v>
      </c>
      <c r="F21" s="57"/>
      <c r="G21" s="54"/>
      <c r="H21" s="55"/>
      <c r="I21" s="55"/>
      <c r="J21" s="54"/>
      <c r="K21" s="5"/>
      <c r="L21" s="5"/>
    </row>
    <row r="22" spans="1:20" s="1" customFormat="1" ht="11.25" customHeight="1" x14ac:dyDescent="0.25">
      <c r="A22" s="40"/>
      <c r="B22" s="41" t="s">
        <v>30</v>
      </c>
      <c r="C22" s="40"/>
      <c r="D22" s="59"/>
      <c r="E22" s="53">
        <v>0.4</v>
      </c>
      <c r="F22" s="50"/>
      <c r="G22" s="54"/>
      <c r="H22"/>
      <c r="I22"/>
      <c r="J22" s="54"/>
      <c r="K22" s="5"/>
      <c r="L22" s="5"/>
    </row>
    <row r="23" spans="1:20" s="1" customFormat="1" ht="11.25" customHeight="1" x14ac:dyDescent="0.25">
      <c r="A23" s="40"/>
      <c r="B23" s="41" t="s">
        <v>31</v>
      </c>
      <c r="C23" s="60"/>
      <c r="D23" s="59"/>
      <c r="E23" s="53">
        <v>20.3</v>
      </c>
      <c r="F23" s="50"/>
      <c r="G23" s="54"/>
      <c r="H23"/>
      <c r="I23"/>
      <c r="J23" s="54"/>
      <c r="K23" s="5"/>
      <c r="L23" s="5"/>
    </row>
    <row r="24" spans="1:20" s="1" customFormat="1" ht="11.25" customHeight="1" x14ac:dyDescent="0.25">
      <c r="A24" s="40"/>
      <c r="B24" s="41" t="s">
        <v>32</v>
      </c>
      <c r="C24" s="60"/>
      <c r="D24" s="52"/>
      <c r="E24" s="53">
        <v>4.7</v>
      </c>
      <c r="F24" s="50"/>
      <c r="G24" s="54"/>
      <c r="H24"/>
      <c r="I24"/>
      <c r="J24" s="54"/>
      <c r="K24" s="5"/>
      <c r="L24" s="5"/>
    </row>
    <row r="25" spans="1:20" customFormat="1" ht="11.25" customHeight="1" x14ac:dyDescent="0.25">
      <c r="A25" s="31"/>
      <c r="B25" s="61" t="s">
        <v>33</v>
      </c>
      <c r="C25" s="62"/>
      <c r="D25" s="61" t="s">
        <v>34</v>
      </c>
      <c r="E25" s="61"/>
      <c r="F25" s="62"/>
      <c r="G25" s="31"/>
      <c r="H25" s="62"/>
      <c r="I25" s="62"/>
      <c r="J25" s="63"/>
      <c r="K25" s="53"/>
      <c r="L25" s="53"/>
    </row>
    <row r="26" spans="1:20" customFormat="1" ht="11.25" customHeight="1" x14ac:dyDescent="0.25">
      <c r="A26" s="64" t="s">
        <v>35</v>
      </c>
      <c r="B26" s="53">
        <v>0.99850000000000005</v>
      </c>
      <c r="C26" s="65" t="s">
        <v>52</v>
      </c>
      <c r="D26" s="53">
        <v>-4.6162999999999998</v>
      </c>
      <c r="E26" s="53"/>
      <c r="F26" s="53"/>
      <c r="G26" s="40"/>
      <c r="H26" s="53"/>
      <c r="I26" s="53"/>
      <c r="J26" s="66"/>
      <c r="K26" s="53"/>
      <c r="L26" s="53"/>
    </row>
    <row r="27" spans="1:20" customFormat="1" ht="11.25" customHeight="1" x14ac:dyDescent="0.25">
      <c r="A27" s="64" t="s">
        <v>37</v>
      </c>
      <c r="B27" s="53">
        <v>1</v>
      </c>
      <c r="C27" s="65"/>
      <c r="D27" s="67">
        <f>$E$14-$F$14</f>
        <v>-2.108422135621983</v>
      </c>
      <c r="E27" s="53"/>
      <c r="F27" s="53"/>
      <c r="G27" s="40"/>
      <c r="H27" s="53"/>
      <c r="I27" s="53"/>
      <c r="J27" s="66"/>
      <c r="K27" s="53"/>
      <c r="L27" s="53"/>
    </row>
    <row r="28" spans="1:20" customFormat="1" ht="11.25" customHeight="1" x14ac:dyDescent="0.25">
      <c r="A28" s="68" t="s">
        <v>38</v>
      </c>
      <c r="B28" s="53">
        <v>5.2971999999999998E-2</v>
      </c>
      <c r="C28" s="65" t="s">
        <v>36</v>
      </c>
      <c r="D28" s="67">
        <v>0</v>
      </c>
      <c r="E28" s="49"/>
      <c r="F28" s="53"/>
      <c r="G28" s="40"/>
      <c r="H28" s="53"/>
      <c r="I28" s="53"/>
      <c r="J28" s="66"/>
      <c r="K28" s="53"/>
      <c r="L28" s="53"/>
    </row>
    <row r="29" spans="1:20" customFormat="1" ht="11.25" customHeight="1" x14ac:dyDescent="0.25">
      <c r="A29" s="68" t="s">
        <v>39</v>
      </c>
      <c r="B29" s="53">
        <v>2.2596999999999999E-2</v>
      </c>
      <c r="C29" s="49" t="s">
        <v>36</v>
      </c>
      <c r="D29" s="69">
        <v>-2.392E-3</v>
      </c>
      <c r="E29" s="69"/>
      <c r="F29" s="69"/>
      <c r="G29" s="70"/>
      <c r="H29" s="69"/>
      <c r="I29" s="69"/>
      <c r="J29" s="71"/>
      <c r="K29" s="53"/>
      <c r="L29" s="53"/>
      <c r="Q29" s="72"/>
    </row>
    <row r="30" spans="1:20" s="1" customFormat="1" ht="11.25" customHeight="1" x14ac:dyDescent="0.2">
      <c r="A30" s="73"/>
      <c r="B30" s="49"/>
      <c r="C30" s="49"/>
      <c r="D30" s="49"/>
      <c r="E30" s="49"/>
      <c r="F30" s="49"/>
      <c r="G30" s="74"/>
      <c r="H30" s="49"/>
      <c r="I30" s="56"/>
      <c r="J30" s="41"/>
      <c r="K30" s="5"/>
      <c r="L30" s="5"/>
    </row>
    <row r="31" spans="1:20" s="1" customFormat="1" ht="12" customHeight="1" x14ac:dyDescent="0.2">
      <c r="I31" s="3"/>
      <c r="J31" s="4"/>
    </row>
    <row r="32" spans="1:20" s="1" customFormat="1" ht="11.25" customHeight="1" x14ac:dyDescent="0.2">
      <c r="A32" s="75"/>
      <c r="B32" s="75" t="s">
        <v>40</v>
      </c>
      <c r="C32" s="75" t="s">
        <v>54</v>
      </c>
      <c r="D32" s="75" t="s">
        <v>80</v>
      </c>
      <c r="E32" s="75" t="s">
        <v>41</v>
      </c>
      <c r="F32" s="75" t="s">
        <v>81</v>
      </c>
      <c r="G32" s="99" t="s">
        <v>42</v>
      </c>
      <c r="H32" s="76" t="s">
        <v>43</v>
      </c>
      <c r="I32" s="77" t="s">
        <v>44</v>
      </c>
      <c r="J32" s="77" t="s">
        <v>45</v>
      </c>
      <c r="K32" s="77" t="s">
        <v>46</v>
      </c>
      <c r="L32" s="77" t="s">
        <v>47</v>
      </c>
      <c r="M32" s="178" t="s">
        <v>38</v>
      </c>
      <c r="N32" s="77" t="s">
        <v>38</v>
      </c>
      <c r="O32" s="77" t="s">
        <v>48</v>
      </c>
      <c r="P32" s="77" t="s">
        <v>49</v>
      </c>
      <c r="Q32" s="77" t="s">
        <v>39</v>
      </c>
      <c r="R32" s="77" t="s">
        <v>39</v>
      </c>
      <c r="S32" s="77" t="s">
        <v>50</v>
      </c>
      <c r="T32" s="77" t="s">
        <v>51</v>
      </c>
    </row>
    <row r="33" spans="1:20" s="90" customFormat="1" ht="11.25" customHeight="1" x14ac:dyDescent="0.2">
      <c r="A33" s="117">
        <v>30</v>
      </c>
      <c r="B33" s="117" t="s">
        <v>55</v>
      </c>
      <c r="C33" s="105">
        <v>0.96399999999999997</v>
      </c>
      <c r="D33" s="105">
        <v>1.2980538749999999</v>
      </c>
      <c r="E33" s="105">
        <v>4.5765241267066159</v>
      </c>
      <c r="F33" s="105">
        <v>8.0602090000000004</v>
      </c>
      <c r="G33" s="105">
        <v>-21.593369095694019</v>
      </c>
      <c r="H33" s="100">
        <f>$B$26*G33+$D$26</f>
        <v>-26.177279042050479</v>
      </c>
      <c r="I33" s="86">
        <f t="shared" ref="I33:I82" si="0">$B$27*E33+$D$27</f>
        <v>2.4681019910846329</v>
      </c>
      <c r="J33" s="87">
        <f t="shared" ref="J33:J82" si="1">(F33)/C33</f>
        <v>8.3612126556016602</v>
      </c>
      <c r="K33" s="87">
        <f>H$14</f>
        <v>44.65</v>
      </c>
      <c r="L33" s="87">
        <f>I$14</f>
        <v>2.83</v>
      </c>
      <c r="M33" s="87">
        <f t="shared" ref="M33:M82" si="2">C33*(K33/100)</f>
        <v>0.43042599999999998</v>
      </c>
      <c r="N33" s="179">
        <f t="shared" ref="N33:N82" si="3">F33*$B$28+$D$28</f>
        <v>0.42696539114800003</v>
      </c>
      <c r="O33" s="91">
        <f t="shared" ref="O33:O82" si="4">N33/C33*100</f>
        <v>44.291015679253114</v>
      </c>
      <c r="P33" s="87">
        <f t="shared" ref="P33:P82" si="5">D33/C33</f>
        <v>1.3465289159751037</v>
      </c>
      <c r="Q33" s="87">
        <f t="shared" ref="Q33:Q36" si="6">C33*(L33/100)</f>
        <v>2.7281200000000002E-2</v>
      </c>
      <c r="R33" s="179">
        <f t="shared" ref="R33:R82" si="7">D33*$B$29+$D$29</f>
        <v>2.6940123413374997E-2</v>
      </c>
      <c r="S33" s="89">
        <f t="shared" ref="S33:S82" si="8">R33/C33*100</f>
        <v>2.7946186113459541</v>
      </c>
      <c r="T33" s="86">
        <f t="shared" ref="T33:T82" si="9">N33/R33</f>
        <v>15.848679851853387</v>
      </c>
    </row>
    <row r="34" spans="1:20" s="90" customFormat="1" ht="11.25" customHeight="1" x14ac:dyDescent="0.2">
      <c r="A34" s="117">
        <v>31</v>
      </c>
      <c r="B34" s="117" t="s">
        <v>56</v>
      </c>
      <c r="C34" s="105">
        <v>1.0609999999999999</v>
      </c>
      <c r="D34" s="105">
        <v>1.430754125</v>
      </c>
      <c r="E34" s="105">
        <v>4.0125615120303326</v>
      </c>
      <c r="F34" s="105">
        <v>8.9198109999999993</v>
      </c>
      <c r="G34" s="105">
        <v>-21.537161125266451</v>
      </c>
      <c r="H34" s="100">
        <f t="shared" ref="H34:H82" si="10">$B$26*G34+$D$26</f>
        <v>-26.12115538357855</v>
      </c>
      <c r="I34" s="86">
        <f t="shared" si="0"/>
        <v>1.9041393764083496</v>
      </c>
      <c r="J34" s="87">
        <f t="shared" si="1"/>
        <v>8.4069849198868987</v>
      </c>
      <c r="K34" s="87">
        <f t="shared" ref="K34:L36" si="11">H$14</f>
        <v>44.65</v>
      </c>
      <c r="L34" s="87">
        <f t="shared" si="11"/>
        <v>2.83</v>
      </c>
      <c r="M34" s="87">
        <f t="shared" si="2"/>
        <v>0.4737365</v>
      </c>
      <c r="N34" s="179">
        <f t="shared" si="3"/>
        <v>0.47250022829199995</v>
      </c>
      <c r="O34" s="91">
        <f t="shared" si="4"/>
        <v>44.533480517624881</v>
      </c>
      <c r="P34" s="87">
        <f t="shared" si="5"/>
        <v>1.348495876531574</v>
      </c>
      <c r="Q34" s="87">
        <f t="shared" si="6"/>
        <v>3.0026300000000002E-2</v>
      </c>
      <c r="R34" s="179">
        <f t="shared" si="7"/>
        <v>2.9938750962625001E-2</v>
      </c>
      <c r="S34" s="89">
        <f t="shared" si="8"/>
        <v>2.8217484413407163</v>
      </c>
      <c r="T34" s="86">
        <f t="shared" si="9"/>
        <v>15.782229154511514</v>
      </c>
    </row>
    <row r="35" spans="1:20" s="90" customFormat="1" ht="11.25" customHeight="1" x14ac:dyDescent="0.2">
      <c r="A35" s="117">
        <v>32</v>
      </c>
      <c r="B35" s="117" t="s">
        <v>57</v>
      </c>
      <c r="C35" s="105">
        <v>0.92200000000000004</v>
      </c>
      <c r="D35" s="105">
        <v>1.251672125</v>
      </c>
      <c r="E35" s="105">
        <v>3.9476568033198767</v>
      </c>
      <c r="F35" s="105">
        <v>7.8355490000000003</v>
      </c>
      <c r="G35" s="105">
        <v>-21.527542659965818</v>
      </c>
      <c r="H35" s="100">
        <f t="shared" si="10"/>
        <v>-26.111551345975869</v>
      </c>
      <c r="I35" s="86">
        <f t="shared" si="0"/>
        <v>1.8392346676978937</v>
      </c>
      <c r="J35" s="87">
        <f t="shared" si="1"/>
        <v>8.4984262472885028</v>
      </c>
      <c r="K35" s="87">
        <f t="shared" si="11"/>
        <v>44.65</v>
      </c>
      <c r="L35" s="87">
        <f t="shared" si="11"/>
        <v>2.83</v>
      </c>
      <c r="M35" s="87">
        <f t="shared" si="2"/>
        <v>0.41167300000000001</v>
      </c>
      <c r="N35" s="179">
        <f t="shared" si="3"/>
        <v>0.41506470162800002</v>
      </c>
      <c r="O35" s="91">
        <f t="shared" si="4"/>
        <v>45.017863517136661</v>
      </c>
      <c r="P35" s="87">
        <f t="shared" si="5"/>
        <v>1.3575619577006508</v>
      </c>
      <c r="Q35" s="87">
        <f t="shared" si="6"/>
        <v>2.6092600000000004E-2</v>
      </c>
      <c r="R35" s="179">
        <f t="shared" si="7"/>
        <v>2.5892035008624997E-2</v>
      </c>
      <c r="S35" s="89">
        <f t="shared" si="8"/>
        <v>2.8082467471393704</v>
      </c>
      <c r="T35" s="86">
        <f t="shared" si="9"/>
        <v>16.030594022051037</v>
      </c>
    </row>
    <row r="36" spans="1:20" s="90" customFormat="1" ht="11.25" customHeight="1" x14ac:dyDescent="0.2">
      <c r="A36" s="117">
        <v>33</v>
      </c>
      <c r="B36" s="117" t="s">
        <v>58</v>
      </c>
      <c r="C36" s="105">
        <v>1.262</v>
      </c>
      <c r="D36" s="105">
        <v>1.6797878749999999</v>
      </c>
      <c r="E36" s="105">
        <v>4.0418404966289234</v>
      </c>
      <c r="F36" s="105">
        <v>10.599449999999999</v>
      </c>
      <c r="G36" s="105">
        <v>-21.570495667190514</v>
      </c>
      <c r="H36" s="100">
        <f t="shared" si="10"/>
        <v>-26.154439923689729</v>
      </c>
      <c r="I36" s="86">
        <f t="shared" si="0"/>
        <v>1.9334183610069404</v>
      </c>
      <c r="J36" s="87">
        <f t="shared" si="1"/>
        <v>8.3989302694136292</v>
      </c>
      <c r="K36" s="87">
        <f t="shared" si="11"/>
        <v>44.65</v>
      </c>
      <c r="L36" s="87">
        <f t="shared" si="11"/>
        <v>2.83</v>
      </c>
      <c r="M36" s="87">
        <f t="shared" si="2"/>
        <v>0.56348300000000007</v>
      </c>
      <c r="N36" s="179">
        <f t="shared" si="3"/>
        <v>0.56147406539999989</v>
      </c>
      <c r="O36" s="91">
        <f t="shared" si="4"/>
        <v>44.490813423137865</v>
      </c>
      <c r="P36" s="87">
        <f t="shared" si="5"/>
        <v>1.3310521988906496</v>
      </c>
      <c r="Q36" s="87">
        <f t="shared" si="6"/>
        <v>3.5714600000000006E-2</v>
      </c>
      <c r="R36" s="179">
        <f t="shared" si="7"/>
        <v>3.5566166611374996E-2</v>
      </c>
      <c r="S36" s="89">
        <f t="shared" si="8"/>
        <v>2.8182382417888268</v>
      </c>
      <c r="T36" s="86">
        <f t="shared" si="9"/>
        <v>15.786746756689423</v>
      </c>
    </row>
    <row r="37" spans="1:20" s="1" customFormat="1" ht="11.25" customHeight="1" x14ac:dyDescent="0.2">
      <c r="A37" s="83">
        <v>34</v>
      </c>
      <c r="B37" s="83" t="s">
        <v>60</v>
      </c>
      <c r="C37" s="84">
        <v>1.202</v>
      </c>
      <c r="D37" s="84">
        <v>0.16253965625</v>
      </c>
      <c r="E37" s="84">
        <v>-3.084872244596859</v>
      </c>
      <c r="F37" s="84">
        <v>9.3018999999999998</v>
      </c>
      <c r="G37" s="84">
        <v>-20.119443320476883</v>
      </c>
      <c r="H37" s="101">
        <f t="shared" si="10"/>
        <v>-24.705564155496166</v>
      </c>
      <c r="I37" s="78">
        <f t="shared" si="0"/>
        <v>-5.193294380218842</v>
      </c>
      <c r="J37" s="79">
        <f t="shared" si="1"/>
        <v>7.7386855241264563</v>
      </c>
      <c r="K37" s="79"/>
      <c r="L37" s="79"/>
      <c r="M37" s="79">
        <f t="shared" si="2"/>
        <v>0</v>
      </c>
      <c r="N37" s="180">
        <f t="shared" si="3"/>
        <v>0.49274024679999995</v>
      </c>
      <c r="O37" s="81">
        <f t="shared" si="4"/>
        <v>40.993364958402658</v>
      </c>
      <c r="P37" s="79">
        <f t="shared" si="5"/>
        <v>0.13522433964226291</v>
      </c>
      <c r="Q37" s="79"/>
      <c r="R37" s="180">
        <f t="shared" si="7"/>
        <v>1.2809086122812499E-3</v>
      </c>
      <c r="S37" s="82">
        <f t="shared" si="8"/>
        <v>0.10656477639611064</v>
      </c>
      <c r="T37" s="78">
        <f t="shared" si="9"/>
        <v>384.68025124950026</v>
      </c>
    </row>
    <row r="38" spans="1:20" s="1" customFormat="1" ht="11.25" customHeight="1" x14ac:dyDescent="0.2">
      <c r="A38" s="95">
        <v>35</v>
      </c>
      <c r="B38" s="95" t="s">
        <v>66</v>
      </c>
      <c r="C38" s="96">
        <v>1.204</v>
      </c>
      <c r="D38" s="96">
        <v>0.16198407812499999</v>
      </c>
      <c r="E38" s="96">
        <v>-5.3953895389948769</v>
      </c>
      <c r="F38" s="96">
        <v>9.2150639999999999</v>
      </c>
      <c r="G38" s="96">
        <v>-6.0505836914376028</v>
      </c>
      <c r="H38" s="101">
        <f t="shared" si="10"/>
        <v>-10.657807815900448</v>
      </c>
      <c r="I38" s="78">
        <f t="shared" si="0"/>
        <v>-7.5038116746168599</v>
      </c>
      <c r="J38" s="79">
        <f t="shared" si="1"/>
        <v>7.6537076411960134</v>
      </c>
      <c r="K38" s="79"/>
      <c r="L38" s="79"/>
      <c r="M38" s="79">
        <f t="shared" si="2"/>
        <v>0</v>
      </c>
      <c r="N38" s="180">
        <f t="shared" si="3"/>
        <v>0.488140370208</v>
      </c>
      <c r="O38" s="81">
        <f t="shared" si="4"/>
        <v>40.543220116943523</v>
      </c>
      <c r="P38" s="79">
        <f t="shared" si="5"/>
        <v>0.13453827086794018</v>
      </c>
      <c r="Q38" s="79"/>
      <c r="R38" s="180">
        <f t="shared" si="7"/>
        <v>1.2683542133906244E-3</v>
      </c>
      <c r="S38" s="82">
        <f t="shared" si="8"/>
        <v>0.10534503433476947</v>
      </c>
      <c r="T38" s="78">
        <f t="shared" si="9"/>
        <v>384.86123596584281</v>
      </c>
    </row>
    <row r="39" spans="1:20" s="1" customFormat="1" ht="11.25" customHeight="1" x14ac:dyDescent="0.2">
      <c r="A39" s="83">
        <v>36</v>
      </c>
      <c r="B39" s="83" t="s">
        <v>65</v>
      </c>
      <c r="C39" s="84">
        <v>1.399</v>
      </c>
      <c r="D39" s="84">
        <v>0.17622625</v>
      </c>
      <c r="E39" s="84">
        <v>-4.8872985629148102</v>
      </c>
      <c r="F39" s="84">
        <v>4.9284249999999998</v>
      </c>
      <c r="G39" s="84">
        <v>-13.560863721169246</v>
      </c>
      <c r="H39" s="101">
        <f t="shared" si="10"/>
        <v>-18.156822425587492</v>
      </c>
      <c r="I39" s="78">
        <f t="shared" si="0"/>
        <v>-6.9957206985367932</v>
      </c>
      <c r="J39" s="79">
        <f t="shared" si="1"/>
        <v>3.5228198713366687</v>
      </c>
      <c r="K39" s="79"/>
      <c r="L39" s="79"/>
      <c r="M39" s="79">
        <f t="shared" si="2"/>
        <v>0</v>
      </c>
      <c r="N39" s="180">
        <f t="shared" si="3"/>
        <v>0.2610685291</v>
      </c>
      <c r="O39" s="81">
        <f t="shared" si="4"/>
        <v>18.661081422444603</v>
      </c>
      <c r="P39" s="79">
        <f t="shared" si="5"/>
        <v>0.12596586847748392</v>
      </c>
      <c r="Q39" s="79"/>
      <c r="R39" s="180">
        <f t="shared" si="7"/>
        <v>1.5901845712500001E-3</v>
      </c>
      <c r="S39" s="82">
        <f t="shared" si="8"/>
        <v>0.11366580209077913</v>
      </c>
      <c r="T39" s="78">
        <f t="shared" si="9"/>
        <v>164.17498560860847</v>
      </c>
    </row>
    <row r="40" spans="1:20" s="90" customFormat="1" ht="11.25" customHeight="1" x14ac:dyDescent="0.2">
      <c r="A40" s="117">
        <v>37</v>
      </c>
      <c r="B40" s="117" t="s">
        <v>59</v>
      </c>
      <c r="C40" s="105">
        <v>1.127</v>
      </c>
      <c r="D40" s="105">
        <v>1.5327558750000001</v>
      </c>
      <c r="E40" s="105">
        <v>3.9766631002962072</v>
      </c>
      <c r="F40" s="105">
        <v>9.5195640000000008</v>
      </c>
      <c r="G40" s="105">
        <v>-21.544261956408633</v>
      </c>
      <c r="H40" s="100">
        <f t="shared" si="10"/>
        <v>-26.128245563474021</v>
      </c>
      <c r="I40" s="86">
        <f t="shared" si="0"/>
        <v>1.8682409646742242</v>
      </c>
      <c r="J40" s="87">
        <f t="shared" si="1"/>
        <v>8.4468181011535055</v>
      </c>
      <c r="K40" s="87">
        <f t="shared" ref="K40:L40" si="12">H$14</f>
        <v>44.65</v>
      </c>
      <c r="L40" s="87">
        <f t="shared" si="12"/>
        <v>2.83</v>
      </c>
      <c r="M40" s="87">
        <f t="shared" si="2"/>
        <v>0.50320549999999997</v>
      </c>
      <c r="N40" s="179">
        <f t="shared" si="3"/>
        <v>0.50427034420799999</v>
      </c>
      <c r="O40" s="91">
        <f t="shared" si="4"/>
        <v>44.744484845430343</v>
      </c>
      <c r="P40" s="87">
        <f t="shared" si="5"/>
        <v>1.3600318322981366</v>
      </c>
      <c r="Q40" s="87">
        <f t="shared" ref="Q40" si="13">C40*(L40/100)</f>
        <v>3.1894100000000002E-2</v>
      </c>
      <c r="R40" s="179">
        <f t="shared" si="7"/>
        <v>3.2243684507375005E-2</v>
      </c>
      <c r="S40" s="89">
        <f t="shared" si="8"/>
        <v>2.8610190334849164</v>
      </c>
      <c r="T40" s="86">
        <f t="shared" si="9"/>
        <v>15.6393523851984</v>
      </c>
    </row>
    <row r="41" spans="1:20" s="1" customFormat="1" ht="11.25" customHeight="1" x14ac:dyDescent="0.2">
      <c r="A41" s="83">
        <v>38</v>
      </c>
      <c r="B41" s="83" t="s">
        <v>291</v>
      </c>
      <c r="C41" s="84">
        <v>6.7130000000000001</v>
      </c>
      <c r="D41" s="84">
        <v>0.39128146875000003</v>
      </c>
      <c r="E41" s="84">
        <v>0.62762102560132149</v>
      </c>
      <c r="F41" s="84">
        <v>1.1697115</v>
      </c>
      <c r="G41" s="84">
        <v>-21.641538612293242</v>
      </c>
      <c r="H41" s="101">
        <f t="shared" si="10"/>
        <v>-26.225376304374802</v>
      </c>
      <c r="I41" s="78">
        <f t="shared" si="0"/>
        <v>-1.4808011100206615</v>
      </c>
      <c r="J41" s="79">
        <f t="shared" si="1"/>
        <v>0.1742457172650082</v>
      </c>
      <c r="K41" s="79"/>
      <c r="L41" s="79"/>
      <c r="M41" s="79">
        <f t="shared" si="2"/>
        <v>0</v>
      </c>
      <c r="N41" s="180">
        <f t="shared" si="3"/>
        <v>6.1961957578E-2</v>
      </c>
      <c r="O41" s="81">
        <f t="shared" si="4"/>
        <v>0.9230144134962015</v>
      </c>
      <c r="P41" s="79">
        <f t="shared" si="5"/>
        <v>5.8287124795173548E-2</v>
      </c>
      <c r="Q41" s="79"/>
      <c r="R41" s="180">
        <f t="shared" si="7"/>
        <v>6.4497873493437503E-3</v>
      </c>
      <c r="S41" s="82">
        <f t="shared" si="8"/>
        <v>9.6079060767819913E-2</v>
      </c>
      <c r="T41" s="78">
        <f t="shared" si="9"/>
        <v>9.6068217790629138</v>
      </c>
    </row>
    <row r="42" spans="1:20" s="1" customFormat="1" ht="11.25" customHeight="1" x14ac:dyDescent="0.2">
      <c r="A42" s="95">
        <v>39</v>
      </c>
      <c r="B42" s="95" t="s">
        <v>292</v>
      </c>
      <c r="C42" s="96">
        <v>6.6989999999999998</v>
      </c>
      <c r="D42" s="96">
        <v>0.42645184375</v>
      </c>
      <c r="E42" s="96">
        <v>0.53038104948699427</v>
      </c>
      <c r="F42" s="96">
        <v>0.78825387499999999</v>
      </c>
      <c r="G42" s="96">
        <v>-24.351227942940511</v>
      </c>
      <c r="H42" s="101">
        <f t="shared" si="10"/>
        <v>-28.931001101026101</v>
      </c>
      <c r="I42" s="78">
        <f t="shared" si="0"/>
        <v>-1.5780410861349887</v>
      </c>
      <c r="J42" s="79">
        <f t="shared" si="1"/>
        <v>0.11766739438722197</v>
      </c>
      <c r="K42" s="79"/>
      <c r="L42" s="79"/>
      <c r="M42" s="79">
        <f t="shared" si="2"/>
        <v>0</v>
      </c>
      <c r="N42" s="180">
        <f t="shared" si="3"/>
        <v>4.1755384266499995E-2</v>
      </c>
      <c r="O42" s="81">
        <f t="shared" si="4"/>
        <v>0.62330772154799219</v>
      </c>
      <c r="P42" s="79">
        <f t="shared" si="5"/>
        <v>6.3659030265711306E-2</v>
      </c>
      <c r="Q42" s="79"/>
      <c r="R42" s="180">
        <f t="shared" si="7"/>
        <v>7.2445323132187493E-3</v>
      </c>
      <c r="S42" s="82">
        <f t="shared" si="8"/>
        <v>0.10814348877770934</v>
      </c>
      <c r="T42" s="78">
        <f t="shared" si="9"/>
        <v>5.7637101280245453</v>
      </c>
    </row>
    <row r="43" spans="1:20" s="1" customFormat="1" ht="11.25" customHeight="1" x14ac:dyDescent="0.2">
      <c r="A43" s="83">
        <v>40</v>
      </c>
      <c r="B43" s="83" t="s">
        <v>293</v>
      </c>
      <c r="C43" s="84">
        <v>6.8609999999999998</v>
      </c>
      <c r="D43" s="84">
        <v>0.51020181249999996</v>
      </c>
      <c r="E43" s="84">
        <v>1.3013803485475428</v>
      </c>
      <c r="F43" s="84">
        <v>0.96519631250000004</v>
      </c>
      <c r="G43" s="84">
        <v>-21.472396139564918</v>
      </c>
      <c r="H43" s="101">
        <f t="shared" si="10"/>
        <v>-26.056487545355569</v>
      </c>
      <c r="I43" s="78">
        <f t="shared" si="0"/>
        <v>-0.80704178707444019</v>
      </c>
      <c r="J43" s="79">
        <f t="shared" si="1"/>
        <v>0.14067866382451538</v>
      </c>
      <c r="K43" s="79"/>
      <c r="L43" s="79"/>
      <c r="M43" s="79">
        <f t="shared" si="2"/>
        <v>0</v>
      </c>
      <c r="N43" s="180">
        <f t="shared" si="3"/>
        <v>5.1128379065749997E-2</v>
      </c>
      <c r="O43" s="81">
        <f t="shared" si="4"/>
        <v>0.7452030180112228</v>
      </c>
      <c r="P43" s="79">
        <f t="shared" si="5"/>
        <v>7.4362602025943733E-2</v>
      </c>
      <c r="Q43" s="79"/>
      <c r="R43" s="180">
        <f t="shared" si="7"/>
        <v>9.1370303570624985E-3</v>
      </c>
      <c r="S43" s="82">
        <f t="shared" si="8"/>
        <v>0.13317344930859201</v>
      </c>
      <c r="T43" s="78">
        <f t="shared" si="9"/>
        <v>5.5957326470115252</v>
      </c>
    </row>
    <row r="44" spans="1:20" s="1" customFormat="1" ht="11.25" customHeight="1" x14ac:dyDescent="0.2">
      <c r="A44" s="95">
        <v>41</v>
      </c>
      <c r="B44" s="95" t="s">
        <v>294</v>
      </c>
      <c r="C44" s="96">
        <v>6.1920000000000002</v>
      </c>
      <c r="D44" s="96">
        <v>0.53604837500000002</v>
      </c>
      <c r="E44" s="96">
        <v>0.48442869681841749</v>
      </c>
      <c r="F44" s="96">
        <v>0.53823781250000002</v>
      </c>
      <c r="G44" s="96">
        <v>-21.481975777202791</v>
      </c>
      <c r="H44" s="101">
        <f t="shared" si="10"/>
        <v>-26.066052813536988</v>
      </c>
      <c r="I44" s="78">
        <f t="shared" si="0"/>
        <v>-1.6239934388035655</v>
      </c>
      <c r="J44" s="79">
        <f t="shared" si="1"/>
        <v>8.6924711321059431E-2</v>
      </c>
      <c r="K44" s="79"/>
      <c r="L44" s="79"/>
      <c r="M44" s="79">
        <f t="shared" si="2"/>
        <v>0</v>
      </c>
      <c r="N44" s="180">
        <f t="shared" si="3"/>
        <v>2.8511533403750001E-2</v>
      </c>
      <c r="O44" s="81">
        <f t="shared" si="4"/>
        <v>0.460457580809916</v>
      </c>
      <c r="P44" s="79">
        <f t="shared" si="5"/>
        <v>8.6571119993540058E-2</v>
      </c>
      <c r="Q44" s="79"/>
      <c r="R44" s="180">
        <f t="shared" si="7"/>
        <v>9.7210851298750005E-3</v>
      </c>
      <c r="S44" s="82">
        <f t="shared" si="8"/>
        <v>0.1569942688933301</v>
      </c>
      <c r="T44" s="78">
        <f t="shared" si="9"/>
        <v>2.9329578974807951</v>
      </c>
    </row>
    <row r="45" spans="1:20" s="1" customFormat="1" ht="11.25" customHeight="1" x14ac:dyDescent="0.2">
      <c r="A45" s="83">
        <v>42</v>
      </c>
      <c r="B45" s="83" t="s">
        <v>295</v>
      </c>
      <c r="C45" s="84">
        <v>6.32</v>
      </c>
      <c r="D45" s="84">
        <v>0.58704468750000005</v>
      </c>
      <c r="E45" s="84">
        <v>-1.4246337003753773</v>
      </c>
      <c r="F45" s="84">
        <v>0.58386925000000001</v>
      </c>
      <c r="G45" s="84">
        <v>-21.914286668643683</v>
      </c>
      <c r="H45" s="101">
        <f t="shared" si="10"/>
        <v>-26.497715238640719</v>
      </c>
      <c r="I45" s="78">
        <f t="shared" si="0"/>
        <v>-3.5330558359973603</v>
      </c>
      <c r="J45" s="79">
        <f t="shared" si="1"/>
        <v>9.2384374999999991E-2</v>
      </c>
      <c r="K45" s="79"/>
      <c r="L45" s="79"/>
      <c r="M45" s="79">
        <f t="shared" si="2"/>
        <v>0</v>
      </c>
      <c r="N45" s="180">
        <f t="shared" si="3"/>
        <v>3.0928721911E-2</v>
      </c>
      <c r="O45" s="81">
        <f t="shared" si="4"/>
        <v>0.48937851124999998</v>
      </c>
      <c r="P45" s="79">
        <f t="shared" si="5"/>
        <v>9.288681764240507E-2</v>
      </c>
      <c r="Q45" s="79"/>
      <c r="R45" s="180">
        <f t="shared" si="7"/>
        <v>1.0873448803437501E-2</v>
      </c>
      <c r="S45" s="82">
        <f t="shared" si="8"/>
        <v>0.17204824056071993</v>
      </c>
      <c r="T45" s="78">
        <f t="shared" si="9"/>
        <v>2.8444261310378618</v>
      </c>
    </row>
    <row r="46" spans="1:20" s="1" customFormat="1" ht="11.25" customHeight="1" x14ac:dyDescent="0.2">
      <c r="A46" s="95">
        <v>43</v>
      </c>
      <c r="B46" s="95" t="s">
        <v>296</v>
      </c>
      <c r="C46" s="96">
        <v>6.5449999999999999</v>
      </c>
      <c r="D46" s="96">
        <v>0.62736674999999997</v>
      </c>
      <c r="E46" s="96">
        <v>-0.65253287707389696</v>
      </c>
      <c r="F46" s="96">
        <v>0.57232525000000001</v>
      </c>
      <c r="G46" s="96">
        <v>-22.484534575875138</v>
      </c>
      <c r="H46" s="101">
        <f t="shared" si="10"/>
        <v>-27.067107774011326</v>
      </c>
      <c r="I46" s="78">
        <f t="shared" si="0"/>
        <v>-2.76095501269588</v>
      </c>
      <c r="J46" s="79">
        <f t="shared" si="1"/>
        <v>8.744465240641712E-2</v>
      </c>
      <c r="K46" s="79"/>
      <c r="L46" s="79"/>
      <c r="M46" s="79">
        <f t="shared" si="2"/>
        <v>0</v>
      </c>
      <c r="N46" s="180">
        <f t="shared" si="3"/>
        <v>3.0317213143E-2</v>
      </c>
      <c r="O46" s="81">
        <f t="shared" si="4"/>
        <v>0.46321181272727274</v>
      </c>
      <c r="P46" s="79">
        <f t="shared" si="5"/>
        <v>9.5854354469060349E-2</v>
      </c>
      <c r="Q46" s="79"/>
      <c r="R46" s="180">
        <f t="shared" si="7"/>
        <v>1.1784606449749999E-2</v>
      </c>
      <c r="S46" s="82">
        <f t="shared" si="8"/>
        <v>0.18005510236440028</v>
      </c>
      <c r="T46" s="78">
        <f t="shared" si="9"/>
        <v>2.5726114208627777</v>
      </c>
    </row>
    <row r="47" spans="1:20" s="1" customFormat="1" ht="11.25" customHeight="1" x14ac:dyDescent="0.2">
      <c r="A47" s="83">
        <v>44</v>
      </c>
      <c r="B47" s="83" t="s">
        <v>297</v>
      </c>
      <c r="C47" s="84">
        <v>6.4050000000000002</v>
      </c>
      <c r="D47" s="84">
        <v>0.6428239375</v>
      </c>
      <c r="E47" s="84">
        <v>-1.1468104644208887</v>
      </c>
      <c r="F47" s="84">
        <v>0.44596059375000002</v>
      </c>
      <c r="G47" s="84">
        <v>-22.168567258518696</v>
      </c>
      <c r="H47" s="101">
        <f t="shared" si="10"/>
        <v>-26.751614407630917</v>
      </c>
      <c r="I47" s="78">
        <f t="shared" si="0"/>
        <v>-3.2552326000428717</v>
      </c>
      <c r="J47" s="79">
        <f t="shared" si="1"/>
        <v>6.9626946721311478E-2</v>
      </c>
      <c r="K47" s="79"/>
      <c r="L47" s="79"/>
      <c r="M47" s="79">
        <f t="shared" si="2"/>
        <v>0</v>
      </c>
      <c r="N47" s="180">
        <f t="shared" si="3"/>
        <v>2.3623424572125001E-2</v>
      </c>
      <c r="O47" s="81">
        <f t="shared" si="4"/>
        <v>0.36882786217213115</v>
      </c>
      <c r="P47" s="79">
        <f t="shared" si="5"/>
        <v>0.10036283177205307</v>
      </c>
      <c r="Q47" s="79"/>
      <c r="R47" s="180">
        <f t="shared" si="7"/>
        <v>1.21338925156875E-2</v>
      </c>
      <c r="S47" s="82">
        <f t="shared" si="8"/>
        <v>0.18944406737997657</v>
      </c>
      <c r="T47" s="78">
        <f t="shared" si="9"/>
        <v>1.946895816126859</v>
      </c>
    </row>
    <row r="48" spans="1:20" s="1" customFormat="1" ht="11.25" customHeight="1" x14ac:dyDescent="0.2">
      <c r="A48" s="95">
        <v>45</v>
      </c>
      <c r="B48" s="95" t="s">
        <v>298</v>
      </c>
      <c r="C48" s="96">
        <v>6.3319999999999999</v>
      </c>
      <c r="D48" s="96">
        <v>0.73006956249999999</v>
      </c>
      <c r="E48" s="96">
        <v>-1.9030291722267334</v>
      </c>
      <c r="F48" s="96">
        <v>0.46562771874999997</v>
      </c>
      <c r="G48" s="96">
        <v>-21.993856391198033</v>
      </c>
      <c r="H48" s="101">
        <f t="shared" si="10"/>
        <v>-26.577165606611235</v>
      </c>
      <c r="I48" s="78">
        <f t="shared" si="0"/>
        <v>-4.0114513078487164</v>
      </c>
      <c r="J48" s="79">
        <f t="shared" si="1"/>
        <v>7.3535647307327853E-2</v>
      </c>
      <c r="K48" s="79"/>
      <c r="L48" s="79"/>
      <c r="M48" s="79">
        <f t="shared" si="2"/>
        <v>0</v>
      </c>
      <c r="N48" s="180">
        <f t="shared" si="3"/>
        <v>2.4665231517624998E-2</v>
      </c>
      <c r="O48" s="81">
        <f t="shared" si="4"/>
        <v>0.38953303091637714</v>
      </c>
      <c r="P48" s="79">
        <f t="shared" si="5"/>
        <v>0.11529841479785218</v>
      </c>
      <c r="Q48" s="79"/>
      <c r="R48" s="180">
        <f t="shared" si="7"/>
        <v>1.4105381903812499E-2</v>
      </c>
      <c r="S48" s="82">
        <f t="shared" si="8"/>
        <v>0.22276345394523847</v>
      </c>
      <c r="T48" s="78">
        <f t="shared" si="9"/>
        <v>1.7486397522465031</v>
      </c>
    </row>
    <row r="49" spans="1:20" s="1" customFormat="1" ht="11.25" customHeight="1" x14ac:dyDescent="0.2">
      <c r="A49" s="83">
        <v>46</v>
      </c>
      <c r="B49" s="83" t="s">
        <v>299</v>
      </c>
      <c r="C49" s="84">
        <v>6.3440000000000003</v>
      </c>
      <c r="D49" s="84">
        <v>0.89244662500000005</v>
      </c>
      <c r="E49" s="84">
        <v>-0.89908915536740519</v>
      </c>
      <c r="F49" s="84">
        <v>0.50447331250000005</v>
      </c>
      <c r="G49" s="84">
        <v>-22.335671236856719</v>
      </c>
      <c r="H49" s="101">
        <f t="shared" si="10"/>
        <v>-26.918467730001435</v>
      </c>
      <c r="I49" s="78">
        <f t="shared" si="0"/>
        <v>-3.0075112909893882</v>
      </c>
      <c r="J49" s="79">
        <f t="shared" si="1"/>
        <v>7.9519752916141245E-2</v>
      </c>
      <c r="K49" s="79"/>
      <c r="L49" s="79"/>
      <c r="M49" s="79">
        <f t="shared" si="2"/>
        <v>0</v>
      </c>
      <c r="N49" s="180">
        <f>F49*$B$28+$D$28</f>
        <v>2.672296030975E-2</v>
      </c>
      <c r="O49" s="81">
        <f>N49/C49*100</f>
        <v>0.42123203514738328</v>
      </c>
      <c r="P49" s="79">
        <f t="shared" si="5"/>
        <v>0.14067569750945777</v>
      </c>
      <c r="Q49" s="79"/>
      <c r="R49" s="180">
        <f t="shared" si="7"/>
        <v>1.7774616385125001E-2</v>
      </c>
      <c r="S49" s="82">
        <f t="shared" si="8"/>
        <v>0.28017995562933479</v>
      </c>
      <c r="T49" s="78">
        <f t="shared" si="9"/>
        <v>1.5034338705680073</v>
      </c>
    </row>
    <row r="50" spans="1:20" s="1" customFormat="1" ht="11.25" customHeight="1" x14ac:dyDescent="0.2">
      <c r="A50" s="95">
        <v>47</v>
      </c>
      <c r="B50" s="95" t="s">
        <v>300</v>
      </c>
      <c r="C50" s="96">
        <v>6.48</v>
      </c>
      <c r="D50" s="96">
        <v>1.0459097500000001</v>
      </c>
      <c r="E50" s="96">
        <v>-1.1980598382660412</v>
      </c>
      <c r="F50" s="96">
        <v>0.30994125</v>
      </c>
      <c r="G50" s="96">
        <v>-22.415758434549751</v>
      </c>
      <c r="H50" s="101">
        <f t="shared" si="10"/>
        <v>-26.998434796897925</v>
      </c>
      <c r="I50" s="78">
        <f t="shared" si="0"/>
        <v>-3.3064819738880242</v>
      </c>
      <c r="J50" s="79">
        <f t="shared" si="1"/>
        <v>4.7830439814814815E-2</v>
      </c>
      <c r="K50" s="79"/>
      <c r="L50" s="79"/>
      <c r="M50" s="79">
        <f t="shared" si="2"/>
        <v>0</v>
      </c>
      <c r="N50" s="180">
        <f t="shared" si="3"/>
        <v>1.6418207894999998E-2</v>
      </c>
      <c r="O50" s="81">
        <f t="shared" si="4"/>
        <v>0.25336740578703698</v>
      </c>
      <c r="P50" s="79">
        <f t="shared" si="5"/>
        <v>0.16140582561728395</v>
      </c>
      <c r="Q50" s="79"/>
      <c r="R50" s="180">
        <f t="shared" si="7"/>
        <v>2.1242422620750004E-2</v>
      </c>
      <c r="S50" s="82">
        <f t="shared" si="8"/>
        <v>0.327815163900463</v>
      </c>
      <c r="T50" s="78">
        <f t="shared" si="9"/>
        <v>0.77289714963877898</v>
      </c>
    </row>
    <row r="51" spans="1:20" s="1" customFormat="1" ht="11.25" customHeight="1" x14ac:dyDescent="0.2">
      <c r="A51" s="83">
        <v>48</v>
      </c>
      <c r="B51" s="83" t="s">
        <v>301</v>
      </c>
      <c r="C51" s="84">
        <v>6.4130000000000003</v>
      </c>
      <c r="D51" s="84">
        <v>1.104354375</v>
      </c>
      <c r="E51" s="84">
        <v>-1.1100923472697755</v>
      </c>
      <c r="F51" s="84">
        <v>0.29438962499999999</v>
      </c>
      <c r="G51" s="84">
        <v>-22.494764764700285</v>
      </c>
      <c r="H51" s="101">
        <f t="shared" si="10"/>
        <v>-27.077322617553236</v>
      </c>
      <c r="I51" s="78">
        <f t="shared" si="0"/>
        <v>-3.2185144828917585</v>
      </c>
      <c r="J51" s="79">
        <f t="shared" si="1"/>
        <v>4.5905134102604085E-2</v>
      </c>
      <c r="K51" s="79"/>
      <c r="L51" s="79"/>
      <c r="M51" s="79">
        <f t="shared" si="2"/>
        <v>0</v>
      </c>
      <c r="N51" s="180">
        <f t="shared" si="3"/>
        <v>1.5594407215499999E-2</v>
      </c>
      <c r="O51" s="81">
        <f t="shared" si="4"/>
        <v>0.24316867636831435</v>
      </c>
      <c r="P51" s="79">
        <f t="shared" si="5"/>
        <v>0.17220557851239668</v>
      </c>
      <c r="Q51" s="79"/>
      <c r="R51" s="180">
        <f t="shared" si="7"/>
        <v>2.2563095811874996E-2</v>
      </c>
      <c r="S51" s="82">
        <f t="shared" si="8"/>
        <v>0.3518337098374395</v>
      </c>
      <c r="T51" s="78">
        <f t="shared" si="9"/>
        <v>0.69114661150765644</v>
      </c>
    </row>
    <row r="52" spans="1:20" s="1" customFormat="1" ht="11.25" customHeight="1" x14ac:dyDescent="0.2">
      <c r="A52" s="95">
        <v>49</v>
      </c>
      <c r="B52" s="95" t="s">
        <v>302</v>
      </c>
      <c r="C52" s="96">
        <v>6.2069999999999999</v>
      </c>
      <c r="D52" s="96">
        <v>0.96557887499999995</v>
      </c>
      <c r="E52" s="96">
        <v>-0.72015326558938497</v>
      </c>
      <c r="F52" s="96">
        <v>0.3155929375</v>
      </c>
      <c r="G52" s="96">
        <v>-22.187189511190375</v>
      </c>
      <c r="H52" s="101">
        <f>$B$26*G52+$D$26</f>
        <v>-26.770208726923592</v>
      </c>
      <c r="I52" s="78">
        <f>$B$27*E52+$D$27</f>
        <v>-2.828575401211368</v>
      </c>
      <c r="J52" s="79">
        <f>(F52)/C52</f>
        <v>5.0844681408087643E-2</v>
      </c>
      <c r="K52" s="79"/>
      <c r="L52" s="79"/>
      <c r="M52" s="79">
        <f>C52*(K52/100)</f>
        <v>0</v>
      </c>
      <c r="N52" s="180">
        <f>F52*$B$28+$D$28</f>
        <v>1.6717589085249999E-2</v>
      </c>
      <c r="O52" s="81">
        <f>N52/C52*100</f>
        <v>0.26933444635492182</v>
      </c>
      <c r="P52" s="79">
        <f>D52/C52</f>
        <v>0.1555628927017883</v>
      </c>
      <c r="Q52" s="79"/>
      <c r="R52" s="180">
        <f>D52*$B$29+$D$29</f>
        <v>1.9427185838375001E-2</v>
      </c>
      <c r="S52" s="82">
        <f>R52/C52*100</f>
        <v>0.31298833314604479</v>
      </c>
      <c r="T52" s="78">
        <f>N52/R52</f>
        <v>0.86052551431444757</v>
      </c>
    </row>
    <row r="53" spans="1:20" s="90" customFormat="1" ht="11.25" customHeight="1" x14ac:dyDescent="0.2">
      <c r="A53" s="117">
        <v>50</v>
      </c>
      <c r="B53" s="117" t="s">
        <v>82</v>
      </c>
      <c r="C53" s="105">
        <v>1.0429999999999999</v>
      </c>
      <c r="D53" s="105">
        <v>1.6625993750000001</v>
      </c>
      <c r="E53" s="105">
        <v>2.6960401558810965</v>
      </c>
      <c r="F53" s="105">
        <v>8.808351</v>
      </c>
      <c r="G53" s="105">
        <v>-21.429279344113308</v>
      </c>
      <c r="H53" s="100">
        <f t="shared" si="10"/>
        <v>-26.013435425097139</v>
      </c>
      <c r="I53" s="86">
        <f t="shared" si="0"/>
        <v>0.58761802025911347</v>
      </c>
      <c r="J53" s="87">
        <f t="shared" si="1"/>
        <v>8.445207094918505</v>
      </c>
      <c r="K53" s="87">
        <f t="shared" ref="K53:L53" si="14">H$14</f>
        <v>44.65</v>
      </c>
      <c r="L53" s="87">
        <f t="shared" si="14"/>
        <v>2.83</v>
      </c>
      <c r="M53" s="87">
        <f t="shared" ref="M53:M54" si="15">C53*(K53/100)</f>
        <v>0.46569949999999999</v>
      </c>
      <c r="N53" s="179">
        <f t="shared" ref="N53:N54" si="16">F53*$B$28+$D$28</f>
        <v>0.46659596917199997</v>
      </c>
      <c r="O53" s="91">
        <f t="shared" ref="O53:O54" si="17">N53/C53*100</f>
        <v>44.735951023202304</v>
      </c>
      <c r="P53" s="87">
        <f t="shared" ref="P53:P54" si="18">D53/C53</f>
        <v>1.5940550095877279</v>
      </c>
      <c r="Q53" s="87">
        <f t="shared" ref="Q53" si="19">C53*(L53/100)</f>
        <v>2.9516899999999999E-2</v>
      </c>
      <c r="R53" s="179">
        <f t="shared" si="7"/>
        <v>3.5177758076875003E-2</v>
      </c>
      <c r="S53" s="89">
        <f t="shared" si="8"/>
        <v>3.3727476583772771</v>
      </c>
      <c r="T53" s="86">
        <f t="shared" si="9"/>
        <v>13.263948434471972</v>
      </c>
    </row>
    <row r="54" spans="1:20" s="126" customFormat="1" ht="11.25" customHeight="1" x14ac:dyDescent="0.2">
      <c r="A54" s="119">
        <v>51</v>
      </c>
      <c r="B54" s="119" t="s">
        <v>87</v>
      </c>
      <c r="C54" s="120">
        <v>3.117</v>
      </c>
      <c r="D54" s="120">
        <v>0.46146596875000001</v>
      </c>
      <c r="E54" s="120">
        <v>-2.9547372140115158E-2</v>
      </c>
      <c r="F54" s="120">
        <v>1.9863690000000001</v>
      </c>
      <c r="G54" s="120">
        <v>-14.861378567453858</v>
      </c>
      <c r="H54" s="121">
        <f t="shared" si="10"/>
        <v>-19.455386499602678</v>
      </c>
      <c r="I54" s="122">
        <f t="shared" si="0"/>
        <v>-2.1379695077620982</v>
      </c>
      <c r="J54" s="118">
        <f t="shared" si="1"/>
        <v>0.63726948989412902</v>
      </c>
      <c r="K54" s="118">
        <f>H$13</f>
        <v>3.3479999999999999</v>
      </c>
      <c r="L54" s="118"/>
      <c r="M54" s="118">
        <f t="shared" si="15"/>
        <v>0.10435715999999999</v>
      </c>
      <c r="N54" s="181">
        <f t="shared" si="16"/>
        <v>0.105221938668</v>
      </c>
      <c r="O54" s="124">
        <f t="shared" si="17"/>
        <v>3.3757439418671797</v>
      </c>
      <c r="P54" s="118">
        <f t="shared" si="18"/>
        <v>0.14804811316971447</v>
      </c>
      <c r="Q54" s="118"/>
      <c r="R54" s="181">
        <f t="shared" si="7"/>
        <v>8.0357464958437496E-3</v>
      </c>
      <c r="S54" s="125">
        <f t="shared" si="8"/>
        <v>0.25780386576335418</v>
      </c>
      <c r="T54" s="122">
        <f t="shared" si="9"/>
        <v>13.094233214353254</v>
      </c>
    </row>
    <row r="55" spans="1:20" s="1" customFormat="1" ht="11.25" customHeight="1" x14ac:dyDescent="0.2">
      <c r="A55" s="83">
        <v>52</v>
      </c>
      <c r="B55" s="83" t="s">
        <v>303</v>
      </c>
      <c r="C55" s="84">
        <v>6.5019999999999998</v>
      </c>
      <c r="D55" s="84">
        <v>0.139140125</v>
      </c>
      <c r="E55" s="84">
        <v>-5.8045927829141197</v>
      </c>
      <c r="F55" s="84">
        <v>0.18747295312500001</v>
      </c>
      <c r="G55" s="84">
        <v>-24.438343064547833</v>
      </c>
      <c r="H55" s="101">
        <f t="shared" si="10"/>
        <v>-29.01798554995101</v>
      </c>
      <c r="I55" s="78">
        <f t="shared" si="0"/>
        <v>-7.9130149185361027</v>
      </c>
      <c r="J55" s="79">
        <f t="shared" si="1"/>
        <v>2.8833121058904954E-2</v>
      </c>
      <c r="K55" s="79"/>
      <c r="L55" s="79"/>
      <c r="M55" s="79">
        <f t="shared" si="2"/>
        <v>0</v>
      </c>
      <c r="N55" s="180">
        <f t="shared" si="3"/>
        <v>9.9308172729375005E-3</v>
      </c>
      <c r="O55" s="81">
        <f t="shared" si="4"/>
        <v>0.15273480887323135</v>
      </c>
      <c r="P55" s="79">
        <f t="shared" si="5"/>
        <v>2.1399588588126732E-2</v>
      </c>
      <c r="Q55" s="79"/>
      <c r="R55" s="180">
        <f t="shared" si="7"/>
        <v>7.5214940462499987E-4</v>
      </c>
      <c r="S55" s="82">
        <f t="shared" si="8"/>
        <v>1.1567969926561056E-2</v>
      </c>
      <c r="T55" s="78">
        <f t="shared" si="9"/>
        <v>13.203250859300649</v>
      </c>
    </row>
    <row r="56" spans="1:20" s="1" customFormat="1" ht="11.25" customHeight="1" x14ac:dyDescent="0.2">
      <c r="A56" s="95">
        <v>53</v>
      </c>
      <c r="B56" s="95" t="s">
        <v>304</v>
      </c>
      <c r="C56" s="96">
        <v>6.218</v>
      </c>
      <c r="D56" s="96">
        <v>9.6187117187500004E-2</v>
      </c>
      <c r="E56" s="96">
        <v>-7.4617685348502549</v>
      </c>
      <c r="F56" s="96">
        <v>0.18918589062499999</v>
      </c>
      <c r="G56" s="96">
        <v>-24.606655716316013</v>
      </c>
      <c r="H56" s="101">
        <f t="shared" si="10"/>
        <v>-29.18604573274154</v>
      </c>
      <c r="I56" s="78">
        <f t="shared" si="0"/>
        <v>-9.5701906704722379</v>
      </c>
      <c r="J56" s="79">
        <f t="shared" si="1"/>
        <v>3.0425521168382114E-2</v>
      </c>
      <c r="K56" s="79"/>
      <c r="L56" s="79"/>
      <c r="M56" s="79">
        <f t="shared" si="2"/>
        <v>0</v>
      </c>
      <c r="N56" s="180">
        <f t="shared" si="3"/>
        <v>1.00215549981875E-2</v>
      </c>
      <c r="O56" s="81">
        <f t="shared" si="4"/>
        <v>0.16117007073315376</v>
      </c>
      <c r="P56" s="79">
        <f t="shared" si="5"/>
        <v>1.5469140750643295E-2</v>
      </c>
      <c r="Q56" s="79"/>
      <c r="R56" s="180">
        <f t="shared" si="7"/>
        <v>-2.1845971291406269E-4</v>
      </c>
      <c r="S56" s="82">
        <f t="shared" si="8"/>
        <v>-3.513343726504707E-3</v>
      </c>
      <c r="T56" s="78">
        <f t="shared" si="9"/>
        <v>-45.873698470572293</v>
      </c>
    </row>
    <row r="57" spans="1:20" s="1" customFormat="1" ht="11.25" customHeight="1" x14ac:dyDescent="0.2">
      <c r="A57" s="83">
        <v>54</v>
      </c>
      <c r="B57" s="83" t="s">
        <v>305</v>
      </c>
      <c r="C57" s="84">
        <v>6.1479999999999997</v>
      </c>
      <c r="D57" s="84">
        <v>0.1007888515625</v>
      </c>
      <c r="E57" s="84">
        <v>-3.474288055467234</v>
      </c>
      <c r="F57" s="84">
        <v>0.21596893750000001</v>
      </c>
      <c r="G57" s="84">
        <v>-23.954061234790171</v>
      </c>
      <c r="H57" s="101">
        <f t="shared" si="10"/>
        <v>-28.534430142937985</v>
      </c>
      <c r="I57" s="78">
        <f t="shared" si="0"/>
        <v>-5.582710191089217</v>
      </c>
      <c r="J57" s="79">
        <f t="shared" si="1"/>
        <v>3.5128324251789203E-2</v>
      </c>
      <c r="K57" s="79"/>
      <c r="L57" s="79"/>
      <c r="M57" s="79">
        <f t="shared" si="2"/>
        <v>0</v>
      </c>
      <c r="N57" s="180">
        <f t="shared" si="3"/>
        <v>1.144030655725E-2</v>
      </c>
      <c r="O57" s="81">
        <f t="shared" si="4"/>
        <v>0.18608175922657777</v>
      </c>
      <c r="P57" s="79">
        <f t="shared" si="5"/>
        <v>1.6393762453236826E-2</v>
      </c>
      <c r="Q57" s="79"/>
      <c r="R57" s="180">
        <f t="shared" si="7"/>
        <v>-1.1447432124218762E-4</v>
      </c>
      <c r="S57" s="82">
        <f t="shared" si="8"/>
        <v>-1.8619765979536048E-3</v>
      </c>
      <c r="T57" s="78">
        <f t="shared" si="9"/>
        <v>-99.937754014250174</v>
      </c>
    </row>
    <row r="58" spans="1:20" s="1" customFormat="1" ht="11.25" customHeight="1" x14ac:dyDescent="0.2">
      <c r="A58" s="95">
        <v>55</v>
      </c>
      <c r="B58" s="95" t="s">
        <v>306</v>
      </c>
      <c r="C58" s="96">
        <v>6.1909999999999998</v>
      </c>
      <c r="D58" s="96">
        <v>0.1169339375</v>
      </c>
      <c r="E58" s="96">
        <v>-3.6045445306407409</v>
      </c>
      <c r="F58" s="96">
        <v>0.18145835937499999</v>
      </c>
      <c r="G58" s="96">
        <v>-24.160135342491326</v>
      </c>
      <c r="H58" s="101">
        <f t="shared" si="10"/>
        <v>-28.740195139477589</v>
      </c>
      <c r="I58" s="78">
        <f t="shared" si="0"/>
        <v>-5.7129666662627239</v>
      </c>
      <c r="J58" s="79">
        <f t="shared" si="1"/>
        <v>2.9310024127766111E-2</v>
      </c>
      <c r="K58" s="79"/>
      <c r="L58" s="79"/>
      <c r="M58" s="79">
        <f t="shared" si="2"/>
        <v>0</v>
      </c>
      <c r="N58" s="180">
        <f t="shared" si="3"/>
        <v>9.6122122128124987E-3</v>
      </c>
      <c r="O58" s="81">
        <f t="shared" si="4"/>
        <v>0.15526105980960264</v>
      </c>
      <c r="P58" s="79">
        <f t="shared" si="5"/>
        <v>1.8887730172831529E-2</v>
      </c>
      <c r="Q58" s="79"/>
      <c r="R58" s="180">
        <f t="shared" si="7"/>
        <v>2.5035618568749985E-4</v>
      </c>
      <c r="S58" s="82">
        <f t="shared" si="8"/>
        <v>4.0438731333790967E-3</v>
      </c>
      <c r="T58" s="78">
        <f t="shared" si="9"/>
        <v>38.394147068571634</v>
      </c>
    </row>
    <row r="59" spans="1:20" s="1" customFormat="1" ht="11.25" customHeight="1" x14ac:dyDescent="0.2">
      <c r="A59" s="83">
        <v>56</v>
      </c>
      <c r="B59" s="83" t="s">
        <v>307</v>
      </c>
      <c r="C59" s="84">
        <v>6.165</v>
      </c>
      <c r="D59" s="84">
        <v>0.139203359375</v>
      </c>
      <c r="E59" s="84">
        <v>-0.31570290971483228</v>
      </c>
      <c r="F59" s="84">
        <v>0.186832890625</v>
      </c>
      <c r="G59" s="84">
        <v>-24.20945160694016</v>
      </c>
      <c r="H59" s="101">
        <f t="shared" si="10"/>
        <v>-28.789437429529752</v>
      </c>
      <c r="I59" s="78">
        <f t="shared" si="0"/>
        <v>-2.4241250453368153</v>
      </c>
      <c r="J59" s="79">
        <f t="shared" si="1"/>
        <v>3.0305416159772912E-2</v>
      </c>
      <c r="K59" s="79"/>
      <c r="L59" s="79"/>
      <c r="M59" s="79">
        <f t="shared" si="2"/>
        <v>0</v>
      </c>
      <c r="N59" s="180">
        <f t="shared" si="3"/>
        <v>9.8969118821874997E-3</v>
      </c>
      <c r="O59" s="81">
        <f t="shared" si="4"/>
        <v>0.16053385048154906</v>
      </c>
      <c r="P59" s="79">
        <f t="shared" si="5"/>
        <v>2.2579620336577455E-2</v>
      </c>
      <c r="Q59" s="79"/>
      <c r="R59" s="180">
        <f t="shared" si="7"/>
        <v>7.5357831179687475E-4</v>
      </c>
      <c r="S59" s="82">
        <f t="shared" si="8"/>
        <v>1.2223492486567313E-2</v>
      </c>
      <c r="T59" s="78">
        <f t="shared" si="9"/>
        <v>13.133222821379697</v>
      </c>
    </row>
    <row r="60" spans="1:20" s="1" customFormat="1" ht="11.25" customHeight="1" x14ac:dyDescent="0.2">
      <c r="A60" s="95">
        <v>57</v>
      </c>
      <c r="B60" s="95" t="s">
        <v>308</v>
      </c>
      <c r="C60" s="96">
        <v>6.2549999999999999</v>
      </c>
      <c r="D60" s="96">
        <v>0.171026640625</v>
      </c>
      <c r="E60" s="96">
        <v>-1.6929263624769764</v>
      </c>
      <c r="F60" s="96">
        <v>0.18649515624999999</v>
      </c>
      <c r="G60" s="96">
        <v>-24.530694093196942</v>
      </c>
      <c r="H60" s="101">
        <f t="shared" si="10"/>
        <v>-29.110198052057147</v>
      </c>
      <c r="I60" s="78">
        <f t="shared" si="0"/>
        <v>-3.8013484980989594</v>
      </c>
      <c r="J60" s="79">
        <f t="shared" si="1"/>
        <v>2.9815372701838528E-2</v>
      </c>
      <c r="K60" s="79"/>
      <c r="L60" s="79"/>
      <c r="M60" s="79">
        <f t="shared" si="2"/>
        <v>0</v>
      </c>
      <c r="N60" s="180">
        <f t="shared" si="3"/>
        <v>9.8790214168749998E-3</v>
      </c>
      <c r="O60" s="81">
        <f t="shared" si="4"/>
        <v>0.15793799227617905</v>
      </c>
      <c r="P60" s="79">
        <f t="shared" si="5"/>
        <v>2.7342388589128699E-2</v>
      </c>
      <c r="Q60" s="79"/>
      <c r="R60" s="180">
        <f t="shared" si="7"/>
        <v>1.472688998203125E-3</v>
      </c>
      <c r="S60" s="82">
        <f t="shared" si="8"/>
        <v>2.3544188620353717E-2</v>
      </c>
      <c r="T60" s="78">
        <f t="shared" si="9"/>
        <v>6.70815184260133</v>
      </c>
    </row>
    <row r="61" spans="1:20" s="1" customFormat="1" ht="11.25" customHeight="1" x14ac:dyDescent="0.2">
      <c r="A61" s="83">
        <v>58</v>
      </c>
      <c r="B61" s="83" t="s">
        <v>309</v>
      </c>
      <c r="C61" s="84">
        <v>6.3869999999999996</v>
      </c>
      <c r="D61" s="84">
        <v>0.21193270312500001</v>
      </c>
      <c r="E61" s="84">
        <v>9.7310782692261455E-2</v>
      </c>
      <c r="F61" s="84">
        <v>0.35769690625</v>
      </c>
      <c r="G61" s="84">
        <v>-23.397959672357626</v>
      </c>
      <c r="H61" s="101">
        <f t="shared" si="10"/>
        <v>-27.97916273284909</v>
      </c>
      <c r="I61" s="78">
        <f t="shared" si="0"/>
        <v>-2.0111113529297215</v>
      </c>
      <c r="J61" s="79">
        <f t="shared" si="1"/>
        <v>5.6003899522467517E-2</v>
      </c>
      <c r="K61" s="79"/>
      <c r="L61" s="79"/>
      <c r="M61" s="79">
        <f t="shared" si="2"/>
        <v>0</v>
      </c>
      <c r="N61" s="180">
        <f t="shared" si="3"/>
        <v>1.8947920517875E-2</v>
      </c>
      <c r="O61" s="81">
        <f t="shared" si="4"/>
        <v>0.29666385655041494</v>
      </c>
      <c r="P61" s="79">
        <f t="shared" si="5"/>
        <v>3.3181885568341951E-2</v>
      </c>
      <c r="Q61" s="79"/>
      <c r="R61" s="180">
        <f t="shared" si="7"/>
        <v>2.3970432925156252E-3</v>
      </c>
      <c r="S61" s="82">
        <f t="shared" si="8"/>
        <v>3.7530034327784956E-2</v>
      </c>
      <c r="T61" s="78">
        <f t="shared" si="9"/>
        <v>7.9047051745109389</v>
      </c>
    </row>
    <row r="62" spans="1:20" s="1" customFormat="1" ht="11.25" customHeight="1" x14ac:dyDescent="0.2">
      <c r="A62" s="95">
        <v>59</v>
      </c>
      <c r="B62" s="95" t="s">
        <v>310</v>
      </c>
      <c r="C62" s="96">
        <v>6.29</v>
      </c>
      <c r="D62" s="96">
        <v>0.23233662499999999</v>
      </c>
      <c r="E62" s="96">
        <v>-1.6367566541650724</v>
      </c>
      <c r="F62" s="96">
        <v>0.38130962499999999</v>
      </c>
      <c r="G62" s="96">
        <v>-23.700313261559479</v>
      </c>
      <c r="H62" s="101">
        <f t="shared" si="10"/>
        <v>-28.281062791667139</v>
      </c>
      <c r="I62" s="78">
        <f t="shared" si="0"/>
        <v>-3.7451787897870554</v>
      </c>
      <c r="J62" s="79">
        <f t="shared" si="1"/>
        <v>6.0621562003179648E-2</v>
      </c>
      <c r="K62" s="79"/>
      <c r="L62" s="79"/>
      <c r="M62" s="79">
        <f t="shared" si="2"/>
        <v>0</v>
      </c>
      <c r="N62" s="180">
        <f t="shared" si="3"/>
        <v>2.0198733455499999E-2</v>
      </c>
      <c r="O62" s="81">
        <f t="shared" si="4"/>
        <v>0.32112453824324322</v>
      </c>
      <c r="P62" s="79">
        <f t="shared" si="5"/>
        <v>3.6937460254372015E-2</v>
      </c>
      <c r="Q62" s="79"/>
      <c r="R62" s="180">
        <f t="shared" si="7"/>
        <v>2.8581107151249997E-3</v>
      </c>
      <c r="S62" s="82">
        <f t="shared" si="8"/>
        <v>4.5438962084658183E-2</v>
      </c>
      <c r="T62" s="78">
        <f t="shared" si="9"/>
        <v>7.0671627059823701</v>
      </c>
    </row>
    <row r="63" spans="1:20" s="1" customFormat="1" ht="11.25" customHeight="1" x14ac:dyDescent="0.2">
      <c r="A63" s="83">
        <v>60</v>
      </c>
      <c r="B63" s="83" t="s">
        <v>311</v>
      </c>
      <c r="C63" s="84">
        <v>6.3810000000000002</v>
      </c>
      <c r="D63" s="84">
        <v>0.24415584374999999</v>
      </c>
      <c r="E63" s="84">
        <v>0.13484488265880223</v>
      </c>
      <c r="F63" s="84">
        <v>0.47179268749999997</v>
      </c>
      <c r="G63" s="84">
        <v>-22.735108103319313</v>
      </c>
      <c r="H63" s="101">
        <f>$B$26*G63+$D$26</f>
        <v>-27.317305441164333</v>
      </c>
      <c r="I63" s="78">
        <f>$B$27*E63+$D$27</f>
        <v>-1.9735772529631808</v>
      </c>
      <c r="J63" s="79">
        <f>(F63)/C63</f>
        <v>7.3937108211879016E-2</v>
      </c>
      <c r="K63" s="79"/>
      <c r="L63" s="79"/>
      <c r="M63" s="79">
        <f>C63*(K63/100)</f>
        <v>0</v>
      </c>
      <c r="N63" s="180">
        <f>F63*$B$28+$D$28</f>
        <v>2.4991802242249998E-2</v>
      </c>
      <c r="O63" s="81">
        <f>N63/C63*100</f>
        <v>0.39165964961996547</v>
      </c>
      <c r="P63" s="79">
        <f>D63/C63</f>
        <v>3.8262943700047014E-2</v>
      </c>
      <c r="Q63" s="79"/>
      <c r="R63" s="180">
        <f>D63*$B$29+$D$29</f>
        <v>3.1251896012187497E-3</v>
      </c>
      <c r="S63" s="82">
        <f>R63/C63*100</f>
        <v>4.8976486463230676E-2</v>
      </c>
      <c r="T63" s="78">
        <f>N63/R63</f>
        <v>7.9968915269984864</v>
      </c>
    </row>
    <row r="64" spans="1:20" s="90" customFormat="1" ht="11.25" customHeight="1" x14ac:dyDescent="0.2">
      <c r="A64" s="117">
        <v>61</v>
      </c>
      <c r="B64" s="117" t="s">
        <v>61</v>
      </c>
      <c r="C64" s="105">
        <v>0.85899999999999999</v>
      </c>
      <c r="D64" s="105">
        <v>1.1948447499999999</v>
      </c>
      <c r="E64" s="105">
        <v>4.9403492307344976</v>
      </c>
      <c r="F64" s="105">
        <v>7.251468</v>
      </c>
      <c r="G64" s="105">
        <v>-21.86622344117416</v>
      </c>
      <c r="H64" s="100">
        <f t="shared" si="10"/>
        <v>-26.4497241060124</v>
      </c>
      <c r="I64" s="86">
        <f t="shared" si="0"/>
        <v>2.8319270951125146</v>
      </c>
      <c r="J64" s="87">
        <f t="shared" si="1"/>
        <v>8.4417555296856808</v>
      </c>
      <c r="K64" s="87">
        <f t="shared" ref="K64:L64" si="20">H$14</f>
        <v>44.65</v>
      </c>
      <c r="L64" s="87">
        <f t="shared" si="20"/>
        <v>2.83</v>
      </c>
      <c r="M64" s="87">
        <f t="shared" ref="M64:M66" si="21">C64*(K64/100)</f>
        <v>0.38354349999999998</v>
      </c>
      <c r="N64" s="179">
        <f t="shared" ref="N64:N66" si="22">F64*$B$28+$D$28</f>
        <v>0.384124762896</v>
      </c>
      <c r="O64" s="91">
        <f t="shared" ref="O64:O66" si="23">N64/C64*100</f>
        <v>44.717667391850988</v>
      </c>
      <c r="P64" s="87">
        <f t="shared" ref="P64:P66" si="24">D64/C64</f>
        <v>1.3909717694994179</v>
      </c>
      <c r="Q64" s="87">
        <f t="shared" ref="Q64" si="25">C64*(L64/100)</f>
        <v>2.43097E-2</v>
      </c>
      <c r="R64" s="179">
        <f t="shared" si="7"/>
        <v>2.4607906815749994E-2</v>
      </c>
      <c r="S64" s="89">
        <f t="shared" si="8"/>
        <v>2.864715578084982</v>
      </c>
      <c r="T64" s="86">
        <f t="shared" si="9"/>
        <v>15.609810528465818</v>
      </c>
    </row>
    <row r="65" spans="1:20" s="126" customFormat="1" ht="11.25" customHeight="1" x14ac:dyDescent="0.2">
      <c r="A65" s="119">
        <v>62</v>
      </c>
      <c r="B65" s="119" t="s">
        <v>98</v>
      </c>
      <c r="C65" s="120">
        <v>1.6180000000000001</v>
      </c>
      <c r="D65" s="120">
        <v>0.28631378125000001</v>
      </c>
      <c r="E65" s="120">
        <v>1.9912312301157975</v>
      </c>
      <c r="F65" s="120">
        <v>0.96893762500000002</v>
      </c>
      <c r="G65" s="120">
        <v>-15.121704456182872</v>
      </c>
      <c r="H65" s="121">
        <f t="shared" si="10"/>
        <v>-19.715321899498598</v>
      </c>
      <c r="I65" s="122">
        <f t="shared" si="0"/>
        <v>-0.11719090550618549</v>
      </c>
      <c r="J65" s="118">
        <f t="shared" si="1"/>
        <v>0.59884896477132254</v>
      </c>
      <c r="K65" s="118">
        <f>H$13</f>
        <v>3.3479999999999999</v>
      </c>
      <c r="L65" s="118"/>
      <c r="M65" s="118">
        <f t="shared" si="21"/>
        <v>5.4170639999999999E-2</v>
      </c>
      <c r="N65" s="181">
        <f t="shared" si="22"/>
        <v>5.1326563871500003E-2</v>
      </c>
      <c r="O65" s="124">
        <f t="shared" si="23"/>
        <v>3.17222273618665</v>
      </c>
      <c r="P65" s="118">
        <f t="shared" si="24"/>
        <v>0.17695536542027193</v>
      </c>
      <c r="Q65" s="118"/>
      <c r="R65" s="181">
        <f t="shared" si="7"/>
        <v>4.0778325149062496E-3</v>
      </c>
      <c r="S65" s="125">
        <f t="shared" si="8"/>
        <v>0.25202920364068288</v>
      </c>
      <c r="T65" s="122">
        <f t="shared" si="9"/>
        <v>12.58672681721947</v>
      </c>
    </row>
    <row r="66" spans="1:20" s="1" customFormat="1" ht="11.25" customHeight="1" x14ac:dyDescent="0.2">
      <c r="A66" s="95">
        <v>63</v>
      </c>
      <c r="B66" s="95" t="s">
        <v>312</v>
      </c>
      <c r="C66" s="96">
        <v>6.2110000000000003</v>
      </c>
      <c r="D66" s="96">
        <v>0.23412760937499999</v>
      </c>
      <c r="E66" s="96">
        <v>-0.79020522144612748</v>
      </c>
      <c r="F66" s="96">
        <v>0.30654103124999998</v>
      </c>
      <c r="G66" s="96">
        <v>-23.799286729362716</v>
      </c>
      <c r="H66" s="101">
        <f t="shared" si="10"/>
        <v>-28.379887799268673</v>
      </c>
      <c r="I66" s="78">
        <f t="shared" si="0"/>
        <v>-2.8986273570681105</v>
      </c>
      <c r="J66" s="79">
        <f t="shared" si="1"/>
        <v>4.935453731283207E-2</v>
      </c>
      <c r="K66" s="79"/>
      <c r="L66" s="79"/>
      <c r="M66" s="79">
        <f t="shared" si="21"/>
        <v>0</v>
      </c>
      <c r="N66" s="180">
        <f t="shared" si="22"/>
        <v>1.6238091507374999E-2</v>
      </c>
      <c r="O66" s="81">
        <f t="shared" si="23"/>
        <v>0.26144085505353404</v>
      </c>
      <c r="P66" s="79">
        <f t="shared" si="24"/>
        <v>3.7695638282885198E-2</v>
      </c>
      <c r="Q66" s="79"/>
      <c r="R66" s="180">
        <f t="shared" si="7"/>
        <v>2.8985815890468745E-3</v>
      </c>
      <c r="S66" s="82">
        <f t="shared" si="8"/>
        <v>4.6668516970646827E-2</v>
      </c>
      <c r="T66" s="78">
        <f t="shared" si="9"/>
        <v>5.6020819178370918</v>
      </c>
    </row>
    <row r="67" spans="1:20" s="1" customFormat="1" ht="11.25" customHeight="1" x14ac:dyDescent="0.2">
      <c r="A67" s="83">
        <v>64</v>
      </c>
      <c r="B67" s="83" t="s">
        <v>313</v>
      </c>
      <c r="C67" s="84">
        <v>6.2640000000000002</v>
      </c>
      <c r="D67" s="84">
        <v>0.25276470312499999</v>
      </c>
      <c r="E67" s="84">
        <v>-0.49063882983457763</v>
      </c>
      <c r="F67" s="84">
        <v>0.47130562500000001</v>
      </c>
      <c r="G67" s="84">
        <v>-23.329840209664482</v>
      </c>
      <c r="H67" s="101">
        <f t="shared" si="10"/>
        <v>-27.911145449349984</v>
      </c>
      <c r="I67" s="78">
        <f t="shared" si="0"/>
        <v>-2.5990609654565606</v>
      </c>
      <c r="J67" s="79">
        <f t="shared" si="1"/>
        <v>7.5240361590038315E-2</v>
      </c>
      <c r="K67" s="79"/>
      <c r="L67" s="79"/>
      <c r="M67" s="79">
        <f t="shared" si="2"/>
        <v>0</v>
      </c>
      <c r="N67" s="180">
        <f t="shared" si="3"/>
        <v>2.49660015675E-2</v>
      </c>
      <c r="O67" s="81">
        <f t="shared" si="4"/>
        <v>0.39856324341475097</v>
      </c>
      <c r="P67" s="79">
        <f t="shared" si="5"/>
        <v>4.0351964100415069E-2</v>
      </c>
      <c r="Q67" s="79"/>
      <c r="R67" s="180">
        <f t="shared" si="7"/>
        <v>3.3197239965156245E-3</v>
      </c>
      <c r="S67" s="82">
        <f t="shared" si="8"/>
        <v>5.2996870953314568E-2</v>
      </c>
      <c r="T67" s="78">
        <f t="shared" si="9"/>
        <v>7.5205051967284824</v>
      </c>
    </row>
    <row r="68" spans="1:20" s="1" customFormat="1" ht="11.25" customHeight="1" x14ac:dyDescent="0.2">
      <c r="A68" s="95">
        <v>65</v>
      </c>
      <c r="B68" s="95" t="s">
        <v>314</v>
      </c>
      <c r="C68" s="96">
        <v>6.2779999999999996</v>
      </c>
      <c r="D68" s="96">
        <v>0.24179192187500001</v>
      </c>
      <c r="E68" s="96">
        <v>-0.38788871841843875</v>
      </c>
      <c r="F68" s="96">
        <v>0.46883449999999999</v>
      </c>
      <c r="G68" s="96">
        <v>-23.695668254371096</v>
      </c>
      <c r="H68" s="101">
        <f t="shared" si="10"/>
        <v>-28.276424751989541</v>
      </c>
      <c r="I68" s="78">
        <f t="shared" si="0"/>
        <v>-2.4963108540404217</v>
      </c>
      <c r="J68" s="79">
        <f t="shared" si="1"/>
        <v>7.467895826696401E-2</v>
      </c>
      <c r="K68" s="79"/>
      <c r="L68" s="79"/>
      <c r="M68" s="79">
        <f t="shared" si="2"/>
        <v>0</v>
      </c>
      <c r="N68" s="180">
        <f t="shared" si="3"/>
        <v>2.4835101133999997E-2</v>
      </c>
      <c r="O68" s="81">
        <f t="shared" si="4"/>
        <v>0.39558937773176167</v>
      </c>
      <c r="P68" s="79">
        <f t="shared" si="5"/>
        <v>3.8514164045078056E-2</v>
      </c>
      <c r="Q68" s="79"/>
      <c r="R68" s="180">
        <f t="shared" si="7"/>
        <v>3.0717720586093747E-3</v>
      </c>
      <c r="S68" s="82">
        <f t="shared" si="8"/>
        <v>4.8929150344207945E-2</v>
      </c>
      <c r="T68" s="78">
        <f t="shared" si="9"/>
        <v>8.0849427171504136</v>
      </c>
    </row>
    <row r="69" spans="1:20" s="1" customFormat="1" ht="11.25" customHeight="1" x14ac:dyDescent="0.2">
      <c r="A69" s="83">
        <v>66</v>
      </c>
      <c r="B69" s="83" t="s">
        <v>315</v>
      </c>
      <c r="C69" s="84">
        <v>6.2759999999999998</v>
      </c>
      <c r="D69" s="84">
        <v>0.23819537499999999</v>
      </c>
      <c r="E69" s="84">
        <v>2.250628469036009E-2</v>
      </c>
      <c r="F69" s="84">
        <v>0.43959509375</v>
      </c>
      <c r="G69" s="84">
        <v>-23.453065482691454</v>
      </c>
      <c r="H69" s="101">
        <f t="shared" si="10"/>
        <v>-28.034185884467416</v>
      </c>
      <c r="I69" s="78">
        <f t="shared" si="0"/>
        <v>-2.0859158509316229</v>
      </c>
      <c r="J69" s="79">
        <f t="shared" si="1"/>
        <v>7.0043832656150412E-2</v>
      </c>
      <c r="K69" s="79"/>
      <c r="L69" s="79"/>
      <c r="M69" s="79">
        <f t="shared" si="2"/>
        <v>0</v>
      </c>
      <c r="N69" s="180">
        <f t="shared" si="3"/>
        <v>2.3286231306124998E-2</v>
      </c>
      <c r="O69" s="81">
        <f t="shared" si="4"/>
        <v>0.37103619034615998</v>
      </c>
      <c r="P69" s="79">
        <f t="shared" si="5"/>
        <v>3.7953373964308479E-2</v>
      </c>
      <c r="Q69" s="79"/>
      <c r="R69" s="180">
        <f t="shared" si="7"/>
        <v>2.9905008888749997E-3</v>
      </c>
      <c r="S69" s="82">
        <f t="shared" si="8"/>
        <v>4.7649791091061183E-2</v>
      </c>
      <c r="T69" s="78">
        <f t="shared" si="9"/>
        <v>7.7867327820407617</v>
      </c>
    </row>
    <row r="70" spans="1:20" s="1" customFormat="1" ht="11.25" customHeight="1" x14ac:dyDescent="0.2">
      <c r="A70" s="95">
        <v>67</v>
      </c>
      <c r="B70" s="95" t="s">
        <v>316</v>
      </c>
      <c r="C70" s="96">
        <v>6.6230000000000002</v>
      </c>
      <c r="D70" s="96">
        <v>0.23044910937499999</v>
      </c>
      <c r="E70" s="96">
        <v>0.51437828286804432</v>
      </c>
      <c r="F70" s="96">
        <v>0.48710249999999999</v>
      </c>
      <c r="G70" s="96">
        <v>-23.416657735874626</v>
      </c>
      <c r="H70" s="101">
        <f t="shared" si="10"/>
        <v>-27.997832749270813</v>
      </c>
      <c r="I70" s="78">
        <f t="shared" si="0"/>
        <v>-1.5940438527539387</v>
      </c>
      <c r="J70" s="79">
        <f t="shared" si="1"/>
        <v>7.3547108561075034E-2</v>
      </c>
      <c r="K70" s="79"/>
      <c r="L70" s="79"/>
      <c r="M70" s="79">
        <f t="shared" si="2"/>
        <v>0</v>
      </c>
      <c r="N70" s="180">
        <f t="shared" si="3"/>
        <v>2.5802793629999998E-2</v>
      </c>
      <c r="O70" s="81">
        <f t="shared" si="4"/>
        <v>0.38959374346972664</v>
      </c>
      <c r="P70" s="79">
        <f t="shared" si="5"/>
        <v>3.4795275460516382E-2</v>
      </c>
      <c r="Q70" s="79"/>
      <c r="R70" s="180">
        <f t="shared" si="7"/>
        <v>2.8154585245468745E-3</v>
      </c>
      <c r="S70" s="82">
        <f t="shared" si="8"/>
        <v>4.251032046726369E-2</v>
      </c>
      <c r="T70" s="78">
        <f t="shared" si="9"/>
        <v>9.1646861088648954</v>
      </c>
    </row>
    <row r="71" spans="1:20" s="1" customFormat="1" ht="11.25" customHeight="1" x14ac:dyDescent="0.2">
      <c r="A71" s="83">
        <v>68</v>
      </c>
      <c r="B71" s="83" t="s">
        <v>317</v>
      </c>
      <c r="C71" s="84">
        <v>6.3289999999999997</v>
      </c>
      <c r="D71" s="84">
        <v>0.21210828125</v>
      </c>
      <c r="E71" s="84">
        <v>-0.42559710414558083</v>
      </c>
      <c r="F71" s="84">
        <v>0.47311762499999999</v>
      </c>
      <c r="G71" s="84">
        <v>-23.49904996766972</v>
      </c>
      <c r="H71" s="101">
        <f t="shared" si="10"/>
        <v>-28.080101392718216</v>
      </c>
      <c r="I71" s="78">
        <f t="shared" si="0"/>
        <v>-2.5340192397675638</v>
      </c>
      <c r="J71" s="79">
        <f t="shared" si="1"/>
        <v>7.4753930320745773E-2</v>
      </c>
      <c r="K71" s="79"/>
      <c r="L71" s="79"/>
      <c r="M71" s="79">
        <f t="shared" si="2"/>
        <v>0</v>
      </c>
      <c r="N71" s="180">
        <f t="shared" si="3"/>
        <v>2.5061986831499999E-2</v>
      </c>
      <c r="O71" s="81">
        <f t="shared" si="4"/>
        <v>0.3959865196950545</v>
      </c>
      <c r="P71" s="79">
        <f t="shared" si="5"/>
        <v>3.3513711684310318E-2</v>
      </c>
      <c r="Q71" s="79"/>
      <c r="R71" s="180">
        <f t="shared" si="7"/>
        <v>2.4010108314062497E-3</v>
      </c>
      <c r="S71" s="82">
        <f t="shared" si="8"/>
        <v>3.793665399599068E-2</v>
      </c>
      <c r="T71" s="78">
        <f t="shared" si="9"/>
        <v>10.438098197508516</v>
      </c>
    </row>
    <row r="72" spans="1:20" s="1" customFormat="1" ht="11.25" customHeight="1" x14ac:dyDescent="0.2">
      <c r="A72" s="95">
        <v>69</v>
      </c>
      <c r="B72" s="95" t="s">
        <v>318</v>
      </c>
      <c r="C72" s="96">
        <v>6.2569999999999997</v>
      </c>
      <c r="D72" s="96">
        <v>0.19678259375000001</v>
      </c>
      <c r="E72" s="96">
        <v>-1.2877334771693727</v>
      </c>
      <c r="F72" s="96">
        <v>0.35545334374999998</v>
      </c>
      <c r="G72" s="96">
        <v>-22.833966329642827</v>
      </c>
      <c r="H72" s="101">
        <f t="shared" si="10"/>
        <v>-27.416015380148362</v>
      </c>
      <c r="I72" s="78">
        <f t="shared" si="0"/>
        <v>-3.3961556127913557</v>
      </c>
      <c r="J72" s="79">
        <f t="shared" si="1"/>
        <v>5.6808909021895476E-2</v>
      </c>
      <c r="K72" s="79"/>
      <c r="L72" s="79"/>
      <c r="M72" s="79">
        <f t="shared" si="2"/>
        <v>0</v>
      </c>
      <c r="N72" s="180">
        <f t="shared" si="3"/>
        <v>1.8829074525125E-2</v>
      </c>
      <c r="O72" s="81">
        <f t="shared" si="4"/>
        <v>0.30092815287078473</v>
      </c>
      <c r="P72" s="79">
        <f t="shared" si="5"/>
        <v>3.1449991010068727E-2</v>
      </c>
      <c r="Q72" s="79"/>
      <c r="R72" s="180">
        <f t="shared" si="7"/>
        <v>2.05469627096875E-3</v>
      </c>
      <c r="S72" s="82">
        <f t="shared" si="8"/>
        <v>3.2838361370764742E-2</v>
      </c>
      <c r="T72" s="78">
        <f t="shared" si="9"/>
        <v>9.1639211065718502</v>
      </c>
    </row>
    <row r="73" spans="1:20" s="1" customFormat="1" ht="11.25" customHeight="1" x14ac:dyDescent="0.2">
      <c r="A73" s="83">
        <v>70</v>
      </c>
      <c r="B73" s="83" t="s">
        <v>319</v>
      </c>
      <c r="C73" s="84">
        <v>6.3559999999999999</v>
      </c>
      <c r="D73" s="84">
        <v>0.19520004687500001</v>
      </c>
      <c r="E73" s="84">
        <v>-1.7732613136145492</v>
      </c>
      <c r="F73" s="84">
        <v>0.30868612499999998</v>
      </c>
      <c r="G73" s="84">
        <v>-22.962496740191799</v>
      </c>
      <c r="H73" s="101">
        <f t="shared" si="10"/>
        <v>-27.54435299508151</v>
      </c>
      <c r="I73" s="78">
        <f t="shared" si="0"/>
        <v>-3.8816834492365322</v>
      </c>
      <c r="J73" s="79">
        <f t="shared" si="1"/>
        <v>4.8566098961611071E-2</v>
      </c>
      <c r="K73" s="79"/>
      <c r="L73" s="79"/>
      <c r="M73" s="79">
        <f t="shared" si="2"/>
        <v>0</v>
      </c>
      <c r="N73" s="180">
        <f t="shared" si="3"/>
        <v>1.6351721413499998E-2</v>
      </c>
      <c r="O73" s="81">
        <f t="shared" si="4"/>
        <v>0.25726433941944615</v>
      </c>
      <c r="P73" s="79">
        <f t="shared" si="5"/>
        <v>3.0711146456104468E-2</v>
      </c>
      <c r="Q73" s="79"/>
      <c r="R73" s="180">
        <f t="shared" si="7"/>
        <v>2.0189354592343748E-3</v>
      </c>
      <c r="S73" s="82">
        <f t="shared" si="8"/>
        <v>3.1764245739999607E-2</v>
      </c>
      <c r="T73" s="78">
        <f t="shared" si="9"/>
        <v>8.0991798616984685</v>
      </c>
    </row>
    <row r="74" spans="1:20" s="90" customFormat="1" ht="11.25" customHeight="1" x14ac:dyDescent="0.2">
      <c r="A74" s="95">
        <v>71</v>
      </c>
      <c r="B74" s="95" t="s">
        <v>320</v>
      </c>
      <c r="C74" s="96">
        <v>6.2480000000000002</v>
      </c>
      <c r="D74" s="96">
        <v>0.20133507812500001</v>
      </c>
      <c r="E74" s="96">
        <v>2.3604502053569121</v>
      </c>
      <c r="F74" s="96">
        <v>0.31275184374999998</v>
      </c>
      <c r="G74" s="96">
        <v>-22.811229056642638</v>
      </c>
      <c r="H74" s="101">
        <f t="shared" si="10"/>
        <v>-27.393312213057673</v>
      </c>
      <c r="I74" s="78">
        <f t="shared" si="0"/>
        <v>0.25202806973492908</v>
      </c>
      <c r="J74" s="79">
        <f t="shared" si="1"/>
        <v>5.005631302016645E-2</v>
      </c>
      <c r="K74" s="79"/>
      <c r="L74" s="79"/>
      <c r="M74" s="79">
        <f t="shared" si="2"/>
        <v>0</v>
      </c>
      <c r="N74" s="180">
        <f t="shared" si="3"/>
        <v>1.6567090667124997E-2</v>
      </c>
      <c r="O74" s="81">
        <f t="shared" si="4"/>
        <v>0.26515830133042567</v>
      </c>
      <c r="P74" s="79">
        <f t="shared" si="5"/>
        <v>3.2223924155729833E-2</v>
      </c>
      <c r="Q74" s="79"/>
      <c r="R74" s="180">
        <f t="shared" si="7"/>
        <v>2.1575687603906249E-3</v>
      </c>
      <c r="S74" s="82">
        <f t="shared" si="8"/>
        <v>3.4532150454395401E-2</v>
      </c>
      <c r="T74" s="78">
        <f t="shared" si="9"/>
        <v>7.6785922058518992</v>
      </c>
    </row>
    <row r="75" spans="1:20" s="1" customFormat="1" ht="11.25" customHeight="1" x14ac:dyDescent="0.2">
      <c r="A75" s="83">
        <v>72</v>
      </c>
      <c r="B75" s="83" t="s">
        <v>321</v>
      </c>
      <c r="C75" s="84">
        <v>6.81</v>
      </c>
      <c r="D75" s="84">
        <v>0.38899175000000003</v>
      </c>
      <c r="E75" s="84">
        <v>3.2423455494077214</v>
      </c>
      <c r="F75" s="84">
        <v>1.557396</v>
      </c>
      <c r="G75" s="84">
        <v>-22.293655144181606</v>
      </c>
      <c r="H75" s="101">
        <f t="shared" si="10"/>
        <v>-26.876514661465333</v>
      </c>
      <c r="I75" s="78">
        <f t="shared" si="0"/>
        <v>1.1339234137857384</v>
      </c>
      <c r="J75" s="79">
        <f t="shared" si="1"/>
        <v>0.22869251101321586</v>
      </c>
      <c r="K75" s="79"/>
      <c r="L75" s="79"/>
      <c r="M75" s="79">
        <f t="shared" si="2"/>
        <v>0</v>
      </c>
      <c r="N75" s="180">
        <f t="shared" si="3"/>
        <v>8.2498380911999999E-2</v>
      </c>
      <c r="O75" s="81">
        <f t="shared" si="4"/>
        <v>1.2114299693392072</v>
      </c>
      <c r="P75" s="79">
        <f t="shared" si="5"/>
        <v>5.7120668135095455E-2</v>
      </c>
      <c r="Q75" s="79"/>
      <c r="R75" s="180">
        <f t="shared" si="7"/>
        <v>6.3980465747500003E-3</v>
      </c>
      <c r="S75" s="82">
        <f t="shared" si="8"/>
        <v>9.3950757338472843E-2</v>
      </c>
      <c r="T75" s="78">
        <f t="shared" si="9"/>
        <v>12.894307652835986</v>
      </c>
    </row>
    <row r="76" spans="1:20" s="1" customFormat="1" ht="11.25" customHeight="1" x14ac:dyDescent="0.2">
      <c r="A76" s="95">
        <v>73</v>
      </c>
      <c r="B76" s="95" t="s">
        <v>322</v>
      </c>
      <c r="C76" s="96">
        <v>6.6079999999999997</v>
      </c>
      <c r="D76" s="96">
        <v>0.29010612499999999</v>
      </c>
      <c r="E76" s="96">
        <v>1.9709487945520632</v>
      </c>
      <c r="F76" s="96">
        <v>1.1208275000000001</v>
      </c>
      <c r="G76" s="96">
        <v>-22.510218047070495</v>
      </c>
      <c r="H76" s="101">
        <f>$B$26*G76+$D$26</f>
        <v>-27.09275271999989</v>
      </c>
      <c r="I76" s="78">
        <f>$B$27*E76+$D$27</f>
        <v>-0.13747334106991982</v>
      </c>
      <c r="J76" s="79">
        <f>(F76)/C76</f>
        <v>0.16961675242130753</v>
      </c>
      <c r="K76" s="79"/>
      <c r="L76" s="79"/>
      <c r="M76" s="79">
        <f t="shared" si="2"/>
        <v>0</v>
      </c>
      <c r="N76" s="180">
        <f t="shared" si="3"/>
        <v>5.9372474330000001E-2</v>
      </c>
      <c r="O76" s="81">
        <f t="shared" si="4"/>
        <v>0.89849386092615025</v>
      </c>
      <c r="P76" s="79">
        <f t="shared" si="5"/>
        <v>4.3902258625907992E-2</v>
      </c>
      <c r="Q76" s="79"/>
      <c r="R76" s="180">
        <f>D76*$B$29+$D$29</f>
        <v>4.1635281066249993E-3</v>
      </c>
      <c r="S76" s="82">
        <f>R76/C76*100</f>
        <v>6.3007386601467916E-2</v>
      </c>
      <c r="T76" s="78">
        <f>N76/R76</f>
        <v>14.260135349038864</v>
      </c>
    </row>
    <row r="77" spans="1:20" s="1" customFormat="1" ht="11.25" customHeight="1" x14ac:dyDescent="0.2">
      <c r="A77" s="83">
        <v>74</v>
      </c>
      <c r="B77" s="83" t="s">
        <v>323</v>
      </c>
      <c r="C77" s="84">
        <v>6.6390000000000002</v>
      </c>
      <c r="D77" s="84">
        <v>0.29172787500000003</v>
      </c>
      <c r="E77" s="84">
        <v>1.5690040797893268</v>
      </c>
      <c r="F77" s="84">
        <v>1.1142013749999999</v>
      </c>
      <c r="G77" s="84">
        <v>-22.542510270300436</v>
      </c>
      <c r="H77" s="101">
        <f t="shared" si="10"/>
        <v>-27.124996504894987</v>
      </c>
      <c r="I77" s="78">
        <f t="shared" si="0"/>
        <v>-0.53941805583265623</v>
      </c>
      <c r="J77" s="79">
        <f t="shared" si="1"/>
        <v>0.16782668700105435</v>
      </c>
      <c r="K77" s="79"/>
      <c r="L77" s="79"/>
      <c r="M77" s="79">
        <f t="shared" si="2"/>
        <v>0</v>
      </c>
      <c r="N77" s="180">
        <f t="shared" si="3"/>
        <v>5.9021475236499997E-2</v>
      </c>
      <c r="O77" s="81">
        <f t="shared" si="4"/>
        <v>0.88901152638198522</v>
      </c>
      <c r="P77" s="79">
        <f t="shared" si="5"/>
        <v>4.3941538635336647E-2</v>
      </c>
      <c r="Q77" s="79"/>
      <c r="R77" s="180">
        <f t="shared" si="7"/>
        <v>4.2001747913750003E-3</v>
      </c>
      <c r="S77" s="82">
        <f t="shared" si="8"/>
        <v>6.3265172335818659E-2</v>
      </c>
      <c r="T77" s="78">
        <f t="shared" si="9"/>
        <v>14.052147391032335</v>
      </c>
    </row>
    <row r="78" spans="1:20" s="90" customFormat="1" ht="11.25" customHeight="1" x14ac:dyDescent="0.2">
      <c r="A78" s="117">
        <v>75</v>
      </c>
      <c r="B78" s="117" t="s">
        <v>84</v>
      </c>
      <c r="C78" s="105">
        <v>0.996</v>
      </c>
      <c r="D78" s="105">
        <v>1.3591819999999999</v>
      </c>
      <c r="E78" s="105">
        <v>5.3157416593783147</v>
      </c>
      <c r="F78" s="105">
        <v>8.4233440000000002</v>
      </c>
      <c r="G78" s="105">
        <v>-21.925376382175127</v>
      </c>
      <c r="H78" s="100">
        <f t="shared" si="10"/>
        <v>-26.508788317601866</v>
      </c>
      <c r="I78" s="86">
        <f t="shared" si="0"/>
        <v>3.2073195237563317</v>
      </c>
      <c r="J78" s="87">
        <f t="shared" si="1"/>
        <v>8.457172690763052</v>
      </c>
      <c r="K78" s="87">
        <f t="shared" ref="K78:L78" si="26">H$14</f>
        <v>44.65</v>
      </c>
      <c r="L78" s="87">
        <f t="shared" si="26"/>
        <v>2.83</v>
      </c>
      <c r="M78" s="87">
        <f t="shared" si="2"/>
        <v>0.444714</v>
      </c>
      <c r="N78" s="179">
        <f t="shared" si="3"/>
        <v>0.446201378368</v>
      </c>
      <c r="O78" s="91">
        <f t="shared" si="4"/>
        <v>44.799335177510038</v>
      </c>
      <c r="P78" s="87">
        <f t="shared" si="5"/>
        <v>1.3646405622489959</v>
      </c>
      <c r="Q78" s="87">
        <f t="shared" ref="Q78" si="27">C78*(L78/100)</f>
        <v>2.8186800000000001E-2</v>
      </c>
      <c r="R78" s="179">
        <f t="shared" si="7"/>
        <v>2.8321435653999999E-2</v>
      </c>
      <c r="S78" s="89">
        <f t="shared" si="8"/>
        <v>2.8435176359437748</v>
      </c>
      <c r="T78" s="86">
        <f t="shared" si="9"/>
        <v>15.754899709859179</v>
      </c>
    </row>
    <row r="79" spans="1:20" s="1" customFormat="1" ht="11.25" customHeight="1" x14ac:dyDescent="0.2">
      <c r="A79" s="83">
        <v>76</v>
      </c>
      <c r="B79" s="83" t="s">
        <v>62</v>
      </c>
      <c r="C79" s="84">
        <v>1.123</v>
      </c>
      <c r="D79" s="84">
        <v>0.16453603124999999</v>
      </c>
      <c r="E79" s="84">
        <v>-3.5062069818109221</v>
      </c>
      <c r="F79" s="84">
        <v>8.6772449999999992</v>
      </c>
      <c r="G79" s="84">
        <v>-20.544764421772598</v>
      </c>
      <c r="H79" s="101">
        <f t="shared" si="10"/>
        <v>-25.13024727513994</v>
      </c>
      <c r="I79" s="78">
        <f t="shared" si="0"/>
        <v>-5.614629117432905</v>
      </c>
      <c r="J79" s="79">
        <f t="shared" si="1"/>
        <v>7.7268432769367754</v>
      </c>
      <c r="K79" s="79"/>
      <c r="L79" s="79"/>
      <c r="M79" s="79">
        <f t="shared" si="2"/>
        <v>0</v>
      </c>
      <c r="N79" s="180">
        <f t="shared" si="3"/>
        <v>0.45965102213999992</v>
      </c>
      <c r="O79" s="81">
        <f t="shared" si="4"/>
        <v>40.930634206589481</v>
      </c>
      <c r="P79" s="79">
        <f t="shared" si="5"/>
        <v>0.14651472061442564</v>
      </c>
      <c r="Q79" s="79"/>
      <c r="R79" s="180">
        <f t="shared" si="7"/>
        <v>1.3260206981562496E-3</v>
      </c>
      <c r="S79" s="82">
        <f t="shared" si="8"/>
        <v>0.11807842370046746</v>
      </c>
      <c r="T79" s="78">
        <f t="shared" si="9"/>
        <v>346.63940221982693</v>
      </c>
    </row>
    <row r="80" spans="1:20" s="90" customFormat="1" ht="11.25" customHeight="1" x14ac:dyDescent="0.2">
      <c r="A80" s="95">
        <v>77</v>
      </c>
      <c r="B80" s="95" t="s">
        <v>63</v>
      </c>
      <c r="C80" s="96">
        <v>0.92</v>
      </c>
      <c r="D80" s="96">
        <v>0.161426171875</v>
      </c>
      <c r="E80" s="96">
        <v>-3.4295640559434126</v>
      </c>
      <c r="F80" s="96">
        <v>7.3446175</v>
      </c>
      <c r="G80" s="96">
        <v>-6.3501100580092835</v>
      </c>
      <c r="H80" s="101">
        <f t="shared" si="10"/>
        <v>-10.95688489292227</v>
      </c>
      <c r="I80" s="78">
        <f t="shared" si="0"/>
        <v>-5.5379861915653956</v>
      </c>
      <c r="J80" s="79">
        <f t="shared" si="1"/>
        <v>7.9832798913043472</v>
      </c>
      <c r="K80" s="79"/>
      <c r="L80" s="79"/>
      <c r="M80" s="79">
        <f t="shared" si="2"/>
        <v>0</v>
      </c>
      <c r="N80" s="180">
        <f t="shared" si="3"/>
        <v>0.38905907820999996</v>
      </c>
      <c r="O80" s="81">
        <f t="shared" si="4"/>
        <v>42.289030240217386</v>
      </c>
      <c r="P80" s="79">
        <f t="shared" si="5"/>
        <v>0.17546323029891303</v>
      </c>
      <c r="Q80" s="79"/>
      <c r="R80" s="180">
        <f t="shared" si="7"/>
        <v>1.2557472058593749E-3</v>
      </c>
      <c r="S80" s="82">
        <f t="shared" si="8"/>
        <v>0.13649426150645377</v>
      </c>
      <c r="T80" s="78">
        <f t="shared" si="9"/>
        <v>309.82277037498648</v>
      </c>
    </row>
    <row r="81" spans="1:28" ht="11.25" customHeight="1" x14ac:dyDescent="0.2">
      <c r="A81" s="83">
        <v>78</v>
      </c>
      <c r="B81" s="83" t="s">
        <v>70</v>
      </c>
      <c r="C81" s="84">
        <v>1.4830000000000001</v>
      </c>
      <c r="D81" s="84">
        <v>0.160095421875</v>
      </c>
      <c r="E81" s="84">
        <v>-2.6397911836980592</v>
      </c>
      <c r="F81" s="85">
        <v>4.5867775000000002</v>
      </c>
      <c r="G81" s="85">
        <v>-13.814595690779647</v>
      </c>
      <c r="H81" s="101">
        <f t="shared" si="10"/>
        <v>-18.410173797243477</v>
      </c>
      <c r="I81" s="78">
        <f t="shared" si="0"/>
        <v>-4.7482133193200422</v>
      </c>
      <c r="J81" s="79">
        <f t="shared" si="1"/>
        <v>3.0929045853000674</v>
      </c>
      <c r="K81" s="79"/>
      <c r="L81" s="79"/>
      <c r="M81" s="79">
        <f t="shared" si="2"/>
        <v>0</v>
      </c>
      <c r="N81" s="180">
        <f t="shared" si="3"/>
        <v>0.24297077773</v>
      </c>
      <c r="O81" s="81">
        <f t="shared" si="4"/>
        <v>16.383734169251515</v>
      </c>
      <c r="P81" s="79">
        <f t="shared" si="5"/>
        <v>0.10795375716453136</v>
      </c>
      <c r="Q81" s="79"/>
      <c r="R81" s="180">
        <f t="shared" si="7"/>
        <v>1.2256762481093748E-3</v>
      </c>
      <c r="S81" s="82">
        <f t="shared" si="8"/>
        <v>8.2648432104475714E-2</v>
      </c>
      <c r="T81" s="78">
        <f t="shared" si="9"/>
        <v>198.23405903866237</v>
      </c>
      <c r="V81" s="1"/>
      <c r="W81" s="1"/>
      <c r="X81" s="1"/>
      <c r="Y81" s="1"/>
      <c r="Z81" s="1"/>
      <c r="AA81" s="1"/>
      <c r="AB81" s="1"/>
    </row>
    <row r="82" spans="1:28" ht="11.25" customHeight="1" x14ac:dyDescent="0.2">
      <c r="A82" s="114">
        <v>79</v>
      </c>
      <c r="B82" s="114" t="s">
        <v>86</v>
      </c>
      <c r="C82" s="108">
        <v>0</v>
      </c>
      <c r="D82" s="108">
        <v>0.16250529687500001</v>
      </c>
      <c r="E82" s="108">
        <v>-14.50336983090439</v>
      </c>
      <c r="H82" s="101">
        <f t="shared" si="10"/>
        <v>-4.6162999999999998</v>
      </c>
      <c r="I82" s="78">
        <f t="shared" si="0"/>
        <v>-16.611791966526372</v>
      </c>
      <c r="J82" s="79" t="e">
        <f t="shared" si="1"/>
        <v>#DIV/0!</v>
      </c>
      <c r="K82" s="79"/>
      <c r="L82" s="79">
        <v>0</v>
      </c>
      <c r="M82" s="79">
        <f t="shared" si="2"/>
        <v>0</v>
      </c>
      <c r="N82" s="180">
        <f t="shared" si="3"/>
        <v>0</v>
      </c>
      <c r="O82" s="81" t="e">
        <f t="shared" si="4"/>
        <v>#DIV/0!</v>
      </c>
      <c r="P82" s="79" t="e">
        <f t="shared" si="5"/>
        <v>#DIV/0!</v>
      </c>
      <c r="Q82" s="79">
        <f t="shared" ref="Q82" si="28">C82*(L82/100)</f>
        <v>0</v>
      </c>
      <c r="R82" s="180">
        <f t="shared" si="7"/>
        <v>1.280132193484375E-3</v>
      </c>
      <c r="S82" s="82" t="e">
        <f t="shared" si="8"/>
        <v>#DIV/0!</v>
      </c>
      <c r="T82" s="78">
        <f t="shared" si="9"/>
        <v>0</v>
      </c>
      <c r="V82" s="1"/>
      <c r="W82" s="1"/>
      <c r="X82" s="1"/>
      <c r="Y82" s="1"/>
      <c r="Z82" s="1"/>
      <c r="AA82" s="1"/>
      <c r="AB82" s="1"/>
    </row>
    <row r="83" spans="1:28" ht="11.25" customHeight="1" x14ac:dyDescent="0.2">
      <c r="A83" s="110"/>
      <c r="B83" s="110"/>
      <c r="C83" s="85"/>
      <c r="D83" s="85"/>
      <c r="E83" s="85"/>
      <c r="V83" s="1"/>
      <c r="W83" s="1"/>
      <c r="X83" s="1"/>
      <c r="Y83" s="1"/>
      <c r="Z83" s="1"/>
      <c r="AA83" s="1"/>
      <c r="AB83" s="1"/>
    </row>
    <row r="84" spans="1:28" ht="11.25" customHeight="1" x14ac:dyDescent="0.25">
      <c r="A84" s="1" t="s">
        <v>83</v>
      </c>
      <c r="H84" s="101">
        <f>STDEV(H88:H95)</f>
        <v>0.17475576457704664</v>
      </c>
      <c r="I84" s="101">
        <f>STDEV(I88:I95)</f>
        <v>0.79005368389444675</v>
      </c>
      <c r="J84" s="79"/>
      <c r="K84" s="1"/>
      <c r="L84" s="1"/>
      <c r="M84" s="79"/>
      <c r="N84" s="80"/>
      <c r="O84" s="101">
        <f>STDEV(O88:O95)</f>
        <v>0.22173757927218662</v>
      </c>
      <c r="P84" s="79"/>
      <c r="Q84" s="79"/>
      <c r="R84" s="80"/>
      <c r="S84" s="101">
        <f>STDEV(S88:S95)</f>
        <v>2.6711169808243462E-2</v>
      </c>
      <c r="T84" s="101">
        <f>STDEV(T88:T95)</f>
        <v>0.89851457337869656</v>
      </c>
    </row>
    <row r="85" spans="1:28" ht="11.25" customHeight="1" x14ac:dyDescent="0.25">
      <c r="H85" s="102"/>
      <c r="I85" s="102"/>
      <c r="J85"/>
      <c r="K85" s="1"/>
      <c r="L85" s="1"/>
      <c r="O85" s="102"/>
      <c r="S85" s="102"/>
      <c r="T85" s="102"/>
      <c r="V85" s="1"/>
      <c r="W85" s="1"/>
      <c r="X85" s="1"/>
      <c r="Y85" s="1"/>
      <c r="Z85" s="1"/>
      <c r="AA85" s="1"/>
      <c r="AB85" s="1"/>
    </row>
    <row r="86" spans="1:28" s="90" customFormat="1" ht="11.25" customHeight="1" x14ac:dyDescent="0.2">
      <c r="A86" s="119">
        <v>51</v>
      </c>
      <c r="B86" s="119" t="s">
        <v>87</v>
      </c>
      <c r="C86" s="120">
        <v>3.117</v>
      </c>
      <c r="D86" s="120">
        <v>0.46146596875000001</v>
      </c>
      <c r="E86" s="120">
        <v>-2.9547372140115158E-2</v>
      </c>
      <c r="F86" s="120">
        <v>1.9863690000000001</v>
      </c>
      <c r="G86" s="120">
        <v>-14.861378567453858</v>
      </c>
      <c r="H86" s="121">
        <f t="shared" ref="H86:H95" si="29">$B$26*G86+$D$26</f>
        <v>-19.455386499602678</v>
      </c>
      <c r="I86" s="122">
        <f t="shared" ref="I86:I95" si="30">$B$27*E86+$D$27</f>
        <v>-2.1379695077620982</v>
      </c>
      <c r="J86" s="118">
        <f t="shared" ref="J86:J95" si="31">(F86)/C86</f>
        <v>0.63726948989412902</v>
      </c>
      <c r="K86" s="118">
        <f>H$13</f>
        <v>3.3479999999999999</v>
      </c>
      <c r="L86" s="118"/>
      <c r="M86" s="118">
        <f t="shared" ref="M86:M95" si="32">C86*(K86/100)</f>
        <v>0.10435715999999999</v>
      </c>
      <c r="N86" s="181">
        <f t="shared" ref="N86:N95" si="33">F86*$B$28+$D$28</f>
        <v>0.105221938668</v>
      </c>
      <c r="O86" s="124">
        <f t="shared" ref="O86:O95" si="34">N86/C86*100</f>
        <v>3.3757439418671797</v>
      </c>
      <c r="P86" s="118">
        <f t="shared" ref="P86:P95" si="35">D86/C86</f>
        <v>0.14804811316971447</v>
      </c>
      <c r="Q86" s="118"/>
      <c r="R86" s="181">
        <f t="shared" ref="R86:R95" si="36">D86*$B$29+$D$29</f>
        <v>8.0357464958437496E-3</v>
      </c>
      <c r="S86" s="125">
        <f t="shared" ref="S86:S92" si="37">R86/C86*100</f>
        <v>0.25780386576335418</v>
      </c>
      <c r="T86" s="122">
        <f t="shared" ref="T86:T95" si="38">N86/R86</f>
        <v>13.094233214353254</v>
      </c>
      <c r="U86" s="126"/>
      <c r="V86" s="126"/>
      <c r="W86" s="126"/>
      <c r="X86" s="126"/>
      <c r="Y86" s="126"/>
      <c r="Z86" s="126"/>
      <c r="AA86" s="126"/>
      <c r="AB86" s="126"/>
    </row>
    <row r="87" spans="1:28" s="90" customFormat="1" ht="11.25" customHeight="1" x14ac:dyDescent="0.2">
      <c r="A87" s="119">
        <v>62</v>
      </c>
      <c r="B87" s="119" t="s">
        <v>98</v>
      </c>
      <c r="C87" s="120">
        <v>1.6180000000000001</v>
      </c>
      <c r="D87" s="120">
        <v>0.28631378125000001</v>
      </c>
      <c r="E87" s="120">
        <v>1.9912312301157975</v>
      </c>
      <c r="F87" s="120">
        <v>0.96893762500000002</v>
      </c>
      <c r="G87" s="120">
        <v>-15.121704456182872</v>
      </c>
      <c r="H87" s="121">
        <f t="shared" si="29"/>
        <v>-19.715321899498598</v>
      </c>
      <c r="I87" s="122">
        <f t="shared" si="30"/>
        <v>-0.11719090550618549</v>
      </c>
      <c r="J87" s="118">
        <f t="shared" si="31"/>
        <v>0.59884896477132254</v>
      </c>
      <c r="K87" s="118">
        <f>H$13</f>
        <v>3.3479999999999999</v>
      </c>
      <c r="L87" s="118"/>
      <c r="M87" s="118">
        <f t="shared" si="32"/>
        <v>5.4170639999999999E-2</v>
      </c>
      <c r="N87" s="181">
        <f t="shared" si="33"/>
        <v>5.1326563871500003E-2</v>
      </c>
      <c r="O87" s="124">
        <f t="shared" si="34"/>
        <v>3.17222273618665</v>
      </c>
      <c r="P87" s="118">
        <f t="shared" si="35"/>
        <v>0.17695536542027193</v>
      </c>
      <c r="Q87" s="118"/>
      <c r="R87" s="181">
        <f t="shared" si="36"/>
        <v>4.0778325149062496E-3</v>
      </c>
      <c r="S87" s="125">
        <f t="shared" si="37"/>
        <v>0.25202920364068288</v>
      </c>
      <c r="T87" s="122">
        <f t="shared" si="38"/>
        <v>12.58672681721947</v>
      </c>
      <c r="U87" s="126"/>
      <c r="V87" s="126"/>
      <c r="W87" s="126"/>
      <c r="X87" s="126"/>
      <c r="Y87" s="126"/>
      <c r="Z87" s="126"/>
      <c r="AA87" s="126"/>
      <c r="AB87" s="126"/>
    </row>
    <row r="88" spans="1:28" s="90" customFormat="1" ht="11.25" customHeight="1" x14ac:dyDescent="0.2">
      <c r="A88" s="117">
        <v>30</v>
      </c>
      <c r="B88" s="117" t="s">
        <v>55</v>
      </c>
      <c r="C88" s="105">
        <v>0.96399999999999997</v>
      </c>
      <c r="D88" s="105">
        <v>1.2980538749999999</v>
      </c>
      <c r="E88" s="105">
        <v>4.5765241267066159</v>
      </c>
      <c r="F88" s="105">
        <v>8.0602090000000004</v>
      </c>
      <c r="G88" s="105">
        <v>-21.593369095694019</v>
      </c>
      <c r="H88" s="100">
        <f t="shared" si="29"/>
        <v>-26.177279042050479</v>
      </c>
      <c r="I88" s="86">
        <f t="shared" si="30"/>
        <v>2.4681019910846329</v>
      </c>
      <c r="J88" s="87">
        <f t="shared" si="31"/>
        <v>8.3612126556016602</v>
      </c>
      <c r="K88" s="87">
        <f t="shared" ref="K88:L95" si="39">H$14</f>
        <v>44.65</v>
      </c>
      <c r="L88" s="87">
        <f t="shared" si="39"/>
        <v>2.83</v>
      </c>
      <c r="M88" s="87">
        <f t="shared" si="32"/>
        <v>0.43042599999999998</v>
      </c>
      <c r="N88" s="179">
        <f t="shared" si="33"/>
        <v>0.42696539114800003</v>
      </c>
      <c r="O88" s="91">
        <f t="shared" si="34"/>
        <v>44.291015679253114</v>
      </c>
      <c r="P88" s="87">
        <f t="shared" si="35"/>
        <v>1.3465289159751037</v>
      </c>
      <c r="Q88" s="87">
        <f>C88*(L88/100)</f>
        <v>2.7281200000000002E-2</v>
      </c>
      <c r="R88" s="179">
        <f t="shared" si="36"/>
        <v>2.6940123413374997E-2</v>
      </c>
      <c r="S88" s="89">
        <f t="shared" si="37"/>
        <v>2.7946186113459541</v>
      </c>
      <c r="T88" s="86">
        <f t="shared" si="38"/>
        <v>15.848679851853387</v>
      </c>
    </row>
    <row r="89" spans="1:28" s="90" customFormat="1" ht="11.25" customHeight="1" x14ac:dyDescent="0.2">
      <c r="A89" s="117">
        <v>31</v>
      </c>
      <c r="B89" s="117" t="s">
        <v>56</v>
      </c>
      <c r="C89" s="105">
        <v>1.0609999999999999</v>
      </c>
      <c r="D89" s="105">
        <v>1.430754125</v>
      </c>
      <c r="E89" s="105">
        <v>4.0125615120303326</v>
      </c>
      <c r="F89" s="105">
        <v>8.9198109999999993</v>
      </c>
      <c r="G89" s="105">
        <v>-21.537161125266451</v>
      </c>
      <c r="H89" s="100">
        <f t="shared" si="29"/>
        <v>-26.12115538357855</v>
      </c>
      <c r="I89" s="86">
        <f t="shared" si="30"/>
        <v>1.9041393764083496</v>
      </c>
      <c r="J89" s="87">
        <f t="shared" si="31"/>
        <v>8.4069849198868987</v>
      </c>
      <c r="K89" s="87">
        <f t="shared" si="39"/>
        <v>44.65</v>
      </c>
      <c r="L89" s="87">
        <f t="shared" si="39"/>
        <v>2.83</v>
      </c>
      <c r="M89" s="87">
        <f t="shared" si="32"/>
        <v>0.4737365</v>
      </c>
      <c r="N89" s="179">
        <f t="shared" si="33"/>
        <v>0.47250022829199995</v>
      </c>
      <c r="O89" s="91">
        <f t="shared" si="34"/>
        <v>44.533480517624881</v>
      </c>
      <c r="P89" s="87">
        <f t="shared" si="35"/>
        <v>1.348495876531574</v>
      </c>
      <c r="Q89" s="87">
        <f>C89*(L89/100)</f>
        <v>3.0026300000000002E-2</v>
      </c>
      <c r="R89" s="179">
        <f t="shared" si="36"/>
        <v>2.9938750962625001E-2</v>
      </c>
      <c r="S89" s="89">
        <f t="shared" si="37"/>
        <v>2.8217484413407163</v>
      </c>
      <c r="T89" s="86">
        <f t="shared" si="38"/>
        <v>15.782229154511514</v>
      </c>
    </row>
    <row r="90" spans="1:28" s="90" customFormat="1" ht="11.25" customHeight="1" x14ac:dyDescent="0.2">
      <c r="A90" s="117">
        <v>32</v>
      </c>
      <c r="B90" s="117" t="s">
        <v>57</v>
      </c>
      <c r="C90" s="105">
        <v>0.92200000000000004</v>
      </c>
      <c r="D90" s="105">
        <v>1.251672125</v>
      </c>
      <c r="E90" s="105">
        <v>3.9476568033198767</v>
      </c>
      <c r="F90" s="105">
        <v>7.8355490000000003</v>
      </c>
      <c r="G90" s="105">
        <v>-21.527542659965818</v>
      </c>
      <c r="H90" s="100">
        <f t="shared" si="29"/>
        <v>-26.111551345975869</v>
      </c>
      <c r="I90" s="86">
        <f t="shared" si="30"/>
        <v>1.8392346676978937</v>
      </c>
      <c r="J90" s="87">
        <f t="shared" si="31"/>
        <v>8.4984262472885028</v>
      </c>
      <c r="K90" s="87">
        <f t="shared" si="39"/>
        <v>44.65</v>
      </c>
      <c r="L90" s="87">
        <f t="shared" si="39"/>
        <v>2.83</v>
      </c>
      <c r="M90" s="87">
        <f t="shared" si="32"/>
        <v>0.41167300000000001</v>
      </c>
      <c r="N90" s="179">
        <f t="shared" si="33"/>
        <v>0.41506470162800002</v>
      </c>
      <c r="O90" s="91">
        <f t="shared" si="34"/>
        <v>45.017863517136661</v>
      </c>
      <c r="P90" s="87">
        <f t="shared" si="35"/>
        <v>1.3575619577006508</v>
      </c>
      <c r="Q90" s="87">
        <f>C90*(L90/100)</f>
        <v>2.6092600000000004E-2</v>
      </c>
      <c r="R90" s="179">
        <f t="shared" si="36"/>
        <v>2.5892035008624997E-2</v>
      </c>
      <c r="S90" s="89">
        <f t="shared" si="37"/>
        <v>2.8082467471393704</v>
      </c>
      <c r="T90" s="86">
        <f t="shared" si="38"/>
        <v>16.030594022051037</v>
      </c>
    </row>
    <row r="91" spans="1:28" s="90" customFormat="1" ht="11.25" customHeight="1" x14ac:dyDescent="0.2">
      <c r="A91" s="117">
        <v>33</v>
      </c>
      <c r="B91" s="117" t="s">
        <v>58</v>
      </c>
      <c r="C91" s="105">
        <v>1.262</v>
      </c>
      <c r="D91" s="105">
        <v>1.6797878749999999</v>
      </c>
      <c r="E91" s="105">
        <v>4.0418404966289234</v>
      </c>
      <c r="F91" s="105">
        <v>10.599449999999999</v>
      </c>
      <c r="G91" s="105">
        <v>-21.570495667190514</v>
      </c>
      <c r="H91" s="100">
        <f t="shared" si="29"/>
        <v>-26.154439923689729</v>
      </c>
      <c r="I91" s="86">
        <f t="shared" si="30"/>
        <v>1.9334183610069404</v>
      </c>
      <c r="J91" s="87">
        <f t="shared" si="31"/>
        <v>8.3989302694136292</v>
      </c>
      <c r="K91" s="87">
        <f t="shared" si="39"/>
        <v>44.65</v>
      </c>
      <c r="L91" s="87">
        <f t="shared" si="39"/>
        <v>2.83</v>
      </c>
      <c r="M91" s="87">
        <f t="shared" si="32"/>
        <v>0.56348300000000007</v>
      </c>
      <c r="N91" s="179">
        <f t="shared" si="33"/>
        <v>0.56147406539999989</v>
      </c>
      <c r="O91" s="91">
        <f t="shared" si="34"/>
        <v>44.490813423137865</v>
      </c>
      <c r="P91" s="87">
        <f t="shared" si="35"/>
        <v>1.3310521988906496</v>
      </c>
      <c r="Q91" s="87">
        <f>C91*(L91/100)</f>
        <v>3.5714600000000006E-2</v>
      </c>
      <c r="R91" s="179">
        <f t="shared" si="36"/>
        <v>3.5566166611374996E-2</v>
      </c>
      <c r="S91" s="89">
        <f t="shared" si="37"/>
        <v>2.8182382417888268</v>
      </c>
      <c r="T91" s="86">
        <f t="shared" si="38"/>
        <v>15.786746756689423</v>
      </c>
    </row>
    <row r="92" spans="1:28" s="126" customFormat="1" ht="11.25" customHeight="1" x14ac:dyDescent="0.2">
      <c r="A92" s="117">
        <v>37</v>
      </c>
      <c r="B92" s="117" t="s">
        <v>59</v>
      </c>
      <c r="C92" s="105">
        <v>1.127</v>
      </c>
      <c r="D92" s="105">
        <v>1.5327558750000001</v>
      </c>
      <c r="E92" s="105">
        <v>3.9766631002962072</v>
      </c>
      <c r="F92" s="105">
        <v>9.5195640000000008</v>
      </c>
      <c r="G92" s="105">
        <v>-21.544261956408633</v>
      </c>
      <c r="H92" s="100">
        <f t="shared" si="29"/>
        <v>-26.128245563474021</v>
      </c>
      <c r="I92" s="86">
        <f t="shared" si="30"/>
        <v>1.8682409646742242</v>
      </c>
      <c r="J92" s="87">
        <f t="shared" si="31"/>
        <v>8.4468181011535055</v>
      </c>
      <c r="K92" s="87">
        <f t="shared" si="39"/>
        <v>44.65</v>
      </c>
      <c r="L92" s="87">
        <f t="shared" si="39"/>
        <v>2.83</v>
      </c>
      <c r="M92" s="87">
        <f t="shared" si="32"/>
        <v>0.50320549999999997</v>
      </c>
      <c r="N92" s="179">
        <f t="shared" si="33"/>
        <v>0.50427034420799999</v>
      </c>
      <c r="O92" s="91">
        <f t="shared" si="34"/>
        <v>44.744484845430343</v>
      </c>
      <c r="P92" s="87">
        <f t="shared" si="35"/>
        <v>1.3600318322981366</v>
      </c>
      <c r="Q92" s="87">
        <f>C92*(L92/100)</f>
        <v>3.1894100000000002E-2</v>
      </c>
      <c r="R92" s="179">
        <f t="shared" si="36"/>
        <v>3.2243684507375005E-2</v>
      </c>
      <c r="S92" s="89">
        <f t="shared" si="37"/>
        <v>2.8610190334849164</v>
      </c>
      <c r="T92" s="86">
        <f t="shared" si="38"/>
        <v>15.6393523851984</v>
      </c>
      <c r="U92" s="90"/>
      <c r="V92" s="90"/>
      <c r="W92" s="90"/>
      <c r="X92" s="90"/>
      <c r="Y92" s="90"/>
      <c r="Z92" s="90"/>
      <c r="AA92" s="90"/>
      <c r="AB92" s="90"/>
    </row>
    <row r="93" spans="1:28" s="90" customFormat="1" ht="11.25" customHeight="1" x14ac:dyDescent="0.2">
      <c r="A93" s="117">
        <v>50</v>
      </c>
      <c r="B93" s="117" t="s">
        <v>82</v>
      </c>
      <c r="C93" s="105">
        <v>1.0429999999999999</v>
      </c>
      <c r="D93" s="105">
        <v>1.6625993750000001</v>
      </c>
      <c r="E93" s="105">
        <v>2.6960401558810965</v>
      </c>
      <c r="F93" s="105">
        <v>8.808351</v>
      </c>
      <c r="G93" s="105">
        <v>-21.429279344113308</v>
      </c>
      <c r="H93" s="100">
        <f t="shared" si="29"/>
        <v>-26.013435425097139</v>
      </c>
      <c r="I93" s="86">
        <f t="shared" si="30"/>
        <v>0.58761802025911347</v>
      </c>
      <c r="J93" s="87">
        <f t="shared" si="31"/>
        <v>8.445207094918505</v>
      </c>
      <c r="K93" s="87">
        <f t="shared" si="39"/>
        <v>44.65</v>
      </c>
      <c r="L93" s="87">
        <f t="shared" si="39"/>
        <v>2.83</v>
      </c>
      <c r="M93" s="87">
        <f t="shared" si="32"/>
        <v>0.46569949999999999</v>
      </c>
      <c r="N93" s="179">
        <f t="shared" si="33"/>
        <v>0.46659596917199997</v>
      </c>
      <c r="O93" s="91">
        <f t="shared" si="34"/>
        <v>44.735951023202304</v>
      </c>
      <c r="P93" s="87">
        <f t="shared" si="35"/>
        <v>1.5940550095877279</v>
      </c>
      <c r="Q93" s="87"/>
      <c r="R93" s="179">
        <f t="shared" si="36"/>
        <v>3.5177758076875003E-2</v>
      </c>
      <c r="S93" s="89"/>
      <c r="T93" s="86">
        <f t="shared" si="38"/>
        <v>13.263948434471972</v>
      </c>
    </row>
    <row r="94" spans="1:28" s="126" customFormat="1" ht="11.25" customHeight="1" x14ac:dyDescent="0.2">
      <c r="A94" s="117">
        <v>61</v>
      </c>
      <c r="B94" s="117" t="s">
        <v>61</v>
      </c>
      <c r="C94" s="105">
        <v>0.85899999999999999</v>
      </c>
      <c r="D94" s="105">
        <v>1.1948447499999999</v>
      </c>
      <c r="E94" s="105">
        <v>4.9403492307344976</v>
      </c>
      <c r="F94" s="105">
        <v>7.251468</v>
      </c>
      <c r="G94" s="105">
        <v>-21.86622344117416</v>
      </c>
      <c r="H94" s="100">
        <f t="shared" si="29"/>
        <v>-26.4497241060124</v>
      </c>
      <c r="I94" s="86">
        <f t="shared" si="30"/>
        <v>2.8319270951125146</v>
      </c>
      <c r="J94" s="87">
        <f t="shared" si="31"/>
        <v>8.4417555296856808</v>
      </c>
      <c r="K94" s="87">
        <f t="shared" si="39"/>
        <v>44.65</v>
      </c>
      <c r="L94" s="87">
        <f t="shared" si="39"/>
        <v>2.83</v>
      </c>
      <c r="M94" s="87">
        <f t="shared" si="32"/>
        <v>0.38354349999999998</v>
      </c>
      <c r="N94" s="179">
        <f t="shared" si="33"/>
        <v>0.384124762896</v>
      </c>
      <c r="O94" s="91">
        <f t="shared" si="34"/>
        <v>44.717667391850988</v>
      </c>
      <c r="P94" s="87">
        <f t="shared" si="35"/>
        <v>1.3909717694994179</v>
      </c>
      <c r="Q94" s="87">
        <f>C94*(L94/100)</f>
        <v>2.43097E-2</v>
      </c>
      <c r="R94" s="179">
        <f t="shared" si="36"/>
        <v>2.4607906815749994E-2</v>
      </c>
      <c r="S94" s="89">
        <f>R94/C94*100</f>
        <v>2.864715578084982</v>
      </c>
      <c r="T94" s="86">
        <f t="shared" si="38"/>
        <v>15.609810528465818</v>
      </c>
      <c r="U94" s="90"/>
      <c r="V94" s="90"/>
      <c r="W94" s="90"/>
      <c r="X94" s="90"/>
      <c r="Y94" s="90"/>
      <c r="Z94" s="90"/>
      <c r="AA94" s="90"/>
      <c r="AB94" s="90"/>
    </row>
    <row r="95" spans="1:28" s="90" customFormat="1" ht="11.25" customHeight="1" x14ac:dyDescent="0.2">
      <c r="A95" s="117">
        <v>75</v>
      </c>
      <c r="B95" s="117" t="s">
        <v>84</v>
      </c>
      <c r="C95" s="105">
        <v>0.996</v>
      </c>
      <c r="D95" s="105">
        <v>1.3591819999999999</v>
      </c>
      <c r="E95" s="105">
        <v>5.3157416593783147</v>
      </c>
      <c r="F95" s="105">
        <v>8.4233440000000002</v>
      </c>
      <c r="G95" s="105">
        <v>-21.925376382175127</v>
      </c>
      <c r="H95" s="100">
        <f t="shared" si="29"/>
        <v>-26.508788317601866</v>
      </c>
      <c r="I95" s="86">
        <f t="shared" si="30"/>
        <v>3.2073195237563317</v>
      </c>
      <c r="J95" s="87">
        <f t="shared" si="31"/>
        <v>8.457172690763052</v>
      </c>
      <c r="K95" s="87">
        <f t="shared" si="39"/>
        <v>44.65</v>
      </c>
      <c r="L95" s="87">
        <f t="shared" si="39"/>
        <v>2.83</v>
      </c>
      <c r="M95" s="87">
        <f t="shared" si="32"/>
        <v>0.444714</v>
      </c>
      <c r="N95" s="179">
        <f t="shared" si="33"/>
        <v>0.446201378368</v>
      </c>
      <c r="O95" s="91">
        <f t="shared" si="34"/>
        <v>44.799335177510038</v>
      </c>
      <c r="P95" s="87">
        <f t="shared" si="35"/>
        <v>1.3646405622489959</v>
      </c>
      <c r="Q95" s="87">
        <f>C95*(L95/100)</f>
        <v>2.8186800000000001E-2</v>
      </c>
      <c r="R95" s="179">
        <f t="shared" si="36"/>
        <v>2.8321435653999999E-2</v>
      </c>
      <c r="S95" s="89">
        <f>R95/C95*100</f>
        <v>2.8435176359437748</v>
      </c>
      <c r="T95" s="86">
        <f t="shared" si="38"/>
        <v>15.754899709859179</v>
      </c>
    </row>
    <row r="96" spans="1:28" s="90" customFormat="1" ht="11.25" customHeight="1" x14ac:dyDescent="0.2">
      <c r="A96" s="119"/>
      <c r="B96" s="119"/>
      <c r="C96" s="120"/>
      <c r="D96" s="120"/>
      <c r="E96" s="120"/>
      <c r="F96" s="120"/>
      <c r="G96" s="120"/>
      <c r="H96" s="121"/>
      <c r="I96" s="122"/>
      <c r="J96" s="118"/>
      <c r="K96" s="118"/>
      <c r="L96" s="118"/>
      <c r="M96" s="118"/>
      <c r="N96" s="181"/>
      <c r="O96" s="124"/>
      <c r="P96" s="118"/>
      <c r="Q96" s="118"/>
      <c r="R96" s="181"/>
      <c r="S96" s="125"/>
      <c r="T96" s="122"/>
      <c r="U96" s="126"/>
      <c r="V96" s="126"/>
      <c r="W96" s="126"/>
      <c r="X96" s="126"/>
      <c r="Y96" s="126"/>
      <c r="Z96" s="126"/>
      <c r="AA96" s="126"/>
      <c r="AB96" s="126"/>
    </row>
    <row r="97" spans="1:28" ht="11.25" customHeight="1" x14ac:dyDescent="0.2">
      <c r="A97" s="83"/>
      <c r="B97" s="111"/>
      <c r="C97" s="84"/>
      <c r="D97" s="84"/>
      <c r="E97" s="84"/>
      <c r="F97" s="84"/>
      <c r="G97" s="84"/>
      <c r="H97" s="102"/>
      <c r="I97" s="102"/>
      <c r="J97" s="106"/>
      <c r="K97" s="106"/>
      <c r="L97" s="106"/>
      <c r="M97" s="106"/>
      <c r="N97" s="107"/>
      <c r="O97" s="103"/>
      <c r="P97" s="106"/>
      <c r="Q97" s="106"/>
      <c r="R97" s="107"/>
      <c r="S97" s="104"/>
      <c r="T97" s="102"/>
      <c r="V97" s="1"/>
      <c r="W97" s="1"/>
      <c r="X97" s="1"/>
      <c r="Y97" s="1"/>
      <c r="Z97" s="1"/>
      <c r="AA97" s="1"/>
      <c r="AB97" s="1"/>
    </row>
    <row r="98" spans="1:28" ht="11.25" customHeight="1" x14ac:dyDescent="0.2">
      <c r="A98" s="92" t="s">
        <v>71</v>
      </c>
      <c r="B98" s="93" t="s">
        <v>40</v>
      </c>
      <c r="C98" s="92" t="s">
        <v>54</v>
      </c>
      <c r="D98" s="92" t="s">
        <v>72</v>
      </c>
      <c r="E98" s="94" t="s">
        <v>79</v>
      </c>
      <c r="F98" s="92" t="s">
        <v>72</v>
      </c>
      <c r="G98" s="94" t="s">
        <v>73</v>
      </c>
      <c r="J98" s="1"/>
      <c r="K98" s="1"/>
      <c r="L98" s="1"/>
      <c r="V98" s="1"/>
      <c r="W98" s="1"/>
      <c r="X98" s="1"/>
      <c r="Y98" s="1"/>
      <c r="Z98" s="1"/>
      <c r="AA98" s="1"/>
      <c r="AB98" s="1"/>
    </row>
    <row r="99" spans="1:28" ht="11.25" customHeight="1" x14ac:dyDescent="0.2">
      <c r="A99" s="97" t="s">
        <v>74</v>
      </c>
      <c r="B99" s="97" t="s">
        <v>75</v>
      </c>
      <c r="C99" s="98" t="s">
        <v>77</v>
      </c>
      <c r="D99" s="98" t="s">
        <v>76</v>
      </c>
      <c r="E99" s="98" t="s">
        <v>78</v>
      </c>
      <c r="F99" s="98" t="s">
        <v>76</v>
      </c>
      <c r="G99" s="98" t="s">
        <v>78</v>
      </c>
      <c r="J99" s="1"/>
      <c r="K99" s="1"/>
      <c r="L99" s="1"/>
      <c r="V99" s="1"/>
      <c r="W99" s="1"/>
      <c r="X99" s="1"/>
      <c r="Y99" s="1"/>
      <c r="Z99" s="1"/>
      <c r="AA99" s="1"/>
      <c r="AB99" s="1"/>
    </row>
    <row r="100" spans="1:28" ht="11.25" customHeight="1" x14ac:dyDescent="0.2">
      <c r="A100" s="95">
        <v>33</v>
      </c>
      <c r="B100" s="95" t="s">
        <v>85</v>
      </c>
      <c r="C100" s="96">
        <v>1.5680000000000001</v>
      </c>
      <c r="D100" s="96">
        <v>0.57160343749999998</v>
      </c>
      <c r="E100" s="96">
        <v>2.8799411243840556</v>
      </c>
      <c r="F100" s="96">
        <v>1.5817239999999999</v>
      </c>
      <c r="G100" s="96">
        <v>-21.848580214636076</v>
      </c>
      <c r="J100" s="1"/>
      <c r="K100" s="1"/>
      <c r="L100" s="1"/>
      <c r="V100" s="1"/>
      <c r="W100" s="1"/>
      <c r="X100" s="1"/>
      <c r="Y100" s="1"/>
      <c r="Z100" s="1"/>
      <c r="AA100" s="1"/>
      <c r="AB100" s="1"/>
    </row>
    <row r="101" spans="1:28" ht="11.25" customHeight="1" x14ac:dyDescent="0.2">
      <c r="A101" s="114"/>
      <c r="B101" s="114"/>
      <c r="C101" s="108"/>
      <c r="D101" s="108"/>
      <c r="E101" s="108"/>
      <c r="F101" s="108"/>
      <c r="J101" s="1"/>
      <c r="K101" s="1"/>
      <c r="L101" s="1"/>
      <c r="V101" s="1"/>
      <c r="W101" s="1"/>
      <c r="X101" s="1"/>
      <c r="Y101" s="1"/>
      <c r="Z101" s="1"/>
      <c r="AA101" s="1"/>
      <c r="AB101" s="1"/>
    </row>
    <row r="102" spans="1:28" ht="11.25" customHeight="1" x14ac:dyDescent="0.2">
      <c r="J102" s="1"/>
      <c r="K102" s="1"/>
      <c r="L102" s="1"/>
      <c r="V102" s="1"/>
      <c r="W102" s="1"/>
      <c r="X102" s="1"/>
      <c r="Y102" s="1"/>
      <c r="Z102" s="1"/>
      <c r="AA102" s="1"/>
      <c r="AB102" s="1"/>
    </row>
    <row r="103" spans="1:28" ht="11.25" customHeight="1" x14ac:dyDescent="0.25">
      <c r="J103" s="1"/>
      <c r="K103" s="1"/>
      <c r="L103" s="1"/>
      <c r="P103"/>
      <c r="Q103"/>
      <c r="R103"/>
      <c r="S103"/>
      <c r="T103"/>
      <c r="U103"/>
      <c r="W103" s="1"/>
      <c r="X103" s="1"/>
      <c r="Y103" s="1"/>
      <c r="Z103" s="1"/>
      <c r="AA103" s="1"/>
      <c r="AB103" s="1"/>
    </row>
    <row r="104" spans="1:28" ht="11.25" customHeight="1" x14ac:dyDescent="0.25">
      <c r="A104" s="92" t="s">
        <v>71</v>
      </c>
      <c r="B104" s="93" t="s">
        <v>40</v>
      </c>
      <c r="C104" s="92" t="s">
        <v>54</v>
      </c>
      <c r="D104" s="92" t="s">
        <v>72</v>
      </c>
      <c r="E104" s="94" t="s">
        <v>79</v>
      </c>
      <c r="F104" s="92" t="s">
        <v>72</v>
      </c>
      <c r="G104" s="94" t="s">
        <v>73</v>
      </c>
      <c r="I104"/>
      <c r="J104"/>
      <c r="K104"/>
      <c r="L104"/>
      <c r="M104"/>
      <c r="N104"/>
      <c r="O104"/>
      <c r="V104" s="1"/>
      <c r="W104" s="1"/>
      <c r="X104" s="1"/>
      <c r="Y104" s="1"/>
      <c r="Z104" s="1"/>
      <c r="AA104" s="1"/>
      <c r="AB104" s="1"/>
    </row>
    <row r="105" spans="1:28" ht="11.25" customHeight="1" x14ac:dyDescent="0.25">
      <c r="A105" s="97" t="s">
        <v>74</v>
      </c>
      <c r="B105" s="97" t="s">
        <v>75</v>
      </c>
      <c r="C105" s="98" t="s">
        <v>77</v>
      </c>
      <c r="D105" s="98" t="s">
        <v>76</v>
      </c>
      <c r="E105" s="98" t="s">
        <v>78</v>
      </c>
      <c r="F105" s="98" t="s">
        <v>76</v>
      </c>
      <c r="G105" s="98" t="s">
        <v>78</v>
      </c>
      <c r="I105"/>
      <c r="J105"/>
      <c r="K105"/>
      <c r="L105"/>
      <c r="M105"/>
      <c r="N105"/>
      <c r="O105"/>
      <c r="V105" s="1"/>
      <c r="W105" s="1"/>
      <c r="X105" s="1"/>
      <c r="Y105" s="1"/>
      <c r="Z105" s="1"/>
      <c r="AA105" s="1"/>
      <c r="AB105" s="1"/>
    </row>
    <row r="106" spans="1:28" ht="11.25" customHeight="1" x14ac:dyDescent="0.25">
      <c r="A106" s="83">
        <v>30</v>
      </c>
      <c r="B106" s="83" t="s">
        <v>55</v>
      </c>
      <c r="C106" s="84">
        <v>0.96399999999999997</v>
      </c>
      <c r="D106" s="84">
        <v>1.2980538749999999</v>
      </c>
      <c r="E106" s="84">
        <v>4.5765241267066159</v>
      </c>
      <c r="F106" s="84">
        <v>8.0602090000000004</v>
      </c>
      <c r="G106" s="84">
        <v>-21.593369095694019</v>
      </c>
      <c r="I106"/>
      <c r="J106"/>
      <c r="K106"/>
      <c r="L106"/>
      <c r="M106"/>
      <c r="N106"/>
      <c r="O106"/>
      <c r="V106" s="1"/>
      <c r="W106" s="1"/>
      <c r="X106" s="1"/>
      <c r="Y106" s="1"/>
      <c r="Z106" s="1"/>
      <c r="AA106" s="1"/>
      <c r="AB106" s="1"/>
    </row>
    <row r="107" spans="1:28" ht="11.25" customHeight="1" x14ac:dyDescent="0.25">
      <c r="A107" s="95">
        <v>31</v>
      </c>
      <c r="B107" s="95" t="s">
        <v>56</v>
      </c>
      <c r="C107" s="96">
        <v>1.0609999999999999</v>
      </c>
      <c r="D107" s="96">
        <v>1.430754125</v>
      </c>
      <c r="E107" s="96">
        <v>4.0125615120303326</v>
      </c>
      <c r="F107" s="96">
        <v>8.9198109999999993</v>
      </c>
      <c r="G107" s="96">
        <v>-21.537161125266451</v>
      </c>
      <c r="I107"/>
      <c r="J107"/>
      <c r="K107"/>
      <c r="L107"/>
      <c r="M107"/>
      <c r="N107"/>
      <c r="O107"/>
      <c r="V107" s="1"/>
      <c r="W107" s="1"/>
      <c r="X107" s="1"/>
      <c r="Y107" s="1"/>
      <c r="Z107" s="1"/>
      <c r="AA107" s="1"/>
      <c r="AB107" s="1"/>
    </row>
    <row r="108" spans="1:28" ht="11.25" customHeight="1" x14ac:dyDescent="0.25">
      <c r="A108" s="83">
        <v>32</v>
      </c>
      <c r="B108" s="83" t="s">
        <v>57</v>
      </c>
      <c r="C108" s="84">
        <v>0.92200000000000004</v>
      </c>
      <c r="D108" s="84">
        <v>1.251672125</v>
      </c>
      <c r="E108" s="84">
        <v>3.9476568033198767</v>
      </c>
      <c r="F108" s="84">
        <v>7.8355490000000003</v>
      </c>
      <c r="G108" s="84">
        <v>-21.527542659965818</v>
      </c>
      <c r="I108"/>
      <c r="J108"/>
      <c r="K108"/>
      <c r="L108"/>
      <c r="M108"/>
      <c r="N108"/>
      <c r="O108"/>
      <c r="V108" s="1"/>
      <c r="W108" s="1"/>
      <c r="X108" s="1"/>
      <c r="Y108" s="1"/>
      <c r="Z108" s="1"/>
      <c r="AA108" s="1"/>
      <c r="AB108" s="1"/>
    </row>
    <row r="109" spans="1:28" ht="11.25" customHeight="1" x14ac:dyDescent="0.25">
      <c r="A109" s="95">
        <v>33</v>
      </c>
      <c r="B109" s="95" t="s">
        <v>58</v>
      </c>
      <c r="C109" s="96">
        <v>1.262</v>
      </c>
      <c r="D109" s="96">
        <v>1.6797878749999999</v>
      </c>
      <c r="E109" s="96">
        <v>4.0418404966289234</v>
      </c>
      <c r="F109" s="96">
        <v>10.599449999999999</v>
      </c>
      <c r="G109" s="96">
        <v>-21.570495667190514</v>
      </c>
      <c r="I109"/>
      <c r="J109"/>
      <c r="K109"/>
      <c r="L109"/>
      <c r="M109"/>
      <c r="N109"/>
      <c r="O109"/>
      <c r="V109" s="1"/>
      <c r="W109" s="1"/>
      <c r="X109" s="1"/>
      <c r="Y109" s="1"/>
      <c r="Z109" s="1"/>
      <c r="AA109" s="1"/>
      <c r="AB109" s="1"/>
    </row>
    <row r="110" spans="1:28" ht="11.25" customHeight="1" x14ac:dyDescent="0.25">
      <c r="A110" s="83">
        <v>34</v>
      </c>
      <c r="B110" s="83" t="s">
        <v>60</v>
      </c>
      <c r="C110" s="84">
        <v>1.202</v>
      </c>
      <c r="D110" s="84">
        <v>0.16253965625</v>
      </c>
      <c r="E110" s="84">
        <v>-3.084872244596859</v>
      </c>
      <c r="F110" s="84">
        <v>9.3018999999999998</v>
      </c>
      <c r="G110" s="84">
        <v>-20.119443320476883</v>
      </c>
      <c r="I110"/>
      <c r="J110"/>
      <c r="K110"/>
      <c r="L110"/>
      <c r="M110"/>
      <c r="N110"/>
      <c r="O110"/>
      <c r="V110" s="1"/>
      <c r="W110" s="1"/>
      <c r="X110" s="1"/>
      <c r="Y110" s="1"/>
      <c r="Z110" s="1"/>
      <c r="AA110" s="1"/>
      <c r="AB110" s="1"/>
    </row>
    <row r="111" spans="1:28" ht="11.25" customHeight="1" x14ac:dyDescent="0.25">
      <c r="A111" s="95">
        <v>35</v>
      </c>
      <c r="B111" s="95" t="s">
        <v>66</v>
      </c>
      <c r="C111" s="96">
        <v>1.204</v>
      </c>
      <c r="D111" s="96">
        <v>0.16198407812499999</v>
      </c>
      <c r="E111" s="96">
        <v>-5.3953895389948769</v>
      </c>
      <c r="F111" s="96">
        <v>9.2150639999999999</v>
      </c>
      <c r="G111" s="96">
        <v>-6.0505836914376028</v>
      </c>
      <c r="I111"/>
      <c r="J111"/>
      <c r="K111"/>
      <c r="L111"/>
      <c r="M111"/>
      <c r="N111"/>
      <c r="O111"/>
      <c r="V111" s="1"/>
      <c r="W111" s="1"/>
      <c r="X111" s="1"/>
      <c r="Y111" s="1"/>
      <c r="Z111" s="1"/>
      <c r="AA111" s="1"/>
      <c r="AB111" s="1"/>
    </row>
    <row r="112" spans="1:28" ht="11.25" customHeight="1" x14ac:dyDescent="0.25">
      <c r="A112" s="83">
        <v>36</v>
      </c>
      <c r="B112" s="83" t="s">
        <v>65</v>
      </c>
      <c r="C112" s="84">
        <v>1.399</v>
      </c>
      <c r="D112" s="84">
        <v>0.17622625</v>
      </c>
      <c r="E112" s="84">
        <v>-4.8872985629148102</v>
      </c>
      <c r="F112" s="84">
        <v>4.9284249999999998</v>
      </c>
      <c r="G112" s="84">
        <v>-13.560863721169246</v>
      </c>
      <c r="I112"/>
      <c r="J112"/>
      <c r="K112"/>
      <c r="L112"/>
      <c r="M112"/>
      <c r="N112"/>
      <c r="O112"/>
      <c r="V112" s="1"/>
      <c r="W112" s="1"/>
      <c r="X112" s="1"/>
      <c r="Y112" s="1"/>
      <c r="Z112" s="1"/>
      <c r="AA112" s="1"/>
      <c r="AB112" s="1"/>
    </row>
    <row r="113" spans="1:28" ht="11.25" customHeight="1" x14ac:dyDescent="0.25">
      <c r="A113" s="95">
        <v>37</v>
      </c>
      <c r="B113" s="95" t="s">
        <v>59</v>
      </c>
      <c r="C113" s="96">
        <v>1.127</v>
      </c>
      <c r="D113" s="96">
        <v>1.5327558750000001</v>
      </c>
      <c r="E113" s="96">
        <v>3.9766631002962072</v>
      </c>
      <c r="F113" s="96">
        <v>9.5195640000000008</v>
      </c>
      <c r="G113" s="96">
        <v>-21.544261956408633</v>
      </c>
      <c r="I113"/>
      <c r="J113"/>
      <c r="K113"/>
      <c r="L113"/>
      <c r="M113"/>
      <c r="N113"/>
      <c r="O113"/>
      <c r="V113" s="1"/>
      <c r="W113" s="1"/>
      <c r="X113" s="1"/>
      <c r="Y113" s="1"/>
      <c r="Z113" s="1"/>
      <c r="AA113" s="1"/>
      <c r="AB113" s="1"/>
    </row>
    <row r="114" spans="1:28" ht="11.25" customHeight="1" x14ac:dyDescent="0.25">
      <c r="A114" s="83">
        <v>38</v>
      </c>
      <c r="B114" s="83" t="s">
        <v>291</v>
      </c>
      <c r="C114" s="84">
        <v>6.7130000000000001</v>
      </c>
      <c r="D114" s="84">
        <v>0.39128146875000003</v>
      </c>
      <c r="E114" s="84">
        <v>0.62762102560132149</v>
      </c>
      <c r="F114" s="84">
        <v>1.1697115</v>
      </c>
      <c r="G114" s="84">
        <v>-21.641538612293242</v>
      </c>
      <c r="I114"/>
      <c r="J114"/>
      <c r="K114"/>
      <c r="L114"/>
      <c r="M114"/>
      <c r="N114"/>
      <c r="O114"/>
      <c r="V114" s="1"/>
      <c r="W114" s="1"/>
      <c r="X114" s="1"/>
      <c r="Y114" s="1"/>
      <c r="Z114" s="1"/>
      <c r="AA114" s="1"/>
      <c r="AB114" s="1"/>
    </row>
    <row r="115" spans="1:28" ht="11.25" customHeight="1" x14ac:dyDescent="0.25">
      <c r="A115" s="95">
        <v>39</v>
      </c>
      <c r="B115" s="95" t="s">
        <v>292</v>
      </c>
      <c r="C115" s="96">
        <v>6.6989999999999998</v>
      </c>
      <c r="D115" s="96">
        <v>0.42645184375</v>
      </c>
      <c r="E115" s="96">
        <v>0.53038104948699427</v>
      </c>
      <c r="F115" s="96">
        <v>0.78825387499999999</v>
      </c>
      <c r="G115" s="96">
        <v>-24.351227942940511</v>
      </c>
      <c r="I115"/>
      <c r="J115"/>
      <c r="K115"/>
      <c r="L115"/>
      <c r="M115"/>
      <c r="N115"/>
      <c r="O115"/>
      <c r="V115" s="1"/>
      <c r="W115" s="1"/>
      <c r="X115" s="1"/>
      <c r="Y115" s="1"/>
      <c r="Z115" s="1"/>
      <c r="AA115" s="1"/>
      <c r="AB115" s="1"/>
    </row>
    <row r="116" spans="1:28" ht="11.25" customHeight="1" x14ac:dyDescent="0.25">
      <c r="A116" s="83">
        <v>40</v>
      </c>
      <c r="B116" s="83" t="s">
        <v>293</v>
      </c>
      <c r="C116" s="84">
        <v>6.8609999999999998</v>
      </c>
      <c r="D116" s="84">
        <v>0.51020181249999996</v>
      </c>
      <c r="E116" s="84">
        <v>1.3013803485475428</v>
      </c>
      <c r="F116" s="84">
        <v>0.96519631250000004</v>
      </c>
      <c r="G116" s="84">
        <v>-21.472396139564918</v>
      </c>
      <c r="I116"/>
      <c r="J116"/>
      <c r="K116"/>
      <c r="L116"/>
      <c r="M116"/>
      <c r="N116"/>
      <c r="O116"/>
      <c r="V116" s="1"/>
      <c r="W116" s="1"/>
      <c r="X116" s="1"/>
      <c r="Y116" s="1"/>
      <c r="Z116" s="1"/>
      <c r="AA116" s="1"/>
      <c r="AB116" s="1"/>
    </row>
    <row r="117" spans="1:28" ht="11.25" customHeight="1" x14ac:dyDescent="0.25">
      <c r="A117" s="95">
        <v>41</v>
      </c>
      <c r="B117" s="95" t="s">
        <v>294</v>
      </c>
      <c r="C117" s="96">
        <v>6.1920000000000002</v>
      </c>
      <c r="D117" s="96">
        <v>0.53604837500000002</v>
      </c>
      <c r="E117" s="96">
        <v>0.48442869681841749</v>
      </c>
      <c r="F117" s="96">
        <v>0.53823781250000002</v>
      </c>
      <c r="G117" s="96">
        <v>-21.481975777202791</v>
      </c>
      <c r="I117"/>
      <c r="J117"/>
      <c r="K117"/>
      <c r="L117"/>
      <c r="M117"/>
      <c r="N117"/>
      <c r="O117"/>
      <c r="V117" s="1"/>
      <c r="W117" s="1"/>
      <c r="X117" s="1"/>
      <c r="Y117" s="1"/>
      <c r="Z117" s="1"/>
      <c r="AA117" s="1"/>
      <c r="AB117" s="1"/>
    </row>
    <row r="118" spans="1:28" ht="11.25" customHeight="1" x14ac:dyDescent="0.25">
      <c r="A118" s="83">
        <v>42</v>
      </c>
      <c r="B118" s="83" t="s">
        <v>295</v>
      </c>
      <c r="C118" s="84">
        <v>6.32</v>
      </c>
      <c r="D118" s="84">
        <v>0.58704468750000005</v>
      </c>
      <c r="E118" s="84">
        <v>-1.4246337003753773</v>
      </c>
      <c r="F118" s="84">
        <v>0.58386925000000001</v>
      </c>
      <c r="G118" s="84">
        <v>-21.914286668643683</v>
      </c>
      <c r="I118"/>
      <c r="J118"/>
      <c r="K118"/>
      <c r="L118"/>
      <c r="M118"/>
      <c r="N118"/>
      <c r="O118"/>
      <c r="V118" s="1"/>
      <c r="W118" s="1"/>
      <c r="X118" s="1"/>
      <c r="Y118" s="1"/>
      <c r="Z118" s="1"/>
      <c r="AA118" s="1"/>
      <c r="AB118" s="1"/>
    </row>
    <row r="119" spans="1:28" ht="11.25" customHeight="1" x14ac:dyDescent="0.25">
      <c r="A119" s="95">
        <v>43</v>
      </c>
      <c r="B119" s="95" t="s">
        <v>296</v>
      </c>
      <c r="C119" s="96">
        <v>6.5449999999999999</v>
      </c>
      <c r="D119" s="96">
        <v>0.62736674999999997</v>
      </c>
      <c r="E119" s="96">
        <v>-0.65253287707389696</v>
      </c>
      <c r="F119" s="96">
        <v>0.57232525000000001</v>
      </c>
      <c r="G119" s="96">
        <v>-22.484534575875138</v>
      </c>
      <c r="I119"/>
      <c r="J119"/>
      <c r="K119"/>
      <c r="L119"/>
      <c r="M119"/>
      <c r="N119"/>
      <c r="O119"/>
      <c r="V119" s="1"/>
      <c r="W119" s="1"/>
      <c r="X119" s="1"/>
      <c r="Y119" s="1"/>
      <c r="Z119" s="1"/>
      <c r="AA119" s="1"/>
      <c r="AB119" s="1"/>
    </row>
    <row r="120" spans="1:28" ht="11.25" customHeight="1" x14ac:dyDescent="0.25">
      <c r="A120" s="83">
        <v>44</v>
      </c>
      <c r="B120" s="83" t="s">
        <v>297</v>
      </c>
      <c r="C120" s="84">
        <v>6.4050000000000002</v>
      </c>
      <c r="D120" s="84">
        <v>0.6428239375</v>
      </c>
      <c r="E120" s="84">
        <v>-1.1468104644208887</v>
      </c>
      <c r="F120" s="84">
        <v>0.44596059375000002</v>
      </c>
      <c r="G120" s="84">
        <v>-22.168567258518696</v>
      </c>
      <c r="I120"/>
      <c r="J120"/>
      <c r="K120"/>
      <c r="L120"/>
      <c r="M120"/>
      <c r="N120"/>
      <c r="O120"/>
      <c r="V120" s="1"/>
      <c r="W120" s="1"/>
      <c r="X120" s="1"/>
      <c r="Y120" s="1"/>
      <c r="Z120" s="1"/>
      <c r="AA120" s="1"/>
      <c r="AB120" s="1"/>
    </row>
    <row r="121" spans="1:28" ht="11.25" customHeight="1" x14ac:dyDescent="0.25">
      <c r="A121" s="95">
        <v>45</v>
      </c>
      <c r="B121" s="95" t="s">
        <v>298</v>
      </c>
      <c r="C121" s="96">
        <v>6.3319999999999999</v>
      </c>
      <c r="D121" s="96">
        <v>0.73006956249999999</v>
      </c>
      <c r="E121" s="96">
        <v>-1.9030291722267334</v>
      </c>
      <c r="F121" s="96">
        <v>0.46562771874999997</v>
      </c>
      <c r="G121" s="96">
        <v>-21.993856391198033</v>
      </c>
      <c r="I121"/>
      <c r="J121"/>
      <c r="K121"/>
      <c r="L121"/>
      <c r="M121"/>
      <c r="N121"/>
      <c r="O121"/>
      <c r="V121" s="1"/>
      <c r="W121" s="1"/>
      <c r="X121" s="1"/>
      <c r="Y121" s="1"/>
      <c r="Z121" s="1"/>
      <c r="AA121" s="1"/>
      <c r="AB121" s="1"/>
    </row>
    <row r="122" spans="1:28" ht="11.25" customHeight="1" x14ac:dyDescent="0.25">
      <c r="A122" s="83">
        <v>46</v>
      </c>
      <c r="B122" s="83" t="s">
        <v>299</v>
      </c>
      <c r="C122" s="84">
        <v>6.3440000000000003</v>
      </c>
      <c r="D122" s="84">
        <v>0.89244662500000005</v>
      </c>
      <c r="E122" s="84">
        <v>-0.89908915536740519</v>
      </c>
      <c r="F122" s="84">
        <v>0.50447331250000005</v>
      </c>
      <c r="G122" s="84">
        <v>-22.335671236856719</v>
      </c>
      <c r="I122"/>
      <c r="J122"/>
      <c r="K122"/>
      <c r="L122"/>
      <c r="M122"/>
      <c r="N122"/>
      <c r="O122"/>
      <c r="V122" s="1"/>
      <c r="W122" s="1"/>
      <c r="X122" s="1"/>
      <c r="Y122" s="1"/>
      <c r="Z122" s="1"/>
      <c r="AA122" s="1"/>
      <c r="AB122" s="1"/>
    </row>
    <row r="123" spans="1:28" ht="11.25" customHeight="1" x14ac:dyDescent="0.25">
      <c r="A123" s="95">
        <v>47</v>
      </c>
      <c r="B123" s="95" t="s">
        <v>300</v>
      </c>
      <c r="C123" s="96">
        <v>6.48</v>
      </c>
      <c r="D123" s="96">
        <v>1.0459097500000001</v>
      </c>
      <c r="E123" s="96">
        <v>-1.1980598382660412</v>
      </c>
      <c r="F123" s="96">
        <v>0.30994125</v>
      </c>
      <c r="G123" s="96">
        <v>-22.415758434549751</v>
      </c>
      <c r="I123"/>
      <c r="J123"/>
      <c r="K123"/>
      <c r="L123"/>
      <c r="M123"/>
      <c r="N123"/>
      <c r="O123"/>
      <c r="V123" s="1"/>
      <c r="W123" s="1"/>
      <c r="X123" s="1"/>
      <c r="Y123" s="1"/>
      <c r="Z123" s="1"/>
      <c r="AA123" s="1"/>
      <c r="AB123" s="1"/>
    </row>
    <row r="124" spans="1:28" ht="11.25" customHeight="1" x14ac:dyDescent="0.25">
      <c r="A124" s="83">
        <v>48</v>
      </c>
      <c r="B124" s="83" t="s">
        <v>301</v>
      </c>
      <c r="C124" s="84">
        <v>6.4130000000000003</v>
      </c>
      <c r="D124" s="84">
        <v>1.104354375</v>
      </c>
      <c r="E124" s="84">
        <v>-1.1100923472697755</v>
      </c>
      <c r="F124" s="84">
        <v>0.29438962499999999</v>
      </c>
      <c r="G124" s="84">
        <v>-22.494764764700285</v>
      </c>
      <c r="I124"/>
      <c r="J124"/>
      <c r="K124"/>
      <c r="L124"/>
      <c r="M124"/>
      <c r="N124"/>
      <c r="O124"/>
      <c r="V124" s="1"/>
      <c r="W124" s="1"/>
      <c r="X124" s="1"/>
      <c r="Y124" s="1"/>
      <c r="Z124" s="1"/>
      <c r="AA124" s="1"/>
      <c r="AB124" s="1"/>
    </row>
    <row r="125" spans="1:28" ht="11.25" customHeight="1" x14ac:dyDescent="0.25">
      <c r="A125" s="95">
        <v>49</v>
      </c>
      <c r="B125" s="95" t="s">
        <v>302</v>
      </c>
      <c r="C125" s="96">
        <v>6.2069999999999999</v>
      </c>
      <c r="D125" s="96">
        <v>0.96557887499999995</v>
      </c>
      <c r="E125" s="96">
        <v>-0.72015326558938497</v>
      </c>
      <c r="F125" s="96">
        <v>0.3155929375</v>
      </c>
      <c r="G125" s="96">
        <v>-22.187189511190375</v>
      </c>
      <c r="I125"/>
      <c r="J125"/>
      <c r="K125"/>
      <c r="L125"/>
      <c r="M125"/>
      <c r="N125"/>
      <c r="O125"/>
      <c r="V125" s="1"/>
      <c r="W125" s="1"/>
      <c r="X125" s="1"/>
      <c r="Y125" s="1"/>
      <c r="Z125" s="1"/>
      <c r="AA125" s="1"/>
      <c r="AB125" s="1"/>
    </row>
    <row r="126" spans="1:28" ht="11.25" customHeight="1" x14ac:dyDescent="0.25">
      <c r="A126" s="83">
        <v>50</v>
      </c>
      <c r="B126" s="83" t="s">
        <v>82</v>
      </c>
      <c r="C126" s="84">
        <v>1.0429999999999999</v>
      </c>
      <c r="D126" s="84">
        <v>1.6625993750000001</v>
      </c>
      <c r="E126" s="84">
        <v>2.6960401558810965</v>
      </c>
      <c r="F126" s="84">
        <v>8.808351</v>
      </c>
      <c r="G126" s="84">
        <v>-21.429279344113308</v>
      </c>
      <c r="I126"/>
      <c r="J126"/>
      <c r="K126"/>
      <c r="L126"/>
      <c r="M126"/>
      <c r="N126"/>
      <c r="O126"/>
      <c r="V126" s="1"/>
      <c r="W126" s="1"/>
      <c r="X126" s="1"/>
      <c r="Y126" s="1"/>
      <c r="Z126" s="1"/>
      <c r="AA126" s="1"/>
      <c r="AB126" s="1"/>
    </row>
    <row r="127" spans="1:28" ht="11.25" customHeight="1" x14ac:dyDescent="0.25">
      <c r="A127" s="95">
        <v>51</v>
      </c>
      <c r="B127" s="95" t="s">
        <v>87</v>
      </c>
      <c r="C127" s="96">
        <v>3.117</v>
      </c>
      <c r="D127" s="96">
        <v>0.46146596875000001</v>
      </c>
      <c r="E127" s="96">
        <v>-2.9547372140115158E-2</v>
      </c>
      <c r="F127" s="96">
        <v>1.9863690000000001</v>
      </c>
      <c r="G127" s="96">
        <v>-14.861378567453858</v>
      </c>
      <c r="I127"/>
      <c r="J127"/>
      <c r="K127"/>
      <c r="L127"/>
      <c r="M127"/>
      <c r="N127"/>
      <c r="O127"/>
      <c r="V127" s="1"/>
      <c r="W127" s="1"/>
      <c r="X127" s="1"/>
      <c r="Y127" s="1"/>
      <c r="Z127" s="1"/>
      <c r="AA127" s="1"/>
      <c r="AB127" s="1"/>
    </row>
    <row r="128" spans="1:28" ht="11.25" customHeight="1" x14ac:dyDescent="0.25">
      <c r="A128" s="83">
        <v>52</v>
      </c>
      <c r="B128" s="83" t="s">
        <v>303</v>
      </c>
      <c r="C128" s="84">
        <v>6.5019999999999998</v>
      </c>
      <c r="D128" s="84">
        <v>0.139140125</v>
      </c>
      <c r="E128" s="84">
        <v>-5.8045927829141197</v>
      </c>
      <c r="F128" s="84">
        <v>0.18747295312500001</v>
      </c>
      <c r="G128" s="84">
        <v>-24.438343064547833</v>
      </c>
      <c r="I128"/>
      <c r="J128"/>
      <c r="K128"/>
      <c r="L128"/>
      <c r="M128"/>
      <c r="N128"/>
      <c r="O128"/>
      <c r="V128" s="1"/>
      <c r="W128" s="1"/>
      <c r="X128" s="1"/>
      <c r="Y128" s="1"/>
      <c r="Z128" s="1"/>
      <c r="AA128" s="1"/>
      <c r="AB128" s="1"/>
    </row>
    <row r="129" spans="1:28" ht="11.25" customHeight="1" x14ac:dyDescent="0.25">
      <c r="A129" s="95">
        <v>53</v>
      </c>
      <c r="B129" s="95" t="s">
        <v>304</v>
      </c>
      <c r="C129" s="96">
        <v>6.218</v>
      </c>
      <c r="D129" s="96">
        <v>9.6187117187500004E-2</v>
      </c>
      <c r="E129" s="96">
        <v>-7.4617685348502549</v>
      </c>
      <c r="F129" s="96">
        <v>0.18918589062499999</v>
      </c>
      <c r="G129" s="96">
        <v>-24.606655716316013</v>
      </c>
      <c r="I129"/>
      <c r="J129"/>
      <c r="K129"/>
      <c r="L129"/>
      <c r="M129"/>
      <c r="N129"/>
      <c r="O129"/>
      <c r="V129" s="1"/>
      <c r="W129" s="1"/>
      <c r="X129" s="1"/>
      <c r="Y129" s="1"/>
      <c r="Z129" s="1"/>
      <c r="AA129" s="1"/>
      <c r="AB129" s="1"/>
    </row>
    <row r="130" spans="1:28" ht="11.25" customHeight="1" x14ac:dyDescent="0.25">
      <c r="A130" s="83">
        <v>54</v>
      </c>
      <c r="B130" s="83" t="s">
        <v>305</v>
      </c>
      <c r="C130" s="84">
        <v>6.1479999999999997</v>
      </c>
      <c r="D130" s="84">
        <v>0.1007888515625</v>
      </c>
      <c r="E130" s="84">
        <v>-3.474288055467234</v>
      </c>
      <c r="F130" s="84">
        <v>0.21596893750000001</v>
      </c>
      <c r="G130" s="84">
        <v>-23.954061234790171</v>
      </c>
      <c r="I130"/>
      <c r="J130"/>
      <c r="K130"/>
      <c r="L130"/>
      <c r="M130"/>
      <c r="N130"/>
      <c r="O130"/>
      <c r="V130" s="1"/>
      <c r="W130" s="1"/>
      <c r="X130" s="1"/>
      <c r="Y130" s="1"/>
      <c r="Z130" s="1"/>
      <c r="AA130" s="1"/>
      <c r="AB130" s="1"/>
    </row>
    <row r="131" spans="1:28" ht="11.25" customHeight="1" x14ac:dyDescent="0.25">
      <c r="A131" s="95">
        <v>55</v>
      </c>
      <c r="B131" s="95" t="s">
        <v>306</v>
      </c>
      <c r="C131" s="96">
        <v>6.1909999999999998</v>
      </c>
      <c r="D131" s="96">
        <v>0.1169339375</v>
      </c>
      <c r="E131" s="96">
        <v>-3.6045445306407409</v>
      </c>
      <c r="F131" s="96">
        <v>0.18145835937499999</v>
      </c>
      <c r="G131" s="96">
        <v>-24.160135342491326</v>
      </c>
      <c r="I131"/>
      <c r="J131"/>
      <c r="K131"/>
      <c r="L131"/>
      <c r="M131"/>
      <c r="N131"/>
      <c r="O131"/>
      <c r="V131" s="1"/>
      <c r="W131" s="1"/>
      <c r="X131" s="1"/>
      <c r="Y131" s="1"/>
      <c r="Z131" s="1"/>
      <c r="AA131" s="1"/>
      <c r="AB131" s="1"/>
    </row>
    <row r="132" spans="1:28" ht="11.25" customHeight="1" x14ac:dyDescent="0.25">
      <c r="A132" s="83">
        <v>56</v>
      </c>
      <c r="B132" s="83" t="s">
        <v>307</v>
      </c>
      <c r="C132" s="84">
        <v>6.165</v>
      </c>
      <c r="D132" s="84">
        <v>0.139203359375</v>
      </c>
      <c r="E132" s="84">
        <v>-0.31570290971483228</v>
      </c>
      <c r="F132" s="84">
        <v>0.186832890625</v>
      </c>
      <c r="G132" s="84">
        <v>-24.20945160694016</v>
      </c>
      <c r="I132"/>
      <c r="J132"/>
      <c r="K132"/>
      <c r="L132"/>
      <c r="M132"/>
      <c r="N132"/>
      <c r="O132"/>
      <c r="V132" s="1"/>
      <c r="W132" s="1"/>
      <c r="X132" s="1"/>
      <c r="Y132" s="1"/>
      <c r="Z132" s="1"/>
      <c r="AA132" s="1"/>
      <c r="AB132" s="1"/>
    </row>
    <row r="133" spans="1:28" ht="11.25" customHeight="1" x14ac:dyDescent="0.25">
      <c r="A133" s="95">
        <v>57</v>
      </c>
      <c r="B133" s="95" t="s">
        <v>308</v>
      </c>
      <c r="C133" s="96">
        <v>6.2549999999999999</v>
      </c>
      <c r="D133" s="96">
        <v>0.171026640625</v>
      </c>
      <c r="E133" s="96">
        <v>-1.6929263624769764</v>
      </c>
      <c r="F133" s="96">
        <v>0.18649515624999999</v>
      </c>
      <c r="G133" s="96">
        <v>-24.530694093196942</v>
      </c>
      <c r="I133"/>
      <c r="J133"/>
      <c r="K133"/>
      <c r="L133"/>
      <c r="M133"/>
      <c r="N133"/>
      <c r="O133"/>
      <c r="V133" s="1"/>
      <c r="W133" s="1"/>
      <c r="X133" s="1"/>
      <c r="Y133" s="1"/>
      <c r="Z133" s="1"/>
      <c r="AA133" s="1"/>
      <c r="AB133" s="1"/>
    </row>
    <row r="134" spans="1:28" ht="11.25" customHeight="1" x14ac:dyDescent="0.25">
      <c r="A134" s="83">
        <v>58</v>
      </c>
      <c r="B134" s="83" t="s">
        <v>309</v>
      </c>
      <c r="C134" s="84">
        <v>6.3869999999999996</v>
      </c>
      <c r="D134" s="84">
        <v>0.21193270312500001</v>
      </c>
      <c r="E134" s="84">
        <v>9.7310782692261455E-2</v>
      </c>
      <c r="F134" s="84">
        <v>0.35769690625</v>
      </c>
      <c r="G134" s="84">
        <v>-23.397959672357626</v>
      </c>
      <c r="I134"/>
      <c r="J134"/>
      <c r="K134"/>
      <c r="L134"/>
      <c r="M134"/>
      <c r="N134"/>
      <c r="O134"/>
      <c r="V134" s="1"/>
      <c r="W134" s="1"/>
      <c r="X134" s="1"/>
      <c r="Y134" s="1"/>
      <c r="Z134" s="1"/>
      <c r="AA134" s="1"/>
      <c r="AB134" s="1"/>
    </row>
    <row r="135" spans="1:28" ht="11.25" customHeight="1" x14ac:dyDescent="0.25">
      <c r="A135" s="95">
        <v>59</v>
      </c>
      <c r="B135" s="95" t="s">
        <v>310</v>
      </c>
      <c r="C135" s="96">
        <v>6.29</v>
      </c>
      <c r="D135" s="96">
        <v>0.23233662499999999</v>
      </c>
      <c r="E135" s="96">
        <v>-1.6367566541650724</v>
      </c>
      <c r="F135" s="96">
        <v>0.38130962499999999</v>
      </c>
      <c r="G135" s="96">
        <v>-23.700313261559479</v>
      </c>
      <c r="I135"/>
      <c r="J135"/>
      <c r="K135"/>
      <c r="L135"/>
      <c r="M135"/>
      <c r="N135"/>
      <c r="O135"/>
      <c r="V135" s="1"/>
      <c r="W135" s="1"/>
      <c r="X135" s="1"/>
      <c r="Y135" s="1"/>
      <c r="Z135" s="1"/>
      <c r="AA135" s="1"/>
      <c r="AB135" s="1"/>
    </row>
    <row r="136" spans="1:28" ht="11.25" customHeight="1" x14ac:dyDescent="0.25">
      <c r="A136" s="83">
        <v>60</v>
      </c>
      <c r="B136" s="83" t="s">
        <v>311</v>
      </c>
      <c r="C136" s="84">
        <v>6.3810000000000002</v>
      </c>
      <c r="D136" s="84">
        <v>0.24415584374999999</v>
      </c>
      <c r="E136" s="84">
        <v>0.13484488265880223</v>
      </c>
      <c r="F136" s="84">
        <v>0.47179268749999997</v>
      </c>
      <c r="G136" s="84">
        <v>-22.735108103319313</v>
      </c>
      <c r="I136"/>
      <c r="J136"/>
      <c r="K136"/>
      <c r="L136"/>
      <c r="M136"/>
      <c r="N136"/>
      <c r="O136"/>
      <c r="V136" s="1"/>
      <c r="W136" s="1"/>
      <c r="X136" s="1"/>
      <c r="Y136" s="1"/>
      <c r="Z136" s="1"/>
      <c r="AA136" s="1"/>
      <c r="AB136" s="1"/>
    </row>
    <row r="137" spans="1:28" ht="11.25" customHeight="1" x14ac:dyDescent="0.25">
      <c r="A137" s="95">
        <v>61</v>
      </c>
      <c r="B137" s="95" t="s">
        <v>61</v>
      </c>
      <c r="C137" s="96">
        <v>0.85899999999999999</v>
      </c>
      <c r="D137" s="96">
        <v>1.1948447499999999</v>
      </c>
      <c r="E137" s="96">
        <v>4.9403492307344976</v>
      </c>
      <c r="F137" s="96">
        <v>7.251468</v>
      </c>
      <c r="G137" s="96">
        <v>-21.86622344117416</v>
      </c>
      <c r="I137"/>
      <c r="J137"/>
      <c r="K137"/>
      <c r="L137"/>
      <c r="M137"/>
      <c r="N137"/>
      <c r="O137"/>
      <c r="V137" s="1"/>
      <c r="W137" s="1"/>
      <c r="X137" s="1"/>
      <c r="Y137" s="1"/>
      <c r="Z137" s="1"/>
      <c r="AA137" s="1"/>
      <c r="AB137" s="1"/>
    </row>
    <row r="138" spans="1:28" ht="11.25" customHeight="1" x14ac:dyDescent="0.25">
      <c r="A138" s="83">
        <v>62</v>
      </c>
      <c r="B138" s="83" t="s">
        <v>98</v>
      </c>
      <c r="C138" s="84">
        <v>1.6180000000000001</v>
      </c>
      <c r="D138" s="84">
        <v>0.28631378125000001</v>
      </c>
      <c r="E138" s="84">
        <v>1.9912312301157975</v>
      </c>
      <c r="F138" s="84">
        <v>0.96893762500000002</v>
      </c>
      <c r="G138" s="84">
        <v>-15.121704456182872</v>
      </c>
      <c r="I138"/>
      <c r="J138"/>
      <c r="K138"/>
      <c r="L138"/>
      <c r="M138"/>
      <c r="N138"/>
      <c r="O138"/>
      <c r="V138" s="1"/>
      <c r="W138" s="1"/>
      <c r="X138" s="1"/>
      <c r="Y138" s="1"/>
      <c r="Z138" s="1"/>
      <c r="AA138" s="1"/>
      <c r="AB138" s="1"/>
    </row>
    <row r="139" spans="1:28" ht="11.25" customHeight="1" x14ac:dyDescent="0.25">
      <c r="A139" s="95">
        <v>63</v>
      </c>
      <c r="B139" s="95" t="s">
        <v>312</v>
      </c>
      <c r="C139" s="96">
        <v>6.2110000000000003</v>
      </c>
      <c r="D139" s="96">
        <v>0.23412760937499999</v>
      </c>
      <c r="E139" s="96">
        <v>-0.79020522144612748</v>
      </c>
      <c r="F139" s="96">
        <v>0.30654103124999998</v>
      </c>
      <c r="G139" s="96">
        <v>-23.799286729362716</v>
      </c>
      <c r="I139"/>
      <c r="J139"/>
      <c r="K139"/>
      <c r="L139"/>
      <c r="M139"/>
      <c r="N139"/>
      <c r="O139"/>
      <c r="V139" s="1"/>
      <c r="W139" s="1"/>
      <c r="X139" s="1"/>
      <c r="Y139" s="1"/>
      <c r="Z139" s="1"/>
      <c r="AA139" s="1"/>
      <c r="AB139" s="1"/>
    </row>
    <row r="140" spans="1:28" ht="11.25" customHeight="1" x14ac:dyDescent="0.25">
      <c r="A140" s="83">
        <v>64</v>
      </c>
      <c r="B140" s="83" t="s">
        <v>313</v>
      </c>
      <c r="C140" s="84">
        <v>6.2640000000000002</v>
      </c>
      <c r="D140" s="84">
        <v>0.25276470312499999</v>
      </c>
      <c r="E140" s="84">
        <v>-0.49063882983457763</v>
      </c>
      <c r="F140" s="84">
        <v>0.47130562500000001</v>
      </c>
      <c r="G140" s="84">
        <v>-23.329840209664482</v>
      </c>
      <c r="I140"/>
      <c r="J140"/>
      <c r="K140"/>
      <c r="L140"/>
      <c r="M140"/>
      <c r="N140"/>
      <c r="O140"/>
      <c r="V140" s="1"/>
      <c r="W140" s="1"/>
      <c r="X140" s="1"/>
      <c r="Y140" s="1"/>
      <c r="Z140" s="1"/>
      <c r="AA140" s="1"/>
      <c r="AB140" s="1"/>
    </row>
    <row r="141" spans="1:28" ht="11.25" customHeight="1" x14ac:dyDescent="0.25">
      <c r="A141" s="95">
        <v>65</v>
      </c>
      <c r="B141" s="95" t="s">
        <v>314</v>
      </c>
      <c r="C141" s="96">
        <v>6.2779999999999996</v>
      </c>
      <c r="D141" s="96">
        <v>0.24179192187500001</v>
      </c>
      <c r="E141" s="96">
        <v>-0.38788871841843875</v>
      </c>
      <c r="F141" s="96">
        <v>0.46883449999999999</v>
      </c>
      <c r="G141" s="96">
        <v>-23.695668254371096</v>
      </c>
      <c r="I141"/>
      <c r="J141"/>
      <c r="K141"/>
      <c r="L141"/>
      <c r="M141"/>
      <c r="N141"/>
      <c r="O141"/>
      <c r="V141" s="1"/>
      <c r="W141" s="1"/>
      <c r="X141" s="1"/>
      <c r="Y141" s="1"/>
      <c r="Z141" s="1"/>
      <c r="AA141" s="1"/>
      <c r="AB141" s="1"/>
    </row>
    <row r="142" spans="1:28" ht="11.25" customHeight="1" x14ac:dyDescent="0.25">
      <c r="A142" s="83">
        <v>66</v>
      </c>
      <c r="B142" s="83" t="s">
        <v>315</v>
      </c>
      <c r="C142" s="84">
        <v>6.2759999999999998</v>
      </c>
      <c r="D142" s="84">
        <v>0.23819537499999999</v>
      </c>
      <c r="E142" s="84">
        <v>2.250628469036009E-2</v>
      </c>
      <c r="F142" s="84">
        <v>0.43959509375</v>
      </c>
      <c r="G142" s="84">
        <v>-23.453065482691454</v>
      </c>
      <c r="I142"/>
      <c r="J142"/>
      <c r="K142"/>
      <c r="L142"/>
      <c r="M142"/>
      <c r="N142"/>
      <c r="O142"/>
      <c r="V142" s="1"/>
      <c r="W142" s="1"/>
      <c r="X142" s="1"/>
      <c r="Y142" s="1"/>
      <c r="Z142" s="1"/>
      <c r="AA142" s="1"/>
      <c r="AB142" s="1"/>
    </row>
    <row r="143" spans="1:28" ht="11.25" customHeight="1" x14ac:dyDescent="0.25">
      <c r="A143" s="95">
        <v>67</v>
      </c>
      <c r="B143" s="95" t="s">
        <v>316</v>
      </c>
      <c r="C143" s="96">
        <v>6.6230000000000002</v>
      </c>
      <c r="D143" s="96">
        <v>0.23044910937499999</v>
      </c>
      <c r="E143" s="96">
        <v>0.51437828286804432</v>
      </c>
      <c r="F143" s="96">
        <v>0.48710249999999999</v>
      </c>
      <c r="G143" s="96">
        <v>-23.416657735874626</v>
      </c>
      <c r="I143"/>
      <c r="J143"/>
      <c r="K143"/>
      <c r="L143"/>
      <c r="M143"/>
      <c r="N143"/>
      <c r="O143"/>
      <c r="V143" s="1"/>
      <c r="W143" s="1"/>
      <c r="X143" s="1"/>
      <c r="Y143" s="1"/>
      <c r="Z143" s="1"/>
      <c r="AA143" s="1"/>
      <c r="AB143" s="1"/>
    </row>
    <row r="144" spans="1:28" ht="11.25" customHeight="1" x14ac:dyDescent="0.25">
      <c r="A144" s="83">
        <v>68</v>
      </c>
      <c r="B144" s="83" t="s">
        <v>317</v>
      </c>
      <c r="C144" s="84">
        <v>6.3289999999999997</v>
      </c>
      <c r="D144" s="84">
        <v>0.21210828125</v>
      </c>
      <c r="E144" s="84">
        <v>-0.42559710414558083</v>
      </c>
      <c r="F144" s="84">
        <v>0.47311762499999999</v>
      </c>
      <c r="G144" s="84">
        <v>-23.49904996766972</v>
      </c>
      <c r="I144"/>
      <c r="J144"/>
      <c r="K144"/>
      <c r="L144"/>
      <c r="M144"/>
      <c r="N144"/>
      <c r="O144"/>
      <c r="V144" s="1"/>
      <c r="W144" s="1"/>
      <c r="X144" s="1"/>
      <c r="Y144" s="1"/>
      <c r="Z144" s="1"/>
      <c r="AA144" s="1"/>
      <c r="AB144" s="1"/>
    </row>
    <row r="145" spans="1:28" ht="11.25" customHeight="1" x14ac:dyDescent="0.25">
      <c r="A145" s="95">
        <v>69</v>
      </c>
      <c r="B145" s="95" t="s">
        <v>318</v>
      </c>
      <c r="C145" s="96">
        <v>6.2569999999999997</v>
      </c>
      <c r="D145" s="96">
        <v>0.19678259375000001</v>
      </c>
      <c r="E145" s="96">
        <v>-1.2877334771693727</v>
      </c>
      <c r="F145" s="96">
        <v>0.35545334374999998</v>
      </c>
      <c r="G145" s="96">
        <v>-22.833966329642827</v>
      </c>
      <c r="I145"/>
      <c r="J145"/>
      <c r="K145"/>
      <c r="L145"/>
      <c r="M145"/>
      <c r="N145"/>
      <c r="O145"/>
      <c r="V145" s="1"/>
      <c r="W145" s="1"/>
      <c r="X145" s="1"/>
      <c r="Y145" s="1"/>
      <c r="Z145" s="1"/>
      <c r="AA145" s="1"/>
      <c r="AB145" s="1"/>
    </row>
    <row r="146" spans="1:28" ht="11.25" customHeight="1" x14ac:dyDescent="0.25">
      <c r="A146" s="83">
        <v>70</v>
      </c>
      <c r="B146" s="83" t="s">
        <v>319</v>
      </c>
      <c r="C146" s="84">
        <v>6.3559999999999999</v>
      </c>
      <c r="D146" s="84">
        <v>0.19520004687500001</v>
      </c>
      <c r="E146" s="84">
        <v>-1.7732613136145492</v>
      </c>
      <c r="F146" s="84">
        <v>0.30868612499999998</v>
      </c>
      <c r="G146" s="84">
        <v>-22.962496740191799</v>
      </c>
      <c r="I146"/>
      <c r="J146"/>
      <c r="K146"/>
      <c r="L146"/>
      <c r="M146"/>
      <c r="N146"/>
      <c r="O146"/>
      <c r="V146" s="1"/>
      <c r="W146" s="1"/>
      <c r="X146" s="1"/>
      <c r="Y146" s="1"/>
      <c r="Z146" s="1"/>
      <c r="AA146" s="1"/>
      <c r="AB146" s="1"/>
    </row>
    <row r="147" spans="1:28" ht="11.25" customHeight="1" x14ac:dyDescent="0.25">
      <c r="A147" s="95">
        <v>71</v>
      </c>
      <c r="B147" s="95" t="s">
        <v>320</v>
      </c>
      <c r="C147" s="96">
        <v>6.2480000000000002</v>
      </c>
      <c r="D147" s="96">
        <v>0.20133507812500001</v>
      </c>
      <c r="E147" s="96">
        <v>2.3604502053569121</v>
      </c>
      <c r="F147" s="96">
        <v>0.31275184374999998</v>
      </c>
      <c r="G147" s="96">
        <v>-22.811229056642638</v>
      </c>
      <c r="I147"/>
      <c r="J147"/>
      <c r="K147"/>
      <c r="L147"/>
      <c r="M147"/>
      <c r="N147"/>
      <c r="O147"/>
      <c r="V147" s="1"/>
      <c r="W147" s="1"/>
      <c r="X147" s="1"/>
      <c r="Y147" s="1"/>
      <c r="Z147" s="1"/>
      <c r="AA147" s="1"/>
      <c r="AB147" s="1"/>
    </row>
    <row r="148" spans="1:28" ht="11.25" customHeight="1" x14ac:dyDescent="0.25">
      <c r="A148" s="83">
        <v>72</v>
      </c>
      <c r="B148" s="83" t="s">
        <v>321</v>
      </c>
      <c r="C148" s="84">
        <v>6.81</v>
      </c>
      <c r="D148" s="84">
        <v>0.38899175000000003</v>
      </c>
      <c r="E148" s="84">
        <v>3.2423455494077214</v>
      </c>
      <c r="F148" s="84">
        <v>1.557396</v>
      </c>
      <c r="G148" s="84">
        <v>-22.293655144181606</v>
      </c>
      <c r="I148"/>
      <c r="J148"/>
      <c r="K148"/>
      <c r="L148"/>
      <c r="M148"/>
      <c r="N148"/>
      <c r="O148"/>
      <c r="V148" s="1"/>
      <c r="W148" s="1"/>
      <c r="X148" s="1"/>
      <c r="Y148" s="1"/>
      <c r="Z148" s="1"/>
      <c r="AA148" s="1"/>
      <c r="AB148" s="1"/>
    </row>
    <row r="149" spans="1:28" ht="11.25" customHeight="1" x14ac:dyDescent="0.25">
      <c r="A149" s="95">
        <v>73</v>
      </c>
      <c r="B149" s="95" t="s">
        <v>322</v>
      </c>
      <c r="C149" s="96">
        <v>6.6079999999999997</v>
      </c>
      <c r="D149" s="96">
        <v>0.29010612499999999</v>
      </c>
      <c r="E149" s="96">
        <v>1.9709487945520632</v>
      </c>
      <c r="F149" s="96">
        <v>1.1208275000000001</v>
      </c>
      <c r="G149" s="96">
        <v>-22.510218047070495</v>
      </c>
      <c r="I149"/>
      <c r="J149"/>
      <c r="K149"/>
      <c r="L149"/>
      <c r="M149"/>
      <c r="N149"/>
      <c r="O149"/>
      <c r="V149" s="1"/>
      <c r="W149" s="1"/>
      <c r="X149" s="1"/>
      <c r="Y149" s="1"/>
      <c r="Z149" s="1"/>
      <c r="AA149" s="1"/>
      <c r="AB149" s="1"/>
    </row>
    <row r="150" spans="1:28" ht="11.25" customHeight="1" x14ac:dyDescent="0.25">
      <c r="A150" s="83">
        <v>74</v>
      </c>
      <c r="B150" s="83" t="s">
        <v>323</v>
      </c>
      <c r="C150" s="84">
        <v>6.6390000000000002</v>
      </c>
      <c r="D150" s="84">
        <v>0.29172787500000003</v>
      </c>
      <c r="E150" s="84">
        <v>1.5690040797893268</v>
      </c>
      <c r="F150" s="84">
        <v>1.1142013749999999</v>
      </c>
      <c r="G150" s="84">
        <v>-22.542510270300436</v>
      </c>
      <c r="I150"/>
      <c r="J150"/>
      <c r="K150"/>
      <c r="L150"/>
      <c r="M150"/>
      <c r="N150"/>
      <c r="O150"/>
      <c r="V150" s="1"/>
      <c r="W150" s="1"/>
      <c r="X150" s="1"/>
      <c r="Y150" s="1"/>
      <c r="Z150" s="1"/>
      <c r="AA150" s="1"/>
      <c r="AB150" s="1"/>
    </row>
    <row r="151" spans="1:28" ht="11.25" customHeight="1" x14ac:dyDescent="0.25">
      <c r="A151" s="95">
        <v>75</v>
      </c>
      <c r="B151" s="95" t="s">
        <v>84</v>
      </c>
      <c r="C151" s="96">
        <v>0.996</v>
      </c>
      <c r="D151" s="96">
        <v>1.3591819999999999</v>
      </c>
      <c r="E151" s="96">
        <v>5.3157416593783147</v>
      </c>
      <c r="F151" s="96">
        <v>8.4233440000000002</v>
      </c>
      <c r="G151" s="96">
        <v>-21.925376382175127</v>
      </c>
      <c r="I151"/>
      <c r="J151"/>
      <c r="K151"/>
      <c r="L151"/>
      <c r="M151"/>
      <c r="N151"/>
      <c r="O151"/>
      <c r="V151" s="1"/>
      <c r="W151" s="1"/>
      <c r="X151" s="1"/>
      <c r="Y151" s="1"/>
      <c r="Z151" s="1"/>
      <c r="AA151" s="1"/>
      <c r="AB151" s="1"/>
    </row>
    <row r="152" spans="1:28" ht="11.25" customHeight="1" x14ac:dyDescent="0.25">
      <c r="A152" s="83">
        <v>76</v>
      </c>
      <c r="B152" s="83" t="s">
        <v>62</v>
      </c>
      <c r="C152" s="84">
        <v>1.123</v>
      </c>
      <c r="D152" s="84">
        <v>0.16453603124999999</v>
      </c>
      <c r="E152" s="84">
        <v>-3.5062069818109221</v>
      </c>
      <c r="F152" s="84">
        <v>8.6772449999999992</v>
      </c>
      <c r="G152" s="84">
        <v>-20.544764421772598</v>
      </c>
      <c r="I152"/>
      <c r="J152"/>
      <c r="K152"/>
      <c r="L152"/>
      <c r="M152"/>
      <c r="N152"/>
      <c r="O152"/>
      <c r="V152" s="1"/>
      <c r="W152" s="1"/>
      <c r="X152" s="1"/>
      <c r="Y152" s="1"/>
      <c r="Z152" s="1"/>
      <c r="AA152" s="1"/>
      <c r="AB152" s="1"/>
    </row>
    <row r="153" spans="1:28" ht="11.25" customHeight="1" x14ac:dyDescent="0.25">
      <c r="A153" s="95">
        <v>77</v>
      </c>
      <c r="B153" s="95" t="s">
        <v>63</v>
      </c>
      <c r="C153" s="96">
        <v>0.92</v>
      </c>
      <c r="D153" s="96">
        <v>0.161426171875</v>
      </c>
      <c r="E153" s="96">
        <v>-3.4295640559434126</v>
      </c>
      <c r="F153" s="96">
        <v>7.3446175</v>
      </c>
      <c r="G153" s="96">
        <v>-6.3501100580092835</v>
      </c>
      <c r="I153"/>
      <c r="J153"/>
      <c r="K153"/>
      <c r="L153"/>
      <c r="M153"/>
      <c r="N153"/>
      <c r="O153"/>
      <c r="V153" s="1"/>
      <c r="W153" s="1"/>
      <c r="X153" s="1"/>
      <c r="Y153" s="1"/>
      <c r="Z153" s="1"/>
      <c r="AA153" s="1"/>
      <c r="AB153" s="1"/>
    </row>
    <row r="154" spans="1:28" ht="11.25" customHeight="1" x14ac:dyDescent="0.25">
      <c r="A154" s="83">
        <v>78</v>
      </c>
      <c r="B154" s="83" t="s">
        <v>70</v>
      </c>
      <c r="C154" s="84">
        <v>1.4830000000000001</v>
      </c>
      <c r="D154" s="84">
        <v>0.160095421875</v>
      </c>
      <c r="E154" s="84">
        <v>-2.6397911836980592</v>
      </c>
      <c r="F154" s="85">
        <v>4.5867775000000002</v>
      </c>
      <c r="G154" s="85">
        <v>-13.814595690779647</v>
      </c>
      <c r="I154"/>
      <c r="J154"/>
      <c r="K154"/>
      <c r="L154"/>
      <c r="M154"/>
      <c r="N154"/>
      <c r="O154"/>
      <c r="V154" s="1"/>
      <c r="W154" s="1"/>
      <c r="X154" s="1"/>
      <c r="Y154" s="1"/>
      <c r="Z154" s="1"/>
      <c r="AA154" s="1"/>
      <c r="AB154" s="1"/>
    </row>
    <row r="155" spans="1:28" ht="11.25" customHeight="1" x14ac:dyDescent="0.25">
      <c r="A155" s="114">
        <v>79</v>
      </c>
      <c r="B155" s="114" t="s">
        <v>86</v>
      </c>
      <c r="C155" s="108">
        <v>0</v>
      </c>
      <c r="D155" s="108">
        <v>0.16250529687500001</v>
      </c>
      <c r="E155" s="108">
        <v>-14.50336983090439</v>
      </c>
      <c r="I155"/>
      <c r="J155"/>
      <c r="K155"/>
      <c r="L155"/>
      <c r="M155"/>
      <c r="N155"/>
      <c r="O155"/>
      <c r="V155" s="1"/>
      <c r="W155" s="1"/>
      <c r="X155" s="1"/>
      <c r="Y155" s="1"/>
      <c r="Z155" s="1"/>
      <c r="AA155" s="1"/>
      <c r="AB155" s="1"/>
    </row>
  </sheetData>
  <sortState xmlns:xlrd2="http://schemas.microsoft.com/office/spreadsheetml/2017/richdata2" ref="A86:AB95">
    <sortCondition ref="B86:B95"/>
  </sortState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AB154"/>
  <sheetViews>
    <sheetView zoomScaleNormal="100" workbookViewId="0">
      <selection activeCell="A32" sqref="A32:XFD84"/>
    </sheetView>
  </sheetViews>
  <sheetFormatPr defaultColWidth="9.140625" defaultRowHeight="11.25" customHeight="1" x14ac:dyDescent="0.25"/>
  <cols>
    <col min="1" max="1" width="12" style="1" customWidth="1"/>
    <col min="2" max="2" width="25.28515625" style="1" customWidth="1"/>
    <col min="3" max="3" width="10.85546875" style="1" customWidth="1"/>
    <col min="4" max="4" width="8.28515625" style="1" customWidth="1"/>
    <col min="5" max="5" width="14" style="1" customWidth="1"/>
    <col min="6" max="6" width="10.7109375" style="1" customWidth="1"/>
    <col min="7" max="7" width="11.42578125" style="1" customWidth="1"/>
    <col min="8" max="8" width="9" style="1" customWidth="1"/>
    <col min="9" max="9" width="9.5703125" style="1" customWidth="1"/>
    <col min="10" max="10" width="11.42578125" style="5" customWidth="1"/>
    <col min="11" max="12" width="9.42578125" style="5" customWidth="1"/>
    <col min="13" max="14" width="10" style="1" customWidth="1"/>
    <col min="15" max="15" width="13" style="1" customWidth="1"/>
    <col min="16" max="16" width="9.140625" style="1"/>
    <col min="17" max="17" width="9.5703125" style="1" customWidth="1"/>
    <col min="18" max="18" width="9.140625" style="1"/>
    <col min="19" max="19" width="9.5703125" style="1" customWidth="1"/>
    <col min="20" max="21" width="9.140625" style="1"/>
    <col min="26" max="26" width="8.85546875" customWidth="1"/>
    <col min="27" max="28" width="8.7109375" customWidth="1"/>
    <col min="29" max="16384" width="9.140625" style="1"/>
  </cols>
  <sheetData>
    <row r="2" spans="1:19" s="1" customFormat="1" ht="45" customHeight="1" x14ac:dyDescent="0.65">
      <c r="B2" s="2" t="s">
        <v>0</v>
      </c>
      <c r="C2" s="2"/>
      <c r="D2" s="2"/>
      <c r="E2" s="2"/>
      <c r="F2" s="2"/>
      <c r="G2" s="3"/>
      <c r="H2" s="3"/>
      <c r="I2" s="3"/>
      <c r="J2" s="4"/>
      <c r="K2" s="4"/>
      <c r="L2" s="5"/>
    </row>
    <row r="3" spans="1:19" s="1" customFormat="1" ht="11.25" customHeight="1" x14ac:dyDescent="0.2">
      <c r="B3" s="6" t="s">
        <v>1</v>
      </c>
      <c r="C3" s="6"/>
      <c r="D3" s="6"/>
      <c r="E3" s="6"/>
      <c r="F3" s="6"/>
      <c r="G3" s="7">
        <v>45189</v>
      </c>
      <c r="J3" s="5"/>
      <c r="K3" s="5"/>
      <c r="L3" s="5"/>
    </row>
    <row r="4" spans="1:19" s="1" customFormat="1" ht="11.25" customHeight="1" x14ac:dyDescent="0.2">
      <c r="B4" s="6" t="s">
        <v>2</v>
      </c>
      <c r="C4" s="6"/>
      <c r="D4" s="6"/>
      <c r="E4" s="6"/>
      <c r="F4" s="6"/>
      <c r="G4" s="1" t="s">
        <v>3</v>
      </c>
      <c r="J4" s="5"/>
      <c r="K4" s="5"/>
      <c r="L4" s="5"/>
    </row>
    <row r="5" spans="1:19" s="1" customFormat="1" ht="11.25" customHeight="1" x14ac:dyDescent="0.25">
      <c r="B5" s="6" t="s">
        <v>4</v>
      </c>
      <c r="C5" s="6"/>
      <c r="D5" s="6"/>
      <c r="E5" s="6"/>
      <c r="F5" s="6"/>
      <c r="G5" s="8" t="s">
        <v>290</v>
      </c>
      <c r="J5" s="5"/>
      <c r="K5" s="5"/>
      <c r="L5" s="5"/>
      <c r="M5" s="9"/>
      <c r="N5" s="9"/>
    </row>
    <row r="6" spans="1:19" s="1" customFormat="1" ht="11.25" customHeight="1" x14ac:dyDescent="0.2">
      <c r="B6" s="6" t="s">
        <v>5</v>
      </c>
      <c r="C6" s="6"/>
      <c r="D6" s="6"/>
      <c r="E6" s="6"/>
      <c r="F6" s="6"/>
      <c r="G6" s="1" t="s">
        <v>6</v>
      </c>
      <c r="J6" s="5"/>
      <c r="K6" s="5"/>
      <c r="L6" s="5"/>
      <c r="S6" s="10"/>
    </row>
    <row r="7" spans="1:19" s="1" customFormat="1" ht="11.25" customHeight="1" x14ac:dyDescent="0.2">
      <c r="B7" s="6" t="s">
        <v>7</v>
      </c>
      <c r="C7" s="6"/>
      <c r="D7" s="6"/>
      <c r="E7" s="6"/>
      <c r="F7" s="6"/>
      <c r="G7" s="6" t="s">
        <v>53</v>
      </c>
      <c r="J7" s="5"/>
      <c r="K7" s="5"/>
      <c r="L7" s="5"/>
    </row>
    <row r="8" spans="1:19" s="1" customFormat="1" ht="11.25" customHeight="1" x14ac:dyDescent="0.2">
      <c r="B8" s="6" t="s">
        <v>8</v>
      </c>
      <c r="C8" s="6"/>
      <c r="D8" s="6"/>
      <c r="E8" s="6"/>
      <c r="F8" s="6"/>
      <c r="G8" s="6" t="s">
        <v>9</v>
      </c>
      <c r="J8" s="5"/>
      <c r="K8" s="11"/>
      <c r="M8" s="12"/>
      <c r="N8" s="13"/>
    </row>
    <row r="9" spans="1:19" s="1" customFormat="1" ht="11.25" customHeight="1" x14ac:dyDescent="0.25">
      <c r="A9" s="14" t="s">
        <v>10</v>
      </c>
      <c r="B9" s="15"/>
      <c r="C9" s="16" t="s">
        <v>11</v>
      </c>
      <c r="D9" s="17"/>
      <c r="E9" s="16" t="s">
        <v>12</v>
      </c>
      <c r="F9" s="18"/>
      <c r="G9" s="14" t="s">
        <v>13</v>
      </c>
      <c r="H9" s="19" t="s">
        <v>14</v>
      </c>
      <c r="I9" s="20" t="s">
        <v>14</v>
      </c>
      <c r="J9" s="21" t="s">
        <v>14</v>
      </c>
      <c r="K9" s="22"/>
      <c r="M9" s="12"/>
      <c r="N9" s="13"/>
    </row>
    <row r="10" spans="1:19" s="1" customFormat="1" ht="11.25" customHeight="1" x14ac:dyDescent="0.25">
      <c r="A10" s="23"/>
      <c r="B10" s="24"/>
      <c r="C10" s="25" t="s">
        <v>14</v>
      </c>
      <c r="D10" s="26" t="s">
        <v>15</v>
      </c>
      <c r="E10" s="25" t="s">
        <v>14</v>
      </c>
      <c r="F10" s="27" t="s">
        <v>15</v>
      </c>
      <c r="G10" s="28" t="s">
        <v>16</v>
      </c>
      <c r="H10" s="28" t="s">
        <v>17</v>
      </c>
      <c r="I10" s="29" t="s">
        <v>18</v>
      </c>
      <c r="J10" s="30" t="s">
        <v>19</v>
      </c>
      <c r="K10" s="22"/>
      <c r="M10" s="12"/>
      <c r="N10" s="13"/>
    </row>
    <row r="11" spans="1:19" s="1" customFormat="1" ht="11.25" customHeight="1" x14ac:dyDescent="0.25">
      <c r="A11" s="31"/>
      <c r="B11" s="32" t="s">
        <v>20</v>
      </c>
      <c r="C11" s="33">
        <v>-26.6</v>
      </c>
      <c r="D11" s="34"/>
      <c r="E11" s="35">
        <v>-21.3</v>
      </c>
      <c r="F11" s="36"/>
      <c r="G11" s="37"/>
      <c r="H11" s="38">
        <v>72.53</v>
      </c>
      <c r="I11" s="38">
        <v>6.51</v>
      </c>
      <c r="J11" s="39">
        <f>H11/I11</f>
        <v>11.141321044546851</v>
      </c>
      <c r="K11" s="22"/>
      <c r="M11" s="12"/>
      <c r="N11" s="13"/>
    </row>
    <row r="12" spans="1:19" s="1" customFormat="1" ht="11.25" customHeight="1" x14ac:dyDescent="0.25">
      <c r="A12" s="40"/>
      <c r="B12" s="41" t="s">
        <v>21</v>
      </c>
      <c r="C12" s="42"/>
      <c r="D12" s="43"/>
      <c r="E12"/>
      <c r="F12" s="44"/>
      <c r="G12" s="37"/>
      <c r="H12" s="45">
        <v>20</v>
      </c>
      <c r="I12" s="45">
        <v>46.65</v>
      </c>
      <c r="J12" s="46">
        <f>H12/I12</f>
        <v>0.4287245444801715</v>
      </c>
      <c r="K12" s="5"/>
      <c r="L12" s="5"/>
    </row>
    <row r="13" spans="1:19" s="1" customFormat="1" ht="11.25" customHeight="1" x14ac:dyDescent="0.25">
      <c r="A13" s="40"/>
      <c r="B13" s="41">
        <v>2704</v>
      </c>
      <c r="C13" s="42"/>
      <c r="D13" s="43"/>
      <c r="E13"/>
      <c r="F13" s="44"/>
      <c r="G13" s="47"/>
      <c r="H13" s="45">
        <v>3.3479999999999999</v>
      </c>
      <c r="I13" s="45"/>
      <c r="J13" s="46"/>
      <c r="K13" s="5"/>
      <c r="L13" s="5"/>
    </row>
    <row r="14" spans="1:19" s="1" customFormat="1" ht="11.25" customHeight="1" x14ac:dyDescent="0.25">
      <c r="A14" s="40"/>
      <c r="B14" s="41" t="s">
        <v>22</v>
      </c>
      <c r="C14" s="42">
        <v>-25.95</v>
      </c>
      <c r="D14" s="48"/>
      <c r="E14" s="49">
        <v>2.08</v>
      </c>
      <c r="F14" s="50">
        <f>AVERAGE(E88:E94)</f>
        <v>4.2269796911771991</v>
      </c>
      <c r="G14" s="47"/>
      <c r="H14" s="45">
        <v>44.65</v>
      </c>
      <c r="I14" s="45">
        <v>2.83</v>
      </c>
      <c r="J14" s="46">
        <f>H14/I14</f>
        <v>15.777385159010599</v>
      </c>
      <c r="K14" s="5"/>
      <c r="L14" s="5"/>
    </row>
    <row r="15" spans="1:19" s="1" customFormat="1" ht="11.25" customHeight="1" x14ac:dyDescent="0.25">
      <c r="A15" s="40"/>
      <c r="B15" s="41" t="s">
        <v>23</v>
      </c>
      <c r="C15" s="51">
        <v>-18.3</v>
      </c>
      <c r="D15" s="52">
        <f>AVERAGE(G39,G81)</f>
        <v>-13.673192495663208</v>
      </c>
      <c r="E15" s="49"/>
      <c r="F15" s="53"/>
      <c r="G15" s="54"/>
      <c r="H15" s="55"/>
      <c r="I15" s="55"/>
      <c r="J15" s="54"/>
      <c r="K15" s="5"/>
      <c r="L15" s="5"/>
    </row>
    <row r="16" spans="1:19" s="1" customFormat="1" ht="11.25" customHeight="1" x14ac:dyDescent="0.25">
      <c r="A16" s="40"/>
      <c r="B16" s="41" t="s">
        <v>24</v>
      </c>
      <c r="C16" s="42">
        <v>-25.49</v>
      </c>
      <c r="D16" s="52"/>
      <c r="E16" s="56"/>
      <c r="F16" s="57"/>
      <c r="G16" s="54"/>
      <c r="H16" s="55"/>
      <c r="I16" s="55"/>
      <c r="J16" s="54"/>
      <c r="K16" s="5"/>
      <c r="L16" s="5"/>
    </row>
    <row r="17" spans="1:20" s="1" customFormat="1" ht="11.25" customHeight="1" x14ac:dyDescent="0.25">
      <c r="A17" s="40"/>
      <c r="B17" s="41" t="s">
        <v>25</v>
      </c>
      <c r="C17" s="42">
        <v>-10.8</v>
      </c>
      <c r="D17" s="52">
        <f>AVERAGE(G38,G80)</f>
        <v>-6.2613124820505117</v>
      </c>
      <c r="E17" s="56"/>
      <c r="F17" s="57"/>
      <c r="G17" s="54"/>
      <c r="H17" s="55"/>
      <c r="I17" s="55"/>
      <c r="J17" s="54"/>
      <c r="K17" s="5"/>
      <c r="L17" s="5"/>
    </row>
    <row r="18" spans="1:20" s="1" customFormat="1" ht="11.25" customHeight="1" x14ac:dyDescent="0.25">
      <c r="A18" s="40"/>
      <c r="B18" s="41" t="s">
        <v>26</v>
      </c>
      <c r="C18" s="42">
        <v>-24.91</v>
      </c>
      <c r="D18" s="52">
        <f>AVERAGE(G79)</f>
        <v>-20.254400489760222</v>
      </c>
      <c r="E18" s="56"/>
      <c r="F18" s="57"/>
      <c r="G18" s="54"/>
      <c r="H18" s="55"/>
      <c r="I18" s="55"/>
      <c r="J18" s="54"/>
      <c r="K18" s="5"/>
      <c r="L18" s="5"/>
    </row>
    <row r="19" spans="1:20" s="1" customFormat="1" ht="11.25" customHeight="1" x14ac:dyDescent="0.25">
      <c r="A19" s="40"/>
      <c r="B19" s="5" t="s">
        <v>27</v>
      </c>
      <c r="C19" s="42"/>
      <c r="D19" s="52"/>
      <c r="E19" s="58">
        <v>2.7</v>
      </c>
      <c r="F19" s="57"/>
      <c r="G19" s="54"/>
      <c r="H19" s="55"/>
      <c r="I19" s="55"/>
      <c r="J19" s="54"/>
      <c r="K19" s="5"/>
      <c r="L19" s="5"/>
    </row>
    <row r="20" spans="1:20" s="1" customFormat="1" ht="11.25" customHeight="1" x14ac:dyDescent="0.25">
      <c r="A20" s="40"/>
      <c r="B20" s="5" t="s">
        <v>28</v>
      </c>
      <c r="C20" s="42"/>
      <c r="D20" s="52"/>
      <c r="E20" s="58">
        <v>180</v>
      </c>
      <c r="F20" s="57"/>
      <c r="G20" s="54"/>
      <c r="H20" s="55"/>
      <c r="I20" s="55"/>
      <c r="J20" s="54"/>
      <c r="K20" s="5"/>
      <c r="L20" s="5"/>
    </row>
    <row r="21" spans="1:20" s="1" customFormat="1" ht="11.25" customHeight="1" x14ac:dyDescent="0.25">
      <c r="A21" s="40"/>
      <c r="B21" s="5" t="s">
        <v>29</v>
      </c>
      <c r="C21" s="42"/>
      <c r="D21" s="52"/>
      <c r="E21" s="58">
        <v>-1.8</v>
      </c>
      <c r="F21" s="57"/>
      <c r="G21" s="54"/>
      <c r="H21" s="55"/>
      <c r="I21" s="55"/>
      <c r="J21" s="54"/>
      <c r="K21" s="5"/>
      <c r="L21" s="5"/>
    </row>
    <row r="22" spans="1:20" s="1" customFormat="1" ht="11.25" customHeight="1" x14ac:dyDescent="0.25">
      <c r="A22" s="40"/>
      <c r="B22" s="41" t="s">
        <v>30</v>
      </c>
      <c r="C22" s="40"/>
      <c r="D22" s="59"/>
      <c r="E22" s="53">
        <v>0.4</v>
      </c>
      <c r="F22" s="50"/>
      <c r="G22" s="54"/>
      <c r="H22"/>
      <c r="I22"/>
      <c r="J22" s="54"/>
      <c r="K22" s="5"/>
      <c r="L22" s="5"/>
    </row>
    <row r="23" spans="1:20" s="1" customFormat="1" ht="11.25" customHeight="1" x14ac:dyDescent="0.25">
      <c r="A23" s="40"/>
      <c r="B23" s="41" t="s">
        <v>31</v>
      </c>
      <c r="C23" s="60"/>
      <c r="D23" s="59"/>
      <c r="E23" s="53">
        <v>20.3</v>
      </c>
      <c r="F23" s="50"/>
      <c r="G23" s="54"/>
      <c r="H23"/>
      <c r="I23"/>
      <c r="J23" s="54"/>
      <c r="K23" s="5"/>
      <c r="L23" s="5"/>
    </row>
    <row r="24" spans="1:20" s="1" customFormat="1" ht="11.25" customHeight="1" x14ac:dyDescent="0.25">
      <c r="A24" s="40"/>
      <c r="B24" s="41" t="s">
        <v>32</v>
      </c>
      <c r="C24" s="60"/>
      <c r="D24" s="52"/>
      <c r="E24" s="53">
        <v>4.7</v>
      </c>
      <c r="F24" s="50"/>
      <c r="G24" s="54"/>
      <c r="H24"/>
      <c r="I24"/>
      <c r="J24" s="54"/>
      <c r="K24" s="5"/>
      <c r="L24" s="5"/>
    </row>
    <row r="25" spans="1:20" customFormat="1" ht="11.25" customHeight="1" x14ac:dyDescent="0.25">
      <c r="A25" s="31"/>
      <c r="B25" s="61" t="s">
        <v>33</v>
      </c>
      <c r="C25" s="62"/>
      <c r="D25" s="61" t="s">
        <v>34</v>
      </c>
      <c r="E25" s="61"/>
      <c r="F25" s="62"/>
      <c r="G25" s="31"/>
      <c r="H25" s="62"/>
      <c r="I25" s="62"/>
      <c r="J25" s="63"/>
      <c r="K25" s="53"/>
      <c r="L25" s="53"/>
    </row>
    <row r="26" spans="1:20" customFormat="1" ht="11.25" customHeight="1" x14ac:dyDescent="0.25">
      <c r="A26" s="64" t="s">
        <v>35</v>
      </c>
      <c r="B26" s="53">
        <v>1.0084</v>
      </c>
      <c r="C26" s="65" t="s">
        <v>52</v>
      </c>
      <c r="D26" s="53">
        <v>-4.4941000000000004</v>
      </c>
      <c r="E26" s="53"/>
      <c r="F26" s="53"/>
      <c r="G26" s="40"/>
      <c r="H26" s="53"/>
      <c r="I26" s="53"/>
      <c r="J26" s="66"/>
      <c r="K26" s="53"/>
      <c r="L26" s="53"/>
    </row>
    <row r="27" spans="1:20" customFormat="1" ht="11.25" customHeight="1" x14ac:dyDescent="0.25">
      <c r="A27" s="64" t="s">
        <v>37</v>
      </c>
      <c r="B27" s="53">
        <v>1</v>
      </c>
      <c r="C27" s="65"/>
      <c r="D27" s="67">
        <f>$E$14-$F$14</f>
        <v>-2.146979691177199</v>
      </c>
      <c r="E27" s="53"/>
      <c r="F27" s="53"/>
      <c r="G27" s="40"/>
      <c r="H27" s="53"/>
      <c r="I27" s="53"/>
      <c r="J27" s="66"/>
      <c r="K27" s="53"/>
      <c r="L27" s="53"/>
    </row>
    <row r="28" spans="1:20" customFormat="1" ht="11.25" customHeight="1" x14ac:dyDescent="0.25">
      <c r="A28" s="68" t="s">
        <v>38</v>
      </c>
      <c r="B28" s="53">
        <v>5.5030999999999997E-2</v>
      </c>
      <c r="C28" s="65" t="s">
        <v>36</v>
      </c>
      <c r="D28" s="67">
        <v>0</v>
      </c>
      <c r="E28" s="49"/>
      <c r="F28" s="53"/>
      <c r="G28" s="40"/>
      <c r="H28" s="53"/>
      <c r="I28" s="53"/>
      <c r="J28" s="66"/>
      <c r="K28" s="53"/>
      <c r="L28" s="53"/>
    </row>
    <row r="29" spans="1:20" customFormat="1" ht="11.25" customHeight="1" x14ac:dyDescent="0.25">
      <c r="A29" s="68" t="s">
        <v>39</v>
      </c>
      <c r="B29" s="53">
        <v>2.3848000000000001E-2</v>
      </c>
      <c r="C29" s="49" t="s">
        <v>36</v>
      </c>
      <c r="D29" s="69">
        <v>0</v>
      </c>
      <c r="E29" s="69"/>
      <c r="F29" s="69"/>
      <c r="G29" s="70"/>
      <c r="H29" s="69"/>
      <c r="I29" s="69"/>
      <c r="J29" s="71"/>
      <c r="K29" s="53"/>
      <c r="L29" s="53"/>
      <c r="Q29" s="72"/>
    </row>
    <row r="30" spans="1:20" s="1" customFormat="1" ht="11.25" customHeight="1" x14ac:dyDescent="0.2">
      <c r="A30" s="73"/>
      <c r="B30" s="49"/>
      <c r="C30" s="49"/>
      <c r="D30" s="49"/>
      <c r="E30" s="49"/>
      <c r="F30" s="49"/>
      <c r="G30" s="74"/>
      <c r="H30" s="49"/>
      <c r="I30" s="56"/>
      <c r="J30" s="41"/>
      <c r="K30" s="5"/>
      <c r="L30" s="5"/>
    </row>
    <row r="31" spans="1:20" s="1" customFormat="1" ht="12" customHeight="1" x14ac:dyDescent="0.2">
      <c r="I31" s="3"/>
      <c r="J31" s="4"/>
    </row>
    <row r="32" spans="1:20" s="1" customFormat="1" ht="11.25" customHeight="1" x14ac:dyDescent="0.2">
      <c r="A32" s="75"/>
      <c r="B32" s="75" t="s">
        <v>40</v>
      </c>
      <c r="C32" s="75" t="s">
        <v>54</v>
      </c>
      <c r="D32" s="75" t="s">
        <v>80</v>
      </c>
      <c r="E32" s="75" t="s">
        <v>41</v>
      </c>
      <c r="F32" s="75" t="s">
        <v>81</v>
      </c>
      <c r="G32" s="99" t="s">
        <v>42</v>
      </c>
      <c r="H32" s="76" t="s">
        <v>43</v>
      </c>
      <c r="I32" s="77" t="s">
        <v>44</v>
      </c>
      <c r="J32" s="77" t="s">
        <v>45</v>
      </c>
      <c r="K32" s="77" t="s">
        <v>46</v>
      </c>
      <c r="L32" s="77" t="s">
        <v>47</v>
      </c>
      <c r="M32" s="178" t="s">
        <v>38</v>
      </c>
      <c r="N32" s="77" t="s">
        <v>38</v>
      </c>
      <c r="O32" s="77" t="s">
        <v>48</v>
      </c>
      <c r="P32" s="77" t="s">
        <v>49</v>
      </c>
      <c r="Q32" s="77" t="s">
        <v>39</v>
      </c>
      <c r="R32" s="77" t="s">
        <v>39</v>
      </c>
      <c r="S32" s="77" t="s">
        <v>50</v>
      </c>
      <c r="T32" s="77" t="s">
        <v>51</v>
      </c>
    </row>
    <row r="33" spans="1:20" s="90" customFormat="1" ht="11.25" customHeight="1" x14ac:dyDescent="0.2">
      <c r="A33" s="117">
        <v>30</v>
      </c>
      <c r="B33" s="117" t="s">
        <v>55</v>
      </c>
      <c r="C33" s="105">
        <v>1.06</v>
      </c>
      <c r="D33" s="105">
        <v>1.2651317500000001</v>
      </c>
      <c r="E33" s="105">
        <v>5.4123093061195782</v>
      </c>
      <c r="F33" s="105">
        <v>8.5791149999999998</v>
      </c>
      <c r="G33" s="105">
        <v>-21.777343421963984</v>
      </c>
      <c r="H33" s="100">
        <f>$B$26*G33+$D$26</f>
        <v>-26.454373106708481</v>
      </c>
      <c r="I33" s="86">
        <f t="shared" ref="I33:I82" si="0">$B$27*E33+$D$27</f>
        <v>3.2653296149423792</v>
      </c>
      <c r="J33" s="87">
        <f t="shared" ref="J33:J82" si="1">(F33)/C33</f>
        <v>8.0935047169811316</v>
      </c>
      <c r="K33" s="87">
        <f>H$14</f>
        <v>44.65</v>
      </c>
      <c r="L33" s="87">
        <f>I$14</f>
        <v>2.83</v>
      </c>
      <c r="M33" s="87">
        <f t="shared" ref="M33:M82" si="2">C33*(K33/100)</f>
        <v>0.47329000000000004</v>
      </c>
      <c r="N33" s="179">
        <f t="shared" ref="N33:N82" si="3">F33*$B$28+$D$28</f>
        <v>0.47211727756499994</v>
      </c>
      <c r="O33" s="91">
        <f t="shared" ref="O33:O82" si="4">N33/C33*100</f>
        <v>44.539365808018857</v>
      </c>
      <c r="P33" s="87">
        <f t="shared" ref="P33:P82" si="5">D33/C33</f>
        <v>1.1935205188679245</v>
      </c>
      <c r="Q33" s="87">
        <f t="shared" ref="Q33:Q36" si="6">C33*(L33/100)</f>
        <v>2.9998000000000004E-2</v>
      </c>
      <c r="R33" s="179">
        <f t="shared" ref="R33:R82" si="7">D33*$B$29+$D$29</f>
        <v>3.0170861974000002E-2</v>
      </c>
      <c r="S33" s="89">
        <f t="shared" ref="S33:S82" si="8">R33/C33*100</f>
        <v>2.8463077333962263</v>
      </c>
      <c r="T33" s="86">
        <f t="shared" ref="T33:T82" si="9">N33/R33</f>
        <v>15.648120294735067</v>
      </c>
    </row>
    <row r="34" spans="1:20" s="90" customFormat="1" ht="11.25" customHeight="1" x14ac:dyDescent="0.2">
      <c r="A34" s="117">
        <v>31</v>
      </c>
      <c r="B34" s="117" t="s">
        <v>56</v>
      </c>
      <c r="C34" s="105">
        <v>1.1060000000000001</v>
      </c>
      <c r="D34" s="105">
        <v>1.3158935</v>
      </c>
      <c r="E34" s="105">
        <v>4.0346172591059215</v>
      </c>
      <c r="F34" s="105">
        <v>9.0211749999999995</v>
      </c>
      <c r="G34" s="105">
        <v>-21.773362071757173</v>
      </c>
      <c r="H34" s="100">
        <f t="shared" ref="H34:H82" si="10">$B$26*G34+$D$26</f>
        <v>-26.450358313159931</v>
      </c>
      <c r="I34" s="86">
        <f t="shared" si="0"/>
        <v>1.8876375679287225</v>
      </c>
      <c r="J34" s="87">
        <f t="shared" si="1"/>
        <v>8.1565777576853513</v>
      </c>
      <c r="K34" s="87">
        <f t="shared" ref="K34:L36" si="11">H$14</f>
        <v>44.65</v>
      </c>
      <c r="L34" s="87">
        <f t="shared" si="11"/>
        <v>2.83</v>
      </c>
      <c r="M34" s="87">
        <f t="shared" si="2"/>
        <v>0.49382900000000007</v>
      </c>
      <c r="N34" s="179">
        <f t="shared" si="3"/>
        <v>0.49644428142499997</v>
      </c>
      <c r="O34" s="91">
        <f t="shared" si="4"/>
        <v>44.886463058318256</v>
      </c>
      <c r="P34" s="87">
        <f t="shared" si="5"/>
        <v>1.1897771247739601</v>
      </c>
      <c r="Q34" s="87">
        <f t="shared" si="6"/>
        <v>3.1299800000000003E-2</v>
      </c>
      <c r="R34" s="179">
        <f t="shared" si="7"/>
        <v>3.1381428188E-2</v>
      </c>
      <c r="S34" s="89">
        <f t="shared" si="8"/>
        <v>2.83738048716094</v>
      </c>
      <c r="T34" s="86">
        <f t="shared" si="9"/>
        <v>15.819684128169673</v>
      </c>
    </row>
    <row r="35" spans="1:20" s="90" customFormat="1" ht="11.25" customHeight="1" x14ac:dyDescent="0.2">
      <c r="A35" s="117">
        <v>32</v>
      </c>
      <c r="B35" s="117" t="s">
        <v>57</v>
      </c>
      <c r="C35" s="105">
        <v>0.995</v>
      </c>
      <c r="D35" s="105">
        <v>1.1789458749999999</v>
      </c>
      <c r="E35" s="105">
        <v>4.1132785462960619</v>
      </c>
      <c r="F35" s="105">
        <v>8.1368480000000005</v>
      </c>
      <c r="G35" s="105">
        <v>-21.709258042749465</v>
      </c>
      <c r="H35" s="100">
        <f t="shared" si="10"/>
        <v>-26.385715810308557</v>
      </c>
      <c r="I35" s="86">
        <f t="shared" si="0"/>
        <v>1.9662988551188629</v>
      </c>
      <c r="J35" s="87">
        <f t="shared" si="1"/>
        <v>8.1777366834170859</v>
      </c>
      <c r="K35" s="87">
        <f t="shared" si="11"/>
        <v>44.65</v>
      </c>
      <c r="L35" s="87">
        <f t="shared" si="11"/>
        <v>2.83</v>
      </c>
      <c r="M35" s="87">
        <f t="shared" si="2"/>
        <v>0.44426749999999998</v>
      </c>
      <c r="N35" s="179">
        <f t="shared" si="3"/>
        <v>0.447778882288</v>
      </c>
      <c r="O35" s="91">
        <f t="shared" si="4"/>
        <v>45.002902742512561</v>
      </c>
      <c r="P35" s="87">
        <f t="shared" si="5"/>
        <v>1.1848702261306532</v>
      </c>
      <c r="Q35" s="87">
        <f t="shared" si="6"/>
        <v>2.8158500000000003E-2</v>
      </c>
      <c r="R35" s="179">
        <f t="shared" si="7"/>
        <v>2.8115501227E-2</v>
      </c>
      <c r="S35" s="89">
        <f t="shared" si="8"/>
        <v>2.8256785152763819</v>
      </c>
      <c r="T35" s="86">
        <f t="shared" si="9"/>
        <v>15.926405816944392</v>
      </c>
    </row>
    <row r="36" spans="1:20" s="90" customFormat="1" ht="11.25" customHeight="1" x14ac:dyDescent="0.2">
      <c r="A36" s="117">
        <v>33</v>
      </c>
      <c r="B36" s="117" t="s">
        <v>58</v>
      </c>
      <c r="C36" s="105">
        <v>0.99099999999999999</v>
      </c>
      <c r="D36" s="105">
        <v>1.1587054999999999</v>
      </c>
      <c r="E36" s="105">
        <v>4.160912989793264</v>
      </c>
      <c r="F36" s="105">
        <v>8.0358774999999998</v>
      </c>
      <c r="G36" s="105">
        <v>-21.66727788897915</v>
      </c>
      <c r="H36" s="100">
        <f t="shared" si="10"/>
        <v>-26.343383023246574</v>
      </c>
      <c r="I36" s="86">
        <f t="shared" si="0"/>
        <v>2.013933298616065</v>
      </c>
      <c r="J36" s="87">
        <f t="shared" si="1"/>
        <v>8.1088572149344103</v>
      </c>
      <c r="K36" s="87">
        <f t="shared" si="11"/>
        <v>44.65</v>
      </c>
      <c r="L36" s="87">
        <f t="shared" si="11"/>
        <v>2.83</v>
      </c>
      <c r="M36" s="87">
        <f t="shared" si="2"/>
        <v>0.44248150000000003</v>
      </c>
      <c r="N36" s="179">
        <f t="shared" si="3"/>
        <v>0.44222237470249998</v>
      </c>
      <c r="O36" s="91">
        <f t="shared" si="4"/>
        <v>44.623852139505551</v>
      </c>
      <c r="P36" s="87">
        <f t="shared" si="5"/>
        <v>1.169228557013118</v>
      </c>
      <c r="Q36" s="87">
        <f t="shared" si="6"/>
        <v>2.8045300000000002E-2</v>
      </c>
      <c r="R36" s="179">
        <f t="shared" si="7"/>
        <v>2.7632808764E-2</v>
      </c>
      <c r="S36" s="89">
        <f t="shared" si="8"/>
        <v>2.788376262764884</v>
      </c>
      <c r="T36" s="86">
        <f t="shared" si="9"/>
        <v>16.003526043238388</v>
      </c>
    </row>
    <row r="37" spans="1:20" s="1" customFormat="1" ht="11.25" customHeight="1" x14ac:dyDescent="0.2">
      <c r="A37" s="83">
        <v>34</v>
      </c>
      <c r="B37" s="83" t="s">
        <v>60</v>
      </c>
      <c r="C37" s="84">
        <v>0.74</v>
      </c>
      <c r="D37" s="84">
        <v>1.667895703125E-2</v>
      </c>
      <c r="E37" s="84">
        <v>-29.790059308344663</v>
      </c>
      <c r="F37" s="96"/>
      <c r="G37" s="96"/>
      <c r="H37" s="101">
        <f t="shared" si="10"/>
        <v>-4.4941000000000004</v>
      </c>
      <c r="I37" s="78">
        <f t="shared" si="0"/>
        <v>-31.93703899952186</v>
      </c>
      <c r="J37" s="79">
        <f t="shared" si="1"/>
        <v>0</v>
      </c>
      <c r="K37" s="79"/>
      <c r="L37" s="79"/>
      <c r="M37" s="79">
        <f t="shared" si="2"/>
        <v>0</v>
      </c>
      <c r="N37" s="180">
        <f t="shared" si="3"/>
        <v>0</v>
      </c>
      <c r="O37" s="81">
        <f t="shared" si="4"/>
        <v>0</v>
      </c>
      <c r="P37" s="79">
        <f t="shared" si="5"/>
        <v>2.253913112331081E-2</v>
      </c>
      <c r="Q37" s="79"/>
      <c r="R37" s="180">
        <f t="shared" si="7"/>
        <v>3.9775976728125001E-4</v>
      </c>
      <c r="S37" s="82">
        <f t="shared" si="8"/>
        <v>5.3751319902871623E-2</v>
      </c>
      <c r="T37" s="78">
        <f t="shared" si="9"/>
        <v>0</v>
      </c>
    </row>
    <row r="38" spans="1:20" s="1" customFormat="1" ht="11.25" customHeight="1" x14ac:dyDescent="0.2">
      <c r="A38" s="95">
        <v>35</v>
      </c>
      <c r="B38" s="95" t="s">
        <v>66</v>
      </c>
      <c r="C38" s="96">
        <v>1.073</v>
      </c>
      <c r="D38" s="96">
        <v>1.9766236328124999E-2</v>
      </c>
      <c r="E38" s="96">
        <v>-28.625241551090809</v>
      </c>
      <c r="F38" s="84">
        <v>7.9738745</v>
      </c>
      <c r="G38" s="84">
        <v>-6.1648825394996551</v>
      </c>
      <c r="H38" s="101">
        <f t="shared" si="10"/>
        <v>-10.710767552831452</v>
      </c>
      <c r="I38" s="78">
        <f t="shared" si="0"/>
        <v>-30.77222124226801</v>
      </c>
      <c r="J38" s="79">
        <f t="shared" si="1"/>
        <v>7.4313835041938496</v>
      </c>
      <c r="K38" s="79"/>
      <c r="L38" s="79"/>
      <c r="M38" s="79">
        <f t="shared" si="2"/>
        <v>0</v>
      </c>
      <c r="N38" s="180">
        <f t="shared" si="3"/>
        <v>0.43881028760949997</v>
      </c>
      <c r="O38" s="81">
        <f t="shared" si="4"/>
        <v>40.895646561929169</v>
      </c>
      <c r="P38" s="79">
        <f t="shared" si="5"/>
        <v>1.8421469084925441E-2</v>
      </c>
      <c r="Q38" s="79"/>
      <c r="R38" s="180">
        <f t="shared" si="7"/>
        <v>4.7138520395312501E-4</v>
      </c>
      <c r="S38" s="82">
        <f t="shared" si="8"/>
        <v>4.3931519473730196E-2</v>
      </c>
      <c r="T38" s="78">
        <f t="shared" si="9"/>
        <v>930.89533555477419</v>
      </c>
    </row>
    <row r="39" spans="1:20" s="1" customFormat="1" ht="11.25" customHeight="1" x14ac:dyDescent="0.2">
      <c r="A39" s="83">
        <v>36</v>
      </c>
      <c r="B39" s="83" t="s">
        <v>65</v>
      </c>
      <c r="C39" s="84">
        <v>1.292</v>
      </c>
      <c r="D39" s="84">
        <v>2.6764701171874999E-2</v>
      </c>
      <c r="E39" s="84">
        <v>-22.207315746912926</v>
      </c>
      <c r="F39" s="96">
        <v>4.3766499999999997</v>
      </c>
      <c r="G39" s="96">
        <v>-13.682325596097039</v>
      </c>
      <c r="H39" s="101">
        <f t="shared" si="10"/>
        <v>-18.291357131104252</v>
      </c>
      <c r="I39" s="78">
        <f t="shared" si="0"/>
        <v>-24.354295438090126</v>
      </c>
      <c r="J39" s="79">
        <f t="shared" si="1"/>
        <v>3.3874999999999997</v>
      </c>
      <c r="K39" s="79"/>
      <c r="L39" s="79"/>
      <c r="M39" s="79">
        <f t="shared" si="2"/>
        <v>0</v>
      </c>
      <c r="N39" s="180">
        <f t="shared" si="3"/>
        <v>0.24085142614999996</v>
      </c>
      <c r="O39" s="81">
        <f t="shared" si="4"/>
        <v>18.641751249999995</v>
      </c>
      <c r="P39" s="79">
        <f t="shared" si="5"/>
        <v>2.0715712981327399E-2</v>
      </c>
      <c r="Q39" s="79"/>
      <c r="R39" s="180">
        <f t="shared" si="7"/>
        <v>6.3828459354687498E-4</v>
      </c>
      <c r="S39" s="82">
        <f t="shared" si="8"/>
        <v>4.9402832317869579E-2</v>
      </c>
      <c r="T39" s="78">
        <f t="shared" si="9"/>
        <v>377.3417509760277</v>
      </c>
    </row>
    <row r="40" spans="1:20" s="90" customFormat="1" ht="11.25" customHeight="1" x14ac:dyDescent="0.2">
      <c r="A40" s="117">
        <v>37</v>
      </c>
      <c r="B40" s="117" t="s">
        <v>59</v>
      </c>
      <c r="C40" s="105">
        <v>1.242</v>
      </c>
      <c r="D40" s="105">
        <v>1.4803314999999999</v>
      </c>
      <c r="E40" s="105">
        <v>4.2443203000168683</v>
      </c>
      <c r="F40" s="105">
        <v>10.048731</v>
      </c>
      <c r="G40" s="105">
        <v>-21.648294903392898</v>
      </c>
      <c r="H40" s="100">
        <f t="shared" si="10"/>
        <v>-26.324240580581396</v>
      </c>
      <c r="I40" s="86">
        <f t="shared" si="0"/>
        <v>2.0973406088396693</v>
      </c>
      <c r="J40" s="87">
        <f t="shared" si="1"/>
        <v>8.0907657004830913</v>
      </c>
      <c r="K40" s="87">
        <f t="shared" ref="K40:L40" si="12">H$14</f>
        <v>44.65</v>
      </c>
      <c r="L40" s="87">
        <f t="shared" si="12"/>
        <v>2.83</v>
      </c>
      <c r="M40" s="87">
        <f t="shared" si="2"/>
        <v>0.55455299999999996</v>
      </c>
      <c r="N40" s="179">
        <f t="shared" si="3"/>
        <v>0.55299171566099992</v>
      </c>
      <c r="O40" s="91">
        <f t="shared" si="4"/>
        <v>44.524292726328497</v>
      </c>
      <c r="P40" s="87">
        <f t="shared" si="5"/>
        <v>1.1918933172302737</v>
      </c>
      <c r="Q40" s="87">
        <f t="shared" ref="Q40" si="13">C40*(L40/100)</f>
        <v>3.5148600000000002E-2</v>
      </c>
      <c r="R40" s="179">
        <f t="shared" si="7"/>
        <v>3.5302945612000002E-2</v>
      </c>
      <c r="S40" s="89">
        <f t="shared" si="8"/>
        <v>2.842427182930757</v>
      </c>
      <c r="T40" s="86">
        <f t="shared" si="9"/>
        <v>15.664180596676038</v>
      </c>
    </row>
    <row r="41" spans="1:20" s="1" customFormat="1" ht="11.25" customHeight="1" x14ac:dyDescent="0.2">
      <c r="A41" s="83">
        <v>38</v>
      </c>
      <c r="B41" s="83" t="s">
        <v>257</v>
      </c>
      <c r="C41" s="84">
        <v>6.1870000000000003</v>
      </c>
      <c r="D41" s="84">
        <v>8.4100007812500002E-2</v>
      </c>
      <c r="E41" s="84">
        <v>-4.0553714321766021</v>
      </c>
      <c r="F41" s="96">
        <v>0.43424131249999998</v>
      </c>
      <c r="G41" s="96">
        <v>-22.726958300292658</v>
      </c>
      <c r="H41" s="101">
        <f t="shared" si="10"/>
        <v>-27.411964750015116</v>
      </c>
      <c r="I41" s="78">
        <f t="shared" si="0"/>
        <v>-6.2023511233538011</v>
      </c>
      <c r="J41" s="79">
        <f t="shared" si="1"/>
        <v>7.0186085744302559E-2</v>
      </c>
      <c r="K41" s="79"/>
      <c r="L41" s="79"/>
      <c r="M41" s="79">
        <f t="shared" si="2"/>
        <v>0</v>
      </c>
      <c r="N41" s="180">
        <f t="shared" si="3"/>
        <v>2.3896733668187498E-2</v>
      </c>
      <c r="O41" s="81">
        <f t="shared" si="4"/>
        <v>0.38624104845947144</v>
      </c>
      <c r="P41" s="79">
        <f t="shared" si="5"/>
        <v>1.359301888031356E-2</v>
      </c>
      <c r="Q41" s="79"/>
      <c r="R41" s="180">
        <f t="shared" si="7"/>
        <v>2.0056169863125E-3</v>
      </c>
      <c r="S41" s="82">
        <f t="shared" si="8"/>
        <v>3.241663142577178E-2</v>
      </c>
      <c r="T41" s="78">
        <f t="shared" si="9"/>
        <v>11.914903908010725</v>
      </c>
    </row>
    <row r="42" spans="1:20" s="1" customFormat="1" ht="11.25" customHeight="1" x14ac:dyDescent="0.2">
      <c r="A42" s="95">
        <v>39</v>
      </c>
      <c r="B42" s="95" t="s">
        <v>258</v>
      </c>
      <c r="C42" s="96">
        <v>6.2690000000000001</v>
      </c>
      <c r="D42" s="96">
        <v>8.5355132812499998E-2</v>
      </c>
      <c r="E42" s="96">
        <v>-1.3931777596105643</v>
      </c>
      <c r="F42" s="84">
        <v>0.48080681250000001</v>
      </c>
      <c r="G42" s="84">
        <v>-25.746718433612113</v>
      </c>
      <c r="H42" s="101">
        <f t="shared" si="10"/>
        <v>-30.457090868454454</v>
      </c>
      <c r="I42" s="78">
        <f t="shared" si="0"/>
        <v>-3.5401574507877633</v>
      </c>
      <c r="J42" s="79">
        <f t="shared" si="1"/>
        <v>7.6695934359546983E-2</v>
      </c>
      <c r="K42" s="79"/>
      <c r="L42" s="79"/>
      <c r="M42" s="79">
        <f t="shared" si="2"/>
        <v>0</v>
      </c>
      <c r="N42" s="180">
        <f t="shared" si="3"/>
        <v>2.6459279698687499E-2</v>
      </c>
      <c r="O42" s="81">
        <f t="shared" si="4"/>
        <v>0.42206539637402296</v>
      </c>
      <c r="P42" s="79">
        <f t="shared" si="5"/>
        <v>1.3615430341761046E-2</v>
      </c>
      <c r="Q42" s="79"/>
      <c r="R42" s="180">
        <f t="shared" si="7"/>
        <v>2.0355492073124998E-3</v>
      </c>
      <c r="S42" s="82">
        <f t="shared" si="8"/>
        <v>3.2470078279031742E-2</v>
      </c>
      <c r="T42" s="78">
        <f t="shared" si="9"/>
        <v>12.998594975564961</v>
      </c>
    </row>
    <row r="43" spans="1:20" s="1" customFormat="1" ht="11.25" customHeight="1" x14ac:dyDescent="0.2">
      <c r="A43" s="83">
        <v>40</v>
      </c>
      <c r="B43" s="83" t="s">
        <v>259</v>
      </c>
      <c r="C43" s="84">
        <v>6.3150000000000004</v>
      </c>
      <c r="D43" s="84">
        <v>6.9802429687500001E-2</v>
      </c>
      <c r="E43" s="84">
        <v>-0.38863200593364233</v>
      </c>
      <c r="F43" s="96">
        <v>0.40020387499999999</v>
      </c>
      <c r="G43" s="96">
        <v>-22.227519974917417</v>
      </c>
      <c r="H43" s="101">
        <f t="shared" si="10"/>
        <v>-26.908331142706722</v>
      </c>
      <c r="I43" s="78">
        <f t="shared" si="0"/>
        <v>-2.5356116971108413</v>
      </c>
      <c r="J43" s="79">
        <f t="shared" si="1"/>
        <v>6.3373535233570852E-2</v>
      </c>
      <c r="K43" s="79"/>
      <c r="L43" s="79"/>
      <c r="M43" s="79">
        <f t="shared" si="2"/>
        <v>0</v>
      </c>
      <c r="N43" s="180">
        <f t="shared" si="3"/>
        <v>2.2023619445124997E-2</v>
      </c>
      <c r="O43" s="81">
        <f t="shared" si="4"/>
        <v>0.34875090174386375</v>
      </c>
      <c r="P43" s="79">
        <f t="shared" si="5"/>
        <v>1.1053433046318289E-2</v>
      </c>
      <c r="Q43" s="79"/>
      <c r="R43" s="180">
        <f t="shared" si="7"/>
        <v>1.6646483431875E-3</v>
      </c>
      <c r="S43" s="82">
        <f t="shared" si="8"/>
        <v>2.6360227128859857E-2</v>
      </c>
      <c r="T43" s="78">
        <f t="shared" si="9"/>
        <v>13.230193353001965</v>
      </c>
    </row>
    <row r="44" spans="1:20" s="1" customFormat="1" ht="11.25" customHeight="1" x14ac:dyDescent="0.2">
      <c r="A44" s="95">
        <v>41</v>
      </c>
      <c r="B44" s="95" t="s">
        <v>260</v>
      </c>
      <c r="C44" s="96">
        <v>6.1289999999999996</v>
      </c>
      <c r="D44" s="96">
        <v>6.3852078125000003E-2</v>
      </c>
      <c r="E44" s="96">
        <v>9.697146521546296</v>
      </c>
      <c r="F44" s="84">
        <v>0.39675865625000001</v>
      </c>
      <c r="G44" s="84">
        <v>-23.965719085262414</v>
      </c>
      <c r="H44" s="101">
        <f t="shared" si="10"/>
        <v>-28.661131125578617</v>
      </c>
      <c r="I44" s="78">
        <f t="shared" si="0"/>
        <v>7.550166830369097</v>
      </c>
      <c r="J44" s="79">
        <f t="shared" si="1"/>
        <v>6.473464778104096E-2</v>
      </c>
      <c r="K44" s="79"/>
      <c r="L44" s="79"/>
      <c r="M44" s="79">
        <f t="shared" si="2"/>
        <v>0</v>
      </c>
      <c r="N44" s="180">
        <f t="shared" si="3"/>
        <v>2.1834025612093751E-2</v>
      </c>
      <c r="O44" s="81">
        <f t="shared" si="4"/>
        <v>0.35624124020384651</v>
      </c>
      <c r="P44" s="79">
        <f t="shared" si="5"/>
        <v>1.0418025473160387E-2</v>
      </c>
      <c r="Q44" s="79"/>
      <c r="R44" s="180">
        <f t="shared" si="7"/>
        <v>1.5227443591250001E-3</v>
      </c>
      <c r="S44" s="82">
        <f t="shared" si="8"/>
        <v>2.4844907148392888E-2</v>
      </c>
      <c r="T44" s="78">
        <f t="shared" si="9"/>
        <v>14.338602196260984</v>
      </c>
    </row>
    <row r="45" spans="1:20" s="1" customFormat="1" ht="11.25" customHeight="1" x14ac:dyDescent="0.2">
      <c r="A45" s="83">
        <v>42</v>
      </c>
      <c r="B45" s="83" t="s">
        <v>261</v>
      </c>
      <c r="C45" s="84">
        <v>6.2370000000000001</v>
      </c>
      <c r="D45" s="84">
        <v>6.0157003906249999E-2</v>
      </c>
      <c r="E45" s="84">
        <v>3.4659765640354667</v>
      </c>
      <c r="F45" s="96">
        <v>0.38226862499999997</v>
      </c>
      <c r="G45" s="96">
        <v>-23.529146414594205</v>
      </c>
      <c r="H45" s="101">
        <f t="shared" si="10"/>
        <v>-28.220891244476796</v>
      </c>
      <c r="I45" s="78">
        <f t="shared" si="0"/>
        <v>1.3189968728582677</v>
      </c>
      <c r="J45" s="79">
        <f t="shared" si="1"/>
        <v>6.1290464165464159E-2</v>
      </c>
      <c r="K45" s="79"/>
      <c r="L45" s="79"/>
      <c r="M45" s="79">
        <f t="shared" si="2"/>
        <v>0</v>
      </c>
      <c r="N45" s="180">
        <f t="shared" si="3"/>
        <v>2.1036624702374999E-2</v>
      </c>
      <c r="O45" s="81">
        <f t="shared" si="4"/>
        <v>0.33728755334896582</v>
      </c>
      <c r="P45" s="79">
        <f t="shared" si="5"/>
        <v>9.6451826048180207E-3</v>
      </c>
      <c r="Q45" s="79"/>
      <c r="R45" s="180">
        <f t="shared" si="7"/>
        <v>1.43462422915625E-3</v>
      </c>
      <c r="S45" s="82">
        <f t="shared" si="8"/>
        <v>2.3001831475970017E-2</v>
      </c>
      <c r="T45" s="78">
        <f t="shared" si="9"/>
        <v>14.663508586319733</v>
      </c>
    </row>
    <row r="46" spans="1:20" s="1" customFormat="1" ht="11.25" customHeight="1" x14ac:dyDescent="0.2">
      <c r="A46" s="95">
        <v>43</v>
      </c>
      <c r="B46" s="95" t="s">
        <v>262</v>
      </c>
      <c r="C46" s="96">
        <v>6.0369999999999999</v>
      </c>
      <c r="D46" s="96">
        <v>5.4964132812499997E-2</v>
      </c>
      <c r="E46" s="96">
        <v>-5.8025974097498656</v>
      </c>
      <c r="F46" s="84">
        <v>0.31824203125</v>
      </c>
      <c r="G46" s="84">
        <v>-22.163881082975486</v>
      </c>
      <c r="H46" s="101">
        <f t="shared" si="10"/>
        <v>-26.844157684072478</v>
      </c>
      <c r="I46" s="78">
        <f t="shared" si="0"/>
        <v>-7.9495771009270646</v>
      </c>
      <c r="J46" s="79">
        <f t="shared" si="1"/>
        <v>5.2715261098227599E-2</v>
      </c>
      <c r="K46" s="79"/>
      <c r="L46" s="79"/>
      <c r="M46" s="79">
        <f t="shared" si="2"/>
        <v>0</v>
      </c>
      <c r="N46" s="180">
        <f t="shared" si="3"/>
        <v>1.7513177221718749E-2</v>
      </c>
      <c r="O46" s="81">
        <f t="shared" si="4"/>
        <v>0.29009735334965625</v>
      </c>
      <c r="P46" s="79">
        <f t="shared" si="5"/>
        <v>9.1045441133841311E-3</v>
      </c>
      <c r="Q46" s="79"/>
      <c r="R46" s="180">
        <f t="shared" si="7"/>
        <v>1.3107846393125E-3</v>
      </c>
      <c r="S46" s="82">
        <f t="shared" si="8"/>
        <v>2.1712516801598476E-2</v>
      </c>
      <c r="T46" s="78">
        <f t="shared" si="9"/>
        <v>13.360834950663079</v>
      </c>
    </row>
    <row r="47" spans="1:20" s="1" customFormat="1" ht="11.25" customHeight="1" x14ac:dyDescent="0.2">
      <c r="A47" s="83">
        <v>44</v>
      </c>
      <c r="B47" s="83" t="s">
        <v>263</v>
      </c>
      <c r="C47" s="84">
        <v>6.4050000000000002</v>
      </c>
      <c r="D47" s="84">
        <v>3.4379738281250002E-2</v>
      </c>
      <c r="E47" s="84">
        <v>-12.313799117750545</v>
      </c>
      <c r="F47" s="96">
        <v>0.250848953125</v>
      </c>
      <c r="G47" s="96">
        <v>-22.148719264685024</v>
      </c>
      <c r="H47" s="101">
        <f t="shared" si="10"/>
        <v>-26.828868506508378</v>
      </c>
      <c r="I47" s="78">
        <f t="shared" si="0"/>
        <v>-14.460778808927744</v>
      </c>
      <c r="J47" s="79">
        <f t="shared" si="1"/>
        <v>3.9164551619828257E-2</v>
      </c>
      <c r="K47" s="79"/>
      <c r="L47" s="79"/>
      <c r="M47" s="79">
        <f t="shared" si="2"/>
        <v>0</v>
      </c>
      <c r="N47" s="180">
        <f t="shared" si="3"/>
        <v>1.3804468739421875E-2</v>
      </c>
      <c r="O47" s="81">
        <f t="shared" si="4"/>
        <v>0.21552644401907689</v>
      </c>
      <c r="P47" s="79">
        <f t="shared" si="5"/>
        <v>5.3676406371975021E-3</v>
      </c>
      <c r="Q47" s="79"/>
      <c r="R47" s="180">
        <f t="shared" si="7"/>
        <v>8.1988799853125014E-4</v>
      </c>
      <c r="S47" s="82">
        <f t="shared" si="8"/>
        <v>1.2800749391588605E-2</v>
      </c>
      <c r="T47" s="78">
        <f t="shared" si="9"/>
        <v>16.837017695284285</v>
      </c>
    </row>
    <row r="48" spans="1:20" s="1" customFormat="1" ht="11.25" customHeight="1" x14ac:dyDescent="0.2">
      <c r="A48" s="95">
        <v>45</v>
      </c>
      <c r="B48" s="95" t="s">
        <v>264</v>
      </c>
      <c r="C48" s="96">
        <v>6.4180000000000001</v>
      </c>
      <c r="D48" s="96">
        <v>3.8789179687500001E-2</v>
      </c>
      <c r="E48" s="96">
        <v>-6.8850995491674949</v>
      </c>
      <c r="F48" s="84">
        <v>0.24809814062499999</v>
      </c>
      <c r="G48" s="84">
        <v>-22.282746248824207</v>
      </c>
      <c r="H48" s="101">
        <f t="shared" si="10"/>
        <v>-26.96402131731433</v>
      </c>
      <c r="I48" s="78">
        <f t="shared" si="0"/>
        <v>-9.032079240344693</v>
      </c>
      <c r="J48" s="79">
        <f t="shared" si="1"/>
        <v>3.8656612749298845E-2</v>
      </c>
      <c r="K48" s="79"/>
      <c r="L48" s="79"/>
      <c r="M48" s="79">
        <f t="shared" si="2"/>
        <v>0</v>
      </c>
      <c r="N48" s="180">
        <f t="shared" si="3"/>
        <v>1.3653088776734374E-2</v>
      </c>
      <c r="O48" s="81">
        <f t="shared" si="4"/>
        <v>0.21273120562066644</v>
      </c>
      <c r="P48" s="79">
        <f t="shared" si="5"/>
        <v>6.0438111074322216E-3</v>
      </c>
      <c r="Q48" s="79"/>
      <c r="R48" s="180">
        <f t="shared" si="7"/>
        <v>9.2504435718750004E-4</v>
      </c>
      <c r="S48" s="82">
        <f t="shared" si="8"/>
        <v>1.4413280729004363E-2</v>
      </c>
      <c r="T48" s="78">
        <f t="shared" si="9"/>
        <v>14.759388207334352</v>
      </c>
    </row>
    <row r="49" spans="1:20" s="1" customFormat="1" ht="11.25" customHeight="1" x14ac:dyDescent="0.2">
      <c r="A49" s="83">
        <v>46</v>
      </c>
      <c r="B49" s="83" t="s">
        <v>265</v>
      </c>
      <c r="C49" s="84">
        <v>6.2809999999999997</v>
      </c>
      <c r="D49" s="84">
        <v>4.8573132812500003E-2</v>
      </c>
      <c r="E49" s="84">
        <v>-9.049985296224472</v>
      </c>
      <c r="F49" s="96">
        <v>0.26938653125000001</v>
      </c>
      <c r="G49" s="96">
        <v>-22.410038656429087</v>
      </c>
      <c r="H49" s="101">
        <f t="shared" si="10"/>
        <v>-27.092382981143089</v>
      </c>
      <c r="I49" s="78">
        <f t="shared" si="0"/>
        <v>-11.196964987401671</v>
      </c>
      <c r="J49" s="79">
        <f t="shared" si="1"/>
        <v>4.2889114989651332E-2</v>
      </c>
      <c r="K49" s="79"/>
      <c r="L49" s="79"/>
      <c r="M49" s="79">
        <f t="shared" si="2"/>
        <v>0</v>
      </c>
      <c r="N49" s="180">
        <f>F49*$B$28+$D$28</f>
        <v>1.482461020121875E-2</v>
      </c>
      <c r="O49" s="81">
        <f>N49/C49*100</f>
        <v>0.23602308869955022</v>
      </c>
      <c r="P49" s="79">
        <f t="shared" si="5"/>
        <v>7.7333438644324164E-3</v>
      </c>
      <c r="Q49" s="79"/>
      <c r="R49" s="180">
        <f t="shared" si="7"/>
        <v>1.1583720713125001E-3</v>
      </c>
      <c r="S49" s="82">
        <f t="shared" si="8"/>
        <v>1.8442478447898428E-2</v>
      </c>
      <c r="T49" s="78">
        <f t="shared" si="9"/>
        <v>12.79779663922805</v>
      </c>
    </row>
    <row r="50" spans="1:20" s="1" customFormat="1" ht="11.25" customHeight="1" x14ac:dyDescent="0.2">
      <c r="A50" s="95">
        <v>47</v>
      </c>
      <c r="B50" s="95" t="s">
        <v>266</v>
      </c>
      <c r="C50" s="96">
        <v>6.5049999999999999</v>
      </c>
      <c r="D50" s="96">
        <v>0.10993427343749999</v>
      </c>
      <c r="E50" s="96">
        <v>-0.65225017507253291</v>
      </c>
      <c r="F50" s="84">
        <v>0.61288212500000006</v>
      </c>
      <c r="G50" s="84">
        <v>-22.004665351663277</v>
      </c>
      <c r="H50" s="101">
        <f t="shared" si="10"/>
        <v>-26.683604540617246</v>
      </c>
      <c r="I50" s="78">
        <f t="shared" si="0"/>
        <v>-2.7992298662497319</v>
      </c>
      <c r="J50" s="79">
        <f t="shared" si="1"/>
        <v>9.4217083013066888E-2</v>
      </c>
      <c r="K50" s="79"/>
      <c r="L50" s="79"/>
      <c r="M50" s="79">
        <f t="shared" si="2"/>
        <v>0</v>
      </c>
      <c r="N50" s="180">
        <f t="shared" si="3"/>
        <v>3.3727516220874998E-2</v>
      </c>
      <c r="O50" s="81">
        <f t="shared" si="4"/>
        <v>0.5184860295292083</v>
      </c>
      <c r="P50" s="79">
        <f t="shared" si="5"/>
        <v>1.689996517102229E-2</v>
      </c>
      <c r="Q50" s="79"/>
      <c r="R50" s="180">
        <f t="shared" si="7"/>
        <v>2.6217125529375E-3</v>
      </c>
      <c r="S50" s="82">
        <f t="shared" si="8"/>
        <v>4.0303036939853959E-2</v>
      </c>
      <c r="T50" s="78">
        <f t="shared" si="9"/>
        <v>12.864688839775731</v>
      </c>
    </row>
    <row r="51" spans="1:20" s="1" customFormat="1" ht="11.25" customHeight="1" x14ac:dyDescent="0.2">
      <c r="A51" s="83">
        <v>48</v>
      </c>
      <c r="B51" s="83" t="s">
        <v>267</v>
      </c>
      <c r="C51" s="84">
        <v>6.593</v>
      </c>
      <c r="D51" s="84">
        <v>0.11516408593749999</v>
      </c>
      <c r="E51" s="84">
        <v>-0.53741349045621778</v>
      </c>
      <c r="F51" s="96">
        <v>0.60490693750000002</v>
      </c>
      <c r="G51" s="96">
        <v>-21.917363761723337</v>
      </c>
      <c r="H51" s="101">
        <f t="shared" si="10"/>
        <v>-26.595569617321811</v>
      </c>
      <c r="I51" s="78">
        <f t="shared" si="0"/>
        <v>-2.6843931816334168</v>
      </c>
      <c r="J51" s="79">
        <f t="shared" si="1"/>
        <v>9.1749876763233734E-2</v>
      </c>
      <c r="K51" s="79"/>
      <c r="L51" s="79"/>
      <c r="M51" s="79">
        <f t="shared" si="2"/>
        <v>0</v>
      </c>
      <c r="N51" s="180">
        <f t="shared" si="3"/>
        <v>3.3288633677562497E-2</v>
      </c>
      <c r="O51" s="81">
        <f t="shared" si="4"/>
        <v>0.50490874681575149</v>
      </c>
      <c r="P51" s="79">
        <f t="shared" si="5"/>
        <v>1.7467630204383435E-2</v>
      </c>
      <c r="Q51" s="79"/>
      <c r="R51" s="180">
        <f t="shared" si="7"/>
        <v>2.7464331214375002E-3</v>
      </c>
      <c r="S51" s="82">
        <f t="shared" si="8"/>
        <v>4.1656804511413625E-2</v>
      </c>
      <c r="T51" s="78">
        <f t="shared" si="9"/>
        <v>12.120678787961536</v>
      </c>
    </row>
    <row r="52" spans="1:20" s="1" customFormat="1" ht="11.25" customHeight="1" x14ac:dyDescent="0.2">
      <c r="A52" s="95">
        <v>49</v>
      </c>
      <c r="B52" s="95" t="s">
        <v>268</v>
      </c>
      <c r="C52" s="96">
        <v>6.633</v>
      </c>
      <c r="D52" s="96">
        <v>0.11863416406250001</v>
      </c>
      <c r="E52" s="96">
        <v>-1.2013182032175607</v>
      </c>
      <c r="F52" s="84">
        <v>0.83405574999999998</v>
      </c>
      <c r="G52" s="84">
        <v>-21.893411414315366</v>
      </c>
      <c r="H52" s="101">
        <f>$B$26*G52+$D$26</f>
        <v>-26.571416070195614</v>
      </c>
      <c r="I52" s="78">
        <f>$B$27*E52+$D$27</f>
        <v>-3.3482978943947597</v>
      </c>
      <c r="J52" s="79">
        <f>(F52)/C52</f>
        <v>0.12574336650082918</v>
      </c>
      <c r="K52" s="79"/>
      <c r="L52" s="79"/>
      <c r="M52" s="79">
        <f>C52*(K52/100)</f>
        <v>0</v>
      </c>
      <c r="N52" s="180">
        <f>F52*$B$28+$D$28</f>
        <v>4.5898921978249997E-2</v>
      </c>
      <c r="O52" s="81">
        <f>N52/C52*100</f>
        <v>0.69197832019071304</v>
      </c>
      <c r="P52" s="79">
        <f>D52/C52</f>
        <v>1.7885446112241823E-2</v>
      </c>
      <c r="Q52" s="79"/>
      <c r="R52" s="180">
        <f>D52*$B$29+$D$29</f>
        <v>2.8291875445625001E-3</v>
      </c>
      <c r="S52" s="82">
        <f>R52/C52*100</f>
        <v>4.2653211888474298E-2</v>
      </c>
      <c r="T52" s="78">
        <f>N52/R52</f>
        <v>16.223357856379831</v>
      </c>
    </row>
    <row r="53" spans="1:20" s="90" customFormat="1" ht="11.25" customHeight="1" x14ac:dyDescent="0.2">
      <c r="A53" s="117">
        <v>50</v>
      </c>
      <c r="B53" s="117" t="s">
        <v>82</v>
      </c>
      <c r="C53" s="105">
        <v>1.2250000000000001</v>
      </c>
      <c r="D53" s="105">
        <v>1.4196405000000001</v>
      </c>
      <c r="E53" s="105">
        <v>4.3167414041129781</v>
      </c>
      <c r="F53" s="105">
        <v>9.8926839999999991</v>
      </c>
      <c r="G53" s="105">
        <v>-21.550984476052964</v>
      </c>
      <c r="H53" s="100">
        <f t="shared" si="10"/>
        <v>-26.226112745651808</v>
      </c>
      <c r="I53" s="86">
        <f t="shared" si="0"/>
        <v>2.1697617129357791</v>
      </c>
      <c r="J53" s="87">
        <f t="shared" si="1"/>
        <v>8.0756604081632641</v>
      </c>
      <c r="K53" s="87">
        <f t="shared" ref="K53:L53" si="14">H$14</f>
        <v>44.65</v>
      </c>
      <c r="L53" s="87">
        <f t="shared" si="14"/>
        <v>2.83</v>
      </c>
      <c r="M53" s="87">
        <f t="shared" ref="M53:M54" si="15">C53*(K53/100)</f>
        <v>0.54696250000000002</v>
      </c>
      <c r="N53" s="179">
        <f t="shared" ref="N53:N54" si="16">F53*$B$28+$D$28</f>
        <v>0.54440429320399997</v>
      </c>
      <c r="O53" s="91">
        <f t="shared" ref="O53:O54" si="17">N53/C53*100</f>
        <v>44.441166792163258</v>
      </c>
      <c r="P53" s="87">
        <f t="shared" ref="P53:P54" si="18">D53/C53</f>
        <v>1.1588902040816327</v>
      </c>
      <c r="Q53" s="87">
        <f t="shared" ref="Q53" si="19">C53*(L53/100)</f>
        <v>3.4667500000000004E-2</v>
      </c>
      <c r="R53" s="179">
        <f t="shared" si="7"/>
        <v>3.3855586644000006E-2</v>
      </c>
      <c r="S53" s="89">
        <f t="shared" si="8"/>
        <v>2.763721358693878</v>
      </c>
      <c r="T53" s="86">
        <f t="shared" si="9"/>
        <v>16.080190809527178</v>
      </c>
    </row>
    <row r="54" spans="1:20" s="126" customFormat="1" ht="11.25" customHeight="1" x14ac:dyDescent="0.2">
      <c r="A54" s="119">
        <v>51</v>
      </c>
      <c r="B54" s="119" t="s">
        <v>87</v>
      </c>
      <c r="C54" s="120">
        <v>1.6739999999999999</v>
      </c>
      <c r="D54" s="120">
        <v>0.13719737500000001</v>
      </c>
      <c r="E54" s="120">
        <v>0.89179377813586314</v>
      </c>
      <c r="F54" s="120">
        <v>0.97221393749999996</v>
      </c>
      <c r="G54" s="120">
        <v>-14.218362385235508</v>
      </c>
      <c r="H54" s="121">
        <f t="shared" si="10"/>
        <v>-18.831896629271487</v>
      </c>
      <c r="I54" s="122">
        <f t="shared" si="0"/>
        <v>-1.2551859130413359</v>
      </c>
      <c r="J54" s="118">
        <f t="shared" si="1"/>
        <v>0.58077296146953405</v>
      </c>
      <c r="K54" s="118">
        <f>H$13</f>
        <v>3.3479999999999999</v>
      </c>
      <c r="L54" s="118"/>
      <c r="M54" s="118">
        <f t="shared" si="15"/>
        <v>5.6045519999999988E-2</v>
      </c>
      <c r="N54" s="181">
        <f t="shared" si="16"/>
        <v>5.3501905194562493E-2</v>
      </c>
      <c r="O54" s="124">
        <f t="shared" si="17"/>
        <v>3.1960516842629927</v>
      </c>
      <c r="P54" s="118">
        <f t="shared" si="18"/>
        <v>8.1957810633213862E-2</v>
      </c>
      <c r="Q54" s="118"/>
      <c r="R54" s="181">
        <f t="shared" si="7"/>
        <v>3.2718829990000006E-3</v>
      </c>
      <c r="S54" s="125">
        <f t="shared" si="8"/>
        <v>0.19545298679808845</v>
      </c>
      <c r="T54" s="122">
        <f t="shared" si="9"/>
        <v>16.352022737645115</v>
      </c>
    </row>
    <row r="55" spans="1:20" s="1" customFormat="1" ht="11.25" customHeight="1" x14ac:dyDescent="0.2">
      <c r="A55" s="83">
        <v>52</v>
      </c>
      <c r="B55" s="83" t="s">
        <v>269</v>
      </c>
      <c r="C55" s="84">
        <v>7.0330000000000004</v>
      </c>
      <c r="D55" s="84">
        <v>0.32911340625000002</v>
      </c>
      <c r="E55" s="84">
        <v>3.8797426529959544</v>
      </c>
      <c r="F55" s="96">
        <v>2.1824314999999999</v>
      </c>
      <c r="G55" s="96">
        <v>-21.789124742618217</v>
      </c>
      <c r="H55" s="101">
        <f t="shared" si="10"/>
        <v>-26.46625339045621</v>
      </c>
      <c r="I55" s="78">
        <f t="shared" si="0"/>
        <v>1.7327629618187554</v>
      </c>
      <c r="J55" s="79">
        <f t="shared" si="1"/>
        <v>0.31031302431394847</v>
      </c>
      <c r="K55" s="79"/>
      <c r="L55" s="79"/>
      <c r="M55" s="79">
        <f t="shared" si="2"/>
        <v>0</v>
      </c>
      <c r="N55" s="180">
        <f t="shared" si="3"/>
        <v>0.12010138787649999</v>
      </c>
      <c r="O55" s="81">
        <f t="shared" si="4"/>
        <v>1.70768360410209</v>
      </c>
      <c r="P55" s="79">
        <f t="shared" si="5"/>
        <v>4.6795593096829236E-2</v>
      </c>
      <c r="Q55" s="79"/>
      <c r="R55" s="180">
        <f t="shared" si="7"/>
        <v>7.8486965122500016E-3</v>
      </c>
      <c r="S55" s="82">
        <f t="shared" si="8"/>
        <v>0.11159813041731836</v>
      </c>
      <c r="T55" s="78">
        <f t="shared" si="9"/>
        <v>15.302080758129643</v>
      </c>
    </row>
    <row r="56" spans="1:20" s="1" customFormat="1" ht="11.25" customHeight="1" x14ac:dyDescent="0.2">
      <c r="A56" s="95">
        <v>53</v>
      </c>
      <c r="B56" s="95" t="s">
        <v>270</v>
      </c>
      <c r="C56" s="96">
        <v>6.8739999999999997</v>
      </c>
      <c r="D56" s="96">
        <v>0.246860625</v>
      </c>
      <c r="E56" s="96">
        <v>3.3948684605791257</v>
      </c>
      <c r="F56" s="84">
        <v>1.5553718750000001</v>
      </c>
      <c r="G56" s="84">
        <v>-21.631220088021902</v>
      </c>
      <c r="H56" s="101">
        <f t="shared" si="10"/>
        <v>-26.307022336761285</v>
      </c>
      <c r="I56" s="78">
        <f t="shared" si="0"/>
        <v>1.2478887694019267</v>
      </c>
      <c r="J56" s="79">
        <f t="shared" si="1"/>
        <v>0.22626882091940648</v>
      </c>
      <c r="K56" s="79"/>
      <c r="L56" s="79"/>
      <c r="M56" s="79">
        <f t="shared" si="2"/>
        <v>0</v>
      </c>
      <c r="N56" s="180">
        <f t="shared" si="3"/>
        <v>8.5593669653124996E-2</v>
      </c>
      <c r="O56" s="81">
        <f t="shared" si="4"/>
        <v>1.2451799484015857</v>
      </c>
      <c r="P56" s="79">
        <f t="shared" si="5"/>
        <v>3.5912223596159441E-2</v>
      </c>
      <c r="Q56" s="79"/>
      <c r="R56" s="180">
        <f t="shared" si="7"/>
        <v>5.8871321850000003E-3</v>
      </c>
      <c r="S56" s="82">
        <f t="shared" si="8"/>
        <v>8.5643470832121052E-2</v>
      </c>
      <c r="T56" s="78">
        <f t="shared" si="9"/>
        <v>14.53911122824992</v>
      </c>
    </row>
    <row r="57" spans="1:20" s="1" customFormat="1" ht="11.25" customHeight="1" x14ac:dyDescent="0.2">
      <c r="A57" s="83">
        <v>54</v>
      </c>
      <c r="B57" s="83" t="s">
        <v>271</v>
      </c>
      <c r="C57" s="84">
        <v>7.3019999999999996</v>
      </c>
      <c r="D57" s="84">
        <v>0.35592759374999999</v>
      </c>
      <c r="E57" s="84">
        <v>2.8303318394158339</v>
      </c>
      <c r="F57" s="96">
        <v>2.2326830000000002</v>
      </c>
      <c r="G57" s="96">
        <v>-21.66394284075329</v>
      </c>
      <c r="H57" s="101">
        <f t="shared" si="10"/>
        <v>-26.340019960615617</v>
      </c>
      <c r="I57" s="78">
        <f t="shared" si="0"/>
        <v>0.68335214823863488</v>
      </c>
      <c r="J57" s="79">
        <f t="shared" si="1"/>
        <v>0.30576321555738156</v>
      </c>
      <c r="K57" s="79"/>
      <c r="L57" s="79"/>
      <c r="M57" s="79">
        <f t="shared" si="2"/>
        <v>0</v>
      </c>
      <c r="N57" s="180">
        <f t="shared" si="3"/>
        <v>0.122866778173</v>
      </c>
      <c r="O57" s="81">
        <f t="shared" si="4"/>
        <v>1.6826455515338266</v>
      </c>
      <c r="P57" s="79">
        <f t="shared" si="5"/>
        <v>4.8743850143796223E-2</v>
      </c>
      <c r="Q57" s="79"/>
      <c r="R57" s="180">
        <f t="shared" si="7"/>
        <v>8.4881612557500003E-3</v>
      </c>
      <c r="S57" s="82">
        <f t="shared" si="8"/>
        <v>0.11624433382292523</v>
      </c>
      <c r="T57" s="78">
        <f t="shared" si="9"/>
        <v>14.475075869908611</v>
      </c>
    </row>
    <row r="58" spans="1:20" s="1" customFormat="1" ht="11.25" customHeight="1" x14ac:dyDescent="0.2">
      <c r="A58" s="95">
        <v>55</v>
      </c>
      <c r="B58" s="95" t="s">
        <v>272</v>
      </c>
      <c r="C58" s="96">
        <v>6.7709999999999999</v>
      </c>
      <c r="D58" s="96">
        <v>0.25117374999999997</v>
      </c>
      <c r="E58" s="96">
        <v>0.25070560174866863</v>
      </c>
      <c r="F58" s="84">
        <v>1.2850071249999999</v>
      </c>
      <c r="G58" s="84">
        <v>-21.630310425977886</v>
      </c>
      <c r="H58" s="101">
        <f t="shared" si="10"/>
        <v>-26.306105033556097</v>
      </c>
      <c r="I58" s="78">
        <f t="shared" si="0"/>
        <v>-1.8962740894285304</v>
      </c>
      <c r="J58" s="79">
        <f t="shared" si="1"/>
        <v>0.1897809961600945</v>
      </c>
      <c r="K58" s="79"/>
      <c r="L58" s="79"/>
      <c r="M58" s="79">
        <f t="shared" si="2"/>
        <v>0</v>
      </c>
      <c r="N58" s="180">
        <f t="shared" si="3"/>
        <v>7.0715227095874994E-2</v>
      </c>
      <c r="O58" s="81">
        <f t="shared" si="4"/>
        <v>1.0443837999686161</v>
      </c>
      <c r="P58" s="79">
        <f t="shared" si="5"/>
        <v>3.7095517648796331E-2</v>
      </c>
      <c r="Q58" s="79"/>
      <c r="R58" s="180">
        <f t="shared" si="7"/>
        <v>5.9899915899999994E-3</v>
      </c>
      <c r="S58" s="82">
        <f t="shared" si="8"/>
        <v>8.8465390488849494E-2</v>
      </c>
      <c r="T58" s="78">
        <f t="shared" si="9"/>
        <v>11.805563669560177</v>
      </c>
    </row>
    <row r="59" spans="1:20" s="1" customFormat="1" ht="11.25" customHeight="1" x14ac:dyDescent="0.2">
      <c r="A59" s="83">
        <v>56</v>
      </c>
      <c r="B59" s="83" t="s">
        <v>273</v>
      </c>
      <c r="C59" s="84">
        <v>6.64</v>
      </c>
      <c r="D59" s="84">
        <v>0.28452378125</v>
      </c>
      <c r="E59" s="84">
        <v>-1.5833425907121335</v>
      </c>
      <c r="F59" s="96">
        <v>1.3086205</v>
      </c>
      <c r="G59" s="96">
        <v>-21.499122806335507</v>
      </c>
      <c r="H59" s="101">
        <f t="shared" si="10"/>
        <v>-26.173815437908722</v>
      </c>
      <c r="I59" s="78">
        <f t="shared" si="0"/>
        <v>-3.7303222818893325</v>
      </c>
      <c r="J59" s="79">
        <f t="shared" si="1"/>
        <v>0.19708140060240964</v>
      </c>
      <c r="K59" s="79"/>
      <c r="L59" s="79"/>
      <c r="M59" s="79">
        <f t="shared" si="2"/>
        <v>0</v>
      </c>
      <c r="N59" s="180">
        <f t="shared" si="3"/>
        <v>7.2014694735499998E-2</v>
      </c>
      <c r="O59" s="81">
        <f t="shared" si="4"/>
        <v>1.0845586556551206</v>
      </c>
      <c r="P59" s="79">
        <f t="shared" si="5"/>
        <v>4.2849967055722894E-2</v>
      </c>
      <c r="Q59" s="79"/>
      <c r="R59" s="180">
        <f t="shared" si="7"/>
        <v>6.7853231352500007E-3</v>
      </c>
      <c r="S59" s="82">
        <f t="shared" si="8"/>
        <v>0.10218860143448798</v>
      </c>
      <c r="T59" s="78">
        <f t="shared" si="9"/>
        <v>10.61330364082162</v>
      </c>
    </row>
    <row r="60" spans="1:20" s="1" customFormat="1" ht="11.25" customHeight="1" x14ac:dyDescent="0.2">
      <c r="A60" s="95">
        <v>57</v>
      </c>
      <c r="B60" s="95" t="s">
        <v>274</v>
      </c>
      <c r="C60" s="96">
        <v>6.7190000000000003</v>
      </c>
      <c r="D60" s="96">
        <v>0.32871662499999998</v>
      </c>
      <c r="E60" s="96">
        <v>0.91364924551795568</v>
      </c>
      <c r="F60" s="84">
        <v>1.389181</v>
      </c>
      <c r="G60" s="84">
        <v>-21.581916823573703</v>
      </c>
      <c r="H60" s="101">
        <f t="shared" si="10"/>
        <v>-26.25730492489172</v>
      </c>
      <c r="I60" s="78">
        <f t="shared" si="0"/>
        <v>-1.2333304456592433</v>
      </c>
      <c r="J60" s="79">
        <f t="shared" si="1"/>
        <v>0.20675413007888077</v>
      </c>
      <c r="K60" s="79"/>
      <c r="L60" s="79"/>
      <c r="M60" s="79">
        <f t="shared" si="2"/>
        <v>0</v>
      </c>
      <c r="N60" s="180">
        <f t="shared" si="3"/>
        <v>7.6448019610999993E-2</v>
      </c>
      <c r="O60" s="81">
        <f t="shared" si="4"/>
        <v>1.1377886532370887</v>
      </c>
      <c r="P60" s="79">
        <f t="shared" si="5"/>
        <v>4.8923444709034078E-2</v>
      </c>
      <c r="Q60" s="79"/>
      <c r="R60" s="180">
        <f t="shared" si="7"/>
        <v>7.8392340730000006E-3</v>
      </c>
      <c r="S60" s="82">
        <f t="shared" si="8"/>
        <v>0.11667263094210449</v>
      </c>
      <c r="T60" s="78">
        <f t="shared" si="9"/>
        <v>9.7519756265861908</v>
      </c>
    </row>
    <row r="61" spans="1:20" s="1" customFormat="1" ht="11.25" customHeight="1" x14ac:dyDescent="0.2">
      <c r="A61" s="83">
        <v>58</v>
      </c>
      <c r="B61" s="83" t="s">
        <v>275</v>
      </c>
      <c r="C61" s="84">
        <v>6.5339999999999998</v>
      </c>
      <c r="D61" s="84">
        <v>0.27567724999999998</v>
      </c>
      <c r="E61" s="84">
        <v>-1.2530816634189756</v>
      </c>
      <c r="F61" s="96">
        <v>0.89295731249999999</v>
      </c>
      <c r="G61" s="96">
        <v>-21.727727773259076</v>
      </c>
      <c r="H61" s="101">
        <f t="shared" si="10"/>
        <v>-26.404340686554452</v>
      </c>
      <c r="I61" s="78">
        <f t="shared" si="0"/>
        <v>-3.4000613545961746</v>
      </c>
      <c r="J61" s="79">
        <f t="shared" si="1"/>
        <v>0.13666319444444444</v>
      </c>
      <c r="K61" s="79"/>
      <c r="L61" s="79"/>
      <c r="M61" s="79">
        <f t="shared" si="2"/>
        <v>0</v>
      </c>
      <c r="N61" s="180">
        <f t="shared" si="3"/>
        <v>4.9140333864187494E-2</v>
      </c>
      <c r="O61" s="81">
        <f t="shared" si="4"/>
        <v>0.75207122534722215</v>
      </c>
      <c r="P61" s="79">
        <f t="shared" si="5"/>
        <v>4.2191192225283135E-2</v>
      </c>
      <c r="Q61" s="79"/>
      <c r="R61" s="180">
        <f t="shared" si="7"/>
        <v>6.5743510579999997E-3</v>
      </c>
      <c r="S61" s="82">
        <f t="shared" si="8"/>
        <v>0.10061755521885522</v>
      </c>
      <c r="T61" s="78">
        <f t="shared" si="9"/>
        <v>7.4745527627994663</v>
      </c>
    </row>
    <row r="62" spans="1:20" s="1" customFormat="1" ht="11.25" customHeight="1" x14ac:dyDescent="0.2">
      <c r="A62" s="95">
        <v>59</v>
      </c>
      <c r="B62" s="95" t="s">
        <v>276</v>
      </c>
      <c r="C62" s="96">
        <v>6.4</v>
      </c>
      <c r="D62" s="96">
        <v>0.26917390624999998</v>
      </c>
      <c r="E62" s="96">
        <v>-2.770731921257763</v>
      </c>
      <c r="F62" s="84">
        <v>0.78665712499999996</v>
      </c>
      <c r="G62" s="84">
        <v>-21.881838922595932</v>
      </c>
      <c r="H62" s="101">
        <f t="shared" si="10"/>
        <v>-26.559746369545739</v>
      </c>
      <c r="I62" s="78">
        <f t="shared" si="0"/>
        <v>-4.917711612434962</v>
      </c>
      <c r="J62" s="79">
        <f t="shared" si="1"/>
        <v>0.12291517578124998</v>
      </c>
      <c r="K62" s="79"/>
      <c r="L62" s="79"/>
      <c r="M62" s="79">
        <f t="shared" si="2"/>
        <v>0</v>
      </c>
      <c r="N62" s="180">
        <f t="shared" si="3"/>
        <v>4.3290528245874996E-2</v>
      </c>
      <c r="O62" s="81">
        <f t="shared" si="4"/>
        <v>0.6764145038417968</v>
      </c>
      <c r="P62" s="79">
        <f t="shared" si="5"/>
        <v>4.2058422851562492E-2</v>
      </c>
      <c r="Q62" s="79"/>
      <c r="R62" s="180">
        <f t="shared" si="7"/>
        <v>6.4192593162500002E-3</v>
      </c>
      <c r="S62" s="82">
        <f t="shared" si="8"/>
        <v>0.10030092681640623</v>
      </c>
      <c r="T62" s="78">
        <f t="shared" si="9"/>
        <v>6.7438509823535897</v>
      </c>
    </row>
    <row r="63" spans="1:20" s="1" customFormat="1" ht="11.25" customHeight="1" x14ac:dyDescent="0.2">
      <c r="A63" s="83">
        <v>60</v>
      </c>
      <c r="B63" s="83" t="s">
        <v>277</v>
      </c>
      <c r="C63" s="84">
        <v>6.5910000000000002</v>
      </c>
      <c r="D63" s="84">
        <v>0.28277137499999999</v>
      </c>
      <c r="E63" s="84">
        <v>-1.8786049730671328</v>
      </c>
      <c r="F63" s="96">
        <v>0.85142487499999997</v>
      </c>
      <c r="G63" s="96">
        <v>-21.671040417504905</v>
      </c>
      <c r="H63" s="101">
        <f>$B$26*G63+$D$26</f>
        <v>-26.347177157011945</v>
      </c>
      <c r="I63" s="78">
        <f>$B$27*E63+$D$27</f>
        <v>-4.0255846642443318</v>
      </c>
      <c r="J63" s="79">
        <f>(F63)/C63</f>
        <v>0.12917992338036716</v>
      </c>
      <c r="K63" s="79"/>
      <c r="L63" s="79"/>
      <c r="M63" s="79">
        <f>C63*(K63/100)</f>
        <v>0</v>
      </c>
      <c r="N63" s="180">
        <f>F63*$B$28+$D$28</f>
        <v>4.6854762296124994E-2</v>
      </c>
      <c r="O63" s="81">
        <f>N63/C63*100</f>
        <v>0.71089003635449843</v>
      </c>
      <c r="P63" s="79">
        <f>D63/C63</f>
        <v>4.29026513427401E-2</v>
      </c>
      <c r="Q63" s="79"/>
      <c r="R63" s="180">
        <f>D63*$B$29+$D$29</f>
        <v>6.7435317509999997E-3</v>
      </c>
      <c r="S63" s="82">
        <f>R63/C63*100</f>
        <v>0.10231424292216659</v>
      </c>
      <c r="T63" s="78">
        <f>N63/R63</f>
        <v>6.9481043503913051</v>
      </c>
    </row>
    <row r="64" spans="1:20" s="90" customFormat="1" ht="11.25" customHeight="1" x14ac:dyDescent="0.2">
      <c r="A64" s="185">
        <v>61</v>
      </c>
      <c r="B64" s="185" t="s">
        <v>61</v>
      </c>
      <c r="C64" s="186">
        <v>1.097</v>
      </c>
      <c r="D64" s="186">
        <v>1.350822</v>
      </c>
      <c r="E64" s="186">
        <v>3.3066780327957179</v>
      </c>
      <c r="F64" s="186">
        <v>8.9303600000000003</v>
      </c>
      <c r="G64" s="186">
        <v>-21.455165951538131</v>
      </c>
      <c r="H64" s="100">
        <f t="shared" si="10"/>
        <v>-26.129489345531049</v>
      </c>
      <c r="I64" s="86">
        <f t="shared" si="0"/>
        <v>1.1596983416185189</v>
      </c>
      <c r="J64" s="87">
        <f t="shared" si="1"/>
        <v>8.1407110300820431</v>
      </c>
      <c r="K64" s="87">
        <f t="shared" ref="K64" si="20">H$14</f>
        <v>44.65</v>
      </c>
      <c r="L64" s="87">
        <f t="shared" ref="L64" si="21">I$14</f>
        <v>2.83</v>
      </c>
      <c r="M64" s="87">
        <f t="shared" ref="M64:M65" si="22">C64*(K64/100)</f>
        <v>0.48981049999999998</v>
      </c>
      <c r="N64" s="179">
        <f t="shared" ref="N64:N65" si="23">F64*$B$28+$D$28</f>
        <v>0.49144664115999998</v>
      </c>
      <c r="O64" s="91">
        <f t="shared" ref="O64:O65" si="24">N64/C64*100</f>
        <v>44.799146869644488</v>
      </c>
      <c r="P64" s="87">
        <f t="shared" ref="P64:P65" si="25">D64/C64</f>
        <v>1.2313783044667275</v>
      </c>
      <c r="Q64" s="87">
        <f t="shared" ref="Q64" si="26">C64*(L64/100)</f>
        <v>3.1045100000000003E-2</v>
      </c>
      <c r="R64" s="179">
        <f t="shared" si="7"/>
        <v>3.2214403055999999E-2</v>
      </c>
      <c r="S64" s="89">
        <f t="shared" si="8"/>
        <v>2.9365909804922516</v>
      </c>
      <c r="T64" s="86">
        <f t="shared" si="9"/>
        <v>15.25549426775633</v>
      </c>
    </row>
    <row r="65" spans="1:20" s="126" customFormat="1" ht="11.25" customHeight="1" x14ac:dyDescent="0.2">
      <c r="A65" s="187">
        <v>62</v>
      </c>
      <c r="B65" s="187" t="s">
        <v>98</v>
      </c>
      <c r="C65" s="188">
        <v>1.8740000000000001</v>
      </c>
      <c r="D65" s="188">
        <v>0.30043550000000002</v>
      </c>
      <c r="E65" s="188">
        <v>-0.63555765086820148</v>
      </c>
      <c r="F65" s="188">
        <v>1.1409318749999999</v>
      </c>
      <c r="G65" s="188">
        <v>-14.379758788637751</v>
      </c>
      <c r="H65" s="121">
        <f t="shared" si="10"/>
        <v>-18.994648762462308</v>
      </c>
      <c r="I65" s="122">
        <f t="shared" si="0"/>
        <v>-2.7825373420454005</v>
      </c>
      <c r="J65" s="118">
        <f t="shared" si="1"/>
        <v>0.60882170490928489</v>
      </c>
      <c r="K65" s="118">
        <f>H$13</f>
        <v>3.3479999999999999</v>
      </c>
      <c r="L65" s="118"/>
      <c r="M65" s="118">
        <f t="shared" si="22"/>
        <v>6.2741519999999995E-2</v>
      </c>
      <c r="N65" s="181">
        <f t="shared" si="23"/>
        <v>6.2786622013124987E-2</v>
      </c>
      <c r="O65" s="124">
        <f t="shared" si="24"/>
        <v>3.3504067242862852</v>
      </c>
      <c r="P65" s="118">
        <f t="shared" si="25"/>
        <v>0.16031776947705442</v>
      </c>
      <c r="Q65" s="118"/>
      <c r="R65" s="181">
        <f t="shared" si="7"/>
        <v>7.164785804000001E-3</v>
      </c>
      <c r="S65" s="125">
        <f t="shared" si="8"/>
        <v>0.38232581664887944</v>
      </c>
      <c r="T65" s="122">
        <f t="shared" si="9"/>
        <v>8.7632238744767612</v>
      </c>
    </row>
    <row r="66" spans="1:20" s="1" customFormat="1" ht="11.25" customHeight="1" x14ac:dyDescent="0.2">
      <c r="A66" s="183">
        <v>63</v>
      </c>
      <c r="B66" s="183" t="s">
        <v>278</v>
      </c>
      <c r="C66" s="184">
        <v>6.7729999999999997</v>
      </c>
      <c r="D66" s="184">
        <v>0.28053112499999999</v>
      </c>
      <c r="E66" s="184">
        <v>-2.2158200831374764</v>
      </c>
      <c r="F66" s="184">
        <v>0.78485962499999995</v>
      </c>
      <c r="G66" s="184">
        <v>-21.735135196591038</v>
      </c>
      <c r="H66" s="101">
        <f t="shared" si="10"/>
        <v>-26.411810332242403</v>
      </c>
      <c r="I66" s="78">
        <f t="shared" si="0"/>
        <v>-4.3627997743146754</v>
      </c>
      <c r="J66" s="79">
        <f t="shared" si="1"/>
        <v>0.11588064742359368</v>
      </c>
      <c r="K66" s="79"/>
      <c r="L66" s="79"/>
      <c r="M66" s="79">
        <f t="shared" ref="M66" si="27">C66*(K66/100)</f>
        <v>0</v>
      </c>
      <c r="N66" s="180">
        <f t="shared" ref="N66" si="28">F66*$B$28+$D$28</f>
        <v>4.3191610023374995E-2</v>
      </c>
      <c r="O66" s="81">
        <f t="shared" ref="O66" si="29">N66/C66*100</f>
        <v>0.63770279083677828</v>
      </c>
      <c r="P66" s="79">
        <f t="shared" ref="P66" si="30">D66/C66</f>
        <v>4.1419035139524586E-2</v>
      </c>
      <c r="Q66" s="79"/>
      <c r="R66" s="180">
        <f t="shared" si="7"/>
        <v>6.6901062689999997E-3</v>
      </c>
      <c r="S66" s="82">
        <f t="shared" si="8"/>
        <v>9.877611500073824E-2</v>
      </c>
      <c r="T66" s="78">
        <f t="shared" si="9"/>
        <v>6.4560424433782631</v>
      </c>
    </row>
    <row r="67" spans="1:20" s="1" customFormat="1" ht="11.25" customHeight="1" x14ac:dyDescent="0.2">
      <c r="A67" s="183">
        <v>64</v>
      </c>
      <c r="B67" s="183" t="s">
        <v>279</v>
      </c>
      <c r="C67" s="184">
        <v>6.5720000000000001</v>
      </c>
      <c r="D67" s="184">
        <v>0.27674931250000001</v>
      </c>
      <c r="E67" s="184">
        <v>-0.71184539815427605</v>
      </c>
      <c r="F67" s="194">
        <v>0.77925562500000001</v>
      </c>
      <c r="G67" s="194">
        <v>-21.68380813427483</v>
      </c>
      <c r="H67" s="101">
        <f t="shared" si="10"/>
        <v>-26.360052122602738</v>
      </c>
      <c r="I67" s="78">
        <f t="shared" si="0"/>
        <v>-2.8588250893314751</v>
      </c>
      <c r="J67" s="79">
        <f t="shared" si="1"/>
        <v>0.11857206710286063</v>
      </c>
      <c r="K67" s="79"/>
      <c r="L67" s="79"/>
      <c r="M67" s="79">
        <f t="shared" si="2"/>
        <v>0</v>
      </c>
      <c r="N67" s="180">
        <f t="shared" si="3"/>
        <v>4.2883216299374999E-2</v>
      </c>
      <c r="O67" s="81">
        <f t="shared" si="4"/>
        <v>0.65251394247375227</v>
      </c>
      <c r="P67" s="79">
        <f t="shared" si="5"/>
        <v>4.2110364044430922E-2</v>
      </c>
      <c r="Q67" s="79"/>
      <c r="R67" s="180">
        <f t="shared" si="7"/>
        <v>6.5999176045000007E-3</v>
      </c>
      <c r="S67" s="82">
        <f t="shared" si="8"/>
        <v>0.10042479617315887</v>
      </c>
      <c r="T67" s="78">
        <f t="shared" si="9"/>
        <v>6.497538131405773</v>
      </c>
    </row>
    <row r="68" spans="1:20" s="1" customFormat="1" ht="11.25" customHeight="1" x14ac:dyDescent="0.2">
      <c r="A68" s="193">
        <v>65</v>
      </c>
      <c r="B68" s="193" t="s">
        <v>280</v>
      </c>
      <c r="C68" s="194">
        <v>6.633</v>
      </c>
      <c r="D68" s="194">
        <v>0.254711953125</v>
      </c>
      <c r="E68" s="194">
        <v>-1.8862337536467155</v>
      </c>
      <c r="F68" s="184">
        <v>0.68250650000000002</v>
      </c>
      <c r="G68" s="184">
        <v>-21.736801068373804</v>
      </c>
      <c r="H68" s="101">
        <f t="shared" si="10"/>
        <v>-26.413490197348143</v>
      </c>
      <c r="I68" s="78">
        <f t="shared" si="0"/>
        <v>-4.0332134448239145</v>
      </c>
      <c r="J68" s="79">
        <f t="shared" si="1"/>
        <v>0.1028955977687321</v>
      </c>
      <c r="K68" s="79"/>
      <c r="L68" s="79"/>
      <c r="M68" s="79">
        <f t="shared" si="2"/>
        <v>0</v>
      </c>
      <c r="N68" s="180">
        <f t="shared" si="3"/>
        <v>3.7559015201499998E-2</v>
      </c>
      <c r="O68" s="81">
        <f t="shared" si="4"/>
        <v>0.56624476408110958</v>
      </c>
      <c r="P68" s="79">
        <f t="shared" si="5"/>
        <v>3.840071658751696E-2</v>
      </c>
      <c r="Q68" s="79"/>
      <c r="R68" s="180">
        <f t="shared" si="7"/>
        <v>6.0743706581250006E-3</v>
      </c>
      <c r="S68" s="82">
        <f t="shared" si="8"/>
        <v>9.1578028917910448E-2</v>
      </c>
      <c r="T68" s="78">
        <f t="shared" si="9"/>
        <v>6.1831944929573135</v>
      </c>
    </row>
    <row r="69" spans="1:20" s="1" customFormat="1" ht="11.25" customHeight="1" x14ac:dyDescent="0.2">
      <c r="A69" s="183">
        <v>66</v>
      </c>
      <c r="B69" s="183" t="s">
        <v>281</v>
      </c>
      <c r="C69" s="184">
        <v>6.1260000000000003</v>
      </c>
      <c r="D69" s="184">
        <v>0.23064662499999999</v>
      </c>
      <c r="E69" s="184">
        <v>-2.3015174857858867</v>
      </c>
      <c r="F69" s="194">
        <v>0.40562156249999998</v>
      </c>
      <c r="G69" s="194">
        <v>-21.818832826013804</v>
      </c>
      <c r="H69" s="101">
        <f t="shared" si="10"/>
        <v>-26.49621102175232</v>
      </c>
      <c r="I69" s="78">
        <f t="shared" si="0"/>
        <v>-4.4484971769630857</v>
      </c>
      <c r="J69" s="79">
        <f t="shared" si="1"/>
        <v>6.6213118266405482E-2</v>
      </c>
      <c r="K69" s="79"/>
      <c r="L69" s="79"/>
      <c r="M69" s="79">
        <f t="shared" si="2"/>
        <v>0</v>
      </c>
      <c r="N69" s="180">
        <f t="shared" si="3"/>
        <v>2.2321760205937496E-2</v>
      </c>
      <c r="O69" s="81">
        <f t="shared" si="4"/>
        <v>0.3643774111318559</v>
      </c>
      <c r="P69" s="79">
        <f t="shared" si="5"/>
        <v>3.7650444825334639E-2</v>
      </c>
      <c r="Q69" s="79"/>
      <c r="R69" s="180">
        <f t="shared" si="7"/>
        <v>5.5004607129999997E-3</v>
      </c>
      <c r="S69" s="82">
        <f t="shared" si="8"/>
        <v>8.9788780819458042E-2</v>
      </c>
      <c r="T69" s="78">
        <f t="shared" si="9"/>
        <v>4.0581619196336396</v>
      </c>
    </row>
    <row r="70" spans="1:20" s="1" customFormat="1" ht="11.25" customHeight="1" x14ac:dyDescent="0.2">
      <c r="A70" s="193">
        <v>67</v>
      </c>
      <c r="B70" s="193" t="s">
        <v>282</v>
      </c>
      <c r="C70" s="194">
        <v>6.1479999999999997</v>
      </c>
      <c r="D70" s="194">
        <v>0.24006350000000001</v>
      </c>
      <c r="E70" s="194">
        <v>-1.0823738568279673</v>
      </c>
      <c r="F70" s="184">
        <v>0.46674500000000002</v>
      </c>
      <c r="G70" s="184">
        <v>-21.727327986258945</v>
      </c>
      <c r="H70" s="101">
        <f t="shared" si="10"/>
        <v>-26.40393754134352</v>
      </c>
      <c r="I70" s="78">
        <f t="shared" si="0"/>
        <v>-3.2293535480051663</v>
      </c>
      <c r="J70" s="79">
        <f t="shared" si="1"/>
        <v>7.5918184775536773E-2</v>
      </c>
      <c r="K70" s="79"/>
      <c r="L70" s="79"/>
      <c r="M70" s="79">
        <f t="shared" si="2"/>
        <v>0</v>
      </c>
      <c r="N70" s="180">
        <f t="shared" si="3"/>
        <v>2.5685444094999999E-2</v>
      </c>
      <c r="O70" s="81">
        <f t="shared" si="4"/>
        <v>0.41778536263825633</v>
      </c>
      <c r="P70" s="79">
        <f t="shared" si="5"/>
        <v>3.9047413793103454E-2</v>
      </c>
      <c r="Q70" s="79"/>
      <c r="R70" s="180">
        <f t="shared" si="7"/>
        <v>5.7250343480000007E-3</v>
      </c>
      <c r="S70" s="82">
        <f t="shared" si="8"/>
        <v>9.3120272413793115E-2</v>
      </c>
      <c r="T70" s="78">
        <f t="shared" si="9"/>
        <v>4.4865135357612349</v>
      </c>
    </row>
    <row r="71" spans="1:20" s="1" customFormat="1" ht="11.25" customHeight="1" x14ac:dyDescent="0.2">
      <c r="A71" s="183">
        <v>68</v>
      </c>
      <c r="B71" s="183" t="s">
        <v>283</v>
      </c>
      <c r="C71" s="184">
        <v>6.2679999999999998</v>
      </c>
      <c r="D71" s="184">
        <v>0.24673967187500001</v>
      </c>
      <c r="E71" s="184">
        <v>0.94757124979061302</v>
      </c>
      <c r="F71" s="194">
        <v>0.40853099999999998</v>
      </c>
      <c r="G71" s="194">
        <v>-21.758806317753745</v>
      </c>
      <c r="H71" s="101">
        <f t="shared" si="10"/>
        <v>-26.435680290822877</v>
      </c>
      <c r="I71" s="78">
        <f t="shared" si="0"/>
        <v>-1.199408441386586</v>
      </c>
      <c r="J71" s="79">
        <f t="shared" si="1"/>
        <v>6.5177249521378433E-2</v>
      </c>
      <c r="K71" s="79"/>
      <c r="L71" s="79"/>
      <c r="M71" s="79">
        <f t="shared" si="2"/>
        <v>0</v>
      </c>
      <c r="N71" s="180">
        <f t="shared" si="3"/>
        <v>2.2481869460999997E-2</v>
      </c>
      <c r="O71" s="81">
        <f t="shared" si="4"/>
        <v>0.35867692184109762</v>
      </c>
      <c r="P71" s="79">
        <f t="shared" si="5"/>
        <v>3.9364976368059988E-2</v>
      </c>
      <c r="Q71" s="79"/>
      <c r="R71" s="180">
        <f t="shared" si="7"/>
        <v>5.8842476948750009E-3</v>
      </c>
      <c r="S71" s="82">
        <f t="shared" si="8"/>
        <v>9.387759564254948E-2</v>
      </c>
      <c r="T71" s="78">
        <f t="shared" si="9"/>
        <v>3.8206871339867314</v>
      </c>
    </row>
    <row r="72" spans="1:20" s="1" customFormat="1" ht="11.25" customHeight="1" x14ac:dyDescent="0.2">
      <c r="A72" s="193">
        <v>69</v>
      </c>
      <c r="B72" s="193" t="s">
        <v>284</v>
      </c>
      <c r="C72" s="194">
        <v>6.2039999999999997</v>
      </c>
      <c r="D72" s="194">
        <v>0.23785371875</v>
      </c>
      <c r="E72" s="194">
        <v>3.2571345640275418</v>
      </c>
      <c r="F72" s="184">
        <v>0.36170765625000001</v>
      </c>
      <c r="G72" s="184">
        <v>-22.058474552336246</v>
      </c>
      <c r="H72" s="101">
        <f t="shared" si="10"/>
        <v>-26.73786573857587</v>
      </c>
      <c r="I72" s="78">
        <f t="shared" si="0"/>
        <v>1.1101548728503428</v>
      </c>
      <c r="J72" s="79">
        <f t="shared" si="1"/>
        <v>5.8302330149903291E-2</v>
      </c>
      <c r="K72" s="79"/>
      <c r="L72" s="79"/>
      <c r="M72" s="79">
        <f t="shared" si="2"/>
        <v>0</v>
      </c>
      <c r="N72" s="180">
        <f t="shared" si="3"/>
        <v>1.9905134031093751E-2</v>
      </c>
      <c r="O72" s="81">
        <f t="shared" si="4"/>
        <v>0.32084355304793277</v>
      </c>
      <c r="P72" s="79">
        <f t="shared" si="5"/>
        <v>3.8338768334945199E-2</v>
      </c>
      <c r="Q72" s="79"/>
      <c r="R72" s="180">
        <f t="shared" si="7"/>
        <v>5.6723354847500003E-3</v>
      </c>
      <c r="S72" s="82">
        <f t="shared" si="8"/>
        <v>9.1430294725177302E-2</v>
      </c>
      <c r="T72" s="78">
        <f t="shared" si="9"/>
        <v>3.5091602188566671</v>
      </c>
    </row>
    <row r="73" spans="1:20" s="1" customFormat="1" ht="11.25" customHeight="1" x14ac:dyDescent="0.2">
      <c r="A73" s="183">
        <v>70</v>
      </c>
      <c r="B73" s="183" t="s">
        <v>285</v>
      </c>
      <c r="C73" s="184">
        <v>6.3869999999999996</v>
      </c>
      <c r="D73" s="184">
        <v>0.21495342187499999</v>
      </c>
      <c r="E73" s="184">
        <v>12.198311191750966</v>
      </c>
      <c r="F73" s="194">
        <v>0.36149734374999998</v>
      </c>
      <c r="G73" s="194">
        <v>-22.46070324248031</v>
      </c>
      <c r="H73" s="101">
        <f t="shared" si="10"/>
        <v>-27.143473149717142</v>
      </c>
      <c r="I73" s="78">
        <f t="shared" si="0"/>
        <v>10.051331500573767</v>
      </c>
      <c r="J73" s="79">
        <f t="shared" si="1"/>
        <v>5.6598926530452481E-2</v>
      </c>
      <c r="K73" s="79"/>
      <c r="L73" s="79"/>
      <c r="M73" s="79">
        <f t="shared" si="2"/>
        <v>0</v>
      </c>
      <c r="N73" s="180">
        <f t="shared" si="3"/>
        <v>1.9893560323906247E-2</v>
      </c>
      <c r="O73" s="81">
        <f t="shared" si="4"/>
        <v>0.31146955258973302</v>
      </c>
      <c r="P73" s="79">
        <f t="shared" si="5"/>
        <v>3.3654833548614371E-2</v>
      </c>
      <c r="Q73" s="79"/>
      <c r="R73" s="180">
        <f t="shared" si="7"/>
        <v>5.1262092048750003E-3</v>
      </c>
      <c r="S73" s="82">
        <f t="shared" si="8"/>
        <v>8.0260047046735575E-2</v>
      </c>
      <c r="T73" s="78">
        <f t="shared" si="9"/>
        <v>3.8807546724756312</v>
      </c>
    </row>
    <row r="74" spans="1:20" s="90" customFormat="1" ht="11.25" customHeight="1" x14ac:dyDescent="0.2">
      <c r="A74" s="193">
        <v>71</v>
      </c>
      <c r="B74" s="193" t="s">
        <v>286</v>
      </c>
      <c r="C74" s="194">
        <v>6.3860000000000001</v>
      </c>
      <c r="D74" s="194">
        <v>0.2067196875</v>
      </c>
      <c r="E74" s="194">
        <v>16.461718246201464</v>
      </c>
      <c r="F74" s="184">
        <v>0.45211256249999998</v>
      </c>
      <c r="G74" s="184">
        <v>-21.965222510964939</v>
      </c>
      <c r="H74" s="101">
        <f t="shared" si="10"/>
        <v>-26.643830380057043</v>
      </c>
      <c r="I74" s="78">
        <f t="shared" si="0"/>
        <v>14.314738555024265</v>
      </c>
      <c r="J74" s="79">
        <f t="shared" si="1"/>
        <v>7.0797457328531155E-2</v>
      </c>
      <c r="K74" s="79"/>
      <c r="L74" s="79"/>
      <c r="M74" s="79">
        <f t="shared" si="2"/>
        <v>0</v>
      </c>
      <c r="N74" s="180">
        <f t="shared" si="3"/>
        <v>2.4880206426937498E-2</v>
      </c>
      <c r="O74" s="81">
        <f t="shared" si="4"/>
        <v>0.3896054874246398</v>
      </c>
      <c r="P74" s="79">
        <f t="shared" si="5"/>
        <v>3.2370762214218606E-2</v>
      </c>
      <c r="Q74" s="79"/>
      <c r="R74" s="180">
        <f t="shared" si="7"/>
        <v>4.9298511075000001E-3</v>
      </c>
      <c r="S74" s="82">
        <f t="shared" si="8"/>
        <v>7.7197793728468522E-2</v>
      </c>
      <c r="T74" s="78">
        <f t="shared" si="9"/>
        <v>5.0468474370526408</v>
      </c>
    </row>
    <row r="75" spans="1:20" s="1" customFormat="1" ht="11.25" customHeight="1" x14ac:dyDescent="0.2">
      <c r="A75" s="183">
        <v>72</v>
      </c>
      <c r="B75" s="183" t="s">
        <v>287</v>
      </c>
      <c r="C75" s="184">
        <v>7.0330000000000004</v>
      </c>
      <c r="D75" s="184">
        <v>0.32309637499999999</v>
      </c>
      <c r="E75" s="184">
        <v>81.338864280670947</v>
      </c>
      <c r="F75" s="194">
        <v>1.75674</v>
      </c>
      <c r="G75" s="194">
        <v>-21.824837962770996</v>
      </c>
      <c r="H75" s="101">
        <f t="shared" si="10"/>
        <v>-26.50226660165827</v>
      </c>
      <c r="I75" s="78">
        <f t="shared" si="0"/>
        <v>79.191884589493753</v>
      </c>
      <c r="J75" s="79">
        <f t="shared" si="1"/>
        <v>0.24978529788141615</v>
      </c>
      <c r="K75" s="79"/>
      <c r="L75" s="79"/>
      <c r="M75" s="79">
        <f t="shared" si="2"/>
        <v>0</v>
      </c>
      <c r="N75" s="180">
        <f t="shared" si="3"/>
        <v>9.6675158939999992E-2</v>
      </c>
      <c r="O75" s="81">
        <f t="shared" si="4"/>
        <v>1.3745934727712212</v>
      </c>
      <c r="P75" s="79">
        <f t="shared" si="5"/>
        <v>4.5940050476325892E-2</v>
      </c>
      <c r="Q75" s="79"/>
      <c r="R75" s="180">
        <f t="shared" si="7"/>
        <v>7.7052023510000003E-3</v>
      </c>
      <c r="S75" s="82">
        <f t="shared" si="8"/>
        <v>0.10955783237594199</v>
      </c>
      <c r="T75" s="78">
        <f t="shared" si="9"/>
        <v>12.546738493824662</v>
      </c>
    </row>
    <row r="76" spans="1:20" s="1" customFormat="1" ht="11.25" customHeight="1" x14ac:dyDescent="0.2">
      <c r="A76" s="193">
        <v>73</v>
      </c>
      <c r="B76" s="193" t="s">
        <v>288</v>
      </c>
      <c r="C76" s="194">
        <v>7.1630000000000003</v>
      </c>
      <c r="D76" s="194">
        <v>0.31457903124999997</v>
      </c>
      <c r="E76" s="194">
        <v>280.40764948125087</v>
      </c>
      <c r="F76" s="184">
        <v>1.737939125</v>
      </c>
      <c r="G76" s="184">
        <v>-21.745010790521526</v>
      </c>
      <c r="H76" s="101">
        <f>$B$26*G76+$D$26</f>
        <v>-26.421768881161906</v>
      </c>
      <c r="I76" s="78">
        <f>$B$27*E76+$D$27</f>
        <v>278.26066979007368</v>
      </c>
      <c r="J76" s="79">
        <f>(F76)/C76</f>
        <v>0.24262726860254083</v>
      </c>
      <c r="K76" s="79"/>
      <c r="L76" s="79"/>
      <c r="M76" s="79">
        <f t="shared" si="2"/>
        <v>0</v>
      </c>
      <c r="N76" s="180">
        <f t="shared" si="3"/>
        <v>9.5640527987874993E-2</v>
      </c>
      <c r="O76" s="81">
        <f t="shared" si="4"/>
        <v>1.3352021218466423</v>
      </c>
      <c r="P76" s="79">
        <f t="shared" si="5"/>
        <v>4.3917217820745494E-2</v>
      </c>
      <c r="Q76" s="79"/>
      <c r="R76" s="180">
        <f>D76*$B$29+$D$29</f>
        <v>7.5020807372500001E-3</v>
      </c>
      <c r="S76" s="82">
        <f>R76/C76*100</f>
        <v>0.10473378105891386</v>
      </c>
      <c r="T76" s="78">
        <f>N76/R76</f>
        <v>12.748533551897424</v>
      </c>
    </row>
    <row r="77" spans="1:20" s="1" customFormat="1" ht="11.25" customHeight="1" x14ac:dyDescent="0.2">
      <c r="A77" s="183">
        <v>74</v>
      </c>
      <c r="B77" s="183" t="s">
        <v>289</v>
      </c>
      <c r="C77" s="184">
        <v>6.7709999999999999</v>
      </c>
      <c r="D77" s="184">
        <v>0.32018321875</v>
      </c>
      <c r="E77" s="184">
        <v>818.29598265052516</v>
      </c>
      <c r="F77" s="194">
        <v>1.5757418750000001</v>
      </c>
      <c r="G77" s="194">
        <v>-21.492001373957013</v>
      </c>
      <c r="H77" s="101">
        <f t="shared" si="10"/>
        <v>-26.16663418549825</v>
      </c>
      <c r="I77" s="78">
        <f t="shared" si="0"/>
        <v>816.14900295934797</v>
      </c>
      <c r="J77" s="79">
        <f t="shared" si="1"/>
        <v>0.23271922537291392</v>
      </c>
      <c r="K77" s="79"/>
      <c r="L77" s="79"/>
      <c r="M77" s="79">
        <f t="shared" si="2"/>
        <v>0</v>
      </c>
      <c r="N77" s="180">
        <f t="shared" si="3"/>
        <v>8.6714651123125E-2</v>
      </c>
      <c r="O77" s="81">
        <f t="shared" si="4"/>
        <v>1.2806771691496825</v>
      </c>
      <c r="P77" s="79">
        <f t="shared" si="5"/>
        <v>4.728743446315168E-2</v>
      </c>
      <c r="Q77" s="79"/>
      <c r="R77" s="180">
        <f t="shared" si="7"/>
        <v>7.63572940075E-3</v>
      </c>
      <c r="S77" s="82">
        <f t="shared" si="8"/>
        <v>0.11277107370772411</v>
      </c>
      <c r="T77" s="78">
        <f t="shared" si="9"/>
        <v>11.356433232771145</v>
      </c>
    </row>
    <row r="78" spans="1:20" s="90" customFormat="1" ht="11.25" customHeight="1" x14ac:dyDescent="0.2">
      <c r="A78" s="185">
        <v>75</v>
      </c>
      <c r="B78" s="185" t="s">
        <v>84</v>
      </c>
      <c r="C78" s="186">
        <v>1.0029999999999999</v>
      </c>
      <c r="D78" s="186">
        <v>1.1740062499999999</v>
      </c>
      <c r="E78" s="186">
        <v>448.3387302576196</v>
      </c>
      <c r="F78" s="186">
        <v>8.1132124999999995</v>
      </c>
      <c r="G78" s="186">
        <v>-21.822879022756339</v>
      </c>
      <c r="H78" s="100">
        <f t="shared" si="10"/>
        <v>-26.500291206547491</v>
      </c>
      <c r="I78" s="86">
        <f t="shared" si="0"/>
        <v>446.19175056644241</v>
      </c>
      <c r="J78" s="87">
        <f t="shared" si="1"/>
        <v>8.0889456630109677</v>
      </c>
      <c r="K78" s="87">
        <f t="shared" ref="K78:L78" si="31">H$14</f>
        <v>44.65</v>
      </c>
      <c r="L78" s="87">
        <f t="shared" si="31"/>
        <v>2.83</v>
      </c>
      <c r="M78" s="87">
        <f t="shared" si="2"/>
        <v>0.44783949999999995</v>
      </c>
      <c r="N78" s="179">
        <f t="shared" si="3"/>
        <v>0.44647819708749992</v>
      </c>
      <c r="O78" s="91">
        <f t="shared" si="4"/>
        <v>44.514276878115652</v>
      </c>
      <c r="P78" s="87">
        <f t="shared" si="5"/>
        <v>1.1704947657028915</v>
      </c>
      <c r="Q78" s="87">
        <f t="shared" ref="Q78" si="32">C78*(L78/100)</f>
        <v>2.8384899999999998E-2</v>
      </c>
      <c r="R78" s="179">
        <f t="shared" si="7"/>
        <v>2.7997701050000001E-2</v>
      </c>
      <c r="S78" s="89">
        <f t="shared" si="8"/>
        <v>2.7913959172482556</v>
      </c>
      <c r="T78" s="86">
        <f t="shared" si="9"/>
        <v>15.946959226764795</v>
      </c>
    </row>
    <row r="79" spans="1:20" s="1" customFormat="1" ht="11.25" customHeight="1" x14ac:dyDescent="0.2">
      <c r="A79" s="183">
        <v>76</v>
      </c>
      <c r="B79" s="183" t="s">
        <v>62</v>
      </c>
      <c r="C79" s="184">
        <v>0.73699999999999999</v>
      </c>
      <c r="D79" s="184">
        <v>0.18576665625</v>
      </c>
      <c r="E79" s="184">
        <v>3133.4190055744671</v>
      </c>
      <c r="F79" s="194">
        <v>5.4673550000000004</v>
      </c>
      <c r="G79" s="194">
        <v>-20.254400489760222</v>
      </c>
      <c r="H79" s="101">
        <f t="shared" si="10"/>
        <v>-24.918637453874208</v>
      </c>
      <c r="I79" s="78">
        <f t="shared" si="0"/>
        <v>3131.2720258832896</v>
      </c>
      <c r="J79" s="79">
        <f t="shared" si="1"/>
        <v>7.4183921302578026</v>
      </c>
      <c r="K79" s="79"/>
      <c r="L79" s="79"/>
      <c r="M79" s="79">
        <f t="shared" si="2"/>
        <v>0</v>
      </c>
      <c r="N79" s="180">
        <f t="shared" si="3"/>
        <v>0.300874013005</v>
      </c>
      <c r="O79" s="81">
        <f t="shared" si="4"/>
        <v>40.824153732021713</v>
      </c>
      <c r="P79" s="79">
        <f t="shared" si="5"/>
        <v>0.25205787822252373</v>
      </c>
      <c r="Q79" s="79"/>
      <c r="R79" s="180">
        <f t="shared" si="7"/>
        <v>4.4301632182500005E-3</v>
      </c>
      <c r="S79" s="82">
        <f t="shared" si="8"/>
        <v>0.60110762798507478</v>
      </c>
      <c r="T79" s="78">
        <f t="shared" si="9"/>
        <v>67.914882179860413</v>
      </c>
    </row>
    <row r="80" spans="1:20" s="90" customFormat="1" ht="11.25" customHeight="1" x14ac:dyDescent="0.2">
      <c r="A80" s="193">
        <v>77</v>
      </c>
      <c r="B80" s="193" t="s">
        <v>63</v>
      </c>
      <c r="C80" s="194">
        <v>1.228</v>
      </c>
      <c r="D80" s="194">
        <v>0.184685203125</v>
      </c>
      <c r="E80" s="194">
        <v>3408.6184622950937</v>
      </c>
      <c r="F80" s="184">
        <v>9.1007619999999996</v>
      </c>
      <c r="G80" s="184">
        <v>-6.3577424246013683</v>
      </c>
      <c r="H80" s="101">
        <f t="shared" si="10"/>
        <v>-10.90524746096802</v>
      </c>
      <c r="I80" s="78">
        <f t="shared" si="0"/>
        <v>3406.4714826039162</v>
      </c>
      <c r="J80" s="79">
        <f t="shared" si="1"/>
        <v>7.4110439739413678</v>
      </c>
      <c r="K80" s="79"/>
      <c r="L80" s="79"/>
      <c r="M80" s="79">
        <f t="shared" si="2"/>
        <v>0</v>
      </c>
      <c r="N80" s="180">
        <f t="shared" si="3"/>
        <v>0.5008240336219999</v>
      </c>
      <c r="O80" s="81">
        <f t="shared" si="4"/>
        <v>40.783716092996734</v>
      </c>
      <c r="P80" s="79">
        <f t="shared" si="5"/>
        <v>0.15039511655130294</v>
      </c>
      <c r="Q80" s="79"/>
      <c r="R80" s="180">
        <f t="shared" si="7"/>
        <v>4.4043727241250006E-3</v>
      </c>
      <c r="S80" s="82">
        <f t="shared" si="8"/>
        <v>0.35866227395154732</v>
      </c>
      <c r="T80" s="78">
        <f t="shared" si="9"/>
        <v>113.7106382660874</v>
      </c>
    </row>
    <row r="81" spans="1:28" ht="11.25" customHeight="1" x14ac:dyDescent="0.2">
      <c r="A81" s="183">
        <v>78</v>
      </c>
      <c r="B81" s="183" t="s">
        <v>70</v>
      </c>
      <c r="C81" s="184">
        <v>1.0389999999999999</v>
      </c>
      <c r="D81" s="184">
        <v>0.19634764062499999</v>
      </c>
      <c r="E81" s="184">
        <v>6054.9635614720119</v>
      </c>
      <c r="F81" s="195">
        <v>3.4579035</v>
      </c>
      <c r="G81" s="195">
        <v>-13.66405939522938</v>
      </c>
      <c r="H81" s="101">
        <f t="shared" si="10"/>
        <v>-18.272937494149307</v>
      </c>
      <c r="I81" s="78">
        <f t="shared" si="0"/>
        <v>6052.8165817808349</v>
      </c>
      <c r="J81" s="79">
        <f t="shared" si="1"/>
        <v>3.3281073147256981</v>
      </c>
      <c r="K81" s="79"/>
      <c r="L81" s="79"/>
      <c r="M81" s="79">
        <f t="shared" si="2"/>
        <v>0</v>
      </c>
      <c r="N81" s="180">
        <f t="shared" si="3"/>
        <v>0.19029188750849999</v>
      </c>
      <c r="O81" s="81">
        <f t="shared" si="4"/>
        <v>18.31490736366699</v>
      </c>
      <c r="P81" s="79">
        <f t="shared" si="5"/>
        <v>0.18897751744465832</v>
      </c>
      <c r="Q81" s="79"/>
      <c r="R81" s="180">
        <f t="shared" si="7"/>
        <v>4.6824985336250003E-3</v>
      </c>
      <c r="S81" s="82">
        <f t="shared" si="8"/>
        <v>0.45067358360202125</v>
      </c>
      <c r="T81" s="78">
        <f t="shared" si="9"/>
        <v>40.638963609281419</v>
      </c>
      <c r="V81" s="1"/>
      <c r="W81" s="1"/>
      <c r="X81" s="1"/>
      <c r="Y81" s="1"/>
      <c r="Z81" s="1"/>
      <c r="AA81" s="1"/>
      <c r="AB81" s="1"/>
    </row>
    <row r="82" spans="1:28" ht="11.25" customHeight="1" x14ac:dyDescent="0.2">
      <c r="A82" s="196">
        <v>79</v>
      </c>
      <c r="B82" s="196" t="s">
        <v>86</v>
      </c>
      <c r="C82" s="195">
        <v>0</v>
      </c>
      <c r="D82" s="195">
        <v>0.196703171875</v>
      </c>
      <c r="E82" s="195">
        <v>6986.3382460705516</v>
      </c>
      <c r="H82" s="101">
        <f t="shared" si="10"/>
        <v>-4.4941000000000004</v>
      </c>
      <c r="I82" s="78">
        <f t="shared" si="0"/>
        <v>6984.1912663793746</v>
      </c>
      <c r="J82" s="79" t="e">
        <f t="shared" si="1"/>
        <v>#DIV/0!</v>
      </c>
      <c r="K82" s="79"/>
      <c r="L82" s="79">
        <v>0</v>
      </c>
      <c r="M82" s="79">
        <f t="shared" si="2"/>
        <v>0</v>
      </c>
      <c r="N82" s="180">
        <f t="shared" si="3"/>
        <v>0</v>
      </c>
      <c r="O82" s="81" t="e">
        <f t="shared" si="4"/>
        <v>#DIV/0!</v>
      </c>
      <c r="P82" s="79" t="e">
        <f t="shared" si="5"/>
        <v>#DIV/0!</v>
      </c>
      <c r="Q82" s="79">
        <f t="shared" ref="Q82" si="33">C82*(L82/100)</f>
        <v>0</v>
      </c>
      <c r="R82" s="180">
        <f t="shared" si="7"/>
        <v>4.6909772428750003E-3</v>
      </c>
      <c r="S82" s="82" t="e">
        <f t="shared" si="8"/>
        <v>#DIV/0!</v>
      </c>
      <c r="T82" s="78">
        <f t="shared" si="9"/>
        <v>0</v>
      </c>
      <c r="V82" s="1"/>
      <c r="W82" s="1"/>
      <c r="X82" s="1"/>
      <c r="Y82" s="1"/>
      <c r="Z82" s="1"/>
      <c r="AA82" s="1"/>
      <c r="AB82" s="1"/>
    </row>
    <row r="83" spans="1:28" ht="11.25" customHeight="1" x14ac:dyDescent="0.2">
      <c r="A83" s="110"/>
      <c r="B83" s="110"/>
      <c r="C83" s="85"/>
      <c r="D83" s="85"/>
      <c r="E83" s="85"/>
      <c r="V83" s="1"/>
      <c r="W83" s="1"/>
      <c r="X83" s="1"/>
      <c r="Y83" s="1"/>
      <c r="Z83" s="1"/>
      <c r="AA83" s="1"/>
      <c r="AB83" s="1"/>
    </row>
    <row r="84" spans="1:28" ht="11.25" customHeight="1" x14ac:dyDescent="0.25">
      <c r="A84" s="1" t="s">
        <v>83</v>
      </c>
      <c r="H84" s="101">
        <f>STDEV(H88:H95)</f>
        <v>0.12506259019746419</v>
      </c>
      <c r="I84" s="101">
        <f>STDEV(I88:I94)</f>
        <v>0.62110323416678737</v>
      </c>
      <c r="J84" s="79"/>
      <c r="K84" s="1"/>
      <c r="L84" s="1"/>
      <c r="M84" s="79"/>
      <c r="N84" s="80"/>
      <c r="O84" s="101">
        <f>STDEV(O88:O95)</f>
        <v>0.20399492065201136</v>
      </c>
      <c r="P84" s="79"/>
      <c r="Q84" s="79"/>
      <c r="R84" s="80"/>
      <c r="S84" s="101">
        <f>STDEV(S88:S95)</f>
        <v>5.2729207162680147E-2</v>
      </c>
      <c r="T84" s="101">
        <f>STDEV(T88:T95)</f>
        <v>0.2660583487708148</v>
      </c>
    </row>
    <row r="85" spans="1:28" ht="11.25" customHeight="1" x14ac:dyDescent="0.25">
      <c r="H85" s="102"/>
      <c r="I85" s="102"/>
      <c r="J85"/>
      <c r="K85" s="1"/>
      <c r="L85" s="1"/>
      <c r="O85" s="102"/>
      <c r="S85" s="102"/>
      <c r="T85" s="102"/>
      <c r="V85" s="1"/>
      <c r="W85" s="1"/>
      <c r="X85" s="1"/>
      <c r="Y85" s="1"/>
      <c r="Z85" s="1"/>
      <c r="AA85" s="1"/>
      <c r="AB85" s="1"/>
    </row>
    <row r="86" spans="1:28" s="90" customFormat="1" ht="11.25" customHeight="1" x14ac:dyDescent="0.2">
      <c r="A86" s="119">
        <v>51</v>
      </c>
      <c r="B86" s="119" t="s">
        <v>87</v>
      </c>
      <c r="C86" s="120">
        <v>1.6739999999999999</v>
      </c>
      <c r="D86" s="120">
        <v>0.13719737500000001</v>
      </c>
      <c r="E86" s="120">
        <v>0.89179377813586314</v>
      </c>
      <c r="F86" s="120">
        <v>0.97221393749999996</v>
      </c>
      <c r="G86" s="120">
        <v>-14.218362385235508</v>
      </c>
      <c r="H86" s="121">
        <f t="shared" ref="H86:H95" si="34">$B$26*G86+$D$26</f>
        <v>-18.831896629271487</v>
      </c>
      <c r="I86" s="122">
        <f t="shared" ref="I86:I94" si="35">$B$27*E86+$D$27</f>
        <v>-1.2551859130413359</v>
      </c>
      <c r="J86" s="118">
        <f t="shared" ref="J86:J95" si="36">(F86)/C86</f>
        <v>0.58077296146953405</v>
      </c>
      <c r="K86" s="118">
        <f>H$13</f>
        <v>3.3479999999999999</v>
      </c>
      <c r="L86" s="118"/>
      <c r="M86" s="118">
        <f t="shared" ref="M86:M95" si="37">C86*(K86/100)</f>
        <v>5.6045519999999988E-2</v>
      </c>
      <c r="N86" s="181">
        <f t="shared" ref="N86:N95" si="38">F86*$B$28+$D$28</f>
        <v>5.3501905194562493E-2</v>
      </c>
      <c r="O86" s="124">
        <f t="shared" ref="O86:O95" si="39">N86/C86*100</f>
        <v>3.1960516842629927</v>
      </c>
      <c r="P86" s="118">
        <f t="shared" ref="P86:P95" si="40">D86/C86</f>
        <v>8.1957810633213862E-2</v>
      </c>
      <c r="Q86" s="118"/>
      <c r="R86" s="181">
        <f t="shared" ref="R86:R95" si="41">D86*$B$29+$D$29</f>
        <v>3.2718829990000006E-3</v>
      </c>
      <c r="S86" s="125">
        <f t="shared" ref="S86:S95" si="42">R86/C86*100</f>
        <v>0.19545298679808845</v>
      </c>
      <c r="T86" s="122">
        <f t="shared" ref="T86:T95" si="43">N86/R86</f>
        <v>16.352022737645115</v>
      </c>
      <c r="U86" s="126"/>
      <c r="V86" s="126"/>
      <c r="W86" s="126"/>
      <c r="X86" s="126"/>
      <c r="Y86" s="126"/>
      <c r="Z86" s="126"/>
      <c r="AA86" s="126"/>
      <c r="AB86" s="126"/>
    </row>
    <row r="87" spans="1:28" s="90" customFormat="1" ht="11.25" customHeight="1" x14ac:dyDescent="0.2">
      <c r="A87" s="187">
        <v>62</v>
      </c>
      <c r="B87" s="187" t="s">
        <v>98</v>
      </c>
      <c r="C87" s="188">
        <v>1.8740000000000001</v>
      </c>
      <c r="D87" s="188">
        <v>0.30043550000000002</v>
      </c>
      <c r="E87" s="188">
        <v>-0.63555765086820148</v>
      </c>
      <c r="F87" s="188">
        <v>1.1409318749999999</v>
      </c>
      <c r="G87" s="188">
        <v>-14.379758788637751</v>
      </c>
      <c r="H87" s="121">
        <f t="shared" si="34"/>
        <v>-18.994648762462308</v>
      </c>
      <c r="I87" s="122">
        <f t="shared" si="35"/>
        <v>-2.7825373420454005</v>
      </c>
      <c r="J87" s="118">
        <f t="shared" si="36"/>
        <v>0.60882170490928489</v>
      </c>
      <c r="K87" s="118">
        <f>H$13</f>
        <v>3.3479999999999999</v>
      </c>
      <c r="L87" s="118"/>
      <c r="M87" s="118">
        <f t="shared" si="37"/>
        <v>6.2741519999999995E-2</v>
      </c>
      <c r="N87" s="181">
        <f t="shared" si="38"/>
        <v>6.2786622013124987E-2</v>
      </c>
      <c r="O87" s="124">
        <f t="shared" si="39"/>
        <v>3.3504067242862852</v>
      </c>
      <c r="P87" s="118">
        <f t="shared" si="40"/>
        <v>0.16031776947705442</v>
      </c>
      <c r="Q87" s="118"/>
      <c r="R87" s="181">
        <f t="shared" si="41"/>
        <v>7.164785804000001E-3</v>
      </c>
      <c r="S87" s="125">
        <f t="shared" si="42"/>
        <v>0.38232581664887944</v>
      </c>
      <c r="T87" s="122">
        <f t="shared" si="43"/>
        <v>8.7632238744767612</v>
      </c>
      <c r="U87" s="126"/>
      <c r="V87" s="126"/>
      <c r="W87" s="126"/>
      <c r="X87" s="126"/>
      <c r="Y87" s="126"/>
      <c r="Z87" s="126"/>
      <c r="AA87" s="126"/>
      <c r="AB87" s="126"/>
    </row>
    <row r="88" spans="1:28" s="90" customFormat="1" ht="11.25" customHeight="1" x14ac:dyDescent="0.2">
      <c r="A88" s="117">
        <v>30</v>
      </c>
      <c r="B88" s="117" t="s">
        <v>55</v>
      </c>
      <c r="C88" s="105">
        <v>1.06</v>
      </c>
      <c r="D88" s="105">
        <v>1.2651317500000001</v>
      </c>
      <c r="E88" s="105">
        <v>5.4123093061195782</v>
      </c>
      <c r="F88" s="105">
        <v>8.5791149999999998</v>
      </c>
      <c r="G88" s="105">
        <v>-21.777343421963984</v>
      </c>
      <c r="H88" s="100">
        <f t="shared" si="34"/>
        <v>-26.454373106708481</v>
      </c>
      <c r="I88" s="86">
        <f t="shared" si="35"/>
        <v>3.2653296149423792</v>
      </c>
      <c r="J88" s="87">
        <f t="shared" si="36"/>
        <v>8.0935047169811316</v>
      </c>
      <c r="K88" s="87">
        <f t="shared" ref="K88:L95" si="44">H$14</f>
        <v>44.65</v>
      </c>
      <c r="L88" s="87">
        <f t="shared" si="44"/>
        <v>2.83</v>
      </c>
      <c r="M88" s="87">
        <f t="shared" si="37"/>
        <v>0.47329000000000004</v>
      </c>
      <c r="N88" s="179">
        <f t="shared" si="38"/>
        <v>0.47211727756499994</v>
      </c>
      <c r="O88" s="91">
        <f t="shared" si="39"/>
        <v>44.539365808018857</v>
      </c>
      <c r="P88" s="87">
        <f t="shared" si="40"/>
        <v>1.1935205188679245</v>
      </c>
      <c r="Q88" s="87">
        <f t="shared" ref="Q88:Q95" si="45">C88*(L88/100)</f>
        <v>2.9998000000000004E-2</v>
      </c>
      <c r="R88" s="179">
        <f t="shared" si="41"/>
        <v>3.0170861974000002E-2</v>
      </c>
      <c r="S88" s="89">
        <f t="shared" si="42"/>
        <v>2.8463077333962263</v>
      </c>
      <c r="T88" s="86">
        <f t="shared" si="43"/>
        <v>15.648120294735067</v>
      </c>
    </row>
    <row r="89" spans="1:28" s="90" customFormat="1" ht="11.25" customHeight="1" x14ac:dyDescent="0.2">
      <c r="A89" s="117">
        <v>31</v>
      </c>
      <c r="B89" s="117" t="s">
        <v>56</v>
      </c>
      <c r="C89" s="105">
        <v>1.1060000000000001</v>
      </c>
      <c r="D89" s="105">
        <v>1.3158935</v>
      </c>
      <c r="E89" s="105">
        <v>4.0346172591059215</v>
      </c>
      <c r="F89" s="105">
        <v>9.0211749999999995</v>
      </c>
      <c r="G89" s="105">
        <v>-21.773362071757173</v>
      </c>
      <c r="H89" s="100">
        <f t="shared" si="34"/>
        <v>-26.450358313159931</v>
      </c>
      <c r="I89" s="86">
        <f t="shared" si="35"/>
        <v>1.8876375679287225</v>
      </c>
      <c r="J89" s="87">
        <f t="shared" si="36"/>
        <v>8.1565777576853513</v>
      </c>
      <c r="K89" s="87">
        <f t="shared" si="44"/>
        <v>44.65</v>
      </c>
      <c r="L89" s="87">
        <f t="shared" si="44"/>
        <v>2.83</v>
      </c>
      <c r="M89" s="87">
        <f t="shared" si="37"/>
        <v>0.49382900000000007</v>
      </c>
      <c r="N89" s="179">
        <f t="shared" si="38"/>
        <v>0.49644428142499997</v>
      </c>
      <c r="O89" s="91">
        <f t="shared" si="39"/>
        <v>44.886463058318256</v>
      </c>
      <c r="P89" s="87">
        <f t="shared" si="40"/>
        <v>1.1897771247739601</v>
      </c>
      <c r="Q89" s="87">
        <f t="shared" si="45"/>
        <v>3.1299800000000003E-2</v>
      </c>
      <c r="R89" s="179">
        <f t="shared" si="41"/>
        <v>3.1381428188E-2</v>
      </c>
      <c r="S89" s="89">
        <f t="shared" si="42"/>
        <v>2.83738048716094</v>
      </c>
      <c r="T89" s="86">
        <f t="shared" si="43"/>
        <v>15.819684128169673</v>
      </c>
    </row>
    <row r="90" spans="1:28" s="90" customFormat="1" ht="11.25" customHeight="1" x14ac:dyDescent="0.2">
      <c r="A90" s="117">
        <v>32</v>
      </c>
      <c r="B90" s="117" t="s">
        <v>57</v>
      </c>
      <c r="C90" s="105">
        <v>0.995</v>
      </c>
      <c r="D90" s="105">
        <v>1.1789458749999999</v>
      </c>
      <c r="E90" s="105">
        <v>4.1132785462960619</v>
      </c>
      <c r="F90" s="105">
        <v>8.1368480000000005</v>
      </c>
      <c r="G90" s="105">
        <v>-21.709258042749465</v>
      </c>
      <c r="H90" s="100">
        <f t="shared" si="34"/>
        <v>-26.385715810308557</v>
      </c>
      <c r="I90" s="86">
        <f t="shared" si="35"/>
        <v>1.9662988551188629</v>
      </c>
      <c r="J90" s="87">
        <f t="shared" si="36"/>
        <v>8.1777366834170859</v>
      </c>
      <c r="K90" s="87">
        <f t="shared" si="44"/>
        <v>44.65</v>
      </c>
      <c r="L90" s="87">
        <f t="shared" si="44"/>
        <v>2.83</v>
      </c>
      <c r="M90" s="87">
        <f t="shared" si="37"/>
        <v>0.44426749999999998</v>
      </c>
      <c r="N90" s="179">
        <f t="shared" si="38"/>
        <v>0.447778882288</v>
      </c>
      <c r="O90" s="91">
        <f t="shared" si="39"/>
        <v>45.002902742512561</v>
      </c>
      <c r="P90" s="87">
        <f t="shared" si="40"/>
        <v>1.1848702261306532</v>
      </c>
      <c r="Q90" s="87">
        <f t="shared" si="45"/>
        <v>2.8158500000000003E-2</v>
      </c>
      <c r="R90" s="179">
        <f t="shared" si="41"/>
        <v>2.8115501227E-2</v>
      </c>
      <c r="S90" s="89">
        <f t="shared" si="42"/>
        <v>2.8256785152763819</v>
      </c>
      <c r="T90" s="86">
        <f t="shared" si="43"/>
        <v>15.926405816944392</v>
      </c>
    </row>
    <row r="91" spans="1:28" s="90" customFormat="1" ht="11.25" customHeight="1" x14ac:dyDescent="0.2">
      <c r="A91" s="117">
        <v>33</v>
      </c>
      <c r="B91" s="117" t="s">
        <v>58</v>
      </c>
      <c r="C91" s="105">
        <v>0.99099999999999999</v>
      </c>
      <c r="D91" s="105">
        <v>1.1587054999999999</v>
      </c>
      <c r="E91" s="105">
        <v>4.160912989793264</v>
      </c>
      <c r="F91" s="105">
        <v>8.0358774999999998</v>
      </c>
      <c r="G91" s="105">
        <v>-21.66727788897915</v>
      </c>
      <c r="H91" s="100">
        <f t="shared" si="34"/>
        <v>-26.343383023246574</v>
      </c>
      <c r="I91" s="86">
        <f t="shared" si="35"/>
        <v>2.013933298616065</v>
      </c>
      <c r="J91" s="87">
        <f t="shared" si="36"/>
        <v>8.1088572149344103</v>
      </c>
      <c r="K91" s="87">
        <f t="shared" si="44"/>
        <v>44.65</v>
      </c>
      <c r="L91" s="87">
        <f t="shared" si="44"/>
        <v>2.83</v>
      </c>
      <c r="M91" s="87">
        <f t="shared" si="37"/>
        <v>0.44248150000000003</v>
      </c>
      <c r="N91" s="179">
        <f t="shared" si="38"/>
        <v>0.44222237470249998</v>
      </c>
      <c r="O91" s="91">
        <f t="shared" si="39"/>
        <v>44.623852139505551</v>
      </c>
      <c r="P91" s="87">
        <f t="shared" si="40"/>
        <v>1.169228557013118</v>
      </c>
      <c r="Q91" s="87">
        <f t="shared" si="45"/>
        <v>2.8045300000000002E-2</v>
      </c>
      <c r="R91" s="179">
        <f t="shared" si="41"/>
        <v>2.7632808764E-2</v>
      </c>
      <c r="S91" s="89">
        <f t="shared" si="42"/>
        <v>2.788376262764884</v>
      </c>
      <c r="T91" s="86">
        <f t="shared" si="43"/>
        <v>16.003526043238388</v>
      </c>
    </row>
    <row r="92" spans="1:28" s="126" customFormat="1" ht="11.25" customHeight="1" x14ac:dyDescent="0.2">
      <c r="A92" s="117">
        <v>37</v>
      </c>
      <c r="B92" s="117" t="s">
        <v>59</v>
      </c>
      <c r="C92" s="105">
        <v>1.242</v>
      </c>
      <c r="D92" s="105">
        <v>1.4803314999999999</v>
      </c>
      <c r="E92" s="105">
        <v>4.2443203000168683</v>
      </c>
      <c r="F92" s="105">
        <v>10.048731</v>
      </c>
      <c r="G92" s="105">
        <v>-21.648294903392898</v>
      </c>
      <c r="H92" s="100">
        <f t="shared" si="34"/>
        <v>-26.324240580581396</v>
      </c>
      <c r="I92" s="86">
        <f t="shared" si="35"/>
        <v>2.0973406088396693</v>
      </c>
      <c r="J92" s="87">
        <f t="shared" si="36"/>
        <v>8.0907657004830913</v>
      </c>
      <c r="K92" s="87">
        <f t="shared" si="44"/>
        <v>44.65</v>
      </c>
      <c r="L92" s="87">
        <f t="shared" si="44"/>
        <v>2.83</v>
      </c>
      <c r="M92" s="87">
        <f t="shared" si="37"/>
        <v>0.55455299999999996</v>
      </c>
      <c r="N92" s="179">
        <f t="shared" si="38"/>
        <v>0.55299171566099992</v>
      </c>
      <c r="O92" s="91">
        <f t="shared" si="39"/>
        <v>44.524292726328497</v>
      </c>
      <c r="P92" s="87">
        <f t="shared" si="40"/>
        <v>1.1918933172302737</v>
      </c>
      <c r="Q92" s="87">
        <f t="shared" si="45"/>
        <v>3.5148600000000002E-2</v>
      </c>
      <c r="R92" s="179">
        <f t="shared" si="41"/>
        <v>3.5302945612000002E-2</v>
      </c>
      <c r="S92" s="89">
        <f t="shared" si="42"/>
        <v>2.842427182930757</v>
      </c>
      <c r="T92" s="86">
        <f t="shared" si="43"/>
        <v>15.664180596676038</v>
      </c>
      <c r="U92" s="90"/>
      <c r="V92" s="90"/>
      <c r="W92" s="90"/>
      <c r="X92" s="90"/>
      <c r="Y92" s="90"/>
      <c r="Z92" s="90"/>
      <c r="AA92" s="90"/>
      <c r="AB92" s="90"/>
    </row>
    <row r="93" spans="1:28" s="90" customFormat="1" ht="11.25" customHeight="1" x14ac:dyDescent="0.2">
      <c r="A93" s="117">
        <v>50</v>
      </c>
      <c r="B93" s="117" t="s">
        <v>82</v>
      </c>
      <c r="C93" s="105">
        <v>1.2250000000000001</v>
      </c>
      <c r="D93" s="105">
        <v>1.4196405000000001</v>
      </c>
      <c r="E93" s="105">
        <v>4.3167414041129781</v>
      </c>
      <c r="F93" s="105">
        <v>9.8926839999999991</v>
      </c>
      <c r="G93" s="105">
        <v>-21.550984476052964</v>
      </c>
      <c r="H93" s="100">
        <f t="shared" si="34"/>
        <v>-26.226112745651808</v>
      </c>
      <c r="I93" s="86">
        <f t="shared" si="35"/>
        <v>2.1697617129357791</v>
      </c>
      <c r="J93" s="87">
        <f t="shared" si="36"/>
        <v>8.0756604081632641</v>
      </c>
      <c r="K93" s="87">
        <f t="shared" si="44"/>
        <v>44.65</v>
      </c>
      <c r="L93" s="87">
        <f t="shared" si="44"/>
        <v>2.83</v>
      </c>
      <c r="M93" s="87">
        <f t="shared" si="37"/>
        <v>0.54696250000000002</v>
      </c>
      <c r="N93" s="179">
        <f t="shared" si="38"/>
        <v>0.54440429320399997</v>
      </c>
      <c r="O93" s="91">
        <f t="shared" si="39"/>
        <v>44.441166792163258</v>
      </c>
      <c r="P93" s="87">
        <f t="shared" si="40"/>
        <v>1.1588902040816327</v>
      </c>
      <c r="Q93" s="87">
        <f t="shared" si="45"/>
        <v>3.4667500000000004E-2</v>
      </c>
      <c r="R93" s="179">
        <f t="shared" si="41"/>
        <v>3.3855586644000006E-2</v>
      </c>
      <c r="S93" s="89">
        <f t="shared" si="42"/>
        <v>2.763721358693878</v>
      </c>
      <c r="T93" s="86">
        <f t="shared" si="43"/>
        <v>16.080190809527178</v>
      </c>
    </row>
    <row r="94" spans="1:28" s="126" customFormat="1" ht="11.25" customHeight="1" x14ac:dyDescent="0.2">
      <c r="A94" s="185">
        <v>61</v>
      </c>
      <c r="B94" s="185" t="s">
        <v>61</v>
      </c>
      <c r="C94" s="186">
        <v>1.097</v>
      </c>
      <c r="D94" s="186">
        <v>1.350822</v>
      </c>
      <c r="E94" s="186">
        <v>3.3066780327957179</v>
      </c>
      <c r="F94" s="186">
        <v>8.9303600000000003</v>
      </c>
      <c r="G94" s="186">
        <v>-21.455165951538131</v>
      </c>
      <c r="H94" s="100">
        <f t="shared" si="34"/>
        <v>-26.129489345531049</v>
      </c>
      <c r="I94" s="86">
        <f t="shared" si="35"/>
        <v>1.1596983416185189</v>
      </c>
      <c r="J94" s="87">
        <f t="shared" si="36"/>
        <v>8.1407110300820431</v>
      </c>
      <c r="K94" s="87">
        <f t="shared" si="44"/>
        <v>44.65</v>
      </c>
      <c r="L94" s="87">
        <f t="shared" si="44"/>
        <v>2.83</v>
      </c>
      <c r="M94" s="87">
        <f t="shared" si="37"/>
        <v>0.48981049999999998</v>
      </c>
      <c r="N94" s="179">
        <f t="shared" si="38"/>
        <v>0.49144664115999998</v>
      </c>
      <c r="O94" s="91">
        <f t="shared" si="39"/>
        <v>44.799146869644488</v>
      </c>
      <c r="P94" s="87">
        <f t="shared" si="40"/>
        <v>1.2313783044667275</v>
      </c>
      <c r="Q94" s="87">
        <f t="shared" si="45"/>
        <v>3.1045100000000003E-2</v>
      </c>
      <c r="R94" s="179">
        <f t="shared" si="41"/>
        <v>3.2214403055999999E-2</v>
      </c>
      <c r="S94" s="89">
        <f t="shared" si="42"/>
        <v>2.9365909804922516</v>
      </c>
      <c r="T94" s="86">
        <f t="shared" si="43"/>
        <v>15.25549426775633</v>
      </c>
      <c r="U94" s="90"/>
      <c r="V94" s="90"/>
      <c r="W94" s="90"/>
      <c r="X94" s="90"/>
      <c r="Y94" s="90"/>
      <c r="Z94" s="90"/>
      <c r="AA94" s="90"/>
      <c r="AB94" s="90"/>
    </row>
    <row r="95" spans="1:28" s="90" customFormat="1" ht="11.25" customHeight="1" x14ac:dyDescent="0.2">
      <c r="A95" s="185">
        <v>75</v>
      </c>
      <c r="B95" s="185" t="s">
        <v>84</v>
      </c>
      <c r="C95" s="186">
        <v>1.0029999999999999</v>
      </c>
      <c r="D95" s="186">
        <v>1.1740062499999999</v>
      </c>
      <c r="E95" s="186">
        <v>448.3387302576196</v>
      </c>
      <c r="F95" s="186">
        <v>8.1132124999999995</v>
      </c>
      <c r="G95" s="186">
        <v>-21.822879022756339</v>
      </c>
      <c r="H95" s="100">
        <f t="shared" si="34"/>
        <v>-26.500291206547491</v>
      </c>
      <c r="I95" s="86"/>
      <c r="J95" s="87">
        <f t="shared" si="36"/>
        <v>8.0889456630109677</v>
      </c>
      <c r="K95" s="87">
        <f t="shared" si="44"/>
        <v>44.65</v>
      </c>
      <c r="L95" s="87">
        <f t="shared" si="44"/>
        <v>2.83</v>
      </c>
      <c r="M95" s="87">
        <f t="shared" si="37"/>
        <v>0.44783949999999995</v>
      </c>
      <c r="N95" s="179">
        <f t="shared" si="38"/>
        <v>0.44647819708749992</v>
      </c>
      <c r="O95" s="91">
        <f t="shared" si="39"/>
        <v>44.514276878115652</v>
      </c>
      <c r="P95" s="87">
        <f t="shared" si="40"/>
        <v>1.1704947657028915</v>
      </c>
      <c r="Q95" s="87">
        <f t="shared" si="45"/>
        <v>2.8384899999999998E-2</v>
      </c>
      <c r="R95" s="179">
        <f t="shared" si="41"/>
        <v>2.7997701050000001E-2</v>
      </c>
      <c r="S95" s="89">
        <f t="shared" si="42"/>
        <v>2.7913959172482556</v>
      </c>
      <c r="T95" s="86">
        <f t="shared" si="43"/>
        <v>15.946959226764795</v>
      </c>
    </row>
    <row r="96" spans="1:28" s="90" customFormat="1" ht="11.25" customHeight="1" x14ac:dyDescent="0.2">
      <c r="A96" s="119"/>
      <c r="B96" s="119"/>
      <c r="C96" s="120"/>
      <c r="D96" s="120"/>
      <c r="E96" s="120"/>
      <c r="F96" s="120"/>
      <c r="G96" s="120"/>
      <c r="H96" s="121"/>
      <c r="I96" s="122"/>
      <c r="J96" s="118"/>
      <c r="K96" s="118"/>
      <c r="L96" s="118"/>
      <c r="M96" s="118"/>
      <c r="N96" s="181"/>
      <c r="O96" s="124"/>
      <c r="P96" s="118"/>
      <c r="Q96" s="118"/>
      <c r="R96" s="181"/>
      <c r="S96" s="125"/>
      <c r="T96" s="122"/>
      <c r="U96" s="126"/>
      <c r="V96" s="126"/>
      <c r="W96" s="126"/>
      <c r="X96" s="126"/>
      <c r="Y96" s="126"/>
      <c r="Z96" s="126"/>
      <c r="AA96" s="126"/>
      <c r="AB96" s="126"/>
    </row>
    <row r="97" spans="1:28" ht="11.25" customHeight="1" x14ac:dyDescent="0.2">
      <c r="A97" s="83"/>
      <c r="B97" s="111"/>
      <c r="C97" s="84"/>
      <c r="D97" s="84"/>
      <c r="E97" s="84"/>
      <c r="F97" s="84"/>
      <c r="G97" s="84"/>
      <c r="H97" s="102"/>
      <c r="I97" s="102"/>
      <c r="J97" s="106"/>
      <c r="K97" s="106"/>
      <c r="L97" s="106"/>
      <c r="M97" s="106"/>
      <c r="N97" s="107"/>
      <c r="O97" s="103"/>
      <c r="P97" s="106"/>
      <c r="Q97" s="106"/>
      <c r="R97" s="107"/>
      <c r="S97" s="104"/>
      <c r="T97" s="102"/>
      <c r="V97" s="1"/>
      <c r="W97" s="1"/>
      <c r="X97" s="1"/>
      <c r="Y97" s="1"/>
      <c r="Z97" s="1"/>
      <c r="AA97" s="1"/>
      <c r="AB97" s="1"/>
    </row>
    <row r="98" spans="1:28" ht="11.25" customHeight="1" x14ac:dyDescent="0.2">
      <c r="A98" s="92" t="s">
        <v>71</v>
      </c>
      <c r="B98" s="93" t="s">
        <v>40</v>
      </c>
      <c r="C98" s="92" t="s">
        <v>54</v>
      </c>
      <c r="D98" s="92" t="s">
        <v>72</v>
      </c>
      <c r="E98" s="94" t="s">
        <v>79</v>
      </c>
      <c r="F98" s="92" t="s">
        <v>72</v>
      </c>
      <c r="G98" s="94" t="s">
        <v>73</v>
      </c>
      <c r="J98" s="1"/>
      <c r="K98" s="1"/>
      <c r="L98" s="1"/>
      <c r="V98" s="1"/>
      <c r="W98" s="1"/>
      <c r="X98" s="1"/>
      <c r="Y98" s="1"/>
      <c r="Z98" s="1"/>
      <c r="AA98" s="1"/>
      <c r="AB98" s="1"/>
    </row>
    <row r="99" spans="1:28" ht="11.25" customHeight="1" x14ac:dyDescent="0.2">
      <c r="A99" s="97" t="s">
        <v>74</v>
      </c>
      <c r="B99" s="97" t="s">
        <v>75</v>
      </c>
      <c r="C99" s="98" t="s">
        <v>77</v>
      </c>
      <c r="D99" s="98" t="s">
        <v>76</v>
      </c>
      <c r="E99" s="98" t="s">
        <v>78</v>
      </c>
      <c r="F99" s="98" t="s">
        <v>76</v>
      </c>
      <c r="G99" s="98" t="s">
        <v>78</v>
      </c>
      <c r="J99" s="1"/>
      <c r="K99" s="1"/>
      <c r="L99" s="1"/>
      <c r="V99" s="1"/>
      <c r="W99" s="1"/>
      <c r="X99" s="1"/>
      <c r="Y99" s="1"/>
      <c r="Z99" s="1"/>
      <c r="AA99" s="1"/>
      <c r="AB99" s="1"/>
    </row>
    <row r="100" spans="1:28" ht="11.25" customHeight="1" x14ac:dyDescent="0.2">
      <c r="A100" s="95">
        <v>33</v>
      </c>
      <c r="B100" s="95" t="s">
        <v>85</v>
      </c>
      <c r="C100" s="96">
        <v>1.5680000000000001</v>
      </c>
      <c r="D100" s="96">
        <v>0.57160343749999998</v>
      </c>
      <c r="E100" s="96">
        <v>2.8799411243840556</v>
      </c>
      <c r="F100" s="96">
        <v>1.5817239999999999</v>
      </c>
      <c r="G100" s="96">
        <v>-21.848580214636076</v>
      </c>
      <c r="J100" s="1"/>
      <c r="K100" s="1"/>
      <c r="L100" s="1"/>
      <c r="V100" s="1"/>
      <c r="W100" s="1"/>
      <c r="X100" s="1"/>
      <c r="Y100" s="1"/>
      <c r="Z100" s="1"/>
      <c r="AA100" s="1"/>
      <c r="AB100" s="1"/>
    </row>
    <row r="101" spans="1:28" ht="11.25" customHeight="1" x14ac:dyDescent="0.2">
      <c r="A101" s="114"/>
      <c r="B101" s="114"/>
      <c r="C101" s="108"/>
      <c r="D101" s="108"/>
      <c r="E101" s="108"/>
      <c r="F101" s="108"/>
      <c r="J101" s="1"/>
      <c r="K101" s="1"/>
      <c r="L101" s="1"/>
      <c r="V101" s="1"/>
      <c r="W101" s="1"/>
      <c r="X101" s="1"/>
      <c r="Y101" s="1"/>
      <c r="Z101" s="1"/>
      <c r="AA101" s="1"/>
      <c r="AB101" s="1"/>
    </row>
    <row r="102" spans="1:28" ht="11.25" customHeight="1" x14ac:dyDescent="0.2">
      <c r="A102" s="92" t="s">
        <v>71</v>
      </c>
      <c r="B102" s="93" t="s">
        <v>40</v>
      </c>
      <c r="C102" s="92" t="s">
        <v>54</v>
      </c>
      <c r="D102" s="92" t="s">
        <v>72</v>
      </c>
      <c r="E102" s="94" t="s">
        <v>79</v>
      </c>
      <c r="F102" s="92" t="s">
        <v>72</v>
      </c>
      <c r="G102" s="94" t="s">
        <v>73</v>
      </c>
      <c r="J102" s="1"/>
      <c r="K102" s="1"/>
      <c r="L102" s="1"/>
      <c r="V102" s="1"/>
      <c r="W102" s="1"/>
      <c r="X102" s="1"/>
      <c r="Y102" s="1"/>
      <c r="Z102" s="1"/>
      <c r="AA102" s="1"/>
      <c r="AB102" s="1"/>
    </row>
    <row r="103" spans="1:28" ht="11.25" customHeight="1" x14ac:dyDescent="0.2">
      <c r="A103" s="97" t="s">
        <v>74</v>
      </c>
      <c r="B103" s="97" t="s">
        <v>75</v>
      </c>
      <c r="C103" s="98" t="s">
        <v>77</v>
      </c>
      <c r="D103" s="98" t="s">
        <v>76</v>
      </c>
      <c r="E103" s="98" t="s">
        <v>78</v>
      </c>
      <c r="F103" s="98" t="s">
        <v>76</v>
      </c>
      <c r="G103" s="98" t="s">
        <v>78</v>
      </c>
      <c r="J103" s="1"/>
      <c r="K103" s="1"/>
      <c r="L103" s="1"/>
      <c r="V103" s="1"/>
      <c r="W103" s="1"/>
      <c r="X103" s="1"/>
      <c r="Y103" s="1"/>
      <c r="Z103" s="1"/>
      <c r="AA103" s="1"/>
      <c r="AB103" s="1"/>
    </row>
    <row r="104" spans="1:28" ht="11.25" customHeight="1" x14ac:dyDescent="0.2">
      <c r="A104" s="83">
        <v>30</v>
      </c>
      <c r="B104" s="83" t="s">
        <v>55</v>
      </c>
      <c r="C104" s="84">
        <v>1.06</v>
      </c>
      <c r="D104" s="84">
        <v>1.2651317500000001</v>
      </c>
      <c r="E104" s="84">
        <v>5.4123093061195782</v>
      </c>
      <c r="F104" s="84">
        <v>8.5791149999999998</v>
      </c>
      <c r="G104" s="84">
        <v>-21.777343421963984</v>
      </c>
      <c r="J104" s="1"/>
      <c r="K104" s="1"/>
      <c r="L104" s="1"/>
      <c r="V104" s="1"/>
      <c r="W104" s="1"/>
      <c r="X104" s="1"/>
      <c r="Y104" s="1"/>
      <c r="Z104" s="1"/>
      <c r="AA104" s="1"/>
      <c r="AB104" s="1"/>
    </row>
    <row r="105" spans="1:28" ht="11.25" customHeight="1" x14ac:dyDescent="0.2">
      <c r="A105" s="95">
        <v>31</v>
      </c>
      <c r="B105" s="95" t="s">
        <v>56</v>
      </c>
      <c r="C105" s="96">
        <v>1.1060000000000001</v>
      </c>
      <c r="D105" s="96">
        <v>1.3158935</v>
      </c>
      <c r="E105" s="96">
        <v>4.0346172591059215</v>
      </c>
      <c r="F105" s="96">
        <v>9.0211749999999995</v>
      </c>
      <c r="G105" s="96">
        <v>-21.773362071757173</v>
      </c>
      <c r="J105" s="1"/>
      <c r="K105" s="1"/>
      <c r="L105" s="1"/>
      <c r="V105" s="1"/>
      <c r="W105" s="1"/>
      <c r="X105" s="1"/>
      <c r="Y105" s="1"/>
      <c r="Z105" s="1"/>
      <c r="AA105" s="1"/>
      <c r="AB105" s="1"/>
    </row>
    <row r="106" spans="1:28" ht="11.25" customHeight="1" x14ac:dyDescent="0.2">
      <c r="A106" s="83">
        <v>32</v>
      </c>
      <c r="B106" s="83" t="s">
        <v>57</v>
      </c>
      <c r="C106" s="84">
        <v>0.995</v>
      </c>
      <c r="D106" s="84">
        <v>1.1789458749999999</v>
      </c>
      <c r="E106" s="84">
        <v>4.1132785462960619</v>
      </c>
      <c r="F106" s="84">
        <v>8.1368480000000005</v>
      </c>
      <c r="G106" s="84">
        <v>-21.709258042749465</v>
      </c>
      <c r="J106" s="1"/>
      <c r="K106" s="1"/>
      <c r="L106" s="1"/>
      <c r="V106" s="1"/>
      <c r="W106" s="1"/>
      <c r="X106" s="1"/>
      <c r="Y106" s="1"/>
      <c r="Z106" s="1"/>
      <c r="AA106" s="1"/>
      <c r="AB106" s="1"/>
    </row>
    <row r="107" spans="1:28" ht="11.25" customHeight="1" x14ac:dyDescent="0.2">
      <c r="A107" s="95">
        <v>33</v>
      </c>
      <c r="B107" s="95" t="s">
        <v>58</v>
      </c>
      <c r="C107" s="96">
        <v>0.99099999999999999</v>
      </c>
      <c r="D107" s="96">
        <v>1.1587054999999999</v>
      </c>
      <c r="E107" s="96">
        <v>4.160912989793264</v>
      </c>
      <c r="F107" s="96">
        <v>8.0358774999999998</v>
      </c>
      <c r="G107" s="96">
        <v>-21.66727788897915</v>
      </c>
      <c r="J107" s="1"/>
      <c r="K107" s="1"/>
      <c r="L107" s="1"/>
      <c r="V107" s="1"/>
      <c r="W107" s="1"/>
      <c r="X107" s="1"/>
      <c r="Y107" s="1"/>
      <c r="Z107" s="1"/>
      <c r="AA107" s="1"/>
      <c r="AB107" s="1"/>
    </row>
    <row r="108" spans="1:28" ht="11.25" customHeight="1" x14ac:dyDescent="0.2">
      <c r="A108" s="83">
        <v>34</v>
      </c>
      <c r="B108" s="83" t="s">
        <v>60</v>
      </c>
      <c r="C108" s="84">
        <v>0.74</v>
      </c>
      <c r="D108" s="84">
        <v>1.667895703125E-2</v>
      </c>
      <c r="E108" s="84">
        <v>-29.790059308344663</v>
      </c>
      <c r="F108" s="96"/>
      <c r="G108" s="96"/>
      <c r="J108" s="1"/>
      <c r="K108" s="1"/>
      <c r="L108" s="1"/>
      <c r="V108" s="1"/>
      <c r="W108" s="1"/>
      <c r="X108" s="1"/>
      <c r="Y108" s="1"/>
      <c r="Z108" s="1"/>
      <c r="AA108" s="1"/>
      <c r="AB108" s="1"/>
    </row>
    <row r="109" spans="1:28" ht="11.25" customHeight="1" x14ac:dyDescent="0.2">
      <c r="A109" s="95">
        <v>35</v>
      </c>
      <c r="B109" s="95" t="s">
        <v>66</v>
      </c>
      <c r="C109" s="96">
        <v>1.073</v>
      </c>
      <c r="D109" s="96">
        <v>1.9766236328124999E-2</v>
      </c>
      <c r="E109" s="96">
        <v>-28.625241551090809</v>
      </c>
      <c r="F109" s="84">
        <v>7.9738745</v>
      </c>
      <c r="G109" s="84">
        <v>-6.1648825394996551</v>
      </c>
      <c r="J109" s="1"/>
      <c r="K109" s="1"/>
      <c r="L109" s="1"/>
      <c r="V109" s="1"/>
      <c r="W109" s="1"/>
      <c r="X109" s="1"/>
      <c r="Y109" s="1"/>
      <c r="Z109" s="1"/>
      <c r="AA109" s="1"/>
      <c r="AB109" s="1"/>
    </row>
    <row r="110" spans="1:28" ht="11.25" customHeight="1" x14ac:dyDescent="0.2">
      <c r="A110" s="83">
        <v>36</v>
      </c>
      <c r="B110" s="83" t="s">
        <v>65</v>
      </c>
      <c r="C110" s="84">
        <v>1.292</v>
      </c>
      <c r="D110" s="84">
        <v>2.6764701171874999E-2</v>
      </c>
      <c r="E110" s="84">
        <v>-22.207315746912926</v>
      </c>
      <c r="F110" s="96">
        <v>4.3766499999999997</v>
      </c>
      <c r="G110" s="96">
        <v>-13.682325596097039</v>
      </c>
      <c r="J110" s="1"/>
      <c r="K110" s="1"/>
      <c r="L110" s="1"/>
      <c r="V110" s="1"/>
      <c r="W110" s="1"/>
      <c r="X110" s="1"/>
      <c r="Y110" s="1"/>
      <c r="Z110" s="1"/>
      <c r="AA110" s="1"/>
      <c r="AB110" s="1"/>
    </row>
    <row r="111" spans="1:28" ht="11.25" customHeight="1" x14ac:dyDescent="0.2">
      <c r="A111" s="95">
        <v>37</v>
      </c>
      <c r="B111" s="95" t="s">
        <v>59</v>
      </c>
      <c r="C111" s="96">
        <v>1.242</v>
      </c>
      <c r="D111" s="96">
        <v>1.4803314999999999</v>
      </c>
      <c r="E111" s="96">
        <v>4.2443203000168683</v>
      </c>
      <c r="F111" s="84">
        <v>10.048731</v>
      </c>
      <c r="G111" s="84">
        <v>-21.648294903392898</v>
      </c>
      <c r="J111" s="1"/>
      <c r="K111" s="1"/>
      <c r="L111" s="1"/>
      <c r="V111" s="1"/>
      <c r="W111" s="1"/>
      <c r="X111" s="1"/>
      <c r="Y111" s="1"/>
      <c r="Z111" s="1"/>
      <c r="AA111" s="1"/>
      <c r="AB111" s="1"/>
    </row>
    <row r="112" spans="1:28" ht="11.25" customHeight="1" x14ac:dyDescent="0.2">
      <c r="A112" s="83">
        <v>38</v>
      </c>
      <c r="B112" s="83" t="s">
        <v>257</v>
      </c>
      <c r="C112" s="84">
        <v>6.1870000000000003</v>
      </c>
      <c r="D112" s="84">
        <v>8.4100007812500002E-2</v>
      </c>
      <c r="E112" s="84">
        <v>-4.0553714321766021</v>
      </c>
      <c r="F112" s="96">
        <v>0.43424131249999998</v>
      </c>
      <c r="G112" s="96">
        <v>-22.726958300292658</v>
      </c>
      <c r="J112" s="1"/>
      <c r="K112" s="1"/>
      <c r="L112" s="1"/>
      <c r="V112" s="1"/>
      <c r="W112" s="1"/>
      <c r="X112" s="1"/>
      <c r="Y112" s="1"/>
      <c r="Z112" s="1"/>
      <c r="AA112" s="1"/>
      <c r="AB112" s="1"/>
    </row>
    <row r="113" spans="1:28" ht="11.25" customHeight="1" x14ac:dyDescent="0.2">
      <c r="A113" s="95">
        <v>39</v>
      </c>
      <c r="B113" s="95" t="s">
        <v>258</v>
      </c>
      <c r="C113" s="96">
        <v>6.2690000000000001</v>
      </c>
      <c r="D113" s="96">
        <v>8.5355132812499998E-2</v>
      </c>
      <c r="E113" s="96">
        <v>-1.3931777596105643</v>
      </c>
      <c r="F113" s="84">
        <v>0.48080681250000001</v>
      </c>
      <c r="G113" s="84">
        <v>-25.746718433612113</v>
      </c>
      <c r="J113" s="1"/>
      <c r="K113" s="1"/>
      <c r="L113" s="1"/>
      <c r="V113" s="1"/>
      <c r="W113" s="1"/>
      <c r="X113" s="1"/>
      <c r="Y113" s="1"/>
      <c r="Z113" s="1"/>
      <c r="AA113" s="1"/>
      <c r="AB113" s="1"/>
    </row>
    <row r="114" spans="1:28" ht="11.25" customHeight="1" x14ac:dyDescent="0.2">
      <c r="A114" s="83">
        <v>40</v>
      </c>
      <c r="B114" s="83" t="s">
        <v>259</v>
      </c>
      <c r="C114" s="84">
        <v>6.3150000000000004</v>
      </c>
      <c r="D114" s="84">
        <v>6.9802429687500001E-2</v>
      </c>
      <c r="E114" s="84">
        <v>-0.38863200593364233</v>
      </c>
      <c r="F114" s="96">
        <v>0.40020387499999999</v>
      </c>
      <c r="G114" s="96">
        <v>-22.227519974917417</v>
      </c>
      <c r="J114" s="1"/>
      <c r="K114" s="1"/>
      <c r="L114" s="1"/>
      <c r="V114" s="1"/>
      <c r="W114" s="1"/>
      <c r="X114" s="1"/>
      <c r="Y114" s="1"/>
      <c r="Z114" s="1"/>
      <c r="AA114" s="1"/>
      <c r="AB114" s="1"/>
    </row>
    <row r="115" spans="1:28" ht="11.25" customHeight="1" x14ac:dyDescent="0.2">
      <c r="A115" s="95">
        <v>41</v>
      </c>
      <c r="B115" s="95" t="s">
        <v>260</v>
      </c>
      <c r="C115" s="96">
        <v>6.1289999999999996</v>
      </c>
      <c r="D115" s="96">
        <v>6.3852078125000003E-2</v>
      </c>
      <c r="E115" s="96">
        <v>9.697146521546296</v>
      </c>
      <c r="F115" s="84">
        <v>0.39675865625000001</v>
      </c>
      <c r="G115" s="84">
        <v>-23.965719085262414</v>
      </c>
      <c r="J115" s="1"/>
      <c r="K115" s="1"/>
      <c r="L115" s="1"/>
      <c r="V115" s="1"/>
      <c r="W115" s="1"/>
      <c r="X115" s="1"/>
      <c r="Y115" s="1"/>
      <c r="Z115" s="1"/>
      <c r="AA115" s="1"/>
      <c r="AB115" s="1"/>
    </row>
    <row r="116" spans="1:28" ht="11.25" customHeight="1" x14ac:dyDescent="0.2">
      <c r="A116" s="83">
        <v>42</v>
      </c>
      <c r="B116" s="83" t="s">
        <v>261</v>
      </c>
      <c r="C116" s="84">
        <v>6.2370000000000001</v>
      </c>
      <c r="D116" s="84">
        <v>6.0157003906249999E-2</v>
      </c>
      <c r="E116" s="84">
        <v>3.4659765640354667</v>
      </c>
      <c r="F116" s="96">
        <v>0.38226862499999997</v>
      </c>
      <c r="G116" s="96">
        <v>-23.529146414594205</v>
      </c>
      <c r="J116" s="1"/>
      <c r="K116" s="1"/>
      <c r="L116" s="1"/>
      <c r="V116" s="1"/>
      <c r="W116" s="1"/>
      <c r="X116" s="1"/>
      <c r="Y116" s="1"/>
      <c r="Z116" s="1"/>
      <c r="AA116" s="1"/>
      <c r="AB116" s="1"/>
    </row>
    <row r="117" spans="1:28" ht="11.25" customHeight="1" x14ac:dyDescent="0.2">
      <c r="A117" s="95">
        <v>43</v>
      </c>
      <c r="B117" s="95" t="s">
        <v>262</v>
      </c>
      <c r="C117" s="96">
        <v>6.0369999999999999</v>
      </c>
      <c r="D117" s="96">
        <v>5.4964132812499997E-2</v>
      </c>
      <c r="E117" s="96">
        <v>-5.8025974097498656</v>
      </c>
      <c r="F117" s="84">
        <v>0.31824203125</v>
      </c>
      <c r="G117" s="84">
        <v>-22.163881082975486</v>
      </c>
      <c r="J117" s="1"/>
      <c r="K117" s="1"/>
      <c r="L117" s="1"/>
      <c r="V117" s="1"/>
      <c r="W117" s="1"/>
      <c r="X117" s="1"/>
      <c r="Y117" s="1"/>
      <c r="Z117" s="1"/>
      <c r="AA117" s="1"/>
      <c r="AB117" s="1"/>
    </row>
    <row r="118" spans="1:28" ht="11.25" customHeight="1" x14ac:dyDescent="0.2">
      <c r="A118" s="83">
        <v>44</v>
      </c>
      <c r="B118" s="83" t="s">
        <v>263</v>
      </c>
      <c r="C118" s="84">
        <v>6.4050000000000002</v>
      </c>
      <c r="D118" s="84">
        <v>3.4379738281250002E-2</v>
      </c>
      <c r="E118" s="84">
        <v>-12.313799117750545</v>
      </c>
      <c r="F118" s="96">
        <v>0.250848953125</v>
      </c>
      <c r="G118" s="96">
        <v>-22.148719264685024</v>
      </c>
      <c r="J118" s="1"/>
      <c r="K118" s="1"/>
      <c r="L118" s="1"/>
      <c r="V118" s="1"/>
      <c r="W118" s="1"/>
      <c r="X118" s="1"/>
      <c r="Y118" s="1"/>
      <c r="Z118" s="1"/>
      <c r="AA118" s="1"/>
      <c r="AB118" s="1"/>
    </row>
    <row r="119" spans="1:28" ht="11.25" customHeight="1" x14ac:dyDescent="0.2">
      <c r="A119" s="95">
        <v>45</v>
      </c>
      <c r="B119" s="95" t="s">
        <v>264</v>
      </c>
      <c r="C119" s="96">
        <v>6.4180000000000001</v>
      </c>
      <c r="D119" s="96">
        <v>3.8789179687500001E-2</v>
      </c>
      <c r="E119" s="96">
        <v>-6.8850995491674949</v>
      </c>
      <c r="F119" s="84">
        <v>0.24809814062499999</v>
      </c>
      <c r="G119" s="84">
        <v>-22.282746248824207</v>
      </c>
      <c r="J119" s="1"/>
      <c r="K119" s="1"/>
      <c r="L119" s="1"/>
      <c r="V119" s="1"/>
      <c r="W119" s="1"/>
      <c r="X119" s="1"/>
      <c r="Y119" s="1"/>
      <c r="Z119" s="1"/>
      <c r="AA119" s="1"/>
      <c r="AB119" s="1"/>
    </row>
    <row r="120" spans="1:28" ht="11.25" customHeight="1" x14ac:dyDescent="0.2">
      <c r="A120" s="83">
        <v>46</v>
      </c>
      <c r="B120" s="83" t="s">
        <v>265</v>
      </c>
      <c r="C120" s="84">
        <v>6.2809999999999997</v>
      </c>
      <c r="D120" s="84">
        <v>4.8573132812500003E-2</v>
      </c>
      <c r="E120" s="84">
        <v>-9.049985296224472</v>
      </c>
      <c r="F120" s="96">
        <v>0.26938653125000001</v>
      </c>
      <c r="G120" s="96">
        <v>-22.410038656429087</v>
      </c>
      <c r="J120" s="1"/>
      <c r="K120" s="1"/>
      <c r="L120" s="1"/>
      <c r="V120" s="1"/>
      <c r="W120" s="1"/>
      <c r="X120" s="1"/>
      <c r="Y120" s="1"/>
      <c r="Z120" s="1"/>
      <c r="AA120" s="1"/>
      <c r="AB120" s="1"/>
    </row>
    <row r="121" spans="1:28" ht="11.25" customHeight="1" x14ac:dyDescent="0.2">
      <c r="A121" s="95">
        <v>47</v>
      </c>
      <c r="B121" s="95" t="s">
        <v>266</v>
      </c>
      <c r="C121" s="96">
        <v>6.5049999999999999</v>
      </c>
      <c r="D121" s="96">
        <v>0.10993427343749999</v>
      </c>
      <c r="E121" s="96">
        <v>-0.65225017507253291</v>
      </c>
      <c r="F121" s="84">
        <v>0.61288212500000006</v>
      </c>
      <c r="G121" s="84">
        <v>-22.004665351663277</v>
      </c>
      <c r="J121" s="1"/>
      <c r="K121" s="1"/>
      <c r="L121" s="1"/>
      <c r="V121" s="1"/>
      <c r="W121" s="1"/>
      <c r="X121" s="1"/>
      <c r="Y121" s="1"/>
      <c r="Z121" s="1"/>
      <c r="AA121" s="1"/>
      <c r="AB121" s="1"/>
    </row>
    <row r="122" spans="1:28" ht="11.25" customHeight="1" x14ac:dyDescent="0.2">
      <c r="A122" s="83">
        <v>48</v>
      </c>
      <c r="B122" s="83" t="s">
        <v>267</v>
      </c>
      <c r="C122" s="84">
        <v>6.593</v>
      </c>
      <c r="D122" s="84">
        <v>0.11516408593749999</v>
      </c>
      <c r="E122" s="84">
        <v>-0.53741349045621778</v>
      </c>
      <c r="F122" s="96">
        <v>0.60490693750000002</v>
      </c>
      <c r="G122" s="96">
        <v>-21.917363761723337</v>
      </c>
      <c r="J122" s="1"/>
      <c r="K122" s="1"/>
      <c r="L122" s="1"/>
      <c r="V122" s="1"/>
      <c r="W122" s="1"/>
      <c r="X122" s="1"/>
      <c r="Y122" s="1"/>
      <c r="Z122" s="1"/>
      <c r="AA122" s="1"/>
      <c r="AB122" s="1"/>
    </row>
    <row r="123" spans="1:28" ht="11.25" customHeight="1" x14ac:dyDescent="0.2">
      <c r="A123" s="95">
        <v>49</v>
      </c>
      <c r="B123" s="95" t="s">
        <v>268</v>
      </c>
      <c r="C123" s="96">
        <v>6.633</v>
      </c>
      <c r="D123" s="96">
        <v>0.11863416406250001</v>
      </c>
      <c r="E123" s="96">
        <v>-1.2013182032175607</v>
      </c>
      <c r="F123" s="84">
        <v>0.83405574999999998</v>
      </c>
      <c r="G123" s="84">
        <v>-21.893411414315366</v>
      </c>
      <c r="J123" s="1"/>
      <c r="K123" s="1"/>
      <c r="L123" s="1"/>
      <c r="V123" s="1"/>
      <c r="W123" s="1"/>
      <c r="X123" s="1"/>
      <c r="Y123" s="1"/>
      <c r="Z123" s="1"/>
      <c r="AA123" s="1"/>
      <c r="AB123" s="1"/>
    </row>
    <row r="124" spans="1:28" ht="11.25" customHeight="1" x14ac:dyDescent="0.2">
      <c r="A124" s="83">
        <v>50</v>
      </c>
      <c r="B124" s="83" t="s">
        <v>82</v>
      </c>
      <c r="C124" s="84">
        <v>1.2250000000000001</v>
      </c>
      <c r="D124" s="84">
        <v>1.4196405000000001</v>
      </c>
      <c r="E124" s="84">
        <v>4.3167414041129781</v>
      </c>
      <c r="F124" s="96">
        <v>9.8926839999999991</v>
      </c>
      <c r="G124" s="96">
        <v>-21.550984476052964</v>
      </c>
      <c r="J124" s="1"/>
      <c r="K124" s="1"/>
      <c r="L124" s="1"/>
      <c r="V124" s="1"/>
      <c r="W124" s="1"/>
      <c r="X124" s="1"/>
      <c r="Y124" s="1"/>
      <c r="Z124" s="1"/>
      <c r="AA124" s="1"/>
      <c r="AB124" s="1"/>
    </row>
    <row r="125" spans="1:28" ht="11.25" customHeight="1" x14ac:dyDescent="0.2">
      <c r="A125" s="95">
        <v>51</v>
      </c>
      <c r="B125" s="95" t="s">
        <v>87</v>
      </c>
      <c r="C125" s="96">
        <v>1.6739999999999999</v>
      </c>
      <c r="D125" s="96">
        <v>0.13719737500000001</v>
      </c>
      <c r="E125" s="96">
        <v>0.89179377813586314</v>
      </c>
      <c r="F125" s="84">
        <v>0.97221393749999996</v>
      </c>
      <c r="G125" s="84">
        <v>-14.218362385235508</v>
      </c>
      <c r="J125" s="1"/>
      <c r="K125" s="1"/>
      <c r="L125" s="1"/>
      <c r="V125" s="1"/>
      <c r="W125" s="1"/>
      <c r="X125" s="1"/>
      <c r="Y125" s="1"/>
      <c r="Z125" s="1"/>
      <c r="AA125" s="1"/>
      <c r="AB125" s="1"/>
    </row>
    <row r="126" spans="1:28" ht="11.25" customHeight="1" x14ac:dyDescent="0.2">
      <c r="A126" s="83">
        <v>52</v>
      </c>
      <c r="B126" s="83" t="s">
        <v>269</v>
      </c>
      <c r="C126" s="84">
        <v>7.0330000000000004</v>
      </c>
      <c r="D126" s="84">
        <v>0.32911340625000002</v>
      </c>
      <c r="E126" s="84">
        <v>3.8797426529959544</v>
      </c>
      <c r="F126" s="96">
        <v>2.1824314999999999</v>
      </c>
      <c r="G126" s="96">
        <v>-21.789124742618217</v>
      </c>
      <c r="J126" s="1"/>
      <c r="K126" s="1"/>
      <c r="L126" s="1"/>
      <c r="V126" s="1"/>
      <c r="W126" s="1"/>
      <c r="X126" s="1"/>
      <c r="Y126" s="1"/>
      <c r="Z126" s="1"/>
      <c r="AA126" s="1"/>
      <c r="AB126" s="1"/>
    </row>
    <row r="127" spans="1:28" ht="11.25" customHeight="1" x14ac:dyDescent="0.25">
      <c r="A127" s="95">
        <v>53</v>
      </c>
      <c r="B127" s="95" t="s">
        <v>270</v>
      </c>
      <c r="C127" s="96">
        <v>6.8739999999999997</v>
      </c>
      <c r="D127" s="96">
        <v>0.246860625</v>
      </c>
      <c r="E127" s="96">
        <v>3.3948684605791257</v>
      </c>
      <c r="F127" s="84">
        <v>1.5553718750000001</v>
      </c>
      <c r="G127" s="84">
        <v>-21.631220088021902</v>
      </c>
      <c r="H127"/>
      <c r="I127"/>
      <c r="J127" s="1"/>
      <c r="K127" s="1"/>
      <c r="L127" s="1"/>
      <c r="V127" s="1"/>
      <c r="W127" s="1"/>
      <c r="X127" s="1"/>
      <c r="Y127" s="1"/>
      <c r="Z127" s="1"/>
      <c r="AA127" s="1"/>
      <c r="AB127" s="1"/>
    </row>
    <row r="128" spans="1:28" ht="11.25" customHeight="1" x14ac:dyDescent="0.25">
      <c r="A128" s="83">
        <v>54</v>
      </c>
      <c r="B128" s="83" t="s">
        <v>271</v>
      </c>
      <c r="C128" s="84">
        <v>7.3019999999999996</v>
      </c>
      <c r="D128" s="84">
        <v>0.35592759374999999</v>
      </c>
      <c r="E128" s="84">
        <v>2.8303318394158339</v>
      </c>
      <c r="F128" s="96">
        <v>2.2326830000000002</v>
      </c>
      <c r="G128" s="96">
        <v>-21.66394284075329</v>
      </c>
      <c r="H128"/>
      <c r="I128"/>
      <c r="J128" s="1"/>
      <c r="K128" s="1"/>
      <c r="L128" s="1"/>
      <c r="V128" s="1"/>
      <c r="W128" s="1"/>
      <c r="X128" s="1"/>
      <c r="Y128" s="1"/>
      <c r="Z128" s="1"/>
      <c r="AA128" s="1"/>
      <c r="AB128" s="1"/>
    </row>
    <row r="129" spans="1:28" ht="11.25" customHeight="1" x14ac:dyDescent="0.25">
      <c r="A129" s="95">
        <v>55</v>
      </c>
      <c r="B129" s="95" t="s">
        <v>272</v>
      </c>
      <c r="C129" s="96">
        <v>6.7709999999999999</v>
      </c>
      <c r="D129" s="96">
        <v>0.25117374999999997</v>
      </c>
      <c r="E129" s="96">
        <v>0.25070560174866863</v>
      </c>
      <c r="F129" s="84">
        <v>1.2850071249999999</v>
      </c>
      <c r="G129" s="84">
        <v>-21.630310425977886</v>
      </c>
      <c r="H129"/>
      <c r="I129"/>
      <c r="J129" s="1"/>
      <c r="K129" s="1"/>
      <c r="L129" s="1"/>
      <c r="V129" s="1"/>
      <c r="W129" s="1"/>
      <c r="X129" s="1"/>
      <c r="Y129" s="1"/>
      <c r="Z129" s="1"/>
      <c r="AA129" s="1"/>
      <c r="AB129" s="1"/>
    </row>
    <row r="130" spans="1:28" ht="11.25" customHeight="1" x14ac:dyDescent="0.25">
      <c r="A130" s="83">
        <v>56</v>
      </c>
      <c r="B130" s="83" t="s">
        <v>273</v>
      </c>
      <c r="C130" s="84">
        <v>6.64</v>
      </c>
      <c r="D130" s="84">
        <v>0.28452378125</v>
      </c>
      <c r="E130" s="84">
        <v>-1.5833425907121335</v>
      </c>
      <c r="F130" s="96">
        <v>1.3086205</v>
      </c>
      <c r="G130" s="96">
        <v>-21.499122806335507</v>
      </c>
      <c r="H130"/>
      <c r="I130"/>
      <c r="J130" s="1"/>
      <c r="K130" s="1"/>
      <c r="L130" s="1"/>
      <c r="V130" s="1"/>
      <c r="W130" s="1"/>
      <c r="X130" s="1"/>
      <c r="Y130" s="1"/>
      <c r="Z130" s="1"/>
      <c r="AA130" s="1"/>
      <c r="AB130" s="1"/>
    </row>
    <row r="131" spans="1:28" ht="11.25" customHeight="1" x14ac:dyDescent="0.25">
      <c r="A131" s="95">
        <v>57</v>
      </c>
      <c r="B131" s="95" t="s">
        <v>274</v>
      </c>
      <c r="C131" s="96">
        <v>6.7190000000000003</v>
      </c>
      <c r="D131" s="96">
        <v>0.32871662499999998</v>
      </c>
      <c r="E131" s="96">
        <v>0.91364924551795568</v>
      </c>
      <c r="F131" s="84">
        <v>1.389181</v>
      </c>
      <c r="G131" s="84">
        <v>-21.581916823573703</v>
      </c>
      <c r="H131"/>
      <c r="I131"/>
      <c r="J131" s="1"/>
      <c r="K131" s="1"/>
      <c r="L131" s="1"/>
      <c r="V131" s="1"/>
      <c r="W131" s="1"/>
      <c r="X131" s="1"/>
      <c r="Y131" s="1"/>
      <c r="Z131" s="1"/>
      <c r="AA131" s="1"/>
      <c r="AB131" s="1"/>
    </row>
    <row r="132" spans="1:28" ht="11.25" customHeight="1" x14ac:dyDescent="0.25">
      <c r="A132" s="83">
        <v>58</v>
      </c>
      <c r="B132" s="83" t="s">
        <v>275</v>
      </c>
      <c r="C132" s="84">
        <v>6.5339999999999998</v>
      </c>
      <c r="D132" s="84">
        <v>0.27567724999999998</v>
      </c>
      <c r="E132" s="84">
        <v>-1.2530816634189756</v>
      </c>
      <c r="F132" s="96">
        <v>0.89295731249999999</v>
      </c>
      <c r="G132" s="96">
        <v>-21.727727773259076</v>
      </c>
      <c r="H132"/>
      <c r="I132"/>
      <c r="J132" s="1"/>
      <c r="K132" s="1"/>
      <c r="L132" s="1"/>
      <c r="V132" s="1"/>
      <c r="W132" s="1"/>
      <c r="X132" s="1"/>
      <c r="Y132" s="1"/>
      <c r="Z132" s="1"/>
      <c r="AA132" s="1"/>
      <c r="AB132" s="1"/>
    </row>
    <row r="133" spans="1:28" ht="11.25" customHeight="1" x14ac:dyDescent="0.25">
      <c r="A133" s="95">
        <v>59</v>
      </c>
      <c r="B133" s="95" t="s">
        <v>276</v>
      </c>
      <c r="C133" s="96">
        <v>6.4</v>
      </c>
      <c r="D133" s="96">
        <v>0.26917390624999998</v>
      </c>
      <c r="E133" s="96">
        <v>-2.770731921257763</v>
      </c>
      <c r="F133" s="84">
        <v>0.78665712499999996</v>
      </c>
      <c r="G133" s="84">
        <v>-21.881838922595932</v>
      </c>
      <c r="H133"/>
      <c r="I133"/>
      <c r="J133" s="1"/>
      <c r="K133" s="1"/>
      <c r="L133" s="1"/>
      <c r="V133" s="1"/>
      <c r="W133" s="1"/>
      <c r="X133" s="1"/>
      <c r="Y133" s="1"/>
      <c r="Z133" s="1"/>
      <c r="AA133" s="1"/>
      <c r="AB133" s="1"/>
    </row>
    <row r="134" spans="1:28" ht="11.25" customHeight="1" x14ac:dyDescent="0.25">
      <c r="A134" s="83">
        <v>60</v>
      </c>
      <c r="B134" s="83" t="s">
        <v>277</v>
      </c>
      <c r="C134" s="84">
        <v>6.5910000000000002</v>
      </c>
      <c r="D134" s="84">
        <v>0.28277137499999999</v>
      </c>
      <c r="E134" s="84">
        <v>-1.8786049730671328</v>
      </c>
      <c r="F134" s="96">
        <v>0.85142487499999997</v>
      </c>
      <c r="G134" s="96">
        <v>-21.671040417504905</v>
      </c>
      <c r="H134"/>
      <c r="I134"/>
      <c r="J134" s="1"/>
      <c r="K134" s="1"/>
      <c r="L134" s="1"/>
      <c r="V134" s="1"/>
      <c r="W134" s="1"/>
      <c r="X134" s="1"/>
      <c r="Y134" s="1"/>
      <c r="Z134" s="1"/>
      <c r="AA134" s="1"/>
      <c r="AB134" s="1"/>
    </row>
    <row r="135" spans="1:28" ht="11.25" customHeight="1" x14ac:dyDescent="0.25">
      <c r="A135" s="95">
        <v>61</v>
      </c>
      <c r="B135" s="95" t="s">
        <v>61</v>
      </c>
      <c r="C135" s="96">
        <v>1.097</v>
      </c>
      <c r="D135" s="96">
        <v>1.350822</v>
      </c>
      <c r="E135" s="96">
        <v>3.3066780327957179</v>
      </c>
      <c r="F135" s="84">
        <v>8.9303600000000003</v>
      </c>
      <c r="G135" s="84">
        <v>-21.455165951538131</v>
      </c>
      <c r="H135"/>
      <c r="I135"/>
      <c r="J135" s="1"/>
      <c r="K135" s="1"/>
      <c r="L135" s="1"/>
      <c r="V135" s="1"/>
      <c r="W135" s="1"/>
      <c r="X135" s="1"/>
      <c r="Y135" s="1"/>
      <c r="Z135" s="1"/>
      <c r="AA135" s="1"/>
      <c r="AB135" s="1"/>
    </row>
    <row r="136" spans="1:28" ht="11.25" customHeight="1" x14ac:dyDescent="0.25">
      <c r="A136" s="83">
        <v>62</v>
      </c>
      <c r="B136" s="83" t="s">
        <v>98</v>
      </c>
      <c r="C136" s="84">
        <v>1.8740000000000001</v>
      </c>
      <c r="D136" s="84">
        <v>0.30043550000000002</v>
      </c>
      <c r="E136" s="84">
        <v>-0.63555765086820148</v>
      </c>
      <c r="F136" s="96">
        <v>1.1409318749999999</v>
      </c>
      <c r="G136" s="96">
        <v>-14.379758788637751</v>
      </c>
      <c r="H136"/>
      <c r="I136"/>
      <c r="J136" s="1"/>
      <c r="K136" s="1"/>
      <c r="L136" s="1"/>
      <c r="V136" s="1"/>
      <c r="W136" s="1"/>
      <c r="X136" s="1"/>
      <c r="Y136" s="1"/>
      <c r="Z136" s="1"/>
      <c r="AA136" s="1"/>
      <c r="AB136" s="1"/>
    </row>
    <row r="137" spans="1:28" ht="11.25" customHeight="1" x14ac:dyDescent="0.25">
      <c r="A137" s="95">
        <v>63</v>
      </c>
      <c r="B137" s="95" t="s">
        <v>278</v>
      </c>
      <c r="C137" s="96">
        <v>6.7729999999999997</v>
      </c>
      <c r="D137" s="96">
        <v>0.28053112499999999</v>
      </c>
      <c r="E137" s="96">
        <v>-2.2158200831374764</v>
      </c>
      <c r="F137" s="84">
        <v>0.78485962499999995</v>
      </c>
      <c r="G137" s="84">
        <v>-21.735135196591038</v>
      </c>
      <c r="H137"/>
      <c r="I137"/>
      <c r="J137" s="1"/>
      <c r="K137" s="1"/>
      <c r="L137" s="1"/>
      <c r="V137" s="1"/>
      <c r="W137" s="1"/>
      <c r="X137" s="1"/>
      <c r="Y137" s="1"/>
      <c r="Z137" s="1"/>
      <c r="AA137" s="1"/>
      <c r="AB137" s="1"/>
    </row>
    <row r="138" spans="1:28" ht="11.25" customHeight="1" x14ac:dyDescent="0.25">
      <c r="A138" s="83">
        <v>64</v>
      </c>
      <c r="B138" s="83" t="s">
        <v>279</v>
      </c>
      <c r="C138" s="84">
        <v>6.5720000000000001</v>
      </c>
      <c r="D138" s="84">
        <v>0.27674931250000001</v>
      </c>
      <c r="E138" s="84">
        <v>-0.71184539815427605</v>
      </c>
      <c r="F138" s="96">
        <v>0.77925562500000001</v>
      </c>
      <c r="G138" s="96">
        <v>-21.68380813427483</v>
      </c>
      <c r="H138"/>
      <c r="I138"/>
      <c r="J138" s="1"/>
      <c r="K138" s="1"/>
      <c r="L138" s="1"/>
      <c r="V138" s="1"/>
      <c r="W138" s="1"/>
      <c r="X138" s="1"/>
      <c r="Y138" s="1"/>
      <c r="Z138" s="1"/>
      <c r="AA138" s="1"/>
      <c r="AB138" s="1"/>
    </row>
    <row r="139" spans="1:28" ht="11.25" customHeight="1" x14ac:dyDescent="0.25">
      <c r="A139" s="95">
        <v>65</v>
      </c>
      <c r="B139" s="95" t="s">
        <v>280</v>
      </c>
      <c r="C139" s="96">
        <v>6.633</v>
      </c>
      <c r="D139" s="96">
        <v>0.254711953125</v>
      </c>
      <c r="E139" s="96">
        <v>-1.8862337536467155</v>
      </c>
      <c r="F139" s="84">
        <v>0.68250650000000002</v>
      </c>
      <c r="G139" s="84">
        <v>-21.736801068373804</v>
      </c>
      <c r="H139"/>
      <c r="I139"/>
      <c r="J139" s="1"/>
      <c r="K139" s="1"/>
      <c r="L139" s="1"/>
      <c r="V139" s="1"/>
      <c r="W139" s="1"/>
      <c r="X139" s="1"/>
      <c r="Y139" s="1"/>
      <c r="Z139" s="1"/>
      <c r="AA139" s="1"/>
      <c r="AB139" s="1"/>
    </row>
    <row r="140" spans="1:28" ht="11.25" customHeight="1" x14ac:dyDescent="0.25">
      <c r="A140" s="83">
        <v>66</v>
      </c>
      <c r="B140" s="83" t="s">
        <v>281</v>
      </c>
      <c r="C140" s="84">
        <v>6.1260000000000003</v>
      </c>
      <c r="D140" s="84">
        <v>0.23064662499999999</v>
      </c>
      <c r="E140" s="84">
        <v>-2.3015174857858867</v>
      </c>
      <c r="F140" s="96">
        <v>0.40562156249999998</v>
      </c>
      <c r="G140" s="96">
        <v>-21.818832826013804</v>
      </c>
      <c r="H140"/>
      <c r="I140"/>
      <c r="J140" s="1"/>
      <c r="K140" s="1"/>
      <c r="L140" s="1"/>
      <c r="V140" s="1"/>
      <c r="W140" s="1"/>
      <c r="X140" s="1"/>
      <c r="Y140" s="1"/>
      <c r="Z140" s="1"/>
      <c r="AA140" s="1"/>
      <c r="AB140" s="1"/>
    </row>
    <row r="141" spans="1:28" ht="11.25" customHeight="1" x14ac:dyDescent="0.25">
      <c r="A141" s="95">
        <v>67</v>
      </c>
      <c r="B141" s="95" t="s">
        <v>282</v>
      </c>
      <c r="C141" s="96">
        <v>6.1479999999999997</v>
      </c>
      <c r="D141" s="96">
        <v>0.24006350000000001</v>
      </c>
      <c r="E141" s="96">
        <v>-1.0823738568279673</v>
      </c>
      <c r="F141" s="84">
        <v>0.46674500000000002</v>
      </c>
      <c r="G141" s="84">
        <v>-21.727327986258945</v>
      </c>
      <c r="H141"/>
      <c r="I141"/>
      <c r="J141" s="1"/>
      <c r="K141" s="1"/>
      <c r="L141" s="1"/>
      <c r="V141" s="1"/>
      <c r="W141" s="1"/>
      <c r="X141" s="1"/>
      <c r="Y141" s="1"/>
      <c r="Z141" s="1"/>
      <c r="AA141" s="1"/>
      <c r="AB141" s="1"/>
    </row>
    <row r="142" spans="1:28" ht="11.25" customHeight="1" x14ac:dyDescent="0.25">
      <c r="A142" s="83">
        <v>68</v>
      </c>
      <c r="B142" s="83" t="s">
        <v>283</v>
      </c>
      <c r="C142" s="84">
        <v>6.2679999999999998</v>
      </c>
      <c r="D142" s="84">
        <v>0.24673967187500001</v>
      </c>
      <c r="E142" s="84">
        <v>0.94757124979061302</v>
      </c>
      <c r="F142" s="96">
        <v>0.40853099999999998</v>
      </c>
      <c r="G142" s="96">
        <v>-21.758806317753745</v>
      </c>
      <c r="H142"/>
      <c r="I142"/>
      <c r="J142" s="1"/>
      <c r="K142" s="1"/>
      <c r="L142" s="1"/>
      <c r="V142" s="1"/>
      <c r="W142" s="1"/>
      <c r="X142" s="1"/>
      <c r="Y142" s="1"/>
      <c r="Z142" s="1"/>
      <c r="AA142" s="1"/>
      <c r="AB142" s="1"/>
    </row>
    <row r="143" spans="1:28" ht="11.25" customHeight="1" x14ac:dyDescent="0.25">
      <c r="A143" s="95">
        <v>69</v>
      </c>
      <c r="B143" s="95" t="s">
        <v>284</v>
      </c>
      <c r="C143" s="96">
        <v>6.2039999999999997</v>
      </c>
      <c r="D143" s="96">
        <v>0.23785371875</v>
      </c>
      <c r="E143" s="96">
        <v>3.2571345640275418</v>
      </c>
      <c r="F143" s="84">
        <v>0.36170765625000001</v>
      </c>
      <c r="G143" s="84">
        <v>-22.058474552336246</v>
      </c>
      <c r="H143"/>
      <c r="I143"/>
      <c r="J143" s="1"/>
      <c r="K143" s="1"/>
      <c r="L143" s="1"/>
      <c r="V143" s="1"/>
      <c r="W143" s="1"/>
      <c r="X143" s="1"/>
      <c r="Y143" s="1"/>
      <c r="Z143" s="1"/>
      <c r="AA143" s="1"/>
      <c r="AB143" s="1"/>
    </row>
    <row r="144" spans="1:28" ht="11.25" customHeight="1" x14ac:dyDescent="0.25">
      <c r="A144" s="83">
        <v>70</v>
      </c>
      <c r="B144" s="83" t="s">
        <v>285</v>
      </c>
      <c r="C144" s="84">
        <v>6.3869999999999996</v>
      </c>
      <c r="D144" s="84">
        <v>0.21495342187499999</v>
      </c>
      <c r="E144" s="84">
        <v>12.198311191750966</v>
      </c>
      <c r="F144" s="96">
        <v>0.36149734374999998</v>
      </c>
      <c r="G144" s="96">
        <v>-22.46070324248031</v>
      </c>
      <c r="I144"/>
      <c r="J144"/>
      <c r="K144"/>
      <c r="L144"/>
      <c r="M144"/>
      <c r="N144"/>
      <c r="O144"/>
      <c r="V144" s="1"/>
      <c r="W144" s="1"/>
      <c r="X144" s="1"/>
      <c r="Y144" s="1"/>
      <c r="Z144" s="1"/>
      <c r="AA144" s="1"/>
      <c r="AB144" s="1"/>
    </row>
    <row r="145" spans="1:28" ht="11.25" customHeight="1" x14ac:dyDescent="0.25">
      <c r="A145" s="95">
        <v>71</v>
      </c>
      <c r="B145" s="95" t="s">
        <v>286</v>
      </c>
      <c r="C145" s="96">
        <v>6.3860000000000001</v>
      </c>
      <c r="D145" s="96">
        <v>0.2067196875</v>
      </c>
      <c r="E145" s="96">
        <v>16.461718246201464</v>
      </c>
      <c r="F145" s="84">
        <v>0.45211256249999998</v>
      </c>
      <c r="G145" s="84">
        <v>-21.965222510964939</v>
      </c>
      <c r="I145"/>
      <c r="J145"/>
      <c r="K145"/>
      <c r="L145"/>
      <c r="M145"/>
      <c r="N145"/>
      <c r="O145"/>
      <c r="V145" s="1"/>
      <c r="W145" s="1"/>
      <c r="X145" s="1"/>
      <c r="Y145" s="1"/>
      <c r="Z145" s="1"/>
      <c r="AA145" s="1"/>
      <c r="AB145" s="1"/>
    </row>
    <row r="146" spans="1:28" ht="11.25" customHeight="1" x14ac:dyDescent="0.25">
      <c r="A146" s="83">
        <v>72</v>
      </c>
      <c r="B146" s="83" t="s">
        <v>287</v>
      </c>
      <c r="C146" s="84">
        <v>7.0330000000000004</v>
      </c>
      <c r="D146" s="84">
        <v>0.32309637499999999</v>
      </c>
      <c r="E146" s="84">
        <v>81.338864280670947</v>
      </c>
      <c r="F146" s="96">
        <v>1.75674</v>
      </c>
      <c r="G146" s="96">
        <v>-21.824837962770996</v>
      </c>
      <c r="I146"/>
      <c r="J146"/>
      <c r="K146"/>
      <c r="L146"/>
      <c r="M146"/>
      <c r="N146"/>
      <c r="O146"/>
      <c r="V146" s="1"/>
      <c r="W146" s="1"/>
      <c r="X146" s="1"/>
      <c r="Y146" s="1"/>
      <c r="Z146" s="1"/>
      <c r="AA146" s="1"/>
      <c r="AB146" s="1"/>
    </row>
    <row r="147" spans="1:28" ht="11.25" customHeight="1" x14ac:dyDescent="0.25">
      <c r="A147" s="95">
        <v>73</v>
      </c>
      <c r="B147" s="95" t="s">
        <v>288</v>
      </c>
      <c r="C147" s="96">
        <v>7.1630000000000003</v>
      </c>
      <c r="D147" s="96">
        <v>0.31457903124999997</v>
      </c>
      <c r="E147" s="96">
        <v>280.40764948125087</v>
      </c>
      <c r="F147" s="84">
        <v>1.737939125</v>
      </c>
      <c r="G147" s="84">
        <v>-21.745010790521526</v>
      </c>
      <c r="I147"/>
      <c r="J147"/>
      <c r="K147"/>
      <c r="L147"/>
      <c r="M147"/>
      <c r="N147"/>
      <c r="O147"/>
      <c r="V147" s="1"/>
      <c r="W147" s="1"/>
      <c r="X147" s="1"/>
      <c r="Y147" s="1"/>
      <c r="Z147" s="1"/>
      <c r="AA147" s="1"/>
      <c r="AB147" s="1"/>
    </row>
    <row r="148" spans="1:28" ht="11.25" customHeight="1" x14ac:dyDescent="0.25">
      <c r="A148" s="83">
        <v>74</v>
      </c>
      <c r="B148" s="83" t="s">
        <v>289</v>
      </c>
      <c r="C148" s="84">
        <v>6.7709999999999999</v>
      </c>
      <c r="D148" s="84">
        <v>0.32018321875</v>
      </c>
      <c r="E148" s="84">
        <v>818.29598265052516</v>
      </c>
      <c r="F148" s="96">
        <v>1.5757418750000001</v>
      </c>
      <c r="G148" s="96">
        <v>-21.492001373957013</v>
      </c>
      <c r="I148"/>
      <c r="J148"/>
      <c r="K148"/>
      <c r="L148"/>
      <c r="M148"/>
      <c r="N148"/>
      <c r="O148"/>
      <c r="V148" s="1"/>
      <c r="W148" s="1"/>
      <c r="X148" s="1"/>
      <c r="Y148" s="1"/>
      <c r="Z148" s="1"/>
      <c r="AA148" s="1"/>
      <c r="AB148" s="1"/>
    </row>
    <row r="149" spans="1:28" ht="11.25" customHeight="1" x14ac:dyDescent="0.25">
      <c r="A149" s="95">
        <v>75</v>
      </c>
      <c r="B149" s="95" t="s">
        <v>84</v>
      </c>
      <c r="C149" s="96">
        <v>1.0029999999999999</v>
      </c>
      <c r="D149" s="96">
        <v>1.1740062499999999</v>
      </c>
      <c r="E149" s="96">
        <v>448.3387302576196</v>
      </c>
      <c r="F149" s="84">
        <v>8.1132124999999995</v>
      </c>
      <c r="G149" s="84">
        <v>-21.822879022756339</v>
      </c>
      <c r="I149"/>
      <c r="J149"/>
      <c r="K149"/>
      <c r="L149"/>
      <c r="M149"/>
      <c r="N149"/>
      <c r="O149"/>
      <c r="V149" s="1"/>
      <c r="W149" s="1"/>
      <c r="X149" s="1"/>
      <c r="Y149" s="1"/>
      <c r="Z149" s="1"/>
      <c r="AA149" s="1"/>
      <c r="AB149" s="1"/>
    </row>
    <row r="150" spans="1:28" ht="11.25" customHeight="1" x14ac:dyDescent="0.25">
      <c r="A150" s="83">
        <v>76</v>
      </c>
      <c r="B150" s="83" t="s">
        <v>62</v>
      </c>
      <c r="C150" s="84">
        <v>0.73699999999999999</v>
      </c>
      <c r="D150" s="84">
        <v>0.18576665625</v>
      </c>
      <c r="E150" s="84">
        <v>3133.4190055744671</v>
      </c>
      <c r="F150" s="96">
        <v>5.4673550000000004</v>
      </c>
      <c r="G150" s="96">
        <v>-20.254400489760222</v>
      </c>
      <c r="I150"/>
      <c r="J150"/>
      <c r="K150"/>
      <c r="L150"/>
      <c r="M150"/>
      <c r="N150"/>
      <c r="O150"/>
      <c r="V150" s="1"/>
      <c r="W150" s="1"/>
      <c r="X150" s="1"/>
      <c r="Y150" s="1"/>
      <c r="Z150" s="1"/>
      <c r="AA150" s="1"/>
      <c r="AB150" s="1"/>
    </row>
    <row r="151" spans="1:28" ht="11.25" customHeight="1" x14ac:dyDescent="0.25">
      <c r="A151" s="95">
        <v>77</v>
      </c>
      <c r="B151" s="95" t="s">
        <v>63</v>
      </c>
      <c r="C151" s="96">
        <v>1.228</v>
      </c>
      <c r="D151" s="96">
        <v>0.184685203125</v>
      </c>
      <c r="E151" s="96">
        <v>3408.6184622950937</v>
      </c>
      <c r="F151" s="84">
        <v>9.1007619999999996</v>
      </c>
      <c r="G151" s="84">
        <v>-6.3577424246013683</v>
      </c>
      <c r="I151"/>
      <c r="J151"/>
      <c r="K151"/>
      <c r="L151"/>
      <c r="M151"/>
      <c r="N151"/>
      <c r="O151"/>
      <c r="V151" s="1"/>
      <c r="W151" s="1"/>
      <c r="X151" s="1"/>
      <c r="Y151" s="1"/>
      <c r="Z151" s="1"/>
      <c r="AA151" s="1"/>
      <c r="AB151" s="1"/>
    </row>
    <row r="152" spans="1:28" ht="11.25" customHeight="1" x14ac:dyDescent="0.25">
      <c r="A152" s="83">
        <v>78</v>
      </c>
      <c r="B152" s="83" t="s">
        <v>70</v>
      </c>
      <c r="C152" s="84">
        <v>1.0389999999999999</v>
      </c>
      <c r="D152" s="84">
        <v>0.19634764062499999</v>
      </c>
      <c r="E152" s="84">
        <v>6054.9635614720119</v>
      </c>
      <c r="F152" s="108">
        <v>3.4579035</v>
      </c>
      <c r="G152" s="108">
        <v>-13.66405939522938</v>
      </c>
      <c r="I152"/>
      <c r="J152"/>
      <c r="K152"/>
      <c r="L152"/>
      <c r="M152"/>
      <c r="N152"/>
      <c r="O152"/>
      <c r="V152" s="1"/>
      <c r="W152" s="1"/>
      <c r="X152" s="1"/>
      <c r="Y152" s="1"/>
      <c r="Z152" s="1"/>
      <c r="AA152" s="1"/>
      <c r="AB152" s="1"/>
    </row>
    <row r="153" spans="1:28" ht="11.25" customHeight="1" x14ac:dyDescent="0.25">
      <c r="A153" s="114">
        <v>79</v>
      </c>
      <c r="B153" s="114" t="s">
        <v>86</v>
      </c>
      <c r="C153" s="108">
        <v>0</v>
      </c>
      <c r="D153" s="108">
        <v>0.196703171875</v>
      </c>
      <c r="E153" s="108">
        <v>6986.3382460705516</v>
      </c>
      <c r="I153"/>
      <c r="J153"/>
      <c r="K153"/>
      <c r="L153"/>
      <c r="M153"/>
      <c r="N153"/>
      <c r="O153"/>
      <c r="V153" s="1"/>
      <c r="W153" s="1"/>
      <c r="X153" s="1"/>
      <c r="Y153" s="1"/>
      <c r="Z153" s="1"/>
      <c r="AA153" s="1"/>
      <c r="AB153" s="1"/>
    </row>
    <row r="154" spans="1:28" ht="11.25" customHeight="1" x14ac:dyDescent="0.25">
      <c r="J154" s="1"/>
      <c r="K154" s="1"/>
      <c r="L154" s="1"/>
    </row>
  </sheetData>
  <sortState xmlns:xlrd2="http://schemas.microsoft.com/office/spreadsheetml/2017/richdata2" ref="A86:AB95">
    <sortCondition ref="B86:B95"/>
  </sortState>
  <pageMargins left="0.7" right="0.7" top="0.75" bottom="0.75" header="0.3" footer="0.3"/>
  <pageSetup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B205"/>
  <sheetViews>
    <sheetView zoomScaleNormal="100" workbookViewId="0">
      <selection activeCell="A84" sqref="A32:XFD84"/>
    </sheetView>
  </sheetViews>
  <sheetFormatPr defaultColWidth="9.140625" defaultRowHeight="11.25" customHeight="1" x14ac:dyDescent="0.25"/>
  <cols>
    <col min="1" max="1" width="12" style="1" customWidth="1"/>
    <col min="2" max="2" width="25.28515625" style="1" customWidth="1"/>
    <col min="3" max="3" width="10.85546875" style="1" customWidth="1"/>
    <col min="4" max="4" width="8.28515625" style="1" customWidth="1"/>
    <col min="5" max="5" width="14" style="1" customWidth="1"/>
    <col min="6" max="6" width="10.7109375" style="1" customWidth="1"/>
    <col min="7" max="7" width="11.42578125" style="1" customWidth="1"/>
    <col min="8" max="8" width="9" style="1" customWidth="1"/>
    <col min="9" max="9" width="9.5703125" style="1" customWidth="1"/>
    <col min="10" max="10" width="11.42578125" style="5" customWidth="1"/>
    <col min="11" max="12" width="9.42578125" style="5" customWidth="1"/>
    <col min="13" max="14" width="10" style="1" customWidth="1"/>
    <col min="15" max="15" width="13" style="1" customWidth="1"/>
    <col min="16" max="16" width="9.140625" style="1"/>
    <col min="17" max="17" width="9.5703125" style="1" customWidth="1"/>
    <col min="18" max="18" width="9.140625" style="1"/>
    <col min="19" max="19" width="9.5703125" style="1" customWidth="1"/>
    <col min="20" max="21" width="9.140625" style="1"/>
    <col min="26" max="26" width="8.85546875" customWidth="1"/>
    <col min="27" max="28" width="8.7109375" customWidth="1"/>
    <col min="29" max="16384" width="9.140625" style="1"/>
  </cols>
  <sheetData>
    <row r="2" spans="1:19" s="1" customFormat="1" ht="45" customHeight="1" x14ac:dyDescent="0.65">
      <c r="B2" s="2" t="s">
        <v>0</v>
      </c>
      <c r="C2" s="2"/>
      <c r="D2" s="2"/>
      <c r="E2" s="2"/>
      <c r="F2" s="2"/>
      <c r="G2" s="3"/>
      <c r="H2" s="3"/>
      <c r="I2" s="3"/>
      <c r="J2" s="4"/>
      <c r="K2" s="4"/>
      <c r="L2" s="5"/>
    </row>
    <row r="3" spans="1:19" s="1" customFormat="1" ht="11.25" customHeight="1" x14ac:dyDescent="0.2">
      <c r="B3" s="6" t="s">
        <v>1</v>
      </c>
      <c r="C3" s="6"/>
      <c r="D3" s="6"/>
      <c r="E3" s="6"/>
      <c r="F3" s="6"/>
      <c r="G3" s="7">
        <v>45188</v>
      </c>
      <c r="J3" s="5"/>
      <c r="K3" s="5"/>
      <c r="L3" s="5"/>
    </row>
    <row r="4" spans="1:19" s="1" customFormat="1" ht="11.25" customHeight="1" x14ac:dyDescent="0.2">
      <c r="B4" s="6" t="s">
        <v>2</v>
      </c>
      <c r="C4" s="6"/>
      <c r="D4" s="6"/>
      <c r="E4" s="6"/>
      <c r="F4" s="6"/>
      <c r="G4" s="1" t="s">
        <v>3</v>
      </c>
      <c r="J4" s="5"/>
      <c r="K4" s="5"/>
      <c r="L4" s="5"/>
    </row>
    <row r="5" spans="1:19" s="1" customFormat="1" ht="11.25" customHeight="1" x14ac:dyDescent="0.25">
      <c r="B5" s="6" t="s">
        <v>4</v>
      </c>
      <c r="C5" s="6"/>
      <c r="D5" s="6"/>
      <c r="E5" s="6"/>
      <c r="F5" s="6"/>
      <c r="G5" s="8" t="s">
        <v>256</v>
      </c>
      <c r="J5" s="5"/>
      <c r="K5" s="5"/>
      <c r="L5" s="5"/>
      <c r="M5" s="9"/>
      <c r="N5" s="9"/>
    </row>
    <row r="6" spans="1:19" s="1" customFormat="1" ht="11.25" customHeight="1" x14ac:dyDescent="0.2">
      <c r="B6" s="6" t="s">
        <v>5</v>
      </c>
      <c r="C6" s="6"/>
      <c r="D6" s="6"/>
      <c r="E6" s="6"/>
      <c r="F6" s="6"/>
      <c r="G6" s="1" t="s">
        <v>6</v>
      </c>
      <c r="J6" s="5"/>
      <c r="K6" s="5"/>
      <c r="L6" s="5"/>
      <c r="S6" s="10"/>
    </row>
    <row r="7" spans="1:19" s="1" customFormat="1" ht="11.25" customHeight="1" x14ac:dyDescent="0.2">
      <c r="B7" s="6" t="s">
        <v>7</v>
      </c>
      <c r="C7" s="6"/>
      <c r="D7" s="6"/>
      <c r="E7" s="6"/>
      <c r="F7" s="6"/>
      <c r="G7" s="6" t="s">
        <v>53</v>
      </c>
      <c r="J7" s="5"/>
      <c r="K7" s="5"/>
      <c r="L7" s="5"/>
    </row>
    <row r="8" spans="1:19" s="1" customFormat="1" ht="11.25" customHeight="1" x14ac:dyDescent="0.2">
      <c r="B8" s="6" t="s">
        <v>8</v>
      </c>
      <c r="C8" s="6"/>
      <c r="D8" s="6"/>
      <c r="E8" s="6"/>
      <c r="F8" s="6"/>
      <c r="G8" s="6" t="s">
        <v>9</v>
      </c>
      <c r="J8" s="5"/>
      <c r="K8" s="11"/>
      <c r="M8" s="12"/>
      <c r="N8" s="13"/>
    </row>
    <row r="9" spans="1:19" s="1" customFormat="1" ht="11.25" customHeight="1" x14ac:dyDescent="0.25">
      <c r="A9" s="14" t="s">
        <v>10</v>
      </c>
      <c r="B9" s="15"/>
      <c r="C9" s="16" t="s">
        <v>11</v>
      </c>
      <c r="D9" s="17"/>
      <c r="E9" s="16" t="s">
        <v>12</v>
      </c>
      <c r="F9" s="18"/>
      <c r="G9" s="14" t="s">
        <v>13</v>
      </c>
      <c r="H9" s="19" t="s">
        <v>14</v>
      </c>
      <c r="I9" s="20" t="s">
        <v>14</v>
      </c>
      <c r="J9" s="21" t="s">
        <v>14</v>
      </c>
      <c r="K9" s="22"/>
      <c r="M9" s="12"/>
      <c r="N9" s="13"/>
    </row>
    <row r="10" spans="1:19" s="1" customFormat="1" ht="11.25" customHeight="1" x14ac:dyDescent="0.25">
      <c r="A10" s="23"/>
      <c r="B10" s="24"/>
      <c r="C10" s="25" t="s">
        <v>14</v>
      </c>
      <c r="D10" s="26" t="s">
        <v>15</v>
      </c>
      <c r="E10" s="25" t="s">
        <v>14</v>
      </c>
      <c r="F10" s="27" t="s">
        <v>15</v>
      </c>
      <c r="G10" s="28" t="s">
        <v>16</v>
      </c>
      <c r="H10" s="28" t="s">
        <v>17</v>
      </c>
      <c r="I10" s="29" t="s">
        <v>18</v>
      </c>
      <c r="J10" s="30" t="s">
        <v>19</v>
      </c>
      <c r="K10" s="22"/>
      <c r="M10" s="12"/>
      <c r="N10" s="13"/>
    </row>
    <row r="11" spans="1:19" s="1" customFormat="1" ht="11.25" customHeight="1" x14ac:dyDescent="0.25">
      <c r="A11" s="31"/>
      <c r="B11" s="32" t="s">
        <v>20</v>
      </c>
      <c r="C11" s="33">
        <v>-26.6</v>
      </c>
      <c r="D11" s="34"/>
      <c r="E11" s="35">
        <v>-21.3</v>
      </c>
      <c r="F11" s="36"/>
      <c r="G11" s="37"/>
      <c r="H11" s="38">
        <v>72.53</v>
      </c>
      <c r="I11" s="38">
        <v>6.51</v>
      </c>
      <c r="J11" s="39">
        <f>H11/I11</f>
        <v>11.141321044546851</v>
      </c>
      <c r="K11" s="22"/>
      <c r="M11" s="12"/>
      <c r="N11" s="13"/>
    </row>
    <row r="12" spans="1:19" s="1" customFormat="1" ht="11.25" customHeight="1" x14ac:dyDescent="0.25">
      <c r="A12" s="40"/>
      <c r="B12" s="41" t="s">
        <v>21</v>
      </c>
      <c r="C12" s="42"/>
      <c r="D12" s="43"/>
      <c r="E12"/>
      <c r="F12" s="44"/>
      <c r="G12" s="37"/>
      <c r="H12" s="45">
        <v>20</v>
      </c>
      <c r="I12" s="45">
        <v>46.65</v>
      </c>
      <c r="J12" s="46">
        <f>H12/I12</f>
        <v>0.4287245444801715</v>
      </c>
      <c r="K12" s="5"/>
      <c r="L12" s="5"/>
    </row>
    <row r="13" spans="1:19" s="1" customFormat="1" ht="11.25" customHeight="1" x14ac:dyDescent="0.25">
      <c r="A13" s="40"/>
      <c r="B13" s="41">
        <v>2704</v>
      </c>
      <c r="C13" s="42"/>
      <c r="D13" s="43"/>
      <c r="E13"/>
      <c r="F13" s="44"/>
      <c r="G13" s="47"/>
      <c r="H13" s="45">
        <v>3.3479999999999999</v>
      </c>
      <c r="I13" s="45"/>
      <c r="J13" s="46"/>
      <c r="K13" s="5"/>
      <c r="L13" s="5"/>
    </row>
    <row r="14" spans="1:19" s="1" customFormat="1" ht="11.25" customHeight="1" x14ac:dyDescent="0.25">
      <c r="A14" s="40"/>
      <c r="B14" s="41" t="s">
        <v>22</v>
      </c>
      <c r="C14" s="42">
        <v>-25.95</v>
      </c>
      <c r="D14" s="48"/>
      <c r="E14" s="49">
        <v>2.08</v>
      </c>
      <c r="F14" s="50">
        <f>AVERAGE(E88:E93)</f>
        <v>3.3440069340756611</v>
      </c>
      <c r="G14" s="47"/>
      <c r="H14" s="45">
        <v>44.65</v>
      </c>
      <c r="I14" s="45">
        <v>2.83</v>
      </c>
      <c r="J14" s="46">
        <f>H14/I14</f>
        <v>15.777385159010599</v>
      </c>
      <c r="K14" s="5"/>
      <c r="L14" s="5"/>
    </row>
    <row r="15" spans="1:19" s="1" customFormat="1" ht="11.25" customHeight="1" x14ac:dyDescent="0.25">
      <c r="A15" s="40"/>
      <c r="B15" s="41" t="s">
        <v>23</v>
      </c>
      <c r="C15" s="51">
        <v>-18.3</v>
      </c>
      <c r="D15" s="52">
        <f>AVERAGE(G39)</f>
        <v>-13.641781037969681</v>
      </c>
      <c r="E15" s="49"/>
      <c r="F15" s="53"/>
      <c r="G15" s="54"/>
      <c r="H15" s="55"/>
      <c r="I15" s="55"/>
      <c r="J15" s="54"/>
      <c r="K15" s="5"/>
      <c r="L15" s="5"/>
    </row>
    <row r="16" spans="1:19" s="1" customFormat="1" ht="11.25" customHeight="1" x14ac:dyDescent="0.25">
      <c r="A16" s="40"/>
      <c r="B16" s="41" t="s">
        <v>24</v>
      </c>
      <c r="C16" s="42">
        <v>-25.49</v>
      </c>
      <c r="D16" s="52"/>
      <c r="E16" s="56"/>
      <c r="F16" s="57"/>
      <c r="G16" s="54"/>
      <c r="H16" s="55"/>
      <c r="I16" s="55"/>
      <c r="J16" s="54"/>
      <c r="K16" s="5"/>
      <c r="L16" s="5"/>
    </row>
    <row r="17" spans="1:20" s="1" customFormat="1" ht="11.25" customHeight="1" x14ac:dyDescent="0.25">
      <c r="A17" s="40"/>
      <c r="B17" s="41" t="s">
        <v>25</v>
      </c>
      <c r="C17" s="42">
        <v>-10.8</v>
      </c>
      <c r="D17" s="52">
        <f>AVERAGE(G38)</f>
        <v>-6.2163785942061951</v>
      </c>
      <c r="E17" s="56"/>
      <c r="F17" s="57"/>
      <c r="G17" s="54"/>
      <c r="H17" s="55"/>
      <c r="I17" s="55"/>
      <c r="J17" s="54"/>
      <c r="K17" s="5"/>
      <c r="L17" s="5"/>
    </row>
    <row r="18" spans="1:20" s="1" customFormat="1" ht="11.25" customHeight="1" x14ac:dyDescent="0.25">
      <c r="A18" s="40"/>
      <c r="B18" s="41" t="s">
        <v>26</v>
      </c>
      <c r="C18" s="42">
        <v>-24.91</v>
      </c>
      <c r="D18" s="52">
        <f>AVERAGE(G37)</f>
        <v>-20.119975372848074</v>
      </c>
      <c r="E18" s="56"/>
      <c r="F18" s="57"/>
      <c r="G18" s="54"/>
      <c r="H18" s="55"/>
      <c r="I18" s="55"/>
      <c r="J18" s="54"/>
      <c r="K18" s="5"/>
      <c r="L18" s="5"/>
    </row>
    <row r="19" spans="1:20" s="1" customFormat="1" ht="11.25" customHeight="1" x14ac:dyDescent="0.25">
      <c r="A19" s="40"/>
      <c r="B19" s="5" t="s">
        <v>27</v>
      </c>
      <c r="C19" s="42"/>
      <c r="D19" s="52"/>
      <c r="E19" s="58">
        <v>2.7</v>
      </c>
      <c r="F19" s="57"/>
      <c r="G19" s="54"/>
      <c r="H19" s="55"/>
      <c r="I19" s="55"/>
      <c r="J19" s="54"/>
      <c r="K19" s="5"/>
      <c r="L19" s="5"/>
    </row>
    <row r="20" spans="1:20" s="1" customFormat="1" ht="11.25" customHeight="1" x14ac:dyDescent="0.25">
      <c r="A20" s="40"/>
      <c r="B20" s="5" t="s">
        <v>28</v>
      </c>
      <c r="C20" s="42"/>
      <c r="D20" s="52"/>
      <c r="E20" s="58">
        <v>180</v>
      </c>
      <c r="F20" s="57"/>
      <c r="G20" s="54"/>
      <c r="H20" s="55"/>
      <c r="I20" s="55"/>
      <c r="J20" s="54"/>
      <c r="K20" s="5"/>
      <c r="L20" s="5"/>
    </row>
    <row r="21" spans="1:20" s="1" customFormat="1" ht="11.25" customHeight="1" x14ac:dyDescent="0.25">
      <c r="A21" s="40"/>
      <c r="B21" s="5" t="s">
        <v>29</v>
      </c>
      <c r="C21" s="42"/>
      <c r="D21" s="52"/>
      <c r="E21" s="58">
        <v>-1.8</v>
      </c>
      <c r="F21" s="57"/>
      <c r="G21" s="54"/>
      <c r="H21" s="55"/>
      <c r="I21" s="55"/>
      <c r="J21" s="54"/>
      <c r="K21" s="5"/>
      <c r="L21" s="5"/>
    </row>
    <row r="22" spans="1:20" s="1" customFormat="1" ht="11.25" customHeight="1" x14ac:dyDescent="0.25">
      <c r="A22" s="40"/>
      <c r="B22" s="41" t="s">
        <v>30</v>
      </c>
      <c r="C22" s="40"/>
      <c r="D22" s="59"/>
      <c r="E22" s="53">
        <v>0.4</v>
      </c>
      <c r="F22" s="50"/>
      <c r="G22" s="54"/>
      <c r="H22"/>
      <c r="I22"/>
      <c r="J22" s="54"/>
      <c r="K22" s="5"/>
      <c r="L22" s="5"/>
    </row>
    <row r="23" spans="1:20" s="1" customFormat="1" ht="11.25" customHeight="1" x14ac:dyDescent="0.25">
      <c r="A23" s="40"/>
      <c r="B23" s="41" t="s">
        <v>31</v>
      </c>
      <c r="C23" s="60"/>
      <c r="D23" s="59"/>
      <c r="E23" s="53">
        <v>20.3</v>
      </c>
      <c r="F23" s="50"/>
      <c r="G23" s="54"/>
      <c r="H23"/>
      <c r="I23"/>
      <c r="J23" s="54"/>
      <c r="K23" s="5"/>
      <c r="L23" s="5"/>
    </row>
    <row r="24" spans="1:20" s="1" customFormat="1" ht="11.25" customHeight="1" x14ac:dyDescent="0.25">
      <c r="A24" s="40"/>
      <c r="B24" s="41" t="s">
        <v>32</v>
      </c>
      <c r="C24" s="60"/>
      <c r="D24" s="52"/>
      <c r="E24" s="53">
        <v>4.7</v>
      </c>
      <c r="F24" s="50"/>
      <c r="G24" s="54"/>
      <c r="H24"/>
      <c r="I24"/>
      <c r="J24" s="54"/>
      <c r="K24" s="5"/>
      <c r="L24" s="5"/>
    </row>
    <row r="25" spans="1:20" customFormat="1" ht="11.25" customHeight="1" x14ac:dyDescent="0.25">
      <c r="A25" s="31"/>
      <c r="B25" s="61" t="s">
        <v>33</v>
      </c>
      <c r="C25" s="62"/>
      <c r="D25" s="61" t="s">
        <v>34</v>
      </c>
      <c r="E25" s="61"/>
      <c r="F25" s="62"/>
      <c r="G25" s="31"/>
      <c r="H25" s="62"/>
      <c r="I25" s="62"/>
      <c r="J25" s="63"/>
      <c r="K25" s="53"/>
      <c r="L25" s="53"/>
    </row>
    <row r="26" spans="1:20" customFormat="1" ht="11.25" customHeight="1" x14ac:dyDescent="0.25">
      <c r="A26" s="64" t="s">
        <v>35</v>
      </c>
      <c r="B26" s="53">
        <v>1.0146999999999999</v>
      </c>
      <c r="C26" s="65" t="s">
        <v>52</v>
      </c>
      <c r="D26" s="53">
        <v>-4.4809999999999999</v>
      </c>
      <c r="E26" s="53"/>
      <c r="F26" s="53"/>
      <c r="G26" s="40"/>
      <c r="H26" s="53"/>
      <c r="I26" s="53"/>
      <c r="J26" s="66"/>
      <c r="K26" s="53"/>
      <c r="L26" s="53"/>
    </row>
    <row r="27" spans="1:20" customFormat="1" ht="11.25" customHeight="1" x14ac:dyDescent="0.25">
      <c r="A27" s="64" t="s">
        <v>37</v>
      </c>
      <c r="B27" s="53">
        <v>1</v>
      </c>
      <c r="C27" s="65"/>
      <c r="D27" s="67">
        <f>$E$14-$F$14</f>
        <v>-1.264006934075661</v>
      </c>
      <c r="E27" s="53"/>
      <c r="F27" s="53"/>
      <c r="G27" s="40"/>
      <c r="H27" s="53"/>
      <c r="I27" s="53"/>
      <c r="J27" s="66"/>
      <c r="K27" s="53"/>
      <c r="L27" s="53"/>
    </row>
    <row r="28" spans="1:20" customFormat="1" ht="11.25" customHeight="1" x14ac:dyDescent="0.25">
      <c r="A28" s="68" t="s">
        <v>38</v>
      </c>
      <c r="B28" s="53">
        <v>5.7389000000000003E-2</v>
      </c>
      <c r="C28" s="65" t="s">
        <v>36</v>
      </c>
      <c r="D28" s="67">
        <v>0</v>
      </c>
      <c r="E28" s="49"/>
      <c r="F28" s="53"/>
      <c r="G28" s="40"/>
      <c r="H28" s="53"/>
      <c r="I28" s="53"/>
      <c r="J28" s="66"/>
      <c r="K28" s="53"/>
      <c r="L28" s="53"/>
    </row>
    <row r="29" spans="1:20" customFormat="1" ht="11.25" customHeight="1" x14ac:dyDescent="0.25">
      <c r="A29" s="68" t="s">
        <v>39</v>
      </c>
      <c r="B29" s="53">
        <v>4.0966000000000002E-2</v>
      </c>
      <c r="C29" s="49" t="s">
        <v>36</v>
      </c>
      <c r="D29" s="69">
        <v>-8.1499999999999993E-3</v>
      </c>
      <c r="E29" s="69"/>
      <c r="F29" s="69"/>
      <c r="G29" s="70"/>
      <c r="H29" s="69"/>
      <c r="I29" s="69"/>
      <c r="J29" s="71"/>
      <c r="K29" s="53"/>
      <c r="L29" s="53"/>
      <c r="Q29" s="72"/>
    </row>
    <row r="30" spans="1:20" s="1" customFormat="1" ht="11.25" customHeight="1" x14ac:dyDescent="0.2">
      <c r="A30" s="73"/>
      <c r="B30" s="49"/>
      <c r="C30" s="49"/>
      <c r="D30" s="49"/>
      <c r="E30" s="49"/>
      <c r="F30" s="49"/>
      <c r="G30" s="74"/>
      <c r="H30" s="49"/>
      <c r="I30" s="56"/>
      <c r="J30" s="41"/>
      <c r="K30" s="5"/>
      <c r="L30" s="5"/>
    </row>
    <row r="31" spans="1:20" s="1" customFormat="1" ht="12" customHeight="1" x14ac:dyDescent="0.2">
      <c r="I31" s="3"/>
      <c r="J31" s="4"/>
    </row>
    <row r="32" spans="1:20" s="1" customFormat="1" ht="11.25" customHeight="1" x14ac:dyDescent="0.2">
      <c r="A32" s="75"/>
      <c r="B32" s="75" t="s">
        <v>40</v>
      </c>
      <c r="C32" s="75" t="s">
        <v>54</v>
      </c>
      <c r="D32" s="75" t="s">
        <v>80</v>
      </c>
      <c r="E32" s="75" t="s">
        <v>41</v>
      </c>
      <c r="F32" s="75" t="s">
        <v>81</v>
      </c>
      <c r="G32" s="99" t="s">
        <v>42</v>
      </c>
      <c r="H32" s="76" t="s">
        <v>43</v>
      </c>
      <c r="I32" s="77" t="s">
        <v>44</v>
      </c>
      <c r="J32" s="77" t="s">
        <v>45</v>
      </c>
      <c r="K32" s="77" t="s">
        <v>46</v>
      </c>
      <c r="L32" s="77" t="s">
        <v>47</v>
      </c>
      <c r="M32" s="178" t="s">
        <v>38</v>
      </c>
      <c r="N32" s="77" t="s">
        <v>38</v>
      </c>
      <c r="O32" s="77" t="s">
        <v>48</v>
      </c>
      <c r="P32" s="77" t="s">
        <v>49</v>
      </c>
      <c r="Q32" s="77" t="s">
        <v>39</v>
      </c>
      <c r="R32" s="77" t="s">
        <v>39</v>
      </c>
      <c r="S32" s="77" t="s">
        <v>50</v>
      </c>
      <c r="T32" s="77" t="s">
        <v>51</v>
      </c>
    </row>
    <row r="33" spans="1:20" s="90" customFormat="1" ht="11.25" customHeight="1" x14ac:dyDescent="0.2">
      <c r="A33" s="117">
        <v>30</v>
      </c>
      <c r="B33" s="117" t="s">
        <v>55</v>
      </c>
      <c r="C33" s="105">
        <v>1.3049999999999999</v>
      </c>
      <c r="D33" s="105">
        <v>1.3889942500000001</v>
      </c>
      <c r="E33" s="105">
        <v>3.5290114162616071</v>
      </c>
      <c r="F33" s="105">
        <v>10.151578000000001</v>
      </c>
      <c r="G33" s="105">
        <v>-21.64037050520043</v>
      </c>
      <c r="H33" s="100">
        <f>$B$26*G33+$D$26</f>
        <v>-26.439483951626876</v>
      </c>
      <c r="I33" s="86">
        <f t="shared" ref="I33:I82" si="0">$B$27*E33+$D$27</f>
        <v>2.2650044821859461</v>
      </c>
      <c r="J33" s="87">
        <f t="shared" ref="J33:J82" si="1">(F33)/C33</f>
        <v>7.7789869731800776</v>
      </c>
      <c r="K33" s="87">
        <f>H$14</f>
        <v>44.65</v>
      </c>
      <c r="L33" s="87">
        <f>I$14</f>
        <v>2.83</v>
      </c>
      <c r="M33" s="87">
        <f t="shared" ref="M33:M82" si="2">C33*(K33/100)</f>
        <v>0.58268249999999999</v>
      </c>
      <c r="N33" s="179">
        <f t="shared" ref="N33:N82" si="3">F33*$B$28+$D$28</f>
        <v>0.58258890984200007</v>
      </c>
      <c r="O33" s="91">
        <f t="shared" ref="O33:O82" si="4">N33/C33*100</f>
        <v>44.642828340383147</v>
      </c>
      <c r="P33" s="87">
        <f t="shared" ref="P33:P82" si="5">D33/C33</f>
        <v>1.0643634099616859</v>
      </c>
      <c r="Q33" s="87">
        <f t="shared" ref="Q33:Q36" si="6">C33*(L33/100)</f>
        <v>3.6931499999999999E-2</v>
      </c>
      <c r="R33" s="179">
        <f t="shared" ref="R33:R82" si="7">D33*$B$29+$D$29</f>
        <v>4.8751538445500009E-2</v>
      </c>
      <c r="S33" s="89">
        <f t="shared" ref="S33:S82" si="8">R33/C33*100</f>
        <v>3.7357500724521082</v>
      </c>
      <c r="T33" s="86">
        <f t="shared" ref="T33:T82" si="9">N33/R33</f>
        <v>11.950164618769598</v>
      </c>
    </row>
    <row r="34" spans="1:20" s="90" customFormat="1" ht="11.25" customHeight="1" x14ac:dyDescent="0.2">
      <c r="A34" s="117">
        <v>31</v>
      </c>
      <c r="B34" s="117" t="s">
        <v>56</v>
      </c>
      <c r="C34" s="105">
        <v>0.89200000000000002</v>
      </c>
      <c r="D34" s="105">
        <v>0.86672943749999998</v>
      </c>
      <c r="E34" s="105">
        <v>3.6243198330772053</v>
      </c>
      <c r="F34" s="105">
        <v>7.0700265</v>
      </c>
      <c r="G34" s="105">
        <v>-21.550251670929313</v>
      </c>
      <c r="H34" s="100">
        <f t="shared" ref="H34:H82" si="10">$B$26*G34+$D$26</f>
        <v>-26.348040370491972</v>
      </c>
      <c r="I34" s="86">
        <f t="shared" si="0"/>
        <v>2.3603128990015443</v>
      </c>
      <c r="J34" s="87">
        <f t="shared" si="1"/>
        <v>7.9260386771300446</v>
      </c>
      <c r="K34" s="87">
        <f t="shared" ref="K34:L36" si="11">H$14</f>
        <v>44.65</v>
      </c>
      <c r="L34" s="87">
        <f t="shared" si="11"/>
        <v>2.83</v>
      </c>
      <c r="M34" s="87">
        <f t="shared" si="2"/>
        <v>0.39827800000000002</v>
      </c>
      <c r="N34" s="179">
        <f t="shared" si="3"/>
        <v>0.4057417508085</v>
      </c>
      <c r="O34" s="91">
        <f t="shared" si="4"/>
        <v>45.486743364181613</v>
      </c>
      <c r="P34" s="87">
        <f t="shared" si="5"/>
        <v>0.9716697729820627</v>
      </c>
      <c r="Q34" s="87">
        <f t="shared" si="6"/>
        <v>2.5243600000000001E-2</v>
      </c>
      <c r="R34" s="179">
        <f t="shared" si="7"/>
        <v>2.7356438136625007E-2</v>
      </c>
      <c r="S34" s="89">
        <f t="shared" si="8"/>
        <v>3.0668652619534762</v>
      </c>
      <c r="T34" s="86">
        <f t="shared" si="9"/>
        <v>14.831673216451739</v>
      </c>
    </row>
    <row r="35" spans="1:20" s="90" customFormat="1" ht="11.25" customHeight="1" x14ac:dyDescent="0.2">
      <c r="A35" s="117">
        <v>32</v>
      </c>
      <c r="B35" s="117" t="s">
        <v>57</v>
      </c>
      <c r="C35" s="105">
        <v>0.875</v>
      </c>
      <c r="D35" s="105">
        <v>0.7820153125</v>
      </c>
      <c r="E35" s="105">
        <v>3.3905356568380007</v>
      </c>
      <c r="F35" s="105">
        <v>6.7676309999999997</v>
      </c>
      <c r="G35" s="105">
        <v>-21.523956909848724</v>
      </c>
      <c r="H35" s="100">
        <f t="shared" si="10"/>
        <v>-26.321359076423498</v>
      </c>
      <c r="I35" s="86">
        <f t="shared" si="0"/>
        <v>2.1265287227623397</v>
      </c>
      <c r="J35" s="87">
        <f t="shared" si="1"/>
        <v>7.7344354285714285</v>
      </c>
      <c r="K35" s="87">
        <f t="shared" si="11"/>
        <v>44.65</v>
      </c>
      <c r="L35" s="87">
        <f t="shared" si="11"/>
        <v>2.83</v>
      </c>
      <c r="M35" s="87">
        <f t="shared" si="2"/>
        <v>0.39068750000000002</v>
      </c>
      <c r="N35" s="179">
        <f t="shared" si="3"/>
        <v>0.38838757545899999</v>
      </c>
      <c r="O35" s="91">
        <f t="shared" si="4"/>
        <v>44.387151481028567</v>
      </c>
      <c r="P35" s="87">
        <f t="shared" si="5"/>
        <v>0.89373178571428569</v>
      </c>
      <c r="Q35" s="87">
        <f t="shared" si="6"/>
        <v>2.4762500000000003E-2</v>
      </c>
      <c r="R35" s="179">
        <f t="shared" si="7"/>
        <v>2.3886039291875001E-2</v>
      </c>
      <c r="S35" s="89">
        <f t="shared" si="8"/>
        <v>2.7298330619285718</v>
      </c>
      <c r="T35" s="86">
        <f t="shared" si="9"/>
        <v>16.260024138498032</v>
      </c>
    </row>
    <row r="36" spans="1:20" s="90" customFormat="1" ht="11.25" customHeight="1" x14ac:dyDescent="0.2">
      <c r="A36" s="117">
        <v>33</v>
      </c>
      <c r="B36" s="117" t="s">
        <v>58</v>
      </c>
      <c r="C36" s="105">
        <v>0.93200000000000005</v>
      </c>
      <c r="D36" s="105">
        <v>0.82733725000000002</v>
      </c>
      <c r="E36" s="105">
        <v>3.0428253581811227</v>
      </c>
      <c r="F36" s="105">
        <v>7.2384729999999999</v>
      </c>
      <c r="G36" s="105">
        <v>-21.47367347669292</v>
      </c>
      <c r="H36" s="100">
        <f t="shared" si="10"/>
        <v>-26.270336476800303</v>
      </c>
      <c r="I36" s="86">
        <f t="shared" si="0"/>
        <v>1.7788184241054616</v>
      </c>
      <c r="J36" s="87">
        <f t="shared" si="1"/>
        <v>7.7666019313304719</v>
      </c>
      <c r="K36" s="87">
        <f t="shared" si="11"/>
        <v>44.65</v>
      </c>
      <c r="L36" s="87">
        <f t="shared" si="11"/>
        <v>2.83</v>
      </c>
      <c r="M36" s="87">
        <f t="shared" si="2"/>
        <v>0.41613800000000001</v>
      </c>
      <c r="N36" s="179">
        <f t="shared" si="3"/>
        <v>0.41540872699699999</v>
      </c>
      <c r="O36" s="91">
        <f t="shared" si="4"/>
        <v>44.571751823712439</v>
      </c>
      <c r="P36" s="87">
        <f t="shared" si="5"/>
        <v>0.88770091201716739</v>
      </c>
      <c r="Q36" s="87">
        <f t="shared" si="6"/>
        <v>2.6375600000000003E-2</v>
      </c>
      <c r="R36" s="179">
        <f t="shared" si="7"/>
        <v>2.5742697783500003E-2</v>
      </c>
      <c r="S36" s="89">
        <f t="shared" si="8"/>
        <v>2.7620920368562234</v>
      </c>
      <c r="T36" s="86">
        <f t="shared" si="9"/>
        <v>16.136953884579249</v>
      </c>
    </row>
    <row r="37" spans="1:20" s="1" customFormat="1" ht="11.25" customHeight="1" x14ac:dyDescent="0.2">
      <c r="A37" s="83">
        <v>34</v>
      </c>
      <c r="B37" s="83" t="s">
        <v>60</v>
      </c>
      <c r="C37" s="84">
        <v>0.78900000000000003</v>
      </c>
      <c r="D37" s="84">
        <v>2.8142083984375E-2</v>
      </c>
      <c r="E37" s="84">
        <v>-23.901509710415937</v>
      </c>
      <c r="F37" s="84">
        <v>5.7281294999999997</v>
      </c>
      <c r="G37" s="84">
        <v>-20.119975372848074</v>
      </c>
      <c r="H37" s="101">
        <f t="shared" si="10"/>
        <v>-24.896739010828938</v>
      </c>
      <c r="I37" s="78">
        <f t="shared" si="0"/>
        <v>-25.165516644491596</v>
      </c>
      <c r="J37" s="79">
        <f t="shared" si="1"/>
        <v>7.2599866920152083</v>
      </c>
      <c r="K37" s="79"/>
      <c r="L37" s="79"/>
      <c r="M37" s="79">
        <f t="shared" si="2"/>
        <v>0</v>
      </c>
      <c r="N37" s="180">
        <f t="shared" si="3"/>
        <v>0.32873162387549998</v>
      </c>
      <c r="O37" s="81">
        <f t="shared" si="4"/>
        <v>41.664337626806081</v>
      </c>
      <c r="P37" s="79">
        <f t="shared" si="5"/>
        <v>3.5668040537864383E-2</v>
      </c>
      <c r="Q37" s="79"/>
      <c r="R37" s="180">
        <f t="shared" si="7"/>
        <v>-6.9971313874960927E-3</v>
      </c>
      <c r="S37" s="82">
        <f t="shared" si="8"/>
        <v>-0.88683541032903568</v>
      </c>
      <c r="T37" s="78">
        <f t="shared" si="9"/>
        <v>-46.980913415881396</v>
      </c>
    </row>
    <row r="38" spans="1:20" s="1" customFormat="1" ht="11.25" customHeight="1" x14ac:dyDescent="0.2">
      <c r="A38" s="95">
        <v>35</v>
      </c>
      <c r="B38" s="95" t="s">
        <v>66</v>
      </c>
      <c r="C38" s="96">
        <v>1.339</v>
      </c>
      <c r="D38" s="96">
        <v>3.0909755859374999E-2</v>
      </c>
      <c r="E38" s="96">
        <v>-16.080710543111998</v>
      </c>
      <c r="F38" s="96">
        <v>9.7273599999999991</v>
      </c>
      <c r="G38" s="96">
        <v>-6.2163785942061951</v>
      </c>
      <c r="H38" s="101">
        <f t="shared" si="10"/>
        <v>-10.788759359541025</v>
      </c>
      <c r="I38" s="78">
        <f t="shared" si="0"/>
        <v>-17.344717477187658</v>
      </c>
      <c r="J38" s="79">
        <f t="shared" si="1"/>
        <v>7.2646452576549656</v>
      </c>
      <c r="K38" s="79"/>
      <c r="L38" s="79"/>
      <c r="M38" s="79">
        <f t="shared" si="2"/>
        <v>0</v>
      </c>
      <c r="N38" s="180">
        <f t="shared" si="3"/>
        <v>0.55824346303999994</v>
      </c>
      <c r="O38" s="81">
        <f t="shared" si="4"/>
        <v>41.691072669156085</v>
      </c>
      <c r="P38" s="79">
        <f t="shared" si="5"/>
        <v>2.3084209006254668E-2</v>
      </c>
      <c r="Q38" s="79"/>
      <c r="R38" s="180">
        <f t="shared" si="7"/>
        <v>-6.8837509414648428E-3</v>
      </c>
      <c r="S38" s="82">
        <f t="shared" si="8"/>
        <v>-0.51409641086369251</v>
      </c>
      <c r="T38" s="78">
        <f t="shared" si="9"/>
        <v>-81.095825195733667</v>
      </c>
    </row>
    <row r="39" spans="1:20" s="1" customFormat="1" ht="11.25" customHeight="1" x14ac:dyDescent="0.2">
      <c r="A39" s="83">
        <v>36</v>
      </c>
      <c r="B39" s="83" t="s">
        <v>65</v>
      </c>
      <c r="C39" s="84">
        <v>1.363</v>
      </c>
      <c r="D39" s="84">
        <v>3.7023828124999998E-2</v>
      </c>
      <c r="E39" s="84">
        <v>-16.544733306028682</v>
      </c>
      <c r="F39" s="84">
        <v>4.4444714999999997</v>
      </c>
      <c r="G39" s="84">
        <v>-13.641781037969681</v>
      </c>
      <c r="H39" s="101">
        <f t="shared" si="10"/>
        <v>-18.323315219227833</v>
      </c>
      <c r="I39" s="78">
        <f t="shared" si="0"/>
        <v>-17.808740240104342</v>
      </c>
      <c r="J39" s="79">
        <f t="shared" si="1"/>
        <v>3.2608008070432866</v>
      </c>
      <c r="K39" s="79"/>
      <c r="L39" s="79"/>
      <c r="M39" s="79">
        <f t="shared" si="2"/>
        <v>0</v>
      </c>
      <c r="N39" s="180">
        <f t="shared" si="3"/>
        <v>0.25506377491350002</v>
      </c>
      <c r="O39" s="81">
        <f t="shared" si="4"/>
        <v>18.713409751540723</v>
      </c>
      <c r="P39" s="79">
        <f t="shared" si="5"/>
        <v>2.7163483584005867E-2</v>
      </c>
      <c r="Q39" s="79"/>
      <c r="R39" s="180">
        <f t="shared" si="7"/>
        <v>-6.6332818570312493E-3</v>
      </c>
      <c r="S39" s="82">
        <f t="shared" si="8"/>
        <v>-0.48666778114682685</v>
      </c>
      <c r="T39" s="78">
        <f t="shared" si="9"/>
        <v>-38.452123761804806</v>
      </c>
    </row>
    <row r="40" spans="1:20" s="90" customFormat="1" ht="11.25" customHeight="1" x14ac:dyDescent="0.2">
      <c r="A40" s="117">
        <v>37</v>
      </c>
      <c r="B40" s="117" t="s">
        <v>59</v>
      </c>
      <c r="C40" s="105">
        <v>0.93300000000000005</v>
      </c>
      <c r="D40" s="105">
        <v>0.83838868749999995</v>
      </c>
      <c r="E40" s="105">
        <v>2.9949979335384125</v>
      </c>
      <c r="F40" s="105">
        <v>7.250121</v>
      </c>
      <c r="G40" s="105">
        <v>-21.427039170988269</v>
      </c>
      <c r="H40" s="100">
        <f t="shared" si="10"/>
        <v>-26.223016646801796</v>
      </c>
      <c r="I40" s="86">
        <f t="shared" si="0"/>
        <v>1.7309909994627515</v>
      </c>
      <c r="J40" s="87">
        <f t="shared" si="1"/>
        <v>7.7707620578778132</v>
      </c>
      <c r="K40" s="87">
        <f t="shared" ref="K40" si="12">H$14</f>
        <v>44.65</v>
      </c>
      <c r="L40" s="87">
        <f t="shared" ref="L40" si="13">I$14</f>
        <v>2.83</v>
      </c>
      <c r="M40" s="87">
        <f t="shared" ref="M40:M41" si="14">C40*(K40/100)</f>
        <v>0.41658450000000002</v>
      </c>
      <c r="N40" s="179">
        <f t="shared" ref="N40:N41" si="15">F40*$B$28+$D$28</f>
        <v>0.41607719406900001</v>
      </c>
      <c r="O40" s="91">
        <f t="shared" ref="O40:O41" si="16">N40/C40*100</f>
        <v>44.595626373954985</v>
      </c>
      <c r="P40" s="87">
        <f t="shared" ref="P40:P41" si="17">D40/C40</f>
        <v>0.89859452036441578</v>
      </c>
      <c r="Q40" s="87">
        <f t="shared" ref="Q40" si="18">C40*(L40/100)</f>
        <v>2.6403900000000004E-2</v>
      </c>
      <c r="R40" s="179">
        <f t="shared" si="7"/>
        <v>2.6195430972125004E-2</v>
      </c>
      <c r="S40" s="89">
        <f t="shared" si="8"/>
        <v>2.8076560527465171</v>
      </c>
      <c r="T40" s="86">
        <f t="shared" si="9"/>
        <v>15.883578877238351</v>
      </c>
    </row>
    <row r="41" spans="1:20" s="1" customFormat="1" ht="11.25" customHeight="1" x14ac:dyDescent="0.2">
      <c r="A41" s="83">
        <v>38</v>
      </c>
      <c r="B41" s="83" t="s">
        <v>223</v>
      </c>
      <c r="C41" s="84">
        <v>6.367</v>
      </c>
      <c r="D41" s="84">
        <v>7.6182078124999997E-2</v>
      </c>
      <c r="E41" s="84">
        <v>-13.4079707217587</v>
      </c>
      <c r="F41" s="84">
        <v>0.37424196874999999</v>
      </c>
      <c r="G41" s="84">
        <v>-23.071512431295755</v>
      </c>
      <c r="H41" s="101">
        <f t="shared" si="10"/>
        <v>-27.891663664035804</v>
      </c>
      <c r="I41" s="78">
        <f t="shared" si="0"/>
        <v>-14.671977655834361</v>
      </c>
      <c r="J41" s="79">
        <f t="shared" si="1"/>
        <v>5.8778383657923663E-2</v>
      </c>
      <c r="K41" s="79"/>
      <c r="L41" s="79"/>
      <c r="M41" s="79">
        <f t="shared" si="14"/>
        <v>0</v>
      </c>
      <c r="N41" s="180">
        <f t="shared" si="15"/>
        <v>2.1477372344593751E-2</v>
      </c>
      <c r="O41" s="81">
        <f t="shared" si="16"/>
        <v>0.33732326597445816</v>
      </c>
      <c r="P41" s="79">
        <f t="shared" si="17"/>
        <v>1.1965144985864614E-2</v>
      </c>
      <c r="Q41" s="79"/>
      <c r="R41" s="180">
        <f t="shared" si="7"/>
        <v>-5.0291249875312489E-3</v>
      </c>
      <c r="S41" s="82">
        <f t="shared" si="8"/>
        <v>-7.8987356487062177E-2</v>
      </c>
      <c r="T41" s="78">
        <f t="shared" si="9"/>
        <v>-4.2705982447926383</v>
      </c>
    </row>
    <row r="42" spans="1:20" s="1" customFormat="1" ht="11.25" customHeight="1" x14ac:dyDescent="0.2">
      <c r="A42" s="83">
        <v>39</v>
      </c>
      <c r="B42" s="83" t="s">
        <v>224</v>
      </c>
      <c r="C42" s="84">
        <v>6.3579999999999997</v>
      </c>
      <c r="D42" s="84">
        <v>6.5791734374999994E-2</v>
      </c>
      <c r="E42" s="84">
        <v>-6.2881058876327334</v>
      </c>
      <c r="F42" s="84">
        <v>0.360371</v>
      </c>
      <c r="G42" s="84">
        <v>-23.474620213012358</v>
      </c>
      <c r="H42" s="101">
        <f t="shared" si="10"/>
        <v>-28.300697130143639</v>
      </c>
      <c r="I42" s="78">
        <f t="shared" si="0"/>
        <v>-7.5521128217083948</v>
      </c>
      <c r="J42" s="79">
        <f t="shared" si="1"/>
        <v>5.6679930795847752E-2</v>
      </c>
      <c r="K42" s="79"/>
      <c r="L42" s="79"/>
      <c r="M42" s="79">
        <f t="shared" si="2"/>
        <v>0</v>
      </c>
      <c r="N42" s="180">
        <f t="shared" si="3"/>
        <v>2.0681331319000001E-2</v>
      </c>
      <c r="O42" s="81">
        <f t="shared" si="4"/>
        <v>0.32528045484429069</v>
      </c>
      <c r="P42" s="79">
        <f t="shared" si="5"/>
        <v>1.0347866369141239E-2</v>
      </c>
      <c r="Q42" s="79"/>
      <c r="R42" s="180">
        <f t="shared" si="7"/>
        <v>-5.4547758095937499E-3</v>
      </c>
      <c r="S42" s="82">
        <f t="shared" si="8"/>
        <v>-8.5793894457278239E-2</v>
      </c>
      <c r="T42" s="78">
        <f t="shared" si="9"/>
        <v>-3.7914172902626158</v>
      </c>
    </row>
    <row r="43" spans="1:20" s="1" customFormat="1" ht="11.25" customHeight="1" x14ac:dyDescent="0.2">
      <c r="A43" s="83">
        <v>40</v>
      </c>
      <c r="B43" s="83" t="s">
        <v>225</v>
      </c>
      <c r="C43" s="84">
        <v>6.2960000000000003</v>
      </c>
      <c r="D43" s="84">
        <v>6.0451566406249997E-2</v>
      </c>
      <c r="E43" s="84">
        <v>-4.7203374539116494</v>
      </c>
      <c r="F43" s="84">
        <v>0.39230537500000001</v>
      </c>
      <c r="G43" s="84">
        <v>-24.555873178250948</v>
      </c>
      <c r="H43" s="101">
        <f t="shared" si="10"/>
        <v>-29.397844513971236</v>
      </c>
      <c r="I43" s="78">
        <f t="shared" si="0"/>
        <v>-5.9843443879873099</v>
      </c>
      <c r="J43" s="79">
        <f t="shared" si="1"/>
        <v>6.2310256512071158E-2</v>
      </c>
      <c r="K43" s="79"/>
      <c r="L43" s="79"/>
      <c r="M43" s="79">
        <f t="shared" si="2"/>
        <v>0</v>
      </c>
      <c r="N43" s="180">
        <f t="shared" si="3"/>
        <v>2.2514013165875001E-2</v>
      </c>
      <c r="O43" s="81">
        <f t="shared" si="4"/>
        <v>0.35759233109712518</v>
      </c>
      <c r="P43" s="79">
        <f t="shared" si="5"/>
        <v>9.6015829743090839E-3</v>
      </c>
      <c r="Q43" s="79"/>
      <c r="R43" s="180">
        <f t="shared" si="7"/>
        <v>-5.6735411306015615E-3</v>
      </c>
      <c r="S43" s="82">
        <f t="shared" si="8"/>
        <v>-9.0113423294179817E-2</v>
      </c>
      <c r="T43" s="78">
        <f t="shared" si="9"/>
        <v>-3.968247104870791</v>
      </c>
    </row>
    <row r="44" spans="1:20" s="1" customFormat="1" ht="11.25" customHeight="1" x14ac:dyDescent="0.2">
      <c r="A44" s="83">
        <v>41</v>
      </c>
      <c r="B44" s="83" t="s">
        <v>226</v>
      </c>
      <c r="C44" s="84">
        <v>6.367</v>
      </c>
      <c r="D44" s="84">
        <v>3.7426078124999998E-2</v>
      </c>
      <c r="E44" s="84">
        <v>-9.7290246313964666</v>
      </c>
      <c r="F44" s="84">
        <v>0.248651015625</v>
      </c>
      <c r="G44" s="84">
        <v>-24.421700919696871</v>
      </c>
      <c r="H44" s="101">
        <f t="shared" si="10"/>
        <v>-29.261699923216412</v>
      </c>
      <c r="I44" s="78">
        <f t="shared" si="0"/>
        <v>-10.993031565472128</v>
      </c>
      <c r="J44" s="79">
        <f t="shared" si="1"/>
        <v>3.9053088679912043E-2</v>
      </c>
      <c r="K44" s="79"/>
      <c r="L44" s="79"/>
      <c r="M44" s="79">
        <f t="shared" si="2"/>
        <v>0</v>
      </c>
      <c r="N44" s="180">
        <f t="shared" si="3"/>
        <v>1.4269833135703125E-2</v>
      </c>
      <c r="O44" s="81">
        <f t="shared" si="4"/>
        <v>0.22412177062514724</v>
      </c>
      <c r="P44" s="79">
        <f t="shared" si="5"/>
        <v>5.8781338346159881E-3</v>
      </c>
      <c r="Q44" s="79"/>
      <c r="R44" s="180">
        <f t="shared" si="7"/>
        <v>-6.6168032835312498E-3</v>
      </c>
      <c r="S44" s="82">
        <f t="shared" si="8"/>
        <v>-0.10392340636926731</v>
      </c>
      <c r="T44" s="78">
        <f t="shared" si="9"/>
        <v>-2.1566053159264564</v>
      </c>
    </row>
    <row r="45" spans="1:20" s="1" customFormat="1" ht="11.25" customHeight="1" x14ac:dyDescent="0.2">
      <c r="A45" s="83">
        <v>42</v>
      </c>
      <c r="B45" s="83" t="s">
        <v>227</v>
      </c>
      <c r="C45" s="84">
        <v>6.3579999999999997</v>
      </c>
      <c r="D45" s="84">
        <v>3.3907097656250003E-2</v>
      </c>
      <c r="E45" s="84">
        <v>-13.576044052139192</v>
      </c>
      <c r="F45" s="84">
        <v>0.23558728125</v>
      </c>
      <c r="G45" s="84">
        <v>-24.834443491706129</v>
      </c>
      <c r="H45" s="101">
        <f t="shared" si="10"/>
        <v>-29.680509811034206</v>
      </c>
      <c r="I45" s="78">
        <f t="shared" si="0"/>
        <v>-14.840050986214854</v>
      </c>
      <c r="J45" s="79">
        <f t="shared" si="1"/>
        <v>3.7053677453601767E-2</v>
      </c>
      <c r="K45" s="79"/>
      <c r="L45" s="79"/>
      <c r="M45" s="79">
        <f t="shared" si="2"/>
        <v>0</v>
      </c>
      <c r="N45" s="180">
        <f t="shared" si="3"/>
        <v>1.3520118483656252E-2</v>
      </c>
      <c r="O45" s="81">
        <f t="shared" si="4"/>
        <v>0.21264734953847517</v>
      </c>
      <c r="P45" s="79">
        <f t="shared" si="5"/>
        <v>5.3329817012032089E-3</v>
      </c>
      <c r="Q45" s="79"/>
      <c r="R45" s="180">
        <f t="shared" si="7"/>
        <v>-6.7609618374140611E-3</v>
      </c>
      <c r="S45" s="82">
        <f t="shared" si="8"/>
        <v>-0.10633787098795315</v>
      </c>
      <c r="T45" s="78">
        <f t="shared" si="9"/>
        <v>-1.9997329978758525</v>
      </c>
    </row>
    <row r="46" spans="1:20" s="1" customFormat="1" ht="11.25" customHeight="1" x14ac:dyDescent="0.2">
      <c r="A46" s="83">
        <v>43</v>
      </c>
      <c r="B46" s="83" t="s">
        <v>228</v>
      </c>
      <c r="C46" s="84">
        <v>6.2960000000000003</v>
      </c>
      <c r="D46" s="84">
        <v>3.7146847656250002E-2</v>
      </c>
      <c r="E46" s="84">
        <v>-8.093262258939804</v>
      </c>
      <c r="F46" s="84">
        <v>0.25559110937500001</v>
      </c>
      <c r="G46" s="84">
        <v>-24.707387843794614</v>
      </c>
      <c r="H46" s="101">
        <f t="shared" si="10"/>
        <v>-29.551586445098394</v>
      </c>
      <c r="I46" s="78">
        <f t="shared" si="0"/>
        <v>-9.3572691930154654</v>
      </c>
      <c r="J46" s="79">
        <f t="shared" si="1"/>
        <v>4.0595792467439648E-2</v>
      </c>
      <c r="K46" s="79"/>
      <c r="L46" s="79"/>
      <c r="M46" s="79">
        <f t="shared" si="2"/>
        <v>0</v>
      </c>
      <c r="N46" s="180">
        <f t="shared" si="3"/>
        <v>1.4668118175921877E-2</v>
      </c>
      <c r="O46" s="81">
        <f t="shared" si="4"/>
        <v>0.23297519339138939</v>
      </c>
      <c r="P46" s="79">
        <f t="shared" si="5"/>
        <v>5.9000711016915499E-3</v>
      </c>
      <c r="Q46" s="79"/>
      <c r="R46" s="180">
        <f t="shared" si="7"/>
        <v>-6.6282422389140616E-3</v>
      </c>
      <c r="S46" s="82">
        <f t="shared" si="8"/>
        <v>-0.10527703683154482</v>
      </c>
      <c r="T46" s="78">
        <f t="shared" si="9"/>
        <v>-2.2129725570085728</v>
      </c>
    </row>
    <row r="47" spans="1:20" s="1" customFormat="1" ht="11.25" customHeight="1" x14ac:dyDescent="0.2">
      <c r="A47" s="83">
        <v>44</v>
      </c>
      <c r="B47" s="83" t="s">
        <v>229</v>
      </c>
      <c r="C47" s="84">
        <v>6.0039999999999996</v>
      </c>
      <c r="D47" s="84">
        <v>4.3158953125000003E-2</v>
      </c>
      <c r="E47" s="84">
        <v>-6.2308257193014471</v>
      </c>
      <c r="F47" s="84">
        <v>0.28838740624999998</v>
      </c>
      <c r="G47" s="84">
        <v>-24.464843861945347</v>
      </c>
      <c r="H47" s="101">
        <f t="shared" si="10"/>
        <v>-29.305477066715945</v>
      </c>
      <c r="I47" s="78">
        <f t="shared" si="0"/>
        <v>-7.4948326533771077</v>
      </c>
      <c r="J47" s="79">
        <f t="shared" si="1"/>
        <v>4.8032546010992674E-2</v>
      </c>
      <c r="K47" s="79"/>
      <c r="L47" s="79"/>
      <c r="M47" s="79">
        <f t="shared" si="2"/>
        <v>0</v>
      </c>
      <c r="N47" s="180">
        <f t="shared" si="3"/>
        <v>1.6550264857281248E-2</v>
      </c>
      <c r="O47" s="81">
        <f t="shared" si="4"/>
        <v>0.27565397830248584</v>
      </c>
      <c r="P47" s="79">
        <f t="shared" si="5"/>
        <v>7.1883666097601606E-3</v>
      </c>
      <c r="Q47" s="79"/>
      <c r="R47" s="180">
        <f t="shared" si="7"/>
        <v>-6.3819503262812494E-3</v>
      </c>
      <c r="S47" s="82">
        <f t="shared" si="8"/>
        <v>-0.10629497545438457</v>
      </c>
      <c r="T47" s="78">
        <f t="shared" si="9"/>
        <v>-2.5932926474100366</v>
      </c>
    </row>
    <row r="48" spans="1:20" s="1" customFormat="1" ht="11.25" customHeight="1" x14ac:dyDescent="0.2">
      <c r="A48" s="83">
        <v>45</v>
      </c>
      <c r="B48" s="83" t="s">
        <v>230</v>
      </c>
      <c r="C48" s="84">
        <v>6.0339999999999998</v>
      </c>
      <c r="D48" s="84">
        <v>3.849669921875E-2</v>
      </c>
      <c r="E48" s="84">
        <v>-6.3775638041611016</v>
      </c>
      <c r="F48" s="84">
        <v>0.24743840624999999</v>
      </c>
      <c r="G48" s="84">
        <v>-24.99915434707485</v>
      </c>
      <c r="H48" s="101">
        <f t="shared" si="10"/>
        <v>-29.847641915976851</v>
      </c>
      <c r="I48" s="78">
        <f t="shared" si="0"/>
        <v>-7.6415707382367621</v>
      </c>
      <c r="J48" s="79">
        <f t="shared" si="1"/>
        <v>4.10073593387471E-2</v>
      </c>
      <c r="K48" s="79"/>
      <c r="L48" s="79"/>
      <c r="M48" s="79">
        <f t="shared" si="2"/>
        <v>0</v>
      </c>
      <c r="N48" s="180">
        <f t="shared" si="3"/>
        <v>1.420024269628125E-2</v>
      </c>
      <c r="O48" s="81">
        <f t="shared" si="4"/>
        <v>0.23533713450913574</v>
      </c>
      <c r="P48" s="79">
        <f t="shared" si="5"/>
        <v>6.3799634104656942E-3</v>
      </c>
      <c r="Q48" s="79"/>
      <c r="R48" s="180">
        <f t="shared" si="7"/>
        <v>-6.5729442198046864E-3</v>
      </c>
      <c r="S48" s="82">
        <f t="shared" si="8"/>
        <v>-0.1089317901856925</v>
      </c>
      <c r="T48" s="78">
        <f t="shared" si="9"/>
        <v>-2.1604082160769056</v>
      </c>
    </row>
    <row r="49" spans="1:20" s="1" customFormat="1" ht="11.25" customHeight="1" x14ac:dyDescent="0.2">
      <c r="A49" s="83">
        <v>46</v>
      </c>
      <c r="B49" s="83" t="s">
        <v>231</v>
      </c>
      <c r="C49" s="84">
        <v>6.0579999999999998</v>
      </c>
      <c r="D49" s="84">
        <v>3.7315109375000002E-2</v>
      </c>
      <c r="E49" s="84">
        <v>-7.9852596113881846</v>
      </c>
      <c r="F49" s="84">
        <v>0.24377565625</v>
      </c>
      <c r="G49" s="84">
        <v>-24.559662262897508</v>
      </c>
      <c r="H49" s="101">
        <f t="shared" si="10"/>
        <v>-29.401689298162097</v>
      </c>
      <c r="I49" s="78">
        <f t="shared" si="0"/>
        <v>-9.2492665454638452</v>
      </c>
      <c r="J49" s="79">
        <f t="shared" si="1"/>
        <v>4.024028660448993E-2</v>
      </c>
      <c r="K49" s="79"/>
      <c r="L49" s="79"/>
      <c r="M49" s="79">
        <f t="shared" si="2"/>
        <v>0</v>
      </c>
      <c r="N49" s="180">
        <f>F49*$B$28+$D$28</f>
        <v>1.399004113653125E-2</v>
      </c>
      <c r="O49" s="81">
        <f>N49/C49*100</f>
        <v>0.23093498079450728</v>
      </c>
      <c r="P49" s="79">
        <f t="shared" si="5"/>
        <v>6.1596416928029057E-3</v>
      </c>
      <c r="Q49" s="79"/>
      <c r="R49" s="180">
        <f t="shared" si="7"/>
        <v>-6.6213492293437492E-3</v>
      </c>
      <c r="S49" s="82">
        <f t="shared" si="8"/>
        <v>-0.10929926096638742</v>
      </c>
      <c r="T49" s="78">
        <f t="shared" si="9"/>
        <v>-2.1128686392996405</v>
      </c>
    </row>
    <row r="50" spans="1:20" s="1" customFormat="1" ht="11.25" customHeight="1" x14ac:dyDescent="0.2">
      <c r="A50" s="83">
        <v>47</v>
      </c>
      <c r="B50" s="83" t="s">
        <v>232</v>
      </c>
      <c r="C50" s="84">
        <v>6.51</v>
      </c>
      <c r="D50" s="84">
        <v>8.5170265625000005E-2</v>
      </c>
      <c r="E50" s="84">
        <v>0.28425612472671169</v>
      </c>
      <c r="F50" s="84">
        <v>0.64182093750000002</v>
      </c>
      <c r="G50" s="84">
        <v>-22.919464430531157</v>
      </c>
      <c r="H50" s="101">
        <f t="shared" si="10"/>
        <v>-27.737380557659961</v>
      </c>
      <c r="I50" s="78">
        <f t="shared" si="0"/>
        <v>-0.97975080934894931</v>
      </c>
      <c r="J50" s="79">
        <f t="shared" si="1"/>
        <v>9.8590005760368665E-2</v>
      </c>
      <c r="K50" s="79"/>
      <c r="L50" s="79"/>
      <c r="M50" s="79">
        <f t="shared" si="2"/>
        <v>0</v>
      </c>
      <c r="N50" s="180">
        <f t="shared" si="3"/>
        <v>3.68334617821875E-2</v>
      </c>
      <c r="O50" s="81">
        <f t="shared" si="4"/>
        <v>0.56579818405817972</v>
      </c>
      <c r="P50" s="79">
        <f t="shared" si="5"/>
        <v>1.3082990111367128E-2</v>
      </c>
      <c r="Q50" s="79"/>
      <c r="R50" s="180">
        <f t="shared" si="7"/>
        <v>-4.6609148984062491E-3</v>
      </c>
      <c r="S50" s="82">
        <f t="shared" si="8"/>
        <v>-7.1596234998559896E-2</v>
      </c>
      <c r="T50" s="78">
        <f t="shared" si="9"/>
        <v>-7.9026248247489601</v>
      </c>
    </row>
    <row r="51" spans="1:20" s="1" customFormat="1" ht="11.25" customHeight="1" x14ac:dyDescent="0.2">
      <c r="A51" s="83">
        <v>48</v>
      </c>
      <c r="B51" s="83" t="s">
        <v>233</v>
      </c>
      <c r="C51" s="84">
        <v>6.4950000000000001</v>
      </c>
      <c r="D51" s="84">
        <v>5.9759460937500002E-2</v>
      </c>
      <c r="E51" s="84">
        <v>4.3039253301442315</v>
      </c>
      <c r="F51" s="84">
        <v>0.48696262499999998</v>
      </c>
      <c r="G51" s="84">
        <v>-23.223161672240561</v>
      </c>
      <c r="H51" s="101">
        <f t="shared" si="10"/>
        <v>-28.045542148822499</v>
      </c>
      <c r="I51" s="78">
        <f t="shared" si="0"/>
        <v>3.0399183960685705</v>
      </c>
      <c r="J51" s="79">
        <f t="shared" si="1"/>
        <v>7.4975E-2</v>
      </c>
      <c r="K51" s="79"/>
      <c r="L51" s="79"/>
      <c r="M51" s="79">
        <f t="shared" si="2"/>
        <v>0</v>
      </c>
      <c r="N51" s="180">
        <f t="shared" si="3"/>
        <v>2.7946298086125001E-2</v>
      </c>
      <c r="O51" s="81">
        <f t="shared" si="4"/>
        <v>0.43027402750000004</v>
      </c>
      <c r="P51" s="79">
        <f t="shared" si="5"/>
        <v>9.2008407909930714E-3</v>
      </c>
      <c r="Q51" s="79"/>
      <c r="R51" s="180">
        <f t="shared" si="7"/>
        <v>-5.7018939232343739E-3</v>
      </c>
      <c r="S51" s="82">
        <f t="shared" si="8"/>
        <v>-8.7788974953570034E-2</v>
      </c>
      <c r="T51" s="78">
        <f t="shared" si="9"/>
        <v>-4.9012307949553344</v>
      </c>
    </row>
    <row r="52" spans="1:20" s="1" customFormat="1" ht="11.25" customHeight="1" x14ac:dyDescent="0.2">
      <c r="A52" s="183">
        <v>49</v>
      </c>
      <c r="B52" s="183" t="s">
        <v>234</v>
      </c>
      <c r="C52" s="184">
        <v>6.3319999999999999</v>
      </c>
      <c r="D52" s="184">
        <v>5.3424398437499999E-2</v>
      </c>
      <c r="E52" s="184">
        <v>-4.2381907250031992</v>
      </c>
      <c r="F52" s="184">
        <v>0.417574</v>
      </c>
      <c r="G52" s="184">
        <v>-23.370386219802967</v>
      </c>
      <c r="H52" s="101">
        <f>$B$26*G52+$D$26</f>
        <v>-28.194930897234066</v>
      </c>
      <c r="I52" s="78">
        <f>$B$27*E52+$D$27</f>
        <v>-5.5021976590788597</v>
      </c>
      <c r="J52" s="79">
        <f>(F52)/C52</f>
        <v>6.5946620341124446E-2</v>
      </c>
      <c r="K52" s="79"/>
      <c r="L52" s="79"/>
      <c r="M52" s="79">
        <f>C52*(K52/100)</f>
        <v>0</v>
      </c>
      <c r="N52" s="180">
        <f>F52*$B$28+$D$28</f>
        <v>2.3964154285999999E-2</v>
      </c>
      <c r="O52" s="81">
        <f>N52/C52*100</f>
        <v>0.3784610594756791</v>
      </c>
      <c r="P52" s="79">
        <f>D52/C52</f>
        <v>8.4372075864655727E-3</v>
      </c>
      <c r="Q52" s="79"/>
      <c r="R52" s="180">
        <f>D52*$B$29+$D$29</f>
        <v>-5.9614160936093744E-3</v>
      </c>
      <c r="S52" s="82">
        <f>R52/C52*100</f>
        <v>-9.4147443044999599E-2</v>
      </c>
      <c r="T52" s="78">
        <f>N52/R52</f>
        <v>-4.0198761350829919</v>
      </c>
    </row>
    <row r="53" spans="1:20" s="90" customFormat="1" ht="11.25" customHeight="1" x14ac:dyDescent="0.2">
      <c r="A53" s="185">
        <v>50</v>
      </c>
      <c r="B53" s="185" t="s">
        <v>82</v>
      </c>
      <c r="C53" s="186">
        <v>1.363</v>
      </c>
      <c r="D53" s="186">
        <v>1.130804125</v>
      </c>
      <c r="E53" s="186">
        <v>3.4823514065576155</v>
      </c>
      <c r="F53" s="186">
        <v>10.573038</v>
      </c>
      <c r="G53" s="186">
        <v>-21.630800488080734</v>
      </c>
      <c r="H53" s="100">
        <f t="shared" si="10"/>
        <v>-26.429773255255519</v>
      </c>
      <c r="I53" s="86">
        <f t="shared" si="0"/>
        <v>2.2183444724819545</v>
      </c>
      <c r="J53" s="87">
        <f t="shared" si="1"/>
        <v>7.7571812179016879</v>
      </c>
      <c r="K53" s="87">
        <f t="shared" ref="K53" si="19">H$14</f>
        <v>44.65</v>
      </c>
      <c r="L53" s="87">
        <f t="shared" ref="L53" si="20">I$14</f>
        <v>2.83</v>
      </c>
      <c r="M53" s="87">
        <f t="shared" ref="M53:M54" si="21">C53*(K53/100)</f>
        <v>0.60857950000000005</v>
      </c>
      <c r="N53" s="179">
        <f t="shared" ref="N53:N54" si="22">F53*$B$28+$D$28</f>
        <v>0.60677607778200005</v>
      </c>
      <c r="O53" s="91">
        <f t="shared" ref="O53:O54" si="23">N53/C53*100</f>
        <v>44.517687291415996</v>
      </c>
      <c r="P53" s="87">
        <f t="shared" ref="P53:P54" si="24">D53/C53</f>
        <v>0.82964352531181218</v>
      </c>
      <c r="Q53" s="87">
        <f t="shared" ref="Q53" si="25">C53*(L53/100)</f>
        <v>3.85729E-2</v>
      </c>
      <c r="R53" s="179">
        <f t="shared" si="7"/>
        <v>3.8174521784750004E-2</v>
      </c>
      <c r="S53" s="89">
        <f t="shared" si="8"/>
        <v>2.8007719577953045</v>
      </c>
      <c r="T53" s="86">
        <f t="shared" si="9"/>
        <v>15.894791851050654</v>
      </c>
    </row>
    <row r="54" spans="1:20" s="126" customFormat="1" ht="11.25" customHeight="1" x14ac:dyDescent="0.2">
      <c r="A54" s="187">
        <v>51</v>
      </c>
      <c r="B54" s="187" t="s">
        <v>87</v>
      </c>
      <c r="C54" s="188">
        <v>1.395</v>
      </c>
      <c r="D54" s="188">
        <v>7.9811609374999995E-2</v>
      </c>
      <c r="E54" s="188">
        <v>-4.07271376237206</v>
      </c>
      <c r="F54" s="188">
        <v>0.56177806249999995</v>
      </c>
      <c r="G54" s="188">
        <v>-17.289200022519488</v>
      </c>
      <c r="H54" s="121">
        <f t="shared" si="10"/>
        <v>-22.024351262850523</v>
      </c>
      <c r="I54" s="122">
        <f t="shared" si="0"/>
        <v>-5.3367206964477205</v>
      </c>
      <c r="J54" s="118">
        <f t="shared" si="1"/>
        <v>0.40270828853046592</v>
      </c>
      <c r="K54" s="118">
        <f>H$13</f>
        <v>3.3479999999999999</v>
      </c>
      <c r="L54" s="118"/>
      <c r="M54" s="118">
        <f t="shared" si="21"/>
        <v>4.6704599999999992E-2</v>
      </c>
      <c r="N54" s="181">
        <f t="shared" si="22"/>
        <v>3.2239881228812502E-2</v>
      </c>
      <c r="O54" s="124">
        <f t="shared" si="23"/>
        <v>2.3111025970474914</v>
      </c>
      <c r="P54" s="118">
        <f t="shared" si="24"/>
        <v>5.7212623207885303E-2</v>
      </c>
      <c r="Q54" s="118"/>
      <c r="R54" s="181">
        <f t="shared" si="7"/>
        <v>-4.8804376103437491E-3</v>
      </c>
      <c r="S54" s="125">
        <f t="shared" si="8"/>
        <v>-0.34985215844758061</v>
      </c>
      <c r="T54" s="122">
        <f t="shared" si="9"/>
        <v>-6.6059406559121481</v>
      </c>
    </row>
    <row r="55" spans="1:20" s="1" customFormat="1" ht="11.25" customHeight="1" x14ac:dyDescent="0.2">
      <c r="A55" s="183">
        <v>52</v>
      </c>
      <c r="B55" s="183" t="s">
        <v>235</v>
      </c>
      <c r="C55" s="184">
        <v>6.516</v>
      </c>
      <c r="D55" s="184">
        <v>8.4723835937500006E-2</v>
      </c>
      <c r="E55" s="184">
        <v>-21.253511983651219</v>
      </c>
      <c r="F55" s="184">
        <v>0.72623143749999997</v>
      </c>
      <c r="G55" s="184">
        <v>-22.11747765218869</v>
      </c>
      <c r="H55" s="101">
        <f t="shared" si="10"/>
        <v>-26.92360457367586</v>
      </c>
      <c r="I55" s="78">
        <f t="shared" si="0"/>
        <v>-22.517518917726878</v>
      </c>
      <c r="J55" s="79">
        <f t="shared" si="1"/>
        <v>0.11145356622160835</v>
      </c>
      <c r="K55" s="79">
        <f>H$13</f>
        <v>3.3479999999999999</v>
      </c>
      <c r="L55" s="79"/>
      <c r="M55" s="79">
        <f t="shared" si="2"/>
        <v>0.21815567999999996</v>
      </c>
      <c r="N55" s="180">
        <f t="shared" si="3"/>
        <v>4.1677695966687502E-2</v>
      </c>
      <c r="O55" s="81">
        <f t="shared" si="4"/>
        <v>0.6396208711891882</v>
      </c>
      <c r="P55" s="79">
        <f t="shared" si="5"/>
        <v>1.3002430315761204E-2</v>
      </c>
      <c r="Q55" s="79"/>
      <c r="R55" s="180">
        <f t="shared" si="7"/>
        <v>-4.6792033369843743E-3</v>
      </c>
      <c r="S55" s="82">
        <f t="shared" si="8"/>
        <v>-7.1810978161208933E-2</v>
      </c>
      <c r="T55" s="78">
        <f t="shared" si="9"/>
        <v>-8.9070068054678089</v>
      </c>
    </row>
    <row r="56" spans="1:20" s="1" customFormat="1" ht="11.25" customHeight="1" x14ac:dyDescent="0.2">
      <c r="A56" s="183">
        <v>53</v>
      </c>
      <c r="B56" s="183" t="s">
        <v>236</v>
      </c>
      <c r="C56" s="184">
        <v>6.7830000000000004</v>
      </c>
      <c r="D56" s="184">
        <v>9.1923085937499996E-2</v>
      </c>
      <c r="E56" s="184">
        <v>-5.669378622523813</v>
      </c>
      <c r="F56" s="184">
        <v>0.78526856249999999</v>
      </c>
      <c r="G56" s="184">
        <v>-22.317772396983631</v>
      </c>
      <c r="H56" s="101">
        <f t="shared" si="10"/>
        <v>-27.126843651219289</v>
      </c>
      <c r="I56" s="78">
        <f t="shared" si="0"/>
        <v>-6.9333855565994735</v>
      </c>
      <c r="J56" s="79">
        <f t="shared" si="1"/>
        <v>0.11577009619637328</v>
      </c>
      <c r="K56" s="79"/>
      <c r="L56" s="79"/>
      <c r="M56" s="79">
        <f t="shared" si="2"/>
        <v>0</v>
      </c>
      <c r="N56" s="180">
        <f t="shared" si="3"/>
        <v>4.50657775333125E-2</v>
      </c>
      <c r="O56" s="81">
        <f t="shared" si="4"/>
        <v>0.66439300506136667</v>
      </c>
      <c r="P56" s="79">
        <f t="shared" si="5"/>
        <v>1.3551980825224826E-2</v>
      </c>
      <c r="Q56" s="79"/>
      <c r="R56" s="180">
        <f t="shared" si="7"/>
        <v>-4.3842788614843744E-3</v>
      </c>
      <c r="S56" s="82">
        <f t="shared" si="8"/>
        <v>-6.4636279839073774E-2</v>
      </c>
      <c r="T56" s="78">
        <f t="shared" si="9"/>
        <v>-10.278948706756005</v>
      </c>
    </row>
    <row r="57" spans="1:20" s="1" customFormat="1" ht="11.25" customHeight="1" x14ac:dyDescent="0.2">
      <c r="A57" s="183">
        <v>54</v>
      </c>
      <c r="B57" s="183" t="s">
        <v>237</v>
      </c>
      <c r="C57" s="184">
        <v>7.14</v>
      </c>
      <c r="D57" s="184">
        <v>0.139134828125</v>
      </c>
      <c r="E57" s="184">
        <v>-4.6189434628194359</v>
      </c>
      <c r="F57" s="184">
        <v>1.303103125</v>
      </c>
      <c r="G57" s="184">
        <v>-22.03273574360427</v>
      </c>
      <c r="H57" s="101">
        <f t="shared" si="10"/>
        <v>-26.837616959035252</v>
      </c>
      <c r="I57" s="78">
        <f t="shared" si="0"/>
        <v>-5.8829503968950974</v>
      </c>
      <c r="J57" s="79">
        <f t="shared" si="1"/>
        <v>0.1825074404761905</v>
      </c>
      <c r="K57" s="79"/>
      <c r="L57" s="79"/>
      <c r="M57" s="79">
        <f t="shared" si="2"/>
        <v>0</v>
      </c>
      <c r="N57" s="180">
        <f t="shared" si="3"/>
        <v>7.4783785240625011E-2</v>
      </c>
      <c r="O57" s="81">
        <f t="shared" si="4"/>
        <v>1.0473919501488098</v>
      </c>
      <c r="P57" s="79">
        <f t="shared" si="5"/>
        <v>1.9486670605742298E-2</v>
      </c>
      <c r="Q57" s="79"/>
      <c r="R57" s="180">
        <f t="shared" si="7"/>
        <v>-2.4502026310312492E-3</v>
      </c>
      <c r="S57" s="82">
        <f t="shared" si="8"/>
        <v>-3.4316563459821418E-2</v>
      </c>
      <c r="T57" s="78">
        <f t="shared" si="9"/>
        <v>-30.521469650512035</v>
      </c>
    </row>
    <row r="58" spans="1:20" s="1" customFormat="1" ht="11.25" customHeight="1" x14ac:dyDescent="0.2">
      <c r="A58" s="183">
        <v>55</v>
      </c>
      <c r="B58" s="183" t="s">
        <v>238</v>
      </c>
      <c r="C58" s="184">
        <v>6.6790000000000003</v>
      </c>
      <c r="D58" s="184">
        <v>0.16473840625</v>
      </c>
      <c r="E58" s="184">
        <v>-9.6331049002197346</v>
      </c>
      <c r="F58" s="184">
        <v>0.79824275</v>
      </c>
      <c r="G58" s="184">
        <v>-22.290423315460263</v>
      </c>
      <c r="H58" s="101">
        <f t="shared" si="10"/>
        <v>-27.099092538197525</v>
      </c>
      <c r="I58" s="78">
        <f t="shared" si="0"/>
        <v>-10.897111834295396</v>
      </c>
      <c r="J58" s="79">
        <f t="shared" si="1"/>
        <v>0.11951530917802065</v>
      </c>
      <c r="K58" s="79"/>
      <c r="L58" s="79"/>
      <c r="M58" s="79">
        <f t="shared" si="2"/>
        <v>0</v>
      </c>
      <c r="N58" s="180">
        <f t="shared" si="3"/>
        <v>4.5810353179750005E-2</v>
      </c>
      <c r="O58" s="81">
        <f t="shared" si="4"/>
        <v>0.68588640784174282</v>
      </c>
      <c r="P58" s="79">
        <f t="shared" si="5"/>
        <v>2.4665130446174577E-2</v>
      </c>
      <c r="Q58" s="79"/>
      <c r="R58" s="180">
        <f t="shared" si="7"/>
        <v>-1.4013264495624988E-3</v>
      </c>
      <c r="S58" s="82">
        <f t="shared" si="8"/>
        <v>-2.0981081742214386E-2</v>
      </c>
      <c r="T58" s="78">
        <f t="shared" si="9"/>
        <v>-32.690707574992416</v>
      </c>
    </row>
    <row r="59" spans="1:20" s="1" customFormat="1" ht="11.25" customHeight="1" x14ac:dyDescent="0.2">
      <c r="A59" s="83">
        <v>56</v>
      </c>
      <c r="B59" s="83" t="s">
        <v>239</v>
      </c>
      <c r="C59" s="84">
        <v>6.65</v>
      </c>
      <c r="D59" s="84">
        <v>0.200686296875</v>
      </c>
      <c r="E59" s="84">
        <v>-7.5185379244000483</v>
      </c>
      <c r="F59" s="84">
        <v>0.54276562500000003</v>
      </c>
      <c r="G59" s="84">
        <v>-22.148514848791322</v>
      </c>
      <c r="H59" s="101">
        <f t="shared" si="10"/>
        <v>-26.955098017068551</v>
      </c>
      <c r="I59" s="78">
        <f t="shared" si="0"/>
        <v>-8.7825448584757098</v>
      </c>
      <c r="J59" s="79">
        <f t="shared" si="1"/>
        <v>8.1618890977443612E-2</v>
      </c>
      <c r="K59" s="79"/>
      <c r="L59" s="79"/>
      <c r="M59" s="79">
        <f t="shared" si="2"/>
        <v>0</v>
      </c>
      <c r="N59" s="180">
        <f t="shared" si="3"/>
        <v>3.1148776453125002E-2</v>
      </c>
      <c r="O59" s="81">
        <f t="shared" si="4"/>
        <v>0.46840265343045112</v>
      </c>
      <c r="P59" s="79">
        <f t="shared" si="5"/>
        <v>3.0178390507518797E-2</v>
      </c>
      <c r="Q59" s="79"/>
      <c r="R59" s="180">
        <f t="shared" si="7"/>
        <v>7.1314837781251764E-5</v>
      </c>
      <c r="S59" s="82">
        <f t="shared" si="8"/>
        <v>1.0724035756579213E-3</v>
      </c>
      <c r="T59" s="78">
        <f t="shared" si="9"/>
        <v>436.77833985501718</v>
      </c>
    </row>
    <row r="60" spans="1:20" s="1" customFormat="1" ht="11.25" customHeight="1" x14ac:dyDescent="0.2">
      <c r="A60" s="83">
        <v>57</v>
      </c>
      <c r="B60" s="83" t="s">
        <v>240</v>
      </c>
      <c r="C60" s="84">
        <v>6.298</v>
      </c>
      <c r="D60" s="84">
        <v>0.23213098437499999</v>
      </c>
      <c r="E60" s="84">
        <v>-10.124029726416017</v>
      </c>
      <c r="F60" s="84">
        <v>0.52195934374999997</v>
      </c>
      <c r="G60" s="84">
        <v>-22.997372547697466</v>
      </c>
      <c r="H60" s="101">
        <f t="shared" si="10"/>
        <v>-27.816433924148619</v>
      </c>
      <c r="I60" s="78">
        <f t="shared" si="0"/>
        <v>-11.388036660491679</v>
      </c>
      <c r="J60" s="79">
        <f t="shared" si="1"/>
        <v>8.2876999642743726E-2</v>
      </c>
      <c r="K60" s="79"/>
      <c r="L60" s="79"/>
      <c r="M60" s="79">
        <f t="shared" si="2"/>
        <v>0</v>
      </c>
      <c r="N60" s="180">
        <f t="shared" si="3"/>
        <v>2.995472477846875E-2</v>
      </c>
      <c r="O60" s="81">
        <f t="shared" si="4"/>
        <v>0.47562281324974198</v>
      </c>
      <c r="P60" s="79">
        <f t="shared" si="5"/>
        <v>3.6857888913147029E-2</v>
      </c>
      <c r="Q60" s="79"/>
      <c r="R60" s="180">
        <f t="shared" si="7"/>
        <v>1.3594779059062506E-3</v>
      </c>
      <c r="S60" s="82">
        <f t="shared" si="8"/>
        <v>2.1585867035666093E-2</v>
      </c>
      <c r="T60" s="78">
        <f t="shared" si="9"/>
        <v>22.033991614229606</v>
      </c>
    </row>
    <row r="61" spans="1:20" s="1" customFormat="1" ht="11.25" customHeight="1" x14ac:dyDescent="0.2">
      <c r="A61" s="83">
        <v>58</v>
      </c>
      <c r="B61" s="83" t="s">
        <v>241</v>
      </c>
      <c r="C61" s="84">
        <v>6.1820000000000004</v>
      </c>
      <c r="D61" s="84">
        <v>0.22018103124999999</v>
      </c>
      <c r="E61" s="84">
        <v>-11.582464559771299</v>
      </c>
      <c r="F61" s="84">
        <v>0.3500696875</v>
      </c>
      <c r="G61" s="84">
        <v>-22.596999911042449</v>
      </c>
      <c r="H61" s="101">
        <f t="shared" si="10"/>
        <v>-27.410175809734774</v>
      </c>
      <c r="I61" s="78">
        <f t="shared" si="0"/>
        <v>-12.846471493846961</v>
      </c>
      <c r="J61" s="79">
        <f t="shared" si="1"/>
        <v>5.6627254529278546E-2</v>
      </c>
      <c r="K61" s="79"/>
      <c r="L61" s="79"/>
      <c r="M61" s="79">
        <f t="shared" si="2"/>
        <v>0</v>
      </c>
      <c r="N61" s="180">
        <f t="shared" si="3"/>
        <v>2.0090149295937502E-2</v>
      </c>
      <c r="O61" s="81">
        <f t="shared" si="4"/>
        <v>0.3249781510180767</v>
      </c>
      <c r="P61" s="79">
        <f t="shared" si="5"/>
        <v>3.5616472217728887E-2</v>
      </c>
      <c r="Q61" s="79"/>
      <c r="R61" s="180">
        <f t="shared" si="7"/>
        <v>8.6993612618750139E-4</v>
      </c>
      <c r="S61" s="82">
        <f t="shared" si="8"/>
        <v>1.4072082274142693E-2</v>
      </c>
      <c r="T61" s="78">
        <f t="shared" si="9"/>
        <v>23.093821133722383</v>
      </c>
    </row>
    <row r="62" spans="1:20" s="1" customFormat="1" ht="11.25" customHeight="1" x14ac:dyDescent="0.2">
      <c r="A62" s="83">
        <v>59</v>
      </c>
      <c r="B62" s="83" t="s">
        <v>242</v>
      </c>
      <c r="C62" s="84">
        <v>6.8170000000000002</v>
      </c>
      <c r="D62" s="84">
        <v>0.22009726562500001</v>
      </c>
      <c r="E62" s="84">
        <v>-10.612650083861475</v>
      </c>
      <c r="F62" s="84">
        <v>0.4323904375</v>
      </c>
      <c r="G62" s="84">
        <v>-22.283183347019232</v>
      </c>
      <c r="H62" s="101">
        <f t="shared" si="10"/>
        <v>-27.091746142220416</v>
      </c>
      <c r="I62" s="78">
        <f t="shared" si="0"/>
        <v>-11.876657017937136</v>
      </c>
      <c r="J62" s="79">
        <f t="shared" si="1"/>
        <v>6.3428258398122342E-2</v>
      </c>
      <c r="K62" s="79"/>
      <c r="L62" s="79"/>
      <c r="M62" s="79">
        <f t="shared" si="2"/>
        <v>0</v>
      </c>
      <c r="N62" s="180">
        <f t="shared" si="3"/>
        <v>2.4814454817687501E-2</v>
      </c>
      <c r="O62" s="81">
        <f t="shared" si="4"/>
        <v>0.36400843212098433</v>
      </c>
      <c r="P62" s="79">
        <f t="shared" si="5"/>
        <v>3.2286528623294702E-2</v>
      </c>
      <c r="Q62" s="79"/>
      <c r="R62" s="180">
        <f t="shared" si="7"/>
        <v>8.6650458359375203E-4</v>
      </c>
      <c r="S62" s="82">
        <f t="shared" si="8"/>
        <v>1.2710937121809476E-2</v>
      </c>
      <c r="T62" s="78">
        <f t="shared" si="9"/>
        <v>28.63741899064367</v>
      </c>
    </row>
    <row r="63" spans="1:20" s="1" customFormat="1" ht="11.25" customHeight="1" x14ac:dyDescent="0.2">
      <c r="A63" s="83">
        <v>60</v>
      </c>
      <c r="B63" s="83" t="s">
        <v>243</v>
      </c>
      <c r="C63" s="84">
        <v>6.2880000000000003</v>
      </c>
      <c r="D63" s="84">
        <v>0.21604134375</v>
      </c>
      <c r="E63" s="84">
        <v>-4.9418807733624392</v>
      </c>
      <c r="F63" s="84">
        <v>0.39756425000000001</v>
      </c>
      <c r="G63" s="84">
        <v>-22.336073705734524</v>
      </c>
      <c r="H63" s="101">
        <f>$B$26*G63+$D$26</f>
        <v>-27.145413989208819</v>
      </c>
      <c r="I63" s="78">
        <f>$B$27*E63+$D$27</f>
        <v>-6.2058877074380998</v>
      </c>
      <c r="J63" s="79">
        <f>(F63)/C63</f>
        <v>6.3225866730279898E-2</v>
      </c>
      <c r="K63" s="79"/>
      <c r="L63" s="79"/>
      <c r="M63" s="79">
        <f>C63*(K63/100)</f>
        <v>0</v>
      </c>
      <c r="N63" s="180">
        <f>F63*$B$28+$D$28</f>
        <v>2.281581474325E-2</v>
      </c>
      <c r="O63" s="81">
        <f>N63/C63*100</f>
        <v>0.36284692657840328</v>
      </c>
      <c r="P63" s="79">
        <f>D63/C63</f>
        <v>3.4357720062022902E-2</v>
      </c>
      <c r="Q63" s="79"/>
      <c r="R63" s="180">
        <f>D63*$B$29+$D$29</f>
        <v>7.0034968806250222E-4</v>
      </c>
      <c r="S63" s="82">
        <f>R63/C63*100</f>
        <v>1.1137876718551244E-2</v>
      </c>
      <c r="T63" s="78">
        <f>N63/R63</f>
        <v>32.577746705891045</v>
      </c>
    </row>
    <row r="64" spans="1:20" s="113" customFormat="1" ht="11.25" customHeight="1" x14ac:dyDescent="0.2">
      <c r="A64" s="115">
        <v>61</v>
      </c>
      <c r="B64" s="115" t="s">
        <v>244</v>
      </c>
      <c r="C64" s="112">
        <v>6.4240000000000004</v>
      </c>
      <c r="D64" s="112">
        <v>0.20325553125000001</v>
      </c>
      <c r="E64" s="112">
        <v>-11.860990736028754</v>
      </c>
      <c r="F64" s="112">
        <v>0.44882112499999999</v>
      </c>
      <c r="G64" s="112">
        <v>-22.719630758875631</v>
      </c>
      <c r="H64" s="166">
        <f t="shared" si="10"/>
        <v>-27.534609331031099</v>
      </c>
      <c r="I64" s="128">
        <f t="shared" si="0"/>
        <v>-13.124997670104415</v>
      </c>
      <c r="J64" s="167">
        <f t="shared" si="1"/>
        <v>6.9866302148194268E-2</v>
      </c>
      <c r="K64" s="167"/>
      <c r="L64" s="167"/>
      <c r="M64" s="167">
        <f t="shared" ref="M64:M66" si="26">C64*(K64/100)</f>
        <v>0</v>
      </c>
      <c r="N64" s="182">
        <f t="shared" ref="N64:N66" si="27">F64*$B$28+$D$28</f>
        <v>2.5757395542624999E-2</v>
      </c>
      <c r="O64" s="168">
        <f t="shared" ref="O64:O66" si="28">N64/C64*100</f>
        <v>0.40095572139827207</v>
      </c>
      <c r="P64" s="167">
        <f t="shared" ref="P64:P66" si="29">D64/C64</f>
        <v>3.1640026657845578E-2</v>
      </c>
      <c r="Q64" s="167"/>
      <c r="R64" s="182">
        <f t="shared" si="7"/>
        <v>1.7656609318750238E-4</v>
      </c>
      <c r="S64" s="169">
        <f t="shared" si="8"/>
        <v>2.7485381878502861E-3</v>
      </c>
      <c r="T64" s="128">
        <f t="shared" si="9"/>
        <v>145.87962545714947</v>
      </c>
    </row>
    <row r="65" spans="1:20" s="165" customFormat="1" ht="11.25" customHeight="1" x14ac:dyDescent="0.2">
      <c r="A65" s="158">
        <v>62</v>
      </c>
      <c r="B65" s="158" t="s">
        <v>61</v>
      </c>
      <c r="C65" s="159">
        <v>0.79900000000000004</v>
      </c>
      <c r="D65" s="159">
        <v>0.59798675000000001</v>
      </c>
      <c r="E65" s="159">
        <v>-3.1561948715812527</v>
      </c>
      <c r="F65" s="159">
        <v>4.0189317500000001</v>
      </c>
      <c r="G65" s="159">
        <v>-21.285529091764939</v>
      </c>
      <c r="H65" s="160">
        <f t="shared" si="10"/>
        <v>-26.079426369413881</v>
      </c>
      <c r="I65" s="161">
        <f t="shared" si="0"/>
        <v>-4.4202018056569141</v>
      </c>
      <c r="J65" s="162">
        <f t="shared" si="1"/>
        <v>5.0299521276595742</v>
      </c>
      <c r="K65" s="162">
        <f t="shared" ref="K65" si="30">H$14</f>
        <v>44.65</v>
      </c>
      <c r="L65" s="162">
        <f t="shared" ref="L65" si="31">I$14</f>
        <v>2.83</v>
      </c>
      <c r="M65" s="162">
        <f t="shared" si="26"/>
        <v>0.3567535</v>
      </c>
      <c r="N65" s="189">
        <f t="shared" si="27"/>
        <v>0.23064247420075001</v>
      </c>
      <c r="O65" s="163">
        <f t="shared" si="28"/>
        <v>28.866392265425532</v>
      </c>
      <c r="P65" s="162">
        <f t="shared" si="29"/>
        <v>0.74841896120150186</v>
      </c>
      <c r="Q65" s="162">
        <f t="shared" ref="Q65" si="32">C65*(L65/100)</f>
        <v>2.2611700000000002E-2</v>
      </c>
      <c r="R65" s="189">
        <f t="shared" si="7"/>
        <v>1.6347125200500003E-2</v>
      </c>
      <c r="S65" s="164">
        <f t="shared" si="8"/>
        <v>2.0459480851689613</v>
      </c>
      <c r="T65" s="161">
        <f t="shared" si="9"/>
        <v>14.109054122476254</v>
      </c>
    </row>
    <row r="66" spans="1:20" s="177" customFormat="1" ht="11.25" customHeight="1" x14ac:dyDescent="0.2">
      <c r="A66" s="170">
        <v>63</v>
      </c>
      <c r="B66" s="170" t="s">
        <v>98</v>
      </c>
      <c r="C66" s="171">
        <v>2.57</v>
      </c>
      <c r="D66" s="171">
        <v>0.28957065625</v>
      </c>
      <c r="E66" s="171">
        <v>-27.42800388968092</v>
      </c>
      <c r="F66" s="171">
        <v>1.4359858750000001</v>
      </c>
      <c r="G66" s="171">
        <v>-21.33091875403645</v>
      </c>
      <c r="H66" s="172">
        <f t="shared" si="10"/>
        <v>-26.125483259720781</v>
      </c>
      <c r="I66" s="173">
        <f t="shared" si="0"/>
        <v>-28.692010823756579</v>
      </c>
      <c r="J66" s="174">
        <f t="shared" si="1"/>
        <v>0.55874936770428019</v>
      </c>
      <c r="K66" s="174">
        <f>H$13</f>
        <v>3.3479999999999999</v>
      </c>
      <c r="L66" s="174"/>
      <c r="M66" s="174">
        <f t="shared" si="26"/>
        <v>8.6043599999999984E-2</v>
      </c>
      <c r="N66" s="190">
        <f t="shared" si="27"/>
        <v>8.2409793380375004E-2</v>
      </c>
      <c r="O66" s="175">
        <f t="shared" si="28"/>
        <v>3.2066067463180934</v>
      </c>
      <c r="P66" s="174">
        <f t="shared" si="29"/>
        <v>0.11267340710116733</v>
      </c>
      <c r="Q66" s="174"/>
      <c r="R66" s="190">
        <f t="shared" si="7"/>
        <v>3.7125515039375008E-3</v>
      </c>
      <c r="S66" s="176">
        <f t="shared" si="8"/>
        <v>0.14445725696254869</v>
      </c>
      <c r="T66" s="173">
        <f t="shared" si="9"/>
        <v>22.197616192791365</v>
      </c>
    </row>
    <row r="67" spans="1:20" s="113" customFormat="1" ht="11.25" customHeight="1" x14ac:dyDescent="0.2">
      <c r="A67" s="115">
        <v>64</v>
      </c>
      <c r="B67" s="115" t="s">
        <v>245</v>
      </c>
      <c r="C67" s="112">
        <v>6.2830000000000004</v>
      </c>
      <c r="D67" s="112">
        <v>0.19597276562499999</v>
      </c>
      <c r="E67" s="112">
        <v>-17.125779651952723</v>
      </c>
      <c r="F67" s="112">
        <v>0.24274818749999999</v>
      </c>
      <c r="G67" s="112">
        <v>-22.097178188557496</v>
      </c>
      <c r="H67" s="166">
        <f t="shared" si="10"/>
        <v>-26.903006707929293</v>
      </c>
      <c r="I67" s="128">
        <f t="shared" si="0"/>
        <v>-18.389786586028382</v>
      </c>
      <c r="J67" s="167">
        <f t="shared" si="1"/>
        <v>3.8635713433073371E-2</v>
      </c>
      <c r="K67" s="167"/>
      <c r="L67" s="167"/>
      <c r="M67" s="167">
        <f t="shared" si="2"/>
        <v>0</v>
      </c>
      <c r="N67" s="182">
        <f t="shared" si="3"/>
        <v>1.3931075732437501E-2</v>
      </c>
      <c r="O67" s="168">
        <f t="shared" si="4"/>
        <v>0.22172649582106477</v>
      </c>
      <c r="P67" s="167">
        <f t="shared" si="5"/>
        <v>3.119095426149928E-2</v>
      </c>
      <c r="Q67" s="167"/>
      <c r="R67" s="182">
        <f t="shared" si="7"/>
        <v>-1.2177968340624894E-4</v>
      </c>
      <c r="S67" s="169">
        <f t="shared" si="8"/>
        <v>-1.938241021904328E-3</v>
      </c>
      <c r="T67" s="128">
        <f t="shared" si="9"/>
        <v>-114.39572958951089</v>
      </c>
    </row>
    <row r="68" spans="1:20" s="113" customFormat="1" ht="11.25" customHeight="1" x14ac:dyDescent="0.2">
      <c r="A68" s="191">
        <v>65</v>
      </c>
      <c r="B68" s="191" t="s">
        <v>246</v>
      </c>
      <c r="C68" s="109">
        <v>6.6059999999999999</v>
      </c>
      <c r="D68" s="109">
        <v>0.201346140625</v>
      </c>
      <c r="E68" s="109">
        <v>-11.422250033944593</v>
      </c>
      <c r="F68" s="109">
        <v>0.28545318749999998</v>
      </c>
      <c r="G68" s="109">
        <v>-22.049348173149486</v>
      </c>
      <c r="H68" s="166">
        <f t="shared" si="10"/>
        <v>-26.854473591294784</v>
      </c>
      <c r="I68" s="128">
        <f t="shared" si="0"/>
        <v>-12.686256968020254</v>
      </c>
      <c r="J68" s="167">
        <f t="shared" si="1"/>
        <v>4.3211200045413262E-2</v>
      </c>
      <c r="K68" s="167"/>
      <c r="L68" s="167"/>
      <c r="M68" s="167">
        <f t="shared" si="2"/>
        <v>0</v>
      </c>
      <c r="N68" s="182">
        <f t="shared" si="3"/>
        <v>1.6381872977437501E-2</v>
      </c>
      <c r="O68" s="168">
        <f t="shared" si="4"/>
        <v>0.24798475594062216</v>
      </c>
      <c r="P68" s="167">
        <f t="shared" si="5"/>
        <v>3.0479282565092341E-2</v>
      </c>
      <c r="Q68" s="167"/>
      <c r="R68" s="182">
        <f t="shared" si="7"/>
        <v>9.8345996843751324E-5</v>
      </c>
      <c r="S68" s="169">
        <f t="shared" si="8"/>
        <v>1.4887374635748005E-3</v>
      </c>
      <c r="T68" s="128">
        <f t="shared" si="9"/>
        <v>166.57386678854297</v>
      </c>
    </row>
    <row r="69" spans="1:20" s="113" customFormat="1" ht="11.25" customHeight="1" x14ac:dyDescent="0.2">
      <c r="A69" s="115">
        <v>66</v>
      </c>
      <c r="B69" s="115" t="s">
        <v>247</v>
      </c>
      <c r="C69" s="112">
        <v>6.4020000000000001</v>
      </c>
      <c r="D69" s="112">
        <v>0.19439428125</v>
      </c>
      <c r="E69" s="112">
        <v>-10.256223679314003</v>
      </c>
      <c r="F69" s="112">
        <v>0.214082546875</v>
      </c>
      <c r="G69" s="112">
        <v>-22.29003119761223</v>
      </c>
      <c r="H69" s="166">
        <f t="shared" si="10"/>
        <v>-27.098694656217127</v>
      </c>
      <c r="I69" s="128">
        <f t="shared" si="0"/>
        <v>-11.520230613389664</v>
      </c>
      <c r="J69" s="167">
        <f t="shared" si="1"/>
        <v>3.3439947965479534E-2</v>
      </c>
      <c r="K69" s="167"/>
      <c r="L69" s="167"/>
      <c r="M69" s="167">
        <f t="shared" si="2"/>
        <v>0</v>
      </c>
      <c r="N69" s="182">
        <f t="shared" si="3"/>
        <v>1.2285983282609375E-2</v>
      </c>
      <c r="O69" s="168">
        <f t="shared" si="4"/>
        <v>0.19190851737909051</v>
      </c>
      <c r="P69" s="167">
        <f t="shared" si="5"/>
        <v>3.0364617502343018E-2</v>
      </c>
      <c r="Q69" s="167"/>
      <c r="R69" s="182">
        <f t="shared" si="7"/>
        <v>-1.8644387431249881E-4</v>
      </c>
      <c r="S69" s="169">
        <f t="shared" si="8"/>
        <v>-2.9122754500546522E-3</v>
      </c>
      <c r="T69" s="128">
        <f t="shared" si="9"/>
        <v>-65.896416966839169</v>
      </c>
    </row>
    <row r="70" spans="1:20" s="113" customFormat="1" ht="11.25" customHeight="1" x14ac:dyDescent="0.2">
      <c r="A70" s="191">
        <v>67</v>
      </c>
      <c r="B70" s="191" t="s">
        <v>248</v>
      </c>
      <c r="C70" s="109">
        <v>6.2939999999999996</v>
      </c>
      <c r="D70" s="109">
        <v>0.189999484375</v>
      </c>
      <c r="E70" s="109">
        <v>-13.398613261058623</v>
      </c>
      <c r="F70" s="109">
        <v>0.18486943750000001</v>
      </c>
      <c r="G70" s="109">
        <v>-22.389636163387067</v>
      </c>
      <c r="H70" s="166">
        <f t="shared" si="10"/>
        <v>-27.199763814988856</v>
      </c>
      <c r="I70" s="128">
        <f t="shared" si="0"/>
        <v>-14.662620195134284</v>
      </c>
      <c r="J70" s="167">
        <f t="shared" si="1"/>
        <v>2.9372328805211317E-2</v>
      </c>
      <c r="K70" s="167"/>
      <c r="L70" s="167"/>
      <c r="M70" s="167">
        <f t="shared" si="2"/>
        <v>0</v>
      </c>
      <c r="N70" s="182">
        <f t="shared" si="3"/>
        <v>1.0609472148687502E-2</v>
      </c>
      <c r="O70" s="168">
        <f t="shared" si="4"/>
        <v>0.16856485778022723</v>
      </c>
      <c r="P70" s="167">
        <f t="shared" si="5"/>
        <v>3.0187398216555451E-2</v>
      </c>
      <c r="Q70" s="167"/>
      <c r="R70" s="182">
        <f t="shared" si="7"/>
        <v>-3.6648112309374883E-4</v>
      </c>
      <c r="S70" s="169">
        <f t="shared" si="8"/>
        <v>-5.8227061184262605E-3</v>
      </c>
      <c r="T70" s="128">
        <f t="shared" si="9"/>
        <v>-28.949573334432053</v>
      </c>
    </row>
    <row r="71" spans="1:20" s="113" customFormat="1" ht="11.25" customHeight="1" x14ac:dyDescent="0.2">
      <c r="A71" s="115">
        <v>68</v>
      </c>
      <c r="B71" s="115" t="s">
        <v>249</v>
      </c>
      <c r="C71" s="112">
        <v>6.2190000000000003</v>
      </c>
      <c r="D71" s="112">
        <v>0.18491028125</v>
      </c>
      <c r="E71" s="112">
        <v>-11.20403670667347</v>
      </c>
      <c r="F71" s="112">
        <v>0.175927859375</v>
      </c>
      <c r="G71" s="112">
        <v>-22.418262625578581</v>
      </c>
      <c r="H71" s="166">
        <f t="shared" si="10"/>
        <v>-27.228811086174588</v>
      </c>
      <c r="I71" s="128">
        <f t="shared" si="0"/>
        <v>-12.468043640749132</v>
      </c>
      <c r="J71" s="167">
        <f t="shared" si="1"/>
        <v>2.8288769798199064E-2</v>
      </c>
      <c r="K71" s="167"/>
      <c r="L71" s="167"/>
      <c r="M71" s="167">
        <f t="shared" si="2"/>
        <v>0</v>
      </c>
      <c r="N71" s="182">
        <f t="shared" si="3"/>
        <v>1.0096323921671875E-2</v>
      </c>
      <c r="O71" s="168">
        <f t="shared" si="4"/>
        <v>0.16234642099488461</v>
      </c>
      <c r="P71" s="167">
        <f t="shared" si="5"/>
        <v>2.9733121281556519E-2</v>
      </c>
      <c r="Q71" s="167"/>
      <c r="R71" s="182">
        <f t="shared" si="7"/>
        <v>-5.7496541831249855E-4</v>
      </c>
      <c r="S71" s="169">
        <f t="shared" si="8"/>
        <v>-9.2453033978533283E-3</v>
      </c>
      <c r="T71" s="128">
        <f t="shared" si="9"/>
        <v>-17.559880299069462</v>
      </c>
    </row>
    <row r="72" spans="1:20" s="113" customFormat="1" ht="11.25" customHeight="1" x14ac:dyDescent="0.2">
      <c r="A72" s="191">
        <v>69</v>
      </c>
      <c r="B72" s="191" t="s">
        <v>250</v>
      </c>
      <c r="C72" s="109">
        <v>6.0410000000000004</v>
      </c>
      <c r="D72" s="109">
        <v>0.19365393750000001</v>
      </c>
      <c r="E72" s="109">
        <v>-11.906278970025163</v>
      </c>
      <c r="F72" s="109">
        <v>0.34416324999999998</v>
      </c>
      <c r="G72" s="109">
        <v>-21.732026199298137</v>
      </c>
      <c r="H72" s="166">
        <f t="shared" si="10"/>
        <v>-26.53248698442782</v>
      </c>
      <c r="I72" s="128">
        <f t="shared" si="0"/>
        <v>-13.170285904100824</v>
      </c>
      <c r="J72" s="167">
        <f t="shared" si="1"/>
        <v>5.697123820559509E-2</v>
      </c>
      <c r="K72" s="167"/>
      <c r="L72" s="167"/>
      <c r="M72" s="167">
        <f t="shared" si="2"/>
        <v>0</v>
      </c>
      <c r="N72" s="182">
        <f t="shared" si="3"/>
        <v>1.9751184754250001E-2</v>
      </c>
      <c r="O72" s="168">
        <f t="shared" si="4"/>
        <v>0.32695223893808972</v>
      </c>
      <c r="P72" s="167">
        <f t="shared" si="5"/>
        <v>3.2056602797550071E-2</v>
      </c>
      <c r="Q72" s="167"/>
      <c r="R72" s="182">
        <f t="shared" si="7"/>
        <v>-2.1677279637499769E-4</v>
      </c>
      <c r="S72" s="169">
        <f t="shared" si="8"/>
        <v>-3.5883594831153396E-3</v>
      </c>
      <c r="T72" s="128">
        <f t="shared" si="9"/>
        <v>-91.114683597485197</v>
      </c>
    </row>
    <row r="73" spans="1:20" s="113" customFormat="1" ht="11.25" customHeight="1" x14ac:dyDescent="0.2">
      <c r="A73" s="115">
        <v>70</v>
      </c>
      <c r="B73" s="115" t="s">
        <v>251</v>
      </c>
      <c r="C73" s="112">
        <v>6.077</v>
      </c>
      <c r="D73" s="112">
        <v>0.192082265625</v>
      </c>
      <c r="E73" s="112">
        <v>-13.996591397292256</v>
      </c>
      <c r="F73" s="112">
        <v>0.25789173437500001</v>
      </c>
      <c r="G73" s="112">
        <v>-21.891097119794384</v>
      </c>
      <c r="H73" s="166">
        <f t="shared" si="10"/>
        <v>-26.693896247455363</v>
      </c>
      <c r="I73" s="128">
        <f t="shared" si="0"/>
        <v>-15.260598331367918</v>
      </c>
      <c r="J73" s="167">
        <f t="shared" si="1"/>
        <v>4.2437343158630909E-2</v>
      </c>
      <c r="K73" s="167"/>
      <c r="L73" s="167"/>
      <c r="M73" s="167">
        <f t="shared" si="2"/>
        <v>0</v>
      </c>
      <c r="N73" s="182">
        <f t="shared" si="3"/>
        <v>1.4800148744046877E-2</v>
      </c>
      <c r="O73" s="168">
        <f t="shared" si="4"/>
        <v>0.24354366865306692</v>
      </c>
      <c r="P73" s="167">
        <f t="shared" si="5"/>
        <v>3.1608073987987491E-2</v>
      </c>
      <c r="Q73" s="167"/>
      <c r="R73" s="182">
        <f t="shared" si="7"/>
        <v>-2.811579064062493E-4</v>
      </c>
      <c r="S73" s="169">
        <f t="shared" si="8"/>
        <v>-4.6265905283239973E-3</v>
      </c>
      <c r="T73" s="128">
        <f t="shared" si="9"/>
        <v>-52.639987732238694</v>
      </c>
    </row>
    <row r="74" spans="1:20" s="165" customFormat="1" ht="11.25" customHeight="1" x14ac:dyDescent="0.2">
      <c r="A74" s="191">
        <v>71</v>
      </c>
      <c r="B74" s="191" t="s">
        <v>252</v>
      </c>
      <c r="C74" s="109">
        <v>6.0709999999999997</v>
      </c>
      <c r="D74" s="109">
        <v>0.19906767187499999</v>
      </c>
      <c r="E74" s="109">
        <v>-11.197563274818577</v>
      </c>
      <c r="F74" s="109">
        <v>0.23299212499999999</v>
      </c>
      <c r="G74" s="109">
        <v>-22.132334980343838</v>
      </c>
      <c r="H74" s="166">
        <f t="shared" si="10"/>
        <v>-26.938680304554893</v>
      </c>
      <c r="I74" s="128">
        <f t="shared" si="0"/>
        <v>-12.461570208894239</v>
      </c>
      <c r="J74" s="167">
        <f t="shared" si="1"/>
        <v>3.8377882556415749E-2</v>
      </c>
      <c r="K74" s="167"/>
      <c r="L74" s="167"/>
      <c r="M74" s="167">
        <f t="shared" si="2"/>
        <v>0</v>
      </c>
      <c r="N74" s="182">
        <f t="shared" si="3"/>
        <v>1.3371185061625001E-2</v>
      </c>
      <c r="O74" s="168">
        <f t="shared" si="4"/>
        <v>0.22024683020301436</v>
      </c>
      <c r="P74" s="167">
        <f t="shared" si="5"/>
        <v>3.2789931127491352E-2</v>
      </c>
      <c r="Q74" s="167"/>
      <c r="R74" s="182">
        <f t="shared" si="7"/>
        <v>5.0062460312510354E-6</v>
      </c>
      <c r="S74" s="169">
        <f t="shared" si="8"/>
        <v>8.246163780680342E-5</v>
      </c>
      <c r="T74" s="128">
        <f t="shared" si="9"/>
        <v>2670.9005067183266</v>
      </c>
    </row>
    <row r="75" spans="1:20" s="113" customFormat="1" ht="11.25" customHeight="1" x14ac:dyDescent="0.2">
      <c r="A75" s="115">
        <v>72</v>
      </c>
      <c r="B75" s="115" t="s">
        <v>253</v>
      </c>
      <c r="C75" s="112">
        <v>6.7880000000000003</v>
      </c>
      <c r="D75" s="112">
        <v>0.19702617187499999</v>
      </c>
      <c r="E75" s="112">
        <v>-11.317146932604327</v>
      </c>
      <c r="F75" s="112">
        <v>0.38080043749999998</v>
      </c>
      <c r="G75" s="112">
        <v>-21.917618196509189</v>
      </c>
      <c r="H75" s="166">
        <f t="shared" si="10"/>
        <v>-26.72080718399787</v>
      </c>
      <c r="I75" s="128">
        <f t="shared" si="0"/>
        <v>-12.581153866679989</v>
      </c>
      <c r="J75" s="167">
        <f t="shared" si="1"/>
        <v>5.6099062684148493E-2</v>
      </c>
      <c r="K75" s="167"/>
      <c r="L75" s="167"/>
      <c r="M75" s="167">
        <f t="shared" si="2"/>
        <v>0</v>
      </c>
      <c r="N75" s="182">
        <f t="shared" si="3"/>
        <v>2.1853756307687499E-2</v>
      </c>
      <c r="O75" s="168">
        <f t="shared" si="4"/>
        <v>0.32194691083805976</v>
      </c>
      <c r="P75" s="167">
        <f t="shared" si="5"/>
        <v>2.902565879124926E-2</v>
      </c>
      <c r="Q75" s="167"/>
      <c r="R75" s="182">
        <f t="shared" si="7"/>
        <v>-7.8625842968749193E-5</v>
      </c>
      <c r="S75" s="169">
        <f t="shared" si="8"/>
        <v>-1.1583064668348438E-3</v>
      </c>
      <c r="T75" s="128">
        <f t="shared" si="9"/>
        <v>-277.94622585316563</v>
      </c>
    </row>
    <row r="76" spans="1:20" s="113" customFormat="1" ht="11.25" customHeight="1" x14ac:dyDescent="0.2">
      <c r="A76" s="191">
        <v>73</v>
      </c>
      <c r="B76" s="191" t="s">
        <v>254</v>
      </c>
      <c r="C76" s="109">
        <v>6.6310000000000002</v>
      </c>
      <c r="D76" s="109">
        <v>0.18636515625</v>
      </c>
      <c r="E76" s="109">
        <v>-14.191677086254684</v>
      </c>
      <c r="F76" s="109">
        <v>0.43092581250000001</v>
      </c>
      <c r="G76" s="109">
        <v>-21.585630142870222</v>
      </c>
      <c r="H76" s="166">
        <f>$B$26*G76+$D$26</f>
        <v>-26.38393890597041</v>
      </c>
      <c r="I76" s="128">
        <f>$B$27*E76+$D$27</f>
        <v>-15.455684020330345</v>
      </c>
      <c r="J76" s="167">
        <f>(F76)/C76</f>
        <v>6.4986549917056255E-2</v>
      </c>
      <c r="K76" s="167"/>
      <c r="L76" s="167"/>
      <c r="M76" s="167">
        <f t="shared" si="2"/>
        <v>0</v>
      </c>
      <c r="N76" s="182">
        <f t="shared" si="3"/>
        <v>2.4730401453562503E-2</v>
      </c>
      <c r="O76" s="168">
        <f t="shared" si="4"/>
        <v>0.37295131131899417</v>
      </c>
      <c r="P76" s="167">
        <f t="shared" si="5"/>
        <v>2.810513591464334E-2</v>
      </c>
      <c r="Q76" s="167"/>
      <c r="R76" s="182">
        <f>D76*$B$29+$D$29</f>
        <v>-5.1536500906249928E-4</v>
      </c>
      <c r="S76" s="169">
        <f>R76/C76*100</f>
        <v>-7.7720556335771265E-3</v>
      </c>
      <c r="T76" s="128">
        <f>N76/R76</f>
        <v>-47.98618652544841</v>
      </c>
    </row>
    <row r="77" spans="1:20" s="113" customFormat="1" ht="11.25" customHeight="1" x14ac:dyDescent="0.2">
      <c r="A77" s="115">
        <v>74</v>
      </c>
      <c r="B77" s="115" t="s">
        <v>255</v>
      </c>
      <c r="C77" s="112">
        <v>6.7869999999999999</v>
      </c>
      <c r="D77" s="112">
        <v>0.168996234375</v>
      </c>
      <c r="E77" s="112">
        <v>-18.790561823088801</v>
      </c>
      <c r="F77" s="112">
        <v>0.43497124999999998</v>
      </c>
      <c r="G77" s="112">
        <v>-21.679302192304259</v>
      </c>
      <c r="H77" s="166">
        <f t="shared" si="10"/>
        <v>-26.478987934531133</v>
      </c>
      <c r="I77" s="128">
        <f t="shared" si="0"/>
        <v>-20.054568757164461</v>
      </c>
      <c r="J77" s="167">
        <f t="shared" si="1"/>
        <v>6.4088883158980398E-2</v>
      </c>
      <c r="K77" s="167"/>
      <c r="L77" s="167"/>
      <c r="M77" s="167">
        <f t="shared" si="2"/>
        <v>0</v>
      </c>
      <c r="N77" s="182">
        <f t="shared" si="3"/>
        <v>2.4962565066250001E-2</v>
      </c>
      <c r="O77" s="168">
        <f t="shared" si="4"/>
        <v>0.36779969156107267</v>
      </c>
      <c r="P77" s="167">
        <f t="shared" si="5"/>
        <v>2.4899990330779432E-2</v>
      </c>
      <c r="Q77" s="167"/>
      <c r="R77" s="182">
        <f t="shared" si="7"/>
        <v>-1.2269002625937492E-3</v>
      </c>
      <c r="S77" s="169">
        <f t="shared" si="8"/>
        <v>-1.8077210293115504E-2</v>
      </c>
      <c r="T77" s="128">
        <f t="shared" si="9"/>
        <v>-20.346042646920189</v>
      </c>
    </row>
    <row r="78" spans="1:20" s="165" customFormat="1" ht="11.25" customHeight="1" x14ac:dyDescent="0.2">
      <c r="A78" s="158">
        <v>75</v>
      </c>
      <c r="B78" s="158" t="s">
        <v>84</v>
      </c>
      <c r="C78" s="159">
        <v>1.038</v>
      </c>
      <c r="D78" s="159">
        <v>0.495282375</v>
      </c>
      <c r="E78" s="159">
        <v>-3.9337957784336686</v>
      </c>
      <c r="F78" s="159">
        <v>3.9046877499999999</v>
      </c>
      <c r="G78" s="159">
        <v>-21.796030657901493</v>
      </c>
      <c r="H78" s="160">
        <f t="shared" si="10"/>
        <v>-26.597432308572643</v>
      </c>
      <c r="I78" s="161">
        <f t="shared" si="0"/>
        <v>-5.1978027125093291</v>
      </c>
      <c r="J78" s="162">
        <f t="shared" si="1"/>
        <v>3.761741570327553</v>
      </c>
      <c r="K78" s="162">
        <f t="shared" ref="K78" si="33">H$14</f>
        <v>44.65</v>
      </c>
      <c r="L78" s="162">
        <f t="shared" ref="L78" si="34">I$14</f>
        <v>2.83</v>
      </c>
      <c r="M78" s="162">
        <f t="shared" ref="M78" si="35">C78*(K78/100)</f>
        <v>0.46346700000000002</v>
      </c>
      <c r="N78" s="189">
        <f t="shared" ref="N78" si="36">F78*$B$28+$D$28</f>
        <v>0.22408612528475</v>
      </c>
      <c r="O78" s="163">
        <f t="shared" ref="O78" si="37">N78/C78*100</f>
        <v>21.588258697952792</v>
      </c>
      <c r="P78" s="162">
        <f t="shared" ref="P78" si="38">D78/C78</f>
        <v>0.47715065028901732</v>
      </c>
      <c r="Q78" s="162">
        <f t="shared" ref="Q78" si="39">C78*(L78/100)</f>
        <v>2.9375400000000003E-2</v>
      </c>
      <c r="R78" s="189">
        <f t="shared" si="7"/>
        <v>1.213973777425E-2</v>
      </c>
      <c r="S78" s="164">
        <f t="shared" si="8"/>
        <v>1.1695315774807322</v>
      </c>
      <c r="T78" s="161">
        <f t="shared" si="9"/>
        <v>18.458893384012502</v>
      </c>
    </row>
    <row r="79" spans="1:20" s="113" customFormat="1" ht="11.25" customHeight="1" x14ac:dyDescent="0.2">
      <c r="A79" s="115">
        <v>76</v>
      </c>
      <c r="B79" s="115" t="s">
        <v>62</v>
      </c>
      <c r="C79" s="112">
        <v>1.1719999999999999</v>
      </c>
      <c r="D79" s="112">
        <v>0.149818125</v>
      </c>
      <c r="E79" s="112">
        <v>-27.200737937325691</v>
      </c>
      <c r="F79" s="112">
        <v>4.8457299999999996</v>
      </c>
      <c r="G79" s="112">
        <v>-20.544798183055558</v>
      </c>
      <c r="H79" s="166">
        <f t="shared" si="10"/>
        <v>-25.327806716346473</v>
      </c>
      <c r="I79" s="128">
        <f t="shared" si="0"/>
        <v>-28.464744871401351</v>
      </c>
      <c r="J79" s="167">
        <f t="shared" si="1"/>
        <v>4.1345819112627984</v>
      </c>
      <c r="K79" s="167"/>
      <c r="L79" s="167"/>
      <c r="M79" s="167">
        <f t="shared" si="2"/>
        <v>0</v>
      </c>
      <c r="N79" s="182">
        <f t="shared" si="3"/>
        <v>0.27809159896999996</v>
      </c>
      <c r="O79" s="168">
        <f t="shared" si="4"/>
        <v>23.727952130546072</v>
      </c>
      <c r="P79" s="167">
        <f t="shared" si="5"/>
        <v>0.12783116467576791</v>
      </c>
      <c r="Q79" s="167"/>
      <c r="R79" s="182">
        <f t="shared" si="7"/>
        <v>-2.0125506912499992E-3</v>
      </c>
      <c r="S79" s="169">
        <f t="shared" si="8"/>
        <v>-0.17171934225682586</v>
      </c>
      <c r="T79" s="128">
        <f t="shared" si="9"/>
        <v>-138.17868050681332</v>
      </c>
    </row>
    <row r="80" spans="1:20" s="165" customFormat="1" ht="11.25" customHeight="1" x14ac:dyDescent="0.2">
      <c r="A80" s="191">
        <v>77</v>
      </c>
      <c r="B80" s="191" t="s">
        <v>63</v>
      </c>
      <c r="C80" s="109">
        <v>1.018</v>
      </c>
      <c r="D80" s="109">
        <v>0.146441203125</v>
      </c>
      <c r="E80" s="109">
        <v>-33.153359774735321</v>
      </c>
      <c r="F80" s="109">
        <v>4.4898210000000001</v>
      </c>
      <c r="G80" s="109">
        <v>-7.3305270453631506</v>
      </c>
      <c r="H80" s="166">
        <f t="shared" si="10"/>
        <v>-11.919285792929989</v>
      </c>
      <c r="I80" s="128">
        <f t="shared" si="0"/>
        <v>-34.417366708810981</v>
      </c>
      <c r="J80" s="167">
        <f t="shared" si="1"/>
        <v>4.4104332023575639</v>
      </c>
      <c r="K80" s="167"/>
      <c r="L80" s="167"/>
      <c r="M80" s="167">
        <f t="shared" si="2"/>
        <v>0</v>
      </c>
      <c r="N80" s="182">
        <f t="shared" si="3"/>
        <v>0.25766633736900002</v>
      </c>
      <c r="O80" s="168">
        <f t="shared" si="4"/>
        <v>25.311035105009829</v>
      </c>
      <c r="P80" s="167">
        <f t="shared" si="5"/>
        <v>0.14385186947445971</v>
      </c>
      <c r="Q80" s="167"/>
      <c r="R80" s="182">
        <f t="shared" si="7"/>
        <v>-2.1508896727812487E-3</v>
      </c>
      <c r="S80" s="169">
        <f t="shared" si="8"/>
        <v>-0.21128582247360006</v>
      </c>
      <c r="T80" s="128">
        <f t="shared" si="9"/>
        <v>-119.79523665470934</v>
      </c>
    </row>
    <row r="81" spans="1:28" s="113" customFormat="1" ht="11.25" customHeight="1" x14ac:dyDescent="0.2">
      <c r="A81" s="115">
        <v>78</v>
      </c>
      <c r="B81" s="115" t="s">
        <v>70</v>
      </c>
      <c r="C81" s="112">
        <v>1.218</v>
      </c>
      <c r="D81" s="112">
        <v>0.14111701562500001</v>
      </c>
      <c r="E81" s="112">
        <v>-43.996338545711836</v>
      </c>
      <c r="F81" s="112">
        <v>4.2274260000000004</v>
      </c>
      <c r="G81" s="112">
        <v>-13.999814400055939</v>
      </c>
      <c r="H81" s="166">
        <f t="shared" si="10"/>
        <v>-18.68661167173676</v>
      </c>
      <c r="I81" s="128">
        <f t="shared" si="0"/>
        <v>-45.260345479787496</v>
      </c>
      <c r="J81" s="167">
        <f t="shared" si="1"/>
        <v>3.4707931034482762</v>
      </c>
      <c r="K81" s="167"/>
      <c r="L81" s="167"/>
      <c r="M81" s="167">
        <f t="shared" si="2"/>
        <v>0</v>
      </c>
      <c r="N81" s="182">
        <f t="shared" si="3"/>
        <v>0.24260775071400004</v>
      </c>
      <c r="O81" s="168">
        <f t="shared" si="4"/>
        <v>19.918534541379312</v>
      </c>
      <c r="P81" s="167">
        <f t="shared" si="5"/>
        <v>0.11585961873973728</v>
      </c>
      <c r="Q81" s="167"/>
      <c r="R81" s="182">
        <f t="shared" si="7"/>
        <v>-2.3690003379062486E-3</v>
      </c>
      <c r="S81" s="169">
        <f t="shared" si="8"/>
        <v>-0.19449920672465096</v>
      </c>
      <c r="T81" s="128">
        <f t="shared" si="9"/>
        <v>-102.40933563074952</v>
      </c>
    </row>
    <row r="82" spans="1:28" s="113" customFormat="1" ht="11.25" customHeight="1" x14ac:dyDescent="0.2">
      <c r="A82" s="192">
        <v>79</v>
      </c>
      <c r="B82" s="192" t="s">
        <v>86</v>
      </c>
      <c r="C82" s="116">
        <v>0</v>
      </c>
      <c r="D82" s="116">
        <v>0.13356556250000001</v>
      </c>
      <c r="E82" s="116">
        <v>-27.204074428949788</v>
      </c>
      <c r="F82" s="116">
        <v>0.25709089062500001</v>
      </c>
      <c r="G82" s="116">
        <v>-13.358632107868289</v>
      </c>
      <c r="H82" s="166">
        <f t="shared" si="10"/>
        <v>-18.036003999853953</v>
      </c>
      <c r="I82" s="128">
        <f t="shared" si="0"/>
        <v>-28.468081363025448</v>
      </c>
      <c r="J82" s="167" t="e">
        <f t="shared" si="1"/>
        <v>#DIV/0!</v>
      </c>
      <c r="K82" s="167"/>
      <c r="L82" s="167">
        <v>0</v>
      </c>
      <c r="M82" s="167">
        <f t="shared" si="2"/>
        <v>0</v>
      </c>
      <c r="N82" s="182">
        <f t="shared" si="3"/>
        <v>1.4754189122078126E-2</v>
      </c>
      <c r="O82" s="168" t="e">
        <f t="shared" si="4"/>
        <v>#DIV/0!</v>
      </c>
      <c r="P82" s="167" t="e">
        <f t="shared" si="5"/>
        <v>#DIV/0!</v>
      </c>
      <c r="Q82" s="167">
        <f t="shared" ref="Q82" si="40">C82*(L82/100)</f>
        <v>0</v>
      </c>
      <c r="R82" s="182">
        <f t="shared" si="7"/>
        <v>-2.6783531666249982E-3</v>
      </c>
      <c r="S82" s="169" t="e">
        <f t="shared" si="8"/>
        <v>#DIV/0!</v>
      </c>
      <c r="T82" s="128">
        <f t="shared" si="9"/>
        <v>-5.5086794773483625</v>
      </c>
    </row>
    <row r="83" spans="1:28" ht="11.25" customHeight="1" x14ac:dyDescent="0.2">
      <c r="A83" s="110"/>
      <c r="B83" s="110"/>
      <c r="C83" s="85"/>
      <c r="D83" s="85"/>
      <c r="E83" s="85"/>
      <c r="V83" s="1"/>
      <c r="W83" s="1"/>
      <c r="X83" s="1"/>
      <c r="Y83" s="1"/>
      <c r="Z83" s="1"/>
      <c r="AA83" s="1"/>
      <c r="AB83" s="1"/>
    </row>
    <row r="84" spans="1:28" ht="11.25" customHeight="1" x14ac:dyDescent="0.25">
      <c r="A84" s="1" t="s">
        <v>83</v>
      </c>
      <c r="H84" s="101">
        <f>STDEV(H88:H93)</f>
        <v>8.5902149403215666E-2</v>
      </c>
      <c r="I84" s="101">
        <f>STDEV(I88:I93)</f>
        <v>0.26329592438853699</v>
      </c>
      <c r="J84" s="79"/>
      <c r="K84" s="1"/>
      <c r="L84" s="1"/>
      <c r="M84" s="79"/>
      <c r="N84" s="80"/>
      <c r="O84" s="101">
        <f>STDEV(O88:O93)</f>
        <v>0.39514219075914675</v>
      </c>
      <c r="P84" s="79"/>
      <c r="Q84" s="79"/>
      <c r="R84" s="80"/>
      <c r="S84" s="101">
        <f>STDEV(S88:S93)</f>
        <v>0.38742956144757651</v>
      </c>
      <c r="T84" s="101">
        <f>STDEV(T88:T93)</f>
        <v>1.6515942471446556</v>
      </c>
    </row>
    <row r="85" spans="1:28" ht="11.25" customHeight="1" x14ac:dyDescent="0.25">
      <c r="H85" s="102"/>
      <c r="I85" s="102"/>
      <c r="J85"/>
      <c r="K85" s="1"/>
      <c r="L85" s="1"/>
      <c r="O85" s="102"/>
      <c r="S85" s="102"/>
      <c r="T85" s="102"/>
      <c r="V85" s="1"/>
      <c r="W85" s="1"/>
      <c r="X85" s="1"/>
      <c r="Y85" s="1"/>
      <c r="Z85" s="1"/>
      <c r="AA85" s="1"/>
      <c r="AB85" s="1"/>
    </row>
    <row r="86" spans="1:28" s="90" customFormat="1" ht="11.25" customHeight="1" x14ac:dyDescent="0.2">
      <c r="A86" s="187">
        <v>51</v>
      </c>
      <c r="B86" s="187" t="s">
        <v>87</v>
      </c>
      <c r="C86" s="188">
        <v>1.395</v>
      </c>
      <c r="D86" s="188">
        <v>7.9811609374999995E-2</v>
      </c>
      <c r="E86" s="188">
        <v>-4.07271376237206</v>
      </c>
      <c r="F86" s="188">
        <v>0.56177806249999995</v>
      </c>
      <c r="G86" s="188">
        <v>-17.289200022519488</v>
      </c>
      <c r="H86" s="121">
        <f>$B$26*G86+$D$26</f>
        <v>-22.024351262850523</v>
      </c>
      <c r="I86" s="122">
        <f>$B$27*E86+$D$27</f>
        <v>-5.3367206964477205</v>
      </c>
      <c r="J86" s="118">
        <f>(F86)/C86</f>
        <v>0.40270828853046592</v>
      </c>
      <c r="K86" s="118">
        <f>H$13</f>
        <v>3.3479999999999999</v>
      </c>
      <c r="L86" s="118"/>
      <c r="M86" s="118">
        <f>C86*(K86/100)</f>
        <v>4.6704599999999992E-2</v>
      </c>
      <c r="N86" s="181">
        <f>F86*$B$28+$D$28</f>
        <v>3.2239881228812502E-2</v>
      </c>
      <c r="O86" s="124">
        <f>N86/C86*100</f>
        <v>2.3111025970474914</v>
      </c>
      <c r="P86" s="118">
        <f>D86/C86</f>
        <v>5.7212623207885303E-2</v>
      </c>
      <c r="Q86" s="118"/>
      <c r="R86" s="181">
        <f>D86*$B$29+$D$29</f>
        <v>-4.8804376103437491E-3</v>
      </c>
      <c r="S86" s="125">
        <f>R86/C86*100</f>
        <v>-0.34985215844758061</v>
      </c>
      <c r="T86" s="122">
        <f>N86/R86</f>
        <v>-6.6059406559121481</v>
      </c>
      <c r="U86" s="126"/>
      <c r="V86" s="126"/>
      <c r="W86" s="126"/>
      <c r="X86" s="126"/>
      <c r="Y86" s="126"/>
      <c r="Z86" s="126"/>
      <c r="AA86" s="126"/>
      <c r="AB86" s="126"/>
    </row>
    <row r="87" spans="1:28" s="90" customFormat="1" ht="11.25" customHeight="1" x14ac:dyDescent="0.2">
      <c r="A87" s="119"/>
      <c r="B87" s="119"/>
      <c r="C87" s="120"/>
      <c r="D87" s="120"/>
      <c r="E87" s="120"/>
      <c r="F87" s="120"/>
      <c r="G87" s="120"/>
      <c r="H87" s="121"/>
      <c r="I87" s="122"/>
      <c r="J87" s="118"/>
      <c r="K87" s="118"/>
      <c r="L87" s="118"/>
      <c r="M87" s="118"/>
      <c r="N87" s="181"/>
      <c r="O87" s="124"/>
      <c r="P87" s="118"/>
      <c r="Q87" s="118"/>
      <c r="R87" s="181"/>
      <c r="S87" s="125"/>
      <c r="T87" s="122"/>
      <c r="U87" s="126"/>
      <c r="V87" s="126"/>
      <c r="W87" s="126"/>
      <c r="X87" s="126"/>
      <c r="Y87" s="126"/>
      <c r="Z87" s="126"/>
      <c r="AA87" s="126"/>
      <c r="AB87" s="126"/>
    </row>
    <row r="88" spans="1:28" s="90" customFormat="1" ht="11.25" customHeight="1" x14ac:dyDescent="0.2">
      <c r="A88" s="117">
        <v>30</v>
      </c>
      <c r="B88" s="117" t="s">
        <v>55</v>
      </c>
      <c r="C88" s="105">
        <v>1.3049999999999999</v>
      </c>
      <c r="D88" s="105">
        <v>1.3889942500000001</v>
      </c>
      <c r="E88" s="105">
        <v>3.5290114162616071</v>
      </c>
      <c r="F88" s="105">
        <v>10.151578000000001</v>
      </c>
      <c r="G88" s="105">
        <v>-21.64037050520043</v>
      </c>
      <c r="H88" s="100">
        <f t="shared" ref="H88:H96" si="41">$B$26*G88+$D$26</f>
        <v>-26.439483951626876</v>
      </c>
      <c r="I88" s="86">
        <f t="shared" ref="I88:I96" si="42">$B$27*E88+$D$27</f>
        <v>2.2650044821859461</v>
      </c>
      <c r="J88" s="87">
        <f t="shared" ref="J88:J96" si="43">(F88)/C88</f>
        <v>7.7789869731800776</v>
      </c>
      <c r="K88" s="87">
        <f t="shared" ref="K88:L95" si="44">H$14</f>
        <v>44.65</v>
      </c>
      <c r="L88" s="87">
        <f t="shared" si="44"/>
        <v>2.83</v>
      </c>
      <c r="M88" s="87">
        <f t="shared" ref="M88:M96" si="45">C88*(K88/100)</f>
        <v>0.58268249999999999</v>
      </c>
      <c r="N88" s="179">
        <f t="shared" ref="N88:N96" si="46">F88*$B$28+$D$28</f>
        <v>0.58258890984200007</v>
      </c>
      <c r="O88" s="91">
        <f t="shared" ref="O88:O96" si="47">N88/C88*100</f>
        <v>44.642828340383147</v>
      </c>
      <c r="P88" s="87">
        <f t="shared" ref="P88:P96" si="48">D88/C88</f>
        <v>1.0643634099616859</v>
      </c>
      <c r="Q88" s="87">
        <f t="shared" ref="Q88:Q95" si="49">C88*(L88/100)</f>
        <v>3.6931499999999999E-2</v>
      </c>
      <c r="R88" s="179">
        <f t="shared" ref="R88:R96" si="50">D88*$B$29+$D$29</f>
        <v>4.8751538445500009E-2</v>
      </c>
      <c r="S88" s="89">
        <f t="shared" ref="S88:S96" si="51">R88/C88*100</f>
        <v>3.7357500724521082</v>
      </c>
      <c r="T88" s="86">
        <f t="shared" ref="T88:T96" si="52">N88/R88</f>
        <v>11.950164618769598</v>
      </c>
    </row>
    <row r="89" spans="1:28" s="90" customFormat="1" ht="11.25" customHeight="1" x14ac:dyDescent="0.2">
      <c r="A89" s="117">
        <v>31</v>
      </c>
      <c r="B89" s="117" t="s">
        <v>56</v>
      </c>
      <c r="C89" s="105">
        <v>0.89200000000000002</v>
      </c>
      <c r="D89" s="105">
        <v>0.86672943749999998</v>
      </c>
      <c r="E89" s="105">
        <v>3.6243198330772053</v>
      </c>
      <c r="F89" s="105">
        <v>7.0700265</v>
      </c>
      <c r="G89" s="105">
        <v>-21.550251670929313</v>
      </c>
      <c r="H89" s="100">
        <f t="shared" si="41"/>
        <v>-26.348040370491972</v>
      </c>
      <c r="I89" s="86">
        <f t="shared" si="42"/>
        <v>2.3603128990015443</v>
      </c>
      <c r="J89" s="87">
        <f t="shared" si="43"/>
        <v>7.9260386771300446</v>
      </c>
      <c r="K89" s="87">
        <f t="shared" si="44"/>
        <v>44.65</v>
      </c>
      <c r="L89" s="87">
        <f t="shared" si="44"/>
        <v>2.83</v>
      </c>
      <c r="M89" s="87">
        <f t="shared" si="45"/>
        <v>0.39827800000000002</v>
      </c>
      <c r="N89" s="179">
        <f t="shared" si="46"/>
        <v>0.4057417508085</v>
      </c>
      <c r="O89" s="91">
        <f t="shared" si="47"/>
        <v>45.486743364181613</v>
      </c>
      <c r="P89" s="87">
        <f t="shared" si="48"/>
        <v>0.9716697729820627</v>
      </c>
      <c r="Q89" s="87">
        <f t="shared" si="49"/>
        <v>2.5243600000000001E-2</v>
      </c>
      <c r="R89" s="179">
        <f t="shared" si="50"/>
        <v>2.7356438136625007E-2</v>
      </c>
      <c r="S89" s="89">
        <f t="shared" si="51"/>
        <v>3.0668652619534762</v>
      </c>
      <c r="T89" s="86">
        <f t="shared" si="52"/>
        <v>14.831673216451739</v>
      </c>
    </row>
    <row r="90" spans="1:28" s="90" customFormat="1" ht="11.25" customHeight="1" x14ac:dyDescent="0.2">
      <c r="A90" s="117">
        <v>32</v>
      </c>
      <c r="B90" s="117" t="s">
        <v>57</v>
      </c>
      <c r="C90" s="105">
        <v>0.875</v>
      </c>
      <c r="D90" s="105">
        <v>0.7820153125</v>
      </c>
      <c r="E90" s="105">
        <v>3.3905356568380007</v>
      </c>
      <c r="F90" s="105">
        <v>6.7676309999999997</v>
      </c>
      <c r="G90" s="105">
        <v>-21.523956909848724</v>
      </c>
      <c r="H90" s="100">
        <f t="shared" si="41"/>
        <v>-26.321359076423498</v>
      </c>
      <c r="I90" s="86">
        <f t="shared" si="42"/>
        <v>2.1265287227623397</v>
      </c>
      <c r="J90" s="87">
        <f t="shared" si="43"/>
        <v>7.7344354285714285</v>
      </c>
      <c r="K90" s="87">
        <f t="shared" si="44"/>
        <v>44.65</v>
      </c>
      <c r="L90" s="87">
        <f t="shared" si="44"/>
        <v>2.83</v>
      </c>
      <c r="M90" s="87">
        <f t="shared" si="45"/>
        <v>0.39068750000000002</v>
      </c>
      <c r="N90" s="179">
        <f t="shared" si="46"/>
        <v>0.38838757545899999</v>
      </c>
      <c r="O90" s="91">
        <f t="shared" si="47"/>
        <v>44.387151481028567</v>
      </c>
      <c r="P90" s="87">
        <f t="shared" si="48"/>
        <v>0.89373178571428569</v>
      </c>
      <c r="Q90" s="87">
        <f t="shared" si="49"/>
        <v>2.4762500000000003E-2</v>
      </c>
      <c r="R90" s="179">
        <f t="shared" si="50"/>
        <v>2.3886039291875001E-2</v>
      </c>
      <c r="S90" s="89">
        <f t="shared" si="51"/>
        <v>2.7298330619285718</v>
      </c>
      <c r="T90" s="86">
        <f t="shared" si="52"/>
        <v>16.260024138498032</v>
      </c>
    </row>
    <row r="91" spans="1:28" s="90" customFormat="1" ht="11.25" customHeight="1" x14ac:dyDescent="0.2">
      <c r="A91" s="117">
        <v>33</v>
      </c>
      <c r="B91" s="117" t="s">
        <v>58</v>
      </c>
      <c r="C91" s="105">
        <v>0.93200000000000005</v>
      </c>
      <c r="D91" s="105">
        <v>0.82733725000000002</v>
      </c>
      <c r="E91" s="105">
        <v>3.0428253581811227</v>
      </c>
      <c r="F91" s="105">
        <v>7.2384729999999999</v>
      </c>
      <c r="G91" s="105">
        <v>-21.47367347669292</v>
      </c>
      <c r="H91" s="100">
        <f t="shared" si="41"/>
        <v>-26.270336476800303</v>
      </c>
      <c r="I91" s="86">
        <f t="shared" si="42"/>
        <v>1.7788184241054616</v>
      </c>
      <c r="J91" s="87">
        <f t="shared" si="43"/>
        <v>7.7666019313304719</v>
      </c>
      <c r="K91" s="87">
        <f t="shared" si="44"/>
        <v>44.65</v>
      </c>
      <c r="L91" s="87">
        <f t="shared" si="44"/>
        <v>2.83</v>
      </c>
      <c r="M91" s="87">
        <f t="shared" si="45"/>
        <v>0.41613800000000001</v>
      </c>
      <c r="N91" s="179">
        <f t="shared" si="46"/>
        <v>0.41540872699699999</v>
      </c>
      <c r="O91" s="91">
        <f t="shared" si="47"/>
        <v>44.571751823712439</v>
      </c>
      <c r="P91" s="87">
        <f t="shared" si="48"/>
        <v>0.88770091201716739</v>
      </c>
      <c r="Q91" s="87">
        <f t="shared" si="49"/>
        <v>2.6375600000000003E-2</v>
      </c>
      <c r="R91" s="179">
        <f t="shared" si="50"/>
        <v>2.5742697783500003E-2</v>
      </c>
      <c r="S91" s="89">
        <f t="shared" si="51"/>
        <v>2.7620920368562234</v>
      </c>
      <c r="T91" s="86">
        <f t="shared" si="52"/>
        <v>16.136953884579249</v>
      </c>
    </row>
    <row r="92" spans="1:28" s="126" customFormat="1" ht="11.25" customHeight="1" x14ac:dyDescent="0.2">
      <c r="A92" s="117">
        <v>37</v>
      </c>
      <c r="B92" s="117" t="s">
        <v>59</v>
      </c>
      <c r="C92" s="105">
        <v>0.93300000000000005</v>
      </c>
      <c r="D92" s="105">
        <v>0.83838868749999995</v>
      </c>
      <c r="E92" s="105">
        <v>2.9949979335384125</v>
      </c>
      <c r="F92" s="105">
        <v>7.250121</v>
      </c>
      <c r="G92" s="105">
        <v>-21.427039170988269</v>
      </c>
      <c r="H92" s="100">
        <f t="shared" si="41"/>
        <v>-26.223016646801796</v>
      </c>
      <c r="I92" s="86">
        <f t="shared" si="42"/>
        <v>1.7309909994627515</v>
      </c>
      <c r="J92" s="87">
        <f t="shared" si="43"/>
        <v>7.7707620578778132</v>
      </c>
      <c r="K92" s="87">
        <f t="shared" si="44"/>
        <v>44.65</v>
      </c>
      <c r="L92" s="87">
        <f t="shared" si="44"/>
        <v>2.83</v>
      </c>
      <c r="M92" s="87">
        <f t="shared" si="45"/>
        <v>0.41658450000000002</v>
      </c>
      <c r="N92" s="179">
        <f t="shared" si="46"/>
        <v>0.41607719406900001</v>
      </c>
      <c r="O92" s="91">
        <f t="shared" si="47"/>
        <v>44.595626373954985</v>
      </c>
      <c r="P92" s="87">
        <f t="shared" si="48"/>
        <v>0.89859452036441578</v>
      </c>
      <c r="Q92" s="87">
        <f t="shared" si="49"/>
        <v>2.6403900000000004E-2</v>
      </c>
      <c r="R92" s="179">
        <f t="shared" si="50"/>
        <v>2.6195430972125004E-2</v>
      </c>
      <c r="S92" s="89">
        <f t="shared" si="51"/>
        <v>2.8076560527465171</v>
      </c>
      <c r="T92" s="86">
        <f t="shared" si="52"/>
        <v>15.883578877238351</v>
      </c>
      <c r="U92" s="90"/>
      <c r="V92" s="90"/>
      <c r="W92" s="90"/>
      <c r="X92" s="90"/>
      <c r="Y92" s="90"/>
      <c r="Z92" s="90"/>
      <c r="AA92" s="90"/>
      <c r="AB92" s="90"/>
    </row>
    <row r="93" spans="1:28" s="90" customFormat="1" ht="11.25" customHeight="1" x14ac:dyDescent="0.2">
      <c r="A93" s="185">
        <v>50</v>
      </c>
      <c r="B93" s="185" t="s">
        <v>82</v>
      </c>
      <c r="C93" s="186">
        <v>1.363</v>
      </c>
      <c r="D93" s="186">
        <v>1.130804125</v>
      </c>
      <c r="E93" s="186">
        <v>3.4823514065576155</v>
      </c>
      <c r="F93" s="186">
        <v>10.573038</v>
      </c>
      <c r="G93" s="186">
        <v>-21.630800488080734</v>
      </c>
      <c r="H93" s="100">
        <f t="shared" si="41"/>
        <v>-26.429773255255519</v>
      </c>
      <c r="I93" s="86">
        <f t="shared" si="42"/>
        <v>2.2183444724819545</v>
      </c>
      <c r="J93" s="87">
        <f t="shared" si="43"/>
        <v>7.7571812179016879</v>
      </c>
      <c r="K93" s="87">
        <f t="shared" si="44"/>
        <v>44.65</v>
      </c>
      <c r="L93" s="87">
        <f t="shared" si="44"/>
        <v>2.83</v>
      </c>
      <c r="M93" s="87">
        <f t="shared" si="45"/>
        <v>0.60857950000000005</v>
      </c>
      <c r="N93" s="179">
        <f t="shared" si="46"/>
        <v>0.60677607778200005</v>
      </c>
      <c r="O93" s="91">
        <f t="shared" si="47"/>
        <v>44.517687291415996</v>
      </c>
      <c r="P93" s="87">
        <f t="shared" si="48"/>
        <v>0.82964352531181218</v>
      </c>
      <c r="Q93" s="87">
        <f t="shared" si="49"/>
        <v>3.85729E-2</v>
      </c>
      <c r="R93" s="179">
        <f t="shared" si="50"/>
        <v>3.8174521784750004E-2</v>
      </c>
      <c r="S93" s="89">
        <f t="shared" si="51"/>
        <v>2.8007719577953045</v>
      </c>
      <c r="T93" s="86">
        <f t="shared" si="52"/>
        <v>15.894791851050654</v>
      </c>
    </row>
    <row r="94" spans="1:28" s="126" customFormat="1" ht="11.25" customHeight="1" x14ac:dyDescent="0.2">
      <c r="A94" s="117">
        <v>62</v>
      </c>
      <c r="B94" s="117" t="s">
        <v>61</v>
      </c>
      <c r="C94" s="105">
        <v>0.79900000000000004</v>
      </c>
      <c r="D94" s="105">
        <v>0.59798675000000001</v>
      </c>
      <c r="E94" s="105">
        <v>-3.1561948715812527</v>
      </c>
      <c r="F94" s="105">
        <v>4.0189317500000001</v>
      </c>
      <c r="G94" s="105">
        <v>-21.285529091764939</v>
      </c>
      <c r="H94" s="100">
        <f t="shared" si="41"/>
        <v>-26.079426369413881</v>
      </c>
      <c r="I94" s="86">
        <f t="shared" si="42"/>
        <v>-4.4202018056569141</v>
      </c>
      <c r="J94" s="87">
        <f t="shared" si="43"/>
        <v>5.0299521276595742</v>
      </c>
      <c r="K94" s="87">
        <f t="shared" si="44"/>
        <v>44.65</v>
      </c>
      <c r="L94" s="87">
        <f t="shared" si="44"/>
        <v>2.83</v>
      </c>
      <c r="M94" s="87">
        <f t="shared" si="45"/>
        <v>0.3567535</v>
      </c>
      <c r="N94" s="179">
        <f t="shared" si="46"/>
        <v>0.23064247420075001</v>
      </c>
      <c r="O94" s="91">
        <f t="shared" si="47"/>
        <v>28.866392265425532</v>
      </c>
      <c r="P94" s="87">
        <f t="shared" si="48"/>
        <v>0.74841896120150186</v>
      </c>
      <c r="Q94" s="87">
        <f t="shared" si="49"/>
        <v>2.2611700000000002E-2</v>
      </c>
      <c r="R94" s="179">
        <f t="shared" si="50"/>
        <v>1.6347125200500003E-2</v>
      </c>
      <c r="S94" s="89">
        <f t="shared" si="51"/>
        <v>2.0459480851689613</v>
      </c>
      <c r="T94" s="86">
        <f t="shared" si="52"/>
        <v>14.109054122476254</v>
      </c>
      <c r="U94" s="90"/>
      <c r="V94" s="90"/>
      <c r="W94" s="90"/>
      <c r="X94" s="90"/>
      <c r="Y94" s="90"/>
      <c r="Z94" s="90"/>
      <c r="AA94" s="90"/>
      <c r="AB94" s="90"/>
    </row>
    <row r="95" spans="1:28" s="90" customFormat="1" ht="11.25" customHeight="1" x14ac:dyDescent="0.2">
      <c r="A95" s="117">
        <v>75</v>
      </c>
      <c r="B95" s="117" t="s">
        <v>84</v>
      </c>
      <c r="C95" s="105">
        <v>1.038</v>
      </c>
      <c r="D95" s="105">
        <v>0.495282375</v>
      </c>
      <c r="E95" s="105">
        <v>-3.9337957784336686</v>
      </c>
      <c r="F95" s="105">
        <v>3.9046877499999999</v>
      </c>
      <c r="G95" s="105">
        <v>-21.796030657901493</v>
      </c>
      <c r="H95" s="100">
        <f t="shared" si="41"/>
        <v>-26.597432308572643</v>
      </c>
      <c r="I95" s="86">
        <f t="shared" si="42"/>
        <v>-5.1978027125093291</v>
      </c>
      <c r="J95" s="87">
        <f t="shared" si="43"/>
        <v>3.761741570327553</v>
      </c>
      <c r="K95" s="87">
        <f t="shared" si="44"/>
        <v>44.65</v>
      </c>
      <c r="L95" s="87">
        <f t="shared" si="44"/>
        <v>2.83</v>
      </c>
      <c r="M95" s="87">
        <f t="shared" si="45"/>
        <v>0.46346700000000002</v>
      </c>
      <c r="N95" s="179">
        <f t="shared" si="46"/>
        <v>0.22408612528475</v>
      </c>
      <c r="O95" s="91">
        <f t="shared" si="47"/>
        <v>21.588258697952792</v>
      </c>
      <c r="P95" s="87">
        <f t="shared" si="48"/>
        <v>0.47715065028901732</v>
      </c>
      <c r="Q95" s="87">
        <f t="shared" si="49"/>
        <v>2.9375400000000003E-2</v>
      </c>
      <c r="R95" s="179">
        <f t="shared" si="50"/>
        <v>1.213973777425E-2</v>
      </c>
      <c r="S95" s="89">
        <f t="shared" si="51"/>
        <v>1.1695315774807322</v>
      </c>
      <c r="T95" s="86">
        <f t="shared" si="52"/>
        <v>18.458893384012502</v>
      </c>
    </row>
    <row r="96" spans="1:28" s="90" customFormat="1" ht="11.25" customHeight="1" x14ac:dyDescent="0.2">
      <c r="A96" s="119">
        <v>63</v>
      </c>
      <c r="B96" s="119" t="s">
        <v>98</v>
      </c>
      <c r="C96" s="120">
        <v>2.57</v>
      </c>
      <c r="D96" s="120">
        <v>0.28957065625</v>
      </c>
      <c r="E96" s="120">
        <v>-27.42800388968092</v>
      </c>
      <c r="F96" s="120">
        <v>1.4359858750000001</v>
      </c>
      <c r="G96" s="120">
        <v>-21.33091875403645</v>
      </c>
      <c r="H96" s="121">
        <f t="shared" si="41"/>
        <v>-26.125483259720781</v>
      </c>
      <c r="I96" s="122">
        <f t="shared" si="42"/>
        <v>-28.692010823756579</v>
      </c>
      <c r="J96" s="118">
        <f t="shared" si="43"/>
        <v>0.55874936770428019</v>
      </c>
      <c r="K96" s="118">
        <f>H$13</f>
        <v>3.3479999999999999</v>
      </c>
      <c r="L96" s="118"/>
      <c r="M96" s="118">
        <f t="shared" si="45"/>
        <v>8.6043599999999984E-2</v>
      </c>
      <c r="N96" s="181">
        <f t="shared" si="46"/>
        <v>8.2409793380375004E-2</v>
      </c>
      <c r="O96" s="124">
        <f t="shared" si="47"/>
        <v>3.2066067463180934</v>
      </c>
      <c r="P96" s="118">
        <f t="shared" si="48"/>
        <v>0.11267340710116733</v>
      </c>
      <c r="Q96" s="118"/>
      <c r="R96" s="181">
        <f t="shared" si="50"/>
        <v>3.7125515039375008E-3</v>
      </c>
      <c r="S96" s="125">
        <f t="shared" si="51"/>
        <v>0.14445725696254869</v>
      </c>
      <c r="T96" s="122">
        <f t="shared" si="52"/>
        <v>22.197616192791365</v>
      </c>
      <c r="U96" s="126"/>
      <c r="V96" s="126"/>
      <c r="W96" s="126"/>
      <c r="X96" s="126"/>
      <c r="Y96" s="126"/>
      <c r="Z96" s="126"/>
      <c r="AA96" s="126"/>
      <c r="AB96" s="126"/>
    </row>
    <row r="97" spans="1:28" ht="11.25" customHeight="1" x14ac:dyDescent="0.2">
      <c r="A97" s="83"/>
      <c r="B97" s="111"/>
      <c r="C97" s="84"/>
      <c r="D97" s="84"/>
      <c r="E97" s="84"/>
      <c r="F97" s="84"/>
      <c r="G97" s="84"/>
      <c r="H97" s="102"/>
      <c r="I97" s="102"/>
      <c r="J97" s="106"/>
      <c r="K97" s="106"/>
      <c r="L97" s="106"/>
      <c r="M97" s="106"/>
      <c r="N97" s="107"/>
      <c r="O97" s="103"/>
      <c r="P97" s="106"/>
      <c r="Q97" s="106"/>
      <c r="R97" s="107"/>
      <c r="S97" s="104"/>
      <c r="T97" s="102"/>
      <c r="V97" s="1"/>
      <c r="W97" s="1"/>
      <c r="X97" s="1"/>
      <c r="Y97" s="1"/>
      <c r="Z97" s="1"/>
      <c r="AA97" s="1"/>
      <c r="AB97" s="1"/>
    </row>
    <row r="98" spans="1:28" ht="11.25" customHeight="1" x14ac:dyDescent="0.2">
      <c r="A98" s="92" t="s">
        <v>71</v>
      </c>
      <c r="B98" s="93" t="s">
        <v>40</v>
      </c>
      <c r="C98" s="92" t="s">
        <v>54</v>
      </c>
      <c r="D98" s="92" t="s">
        <v>72</v>
      </c>
      <c r="E98" s="94" t="s">
        <v>79</v>
      </c>
      <c r="F98" s="92" t="s">
        <v>72</v>
      </c>
      <c r="G98" s="94" t="s">
        <v>73</v>
      </c>
      <c r="J98" s="1"/>
      <c r="K98" s="1"/>
      <c r="L98" s="1"/>
      <c r="V98" s="1"/>
      <c r="W98" s="1"/>
      <c r="X98" s="1"/>
      <c r="Y98" s="1"/>
      <c r="Z98" s="1"/>
      <c r="AA98" s="1"/>
      <c r="AB98" s="1"/>
    </row>
    <row r="99" spans="1:28" ht="11.25" customHeight="1" x14ac:dyDescent="0.2">
      <c r="A99" s="97" t="s">
        <v>74</v>
      </c>
      <c r="B99" s="97" t="s">
        <v>75</v>
      </c>
      <c r="C99" s="98" t="s">
        <v>77</v>
      </c>
      <c r="D99" s="98" t="s">
        <v>76</v>
      </c>
      <c r="E99" s="98" t="s">
        <v>78</v>
      </c>
      <c r="F99" s="98" t="s">
        <v>76</v>
      </c>
      <c r="G99" s="98" t="s">
        <v>78</v>
      </c>
      <c r="J99" s="1"/>
      <c r="K99" s="1"/>
      <c r="L99" s="1"/>
      <c r="V99" s="1"/>
      <c r="W99" s="1"/>
      <c r="X99" s="1"/>
      <c r="Y99" s="1"/>
      <c r="Z99" s="1"/>
      <c r="AA99" s="1"/>
      <c r="AB99" s="1"/>
    </row>
    <row r="100" spans="1:28" ht="11.25" customHeight="1" x14ac:dyDescent="0.2">
      <c r="A100" s="95">
        <v>33</v>
      </c>
      <c r="B100" s="95" t="s">
        <v>85</v>
      </c>
      <c r="C100" s="96">
        <v>1.5680000000000001</v>
      </c>
      <c r="D100" s="96">
        <v>0.57160343749999998</v>
      </c>
      <c r="E100" s="96">
        <v>2.8799411243840556</v>
      </c>
      <c r="F100" s="96">
        <v>1.5817239999999999</v>
      </c>
      <c r="G100" s="96">
        <v>-21.848580214636076</v>
      </c>
      <c r="J100" s="1"/>
      <c r="K100" s="1"/>
      <c r="L100" s="1"/>
      <c r="V100" s="1"/>
      <c r="W100" s="1"/>
      <c r="X100" s="1"/>
      <c r="Y100" s="1"/>
      <c r="Z100" s="1"/>
      <c r="AA100" s="1"/>
      <c r="AB100" s="1"/>
    </row>
    <row r="101" spans="1:28" ht="11.25" customHeight="1" x14ac:dyDescent="0.2">
      <c r="A101" s="92" t="s">
        <v>71</v>
      </c>
      <c r="B101" s="93" t="s">
        <v>40</v>
      </c>
      <c r="C101" s="92" t="s">
        <v>54</v>
      </c>
      <c r="D101" s="92" t="s">
        <v>72</v>
      </c>
      <c r="E101" s="94" t="s">
        <v>79</v>
      </c>
      <c r="F101" s="92" t="s">
        <v>72</v>
      </c>
      <c r="G101" s="94" t="s">
        <v>73</v>
      </c>
      <c r="J101" s="1"/>
      <c r="K101" s="1"/>
      <c r="L101" s="1"/>
      <c r="V101" s="1"/>
      <c r="W101" s="1"/>
      <c r="X101" s="1"/>
      <c r="Y101" s="1"/>
      <c r="Z101" s="1"/>
      <c r="AA101" s="1"/>
      <c r="AB101" s="1"/>
    </row>
    <row r="102" spans="1:28" ht="11.25" customHeight="1" x14ac:dyDescent="0.2">
      <c r="A102" s="97" t="s">
        <v>74</v>
      </c>
      <c r="B102" s="97" t="s">
        <v>75</v>
      </c>
      <c r="C102" s="98" t="s">
        <v>77</v>
      </c>
      <c r="D102" s="98" t="s">
        <v>76</v>
      </c>
      <c r="E102" s="98" t="s">
        <v>78</v>
      </c>
      <c r="F102" s="98" t="s">
        <v>76</v>
      </c>
      <c r="G102" s="98" t="s">
        <v>78</v>
      </c>
      <c r="J102" s="1"/>
      <c r="K102" s="1"/>
      <c r="L102" s="1"/>
      <c r="V102" s="1"/>
      <c r="W102" s="1"/>
      <c r="X102" s="1"/>
      <c r="Y102" s="1"/>
      <c r="Z102" s="1"/>
      <c r="AA102" s="1"/>
      <c r="AB102" s="1"/>
    </row>
    <row r="103" spans="1:28" ht="11.25" customHeight="1" x14ac:dyDescent="0.2">
      <c r="A103" s="83">
        <v>30</v>
      </c>
      <c r="B103" s="83" t="s">
        <v>55</v>
      </c>
      <c r="C103" s="84">
        <v>1.3049999999999999</v>
      </c>
      <c r="D103" s="84">
        <v>1.3889942500000001</v>
      </c>
      <c r="E103" s="84">
        <v>3.5290114162616071</v>
      </c>
      <c r="F103" s="84">
        <v>10.151578000000001</v>
      </c>
      <c r="G103" s="84">
        <v>-21.64037050520043</v>
      </c>
      <c r="J103" s="1"/>
      <c r="K103" s="1"/>
      <c r="L103" s="1"/>
      <c r="V103" s="1"/>
      <c r="W103" s="1"/>
      <c r="X103" s="1"/>
      <c r="Y103" s="1"/>
      <c r="Z103" s="1"/>
      <c r="AA103" s="1"/>
      <c r="AB103" s="1"/>
    </row>
    <row r="104" spans="1:28" ht="11.25" customHeight="1" x14ac:dyDescent="0.2">
      <c r="A104" s="95">
        <v>31</v>
      </c>
      <c r="B104" s="95" t="s">
        <v>56</v>
      </c>
      <c r="C104" s="96">
        <v>0.89200000000000002</v>
      </c>
      <c r="D104" s="96">
        <v>0.86672943749999998</v>
      </c>
      <c r="E104" s="96">
        <v>3.6243198330772053</v>
      </c>
      <c r="F104" s="96">
        <v>7.0700265</v>
      </c>
      <c r="G104" s="96">
        <v>-21.550251670929313</v>
      </c>
      <c r="J104" s="1"/>
      <c r="K104" s="1"/>
      <c r="L104" s="1"/>
      <c r="V104" s="1"/>
      <c r="W104" s="1"/>
      <c r="X104" s="1"/>
      <c r="Y104" s="1"/>
      <c r="Z104" s="1"/>
      <c r="AA104" s="1"/>
      <c r="AB104" s="1"/>
    </row>
    <row r="105" spans="1:28" ht="11.25" customHeight="1" x14ac:dyDescent="0.2">
      <c r="A105" s="83">
        <v>32</v>
      </c>
      <c r="B105" s="83" t="s">
        <v>57</v>
      </c>
      <c r="C105" s="84">
        <v>0.875</v>
      </c>
      <c r="D105" s="84">
        <v>0.7820153125</v>
      </c>
      <c r="E105" s="84">
        <v>3.3905356568380007</v>
      </c>
      <c r="F105" s="84">
        <v>6.7676309999999997</v>
      </c>
      <c r="G105" s="84">
        <v>-21.523956909848724</v>
      </c>
      <c r="J105" s="1"/>
      <c r="K105" s="1"/>
      <c r="L105" s="1"/>
      <c r="V105" s="1"/>
      <c r="W105" s="1"/>
      <c r="X105" s="1"/>
      <c r="Y105" s="1"/>
      <c r="Z105" s="1"/>
      <c r="AA105" s="1"/>
      <c r="AB105" s="1"/>
    </row>
    <row r="106" spans="1:28" ht="11.25" customHeight="1" x14ac:dyDescent="0.2">
      <c r="A106" s="95">
        <v>33</v>
      </c>
      <c r="B106" s="95" t="s">
        <v>58</v>
      </c>
      <c r="C106" s="96">
        <v>0.93200000000000005</v>
      </c>
      <c r="D106" s="96">
        <v>0.82733725000000002</v>
      </c>
      <c r="E106" s="96">
        <v>3.0428253581811227</v>
      </c>
      <c r="F106" s="96">
        <v>7.2384729999999999</v>
      </c>
      <c r="G106" s="96">
        <v>-21.47367347669292</v>
      </c>
      <c r="J106" s="1"/>
      <c r="K106" s="1"/>
      <c r="L106" s="1"/>
      <c r="V106" s="1"/>
      <c r="W106" s="1"/>
      <c r="X106" s="1"/>
      <c r="Y106" s="1"/>
      <c r="Z106" s="1"/>
      <c r="AA106" s="1"/>
      <c r="AB106" s="1"/>
    </row>
    <row r="107" spans="1:28" ht="11.25" customHeight="1" x14ac:dyDescent="0.2">
      <c r="A107" s="83">
        <v>34</v>
      </c>
      <c r="B107" s="83" t="s">
        <v>60</v>
      </c>
      <c r="C107" s="84">
        <v>0.78900000000000003</v>
      </c>
      <c r="D107" s="84">
        <v>2.8142083984375E-2</v>
      </c>
      <c r="E107" s="84">
        <v>-23.901509710415937</v>
      </c>
      <c r="F107" s="84">
        <v>5.7281294999999997</v>
      </c>
      <c r="G107" s="84">
        <v>-20.119975372848074</v>
      </c>
      <c r="J107" s="1"/>
      <c r="K107" s="1"/>
      <c r="L107" s="1"/>
      <c r="V107" s="1"/>
      <c r="W107" s="1"/>
      <c r="X107" s="1"/>
      <c r="Y107" s="1"/>
      <c r="Z107" s="1"/>
      <c r="AA107" s="1"/>
      <c r="AB107" s="1"/>
    </row>
    <row r="108" spans="1:28" ht="11.25" customHeight="1" x14ac:dyDescent="0.2">
      <c r="A108" s="95">
        <v>35</v>
      </c>
      <c r="B108" s="95" t="s">
        <v>66</v>
      </c>
      <c r="C108" s="96">
        <v>1.339</v>
      </c>
      <c r="D108" s="96">
        <v>3.0909755859374999E-2</v>
      </c>
      <c r="E108" s="96">
        <v>-16.080710543111998</v>
      </c>
      <c r="F108" s="96">
        <v>9.7273599999999991</v>
      </c>
      <c r="G108" s="96">
        <v>-6.2163785942061951</v>
      </c>
      <c r="J108" s="1"/>
      <c r="K108" s="1"/>
      <c r="L108" s="1"/>
      <c r="V108" s="1"/>
      <c r="W108" s="1"/>
      <c r="X108" s="1"/>
      <c r="Y108" s="1"/>
      <c r="Z108" s="1"/>
      <c r="AA108" s="1"/>
      <c r="AB108" s="1"/>
    </row>
    <row r="109" spans="1:28" ht="11.25" customHeight="1" x14ac:dyDescent="0.2">
      <c r="A109" s="83">
        <v>36</v>
      </c>
      <c r="B109" s="83" t="s">
        <v>65</v>
      </c>
      <c r="C109" s="84">
        <v>1.363</v>
      </c>
      <c r="D109" s="84">
        <v>3.7023828124999998E-2</v>
      </c>
      <c r="E109" s="84">
        <v>-16.544733306028682</v>
      </c>
      <c r="F109" s="84">
        <v>4.4444714999999997</v>
      </c>
      <c r="G109" s="84">
        <v>-13.641781037969681</v>
      </c>
      <c r="J109" s="1"/>
      <c r="K109" s="1"/>
      <c r="L109" s="1"/>
      <c r="V109" s="1"/>
      <c r="W109" s="1"/>
      <c r="X109" s="1"/>
      <c r="Y109" s="1"/>
      <c r="Z109" s="1"/>
      <c r="AA109" s="1"/>
      <c r="AB109" s="1"/>
    </row>
    <row r="110" spans="1:28" ht="11.25" customHeight="1" x14ac:dyDescent="0.2">
      <c r="A110" s="95">
        <v>37</v>
      </c>
      <c r="B110" s="95" t="s">
        <v>59</v>
      </c>
      <c r="C110" s="96">
        <v>0.93300000000000005</v>
      </c>
      <c r="D110" s="96">
        <v>0.83838868749999995</v>
      </c>
      <c r="E110" s="96">
        <v>2.9949979335384125</v>
      </c>
      <c r="F110" s="96">
        <v>7.250121</v>
      </c>
      <c r="G110" s="96">
        <v>-21.427039170988269</v>
      </c>
      <c r="J110" s="1"/>
      <c r="K110" s="1"/>
      <c r="L110" s="1"/>
      <c r="V110" s="1"/>
      <c r="W110" s="1"/>
      <c r="X110" s="1"/>
      <c r="Y110" s="1"/>
      <c r="Z110" s="1"/>
      <c r="AA110" s="1"/>
      <c r="AB110" s="1"/>
    </row>
    <row r="111" spans="1:28" ht="11.25" customHeight="1" x14ac:dyDescent="0.2">
      <c r="A111" s="83">
        <v>38</v>
      </c>
      <c r="B111" s="83" t="s">
        <v>223</v>
      </c>
      <c r="C111" s="84">
        <v>6.367</v>
      </c>
      <c r="D111" s="84">
        <v>7.6182078124999997E-2</v>
      </c>
      <c r="E111" s="84">
        <v>-13.4079707217587</v>
      </c>
      <c r="F111" s="84">
        <v>0.37424196874999999</v>
      </c>
      <c r="G111" s="84">
        <v>-23.071512431295755</v>
      </c>
      <c r="J111" s="1"/>
      <c r="K111" s="1"/>
      <c r="L111" s="1"/>
      <c r="V111" s="1"/>
      <c r="W111" s="1"/>
      <c r="X111" s="1"/>
      <c r="Y111" s="1"/>
      <c r="Z111" s="1"/>
      <c r="AA111" s="1"/>
      <c r="AB111" s="1"/>
    </row>
    <row r="112" spans="1:28" ht="11.25" customHeight="1" x14ac:dyDescent="0.2">
      <c r="A112" s="95">
        <v>39</v>
      </c>
      <c r="B112" s="95" t="s">
        <v>224</v>
      </c>
      <c r="C112" s="96">
        <v>6.3579999999999997</v>
      </c>
      <c r="D112" s="96">
        <v>6.5791734374999994E-2</v>
      </c>
      <c r="E112" s="96">
        <v>-6.2881058876327334</v>
      </c>
      <c r="F112" s="96">
        <v>0.360371</v>
      </c>
      <c r="G112" s="96">
        <v>-23.474620213012358</v>
      </c>
      <c r="J112" s="1"/>
      <c r="K112" s="1"/>
      <c r="L112" s="1"/>
      <c r="V112" s="1"/>
      <c r="W112" s="1"/>
      <c r="X112" s="1"/>
      <c r="Y112" s="1"/>
      <c r="Z112" s="1"/>
      <c r="AA112" s="1"/>
      <c r="AB112" s="1"/>
    </row>
    <row r="113" spans="1:28" ht="11.25" customHeight="1" x14ac:dyDescent="0.2">
      <c r="A113" s="83">
        <v>40</v>
      </c>
      <c r="B113" s="83" t="s">
        <v>225</v>
      </c>
      <c r="C113" s="84">
        <v>6.2960000000000003</v>
      </c>
      <c r="D113" s="84">
        <v>6.0451566406249997E-2</v>
      </c>
      <c r="E113" s="84">
        <v>-4.7203374539116494</v>
      </c>
      <c r="F113" s="84">
        <v>0.39230537500000001</v>
      </c>
      <c r="G113" s="84">
        <v>-24.555873178250948</v>
      </c>
      <c r="J113" s="1"/>
      <c r="K113" s="1"/>
      <c r="L113" s="1"/>
      <c r="V113" s="1"/>
      <c r="W113" s="1"/>
      <c r="X113" s="1"/>
      <c r="Y113" s="1"/>
      <c r="Z113" s="1"/>
      <c r="AA113" s="1"/>
      <c r="AB113" s="1"/>
    </row>
    <row r="114" spans="1:28" ht="11.25" customHeight="1" x14ac:dyDescent="0.2">
      <c r="A114" s="95">
        <v>41</v>
      </c>
      <c r="B114" s="95" t="s">
        <v>226</v>
      </c>
      <c r="C114" s="96">
        <v>6.367</v>
      </c>
      <c r="D114" s="96">
        <v>3.7426078124999998E-2</v>
      </c>
      <c r="E114" s="96">
        <v>-9.7290246313964666</v>
      </c>
      <c r="F114" s="96">
        <v>0.248651015625</v>
      </c>
      <c r="G114" s="96">
        <v>-24.421700919696871</v>
      </c>
      <c r="J114" s="1"/>
      <c r="K114" s="1"/>
      <c r="L114" s="1"/>
      <c r="V114" s="1"/>
      <c r="W114" s="1"/>
      <c r="X114" s="1"/>
      <c r="Y114" s="1"/>
      <c r="Z114" s="1"/>
      <c r="AA114" s="1"/>
      <c r="AB114" s="1"/>
    </row>
    <row r="115" spans="1:28" ht="11.25" customHeight="1" x14ac:dyDescent="0.2">
      <c r="A115" s="83">
        <v>42</v>
      </c>
      <c r="B115" s="83" t="s">
        <v>227</v>
      </c>
      <c r="C115" s="84">
        <v>6.3579999999999997</v>
      </c>
      <c r="D115" s="84">
        <v>3.3907097656250003E-2</v>
      </c>
      <c r="E115" s="84">
        <v>-13.576044052139192</v>
      </c>
      <c r="F115" s="84">
        <v>0.23558728125</v>
      </c>
      <c r="G115" s="84">
        <v>-24.834443491706129</v>
      </c>
      <c r="J115" s="1"/>
      <c r="K115" s="1"/>
      <c r="L115" s="1"/>
      <c r="V115" s="1"/>
      <c r="W115" s="1"/>
      <c r="X115" s="1"/>
      <c r="Y115" s="1"/>
      <c r="Z115" s="1"/>
      <c r="AA115" s="1"/>
      <c r="AB115" s="1"/>
    </row>
    <row r="116" spans="1:28" ht="11.25" customHeight="1" x14ac:dyDescent="0.2">
      <c r="A116" s="95">
        <v>43</v>
      </c>
      <c r="B116" s="95" t="s">
        <v>228</v>
      </c>
      <c r="C116" s="96">
        <v>6.2960000000000003</v>
      </c>
      <c r="D116" s="96">
        <v>3.7146847656250002E-2</v>
      </c>
      <c r="E116" s="96">
        <v>-8.093262258939804</v>
      </c>
      <c r="F116" s="96">
        <v>0.25559110937500001</v>
      </c>
      <c r="G116" s="96">
        <v>-24.707387843794614</v>
      </c>
      <c r="J116" s="1"/>
      <c r="K116" s="1"/>
      <c r="L116" s="1"/>
      <c r="V116" s="1"/>
      <c r="W116" s="1"/>
      <c r="X116" s="1"/>
      <c r="Y116" s="1"/>
      <c r="Z116" s="1"/>
      <c r="AA116" s="1"/>
      <c r="AB116" s="1"/>
    </row>
    <row r="117" spans="1:28" ht="11.25" customHeight="1" x14ac:dyDescent="0.2">
      <c r="A117" s="83">
        <v>44</v>
      </c>
      <c r="B117" s="83" t="s">
        <v>229</v>
      </c>
      <c r="C117" s="84">
        <v>6.0039999999999996</v>
      </c>
      <c r="D117" s="84">
        <v>4.3158953125000003E-2</v>
      </c>
      <c r="E117" s="84">
        <v>-6.2308257193014471</v>
      </c>
      <c r="F117" s="84">
        <v>0.28838740624999998</v>
      </c>
      <c r="G117" s="84">
        <v>-24.464843861945347</v>
      </c>
      <c r="J117" s="1"/>
      <c r="K117" s="1"/>
      <c r="L117" s="1"/>
      <c r="V117" s="1"/>
      <c r="W117" s="1"/>
      <c r="X117" s="1"/>
      <c r="Y117" s="1"/>
      <c r="Z117" s="1"/>
      <c r="AA117" s="1"/>
      <c r="AB117" s="1"/>
    </row>
    <row r="118" spans="1:28" ht="11.25" customHeight="1" x14ac:dyDescent="0.2">
      <c r="A118" s="95">
        <v>45</v>
      </c>
      <c r="B118" s="95" t="s">
        <v>230</v>
      </c>
      <c r="C118" s="96">
        <v>6.0339999999999998</v>
      </c>
      <c r="D118" s="96">
        <v>3.849669921875E-2</v>
      </c>
      <c r="E118" s="96">
        <v>-6.3775638041611016</v>
      </c>
      <c r="F118" s="96">
        <v>0.24743840624999999</v>
      </c>
      <c r="G118" s="96">
        <v>-24.99915434707485</v>
      </c>
      <c r="J118" s="1"/>
      <c r="K118" s="1"/>
      <c r="L118" s="1"/>
      <c r="V118" s="1"/>
      <c r="W118" s="1"/>
      <c r="X118" s="1"/>
      <c r="Y118" s="1"/>
      <c r="Z118" s="1"/>
      <c r="AA118" s="1"/>
      <c r="AB118" s="1"/>
    </row>
    <row r="119" spans="1:28" ht="11.25" customHeight="1" x14ac:dyDescent="0.2">
      <c r="A119" s="83">
        <v>46</v>
      </c>
      <c r="B119" s="83" t="s">
        <v>231</v>
      </c>
      <c r="C119" s="84">
        <v>6.0579999999999998</v>
      </c>
      <c r="D119" s="84">
        <v>3.7315109375000002E-2</v>
      </c>
      <c r="E119" s="84">
        <v>-7.9852596113881846</v>
      </c>
      <c r="F119" s="84">
        <v>0.24377565625</v>
      </c>
      <c r="G119" s="84">
        <v>-24.559662262897508</v>
      </c>
      <c r="J119" s="1"/>
      <c r="K119" s="1"/>
      <c r="L119" s="1"/>
      <c r="V119" s="1"/>
      <c r="W119" s="1"/>
      <c r="X119" s="1"/>
      <c r="Y119" s="1"/>
      <c r="Z119" s="1"/>
      <c r="AA119" s="1"/>
      <c r="AB119" s="1"/>
    </row>
    <row r="120" spans="1:28" ht="11.25" customHeight="1" x14ac:dyDescent="0.2">
      <c r="A120" s="95">
        <v>47</v>
      </c>
      <c r="B120" s="95" t="s">
        <v>232</v>
      </c>
      <c r="C120" s="96">
        <v>6.51</v>
      </c>
      <c r="D120" s="96">
        <v>8.5170265625000005E-2</v>
      </c>
      <c r="E120" s="96">
        <v>0.28425612472671169</v>
      </c>
      <c r="F120" s="96">
        <v>0.64182093750000002</v>
      </c>
      <c r="G120" s="96">
        <v>-22.919464430531157</v>
      </c>
      <c r="J120" s="1"/>
      <c r="K120" s="1"/>
      <c r="L120" s="1"/>
      <c r="V120" s="1"/>
      <c r="W120" s="1"/>
      <c r="X120" s="1"/>
      <c r="Y120" s="1"/>
      <c r="Z120" s="1"/>
      <c r="AA120" s="1"/>
      <c r="AB120" s="1"/>
    </row>
    <row r="121" spans="1:28" ht="11.25" customHeight="1" x14ac:dyDescent="0.2">
      <c r="A121" s="83">
        <v>48</v>
      </c>
      <c r="B121" s="83" t="s">
        <v>233</v>
      </c>
      <c r="C121" s="84">
        <v>6.4950000000000001</v>
      </c>
      <c r="D121" s="84">
        <v>5.9759460937500002E-2</v>
      </c>
      <c r="E121" s="84">
        <v>4.3039253301442315</v>
      </c>
      <c r="F121" s="84">
        <v>0.48696262499999998</v>
      </c>
      <c r="G121" s="84">
        <v>-23.223161672240561</v>
      </c>
      <c r="J121" s="1"/>
      <c r="K121" s="1"/>
      <c r="L121" s="1"/>
      <c r="V121" s="1"/>
      <c r="W121" s="1"/>
      <c r="X121" s="1"/>
      <c r="Y121" s="1"/>
      <c r="Z121" s="1"/>
      <c r="AA121" s="1"/>
      <c r="AB121" s="1"/>
    </row>
    <row r="122" spans="1:28" ht="11.25" customHeight="1" x14ac:dyDescent="0.2">
      <c r="A122" s="95">
        <v>49</v>
      </c>
      <c r="B122" s="95" t="s">
        <v>234</v>
      </c>
      <c r="C122" s="96">
        <v>6.3319999999999999</v>
      </c>
      <c r="D122" s="96">
        <v>5.3424398437499999E-2</v>
      </c>
      <c r="E122" s="96">
        <v>-4.2381907250031992</v>
      </c>
      <c r="F122" s="96">
        <v>0.417574</v>
      </c>
      <c r="G122" s="96">
        <v>-23.370386219802967</v>
      </c>
      <c r="J122" s="1"/>
      <c r="K122" s="1"/>
      <c r="L122" s="1"/>
      <c r="V122" s="1"/>
      <c r="W122" s="1"/>
      <c r="X122" s="1"/>
      <c r="Y122" s="1"/>
      <c r="Z122" s="1"/>
      <c r="AA122" s="1"/>
      <c r="AB122" s="1"/>
    </row>
    <row r="123" spans="1:28" ht="11.25" customHeight="1" x14ac:dyDescent="0.2">
      <c r="A123" s="83">
        <v>50</v>
      </c>
      <c r="B123" s="83" t="s">
        <v>82</v>
      </c>
      <c r="C123" s="84">
        <v>1.363</v>
      </c>
      <c r="D123" s="84">
        <v>1.130804125</v>
      </c>
      <c r="E123" s="84">
        <v>3.4823514065576155</v>
      </c>
      <c r="F123" s="84">
        <v>10.573038</v>
      </c>
      <c r="G123" s="84">
        <v>-21.630800488080734</v>
      </c>
      <c r="J123" s="1"/>
      <c r="K123" s="1"/>
      <c r="L123" s="1"/>
      <c r="V123" s="1"/>
      <c r="W123" s="1"/>
      <c r="X123" s="1"/>
      <c r="Y123" s="1"/>
      <c r="Z123" s="1"/>
      <c r="AA123" s="1"/>
      <c r="AB123" s="1"/>
    </row>
    <row r="124" spans="1:28" ht="11.25" customHeight="1" x14ac:dyDescent="0.2">
      <c r="A124" s="95">
        <v>51</v>
      </c>
      <c r="B124" s="95" t="s">
        <v>87</v>
      </c>
      <c r="C124" s="96">
        <v>1.395</v>
      </c>
      <c r="D124" s="96">
        <v>7.9811609374999995E-2</v>
      </c>
      <c r="E124" s="96">
        <v>-4.07271376237206</v>
      </c>
      <c r="F124" s="96">
        <v>0.56177806249999995</v>
      </c>
      <c r="G124" s="96">
        <v>-17.289200022519488</v>
      </c>
      <c r="J124" s="1"/>
      <c r="K124" s="1"/>
      <c r="L124" s="1"/>
      <c r="V124" s="1"/>
      <c r="W124" s="1"/>
      <c r="X124" s="1"/>
      <c r="Y124" s="1"/>
      <c r="Z124" s="1"/>
      <c r="AA124" s="1"/>
      <c r="AB124" s="1"/>
    </row>
    <row r="125" spans="1:28" ht="11.25" customHeight="1" x14ac:dyDescent="0.2">
      <c r="A125" s="83">
        <v>52</v>
      </c>
      <c r="B125" s="83" t="s">
        <v>235</v>
      </c>
      <c r="C125" s="84">
        <v>6.516</v>
      </c>
      <c r="D125" s="84">
        <v>8.4723835937500006E-2</v>
      </c>
      <c r="E125" s="84">
        <v>-21.253511983651219</v>
      </c>
      <c r="F125" s="84">
        <v>0.72623143749999997</v>
      </c>
      <c r="G125" s="84">
        <v>-22.11747765218869</v>
      </c>
      <c r="J125" s="1"/>
      <c r="K125" s="1"/>
      <c r="L125" s="1"/>
      <c r="V125" s="1"/>
      <c r="W125" s="1"/>
      <c r="X125" s="1"/>
      <c r="Y125" s="1"/>
      <c r="Z125" s="1"/>
      <c r="AA125" s="1"/>
      <c r="AB125" s="1"/>
    </row>
    <row r="126" spans="1:28" ht="11.25" customHeight="1" x14ac:dyDescent="0.2">
      <c r="A126" s="95">
        <v>53</v>
      </c>
      <c r="B126" s="95" t="s">
        <v>236</v>
      </c>
      <c r="C126" s="96">
        <v>6.7830000000000004</v>
      </c>
      <c r="D126" s="96">
        <v>9.1923085937499996E-2</v>
      </c>
      <c r="E126" s="96">
        <v>-5.669378622523813</v>
      </c>
      <c r="F126" s="96">
        <v>0.78526856249999999</v>
      </c>
      <c r="G126" s="96">
        <v>-22.317772396983631</v>
      </c>
      <c r="J126" s="1"/>
      <c r="K126" s="1"/>
      <c r="L126" s="1"/>
      <c r="V126" s="1"/>
      <c r="W126" s="1"/>
      <c r="X126" s="1"/>
      <c r="Y126" s="1"/>
      <c r="Z126" s="1"/>
      <c r="AA126" s="1"/>
      <c r="AB126" s="1"/>
    </row>
    <row r="127" spans="1:28" ht="11.25" customHeight="1" x14ac:dyDescent="0.2">
      <c r="A127" s="83">
        <v>54</v>
      </c>
      <c r="B127" s="83" t="s">
        <v>237</v>
      </c>
      <c r="C127" s="84">
        <v>7.14</v>
      </c>
      <c r="D127" s="84">
        <v>0.139134828125</v>
      </c>
      <c r="E127" s="84">
        <v>-4.6189434628194359</v>
      </c>
      <c r="F127" s="84">
        <v>1.303103125</v>
      </c>
      <c r="G127" s="84">
        <v>-22.03273574360427</v>
      </c>
      <c r="J127" s="1"/>
      <c r="K127" s="1"/>
      <c r="L127" s="1"/>
      <c r="V127" s="1"/>
      <c r="W127" s="1"/>
      <c r="X127" s="1"/>
      <c r="Y127" s="1"/>
      <c r="Z127" s="1"/>
      <c r="AA127" s="1"/>
      <c r="AB127" s="1"/>
    </row>
    <row r="128" spans="1:28" ht="11.25" customHeight="1" x14ac:dyDescent="0.2">
      <c r="A128" s="95">
        <v>55</v>
      </c>
      <c r="B128" s="95" t="s">
        <v>238</v>
      </c>
      <c r="C128" s="96">
        <v>6.6790000000000003</v>
      </c>
      <c r="D128" s="96">
        <v>0.16473840625</v>
      </c>
      <c r="E128" s="96">
        <v>-9.6331049002197346</v>
      </c>
      <c r="F128" s="96">
        <v>0.79824275</v>
      </c>
      <c r="G128" s="96">
        <v>-22.290423315460263</v>
      </c>
      <c r="J128" s="1"/>
      <c r="K128" s="1"/>
      <c r="L128" s="1"/>
      <c r="V128" s="1"/>
      <c r="W128" s="1"/>
      <c r="X128" s="1"/>
      <c r="Y128" s="1"/>
      <c r="Z128" s="1"/>
      <c r="AA128" s="1"/>
      <c r="AB128" s="1"/>
    </row>
    <row r="129" spans="1:28" ht="11.25" customHeight="1" x14ac:dyDescent="0.2">
      <c r="A129" s="83">
        <v>56</v>
      </c>
      <c r="B129" s="83" t="s">
        <v>239</v>
      </c>
      <c r="C129" s="84">
        <v>6.65</v>
      </c>
      <c r="D129" s="84">
        <v>0.200686296875</v>
      </c>
      <c r="E129" s="84">
        <v>-7.5185379244000483</v>
      </c>
      <c r="F129" s="84">
        <v>0.54276562500000003</v>
      </c>
      <c r="G129" s="84">
        <v>-22.148514848791322</v>
      </c>
      <c r="J129" s="1"/>
      <c r="K129" s="1"/>
      <c r="L129" s="1"/>
      <c r="V129" s="1"/>
      <c r="W129" s="1"/>
      <c r="X129" s="1"/>
      <c r="Y129" s="1"/>
      <c r="Z129" s="1"/>
      <c r="AA129" s="1"/>
      <c r="AB129" s="1"/>
    </row>
    <row r="130" spans="1:28" ht="11.25" customHeight="1" x14ac:dyDescent="0.2">
      <c r="A130" s="95">
        <v>57</v>
      </c>
      <c r="B130" s="95" t="s">
        <v>240</v>
      </c>
      <c r="C130" s="96">
        <v>6.298</v>
      </c>
      <c r="D130" s="96">
        <v>0.23213098437499999</v>
      </c>
      <c r="E130" s="96">
        <v>-10.124029726416017</v>
      </c>
      <c r="F130" s="96">
        <v>0.52195934374999997</v>
      </c>
      <c r="G130" s="96">
        <v>-22.997372547697466</v>
      </c>
      <c r="J130" s="1"/>
      <c r="K130" s="1"/>
      <c r="L130" s="1"/>
      <c r="V130" s="1"/>
      <c r="W130" s="1"/>
      <c r="X130" s="1"/>
      <c r="Y130" s="1"/>
      <c r="Z130" s="1"/>
      <c r="AA130" s="1"/>
      <c r="AB130" s="1"/>
    </row>
    <row r="131" spans="1:28" ht="11.25" customHeight="1" x14ac:dyDescent="0.2">
      <c r="A131" s="83">
        <v>58</v>
      </c>
      <c r="B131" s="83" t="s">
        <v>241</v>
      </c>
      <c r="C131" s="84">
        <v>6.1820000000000004</v>
      </c>
      <c r="D131" s="84">
        <v>0.22018103124999999</v>
      </c>
      <c r="E131" s="84">
        <v>-11.582464559771299</v>
      </c>
      <c r="F131" s="84">
        <v>0.3500696875</v>
      </c>
      <c r="G131" s="84">
        <v>-22.596999911042449</v>
      </c>
      <c r="J131" s="1"/>
      <c r="K131" s="1"/>
      <c r="L131" s="1"/>
      <c r="V131" s="1"/>
      <c r="W131" s="1"/>
      <c r="X131" s="1"/>
      <c r="Y131" s="1"/>
      <c r="Z131" s="1"/>
      <c r="AA131" s="1"/>
      <c r="AB131" s="1"/>
    </row>
    <row r="132" spans="1:28" ht="11.25" customHeight="1" x14ac:dyDescent="0.2">
      <c r="A132" s="95">
        <v>59</v>
      </c>
      <c r="B132" s="95" t="s">
        <v>242</v>
      </c>
      <c r="C132" s="96">
        <v>6.8170000000000002</v>
      </c>
      <c r="D132" s="96">
        <v>0.22009726562500001</v>
      </c>
      <c r="E132" s="96">
        <v>-10.612650083861475</v>
      </c>
      <c r="F132" s="96">
        <v>0.4323904375</v>
      </c>
      <c r="G132" s="96">
        <v>-22.283183347019232</v>
      </c>
      <c r="J132" s="1"/>
      <c r="K132" s="1"/>
      <c r="L132" s="1"/>
      <c r="V132" s="1"/>
      <c r="W132" s="1"/>
      <c r="X132" s="1"/>
      <c r="Y132" s="1"/>
      <c r="Z132" s="1"/>
      <c r="AA132" s="1"/>
      <c r="AB132" s="1"/>
    </row>
    <row r="133" spans="1:28" ht="11.25" customHeight="1" x14ac:dyDescent="0.2">
      <c r="A133" s="83">
        <v>60</v>
      </c>
      <c r="B133" s="83" t="s">
        <v>243</v>
      </c>
      <c r="C133" s="84">
        <v>6.2880000000000003</v>
      </c>
      <c r="D133" s="84">
        <v>0.21604134375</v>
      </c>
      <c r="E133" s="84">
        <v>-4.9418807733624392</v>
      </c>
      <c r="F133" s="84">
        <v>0.39756425000000001</v>
      </c>
      <c r="G133" s="84">
        <v>-22.336073705734524</v>
      </c>
      <c r="J133" s="1"/>
      <c r="K133" s="1"/>
      <c r="L133" s="1"/>
      <c r="V133" s="1"/>
      <c r="W133" s="1"/>
      <c r="X133" s="1"/>
      <c r="Y133" s="1"/>
      <c r="Z133" s="1"/>
      <c r="AA133" s="1"/>
      <c r="AB133" s="1"/>
    </row>
    <row r="134" spans="1:28" ht="11.25" customHeight="1" x14ac:dyDescent="0.2">
      <c r="A134" s="95">
        <v>61</v>
      </c>
      <c r="B134" s="95" t="s">
        <v>244</v>
      </c>
      <c r="C134" s="96">
        <v>6.4240000000000004</v>
      </c>
      <c r="D134" s="96">
        <v>0.20325553125000001</v>
      </c>
      <c r="E134" s="96">
        <v>-11.860990736028754</v>
      </c>
      <c r="F134" s="96">
        <v>0.44882112499999999</v>
      </c>
      <c r="G134" s="96">
        <v>-22.719630758875631</v>
      </c>
      <c r="J134" s="1"/>
      <c r="K134" s="1"/>
      <c r="L134" s="1"/>
      <c r="V134" s="1"/>
      <c r="W134" s="1"/>
      <c r="X134" s="1"/>
      <c r="Y134" s="1"/>
      <c r="Z134" s="1"/>
      <c r="AA134" s="1"/>
      <c r="AB134" s="1"/>
    </row>
    <row r="135" spans="1:28" ht="11.25" customHeight="1" x14ac:dyDescent="0.2">
      <c r="A135" s="83">
        <v>62</v>
      </c>
      <c r="B135" s="83" t="s">
        <v>61</v>
      </c>
      <c r="C135" s="84">
        <v>0.79900000000000004</v>
      </c>
      <c r="D135" s="84">
        <v>0.59798675000000001</v>
      </c>
      <c r="E135" s="84">
        <v>-3.1561948715812527</v>
      </c>
      <c r="F135" s="84">
        <v>4.0189317500000001</v>
      </c>
      <c r="G135" s="84">
        <v>-21.285529091764939</v>
      </c>
      <c r="J135" s="1"/>
      <c r="K135" s="1"/>
      <c r="L135" s="1"/>
      <c r="V135" s="1"/>
      <c r="W135" s="1"/>
      <c r="X135" s="1"/>
      <c r="Y135" s="1"/>
      <c r="Z135" s="1"/>
      <c r="AA135" s="1"/>
      <c r="AB135" s="1"/>
    </row>
    <row r="136" spans="1:28" ht="11.25" customHeight="1" x14ac:dyDescent="0.2">
      <c r="A136" s="95">
        <v>63</v>
      </c>
      <c r="B136" s="95" t="s">
        <v>98</v>
      </c>
      <c r="C136" s="96">
        <v>2.57</v>
      </c>
      <c r="D136" s="96">
        <v>0.28957065625</v>
      </c>
      <c r="E136" s="96">
        <v>-27.42800388968092</v>
      </c>
      <c r="F136" s="96">
        <v>1.4359858750000001</v>
      </c>
      <c r="G136" s="96">
        <v>-21.33091875403645</v>
      </c>
      <c r="J136" s="1"/>
      <c r="K136" s="1"/>
      <c r="L136" s="1"/>
      <c r="V136" s="1"/>
      <c r="W136" s="1"/>
      <c r="X136" s="1"/>
      <c r="Y136" s="1"/>
      <c r="Z136" s="1"/>
      <c r="AA136" s="1"/>
      <c r="AB136" s="1"/>
    </row>
    <row r="137" spans="1:28" ht="11.25" customHeight="1" x14ac:dyDescent="0.2">
      <c r="A137" s="83">
        <v>64</v>
      </c>
      <c r="B137" s="83" t="s">
        <v>245</v>
      </c>
      <c r="C137" s="84">
        <v>6.2830000000000004</v>
      </c>
      <c r="D137" s="84">
        <v>0.19597276562499999</v>
      </c>
      <c r="E137" s="84">
        <v>-17.125779651952723</v>
      </c>
      <c r="F137" s="84">
        <v>0.24274818749999999</v>
      </c>
      <c r="G137" s="84">
        <v>-22.097178188557496</v>
      </c>
      <c r="J137" s="1"/>
      <c r="K137" s="1"/>
      <c r="L137" s="1"/>
      <c r="V137" s="1"/>
      <c r="W137" s="1"/>
      <c r="X137" s="1"/>
      <c r="Y137" s="1"/>
      <c r="Z137" s="1"/>
      <c r="AA137" s="1"/>
      <c r="AB137" s="1"/>
    </row>
    <row r="138" spans="1:28" ht="11.25" customHeight="1" x14ac:dyDescent="0.2">
      <c r="A138" s="95">
        <v>65</v>
      </c>
      <c r="B138" s="95" t="s">
        <v>246</v>
      </c>
      <c r="C138" s="96">
        <v>6.6059999999999999</v>
      </c>
      <c r="D138" s="96">
        <v>0.201346140625</v>
      </c>
      <c r="E138" s="96">
        <v>-11.422250033944593</v>
      </c>
      <c r="F138" s="96">
        <v>0.28545318749999998</v>
      </c>
      <c r="G138" s="96">
        <v>-22.049348173149486</v>
      </c>
      <c r="J138" s="1"/>
      <c r="K138" s="1"/>
      <c r="L138" s="1"/>
      <c r="V138" s="1"/>
      <c r="W138" s="1"/>
      <c r="X138" s="1"/>
      <c r="Y138" s="1"/>
      <c r="Z138" s="1"/>
      <c r="AA138" s="1"/>
      <c r="AB138" s="1"/>
    </row>
    <row r="139" spans="1:28" ht="11.25" customHeight="1" x14ac:dyDescent="0.2">
      <c r="A139" s="83">
        <v>66</v>
      </c>
      <c r="B139" s="83" t="s">
        <v>247</v>
      </c>
      <c r="C139" s="84">
        <v>6.4020000000000001</v>
      </c>
      <c r="D139" s="84">
        <v>0.19439428125</v>
      </c>
      <c r="E139" s="84">
        <v>-10.256223679314003</v>
      </c>
      <c r="F139" s="84">
        <v>0.214082546875</v>
      </c>
      <c r="G139" s="84">
        <v>-22.29003119761223</v>
      </c>
      <c r="J139" s="1"/>
      <c r="K139" s="1"/>
      <c r="L139" s="1"/>
      <c r="V139" s="1"/>
      <c r="W139" s="1"/>
      <c r="X139" s="1"/>
      <c r="Y139" s="1"/>
      <c r="Z139" s="1"/>
      <c r="AA139" s="1"/>
      <c r="AB139" s="1"/>
    </row>
    <row r="140" spans="1:28" ht="11.25" customHeight="1" x14ac:dyDescent="0.2">
      <c r="A140" s="95">
        <v>67</v>
      </c>
      <c r="B140" s="95" t="s">
        <v>248</v>
      </c>
      <c r="C140" s="96">
        <v>6.2939999999999996</v>
      </c>
      <c r="D140" s="96">
        <v>0.189999484375</v>
      </c>
      <c r="E140" s="96">
        <v>-13.398613261058623</v>
      </c>
      <c r="F140" s="96">
        <v>0.18486943750000001</v>
      </c>
      <c r="G140" s="96">
        <v>-22.389636163387067</v>
      </c>
      <c r="J140" s="1"/>
      <c r="K140" s="1"/>
      <c r="L140" s="1"/>
      <c r="V140" s="1"/>
      <c r="W140" s="1"/>
      <c r="X140" s="1"/>
      <c r="Y140" s="1"/>
      <c r="Z140" s="1"/>
      <c r="AA140" s="1"/>
      <c r="AB140" s="1"/>
    </row>
    <row r="141" spans="1:28" ht="11.25" customHeight="1" x14ac:dyDescent="0.2">
      <c r="A141" s="83">
        <v>68</v>
      </c>
      <c r="B141" s="83" t="s">
        <v>249</v>
      </c>
      <c r="C141" s="84">
        <v>6.2190000000000003</v>
      </c>
      <c r="D141" s="84">
        <v>0.18491028125</v>
      </c>
      <c r="E141" s="84">
        <v>-11.20403670667347</v>
      </c>
      <c r="F141" s="84">
        <v>0.175927859375</v>
      </c>
      <c r="G141" s="84">
        <v>-22.418262625578581</v>
      </c>
      <c r="J141" s="1"/>
      <c r="K141" s="1"/>
      <c r="L141" s="1"/>
      <c r="V141" s="1"/>
      <c r="W141" s="1"/>
      <c r="X141" s="1"/>
      <c r="Y141" s="1"/>
      <c r="Z141" s="1"/>
      <c r="AA141" s="1"/>
      <c r="AB141" s="1"/>
    </row>
    <row r="142" spans="1:28" ht="11.25" customHeight="1" x14ac:dyDescent="0.2">
      <c r="A142" s="95">
        <v>69</v>
      </c>
      <c r="B142" s="95" t="s">
        <v>250</v>
      </c>
      <c r="C142" s="96">
        <v>6.0410000000000004</v>
      </c>
      <c r="D142" s="96">
        <v>0.19365393750000001</v>
      </c>
      <c r="E142" s="96">
        <v>-11.906278970025163</v>
      </c>
      <c r="F142" s="96">
        <v>0.34416324999999998</v>
      </c>
      <c r="G142" s="96">
        <v>-21.732026199298137</v>
      </c>
      <c r="J142" s="1"/>
      <c r="K142" s="1"/>
      <c r="L142" s="1"/>
      <c r="V142" s="1"/>
      <c r="W142" s="1"/>
      <c r="X142" s="1"/>
      <c r="Y142" s="1"/>
      <c r="Z142" s="1"/>
      <c r="AA142" s="1"/>
      <c r="AB142" s="1"/>
    </row>
    <row r="143" spans="1:28" ht="11.25" customHeight="1" x14ac:dyDescent="0.2">
      <c r="A143" s="83">
        <v>70</v>
      </c>
      <c r="B143" s="83" t="s">
        <v>251</v>
      </c>
      <c r="C143" s="84">
        <v>6.077</v>
      </c>
      <c r="D143" s="84">
        <v>0.192082265625</v>
      </c>
      <c r="E143" s="84">
        <v>-13.996591397292256</v>
      </c>
      <c r="F143" s="84">
        <v>0.25789173437500001</v>
      </c>
      <c r="G143" s="84">
        <v>-21.891097119794384</v>
      </c>
      <c r="J143" s="1"/>
      <c r="K143" s="1"/>
      <c r="L143" s="1"/>
      <c r="V143" s="1"/>
      <c r="W143" s="1"/>
      <c r="X143" s="1"/>
      <c r="Y143" s="1"/>
      <c r="Z143" s="1"/>
      <c r="AA143" s="1"/>
      <c r="AB143" s="1"/>
    </row>
    <row r="144" spans="1:28" ht="11.25" customHeight="1" x14ac:dyDescent="0.2">
      <c r="A144" s="95">
        <v>71</v>
      </c>
      <c r="B144" s="95" t="s">
        <v>252</v>
      </c>
      <c r="C144" s="96">
        <v>6.0709999999999997</v>
      </c>
      <c r="D144" s="96">
        <v>0.19906767187499999</v>
      </c>
      <c r="E144" s="96">
        <v>-11.197563274818577</v>
      </c>
      <c r="F144" s="96">
        <v>0.23299212499999999</v>
      </c>
      <c r="G144" s="96">
        <v>-22.132334980343838</v>
      </c>
      <c r="J144" s="1"/>
      <c r="K144" s="1"/>
      <c r="L144" s="1"/>
      <c r="V144" s="1"/>
      <c r="W144" s="1"/>
      <c r="X144" s="1"/>
      <c r="Y144" s="1"/>
      <c r="Z144" s="1"/>
      <c r="AA144" s="1"/>
      <c r="AB144" s="1"/>
    </row>
    <row r="145" spans="1:28" ht="11.25" customHeight="1" x14ac:dyDescent="0.2">
      <c r="A145" s="83">
        <v>72</v>
      </c>
      <c r="B145" s="83" t="s">
        <v>253</v>
      </c>
      <c r="C145" s="84">
        <v>6.7880000000000003</v>
      </c>
      <c r="D145" s="84">
        <v>0.19702617187499999</v>
      </c>
      <c r="E145" s="84">
        <v>-11.317146932604327</v>
      </c>
      <c r="F145" s="84">
        <v>0.38080043749999998</v>
      </c>
      <c r="G145" s="84">
        <v>-21.917618196509189</v>
      </c>
      <c r="J145" s="1"/>
      <c r="K145" s="1"/>
      <c r="L145" s="1"/>
      <c r="V145" s="1"/>
      <c r="W145" s="1"/>
      <c r="X145" s="1"/>
      <c r="Y145" s="1"/>
      <c r="Z145" s="1"/>
      <c r="AA145" s="1"/>
      <c r="AB145" s="1"/>
    </row>
    <row r="146" spans="1:28" ht="11.25" customHeight="1" x14ac:dyDescent="0.2">
      <c r="A146" s="95">
        <v>73</v>
      </c>
      <c r="B146" s="95" t="s">
        <v>254</v>
      </c>
      <c r="C146" s="96">
        <v>6.6310000000000002</v>
      </c>
      <c r="D146" s="96">
        <v>0.18636515625</v>
      </c>
      <c r="E146" s="96">
        <v>-14.191677086254684</v>
      </c>
      <c r="F146" s="96">
        <v>0.43092581250000001</v>
      </c>
      <c r="G146" s="96">
        <v>-21.585630142870222</v>
      </c>
      <c r="J146" s="1"/>
      <c r="K146" s="1"/>
      <c r="L146" s="1"/>
      <c r="V146" s="1"/>
      <c r="W146" s="1"/>
      <c r="X146" s="1"/>
      <c r="Y146" s="1"/>
      <c r="Z146" s="1"/>
      <c r="AA146" s="1"/>
      <c r="AB146" s="1"/>
    </row>
    <row r="147" spans="1:28" ht="11.25" customHeight="1" x14ac:dyDescent="0.2">
      <c r="A147" s="83">
        <v>74</v>
      </c>
      <c r="B147" s="83" t="s">
        <v>255</v>
      </c>
      <c r="C147" s="84">
        <v>6.7869999999999999</v>
      </c>
      <c r="D147" s="84">
        <v>0.168996234375</v>
      </c>
      <c r="E147" s="84">
        <v>-18.790561823088801</v>
      </c>
      <c r="F147" s="84">
        <v>0.43497124999999998</v>
      </c>
      <c r="G147" s="84">
        <v>-21.679302192304259</v>
      </c>
      <c r="J147" s="1"/>
      <c r="K147" s="1"/>
      <c r="L147" s="1"/>
      <c r="V147" s="1"/>
      <c r="W147" s="1"/>
      <c r="X147" s="1"/>
      <c r="Y147" s="1"/>
      <c r="Z147" s="1"/>
      <c r="AA147" s="1"/>
      <c r="AB147" s="1"/>
    </row>
    <row r="148" spans="1:28" ht="11.25" customHeight="1" x14ac:dyDescent="0.2">
      <c r="A148" s="95">
        <v>75</v>
      </c>
      <c r="B148" s="95" t="s">
        <v>84</v>
      </c>
      <c r="C148" s="96">
        <v>1.038</v>
      </c>
      <c r="D148" s="96">
        <v>0.495282375</v>
      </c>
      <c r="E148" s="96">
        <v>-3.9337957784336686</v>
      </c>
      <c r="F148" s="96">
        <v>3.9046877499999999</v>
      </c>
      <c r="G148" s="96">
        <v>-21.796030657901493</v>
      </c>
      <c r="J148" s="1"/>
      <c r="K148" s="1"/>
      <c r="L148" s="1"/>
      <c r="V148" s="1"/>
      <c r="W148" s="1"/>
      <c r="X148" s="1"/>
      <c r="Y148" s="1"/>
      <c r="Z148" s="1"/>
      <c r="AA148" s="1"/>
      <c r="AB148" s="1"/>
    </row>
    <row r="149" spans="1:28" ht="11.25" customHeight="1" x14ac:dyDescent="0.2">
      <c r="A149" s="83">
        <v>76</v>
      </c>
      <c r="B149" s="83" t="s">
        <v>62</v>
      </c>
      <c r="C149" s="84">
        <v>1.1719999999999999</v>
      </c>
      <c r="D149" s="84">
        <v>0.149818125</v>
      </c>
      <c r="E149" s="84">
        <v>-27.200737937325691</v>
      </c>
      <c r="F149" s="84">
        <v>4.8457299999999996</v>
      </c>
      <c r="G149" s="84">
        <v>-20.544798183055558</v>
      </c>
      <c r="J149" s="1"/>
      <c r="K149" s="1"/>
      <c r="L149" s="1"/>
      <c r="V149" s="1"/>
      <c r="W149" s="1"/>
      <c r="X149" s="1"/>
      <c r="Y149" s="1"/>
      <c r="Z149" s="1"/>
      <c r="AA149" s="1"/>
      <c r="AB149" s="1"/>
    </row>
    <row r="150" spans="1:28" ht="11.25" customHeight="1" x14ac:dyDescent="0.2">
      <c r="A150" s="95">
        <v>77</v>
      </c>
      <c r="B150" s="95" t="s">
        <v>63</v>
      </c>
      <c r="C150" s="96">
        <v>1.018</v>
      </c>
      <c r="D150" s="96">
        <v>0.146441203125</v>
      </c>
      <c r="E150" s="96">
        <v>-33.153359774735321</v>
      </c>
      <c r="F150" s="96">
        <v>4.4898210000000001</v>
      </c>
      <c r="G150" s="96">
        <v>-7.3305270453631506</v>
      </c>
      <c r="J150" s="1"/>
      <c r="K150" s="1"/>
      <c r="L150" s="1"/>
      <c r="V150" s="1"/>
      <c r="W150" s="1"/>
      <c r="X150" s="1"/>
      <c r="Y150" s="1"/>
      <c r="Z150" s="1"/>
      <c r="AA150" s="1"/>
      <c r="AB150" s="1"/>
    </row>
    <row r="151" spans="1:28" ht="11.25" customHeight="1" x14ac:dyDescent="0.2">
      <c r="A151" s="83">
        <v>78</v>
      </c>
      <c r="B151" s="83" t="s">
        <v>70</v>
      </c>
      <c r="C151" s="84">
        <v>1.218</v>
      </c>
      <c r="D151" s="84">
        <v>0.14111701562500001</v>
      </c>
      <c r="E151" s="84">
        <v>-43.996338545711836</v>
      </c>
      <c r="F151" s="84">
        <v>4.2274260000000004</v>
      </c>
      <c r="G151" s="84">
        <v>-13.999814400055939</v>
      </c>
      <c r="J151" s="1"/>
      <c r="K151" s="1"/>
      <c r="L151" s="1"/>
      <c r="V151" s="1"/>
      <c r="W151" s="1"/>
      <c r="X151" s="1"/>
      <c r="Y151" s="1"/>
      <c r="Z151" s="1"/>
      <c r="AA151" s="1"/>
      <c r="AB151" s="1"/>
    </row>
    <row r="152" spans="1:28" ht="11.25" customHeight="1" x14ac:dyDescent="0.2">
      <c r="A152" s="114">
        <v>79</v>
      </c>
      <c r="B152" s="114" t="s">
        <v>86</v>
      </c>
      <c r="C152" s="108">
        <v>0</v>
      </c>
      <c r="D152" s="108">
        <v>0.13356556250000001</v>
      </c>
      <c r="E152" s="108">
        <v>-27.204074428949788</v>
      </c>
      <c r="F152" s="108">
        <v>0.25709089062500001</v>
      </c>
      <c r="G152" s="108">
        <v>-13.358632107868289</v>
      </c>
      <c r="J152" s="1"/>
      <c r="K152" s="1"/>
      <c r="L152" s="1"/>
      <c r="V152" s="1"/>
      <c r="W152" s="1"/>
      <c r="X152" s="1"/>
      <c r="Y152" s="1"/>
      <c r="Z152" s="1"/>
      <c r="AA152" s="1"/>
      <c r="AB152" s="1"/>
    </row>
    <row r="153" spans="1:28" ht="11.25" customHeight="1" x14ac:dyDescent="0.2">
      <c r="J153" s="1"/>
      <c r="K153" s="1"/>
      <c r="L153" s="1"/>
      <c r="V153" s="1"/>
      <c r="W153" s="1"/>
      <c r="X153" s="1"/>
      <c r="Y153" s="1"/>
      <c r="Z153" s="1"/>
      <c r="AA153" s="1"/>
      <c r="AB153" s="1"/>
    </row>
    <row r="154" spans="1:28" ht="11.25" customHeight="1" x14ac:dyDescent="0.2">
      <c r="J154" s="1"/>
      <c r="K154" s="1"/>
      <c r="L154" s="1"/>
      <c r="V154" s="1"/>
      <c r="W154" s="1"/>
      <c r="X154" s="1"/>
      <c r="Y154" s="1"/>
      <c r="Z154" s="1"/>
      <c r="AA154" s="1"/>
      <c r="AB154" s="1"/>
    </row>
    <row r="155" spans="1:28" ht="11.25" customHeight="1" x14ac:dyDescent="0.2">
      <c r="J155" s="1"/>
      <c r="K155" s="1"/>
      <c r="L155" s="1"/>
      <c r="V155" s="1"/>
      <c r="W155" s="1"/>
      <c r="X155" s="1"/>
      <c r="Y155" s="1"/>
      <c r="Z155" s="1"/>
      <c r="AA155" s="1"/>
      <c r="AB155" s="1"/>
    </row>
    <row r="156" spans="1:28" ht="11.25" customHeight="1" x14ac:dyDescent="0.2">
      <c r="J156" s="1"/>
      <c r="K156" s="1"/>
      <c r="L156" s="1"/>
      <c r="V156" s="1"/>
      <c r="W156" s="1"/>
      <c r="X156" s="1"/>
      <c r="Y156" s="1"/>
      <c r="Z156" s="1"/>
      <c r="AA156" s="1"/>
      <c r="AB156" s="1"/>
    </row>
    <row r="157" spans="1:28" ht="11.25" customHeight="1" x14ac:dyDescent="0.2">
      <c r="J157" s="1"/>
      <c r="K157" s="1"/>
      <c r="L157" s="1"/>
      <c r="V157" s="1"/>
      <c r="W157" s="1"/>
      <c r="X157" s="1"/>
      <c r="Y157" s="1"/>
      <c r="Z157" s="1"/>
      <c r="AA157" s="1"/>
      <c r="AB157" s="1"/>
    </row>
    <row r="158" spans="1:28" ht="11.25" customHeight="1" x14ac:dyDescent="0.2">
      <c r="J158" s="1"/>
      <c r="K158" s="1"/>
      <c r="L158" s="1"/>
      <c r="V158" s="1"/>
      <c r="W158" s="1"/>
      <c r="X158" s="1"/>
      <c r="Y158" s="1"/>
      <c r="Z158" s="1"/>
      <c r="AA158" s="1"/>
      <c r="AB158" s="1"/>
    </row>
    <row r="159" spans="1:28" ht="11.25" customHeight="1" x14ac:dyDescent="0.2">
      <c r="J159" s="1"/>
      <c r="K159" s="1"/>
      <c r="L159" s="1"/>
      <c r="V159" s="1"/>
      <c r="W159" s="1"/>
      <c r="X159" s="1"/>
      <c r="Y159" s="1"/>
      <c r="Z159" s="1"/>
      <c r="AA159" s="1"/>
      <c r="AB159" s="1"/>
    </row>
    <row r="160" spans="1:28" ht="11.25" customHeight="1" x14ac:dyDescent="0.2">
      <c r="J160" s="1"/>
      <c r="K160" s="1"/>
      <c r="L160" s="1"/>
      <c r="V160" s="1"/>
      <c r="W160" s="1"/>
      <c r="X160" s="1"/>
      <c r="Y160" s="1"/>
      <c r="Z160" s="1"/>
      <c r="AA160" s="1"/>
      <c r="AB160" s="1"/>
    </row>
    <row r="161" spans="8:28" ht="11.25" customHeight="1" x14ac:dyDescent="0.2">
      <c r="J161" s="1"/>
      <c r="K161" s="1"/>
      <c r="L161" s="1"/>
      <c r="V161" s="1"/>
      <c r="W161" s="1"/>
      <c r="X161" s="1"/>
      <c r="Y161" s="1"/>
      <c r="Z161" s="1"/>
      <c r="AA161" s="1"/>
      <c r="AB161" s="1"/>
    </row>
    <row r="162" spans="8:28" ht="11.25" customHeight="1" x14ac:dyDescent="0.2">
      <c r="J162" s="1"/>
      <c r="K162" s="1"/>
      <c r="L162" s="1"/>
      <c r="V162" s="1"/>
      <c r="W162" s="1"/>
      <c r="X162" s="1"/>
      <c r="Y162" s="1"/>
      <c r="Z162" s="1"/>
      <c r="AA162" s="1"/>
      <c r="AB162" s="1"/>
    </row>
    <row r="163" spans="8:28" ht="11.25" customHeight="1" x14ac:dyDescent="0.2">
      <c r="J163" s="1"/>
      <c r="K163" s="1"/>
      <c r="L163" s="1"/>
      <c r="V163" s="1"/>
      <c r="W163" s="1"/>
      <c r="X163" s="1"/>
      <c r="Y163" s="1"/>
      <c r="Z163" s="1"/>
      <c r="AA163" s="1"/>
      <c r="AB163" s="1"/>
    </row>
    <row r="164" spans="8:28" ht="11.25" customHeight="1" x14ac:dyDescent="0.2">
      <c r="J164" s="1"/>
      <c r="K164" s="1"/>
      <c r="L164" s="1"/>
      <c r="V164" s="1"/>
      <c r="W164" s="1"/>
      <c r="X164" s="1"/>
      <c r="Y164" s="1"/>
      <c r="Z164" s="1"/>
      <c r="AA164" s="1"/>
      <c r="AB164" s="1"/>
    </row>
    <row r="165" spans="8:28" ht="11.25" customHeight="1" x14ac:dyDescent="0.2">
      <c r="J165" s="1"/>
      <c r="K165" s="1"/>
      <c r="L165" s="1"/>
      <c r="V165" s="1"/>
      <c r="W165" s="1"/>
      <c r="X165" s="1"/>
      <c r="Y165" s="1"/>
      <c r="Z165" s="1"/>
      <c r="AA165" s="1"/>
      <c r="AB165" s="1"/>
    </row>
    <row r="166" spans="8:28" ht="11.25" customHeight="1" x14ac:dyDescent="0.2">
      <c r="J166" s="1"/>
      <c r="K166" s="1"/>
      <c r="L166" s="1"/>
      <c r="V166" s="1"/>
      <c r="W166" s="1"/>
      <c r="X166" s="1"/>
      <c r="Y166" s="1"/>
      <c r="Z166" s="1"/>
      <c r="AA166" s="1"/>
      <c r="AB166" s="1"/>
    </row>
    <row r="167" spans="8:28" ht="11.25" customHeight="1" x14ac:dyDescent="0.2">
      <c r="J167" s="1"/>
      <c r="K167" s="1"/>
      <c r="L167" s="1"/>
      <c r="V167" s="1"/>
      <c r="W167" s="1"/>
      <c r="X167" s="1"/>
      <c r="Y167" s="1"/>
      <c r="Z167" s="1"/>
      <c r="AA167" s="1"/>
      <c r="AB167" s="1"/>
    </row>
    <row r="168" spans="8:28" ht="11.25" customHeight="1" x14ac:dyDescent="0.2">
      <c r="J168" s="1"/>
      <c r="K168" s="1"/>
      <c r="L168" s="1"/>
      <c r="V168" s="1"/>
      <c r="W168" s="1"/>
      <c r="X168" s="1"/>
      <c r="Y168" s="1"/>
      <c r="Z168" s="1"/>
      <c r="AA168" s="1"/>
      <c r="AB168" s="1"/>
    </row>
    <row r="169" spans="8:28" ht="11.25" customHeight="1" x14ac:dyDescent="0.2">
      <c r="J169" s="1"/>
      <c r="K169" s="1"/>
      <c r="L169" s="1"/>
      <c r="V169" s="1"/>
      <c r="W169" s="1"/>
      <c r="X169" s="1"/>
      <c r="Y169" s="1"/>
      <c r="Z169" s="1"/>
      <c r="AA169" s="1"/>
      <c r="AB169" s="1"/>
    </row>
    <row r="170" spans="8:28" ht="11.25" customHeight="1" x14ac:dyDescent="0.2">
      <c r="J170" s="1"/>
      <c r="K170" s="1"/>
      <c r="L170" s="1"/>
      <c r="V170" s="1"/>
      <c r="W170" s="1"/>
      <c r="X170" s="1"/>
      <c r="Y170" s="1"/>
      <c r="Z170" s="1"/>
      <c r="AA170" s="1"/>
      <c r="AB170" s="1"/>
    </row>
    <row r="171" spans="8:28" ht="11.25" customHeight="1" x14ac:dyDescent="0.2">
      <c r="J171" s="1"/>
      <c r="K171" s="1"/>
      <c r="L171" s="1"/>
      <c r="V171" s="1"/>
      <c r="W171" s="1"/>
      <c r="X171" s="1"/>
      <c r="Y171" s="1"/>
      <c r="Z171" s="1"/>
      <c r="AA171" s="1"/>
      <c r="AB171" s="1"/>
    </row>
    <row r="172" spans="8:28" ht="11.25" customHeight="1" x14ac:dyDescent="0.2">
      <c r="J172" s="1"/>
      <c r="K172" s="1"/>
      <c r="L172" s="1"/>
      <c r="V172" s="1"/>
      <c r="W172" s="1"/>
      <c r="X172" s="1"/>
      <c r="Y172" s="1"/>
      <c r="Z172" s="1"/>
      <c r="AA172" s="1"/>
      <c r="AB172" s="1"/>
    </row>
    <row r="173" spans="8:28" ht="11.25" customHeight="1" x14ac:dyDescent="0.2">
      <c r="J173" s="1"/>
      <c r="K173" s="1"/>
      <c r="L173" s="1"/>
      <c r="V173" s="1"/>
      <c r="W173" s="1"/>
      <c r="X173" s="1"/>
      <c r="Y173" s="1"/>
      <c r="Z173" s="1"/>
      <c r="AA173" s="1"/>
      <c r="AB173" s="1"/>
    </row>
    <row r="174" spans="8:28" ht="11.25" customHeight="1" x14ac:dyDescent="0.2">
      <c r="J174" s="1"/>
      <c r="K174" s="1"/>
      <c r="L174" s="1"/>
      <c r="V174" s="1"/>
      <c r="W174" s="1"/>
      <c r="X174" s="1"/>
      <c r="Y174" s="1"/>
      <c r="Z174" s="1"/>
      <c r="AA174" s="1"/>
      <c r="AB174" s="1"/>
    </row>
    <row r="175" spans="8:28" ht="11.25" customHeight="1" x14ac:dyDescent="0.2">
      <c r="J175" s="1"/>
      <c r="K175" s="1"/>
      <c r="L175" s="1"/>
      <c r="V175" s="1"/>
      <c r="W175" s="1"/>
      <c r="X175" s="1"/>
      <c r="Y175" s="1"/>
      <c r="Z175" s="1"/>
      <c r="AA175" s="1"/>
      <c r="AB175" s="1"/>
    </row>
    <row r="176" spans="8:28" ht="11.25" customHeight="1" x14ac:dyDescent="0.25">
      <c r="H176"/>
      <c r="I176"/>
      <c r="J176"/>
      <c r="K176" s="1"/>
      <c r="L176" s="1"/>
      <c r="V176" s="1"/>
      <c r="W176" s="1"/>
      <c r="X176" s="1"/>
      <c r="Y176" s="1"/>
      <c r="Z176" s="1"/>
      <c r="AA176" s="1"/>
      <c r="AB176" s="1"/>
    </row>
    <row r="177" spans="8:28" ht="11.25" customHeight="1" x14ac:dyDescent="0.25">
      <c r="H177"/>
      <c r="I177"/>
      <c r="J177"/>
      <c r="K177" s="1"/>
      <c r="L177" s="1"/>
      <c r="V177" s="1"/>
      <c r="W177" s="1"/>
      <c r="X177" s="1"/>
      <c r="Y177" s="1"/>
      <c r="Z177" s="1"/>
      <c r="AA177" s="1"/>
      <c r="AB177" s="1"/>
    </row>
    <row r="178" spans="8:28" ht="11.25" customHeight="1" x14ac:dyDescent="0.25">
      <c r="H178"/>
      <c r="I178"/>
      <c r="J178"/>
      <c r="K178" s="1"/>
      <c r="L178" s="1"/>
      <c r="V178" s="1"/>
      <c r="W178" s="1"/>
      <c r="X178" s="1"/>
      <c r="Y178" s="1"/>
      <c r="Z178" s="1"/>
      <c r="AA178" s="1"/>
      <c r="AB178" s="1"/>
    </row>
    <row r="179" spans="8:28" ht="11.25" customHeight="1" x14ac:dyDescent="0.25">
      <c r="H179"/>
      <c r="I179"/>
      <c r="J179"/>
      <c r="K179" s="1"/>
      <c r="L179" s="1"/>
      <c r="V179" s="1"/>
      <c r="W179" s="1"/>
      <c r="X179" s="1"/>
      <c r="Y179" s="1"/>
      <c r="Z179" s="1"/>
      <c r="AA179" s="1"/>
      <c r="AB179" s="1"/>
    </row>
    <row r="180" spans="8:28" ht="11.25" customHeight="1" x14ac:dyDescent="0.25">
      <c r="J180"/>
      <c r="K180"/>
      <c r="L180"/>
      <c r="M180"/>
      <c r="N180"/>
      <c r="O180"/>
      <c r="P180"/>
      <c r="V180" s="1"/>
      <c r="W180" s="1"/>
      <c r="X180" s="1"/>
      <c r="Y180" s="1"/>
      <c r="Z180" s="1"/>
      <c r="AA180" s="1"/>
      <c r="AB180" s="1"/>
    </row>
    <row r="181" spans="8:28" ht="11.25" customHeight="1" x14ac:dyDescent="0.25">
      <c r="J181"/>
      <c r="K181"/>
      <c r="L181"/>
      <c r="M181"/>
      <c r="N181"/>
      <c r="O181"/>
      <c r="P181"/>
      <c r="V181" s="1"/>
      <c r="W181" s="1"/>
      <c r="X181" s="1"/>
      <c r="Y181" s="1"/>
      <c r="Z181" s="1"/>
      <c r="AA181" s="1"/>
      <c r="AB181" s="1"/>
    </row>
    <row r="182" spans="8:28" ht="11.25" customHeight="1" x14ac:dyDescent="0.25">
      <c r="J182"/>
      <c r="K182"/>
      <c r="L182"/>
      <c r="M182"/>
      <c r="N182"/>
      <c r="O182"/>
      <c r="P182"/>
      <c r="V182" s="1"/>
      <c r="W182" s="1"/>
      <c r="X182" s="1"/>
      <c r="Y182" s="1"/>
      <c r="Z182" s="1"/>
      <c r="AA182" s="1"/>
      <c r="AB182" s="1"/>
    </row>
    <row r="183" spans="8:28" ht="11.25" customHeight="1" x14ac:dyDescent="0.25">
      <c r="J183"/>
      <c r="K183"/>
      <c r="L183"/>
      <c r="M183"/>
      <c r="N183"/>
      <c r="O183"/>
      <c r="P183"/>
      <c r="V183" s="1"/>
      <c r="W183" s="1"/>
      <c r="X183" s="1"/>
      <c r="Y183" s="1"/>
      <c r="Z183" s="1"/>
      <c r="AA183" s="1"/>
      <c r="AB183" s="1"/>
    </row>
    <row r="184" spans="8:28" ht="11.25" customHeight="1" x14ac:dyDescent="0.25">
      <c r="J184"/>
      <c r="K184"/>
      <c r="L184"/>
      <c r="M184"/>
      <c r="N184"/>
      <c r="O184"/>
      <c r="P184"/>
      <c r="V184" s="1"/>
      <c r="W184" s="1"/>
      <c r="X184" s="1"/>
      <c r="Y184" s="1"/>
      <c r="Z184" s="1"/>
      <c r="AA184" s="1"/>
      <c r="AB184" s="1"/>
    </row>
    <row r="185" spans="8:28" ht="11.25" customHeight="1" x14ac:dyDescent="0.25">
      <c r="J185"/>
      <c r="K185"/>
      <c r="L185"/>
      <c r="M185"/>
      <c r="N185"/>
      <c r="O185"/>
      <c r="P185"/>
      <c r="V185" s="1"/>
      <c r="W185" s="1"/>
      <c r="X185" s="1"/>
      <c r="Y185" s="1"/>
      <c r="Z185" s="1"/>
      <c r="AA185" s="1"/>
      <c r="AB185" s="1"/>
    </row>
    <row r="186" spans="8:28" ht="11.25" customHeight="1" x14ac:dyDescent="0.25">
      <c r="J186"/>
      <c r="K186"/>
      <c r="L186"/>
      <c r="M186"/>
      <c r="N186"/>
      <c r="O186"/>
      <c r="P186"/>
      <c r="V186" s="1"/>
      <c r="W186" s="1"/>
      <c r="X186" s="1"/>
      <c r="Y186" s="1"/>
      <c r="Z186" s="1"/>
      <c r="AA186" s="1"/>
      <c r="AB186" s="1"/>
    </row>
    <row r="187" spans="8:28" ht="11.25" customHeight="1" x14ac:dyDescent="0.25">
      <c r="J187"/>
      <c r="K187"/>
      <c r="L187"/>
      <c r="M187"/>
      <c r="N187"/>
      <c r="O187"/>
      <c r="P187"/>
      <c r="V187" s="1"/>
      <c r="W187" s="1"/>
      <c r="X187" s="1"/>
      <c r="Y187" s="1"/>
      <c r="Z187" s="1"/>
      <c r="AA187" s="1"/>
      <c r="AB187" s="1"/>
    </row>
    <row r="188" spans="8:28" ht="11.25" customHeight="1" x14ac:dyDescent="0.25">
      <c r="J188"/>
      <c r="K188"/>
      <c r="L188"/>
      <c r="M188"/>
      <c r="N188"/>
      <c r="O188"/>
      <c r="P188"/>
      <c r="V188" s="1"/>
      <c r="W188" s="1"/>
      <c r="X188" s="1"/>
      <c r="Y188" s="1"/>
      <c r="Z188" s="1"/>
      <c r="AA188" s="1"/>
      <c r="AB188" s="1"/>
    </row>
    <row r="189" spans="8:28" ht="11.25" customHeight="1" x14ac:dyDescent="0.25">
      <c r="J189" s="1"/>
      <c r="K189" s="1"/>
      <c r="L189" s="1"/>
      <c r="P189"/>
      <c r="Q189"/>
      <c r="R189"/>
      <c r="S189"/>
      <c r="T189"/>
      <c r="U189"/>
      <c r="W189" s="1"/>
      <c r="X189" s="1"/>
      <c r="Y189" s="1"/>
      <c r="Z189" s="1"/>
      <c r="AA189" s="1"/>
      <c r="AB189" s="1"/>
    </row>
    <row r="190" spans="8:28" ht="11.25" customHeight="1" x14ac:dyDescent="0.25">
      <c r="J190" s="1"/>
      <c r="K190" s="1"/>
      <c r="L190" s="1"/>
      <c r="P190"/>
      <c r="Q190"/>
      <c r="R190"/>
      <c r="S190"/>
      <c r="T190"/>
      <c r="U190"/>
      <c r="W190" s="1"/>
      <c r="X190" s="1"/>
      <c r="Y190" s="1"/>
      <c r="Z190" s="1"/>
      <c r="AA190" s="1"/>
      <c r="AB190" s="1"/>
    </row>
    <row r="191" spans="8:28" ht="11.25" customHeight="1" x14ac:dyDescent="0.25">
      <c r="J191" s="1"/>
      <c r="K191" s="1"/>
      <c r="L191" s="1"/>
      <c r="P191"/>
      <c r="Q191"/>
      <c r="R191"/>
      <c r="S191"/>
      <c r="T191"/>
      <c r="U191"/>
      <c r="W191" s="1"/>
      <c r="X191" s="1"/>
      <c r="Y191" s="1"/>
      <c r="Z191" s="1"/>
      <c r="AA191" s="1"/>
      <c r="AB191" s="1"/>
    </row>
    <row r="192" spans="8:28" ht="11.25" customHeight="1" x14ac:dyDescent="0.25">
      <c r="J192" s="1"/>
      <c r="K192" s="1"/>
      <c r="L192" s="1"/>
      <c r="P192"/>
      <c r="Q192"/>
      <c r="R192"/>
      <c r="S192"/>
      <c r="T192"/>
      <c r="U192"/>
      <c r="W192" s="1"/>
      <c r="X192" s="1"/>
      <c r="Y192" s="1"/>
      <c r="Z192" s="1"/>
      <c r="AA192" s="1"/>
      <c r="AB192" s="1"/>
    </row>
    <row r="193" spans="16:22" s="1" customFormat="1" ht="11.25" customHeight="1" x14ac:dyDescent="0.25">
      <c r="P193"/>
      <c r="Q193"/>
      <c r="R193"/>
      <c r="S193"/>
      <c r="T193"/>
      <c r="U193"/>
      <c r="V193"/>
    </row>
    <row r="194" spans="16:22" s="1" customFormat="1" ht="11.25" customHeight="1" x14ac:dyDescent="0.25">
      <c r="P194"/>
      <c r="Q194"/>
      <c r="R194"/>
      <c r="S194"/>
      <c r="T194"/>
      <c r="U194"/>
      <c r="V194"/>
    </row>
    <row r="195" spans="16:22" s="1" customFormat="1" ht="11.25" customHeight="1" x14ac:dyDescent="0.25">
      <c r="P195"/>
      <c r="Q195"/>
      <c r="R195"/>
      <c r="S195"/>
      <c r="T195"/>
      <c r="U195"/>
      <c r="V195"/>
    </row>
    <row r="196" spans="16:22" s="1" customFormat="1" ht="11.25" customHeight="1" x14ac:dyDescent="0.25">
      <c r="P196"/>
      <c r="Q196"/>
      <c r="R196"/>
      <c r="S196"/>
      <c r="T196"/>
      <c r="U196"/>
      <c r="V196"/>
    </row>
    <row r="197" spans="16:22" s="1" customFormat="1" ht="11.25" customHeight="1" x14ac:dyDescent="0.25">
      <c r="P197"/>
      <c r="Q197"/>
      <c r="R197"/>
      <c r="S197"/>
      <c r="T197"/>
      <c r="U197"/>
      <c r="V197"/>
    </row>
    <row r="198" spans="16:22" s="1" customFormat="1" ht="11.25" customHeight="1" x14ac:dyDescent="0.25">
      <c r="P198"/>
      <c r="Q198"/>
      <c r="R198"/>
      <c r="S198"/>
      <c r="T198"/>
      <c r="U198"/>
      <c r="V198"/>
    </row>
    <row r="199" spans="16:22" s="1" customFormat="1" ht="11.25" customHeight="1" x14ac:dyDescent="0.25">
      <c r="P199"/>
      <c r="Q199"/>
      <c r="R199"/>
      <c r="S199"/>
      <c r="T199"/>
      <c r="U199"/>
      <c r="V199"/>
    </row>
    <row r="200" spans="16:22" s="1" customFormat="1" ht="11.25" customHeight="1" x14ac:dyDescent="0.25">
      <c r="P200"/>
      <c r="Q200"/>
      <c r="R200"/>
      <c r="S200"/>
      <c r="T200"/>
      <c r="U200"/>
      <c r="V200"/>
    </row>
    <row r="201" spans="16:22" s="1" customFormat="1" ht="11.25" customHeight="1" x14ac:dyDescent="0.25">
      <c r="P201"/>
      <c r="Q201"/>
      <c r="R201"/>
      <c r="S201"/>
      <c r="T201"/>
      <c r="U201"/>
      <c r="V201"/>
    </row>
    <row r="202" spans="16:22" s="1" customFormat="1" ht="11.25" customHeight="1" x14ac:dyDescent="0.25">
      <c r="P202"/>
      <c r="Q202"/>
      <c r="R202"/>
      <c r="S202"/>
      <c r="T202"/>
      <c r="U202"/>
      <c r="V202"/>
    </row>
    <row r="203" spans="16:22" s="1" customFormat="1" ht="11.25" customHeight="1" x14ac:dyDescent="0.25">
      <c r="P203"/>
      <c r="Q203"/>
      <c r="R203"/>
      <c r="S203"/>
      <c r="T203"/>
      <c r="U203"/>
      <c r="V203"/>
    </row>
    <row r="204" spans="16:22" s="1" customFormat="1" ht="11.25" customHeight="1" x14ac:dyDescent="0.25">
      <c r="P204"/>
      <c r="Q204"/>
      <c r="R204"/>
      <c r="S204"/>
      <c r="T204"/>
      <c r="U204"/>
      <c r="V204"/>
    </row>
    <row r="205" spans="16:22" s="1" customFormat="1" ht="11.25" customHeight="1" x14ac:dyDescent="0.25">
      <c r="P205"/>
      <c r="Q205"/>
      <c r="R205"/>
      <c r="S205"/>
      <c r="T205"/>
      <c r="U205"/>
      <c r="V205"/>
    </row>
  </sheetData>
  <sortState xmlns:xlrd2="http://schemas.microsoft.com/office/spreadsheetml/2017/richdata2" ref="A86:AB95">
    <sortCondition ref="B86:B95"/>
  </sortState>
  <pageMargins left="0.7" right="0.7" top="0.75" bottom="0.75" header="0.3" footer="0.3"/>
  <pageSetup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AB204"/>
  <sheetViews>
    <sheetView topLeftCell="A22" zoomScaleNormal="100" workbookViewId="0">
      <selection activeCell="A32" sqref="A32:XFD84"/>
    </sheetView>
  </sheetViews>
  <sheetFormatPr defaultColWidth="9.140625" defaultRowHeight="11.25" customHeight="1" x14ac:dyDescent="0.25"/>
  <cols>
    <col min="1" max="1" width="12" style="1" customWidth="1"/>
    <col min="2" max="2" width="25.28515625" style="1" customWidth="1"/>
    <col min="3" max="3" width="10.85546875" style="1" customWidth="1"/>
    <col min="4" max="4" width="8.28515625" style="1" customWidth="1"/>
    <col min="5" max="5" width="14" style="1" customWidth="1"/>
    <col min="6" max="6" width="10.7109375" style="1" customWidth="1"/>
    <col min="7" max="7" width="11.42578125" style="1" customWidth="1"/>
    <col min="8" max="8" width="9" style="1" customWidth="1"/>
    <col min="9" max="9" width="9.5703125" style="1" customWidth="1"/>
    <col min="10" max="10" width="11.42578125" style="5" customWidth="1"/>
    <col min="11" max="12" width="9.42578125" style="5" customWidth="1"/>
    <col min="13" max="14" width="10" style="1" customWidth="1"/>
    <col min="15" max="15" width="13" style="1" customWidth="1"/>
    <col min="16" max="16" width="9.140625" style="1"/>
    <col min="17" max="17" width="9.5703125" style="1" customWidth="1"/>
    <col min="18" max="18" width="9.140625" style="1"/>
    <col min="19" max="19" width="9.5703125" style="1" customWidth="1"/>
    <col min="20" max="21" width="9.140625" style="1"/>
    <col min="26" max="26" width="8.85546875" customWidth="1"/>
    <col min="27" max="28" width="8.7109375" customWidth="1"/>
    <col min="29" max="16384" width="9.140625" style="1"/>
  </cols>
  <sheetData>
    <row r="2" spans="1:19" s="1" customFormat="1" ht="45" customHeight="1" x14ac:dyDescent="0.65">
      <c r="B2" s="2" t="s">
        <v>0</v>
      </c>
      <c r="C2" s="2"/>
      <c r="D2" s="2"/>
      <c r="E2" s="2"/>
      <c r="F2" s="2"/>
      <c r="G2" s="3"/>
      <c r="H2" s="3"/>
      <c r="I2" s="3"/>
      <c r="J2" s="4"/>
      <c r="K2" s="4"/>
      <c r="L2" s="5"/>
    </row>
    <row r="3" spans="1:19" s="1" customFormat="1" ht="11.25" customHeight="1" x14ac:dyDescent="0.2">
      <c r="B3" s="6" t="s">
        <v>1</v>
      </c>
      <c r="C3" s="6"/>
      <c r="D3" s="6"/>
      <c r="E3" s="6"/>
      <c r="F3" s="6"/>
      <c r="G3" s="7">
        <v>45184</v>
      </c>
      <c r="J3" s="5"/>
      <c r="K3" s="5"/>
      <c r="L3" s="5"/>
    </row>
    <row r="4" spans="1:19" s="1" customFormat="1" ht="11.25" customHeight="1" x14ac:dyDescent="0.2">
      <c r="B4" s="6" t="s">
        <v>2</v>
      </c>
      <c r="C4" s="6"/>
      <c r="D4" s="6"/>
      <c r="E4" s="6"/>
      <c r="F4" s="6"/>
      <c r="G4" s="1" t="s">
        <v>3</v>
      </c>
      <c r="J4" s="5"/>
      <c r="K4" s="5"/>
      <c r="L4" s="5"/>
    </row>
    <row r="5" spans="1:19" s="1" customFormat="1" ht="11.25" customHeight="1" x14ac:dyDescent="0.25">
      <c r="B5" s="6" t="s">
        <v>4</v>
      </c>
      <c r="C5" s="6"/>
      <c r="D5" s="6"/>
      <c r="E5" s="6"/>
      <c r="F5" s="6"/>
      <c r="G5" s="8" t="s">
        <v>193</v>
      </c>
      <c r="J5" s="5"/>
      <c r="K5" s="5"/>
      <c r="L5" s="5"/>
      <c r="M5" s="9"/>
      <c r="N5" s="9"/>
    </row>
    <row r="6" spans="1:19" s="1" customFormat="1" ht="11.25" customHeight="1" x14ac:dyDescent="0.2">
      <c r="B6" s="6" t="s">
        <v>5</v>
      </c>
      <c r="C6" s="6"/>
      <c r="D6" s="6"/>
      <c r="E6" s="6"/>
      <c r="F6" s="6"/>
      <c r="G6" s="1" t="s">
        <v>6</v>
      </c>
      <c r="J6" s="5"/>
      <c r="K6" s="5"/>
      <c r="L6" s="5"/>
      <c r="S6" s="10"/>
    </row>
    <row r="7" spans="1:19" s="1" customFormat="1" ht="11.25" customHeight="1" x14ac:dyDescent="0.2">
      <c r="B7" s="6" t="s">
        <v>7</v>
      </c>
      <c r="C7" s="6"/>
      <c r="D7" s="6"/>
      <c r="E7" s="6"/>
      <c r="F7" s="6"/>
      <c r="G7" s="6" t="s">
        <v>53</v>
      </c>
      <c r="J7" s="5"/>
      <c r="K7" s="5"/>
      <c r="L7" s="5"/>
    </row>
    <row r="8" spans="1:19" s="1" customFormat="1" ht="11.25" customHeight="1" x14ac:dyDescent="0.2">
      <c r="B8" s="6" t="s">
        <v>8</v>
      </c>
      <c r="C8" s="6"/>
      <c r="D8" s="6"/>
      <c r="E8" s="6"/>
      <c r="F8" s="6"/>
      <c r="G8" s="6" t="s">
        <v>9</v>
      </c>
      <c r="J8" s="5"/>
      <c r="K8" s="11"/>
      <c r="M8" s="12"/>
      <c r="N8" s="13"/>
    </row>
    <row r="9" spans="1:19" s="1" customFormat="1" ht="11.25" customHeight="1" x14ac:dyDescent="0.25">
      <c r="A9" s="14" t="s">
        <v>10</v>
      </c>
      <c r="B9" s="15"/>
      <c r="C9" s="16" t="s">
        <v>11</v>
      </c>
      <c r="D9" s="17"/>
      <c r="E9" s="16" t="s">
        <v>12</v>
      </c>
      <c r="F9" s="18"/>
      <c r="G9" s="14" t="s">
        <v>13</v>
      </c>
      <c r="H9" s="19" t="s">
        <v>14</v>
      </c>
      <c r="I9" s="20" t="s">
        <v>14</v>
      </c>
      <c r="J9" s="21" t="s">
        <v>14</v>
      </c>
      <c r="K9" s="22"/>
      <c r="M9" s="12"/>
      <c r="N9" s="13"/>
    </row>
    <row r="10" spans="1:19" s="1" customFormat="1" ht="11.25" customHeight="1" x14ac:dyDescent="0.25">
      <c r="A10" s="23"/>
      <c r="B10" s="24"/>
      <c r="C10" s="25" t="s">
        <v>14</v>
      </c>
      <c r="D10" s="26" t="s">
        <v>15</v>
      </c>
      <c r="E10" s="25" t="s">
        <v>14</v>
      </c>
      <c r="F10" s="27" t="s">
        <v>15</v>
      </c>
      <c r="G10" s="28" t="s">
        <v>16</v>
      </c>
      <c r="H10" s="28" t="s">
        <v>17</v>
      </c>
      <c r="I10" s="29" t="s">
        <v>18</v>
      </c>
      <c r="J10" s="30" t="s">
        <v>19</v>
      </c>
      <c r="K10" s="22"/>
      <c r="M10" s="12"/>
      <c r="N10" s="13"/>
    </row>
    <row r="11" spans="1:19" s="1" customFormat="1" ht="11.25" customHeight="1" x14ac:dyDescent="0.25">
      <c r="A11" s="31"/>
      <c r="B11" s="32" t="s">
        <v>20</v>
      </c>
      <c r="C11" s="33">
        <v>-26.6</v>
      </c>
      <c r="D11" s="34"/>
      <c r="E11" s="35">
        <v>-21.3</v>
      </c>
      <c r="F11" s="36"/>
      <c r="G11" s="37"/>
      <c r="H11" s="38">
        <v>72.53</v>
      </c>
      <c r="I11" s="38">
        <v>6.51</v>
      </c>
      <c r="J11" s="39">
        <f>H11/I11</f>
        <v>11.141321044546851</v>
      </c>
      <c r="K11" s="22"/>
      <c r="M11" s="12"/>
      <c r="N11" s="13"/>
    </row>
    <row r="12" spans="1:19" s="1" customFormat="1" ht="11.25" customHeight="1" x14ac:dyDescent="0.25">
      <c r="A12" s="40"/>
      <c r="B12" s="41" t="s">
        <v>21</v>
      </c>
      <c r="C12" s="42"/>
      <c r="D12" s="43"/>
      <c r="E12"/>
      <c r="F12" s="44"/>
      <c r="G12" s="37"/>
      <c r="H12" s="45">
        <v>20</v>
      </c>
      <c r="I12" s="45">
        <v>46.65</v>
      </c>
      <c r="J12" s="46">
        <f>H12/I12</f>
        <v>0.4287245444801715</v>
      </c>
      <c r="K12" s="5"/>
      <c r="L12" s="5"/>
    </row>
    <row r="13" spans="1:19" s="1" customFormat="1" ht="11.25" customHeight="1" x14ac:dyDescent="0.25">
      <c r="A13" s="40"/>
      <c r="B13" s="41">
        <v>2704</v>
      </c>
      <c r="C13" s="42"/>
      <c r="D13" s="43"/>
      <c r="E13"/>
      <c r="F13" s="44"/>
      <c r="G13" s="47"/>
      <c r="H13" s="45">
        <v>3.3479999999999999</v>
      </c>
      <c r="I13" s="45"/>
      <c r="J13" s="46"/>
      <c r="K13" s="5"/>
      <c r="L13" s="5"/>
    </row>
    <row r="14" spans="1:19" s="1" customFormat="1" ht="11.25" customHeight="1" x14ac:dyDescent="0.25">
      <c r="A14" s="40"/>
      <c r="B14" s="41" t="s">
        <v>22</v>
      </c>
      <c r="C14" s="42">
        <v>-25.95</v>
      </c>
      <c r="D14" s="48"/>
      <c r="E14" s="49">
        <v>2.08</v>
      </c>
      <c r="F14" s="50"/>
      <c r="G14" s="47"/>
      <c r="H14" s="45">
        <v>44.65</v>
      </c>
      <c r="I14" s="45">
        <v>2.83</v>
      </c>
      <c r="J14" s="46">
        <f>H14/I14</f>
        <v>15.777385159010599</v>
      </c>
      <c r="K14" s="5"/>
      <c r="L14" s="5"/>
    </row>
    <row r="15" spans="1:19" s="1" customFormat="1" ht="11.25" customHeight="1" x14ac:dyDescent="0.25">
      <c r="A15" s="40"/>
      <c r="B15" s="41" t="s">
        <v>23</v>
      </c>
      <c r="C15" s="51">
        <v>-18.3</v>
      </c>
      <c r="D15" s="52">
        <f>AVERAGE(G39,G79)</f>
        <v>-13.794087539203694</v>
      </c>
      <c r="E15" s="49"/>
      <c r="F15" s="53"/>
      <c r="G15" s="54"/>
      <c r="H15" s="55"/>
      <c r="I15" s="55"/>
      <c r="J15" s="54"/>
      <c r="K15" s="5"/>
      <c r="L15" s="5"/>
    </row>
    <row r="16" spans="1:19" s="1" customFormat="1" ht="11.25" customHeight="1" x14ac:dyDescent="0.25">
      <c r="A16" s="40"/>
      <c r="B16" s="41" t="s">
        <v>24</v>
      </c>
      <c r="C16" s="42">
        <v>-25.49</v>
      </c>
      <c r="D16" s="52"/>
      <c r="E16" s="56"/>
      <c r="F16" s="57"/>
      <c r="G16" s="54"/>
      <c r="H16" s="55"/>
      <c r="I16" s="55"/>
      <c r="J16" s="54"/>
      <c r="K16" s="5"/>
      <c r="L16" s="5"/>
    </row>
    <row r="17" spans="1:20" s="1" customFormat="1" ht="11.25" customHeight="1" x14ac:dyDescent="0.25">
      <c r="A17" s="40"/>
      <c r="B17" s="41" t="s">
        <v>25</v>
      </c>
      <c r="C17" s="42">
        <v>-10.8</v>
      </c>
      <c r="D17" s="52">
        <f>AVERAGE(G38,G78)</f>
        <v>-6.2497726309370183</v>
      </c>
      <c r="E17" s="56"/>
      <c r="F17" s="57"/>
      <c r="G17" s="54"/>
      <c r="H17" s="55"/>
      <c r="I17" s="55"/>
      <c r="J17" s="54"/>
      <c r="K17" s="5"/>
      <c r="L17" s="5"/>
    </row>
    <row r="18" spans="1:20" s="1" customFormat="1" ht="11.25" customHeight="1" x14ac:dyDescent="0.25">
      <c r="A18" s="40"/>
      <c r="B18" s="41" t="s">
        <v>26</v>
      </c>
      <c r="C18" s="42">
        <v>-24.91</v>
      </c>
      <c r="D18" s="52">
        <f>AVERAGE(G37,G77)</f>
        <v>-20.322299917168337</v>
      </c>
      <c r="E18" s="56"/>
      <c r="F18" s="57"/>
      <c r="G18" s="54"/>
      <c r="H18" s="55"/>
      <c r="I18" s="55"/>
      <c r="J18" s="54"/>
      <c r="K18" s="5"/>
      <c r="L18" s="5"/>
    </row>
    <row r="19" spans="1:20" s="1" customFormat="1" ht="11.25" customHeight="1" x14ac:dyDescent="0.25">
      <c r="A19" s="40"/>
      <c r="B19" s="5" t="s">
        <v>27</v>
      </c>
      <c r="C19" s="42"/>
      <c r="D19" s="52"/>
      <c r="E19" s="58">
        <v>2.7</v>
      </c>
      <c r="F19" s="57"/>
      <c r="G19" s="54"/>
      <c r="H19" s="55"/>
      <c r="I19" s="55"/>
      <c r="J19" s="54"/>
      <c r="K19" s="5"/>
      <c r="L19" s="5"/>
    </row>
    <row r="20" spans="1:20" s="1" customFormat="1" ht="11.25" customHeight="1" x14ac:dyDescent="0.25">
      <c r="A20" s="40"/>
      <c r="B20" s="5" t="s">
        <v>28</v>
      </c>
      <c r="C20" s="42"/>
      <c r="D20" s="52"/>
      <c r="E20" s="58">
        <v>180</v>
      </c>
      <c r="F20" s="57"/>
      <c r="G20" s="54"/>
      <c r="H20" s="55"/>
      <c r="I20" s="55"/>
      <c r="J20" s="54"/>
      <c r="K20" s="5"/>
      <c r="L20" s="5"/>
    </row>
    <row r="21" spans="1:20" s="1" customFormat="1" ht="11.25" customHeight="1" x14ac:dyDescent="0.25">
      <c r="A21" s="40"/>
      <c r="B21" s="5" t="s">
        <v>29</v>
      </c>
      <c r="C21" s="42"/>
      <c r="D21" s="52"/>
      <c r="E21" s="58">
        <v>-1.8</v>
      </c>
      <c r="F21" s="57"/>
      <c r="G21" s="54"/>
      <c r="H21" s="55"/>
      <c r="I21" s="55"/>
      <c r="J21" s="54"/>
      <c r="K21" s="5"/>
      <c r="L21" s="5"/>
    </row>
    <row r="22" spans="1:20" s="1" customFormat="1" ht="11.25" customHeight="1" x14ac:dyDescent="0.25">
      <c r="A22" s="40"/>
      <c r="B22" s="41" t="s">
        <v>30</v>
      </c>
      <c r="C22" s="40"/>
      <c r="D22" s="59"/>
      <c r="E22" s="53">
        <v>0.4</v>
      </c>
      <c r="F22" s="50">
        <f>AVERAGE(E40,E80)</f>
        <v>1.0215540503705212</v>
      </c>
      <c r="G22" s="54"/>
      <c r="H22"/>
      <c r="I22"/>
      <c r="J22" s="54"/>
      <c r="K22" s="5"/>
      <c r="L22" s="5"/>
    </row>
    <row r="23" spans="1:20" s="1" customFormat="1" ht="11.25" customHeight="1" x14ac:dyDescent="0.25">
      <c r="A23" s="40"/>
      <c r="B23" s="41" t="s">
        <v>31</v>
      </c>
      <c r="C23" s="60"/>
      <c r="D23" s="59"/>
      <c r="E23" s="53">
        <v>20.3</v>
      </c>
      <c r="F23" s="50">
        <f>AVERAGE(E81)</f>
        <v>19.678009955317101</v>
      </c>
      <c r="G23" s="54"/>
      <c r="H23"/>
      <c r="I23"/>
      <c r="J23" s="54"/>
      <c r="K23" s="5"/>
      <c r="L23" s="5"/>
    </row>
    <row r="24" spans="1:20" s="1" customFormat="1" ht="11.25" customHeight="1" x14ac:dyDescent="0.25">
      <c r="A24" s="40"/>
      <c r="B24" s="41" t="s">
        <v>32</v>
      </c>
      <c r="C24" s="60"/>
      <c r="D24" s="52"/>
      <c r="E24" s="53">
        <v>4.7</v>
      </c>
      <c r="F24" s="50"/>
      <c r="G24" s="54"/>
      <c r="H24"/>
      <c r="I24"/>
      <c r="J24" s="54"/>
      <c r="K24" s="5"/>
      <c r="L24" s="5"/>
    </row>
    <row r="25" spans="1:20" customFormat="1" ht="11.25" customHeight="1" x14ac:dyDescent="0.25">
      <c r="A25" s="31"/>
      <c r="B25" s="61" t="s">
        <v>33</v>
      </c>
      <c r="C25" s="62"/>
      <c r="D25" s="61" t="s">
        <v>34</v>
      </c>
      <c r="E25" s="61"/>
      <c r="F25" s="62"/>
      <c r="G25" s="31"/>
      <c r="H25" s="62"/>
      <c r="I25" s="62"/>
      <c r="J25" s="63"/>
      <c r="K25" s="53"/>
      <c r="L25" s="53"/>
    </row>
    <row r="26" spans="1:20" customFormat="1" ht="11.25" customHeight="1" x14ac:dyDescent="0.25">
      <c r="A26" s="64" t="s">
        <v>35</v>
      </c>
      <c r="B26" s="53">
        <v>1.0024</v>
      </c>
      <c r="C26" s="65" t="s">
        <v>52</v>
      </c>
      <c r="D26" s="53">
        <v>-4.5151000000000003</v>
      </c>
      <c r="E26" s="53"/>
      <c r="F26" s="53"/>
      <c r="G26" s="40"/>
      <c r="H26" s="53"/>
      <c r="I26" s="53"/>
      <c r="J26" s="66"/>
      <c r="K26" s="53"/>
      <c r="L26" s="53"/>
    </row>
    <row r="27" spans="1:20" customFormat="1" ht="11.25" customHeight="1" x14ac:dyDescent="0.25">
      <c r="A27" s="64" t="s">
        <v>37</v>
      </c>
      <c r="B27" s="53">
        <v>1.0667</v>
      </c>
      <c r="C27" s="65"/>
      <c r="D27" s="67">
        <v>-0.68959999999999999</v>
      </c>
      <c r="E27" s="53"/>
      <c r="F27" s="53"/>
      <c r="G27" s="40"/>
      <c r="H27" s="53"/>
      <c r="I27" s="53"/>
      <c r="J27" s="66"/>
      <c r="K27" s="53"/>
      <c r="L27" s="53"/>
    </row>
    <row r="28" spans="1:20" customFormat="1" ht="11.25" customHeight="1" x14ac:dyDescent="0.25">
      <c r="A28" s="68" t="s">
        <v>38</v>
      </c>
      <c r="B28" s="53">
        <v>5.2074000000000002E-2</v>
      </c>
      <c r="C28" s="65" t="s">
        <v>36</v>
      </c>
      <c r="D28" s="67">
        <v>0</v>
      </c>
      <c r="E28" s="49"/>
      <c r="F28" s="53"/>
      <c r="G28" s="40"/>
      <c r="H28" s="53"/>
      <c r="I28" s="53"/>
      <c r="J28" s="66"/>
      <c r="K28" s="53"/>
      <c r="L28" s="53"/>
    </row>
    <row r="29" spans="1:20" customFormat="1" ht="11.25" customHeight="1" x14ac:dyDescent="0.25">
      <c r="A29" s="68" t="s">
        <v>39</v>
      </c>
      <c r="B29" s="53">
        <v>4.5058000000000001E-2</v>
      </c>
      <c r="C29" s="49" t="s">
        <v>36</v>
      </c>
      <c r="D29" s="69">
        <v>-8.0319999999999992E-3</v>
      </c>
      <c r="E29" s="69"/>
      <c r="F29" s="69"/>
      <c r="G29" s="70"/>
      <c r="H29" s="69"/>
      <c r="I29" s="69"/>
      <c r="J29" s="71"/>
      <c r="K29" s="53"/>
      <c r="L29" s="53"/>
      <c r="Q29" s="72"/>
    </row>
    <row r="30" spans="1:20" s="1" customFormat="1" ht="11.25" customHeight="1" x14ac:dyDescent="0.2">
      <c r="A30" s="73"/>
      <c r="B30" s="49"/>
      <c r="C30" s="49"/>
      <c r="D30" s="49"/>
      <c r="E30" s="49"/>
      <c r="F30" s="49"/>
      <c r="G30" s="74"/>
      <c r="H30" s="49"/>
      <c r="I30" s="56"/>
      <c r="J30" s="41"/>
      <c r="K30" s="5"/>
      <c r="L30" s="5"/>
    </row>
    <row r="31" spans="1:20" s="1" customFormat="1" ht="12" customHeight="1" x14ac:dyDescent="0.2">
      <c r="I31" s="3"/>
      <c r="J31" s="4"/>
    </row>
    <row r="32" spans="1:20" s="1" customFormat="1" ht="11.25" customHeight="1" x14ac:dyDescent="0.2">
      <c r="A32" s="75"/>
      <c r="B32" s="75" t="s">
        <v>40</v>
      </c>
      <c r="C32" s="75" t="s">
        <v>54</v>
      </c>
      <c r="D32" s="75" t="s">
        <v>80</v>
      </c>
      <c r="E32" s="75" t="s">
        <v>41</v>
      </c>
      <c r="F32" s="75" t="s">
        <v>81</v>
      </c>
      <c r="G32" s="99" t="s">
        <v>42</v>
      </c>
      <c r="H32" s="76" t="s">
        <v>43</v>
      </c>
      <c r="I32" s="77" t="s">
        <v>44</v>
      </c>
      <c r="J32" s="77" t="s">
        <v>45</v>
      </c>
      <c r="K32" s="77" t="s">
        <v>46</v>
      </c>
      <c r="L32" s="77" t="s">
        <v>47</v>
      </c>
      <c r="M32" s="178" t="s">
        <v>38</v>
      </c>
      <c r="N32" s="77" t="s">
        <v>38</v>
      </c>
      <c r="O32" s="77" t="s">
        <v>48</v>
      </c>
      <c r="P32" s="77" t="s">
        <v>49</v>
      </c>
      <c r="Q32" s="77" t="s">
        <v>39</v>
      </c>
      <c r="R32" s="77" t="s">
        <v>39</v>
      </c>
      <c r="S32" s="77" t="s">
        <v>50</v>
      </c>
      <c r="T32" s="77" t="s">
        <v>51</v>
      </c>
    </row>
    <row r="33" spans="1:20" s="90" customFormat="1" ht="11.25" customHeight="1" x14ac:dyDescent="0.2">
      <c r="A33" s="117">
        <v>30</v>
      </c>
      <c r="B33" s="117" t="s">
        <v>55</v>
      </c>
      <c r="C33" s="105">
        <v>0.79100000000000004</v>
      </c>
      <c r="D33" s="105">
        <v>1.0364985625000001</v>
      </c>
      <c r="E33" s="105">
        <v>3.2338408692358378</v>
      </c>
      <c r="F33" s="105">
        <v>6.8341704999999999</v>
      </c>
      <c r="G33" s="105">
        <v>-21.898756291716722</v>
      </c>
      <c r="H33" s="100">
        <f>$B$26*G33+$D$26</f>
        <v>-26.466413306816843</v>
      </c>
      <c r="I33" s="86">
        <f t="shared" ref="I33:I81" si="0">$B$27*E33+$D$27</f>
        <v>2.7599380552138681</v>
      </c>
      <c r="J33" s="87">
        <f t="shared" ref="J33:J81" si="1">(F33)/C33</f>
        <v>8.6399121365360294</v>
      </c>
      <c r="K33" s="87">
        <f>H$14</f>
        <v>44.65</v>
      </c>
      <c r="L33" s="87">
        <f>I$14</f>
        <v>2.83</v>
      </c>
      <c r="M33" s="87">
        <f t="shared" ref="M33:M81" si="2">C33*(K33/100)</f>
        <v>0.35318150000000004</v>
      </c>
      <c r="N33" s="179">
        <f t="shared" ref="N33:N81" si="3">F33*$B$28+$D$28</f>
        <v>0.355882594617</v>
      </c>
      <c r="O33" s="91">
        <f t="shared" ref="O33:O81" si="4">N33/C33*100</f>
        <v>44.991478459797726</v>
      </c>
      <c r="P33" s="87">
        <f t="shared" ref="P33:P81" si="5">D33/C33</f>
        <v>1.3103648072060683</v>
      </c>
      <c r="Q33" s="87">
        <f t="shared" ref="Q33:Q36" si="6">C33*(L33/100)</f>
        <v>2.2385300000000004E-2</v>
      </c>
      <c r="R33" s="179">
        <f t="shared" ref="R33:R81" si="7">D33*$B$29+$D$29</f>
        <v>3.8670552229125008E-2</v>
      </c>
      <c r="S33" s="89">
        <f t="shared" ref="S33:S81" si="8">R33/C33*100</f>
        <v>4.8888182337705439</v>
      </c>
      <c r="T33" s="86">
        <f t="shared" ref="T33:T81" si="9">N33/R33</f>
        <v>9.2029354147408444</v>
      </c>
    </row>
    <row r="34" spans="1:20" s="90" customFormat="1" ht="11.25" customHeight="1" x14ac:dyDescent="0.2">
      <c r="A34" s="117">
        <v>31</v>
      </c>
      <c r="B34" s="117" t="s">
        <v>56</v>
      </c>
      <c r="C34" s="105">
        <v>0.97</v>
      </c>
      <c r="D34" s="105">
        <v>1.2260653749999999</v>
      </c>
      <c r="E34" s="105">
        <v>2.0718747576506935</v>
      </c>
      <c r="F34" s="105">
        <v>8.3068305000000002</v>
      </c>
      <c r="G34" s="105">
        <v>-21.855204477554533</v>
      </c>
      <c r="H34" s="100">
        <f t="shared" ref="H34:H81" si="10">$B$26*G34+$D$26</f>
        <v>-26.422756968300664</v>
      </c>
      <c r="I34" s="86">
        <f t="shared" si="0"/>
        <v>1.5204688039859948</v>
      </c>
      <c r="J34" s="87">
        <f t="shared" si="1"/>
        <v>8.5637427835051554</v>
      </c>
      <c r="K34" s="87">
        <f t="shared" ref="K34:L36" si="11">H$14</f>
        <v>44.65</v>
      </c>
      <c r="L34" s="87">
        <f t="shared" si="11"/>
        <v>2.83</v>
      </c>
      <c r="M34" s="87">
        <f t="shared" si="2"/>
        <v>0.43310500000000002</v>
      </c>
      <c r="N34" s="179">
        <f t="shared" si="3"/>
        <v>0.43256989145700003</v>
      </c>
      <c r="O34" s="91">
        <f t="shared" si="4"/>
        <v>44.594834170824747</v>
      </c>
      <c r="P34" s="87">
        <f t="shared" si="5"/>
        <v>1.2639849226804123</v>
      </c>
      <c r="Q34" s="87">
        <f t="shared" si="6"/>
        <v>2.7451E-2</v>
      </c>
      <c r="R34" s="179">
        <f t="shared" si="7"/>
        <v>4.7212053666749999E-2</v>
      </c>
      <c r="S34" s="89">
        <f t="shared" si="8"/>
        <v>4.8672220275000004</v>
      </c>
      <c r="T34" s="86">
        <f t="shared" si="9"/>
        <v>9.1622765345123245</v>
      </c>
    </row>
    <row r="35" spans="1:20" s="90" customFormat="1" ht="11.25" customHeight="1" x14ac:dyDescent="0.2">
      <c r="A35" s="117">
        <v>32</v>
      </c>
      <c r="B35" s="117" t="s">
        <v>57</v>
      </c>
      <c r="C35" s="105">
        <v>0.93700000000000006</v>
      </c>
      <c r="D35" s="105">
        <v>1.2541487499999999</v>
      </c>
      <c r="E35" s="105">
        <v>1.7144147571290791</v>
      </c>
      <c r="F35" s="105">
        <v>8.0886045000000006</v>
      </c>
      <c r="G35" s="105">
        <v>-21.920885044034268</v>
      </c>
      <c r="H35" s="100">
        <f t="shared" si="10"/>
        <v>-26.488595168139948</v>
      </c>
      <c r="I35" s="86">
        <f t="shared" si="0"/>
        <v>1.1391662214295886</v>
      </c>
      <c r="J35" s="87">
        <f t="shared" si="1"/>
        <v>8.632448772678762</v>
      </c>
      <c r="K35" s="87">
        <f t="shared" si="11"/>
        <v>44.65</v>
      </c>
      <c r="L35" s="87">
        <f t="shared" si="11"/>
        <v>2.83</v>
      </c>
      <c r="M35" s="87">
        <f t="shared" si="2"/>
        <v>0.41837050000000003</v>
      </c>
      <c r="N35" s="179">
        <f t="shared" si="3"/>
        <v>0.42120599073300002</v>
      </c>
      <c r="O35" s="91">
        <f t="shared" si="4"/>
        <v>44.952613738847383</v>
      </c>
      <c r="P35" s="87">
        <f t="shared" si="5"/>
        <v>1.3384725186766273</v>
      </c>
      <c r="Q35" s="87">
        <f t="shared" si="6"/>
        <v>2.6517100000000005E-2</v>
      </c>
      <c r="R35" s="179">
        <f t="shared" si="7"/>
        <v>4.8477434377500003E-2</v>
      </c>
      <c r="S35" s="89">
        <f t="shared" si="8"/>
        <v>5.1736856326040552</v>
      </c>
      <c r="T35" s="86">
        <f t="shared" si="9"/>
        <v>8.6887022001415115</v>
      </c>
    </row>
    <row r="36" spans="1:20" s="90" customFormat="1" ht="11.25" customHeight="1" x14ac:dyDescent="0.2">
      <c r="A36" s="117">
        <v>33</v>
      </c>
      <c r="B36" s="117" t="s">
        <v>58</v>
      </c>
      <c r="C36" s="105">
        <v>0.94599999999999995</v>
      </c>
      <c r="D36" s="105">
        <v>1.3274021250000001</v>
      </c>
      <c r="E36" s="105">
        <v>1.6154649623445483</v>
      </c>
      <c r="F36" s="105">
        <v>8.1806274999999999</v>
      </c>
      <c r="G36" s="105">
        <v>-21.91351257141125</v>
      </c>
      <c r="H36" s="100">
        <f t="shared" si="10"/>
        <v>-26.481205001582637</v>
      </c>
      <c r="I36" s="86">
        <f t="shared" si="0"/>
        <v>1.0336164753329296</v>
      </c>
      <c r="J36" s="87">
        <f t="shared" si="1"/>
        <v>8.6475977801268495</v>
      </c>
      <c r="K36" s="87">
        <f t="shared" si="11"/>
        <v>44.65</v>
      </c>
      <c r="L36" s="87">
        <f t="shared" si="11"/>
        <v>2.83</v>
      </c>
      <c r="M36" s="87">
        <f t="shared" si="2"/>
        <v>0.42238899999999996</v>
      </c>
      <c r="N36" s="179">
        <f t="shared" si="3"/>
        <v>0.42599799643500003</v>
      </c>
      <c r="O36" s="91">
        <f t="shared" si="4"/>
        <v>45.031500680232561</v>
      </c>
      <c r="P36" s="87">
        <f t="shared" si="5"/>
        <v>1.4031734936575055</v>
      </c>
      <c r="Q36" s="87">
        <f t="shared" si="6"/>
        <v>2.6771800000000002E-2</v>
      </c>
      <c r="R36" s="179">
        <f t="shared" si="7"/>
        <v>5.1778084948250008E-2</v>
      </c>
      <c r="S36" s="89">
        <f t="shared" si="8"/>
        <v>5.4733705019291765</v>
      </c>
      <c r="T36" s="86">
        <f t="shared" si="9"/>
        <v>8.2273803069535472</v>
      </c>
    </row>
    <row r="37" spans="1:20" s="1" customFormat="1" ht="11.25" customHeight="1" x14ac:dyDescent="0.2">
      <c r="A37" s="83">
        <v>34</v>
      </c>
      <c r="B37" s="83" t="s">
        <v>60</v>
      </c>
      <c r="C37" s="84">
        <v>1.075</v>
      </c>
      <c r="D37" s="84">
        <v>0.6199114375</v>
      </c>
      <c r="E37" s="84">
        <v>-2.384865396660385</v>
      </c>
      <c r="F37" s="84">
        <v>8.4414040000000004</v>
      </c>
      <c r="G37" s="84">
        <v>-20.554037564466597</v>
      </c>
      <c r="H37" s="101">
        <f t="shared" si="10"/>
        <v>-25.118467254621315</v>
      </c>
      <c r="I37" s="78">
        <f t="shared" si="0"/>
        <v>-3.2335359186176325</v>
      </c>
      <c r="J37" s="79">
        <f t="shared" si="1"/>
        <v>7.8524688372093028</v>
      </c>
      <c r="K37" s="79"/>
      <c r="L37" s="79"/>
      <c r="M37" s="79">
        <f t="shared" si="2"/>
        <v>0</v>
      </c>
      <c r="N37" s="180">
        <f t="shared" si="3"/>
        <v>0.43957767189600006</v>
      </c>
      <c r="O37" s="81">
        <f t="shared" si="4"/>
        <v>40.890946222883727</v>
      </c>
      <c r="P37" s="79">
        <f t="shared" si="5"/>
        <v>0.5766618023255814</v>
      </c>
      <c r="Q37" s="79"/>
      <c r="R37" s="180">
        <f t="shared" si="7"/>
        <v>1.9899969550875002E-2</v>
      </c>
      <c r="S37" s="82">
        <f t="shared" si="8"/>
        <v>1.8511599582209306</v>
      </c>
      <c r="T37" s="78">
        <f t="shared" si="9"/>
        <v>22.089364045115929</v>
      </c>
    </row>
    <row r="38" spans="1:20" s="1" customFormat="1" ht="11.25" customHeight="1" x14ac:dyDescent="0.2">
      <c r="A38" s="95">
        <v>35</v>
      </c>
      <c r="B38" s="95" t="s">
        <v>66</v>
      </c>
      <c r="C38" s="96">
        <v>1.0009999999999999</v>
      </c>
      <c r="D38" s="96">
        <v>0.72193375000000004</v>
      </c>
      <c r="E38" s="96">
        <v>-2.1539597382497222</v>
      </c>
      <c r="F38" s="96">
        <v>7.9196255000000004</v>
      </c>
      <c r="G38" s="96">
        <v>-6.4964065467079806</v>
      </c>
      <c r="H38" s="101">
        <f t="shared" si="10"/>
        <v>-11.027097922420079</v>
      </c>
      <c r="I38" s="78">
        <f t="shared" si="0"/>
        <v>-2.9872288527909787</v>
      </c>
      <c r="J38" s="79">
        <f t="shared" si="1"/>
        <v>7.9117137862137872</v>
      </c>
      <c r="K38" s="79"/>
      <c r="L38" s="79"/>
      <c r="M38" s="79">
        <f t="shared" si="2"/>
        <v>0</v>
      </c>
      <c r="N38" s="180">
        <f t="shared" si="3"/>
        <v>0.41240657828700006</v>
      </c>
      <c r="O38" s="81">
        <f t="shared" si="4"/>
        <v>41.19945837032968</v>
      </c>
      <c r="P38" s="79">
        <f t="shared" si="5"/>
        <v>0.72121253746253755</v>
      </c>
      <c r="Q38" s="79"/>
      <c r="R38" s="180">
        <f t="shared" si="7"/>
        <v>2.4496890907500006E-2</v>
      </c>
      <c r="S38" s="82">
        <f t="shared" si="8"/>
        <v>2.4472418489010996</v>
      </c>
      <c r="T38" s="78">
        <f t="shared" si="9"/>
        <v>16.835057960793588</v>
      </c>
    </row>
    <row r="39" spans="1:20" s="1" customFormat="1" ht="11.25" customHeight="1" x14ac:dyDescent="0.2">
      <c r="A39" s="83">
        <v>36</v>
      </c>
      <c r="B39" s="83" t="s">
        <v>65</v>
      </c>
      <c r="C39" s="84">
        <v>1.248</v>
      </c>
      <c r="D39" s="84">
        <v>0.76728712499999996</v>
      </c>
      <c r="E39" s="84">
        <v>-2.9213877948316425</v>
      </c>
      <c r="F39" s="84">
        <v>4.5337505</v>
      </c>
      <c r="G39" s="84">
        <v>-14.114713228546133</v>
      </c>
      <c r="H39" s="101">
        <f t="shared" si="10"/>
        <v>-18.663688540294643</v>
      </c>
      <c r="I39" s="78">
        <f t="shared" si="0"/>
        <v>-3.8058443607469128</v>
      </c>
      <c r="J39" s="79">
        <f t="shared" si="1"/>
        <v>3.6328129006410257</v>
      </c>
      <c r="K39" s="79"/>
      <c r="L39" s="79"/>
      <c r="M39" s="79">
        <f t="shared" si="2"/>
        <v>0</v>
      </c>
      <c r="N39" s="180">
        <f t="shared" si="3"/>
        <v>0.23609052353700002</v>
      </c>
      <c r="O39" s="81">
        <f t="shared" si="4"/>
        <v>18.91750989879808</v>
      </c>
      <c r="P39" s="79">
        <f t="shared" si="5"/>
        <v>0.61481340144230767</v>
      </c>
      <c r="Q39" s="79"/>
      <c r="R39" s="180">
        <f t="shared" si="7"/>
        <v>2.654042327825E-2</v>
      </c>
      <c r="S39" s="82">
        <f t="shared" si="8"/>
        <v>2.1266364806290063</v>
      </c>
      <c r="T39" s="78">
        <f t="shared" si="9"/>
        <v>8.8955070935314478</v>
      </c>
    </row>
    <row r="40" spans="1:20" s="1" customFormat="1" ht="11.25" customHeight="1" x14ac:dyDescent="0.2">
      <c r="A40" s="95">
        <v>37</v>
      </c>
      <c r="B40" s="95" t="s">
        <v>67</v>
      </c>
      <c r="C40" s="96">
        <v>0.52100000000000002</v>
      </c>
      <c r="D40" s="96">
        <v>5.0125419999999998</v>
      </c>
      <c r="E40" s="96">
        <v>0.72136986465554109</v>
      </c>
      <c r="F40" s="96">
        <v>1.2392037109375E-2</v>
      </c>
      <c r="G40" s="96">
        <v>-18.732347033607478</v>
      </c>
      <c r="H40" s="101">
        <f t="shared" si="10"/>
        <v>-23.292404666488135</v>
      </c>
      <c r="I40" s="78">
        <f t="shared" si="0"/>
        <v>7.9885234628065627E-2</v>
      </c>
      <c r="J40" s="79">
        <f t="shared" si="1"/>
        <v>2.3785100017994242E-2</v>
      </c>
      <c r="K40" s="79"/>
      <c r="L40" s="79"/>
      <c r="M40" s="79">
        <f t="shared" si="2"/>
        <v>0</v>
      </c>
      <c r="N40" s="180">
        <f t="shared" si="3"/>
        <v>6.4530294043359379E-4</v>
      </c>
      <c r="O40" s="81">
        <f t="shared" si="4"/>
        <v>0.12385852983370321</v>
      </c>
      <c r="P40" s="79">
        <f t="shared" si="5"/>
        <v>9.6210019193857956</v>
      </c>
      <c r="Q40" s="79"/>
      <c r="R40" s="180">
        <f t="shared" si="7"/>
        <v>0.217823117436</v>
      </c>
      <c r="S40" s="82">
        <f t="shared" si="8"/>
        <v>41.80865977658349</v>
      </c>
      <c r="T40" s="78">
        <f t="shared" si="9"/>
        <v>2.9625089753074277E-3</v>
      </c>
    </row>
    <row r="41" spans="1:20" s="1" customFormat="1" ht="11.25" customHeight="1" x14ac:dyDescent="0.2">
      <c r="A41" s="83">
        <v>38</v>
      </c>
      <c r="B41" s="83" t="s">
        <v>68</v>
      </c>
      <c r="C41" s="84">
        <v>0.311</v>
      </c>
      <c r="D41" s="84">
        <v>3.0840304999999999</v>
      </c>
      <c r="E41" s="112">
        <v>15.569203326796233</v>
      </c>
      <c r="F41" s="84">
        <v>9.4914365234375006E-3</v>
      </c>
      <c r="G41" s="84">
        <v>-17.70938604306486</v>
      </c>
      <c r="H41" s="101">
        <f t="shared" si="10"/>
        <v>-22.266988569568216</v>
      </c>
      <c r="I41" s="78">
        <f t="shared" si="0"/>
        <v>15.918069188693542</v>
      </c>
      <c r="J41" s="79">
        <f t="shared" si="1"/>
        <v>3.0519088499799039E-2</v>
      </c>
      <c r="K41" s="79"/>
      <c r="L41" s="79"/>
      <c r="M41" s="79">
        <f t="shared" si="2"/>
        <v>0</v>
      </c>
      <c r="N41" s="180">
        <f t="shared" si="3"/>
        <v>4.942570655214844E-4</v>
      </c>
      <c r="O41" s="81">
        <f t="shared" si="4"/>
        <v>0.15892510145385352</v>
      </c>
      <c r="P41" s="79">
        <f t="shared" si="5"/>
        <v>9.9164967845659167</v>
      </c>
      <c r="Q41" s="79"/>
      <c r="R41" s="180">
        <f t="shared" si="7"/>
        <v>0.13092824626899999</v>
      </c>
      <c r="S41" s="82">
        <f t="shared" si="8"/>
        <v>42.099114555948546</v>
      </c>
      <c r="T41" s="78">
        <f t="shared" si="9"/>
        <v>3.7750224233967316E-3</v>
      </c>
    </row>
    <row r="42" spans="1:20" s="90" customFormat="1" ht="11.25" customHeight="1" x14ac:dyDescent="0.2">
      <c r="A42" s="117">
        <v>39</v>
      </c>
      <c r="B42" s="117" t="s">
        <v>59</v>
      </c>
      <c r="C42" s="105">
        <v>1.1779999999999999</v>
      </c>
      <c r="D42" s="105">
        <v>1.7556311250000001</v>
      </c>
      <c r="E42" s="105">
        <v>0.92789519232927553</v>
      </c>
      <c r="F42" s="105">
        <v>10.171633</v>
      </c>
      <c r="G42" s="105">
        <v>-22.009076944751211</v>
      </c>
      <c r="H42" s="100">
        <f t="shared" si="10"/>
        <v>-26.576998729418612</v>
      </c>
      <c r="I42" s="86">
        <f t="shared" si="0"/>
        <v>0.3001858016576382</v>
      </c>
      <c r="J42" s="87">
        <f t="shared" si="1"/>
        <v>8.6346629881154495</v>
      </c>
      <c r="K42" s="87">
        <f t="shared" ref="K42:L42" si="12">H$14</f>
        <v>44.65</v>
      </c>
      <c r="L42" s="87">
        <f t="shared" si="12"/>
        <v>2.83</v>
      </c>
      <c r="M42" s="87">
        <f t="shared" si="2"/>
        <v>0.52597700000000003</v>
      </c>
      <c r="N42" s="179">
        <f t="shared" si="3"/>
        <v>0.52967761684199999</v>
      </c>
      <c r="O42" s="91">
        <f t="shared" si="4"/>
        <v>44.964144044312391</v>
      </c>
      <c r="P42" s="87">
        <f t="shared" si="5"/>
        <v>1.4903490025466894</v>
      </c>
      <c r="Q42" s="87">
        <f t="shared" ref="Q42" si="13">C42*(L42/100)</f>
        <v>3.3337400000000003E-2</v>
      </c>
      <c r="R42" s="179">
        <f t="shared" si="7"/>
        <v>7.1073227230250002E-2</v>
      </c>
      <c r="S42" s="89">
        <f t="shared" si="8"/>
        <v>6.0333809193760617</v>
      </c>
      <c r="T42" s="86">
        <f t="shared" si="9"/>
        <v>7.4525617800644905</v>
      </c>
    </row>
    <row r="43" spans="1:20" s="126" customFormat="1" ht="11.25" customHeight="1" x14ac:dyDescent="0.2">
      <c r="A43" s="119">
        <v>40</v>
      </c>
      <c r="B43" s="119" t="s">
        <v>87</v>
      </c>
      <c r="C43" s="120">
        <v>1.5529999999999999</v>
      </c>
      <c r="D43" s="120">
        <v>0.75310881249999995</v>
      </c>
      <c r="E43" s="120">
        <v>-3.490794458562485</v>
      </c>
      <c r="F43" s="120">
        <v>1.0070915625000001</v>
      </c>
      <c r="G43" s="120">
        <v>-15.955225591626984</v>
      </c>
      <c r="H43" s="121">
        <f t="shared" si="10"/>
        <v>-20.508618133046888</v>
      </c>
      <c r="I43" s="122">
        <f t="shared" si="0"/>
        <v>-4.4132304489486032</v>
      </c>
      <c r="J43" s="118">
        <f t="shared" si="1"/>
        <v>0.64848136670959444</v>
      </c>
      <c r="K43" s="118">
        <f>H$13</f>
        <v>3.3479999999999999</v>
      </c>
      <c r="L43" s="118"/>
      <c r="M43" s="118">
        <f t="shared" si="2"/>
        <v>5.1994439999999989E-2</v>
      </c>
      <c r="N43" s="181">
        <f t="shared" si="3"/>
        <v>5.2443286025625008E-2</v>
      </c>
      <c r="O43" s="124">
        <f t="shared" si="4"/>
        <v>3.3769018690035422</v>
      </c>
      <c r="P43" s="118">
        <f t="shared" si="5"/>
        <v>0.48493806342562779</v>
      </c>
      <c r="Q43" s="118"/>
      <c r="R43" s="181">
        <f t="shared" si="7"/>
        <v>2.5901576873625001E-2</v>
      </c>
      <c r="S43" s="125">
        <f t="shared" si="8"/>
        <v>1.6678413955972315</v>
      </c>
      <c r="T43" s="122">
        <f t="shared" si="9"/>
        <v>2.0247140273157207</v>
      </c>
    </row>
    <row r="44" spans="1:20" s="1" customFormat="1" ht="11.25" customHeight="1" x14ac:dyDescent="0.2">
      <c r="A44" s="95">
        <v>41</v>
      </c>
      <c r="B44" s="95" t="s">
        <v>160</v>
      </c>
      <c r="C44" s="96">
        <v>1.8939999999999999</v>
      </c>
      <c r="D44" s="109">
        <v>0.66566268750000002</v>
      </c>
      <c r="E44" s="96">
        <v>-3.5834988086467234</v>
      </c>
      <c r="F44" s="96">
        <v>0.53689018749999995</v>
      </c>
      <c r="G44" s="96">
        <v>-21.638013314740963</v>
      </c>
      <c r="H44" s="101">
        <f t="shared" si="10"/>
        <v>-26.205044546696342</v>
      </c>
      <c r="I44" s="78">
        <f t="shared" si="0"/>
        <v>-4.5121181791834601</v>
      </c>
      <c r="J44" s="79">
        <f t="shared" si="1"/>
        <v>0.28346894799366418</v>
      </c>
      <c r="K44" s="79"/>
      <c r="L44" s="79"/>
      <c r="M44" s="79">
        <f t="shared" si="2"/>
        <v>0</v>
      </c>
      <c r="N44" s="180">
        <f t="shared" si="3"/>
        <v>2.7958019623874997E-2</v>
      </c>
      <c r="O44" s="81">
        <f t="shared" si="4"/>
        <v>1.4761361997822069</v>
      </c>
      <c r="P44" s="79">
        <f t="shared" si="5"/>
        <v>0.35145865232312568</v>
      </c>
      <c r="Q44" s="79"/>
      <c r="R44" s="180">
        <f t="shared" si="7"/>
        <v>2.1961429373375002E-2</v>
      </c>
      <c r="S44" s="169">
        <f t="shared" si="8"/>
        <v>1.1595263660704858</v>
      </c>
      <c r="T44" s="78">
        <f t="shared" si="9"/>
        <v>1.2730509999394657</v>
      </c>
    </row>
    <row r="45" spans="1:20" s="1" customFormat="1" ht="11.25" customHeight="1" x14ac:dyDescent="0.2">
      <c r="A45" s="83">
        <v>42</v>
      </c>
      <c r="B45" s="83" t="s">
        <v>161</v>
      </c>
      <c r="C45" s="84">
        <v>2.294</v>
      </c>
      <c r="D45" s="112">
        <v>0.70619362500000005</v>
      </c>
      <c r="E45" s="84">
        <v>-3.1210419015542668</v>
      </c>
      <c r="F45" s="84">
        <v>1.352713625</v>
      </c>
      <c r="G45" s="84">
        <v>-21.086905832925495</v>
      </c>
      <c r="H45" s="101">
        <f t="shared" si="10"/>
        <v>-25.652614406924517</v>
      </c>
      <c r="I45" s="78">
        <f t="shared" si="0"/>
        <v>-4.0188153963879358</v>
      </c>
      <c r="J45" s="79">
        <f t="shared" si="1"/>
        <v>0.58967464036617268</v>
      </c>
      <c r="K45" s="79"/>
      <c r="L45" s="79"/>
      <c r="M45" s="79">
        <f t="shared" si="2"/>
        <v>0</v>
      </c>
      <c r="N45" s="180">
        <f t="shared" si="3"/>
        <v>7.044120930825E-2</v>
      </c>
      <c r="O45" s="81">
        <f t="shared" si="4"/>
        <v>3.0706717222428073</v>
      </c>
      <c r="P45" s="79">
        <f t="shared" si="5"/>
        <v>0.30784377724498696</v>
      </c>
      <c r="Q45" s="79"/>
      <c r="R45" s="180">
        <f t="shared" si="7"/>
        <v>2.3787672355250006E-2</v>
      </c>
      <c r="S45" s="169">
        <f t="shared" si="8"/>
        <v>1.0369517155732346</v>
      </c>
      <c r="T45" s="78">
        <f t="shared" si="9"/>
        <v>2.9612485095753147</v>
      </c>
    </row>
    <row r="46" spans="1:20" s="1" customFormat="1" ht="11.25" customHeight="1" x14ac:dyDescent="0.2">
      <c r="A46" s="95">
        <v>43</v>
      </c>
      <c r="B46" s="95" t="s">
        <v>162</v>
      </c>
      <c r="C46" s="96">
        <v>2.2850000000000001</v>
      </c>
      <c r="D46" s="109">
        <v>0.73111543749999996</v>
      </c>
      <c r="E46" s="96">
        <v>-3.837568339151165</v>
      </c>
      <c r="F46" s="96">
        <v>1.527724375</v>
      </c>
      <c r="G46" s="96">
        <v>-21.567204446304235</v>
      </c>
      <c r="H46" s="101">
        <f t="shared" si="10"/>
        <v>-26.134065736975366</v>
      </c>
      <c r="I46" s="78">
        <f t="shared" si="0"/>
        <v>-4.7831341473725484</v>
      </c>
      <c r="J46" s="79">
        <f t="shared" si="1"/>
        <v>0.66858834792122535</v>
      </c>
      <c r="K46" s="79"/>
      <c r="L46" s="79"/>
      <c r="M46" s="79">
        <f t="shared" si="2"/>
        <v>0</v>
      </c>
      <c r="N46" s="180">
        <f t="shared" si="3"/>
        <v>7.9554719103750005E-2</v>
      </c>
      <c r="O46" s="81">
        <f t="shared" si="4"/>
        <v>3.4816069629649893</v>
      </c>
      <c r="P46" s="79">
        <f t="shared" si="5"/>
        <v>0.31996299234135661</v>
      </c>
      <c r="Q46" s="79"/>
      <c r="R46" s="180">
        <f t="shared" si="7"/>
        <v>2.4910599382875001E-2</v>
      </c>
      <c r="S46" s="169">
        <f t="shared" si="8"/>
        <v>1.0901794040645514</v>
      </c>
      <c r="T46" s="78">
        <f t="shared" si="9"/>
        <v>3.1936091894457008</v>
      </c>
    </row>
    <row r="47" spans="1:20" s="1" customFormat="1" ht="11.25" customHeight="1" x14ac:dyDescent="0.2">
      <c r="A47" s="83">
        <v>44</v>
      </c>
      <c r="B47" s="83" t="s">
        <v>163</v>
      </c>
      <c r="C47" s="84">
        <v>2.0830000000000002</v>
      </c>
      <c r="D47" s="112">
        <v>0.79275649999999998</v>
      </c>
      <c r="E47" s="84">
        <v>-3.1990043883496355</v>
      </c>
      <c r="F47" s="84">
        <v>1.6669447500000001</v>
      </c>
      <c r="G47" s="84">
        <v>-21.11661144447616</v>
      </c>
      <c r="H47" s="101">
        <f t="shared" si="10"/>
        <v>-25.682391311942901</v>
      </c>
      <c r="I47" s="78">
        <f t="shared" si="0"/>
        <v>-4.1019779810525563</v>
      </c>
      <c r="J47" s="79">
        <f t="shared" si="1"/>
        <v>0.80026152184349497</v>
      </c>
      <c r="K47" s="79"/>
      <c r="L47" s="79"/>
      <c r="M47" s="79">
        <f t="shared" si="2"/>
        <v>0</v>
      </c>
      <c r="N47" s="180">
        <f t="shared" si="3"/>
        <v>8.6804480911500004E-2</v>
      </c>
      <c r="O47" s="81">
        <f t="shared" si="4"/>
        <v>4.1672818488478152</v>
      </c>
      <c r="P47" s="79">
        <f t="shared" si="5"/>
        <v>0.3805840134421507</v>
      </c>
      <c r="Q47" s="79"/>
      <c r="R47" s="180">
        <f t="shared" si="7"/>
        <v>2.7688022377E-2</v>
      </c>
      <c r="S47" s="169">
        <f t="shared" si="8"/>
        <v>1.3292377521363417</v>
      </c>
      <c r="T47" s="78">
        <f t="shared" si="9"/>
        <v>3.1350914026856285</v>
      </c>
    </row>
    <row r="48" spans="1:20" s="1" customFormat="1" ht="11.25" customHeight="1" x14ac:dyDescent="0.2">
      <c r="A48" s="95">
        <v>45</v>
      </c>
      <c r="B48" s="95" t="s">
        <v>164</v>
      </c>
      <c r="C48" s="96">
        <v>1.94</v>
      </c>
      <c r="D48" s="109">
        <v>0.697566625</v>
      </c>
      <c r="E48" s="96">
        <v>-3.4655747628029587</v>
      </c>
      <c r="F48" s="96">
        <v>0.53182106250000005</v>
      </c>
      <c r="G48" s="96">
        <v>-21.329993122524034</v>
      </c>
      <c r="H48" s="101">
        <f t="shared" si="10"/>
        <v>-25.896285106018091</v>
      </c>
      <c r="I48" s="78">
        <f t="shared" si="0"/>
        <v>-4.3863285994819154</v>
      </c>
      <c r="J48" s="79">
        <f t="shared" si="1"/>
        <v>0.27413456829896909</v>
      </c>
      <c r="K48" s="79"/>
      <c r="L48" s="79"/>
      <c r="M48" s="79">
        <f t="shared" si="2"/>
        <v>0</v>
      </c>
      <c r="N48" s="180">
        <f t="shared" si="3"/>
        <v>2.7694050008625005E-2</v>
      </c>
      <c r="O48" s="81">
        <f t="shared" si="4"/>
        <v>1.4275283509600518</v>
      </c>
      <c r="P48" s="79">
        <f t="shared" si="5"/>
        <v>0.35957042525773197</v>
      </c>
      <c r="Q48" s="79"/>
      <c r="R48" s="180">
        <f t="shared" si="7"/>
        <v>2.339895698925E-2</v>
      </c>
      <c r="S48" s="169">
        <f t="shared" si="8"/>
        <v>1.2061318035695876</v>
      </c>
      <c r="T48" s="78">
        <f t="shared" si="9"/>
        <v>1.1835591655366633</v>
      </c>
    </row>
    <row r="49" spans="1:20" s="1" customFormat="1" ht="11.25" customHeight="1" x14ac:dyDescent="0.2">
      <c r="A49" s="83">
        <v>46</v>
      </c>
      <c r="B49" s="83" t="s">
        <v>165</v>
      </c>
      <c r="C49" s="84">
        <v>1.1319999999999999</v>
      </c>
      <c r="D49" s="84">
        <v>0.22210984375000001</v>
      </c>
      <c r="E49" s="84">
        <v>0.68870545020915941</v>
      </c>
      <c r="F49" s="84">
        <v>0.62002175000000004</v>
      </c>
      <c r="G49" s="84">
        <v>-21.419277830422971</v>
      </c>
      <c r="H49" s="101">
        <f t="shared" si="10"/>
        <v>-25.985784097215983</v>
      </c>
      <c r="I49" s="78">
        <f t="shared" si="0"/>
        <v>4.5042103738110351E-2</v>
      </c>
      <c r="J49" s="79">
        <f t="shared" si="1"/>
        <v>0.54772239399293299</v>
      </c>
      <c r="K49" s="79"/>
      <c r="L49" s="79"/>
      <c r="M49" s="79">
        <f t="shared" si="2"/>
        <v>0</v>
      </c>
      <c r="N49" s="180">
        <f>F49*$B$28+$D$28</f>
        <v>3.2287012609500003E-2</v>
      </c>
      <c r="O49" s="81">
        <f>N49/C49*100</f>
        <v>2.8522095944787993</v>
      </c>
      <c r="P49" s="79">
        <f t="shared" si="5"/>
        <v>0.19621010931978802</v>
      </c>
      <c r="Q49" s="79"/>
      <c r="R49" s="180">
        <f t="shared" si="7"/>
        <v>1.9758253396875008E-3</v>
      </c>
      <c r="S49" s="82">
        <f t="shared" si="8"/>
        <v>0.17454287453069797</v>
      </c>
      <c r="T49" s="78">
        <f t="shared" si="9"/>
        <v>16.341025677202094</v>
      </c>
    </row>
    <row r="50" spans="1:20" s="1" customFormat="1" ht="11.25" customHeight="1" x14ac:dyDescent="0.2">
      <c r="A50" s="95">
        <v>47</v>
      </c>
      <c r="B50" s="95" t="s">
        <v>166</v>
      </c>
      <c r="C50" s="96">
        <v>1.8280000000000001</v>
      </c>
      <c r="D50" s="96">
        <v>0.20622096875000001</v>
      </c>
      <c r="E50" s="96">
        <v>-3.1184502885163168</v>
      </c>
      <c r="F50" s="96">
        <v>0.5286070625</v>
      </c>
      <c r="G50" s="96">
        <v>-21.138414564296991</v>
      </c>
      <c r="H50" s="101">
        <f t="shared" si="10"/>
        <v>-25.704246759251301</v>
      </c>
      <c r="I50" s="78">
        <f t="shared" si="0"/>
        <v>-4.0160509227603551</v>
      </c>
      <c r="J50" s="79">
        <f t="shared" si="1"/>
        <v>0.28917235366520788</v>
      </c>
      <c r="K50" s="79"/>
      <c r="L50" s="79"/>
      <c r="M50" s="79">
        <f t="shared" si="2"/>
        <v>0</v>
      </c>
      <c r="N50" s="180">
        <f t="shared" si="3"/>
        <v>2.7526684172625E-2</v>
      </c>
      <c r="O50" s="81">
        <f t="shared" si="4"/>
        <v>1.5058361144762036</v>
      </c>
      <c r="P50" s="79">
        <f t="shared" si="5"/>
        <v>0.11281234614332604</v>
      </c>
      <c r="Q50" s="79"/>
      <c r="R50" s="180">
        <f t="shared" si="7"/>
        <v>1.2599044099375015E-3</v>
      </c>
      <c r="S50" s="82">
        <f t="shared" si="8"/>
        <v>6.8922560718681705E-2</v>
      </c>
      <c r="T50" s="78">
        <f t="shared" si="9"/>
        <v>21.848232259136612</v>
      </c>
    </row>
    <row r="51" spans="1:20" s="1" customFormat="1" ht="11.25" customHeight="1" x14ac:dyDescent="0.2">
      <c r="A51" s="83">
        <v>48</v>
      </c>
      <c r="B51" s="83" t="s">
        <v>167</v>
      </c>
      <c r="C51" s="84">
        <v>2.1509999999999998</v>
      </c>
      <c r="D51" s="84">
        <v>0.21241165625</v>
      </c>
      <c r="E51" s="84">
        <v>-4.2560930652938422</v>
      </c>
      <c r="F51" s="84">
        <v>0.6073809375</v>
      </c>
      <c r="G51" s="84">
        <v>-21.594368167983966</v>
      </c>
      <c r="H51" s="101">
        <f t="shared" si="10"/>
        <v>-26.161294651587127</v>
      </c>
      <c r="I51" s="78">
        <f t="shared" si="0"/>
        <v>-5.2295744727489417</v>
      </c>
      <c r="J51" s="79">
        <f t="shared" si="1"/>
        <v>0.28237142608089261</v>
      </c>
      <c r="K51" s="79"/>
      <c r="L51" s="79"/>
      <c r="M51" s="79">
        <f t="shared" si="2"/>
        <v>0</v>
      </c>
      <c r="N51" s="180">
        <f t="shared" si="3"/>
        <v>3.1628754939375003E-2</v>
      </c>
      <c r="O51" s="81">
        <f t="shared" si="4"/>
        <v>1.4704209641736405</v>
      </c>
      <c r="P51" s="79">
        <f t="shared" si="5"/>
        <v>9.8750188865643893E-2</v>
      </c>
      <c r="Q51" s="79"/>
      <c r="R51" s="180">
        <f t="shared" si="7"/>
        <v>1.5388444073125007E-3</v>
      </c>
      <c r="S51" s="82">
        <f t="shared" si="8"/>
        <v>7.154088365004653E-2</v>
      </c>
      <c r="T51" s="78">
        <f t="shared" si="9"/>
        <v>20.553575650063753</v>
      </c>
    </row>
    <row r="52" spans="1:20" s="1" customFormat="1" ht="11.25" customHeight="1" x14ac:dyDescent="0.2">
      <c r="A52" s="95">
        <v>49</v>
      </c>
      <c r="B52" s="95" t="s">
        <v>168</v>
      </c>
      <c r="C52" s="96">
        <v>2.0960000000000001</v>
      </c>
      <c r="D52" s="96">
        <v>0.29852506249999999</v>
      </c>
      <c r="E52" s="96">
        <v>-1.7447495026079451</v>
      </c>
      <c r="F52" s="96">
        <v>1.538144875</v>
      </c>
      <c r="G52" s="96">
        <v>-21.20784138950853</v>
      </c>
      <c r="H52" s="101">
        <f>$B$26*G52+$D$26</f>
        <v>-25.77384020884335</v>
      </c>
      <c r="I52" s="78">
        <f>$B$27*E52+$D$27</f>
        <v>-2.5507242944318951</v>
      </c>
      <c r="J52" s="79">
        <f>(F52)/C52</f>
        <v>0.73384774570610678</v>
      </c>
      <c r="K52" s="79"/>
      <c r="L52" s="79"/>
      <c r="M52" s="79">
        <f>C52*(K52/100)</f>
        <v>0</v>
      </c>
      <c r="N52" s="180">
        <f>F52*$B$28+$D$28</f>
        <v>8.0097356220749996E-2</v>
      </c>
      <c r="O52" s="81">
        <f>N52/C52*100</f>
        <v>3.8214387509899805</v>
      </c>
      <c r="P52" s="79">
        <f>D52/C52</f>
        <v>0.1424260794370229</v>
      </c>
      <c r="Q52" s="79"/>
      <c r="R52" s="180">
        <f>D52*$B$29+$D$29</f>
        <v>5.418942266125E-3</v>
      </c>
      <c r="S52" s="82">
        <f>R52/C52*100</f>
        <v>0.25853732185710876</v>
      </c>
      <c r="T52" s="78">
        <f>N52/R52</f>
        <v>14.780994571847755</v>
      </c>
    </row>
    <row r="53" spans="1:20" s="90" customFormat="1" ht="11.25" customHeight="1" x14ac:dyDescent="0.2">
      <c r="A53" s="83">
        <v>50</v>
      </c>
      <c r="B53" s="83" t="s">
        <v>169</v>
      </c>
      <c r="C53" s="84">
        <v>2.1139999999999999</v>
      </c>
      <c r="D53" s="84">
        <v>0.25184037500000001</v>
      </c>
      <c r="E53" s="84">
        <v>-2.9486848037570956</v>
      </c>
      <c r="F53" s="84">
        <v>1.066813</v>
      </c>
      <c r="G53" s="84">
        <v>-21.100272061603153</v>
      </c>
      <c r="H53" s="101">
        <f t="shared" si="10"/>
        <v>-25.666012714551002</v>
      </c>
      <c r="I53" s="78">
        <f t="shared" si="0"/>
        <v>-3.8349620801676938</v>
      </c>
      <c r="J53" s="79">
        <f t="shared" si="1"/>
        <v>0.50464191106906342</v>
      </c>
      <c r="K53" s="79"/>
      <c r="L53" s="79"/>
      <c r="M53" s="79">
        <f t="shared" ref="M53:M54" si="14">C53*(K53/100)</f>
        <v>0</v>
      </c>
      <c r="N53" s="180">
        <f t="shared" ref="N53:N54" si="15">F53*$B$28+$D$28</f>
        <v>5.5553220162000004E-2</v>
      </c>
      <c r="O53" s="81">
        <f t="shared" ref="O53:O54" si="16">N53/C53*100</f>
        <v>2.6278722877010408</v>
      </c>
      <c r="P53" s="79">
        <f t="shared" ref="P53:P54" si="17">D53/C53</f>
        <v>0.1191297894985809</v>
      </c>
      <c r="Q53" s="79"/>
      <c r="R53" s="180">
        <f t="shared" si="7"/>
        <v>3.3154236167500014E-3</v>
      </c>
      <c r="S53" s="82">
        <f t="shared" si="8"/>
        <v>0.15683176995033121</v>
      </c>
      <c r="T53" s="78">
        <f t="shared" si="9"/>
        <v>16.755994582815021</v>
      </c>
    </row>
    <row r="54" spans="1:20" s="113" customFormat="1" ht="11.25" customHeight="1" x14ac:dyDescent="0.2">
      <c r="A54" s="115">
        <v>51</v>
      </c>
      <c r="B54" s="115" t="s">
        <v>82</v>
      </c>
      <c r="C54" s="112">
        <v>0.98699999999999999</v>
      </c>
      <c r="D54" s="112">
        <v>0.18920973437499999</v>
      </c>
      <c r="E54" s="112">
        <v>-6.1619767645642032</v>
      </c>
      <c r="F54" s="112">
        <v>5.4233920898437496E-3</v>
      </c>
      <c r="G54" s="112">
        <v>-21.315701033814172</v>
      </c>
      <c r="H54" s="166">
        <f t="shared" si="10"/>
        <v>-25.881958716295326</v>
      </c>
      <c r="I54" s="128">
        <f t="shared" si="0"/>
        <v>-7.2625806147606351</v>
      </c>
      <c r="J54" s="167">
        <f t="shared" si="1"/>
        <v>5.4948248124050145E-3</v>
      </c>
      <c r="K54" s="167">
        <f t="shared" ref="K54:L54" si="18">H$14</f>
        <v>44.65</v>
      </c>
      <c r="L54" s="167">
        <f t="shared" si="18"/>
        <v>2.83</v>
      </c>
      <c r="M54" s="167">
        <f t="shared" si="14"/>
        <v>0.44069550000000002</v>
      </c>
      <c r="N54" s="182">
        <f t="shared" si="15"/>
        <v>2.8241771968652341E-4</v>
      </c>
      <c r="O54" s="168">
        <f t="shared" si="16"/>
        <v>2.8613750728117872E-2</v>
      </c>
      <c r="P54" s="167">
        <f t="shared" si="17"/>
        <v>0.19170185853596758</v>
      </c>
      <c r="Q54" s="167">
        <f t="shared" ref="Q54" si="19">C54*(L54/100)</f>
        <v>2.7932100000000001E-2</v>
      </c>
      <c r="R54" s="182">
        <f t="shared" si="7"/>
        <v>4.9341221146875086E-4</v>
      </c>
      <c r="S54" s="169">
        <f t="shared" si="8"/>
        <v>4.9991105518617109E-2</v>
      </c>
      <c r="T54" s="128">
        <f t="shared" si="9"/>
        <v>0.57237683446432031</v>
      </c>
    </row>
    <row r="55" spans="1:20" s="113" customFormat="1" ht="11.25" customHeight="1" x14ac:dyDescent="0.2">
      <c r="A55" s="115">
        <v>52</v>
      </c>
      <c r="B55" s="115" t="s">
        <v>98</v>
      </c>
      <c r="C55" s="112">
        <v>1.7090000000000001</v>
      </c>
      <c r="D55" s="112">
        <v>1.29997125</v>
      </c>
      <c r="E55" s="112">
        <v>3.3899317006886864</v>
      </c>
      <c r="F55" s="112">
        <v>9.4779990000000005</v>
      </c>
      <c r="G55" s="112">
        <v>-20.979722755922236</v>
      </c>
      <c r="H55" s="166">
        <f t="shared" si="10"/>
        <v>-25.545174090536449</v>
      </c>
      <c r="I55" s="128">
        <f t="shared" si="0"/>
        <v>2.9264401451246216</v>
      </c>
      <c r="J55" s="167">
        <f t="shared" si="1"/>
        <v>5.5459327091866593</v>
      </c>
      <c r="K55" s="167">
        <f>H$13</f>
        <v>3.3479999999999999</v>
      </c>
      <c r="L55" s="167"/>
      <c r="M55" s="167">
        <f t="shared" si="2"/>
        <v>5.7217319999999995E-2</v>
      </c>
      <c r="N55" s="182">
        <f t="shared" si="3"/>
        <v>0.49355731992600005</v>
      </c>
      <c r="O55" s="168">
        <f t="shared" si="4"/>
        <v>28.879889989818608</v>
      </c>
      <c r="P55" s="167">
        <f t="shared" si="5"/>
        <v>0.76066193680514915</v>
      </c>
      <c r="Q55" s="167"/>
      <c r="R55" s="182">
        <f t="shared" si="7"/>
        <v>5.0542104582500004E-2</v>
      </c>
      <c r="S55" s="169">
        <f t="shared" si="8"/>
        <v>2.9574081089818609</v>
      </c>
      <c r="T55" s="128">
        <f t="shared" si="9"/>
        <v>9.7652704414072264</v>
      </c>
    </row>
    <row r="56" spans="1:20" s="1" customFormat="1" ht="11.25" customHeight="1" x14ac:dyDescent="0.2">
      <c r="A56" s="95">
        <v>53</v>
      </c>
      <c r="B56" s="95" t="s">
        <v>170</v>
      </c>
      <c r="C56" s="96">
        <v>2.0219999999999998</v>
      </c>
      <c r="D56" s="96">
        <v>0.26362621874999997</v>
      </c>
      <c r="E56" s="96">
        <v>-4.4229846057763922</v>
      </c>
      <c r="F56" s="96">
        <v>1.117493125</v>
      </c>
      <c r="G56" s="96">
        <v>-20.97274568140347</v>
      </c>
      <c r="H56" s="101">
        <f t="shared" si="10"/>
        <v>-25.538180271038836</v>
      </c>
      <c r="I56" s="78">
        <f t="shared" si="0"/>
        <v>-5.4075976789816771</v>
      </c>
      <c r="J56" s="79">
        <f t="shared" si="1"/>
        <v>0.55266722304648863</v>
      </c>
      <c r="K56" s="79"/>
      <c r="L56" s="79"/>
      <c r="M56" s="79">
        <f t="shared" si="2"/>
        <v>0</v>
      </c>
      <c r="N56" s="180">
        <f t="shared" si="3"/>
        <v>5.8192336991250003E-2</v>
      </c>
      <c r="O56" s="81">
        <f t="shared" si="4"/>
        <v>2.8779592972922852</v>
      </c>
      <c r="P56" s="79">
        <f t="shared" si="5"/>
        <v>0.13037894102373887</v>
      </c>
      <c r="Q56" s="79"/>
      <c r="R56" s="180">
        <f t="shared" si="7"/>
        <v>3.8464701644374995E-3</v>
      </c>
      <c r="S56" s="82">
        <f t="shared" si="8"/>
        <v>0.19023096757851138</v>
      </c>
      <c r="T56" s="78">
        <f t="shared" si="9"/>
        <v>15.128763386563259</v>
      </c>
    </row>
    <row r="57" spans="1:20" s="1" customFormat="1" ht="11.25" customHeight="1" x14ac:dyDescent="0.2">
      <c r="A57" s="83">
        <v>54</v>
      </c>
      <c r="B57" s="83" t="s">
        <v>171</v>
      </c>
      <c r="C57" s="84">
        <v>1.9930000000000001</v>
      </c>
      <c r="D57" s="84">
        <v>0.219523515625</v>
      </c>
      <c r="E57" s="84">
        <v>-4.3906063057765898</v>
      </c>
      <c r="F57" s="84">
        <v>0.55511487500000001</v>
      </c>
      <c r="G57" s="84">
        <v>-20.926758338686238</v>
      </c>
      <c r="H57" s="101">
        <f t="shared" si="10"/>
        <v>-25.492082558699085</v>
      </c>
      <c r="I57" s="78">
        <f t="shared" si="0"/>
        <v>-5.3730597463718883</v>
      </c>
      <c r="J57" s="79">
        <f t="shared" si="1"/>
        <v>0.27853230055193173</v>
      </c>
      <c r="K57" s="79"/>
      <c r="L57" s="79"/>
      <c r="M57" s="79">
        <f t="shared" si="2"/>
        <v>0</v>
      </c>
      <c r="N57" s="180">
        <f t="shared" si="3"/>
        <v>2.8907052000750003E-2</v>
      </c>
      <c r="O57" s="81">
        <f t="shared" si="4"/>
        <v>1.4504291018941295</v>
      </c>
      <c r="P57" s="79">
        <f t="shared" si="5"/>
        <v>0.11014727326894129</v>
      </c>
      <c r="Q57" s="79"/>
      <c r="R57" s="180">
        <f t="shared" si="7"/>
        <v>1.8592905670312514E-3</v>
      </c>
      <c r="S57" s="82">
        <f t="shared" si="8"/>
        <v>9.3291047016118983E-2</v>
      </c>
      <c r="T57" s="78">
        <f t="shared" si="9"/>
        <v>15.547355810504753</v>
      </c>
    </row>
    <row r="58" spans="1:20" s="1" customFormat="1" ht="11.25" customHeight="1" x14ac:dyDescent="0.2">
      <c r="A58" s="95">
        <v>55</v>
      </c>
      <c r="B58" s="95" t="s">
        <v>172</v>
      </c>
      <c r="C58" s="96">
        <v>1.964</v>
      </c>
      <c r="D58" s="96">
        <v>0.22345723437500001</v>
      </c>
      <c r="E58" s="96">
        <v>-6.8119745943507892</v>
      </c>
      <c r="F58" s="96">
        <v>0.7683065</v>
      </c>
      <c r="G58" s="96">
        <v>-20.80484083895454</v>
      </c>
      <c r="H58" s="101">
        <f t="shared" si="10"/>
        <v>-25.369872456968029</v>
      </c>
      <c r="I58" s="78">
        <f t="shared" si="0"/>
        <v>-7.9559332997939869</v>
      </c>
      <c r="J58" s="79">
        <f t="shared" si="1"/>
        <v>0.39119475560081468</v>
      </c>
      <c r="K58" s="79"/>
      <c r="L58" s="79"/>
      <c r="M58" s="79">
        <f t="shared" si="2"/>
        <v>0</v>
      </c>
      <c r="N58" s="180">
        <f t="shared" si="3"/>
        <v>4.0008792681000001E-2</v>
      </c>
      <c r="O58" s="81">
        <f t="shared" si="4"/>
        <v>2.0371075703156825</v>
      </c>
      <c r="P58" s="79">
        <f t="shared" si="5"/>
        <v>0.11377659591395113</v>
      </c>
      <c r="Q58" s="79"/>
      <c r="R58" s="180">
        <f t="shared" si="7"/>
        <v>2.0365360664687509E-3</v>
      </c>
      <c r="S58" s="82">
        <f t="shared" si="8"/>
        <v>0.10369328240675921</v>
      </c>
      <c r="T58" s="78">
        <f t="shared" si="9"/>
        <v>19.6455114838075</v>
      </c>
    </row>
    <row r="59" spans="1:20" s="1" customFormat="1" ht="11.25" customHeight="1" x14ac:dyDescent="0.2">
      <c r="A59" s="83">
        <v>56</v>
      </c>
      <c r="B59" s="83" t="s">
        <v>173</v>
      </c>
      <c r="C59" s="84">
        <v>1.88</v>
      </c>
      <c r="D59" s="84">
        <v>0.249194921875</v>
      </c>
      <c r="E59" s="84">
        <v>-1.9679980484539339</v>
      </c>
      <c r="F59" s="84">
        <v>0.87930249999999999</v>
      </c>
      <c r="G59" s="84">
        <v>-20.5947789510837</v>
      </c>
      <c r="H59" s="101">
        <f t="shared" si="10"/>
        <v>-25.159306420566299</v>
      </c>
      <c r="I59" s="78">
        <f t="shared" si="0"/>
        <v>-2.7888635182858112</v>
      </c>
      <c r="J59" s="79">
        <f t="shared" si="1"/>
        <v>0.46771409574468087</v>
      </c>
      <c r="K59" s="79"/>
      <c r="L59" s="79"/>
      <c r="M59" s="79">
        <f t="shared" si="2"/>
        <v>0</v>
      </c>
      <c r="N59" s="180">
        <f t="shared" si="3"/>
        <v>4.5788798385000003E-2</v>
      </c>
      <c r="O59" s="81">
        <f t="shared" si="4"/>
        <v>2.4355743821808513</v>
      </c>
      <c r="P59" s="79">
        <f t="shared" si="5"/>
        <v>0.13255049035904257</v>
      </c>
      <c r="Q59" s="79"/>
      <c r="R59" s="180">
        <f t="shared" si="7"/>
        <v>3.1962247898437504E-3</v>
      </c>
      <c r="S59" s="82">
        <f t="shared" si="8"/>
        <v>0.17001195690658247</v>
      </c>
      <c r="T59" s="78">
        <f t="shared" si="9"/>
        <v>14.325900521921181</v>
      </c>
    </row>
    <row r="60" spans="1:20" s="1" customFormat="1" ht="11.25" customHeight="1" x14ac:dyDescent="0.2">
      <c r="A60" s="95">
        <v>57</v>
      </c>
      <c r="B60" s="95" t="s">
        <v>174</v>
      </c>
      <c r="C60" s="96">
        <v>2.3879999999999999</v>
      </c>
      <c r="D60" s="96">
        <v>0.26727537499999998</v>
      </c>
      <c r="E60" s="96">
        <v>-4.5392323100563736</v>
      </c>
      <c r="F60" s="96">
        <v>1.2925195</v>
      </c>
      <c r="G60" s="96">
        <v>-20.834408835470914</v>
      </c>
      <c r="H60" s="101">
        <f t="shared" si="10"/>
        <v>-25.399511416676042</v>
      </c>
      <c r="I60" s="78">
        <f t="shared" si="0"/>
        <v>-5.5315991051371345</v>
      </c>
      <c r="J60" s="79">
        <f t="shared" si="1"/>
        <v>0.54125607202680071</v>
      </c>
      <c r="K60" s="79"/>
      <c r="L60" s="79"/>
      <c r="M60" s="79">
        <f t="shared" si="2"/>
        <v>0</v>
      </c>
      <c r="N60" s="180">
        <f t="shared" si="3"/>
        <v>6.7306660443000002E-2</v>
      </c>
      <c r="O60" s="81">
        <f t="shared" si="4"/>
        <v>2.818536869472362</v>
      </c>
      <c r="P60" s="79">
        <f t="shared" si="5"/>
        <v>0.11192436139028475</v>
      </c>
      <c r="Q60" s="79"/>
      <c r="R60" s="180">
        <f t="shared" si="7"/>
        <v>4.0108938467499997E-3</v>
      </c>
      <c r="S60" s="82">
        <f t="shared" si="8"/>
        <v>0.16796037884212731</v>
      </c>
      <c r="T60" s="78">
        <f t="shared" si="9"/>
        <v>16.780962801480808</v>
      </c>
    </row>
    <row r="61" spans="1:20" s="1" customFormat="1" ht="11.25" customHeight="1" x14ac:dyDescent="0.2">
      <c r="A61" s="83">
        <v>58</v>
      </c>
      <c r="B61" s="83" t="s">
        <v>175</v>
      </c>
      <c r="C61" s="84">
        <v>1.8680000000000001</v>
      </c>
      <c r="D61" s="84">
        <v>0.1781926875</v>
      </c>
      <c r="E61" s="84">
        <v>-0.81283688581557101</v>
      </c>
      <c r="F61" s="84">
        <v>0.70483262499999999</v>
      </c>
      <c r="G61" s="84">
        <v>-20.751400572029603</v>
      </c>
      <c r="H61" s="101">
        <f t="shared" si="10"/>
        <v>-25.316303933402473</v>
      </c>
      <c r="I61" s="78">
        <f t="shared" si="0"/>
        <v>-1.5566531060994695</v>
      </c>
      <c r="J61" s="79">
        <f t="shared" si="1"/>
        <v>0.37731939239828693</v>
      </c>
      <c r="K61" s="79"/>
      <c r="L61" s="79"/>
      <c r="M61" s="79">
        <f t="shared" si="2"/>
        <v>0</v>
      </c>
      <c r="N61" s="180">
        <f t="shared" si="3"/>
        <v>3.6703454114250002E-2</v>
      </c>
      <c r="O61" s="81">
        <f t="shared" si="4"/>
        <v>1.9648530039748393</v>
      </c>
      <c r="P61" s="79">
        <f t="shared" si="5"/>
        <v>9.5392230995717336E-2</v>
      </c>
      <c r="Q61" s="79"/>
      <c r="R61" s="180">
        <f t="shared" si="7"/>
        <v>-2.9938866249988594E-6</v>
      </c>
      <c r="S61" s="82">
        <f t="shared" si="8"/>
        <v>-1.6027230326546356E-4</v>
      </c>
      <c r="T61" s="78">
        <f t="shared" si="9"/>
        <v>-12259.466944331596</v>
      </c>
    </row>
    <row r="62" spans="1:20" s="1" customFormat="1" ht="11.25" customHeight="1" x14ac:dyDescent="0.2">
      <c r="A62" s="95">
        <v>59</v>
      </c>
      <c r="B62" s="95" t="s">
        <v>176</v>
      </c>
      <c r="C62" s="96">
        <v>1.9930000000000001</v>
      </c>
      <c r="D62" s="96">
        <v>0.18254496875000001</v>
      </c>
      <c r="E62" s="96">
        <v>-0.76432245657420683</v>
      </c>
      <c r="F62" s="96">
        <v>1.503695</v>
      </c>
      <c r="G62" s="96">
        <v>-20.526916733512241</v>
      </c>
      <c r="H62" s="101">
        <f t="shared" si="10"/>
        <v>-25.091281333672669</v>
      </c>
      <c r="I62" s="78">
        <f t="shared" si="0"/>
        <v>-1.5049027644277064</v>
      </c>
      <c r="J62" s="79">
        <f t="shared" si="1"/>
        <v>0.75448820873055689</v>
      </c>
      <c r="K62" s="79"/>
      <c r="L62" s="79"/>
      <c r="M62" s="79">
        <f t="shared" si="2"/>
        <v>0</v>
      </c>
      <c r="N62" s="180">
        <f t="shared" si="3"/>
        <v>7.830341343000001E-2</v>
      </c>
      <c r="O62" s="81">
        <f t="shared" si="4"/>
        <v>3.9289218981435026</v>
      </c>
      <c r="P62" s="79">
        <f t="shared" si="5"/>
        <v>9.159306008529855E-2</v>
      </c>
      <c r="Q62" s="79"/>
      <c r="R62" s="180">
        <f t="shared" si="7"/>
        <v>1.9311120193750073E-4</v>
      </c>
      <c r="S62" s="82">
        <f t="shared" si="8"/>
        <v>9.6894732532614505E-3</v>
      </c>
      <c r="T62" s="78">
        <f t="shared" si="9"/>
        <v>405.48353821205274</v>
      </c>
    </row>
    <row r="63" spans="1:20" s="1" customFormat="1" ht="11.25" customHeight="1" x14ac:dyDescent="0.2">
      <c r="A63" s="83">
        <v>60</v>
      </c>
      <c r="B63" s="83" t="s">
        <v>177</v>
      </c>
      <c r="C63" s="84">
        <v>1.8819999999999999</v>
      </c>
      <c r="D63" s="84">
        <v>9.9048609374999999E-2</v>
      </c>
      <c r="E63" s="84">
        <v>-3.7927371677461963</v>
      </c>
      <c r="F63" s="84">
        <v>0.82106343749999999</v>
      </c>
      <c r="G63" s="84">
        <v>-20.842105943477652</v>
      </c>
      <c r="H63" s="101">
        <f>$B$26*G63+$D$26</f>
        <v>-25.407226997741997</v>
      </c>
      <c r="I63" s="78">
        <f>$B$27*E63+$D$27</f>
        <v>-4.7353127368348673</v>
      </c>
      <c r="J63" s="79">
        <f>(F63)/C63</f>
        <v>0.43627175212539854</v>
      </c>
      <c r="K63" s="79"/>
      <c r="L63" s="79"/>
      <c r="M63" s="79">
        <f>C63*(K63/100)</f>
        <v>0</v>
      </c>
      <c r="N63" s="180">
        <f>F63*$B$28+$D$28</f>
        <v>4.2756057444375002E-2</v>
      </c>
      <c r="O63" s="81">
        <f>N63/C63*100</f>
        <v>2.2718415220178003</v>
      </c>
      <c r="P63" s="79">
        <f>D63/C63</f>
        <v>5.2629441750797028E-2</v>
      </c>
      <c r="Q63" s="79"/>
      <c r="R63" s="180">
        <f>D63*$B$29+$D$29</f>
        <v>-3.5690677587812492E-3</v>
      </c>
      <c r="S63" s="82">
        <f>R63/C63*100</f>
        <v>-0.18964228261324384</v>
      </c>
      <c r="T63" s="78">
        <f>N63/R63</f>
        <v>-11.979614939833803</v>
      </c>
    </row>
    <row r="64" spans="1:20" s="90" customFormat="1" ht="11.25" customHeight="1" x14ac:dyDescent="0.2">
      <c r="A64" s="95">
        <v>61</v>
      </c>
      <c r="B64" s="95" t="s">
        <v>178</v>
      </c>
      <c r="C64" s="96">
        <v>2.1619999999999999</v>
      </c>
      <c r="D64" s="96">
        <v>0.14108899999999999</v>
      </c>
      <c r="E64" s="96">
        <v>4.4064228164013564</v>
      </c>
      <c r="F64" s="96">
        <v>1.380468625</v>
      </c>
      <c r="G64" s="96">
        <v>-20.83931995161096</v>
      </c>
      <c r="H64" s="101">
        <f t="shared" si="10"/>
        <v>-25.404434319494825</v>
      </c>
      <c r="I64" s="78">
        <f t="shared" si="0"/>
        <v>4.0107312182553265</v>
      </c>
      <c r="J64" s="79">
        <f t="shared" si="1"/>
        <v>0.63851462765957445</v>
      </c>
      <c r="K64" s="79"/>
      <c r="L64" s="79"/>
      <c r="M64" s="79">
        <f t="shared" ref="M64" si="20">C64*(K64/100)</f>
        <v>0</v>
      </c>
      <c r="N64" s="180">
        <f t="shared" ref="N64" si="21">F64*$B$28+$D$28</f>
        <v>7.1886523178250006E-2</v>
      </c>
      <c r="O64" s="81">
        <f t="shared" ref="O64" si="22">N64/C64*100</f>
        <v>3.3250010720744685</v>
      </c>
      <c r="P64" s="79">
        <f t="shared" ref="P64" si="23">D64/C64</f>
        <v>6.5258556891766878E-2</v>
      </c>
      <c r="Q64" s="79"/>
      <c r="R64" s="180">
        <f t="shared" si="7"/>
        <v>-1.6748118379999993E-3</v>
      </c>
      <c r="S64" s="82">
        <f t="shared" si="8"/>
        <v>-7.7465857446808478E-2</v>
      </c>
      <c r="T64" s="78">
        <f t="shared" si="9"/>
        <v>-42.922148952621647</v>
      </c>
    </row>
    <row r="65" spans="1:20" s="1" customFormat="1" ht="11.25" customHeight="1" x14ac:dyDescent="0.2">
      <c r="A65" s="83">
        <v>62</v>
      </c>
      <c r="B65" s="83" t="s">
        <v>179</v>
      </c>
      <c r="C65" s="84">
        <v>2.2250000000000001</v>
      </c>
      <c r="D65" s="84">
        <v>8.5452335937499999E-2</v>
      </c>
      <c r="E65" s="84">
        <v>-2.2249980408762804</v>
      </c>
      <c r="F65" s="84">
        <v>0.85854118749999997</v>
      </c>
      <c r="G65" s="84">
        <v>-20.731707619696405</v>
      </c>
      <c r="H65" s="101">
        <f t="shared" si="10"/>
        <v>-25.296563717983677</v>
      </c>
      <c r="I65" s="78">
        <f t="shared" si="0"/>
        <v>-3.0630054102027282</v>
      </c>
      <c r="J65" s="79">
        <f t="shared" si="1"/>
        <v>0.38586120786516853</v>
      </c>
      <c r="K65" s="79"/>
      <c r="L65" s="79"/>
      <c r="M65" s="79">
        <f t="shared" si="2"/>
        <v>0</v>
      </c>
      <c r="N65" s="180">
        <f t="shared" si="3"/>
        <v>4.4707673797874999E-2</v>
      </c>
      <c r="O65" s="81">
        <f t="shared" si="4"/>
        <v>2.0093336538370785</v>
      </c>
      <c r="P65" s="79">
        <f t="shared" si="5"/>
        <v>3.8405544241573032E-2</v>
      </c>
      <c r="Q65" s="79"/>
      <c r="R65" s="180">
        <f t="shared" si="7"/>
        <v>-4.1816886473281245E-3</v>
      </c>
      <c r="S65" s="82">
        <f t="shared" si="8"/>
        <v>-0.18794106280126402</v>
      </c>
      <c r="T65" s="78">
        <f t="shared" si="9"/>
        <v>-10.691296643149368</v>
      </c>
    </row>
    <row r="66" spans="1:20" s="90" customFormat="1" ht="11.25" customHeight="1" x14ac:dyDescent="0.2">
      <c r="A66" s="117">
        <v>63</v>
      </c>
      <c r="B66" s="117" t="s">
        <v>61</v>
      </c>
      <c r="C66" s="105">
        <v>0.84799999999999998</v>
      </c>
      <c r="D66" s="105">
        <v>0.71086843749999995</v>
      </c>
      <c r="E66" s="105">
        <v>3.9607472885683226</v>
      </c>
      <c r="F66" s="105">
        <v>6.9818239999999996</v>
      </c>
      <c r="G66" s="105">
        <v>-21.442112971110834</v>
      </c>
      <c r="H66" s="100">
        <f t="shared" si="10"/>
        <v>-26.008674042241498</v>
      </c>
      <c r="I66" s="86">
        <f t="shared" si="0"/>
        <v>3.5353291327158298</v>
      </c>
      <c r="J66" s="87">
        <f t="shared" si="1"/>
        <v>8.2332830188679242</v>
      </c>
      <c r="K66" s="87">
        <f t="shared" ref="K66:L66" si="24">H$14</f>
        <v>44.65</v>
      </c>
      <c r="L66" s="87">
        <f t="shared" si="24"/>
        <v>2.83</v>
      </c>
      <c r="M66" s="87">
        <f t="shared" si="2"/>
        <v>0.37863199999999997</v>
      </c>
      <c r="N66" s="179">
        <f t="shared" si="3"/>
        <v>0.36357150297599999</v>
      </c>
      <c r="O66" s="91">
        <f t="shared" si="4"/>
        <v>42.873997992452828</v>
      </c>
      <c r="P66" s="87">
        <f t="shared" si="5"/>
        <v>0.8382882517688679</v>
      </c>
      <c r="Q66" s="87">
        <f t="shared" ref="Q66" si="25">C66*(L66/100)</f>
        <v>2.39984E-2</v>
      </c>
      <c r="R66" s="179">
        <f t="shared" si="7"/>
        <v>2.3998310056875E-2</v>
      </c>
      <c r="S66" s="89">
        <f t="shared" si="8"/>
        <v>2.8299893934994103</v>
      </c>
      <c r="T66" s="86">
        <f t="shared" si="9"/>
        <v>15.149879392105136</v>
      </c>
    </row>
    <row r="67" spans="1:20" s="126" customFormat="1" ht="11.25" customHeight="1" x14ac:dyDescent="0.2">
      <c r="A67" s="119">
        <v>64</v>
      </c>
      <c r="B67" s="119" t="s">
        <v>109</v>
      </c>
      <c r="C67" s="120">
        <v>1.254</v>
      </c>
      <c r="D67" s="120">
        <v>9.2384828124999999E-2</v>
      </c>
      <c r="E67" s="120">
        <v>-3.2127703164281929</v>
      </c>
      <c r="F67" s="120">
        <v>0.81643081250000005</v>
      </c>
      <c r="G67" s="120">
        <v>-14.451595626790086</v>
      </c>
      <c r="H67" s="121">
        <f t="shared" si="10"/>
        <v>-19.00137945629438</v>
      </c>
      <c r="I67" s="122">
        <f t="shared" si="0"/>
        <v>-4.1166620965339531</v>
      </c>
      <c r="J67" s="118">
        <f t="shared" si="1"/>
        <v>0.65106125398724091</v>
      </c>
      <c r="K67" s="118">
        <f>H$13</f>
        <v>3.3479999999999999</v>
      </c>
      <c r="L67" s="118"/>
      <c r="M67" s="118">
        <f t="shared" si="2"/>
        <v>4.1983919999999994E-2</v>
      </c>
      <c r="N67" s="181">
        <f t="shared" si="3"/>
        <v>4.2514818130125004E-2</v>
      </c>
      <c r="O67" s="124">
        <f t="shared" si="4"/>
        <v>3.3903363740131578</v>
      </c>
      <c r="P67" s="118">
        <f t="shared" si="5"/>
        <v>7.3672111742424246E-2</v>
      </c>
      <c r="Q67" s="118"/>
      <c r="R67" s="181">
        <f t="shared" si="7"/>
        <v>-3.8693244143437489E-3</v>
      </c>
      <c r="S67" s="125">
        <f t="shared" si="8"/>
        <v>-0.30855856573714102</v>
      </c>
      <c r="T67" s="122">
        <f t="shared" si="9"/>
        <v>-10.987659233875759</v>
      </c>
    </row>
    <row r="68" spans="1:20" s="1" customFormat="1" ht="11.25" customHeight="1" x14ac:dyDescent="0.2">
      <c r="A68" s="95">
        <v>65</v>
      </c>
      <c r="B68" s="95" t="s">
        <v>180</v>
      </c>
      <c r="C68" s="96">
        <v>6.4009999999999998</v>
      </c>
      <c r="D68" s="96">
        <v>8.8323421875000002E-2</v>
      </c>
      <c r="E68" s="96">
        <v>-3.3065970884100793</v>
      </c>
      <c r="F68" s="96">
        <v>0.73605143750000002</v>
      </c>
      <c r="G68" s="96">
        <v>-21.926525193587135</v>
      </c>
      <c r="H68" s="101">
        <f t="shared" si="10"/>
        <v>-26.494248854051744</v>
      </c>
      <c r="I68" s="78">
        <f t="shared" si="0"/>
        <v>-4.2167471142070312</v>
      </c>
      <c r="J68" s="79">
        <f t="shared" si="1"/>
        <v>0.11499006991095143</v>
      </c>
      <c r="K68" s="79"/>
      <c r="L68" s="79"/>
      <c r="M68" s="79">
        <f t="shared" si="2"/>
        <v>0</v>
      </c>
      <c r="N68" s="180">
        <f t="shared" si="3"/>
        <v>3.8329142556375005E-2</v>
      </c>
      <c r="O68" s="81">
        <f t="shared" si="4"/>
        <v>0.59879929005428856</v>
      </c>
      <c r="P68" s="79">
        <f t="shared" si="5"/>
        <v>1.379837867130136E-2</v>
      </c>
      <c r="Q68" s="79"/>
      <c r="R68" s="180">
        <f t="shared" si="7"/>
        <v>-4.0523232571562495E-3</v>
      </c>
      <c r="S68" s="82">
        <f t="shared" si="8"/>
        <v>-6.3307659071336508E-2</v>
      </c>
      <c r="T68" s="78">
        <f t="shared" si="9"/>
        <v>-9.4585599726495637</v>
      </c>
    </row>
    <row r="69" spans="1:20" s="1" customFormat="1" ht="11.25" customHeight="1" x14ac:dyDescent="0.2">
      <c r="A69" s="83">
        <v>66</v>
      </c>
      <c r="B69" s="83" t="s">
        <v>181</v>
      </c>
      <c r="C69" s="84">
        <v>6.6980000000000004</v>
      </c>
      <c r="D69" s="84">
        <v>0.1063428828125</v>
      </c>
      <c r="E69" s="84">
        <v>-0.41882695551376248</v>
      </c>
      <c r="F69" s="84">
        <v>0.86047656250000004</v>
      </c>
      <c r="G69" s="84">
        <v>-21.956626529290499</v>
      </c>
      <c r="H69" s="101">
        <f t="shared" si="10"/>
        <v>-26.524422432960797</v>
      </c>
      <c r="I69" s="78">
        <f t="shared" si="0"/>
        <v>-1.1363627134465304</v>
      </c>
      <c r="J69" s="79">
        <f t="shared" si="1"/>
        <v>0.12846768624962676</v>
      </c>
      <c r="K69" s="79"/>
      <c r="L69" s="79"/>
      <c r="M69" s="79">
        <f t="shared" si="2"/>
        <v>0</v>
      </c>
      <c r="N69" s="180">
        <f t="shared" si="3"/>
        <v>4.4808456515625004E-2</v>
      </c>
      <c r="O69" s="81">
        <f t="shared" si="4"/>
        <v>0.66898262937630637</v>
      </c>
      <c r="P69" s="79">
        <f t="shared" si="5"/>
        <v>1.5876811408256194E-2</v>
      </c>
      <c r="Q69" s="79"/>
      <c r="R69" s="180">
        <f t="shared" si="7"/>
        <v>-3.2404023862343742E-3</v>
      </c>
      <c r="S69" s="82">
        <f t="shared" si="8"/>
        <v>-4.837865610979955E-2</v>
      </c>
      <c r="T69" s="78">
        <f t="shared" si="9"/>
        <v>-13.828053178203056</v>
      </c>
    </row>
    <row r="70" spans="1:20" s="1" customFormat="1" ht="11.25" customHeight="1" x14ac:dyDescent="0.2">
      <c r="A70" s="95">
        <v>67</v>
      </c>
      <c r="B70" s="95" t="s">
        <v>182</v>
      </c>
      <c r="C70" s="96">
        <v>6.6159999999999997</v>
      </c>
      <c r="D70" s="96">
        <v>0.106445015625</v>
      </c>
      <c r="E70" s="96">
        <v>-1.8483707002423522</v>
      </c>
      <c r="F70" s="96">
        <v>0.85024975000000003</v>
      </c>
      <c r="G70" s="96">
        <v>-21.913383771882778</v>
      </c>
      <c r="H70" s="101">
        <f t="shared" si="10"/>
        <v>-26.481075892935294</v>
      </c>
      <c r="I70" s="78">
        <f t="shared" si="0"/>
        <v>-2.6612570259485171</v>
      </c>
      <c r="J70" s="79">
        <f t="shared" si="1"/>
        <v>0.12851417019347039</v>
      </c>
      <c r="K70" s="79"/>
      <c r="L70" s="79"/>
      <c r="M70" s="79">
        <f t="shared" si="2"/>
        <v>0</v>
      </c>
      <c r="N70" s="180">
        <f t="shared" si="3"/>
        <v>4.4275905481500004E-2</v>
      </c>
      <c r="O70" s="81">
        <f t="shared" si="4"/>
        <v>0.66922468986547767</v>
      </c>
      <c r="P70" s="79">
        <f t="shared" si="5"/>
        <v>1.6089028963875453E-2</v>
      </c>
      <c r="Q70" s="79"/>
      <c r="R70" s="180">
        <f t="shared" si="7"/>
        <v>-3.2358004859687492E-3</v>
      </c>
      <c r="S70" s="82">
        <f t="shared" si="8"/>
        <v>-4.8908713512224145E-2</v>
      </c>
      <c r="T70" s="78">
        <f t="shared" si="9"/>
        <v>-13.683138275518392</v>
      </c>
    </row>
    <row r="71" spans="1:20" s="1" customFormat="1" ht="11.25" customHeight="1" x14ac:dyDescent="0.2">
      <c r="A71" s="83">
        <v>68</v>
      </c>
      <c r="B71" s="83" t="s">
        <v>183</v>
      </c>
      <c r="C71" s="84">
        <v>6.4329999999999998</v>
      </c>
      <c r="D71" s="84">
        <v>0.10442064062500001</v>
      </c>
      <c r="E71" s="84">
        <v>-2.817892470060368</v>
      </c>
      <c r="F71" s="84">
        <v>0.71014343749999997</v>
      </c>
      <c r="G71" s="84">
        <v>-22.116009927837545</v>
      </c>
      <c r="H71" s="101">
        <f t="shared" si="10"/>
        <v>-26.684188351664353</v>
      </c>
      <c r="I71" s="78">
        <f t="shared" si="0"/>
        <v>-3.6954458978133946</v>
      </c>
      <c r="J71" s="79">
        <f t="shared" si="1"/>
        <v>0.1103907100108814</v>
      </c>
      <c r="K71" s="79"/>
      <c r="L71" s="79"/>
      <c r="M71" s="79">
        <f t="shared" si="2"/>
        <v>0</v>
      </c>
      <c r="N71" s="180">
        <f t="shared" si="3"/>
        <v>3.6980009364375004E-2</v>
      </c>
      <c r="O71" s="81">
        <f t="shared" si="4"/>
        <v>0.57484858331066391</v>
      </c>
      <c r="P71" s="79">
        <f t="shared" si="5"/>
        <v>1.6232028699673561E-2</v>
      </c>
      <c r="Q71" s="79"/>
      <c r="R71" s="180">
        <f t="shared" si="7"/>
        <v>-3.3270147747187489E-3</v>
      </c>
      <c r="S71" s="82">
        <f t="shared" si="8"/>
        <v>-5.1717935251340726E-2</v>
      </c>
      <c r="T71" s="78">
        <f t="shared" si="9"/>
        <v>-11.115072179834588</v>
      </c>
    </row>
    <row r="72" spans="1:20" s="1" customFormat="1" ht="11.25" customHeight="1" x14ac:dyDescent="0.2">
      <c r="A72" s="95">
        <v>69</v>
      </c>
      <c r="B72" s="95" t="s">
        <v>184</v>
      </c>
      <c r="C72" s="96">
        <v>6.6379999999999999</v>
      </c>
      <c r="D72" s="96">
        <v>0.1276286796875</v>
      </c>
      <c r="E72" s="96">
        <v>-0.89751709836249915</v>
      </c>
      <c r="F72" s="96">
        <v>0.98818662499999999</v>
      </c>
      <c r="G72" s="96">
        <v>-22.044697781751328</v>
      </c>
      <c r="H72" s="101">
        <f t="shared" si="10"/>
        <v>-26.612705056427529</v>
      </c>
      <c r="I72" s="78">
        <f t="shared" si="0"/>
        <v>-1.6469814888232777</v>
      </c>
      <c r="J72" s="79">
        <f t="shared" si="1"/>
        <v>0.14886812669478758</v>
      </c>
      <c r="K72" s="79"/>
      <c r="L72" s="79"/>
      <c r="M72" s="79">
        <f t="shared" si="2"/>
        <v>0</v>
      </c>
      <c r="N72" s="180">
        <f t="shared" si="3"/>
        <v>5.1458830310250003E-2</v>
      </c>
      <c r="O72" s="81">
        <f t="shared" si="4"/>
        <v>0.77521588295043686</v>
      </c>
      <c r="P72" s="79">
        <f t="shared" si="5"/>
        <v>1.9226977958345888E-2</v>
      </c>
      <c r="Q72" s="79"/>
      <c r="R72" s="180">
        <f t="shared" si="7"/>
        <v>-2.2813069506406247E-3</v>
      </c>
      <c r="S72" s="82">
        <f t="shared" si="8"/>
        <v>-3.4367384010856053E-2</v>
      </c>
      <c r="T72" s="78">
        <f t="shared" si="9"/>
        <v>-22.556732357212869</v>
      </c>
    </row>
    <row r="73" spans="1:20" s="1" customFormat="1" ht="11.25" customHeight="1" x14ac:dyDescent="0.2">
      <c r="A73" s="83">
        <v>70</v>
      </c>
      <c r="B73" s="83" t="s">
        <v>185</v>
      </c>
      <c r="C73" s="84">
        <v>6.9349999999999996</v>
      </c>
      <c r="D73" s="84">
        <v>0.16505937500000001</v>
      </c>
      <c r="E73" s="84">
        <v>0.71479258849582727</v>
      </c>
      <c r="F73" s="84">
        <v>1.288156125</v>
      </c>
      <c r="G73" s="84">
        <v>-22.034369193156667</v>
      </c>
      <c r="H73" s="101">
        <f t="shared" si="10"/>
        <v>-26.602351679220241</v>
      </c>
      <c r="I73" s="78">
        <f t="shared" si="0"/>
        <v>7.2869254148498985E-2</v>
      </c>
      <c r="J73" s="79">
        <f t="shared" si="1"/>
        <v>0.18574709805335257</v>
      </c>
      <c r="K73" s="79"/>
      <c r="L73" s="79"/>
      <c r="M73" s="79">
        <f t="shared" si="2"/>
        <v>0</v>
      </c>
      <c r="N73" s="180">
        <f t="shared" si="3"/>
        <v>6.7079442053250005E-2</v>
      </c>
      <c r="O73" s="81">
        <f t="shared" si="4"/>
        <v>0.9672594384030283</v>
      </c>
      <c r="P73" s="79">
        <f t="shared" si="5"/>
        <v>2.3800919250180248E-2</v>
      </c>
      <c r="Q73" s="79"/>
      <c r="R73" s="180">
        <f t="shared" si="7"/>
        <v>-5.9475468124999854E-4</v>
      </c>
      <c r="S73" s="82">
        <f t="shared" si="8"/>
        <v>-8.5761309480893808E-3</v>
      </c>
      <c r="T73" s="78">
        <f t="shared" si="9"/>
        <v>-112.78505940006869</v>
      </c>
    </row>
    <row r="74" spans="1:20" s="90" customFormat="1" ht="11.25" customHeight="1" x14ac:dyDescent="0.2">
      <c r="A74" s="95">
        <v>71</v>
      </c>
      <c r="B74" s="95" t="s">
        <v>186</v>
      </c>
      <c r="C74" s="96">
        <v>6.4420000000000002</v>
      </c>
      <c r="D74" s="96">
        <v>0.11632878125</v>
      </c>
      <c r="E74" s="96">
        <v>-4.1388658101214615</v>
      </c>
      <c r="F74" s="96">
        <v>0.61175512499999996</v>
      </c>
      <c r="G74" s="96">
        <v>-22.29510987773682</v>
      </c>
      <c r="H74" s="101">
        <f t="shared" si="10"/>
        <v>-26.863718141443389</v>
      </c>
      <c r="I74" s="78">
        <f t="shared" si="0"/>
        <v>-5.1045281596565637</v>
      </c>
      <c r="J74" s="79">
        <f t="shared" si="1"/>
        <v>9.4963540049674E-2</v>
      </c>
      <c r="K74" s="79"/>
      <c r="L74" s="79"/>
      <c r="M74" s="79">
        <f t="shared" si="2"/>
        <v>0</v>
      </c>
      <c r="N74" s="180">
        <f t="shared" si="3"/>
        <v>3.1856536379249997E-2</v>
      </c>
      <c r="O74" s="81">
        <f t="shared" si="4"/>
        <v>0.49451313845467237</v>
      </c>
      <c r="P74" s="79">
        <f t="shared" si="5"/>
        <v>1.8057867316050916E-2</v>
      </c>
      <c r="Q74" s="79"/>
      <c r="R74" s="180">
        <f t="shared" si="7"/>
        <v>-2.790457774437499E-3</v>
      </c>
      <c r="S74" s="82">
        <f t="shared" si="8"/>
        <v>-4.3316637293348323E-2</v>
      </c>
      <c r="T74" s="78">
        <f t="shared" si="9"/>
        <v>-11.416240256734092</v>
      </c>
    </row>
    <row r="75" spans="1:20" s="1" customFormat="1" ht="11.25" customHeight="1" x14ac:dyDescent="0.2">
      <c r="A75" s="83">
        <v>72</v>
      </c>
      <c r="B75" s="83" t="s">
        <v>187</v>
      </c>
      <c r="C75" s="84">
        <v>6.3319999999999999</v>
      </c>
      <c r="D75" s="84">
        <v>0.15922953125</v>
      </c>
      <c r="E75" s="84">
        <v>9.3700469484809812</v>
      </c>
      <c r="F75" s="84">
        <v>0.72278125000000004</v>
      </c>
      <c r="G75" s="84">
        <v>-22.200139752505958</v>
      </c>
      <c r="H75" s="101">
        <f t="shared" si="10"/>
        <v>-26.768520087911973</v>
      </c>
      <c r="I75" s="78">
        <f t="shared" si="0"/>
        <v>9.3054290799446626</v>
      </c>
      <c r="J75" s="79">
        <f t="shared" si="1"/>
        <v>0.11414738629185092</v>
      </c>
      <c r="K75" s="79"/>
      <c r="L75" s="79"/>
      <c r="M75" s="79">
        <f t="shared" si="2"/>
        <v>0</v>
      </c>
      <c r="N75" s="180">
        <f t="shared" si="3"/>
        <v>3.7638110812500007E-2</v>
      </c>
      <c r="O75" s="81">
        <f t="shared" si="4"/>
        <v>0.59441109937618464</v>
      </c>
      <c r="P75" s="79">
        <f t="shared" si="5"/>
        <v>2.5146798997157296E-2</v>
      </c>
      <c r="Q75" s="79"/>
      <c r="R75" s="180">
        <f t="shared" si="7"/>
        <v>-8.5743578093749884E-4</v>
      </c>
      <c r="S75" s="82">
        <f t="shared" si="8"/>
        <v>-1.3541310501223924E-2</v>
      </c>
      <c r="T75" s="78">
        <f t="shared" si="9"/>
        <v>-43.896128024127286</v>
      </c>
    </row>
    <row r="76" spans="1:20" s="1" customFormat="1" ht="11.25" customHeight="1" x14ac:dyDescent="0.2">
      <c r="A76" s="83">
        <v>73</v>
      </c>
      <c r="B76" s="83" t="s">
        <v>188</v>
      </c>
      <c r="C76" s="84">
        <v>6.4859999999999998</v>
      </c>
      <c r="D76" s="84">
        <v>0.253714546875</v>
      </c>
      <c r="E76" s="84">
        <v>-1.6420062642271693</v>
      </c>
      <c r="F76" s="84">
        <v>0.91600824999999997</v>
      </c>
      <c r="G76" s="84">
        <v>-21.844129006315494</v>
      </c>
      <c r="H76" s="101">
        <f>$B$26*G76+$D$26</f>
        <v>-26.411654915930651</v>
      </c>
      <c r="I76" s="78">
        <f>$B$27*E76+$D$27</f>
        <v>-2.4411280820511214</v>
      </c>
      <c r="J76" s="79">
        <f>(F76)/C76</f>
        <v>0.14122853068146779</v>
      </c>
      <c r="K76" s="79"/>
      <c r="L76" s="79"/>
      <c r="M76" s="79">
        <f t="shared" si="2"/>
        <v>0</v>
      </c>
      <c r="N76" s="180">
        <f t="shared" si="3"/>
        <v>4.7700213610500003E-2</v>
      </c>
      <c r="O76" s="81">
        <f t="shared" si="4"/>
        <v>0.73543345067067534</v>
      </c>
      <c r="P76" s="79">
        <f t="shared" si="5"/>
        <v>3.9117259771045333E-2</v>
      </c>
      <c r="Q76" s="79"/>
      <c r="R76" s="180">
        <f>D76*$B$29+$D$29</f>
        <v>3.3998700530937509E-3</v>
      </c>
      <c r="S76" s="82">
        <f>R76/C76*100</f>
        <v>5.2418594713132143E-2</v>
      </c>
      <c r="T76" s="78">
        <f>N76/R76</f>
        <v>14.0300108138235</v>
      </c>
    </row>
    <row r="77" spans="1:20" s="1" customFormat="1" ht="11.25" customHeight="1" x14ac:dyDescent="0.2">
      <c r="A77" s="83">
        <v>74</v>
      </c>
      <c r="B77" s="83" t="s">
        <v>62</v>
      </c>
      <c r="C77" s="84">
        <v>0.92100000000000004</v>
      </c>
      <c r="D77" s="84">
        <v>0.17686585937499999</v>
      </c>
      <c r="E77" s="84">
        <v>-10.049373829125186</v>
      </c>
      <c r="F77" s="84">
        <v>6.9977375000000004</v>
      </c>
      <c r="G77" s="84">
        <v>-20.09056226987008</v>
      </c>
      <c r="H77" s="101">
        <f t="shared" si="10"/>
        <v>-24.653879619317767</v>
      </c>
      <c r="I77" s="78">
        <f t="shared" si="0"/>
        <v>-11.409267063527835</v>
      </c>
      <c r="J77" s="79">
        <f t="shared" si="1"/>
        <v>7.5979777415852334</v>
      </c>
      <c r="K77" s="79"/>
      <c r="L77" s="79"/>
      <c r="M77" s="79">
        <f t="shared" si="2"/>
        <v>0</v>
      </c>
      <c r="N77" s="180">
        <f t="shared" si="3"/>
        <v>0.36440018257500001</v>
      </c>
      <c r="O77" s="81">
        <f t="shared" si="4"/>
        <v>39.565709291530943</v>
      </c>
      <c r="P77" s="79">
        <f t="shared" si="5"/>
        <v>0.19203676370792616</v>
      </c>
      <c r="Q77" s="79"/>
      <c r="R77" s="180">
        <f t="shared" si="7"/>
        <v>-6.2778108281249731E-5</v>
      </c>
      <c r="S77" s="82">
        <f t="shared" si="8"/>
        <v>-6.8162984018729353E-3</v>
      </c>
      <c r="T77" s="78">
        <f t="shared" si="9"/>
        <v>-5804.5741190936351</v>
      </c>
    </row>
    <row r="78" spans="1:20" s="1" customFormat="1" ht="11.25" customHeight="1" x14ac:dyDescent="0.2">
      <c r="A78" s="95">
        <v>75</v>
      </c>
      <c r="B78" s="95" t="s">
        <v>63</v>
      </c>
      <c r="C78" s="96">
        <v>0.93600000000000005</v>
      </c>
      <c r="D78" s="96">
        <v>0.1843203125</v>
      </c>
      <c r="E78" s="96">
        <v>-12.386282113341585</v>
      </c>
      <c r="F78" s="96">
        <v>7.0874445000000001</v>
      </c>
      <c r="G78" s="96">
        <v>-6.003138715166056</v>
      </c>
      <c r="H78" s="101">
        <f t="shared" si="10"/>
        <v>-10.532646248082454</v>
      </c>
      <c r="I78" s="78">
        <f t="shared" si="0"/>
        <v>-13.902047130301469</v>
      </c>
      <c r="J78" s="79">
        <f t="shared" si="1"/>
        <v>7.5720560897435893</v>
      </c>
      <c r="K78" s="79"/>
      <c r="L78" s="79"/>
      <c r="M78" s="79">
        <f t="shared" si="2"/>
        <v>0</v>
      </c>
      <c r="N78" s="180">
        <f t="shared" si="3"/>
        <v>0.36907158489300002</v>
      </c>
      <c r="O78" s="81">
        <f t="shared" si="4"/>
        <v>39.430724881730768</v>
      </c>
      <c r="P78" s="79">
        <f t="shared" si="5"/>
        <v>0.19692341079059827</v>
      </c>
      <c r="Q78" s="79"/>
      <c r="R78" s="180">
        <f t="shared" si="7"/>
        <v>2.7310464062500067E-4</v>
      </c>
      <c r="S78" s="82">
        <f t="shared" si="8"/>
        <v>2.9177846220619728E-2</v>
      </c>
      <c r="T78" s="78">
        <f t="shared" si="9"/>
        <v>1351.3925799590177</v>
      </c>
    </row>
    <row r="79" spans="1:20" s="1" customFormat="1" ht="11.25" customHeight="1" x14ac:dyDescent="0.2">
      <c r="A79" s="83">
        <v>76</v>
      </c>
      <c r="B79" s="83" t="s">
        <v>70</v>
      </c>
      <c r="C79" s="84">
        <v>1.3979999999999999</v>
      </c>
      <c r="D79" s="84">
        <v>0.18421006249999999</v>
      </c>
      <c r="E79" s="84">
        <v>-4.655060120666632</v>
      </c>
      <c r="F79" s="84">
        <v>4.8283990000000001</v>
      </c>
      <c r="G79" s="84">
        <v>-13.473461849861254</v>
      </c>
      <c r="H79" s="101">
        <f t="shared" si="10"/>
        <v>-18.02089815830092</v>
      </c>
      <c r="I79" s="78">
        <f t="shared" si="0"/>
        <v>-5.6551526307150954</v>
      </c>
      <c r="J79" s="79">
        <f t="shared" si="1"/>
        <v>3.453790414878398</v>
      </c>
      <c r="K79" s="79"/>
      <c r="L79" s="79"/>
      <c r="M79" s="79">
        <f t="shared" si="2"/>
        <v>0</v>
      </c>
      <c r="N79" s="180">
        <f t="shared" si="3"/>
        <v>0.25143404952600001</v>
      </c>
      <c r="O79" s="81">
        <f t="shared" si="4"/>
        <v>17.98526820643777</v>
      </c>
      <c r="P79" s="79">
        <f t="shared" si="5"/>
        <v>0.13176685443490702</v>
      </c>
      <c r="Q79" s="79"/>
      <c r="R79" s="180">
        <f t="shared" si="7"/>
        <v>2.6813699612500061E-4</v>
      </c>
      <c r="S79" s="82">
        <f t="shared" si="8"/>
        <v>1.9180042641273293E-2</v>
      </c>
      <c r="T79" s="78">
        <f t="shared" si="9"/>
        <v>937.70741508861397</v>
      </c>
    </row>
    <row r="80" spans="1:20" s="90" customFormat="1" ht="11.25" customHeight="1" x14ac:dyDescent="0.2">
      <c r="A80" s="95">
        <v>77</v>
      </c>
      <c r="B80" s="95" t="s">
        <v>64</v>
      </c>
      <c r="C80" s="96">
        <v>0.65800000000000003</v>
      </c>
      <c r="D80" s="96">
        <v>4.5174500000000002</v>
      </c>
      <c r="E80" s="96">
        <v>1.3217382360855012</v>
      </c>
      <c r="F80" s="96">
        <v>1.1208820312499999E-2</v>
      </c>
      <c r="G80" s="96">
        <v>-16.447410911093165</v>
      </c>
      <c r="H80" s="101">
        <f t="shared" si="10"/>
        <v>-21.001984697279788</v>
      </c>
      <c r="I80" s="78">
        <f t="shared" si="0"/>
        <v>0.72029817643240412</v>
      </c>
      <c r="J80" s="79">
        <f t="shared" si="1"/>
        <v>1.703468132598784E-2</v>
      </c>
      <c r="K80" s="79"/>
      <c r="L80" s="79"/>
      <c r="M80" s="79">
        <f t="shared" si="2"/>
        <v>0</v>
      </c>
      <c r="N80" s="180">
        <f t="shared" si="3"/>
        <v>5.8368810895312502E-4</v>
      </c>
      <c r="O80" s="81">
        <f t="shared" si="4"/>
        <v>8.8706399536949088E-2</v>
      </c>
      <c r="P80" s="79">
        <f t="shared" si="5"/>
        <v>6.8654255319148936</v>
      </c>
      <c r="Q80" s="79"/>
      <c r="R80" s="180">
        <f t="shared" si="7"/>
        <v>0.1955152621</v>
      </c>
      <c r="S80" s="82">
        <f t="shared" si="8"/>
        <v>29.713565668693008</v>
      </c>
      <c r="T80" s="78">
        <f t="shared" si="9"/>
        <v>2.9853838656062901E-3</v>
      </c>
    </row>
    <row r="81" spans="1:28" s="113" customFormat="1" ht="11.25" customHeight="1" x14ac:dyDescent="0.2">
      <c r="A81" s="83">
        <v>78</v>
      </c>
      <c r="B81" s="83" t="s">
        <v>69</v>
      </c>
      <c r="C81" s="84">
        <v>0.47799999999999998</v>
      </c>
      <c r="D81" s="84">
        <v>3.2893675</v>
      </c>
      <c r="E81" s="84">
        <v>19.678009955317101</v>
      </c>
      <c r="F81" s="85">
        <v>1.0198611328124999E-2</v>
      </c>
      <c r="G81" s="85">
        <v>-16.553799767009256</v>
      </c>
      <c r="H81" s="101">
        <f t="shared" si="10"/>
        <v>-21.108628886450077</v>
      </c>
      <c r="I81" s="78">
        <f t="shared" si="0"/>
        <v>20.300933219336752</v>
      </c>
      <c r="J81" s="79">
        <f t="shared" si="1"/>
        <v>2.1336006962604601E-2</v>
      </c>
      <c r="K81" s="79"/>
      <c r="L81" s="79"/>
      <c r="M81" s="79">
        <f t="shared" si="2"/>
        <v>0</v>
      </c>
      <c r="N81" s="180">
        <f t="shared" si="3"/>
        <v>5.3108248630078121E-4</v>
      </c>
      <c r="O81" s="81">
        <f t="shared" si="4"/>
        <v>0.11110512265706721</v>
      </c>
      <c r="P81" s="79">
        <f t="shared" si="5"/>
        <v>6.8815219665271972</v>
      </c>
      <c r="Q81" s="87"/>
      <c r="R81" s="180">
        <f t="shared" si="7"/>
        <v>0.14018032081499998</v>
      </c>
      <c r="S81" s="82">
        <f t="shared" si="8"/>
        <v>29.326426948744768</v>
      </c>
      <c r="T81" s="78">
        <f t="shared" si="9"/>
        <v>3.7885666348393232E-3</v>
      </c>
    </row>
    <row r="82" spans="1:28" ht="11.25" customHeight="1" x14ac:dyDescent="0.2">
      <c r="A82" s="114">
        <v>79</v>
      </c>
      <c r="B82" s="114" t="s">
        <v>86</v>
      </c>
      <c r="C82" s="108">
        <v>0</v>
      </c>
      <c r="D82" s="108">
        <v>0.178255625</v>
      </c>
      <c r="E82" s="108">
        <v>-6.9884639874034926</v>
      </c>
      <c r="F82" s="85"/>
      <c r="G82" s="85"/>
      <c r="H82" s="101">
        <f t="shared" ref="H82" si="26">$B$26*G82+$D$26</f>
        <v>-4.5151000000000003</v>
      </c>
      <c r="I82" s="78">
        <f t="shared" ref="I82" si="27">$B$27*E82+$D$27</f>
        <v>-8.1441945353633063</v>
      </c>
      <c r="J82" s="79" t="e">
        <f t="shared" ref="J82" si="28">(F82)/C82</f>
        <v>#DIV/0!</v>
      </c>
      <c r="K82" s="79"/>
      <c r="L82" s="79">
        <v>0</v>
      </c>
      <c r="M82" s="79">
        <f t="shared" ref="M82" si="29">C82*(K82/100)</f>
        <v>0</v>
      </c>
      <c r="N82" s="180">
        <f t="shared" ref="N82" si="30">F82*$B$28+$D$28</f>
        <v>0</v>
      </c>
      <c r="O82" s="81" t="e">
        <f t="shared" ref="O82" si="31">N82/C82*100</f>
        <v>#DIV/0!</v>
      </c>
      <c r="P82" s="79" t="e">
        <f t="shared" ref="P82" si="32">D82/C82</f>
        <v>#DIV/0!</v>
      </c>
      <c r="Q82" s="87">
        <f t="shared" ref="Q82" si="33">C82*(L82/100)</f>
        <v>0</v>
      </c>
      <c r="R82" s="180">
        <f t="shared" ref="R82" si="34">D82*$B$29+$D$29</f>
        <v>-1.5804874999893193E-7</v>
      </c>
      <c r="S82" s="82" t="e">
        <f t="shared" ref="S82" si="35">R82/C82*100</f>
        <v>#DIV/0!</v>
      </c>
      <c r="T82" s="78">
        <f t="shared" ref="T82" si="36">N82/R82</f>
        <v>0</v>
      </c>
      <c r="V82" s="1"/>
      <c r="W82" s="1"/>
      <c r="X82" s="1"/>
      <c r="Y82" s="1"/>
      <c r="Z82" s="1"/>
      <c r="AA82" s="1"/>
      <c r="AB82" s="1"/>
    </row>
    <row r="83" spans="1:28" ht="11.25" customHeight="1" x14ac:dyDescent="0.2">
      <c r="A83" s="110"/>
      <c r="B83" s="110"/>
      <c r="C83" s="85"/>
      <c r="D83" s="85"/>
      <c r="E83" s="85"/>
      <c r="V83" s="1"/>
      <c r="W83" s="1"/>
      <c r="X83" s="1"/>
      <c r="Y83" s="1"/>
      <c r="Z83" s="1"/>
      <c r="AA83" s="1"/>
      <c r="AB83" s="1"/>
    </row>
    <row r="84" spans="1:28" ht="11.25" customHeight="1" x14ac:dyDescent="0.25">
      <c r="A84" s="1" t="s">
        <v>83</v>
      </c>
      <c r="H84" s="101">
        <f>STDEV(H88:H93)</f>
        <v>0.20174456572434946</v>
      </c>
      <c r="I84" s="101">
        <f>STDEV(I88:I92)</f>
        <v>0.90327763201204114</v>
      </c>
      <c r="J84" s="79"/>
      <c r="K84" s="1"/>
      <c r="L84" s="1"/>
      <c r="M84" s="79"/>
      <c r="N84" s="80"/>
      <c r="O84" s="101">
        <f>STDEV(O88:O92)</f>
        <v>0.17708088027281824</v>
      </c>
      <c r="P84" s="79"/>
      <c r="Q84" s="79"/>
      <c r="R84" s="80"/>
      <c r="S84" s="101">
        <f>STDEV(S88:S92)</f>
        <v>0.48461851370901082</v>
      </c>
      <c r="T84" s="101">
        <f>STDEV(T88:T92)</f>
        <v>0.72952852918123956</v>
      </c>
    </row>
    <row r="85" spans="1:28" ht="11.25" customHeight="1" x14ac:dyDescent="0.25">
      <c r="H85" s="102"/>
      <c r="I85" s="102"/>
      <c r="J85"/>
      <c r="K85" s="1"/>
      <c r="L85" s="1"/>
      <c r="O85" s="102"/>
      <c r="S85" s="102"/>
      <c r="T85" s="102"/>
      <c r="V85" s="1"/>
      <c r="W85" s="1"/>
      <c r="X85" s="1"/>
      <c r="Y85" s="1"/>
      <c r="Z85" s="1"/>
      <c r="AA85" s="1"/>
      <c r="AB85" s="1"/>
    </row>
    <row r="86" spans="1:28" s="126" customFormat="1" ht="11.25" customHeight="1" x14ac:dyDescent="0.2">
      <c r="A86" s="119">
        <v>40</v>
      </c>
      <c r="B86" s="119" t="s">
        <v>87</v>
      </c>
      <c r="C86" s="120">
        <v>1.5529999999999999</v>
      </c>
      <c r="D86" s="120">
        <v>0.75310881249999995</v>
      </c>
      <c r="E86" s="120">
        <v>-3.490794458562485</v>
      </c>
      <c r="F86" s="120">
        <v>1.0070915625000001</v>
      </c>
      <c r="G86" s="120">
        <v>-15.955225591626984</v>
      </c>
      <c r="H86" s="121">
        <f t="shared" ref="H86:H87" si="37">$B$26*G86+$D$26</f>
        <v>-20.508618133046888</v>
      </c>
      <c r="I86" s="122">
        <f t="shared" ref="I86:I87" si="38">$B$27*E86+$D$27</f>
        <v>-4.4132304489486032</v>
      </c>
      <c r="J86" s="118">
        <f t="shared" ref="J86:J87" si="39">(F86)/C86</f>
        <v>0.64848136670959444</v>
      </c>
      <c r="K86" s="118">
        <f>H$13</f>
        <v>3.3479999999999999</v>
      </c>
      <c r="L86" s="118"/>
      <c r="M86" s="118">
        <f t="shared" ref="M86:M87" si="40">C86*(K86/100)</f>
        <v>5.1994439999999989E-2</v>
      </c>
      <c r="N86" s="123">
        <f t="shared" ref="N86:N87" si="41">F86*$B$28+$D$28</f>
        <v>5.2443286025625008E-2</v>
      </c>
      <c r="O86" s="124">
        <f t="shared" ref="O86:O87" si="42">N86/C86*100</f>
        <v>3.3769018690035422</v>
      </c>
      <c r="P86" s="118">
        <f t="shared" ref="P86:P87" si="43">D86/C86</f>
        <v>0.48493806342562779</v>
      </c>
      <c r="Q86" s="118"/>
      <c r="R86" s="123">
        <f t="shared" ref="R86:R87" si="44">D86*$B$29+$D$29</f>
        <v>2.5901576873625001E-2</v>
      </c>
      <c r="S86" s="125">
        <f t="shared" ref="S86:S87" si="45">R86/C86*100</f>
        <v>1.6678413955972315</v>
      </c>
      <c r="T86" s="122">
        <f t="shared" ref="T86:T87" si="46">N86/R86</f>
        <v>2.0247140273157207</v>
      </c>
    </row>
    <row r="87" spans="1:28" s="126" customFormat="1" ht="11.25" customHeight="1" x14ac:dyDescent="0.2">
      <c r="A87" s="119">
        <v>64</v>
      </c>
      <c r="B87" s="119" t="s">
        <v>109</v>
      </c>
      <c r="C87" s="120">
        <v>1.254</v>
      </c>
      <c r="D87" s="120">
        <v>9.2384828124999999E-2</v>
      </c>
      <c r="E87" s="120">
        <v>-3.2127703164281929</v>
      </c>
      <c r="F87" s="120">
        <v>0.81643081250000005</v>
      </c>
      <c r="G87" s="120">
        <v>-14.451595626790086</v>
      </c>
      <c r="H87" s="121">
        <f t="shared" si="37"/>
        <v>-19.00137945629438</v>
      </c>
      <c r="I87" s="122">
        <f t="shared" si="38"/>
        <v>-4.1166620965339531</v>
      </c>
      <c r="J87" s="118">
        <f t="shared" si="39"/>
        <v>0.65106125398724091</v>
      </c>
      <c r="K87" s="118">
        <f>H$13</f>
        <v>3.3479999999999999</v>
      </c>
      <c r="L87" s="118"/>
      <c r="M87" s="118">
        <f t="shared" si="40"/>
        <v>4.1983919999999994E-2</v>
      </c>
      <c r="N87" s="123">
        <f t="shared" si="41"/>
        <v>4.2514818130125004E-2</v>
      </c>
      <c r="O87" s="124">
        <f t="shared" si="42"/>
        <v>3.3903363740131578</v>
      </c>
      <c r="P87" s="118">
        <f t="shared" si="43"/>
        <v>7.3672111742424246E-2</v>
      </c>
      <c r="Q87" s="118"/>
      <c r="R87" s="123">
        <f t="shared" si="44"/>
        <v>-3.8693244143437489E-3</v>
      </c>
      <c r="S87" s="125">
        <f t="shared" si="45"/>
        <v>-0.30855856573714102</v>
      </c>
      <c r="T87" s="122">
        <f t="shared" si="46"/>
        <v>-10.987659233875759</v>
      </c>
    </row>
    <row r="88" spans="1:28" s="90" customFormat="1" ht="11.25" customHeight="1" x14ac:dyDescent="0.2">
      <c r="A88" s="117">
        <v>30</v>
      </c>
      <c r="B88" s="117" t="s">
        <v>55</v>
      </c>
      <c r="C88" s="105">
        <v>0.79100000000000004</v>
      </c>
      <c r="D88" s="105">
        <v>1.0364985625000001</v>
      </c>
      <c r="E88" s="105">
        <v>3.2338408692358378</v>
      </c>
      <c r="F88" s="105">
        <v>6.8341704999999999</v>
      </c>
      <c r="G88" s="105">
        <v>-21.898756291716722</v>
      </c>
      <c r="H88" s="100">
        <f>$B$26*G88+$D$26</f>
        <v>-26.466413306816843</v>
      </c>
      <c r="I88" s="86">
        <f t="shared" ref="I88:I94" si="47">$B$27*E88+$D$27</f>
        <v>2.7599380552138681</v>
      </c>
      <c r="J88" s="87">
        <f t="shared" ref="J88:J94" si="48">(F88)/C88</f>
        <v>8.6399121365360294</v>
      </c>
      <c r="K88" s="87">
        <f>H$14</f>
        <v>44.65</v>
      </c>
      <c r="L88" s="87">
        <f>I$14</f>
        <v>2.83</v>
      </c>
      <c r="M88" s="87">
        <f t="shared" ref="M88:M94" si="49">C88*(K88/100)</f>
        <v>0.35318150000000004</v>
      </c>
      <c r="N88" s="88">
        <f t="shared" ref="N88:N94" si="50">F88*$B$28+$D$28</f>
        <v>0.355882594617</v>
      </c>
      <c r="O88" s="91">
        <f t="shared" ref="O88:O94" si="51">N88/C88*100</f>
        <v>44.991478459797726</v>
      </c>
      <c r="P88" s="87">
        <f t="shared" ref="P88:P94" si="52">D88/C88</f>
        <v>1.3103648072060683</v>
      </c>
      <c r="Q88" s="87">
        <f t="shared" ref="Q88:Q92" si="53">C88*(L88/100)</f>
        <v>2.2385300000000004E-2</v>
      </c>
      <c r="R88" s="88">
        <f t="shared" ref="R88:R94" si="54">D88*$B$29+$D$29</f>
        <v>3.8670552229125008E-2</v>
      </c>
      <c r="S88" s="89">
        <f t="shared" ref="S88:S94" si="55">R88/C88*100</f>
        <v>4.8888182337705439</v>
      </c>
      <c r="T88" s="86">
        <f t="shared" ref="T88:T94" si="56">N88/R88</f>
        <v>9.2029354147408444</v>
      </c>
    </row>
    <row r="89" spans="1:28" s="90" customFormat="1" ht="11.25" customHeight="1" x14ac:dyDescent="0.2">
      <c r="A89" s="117">
        <v>31</v>
      </c>
      <c r="B89" s="117" t="s">
        <v>56</v>
      </c>
      <c r="C89" s="105">
        <v>0.97</v>
      </c>
      <c r="D89" s="105">
        <v>1.2260653749999999</v>
      </c>
      <c r="E89" s="105">
        <v>2.0718747576506935</v>
      </c>
      <c r="F89" s="105">
        <v>8.3068305000000002</v>
      </c>
      <c r="G89" s="105">
        <v>-21.855204477554533</v>
      </c>
      <c r="H89" s="100">
        <f t="shared" ref="H89:H94" si="57">$B$26*G89+$D$26</f>
        <v>-26.422756968300664</v>
      </c>
      <c r="I89" s="86">
        <f t="shared" si="47"/>
        <v>1.5204688039859948</v>
      </c>
      <c r="J89" s="87">
        <f t="shared" si="48"/>
        <v>8.5637427835051554</v>
      </c>
      <c r="K89" s="87">
        <f t="shared" ref="K89:K92" si="58">H$14</f>
        <v>44.65</v>
      </c>
      <c r="L89" s="87">
        <f t="shared" ref="L89:L92" si="59">I$14</f>
        <v>2.83</v>
      </c>
      <c r="M89" s="87">
        <f t="shared" si="49"/>
        <v>0.43310500000000002</v>
      </c>
      <c r="N89" s="88">
        <f t="shared" si="50"/>
        <v>0.43256989145700003</v>
      </c>
      <c r="O89" s="91">
        <f t="shared" si="51"/>
        <v>44.594834170824747</v>
      </c>
      <c r="P89" s="87">
        <f t="shared" si="52"/>
        <v>1.2639849226804123</v>
      </c>
      <c r="Q89" s="87">
        <f t="shared" si="53"/>
        <v>2.7451E-2</v>
      </c>
      <c r="R89" s="88">
        <f t="shared" si="54"/>
        <v>4.7212053666749999E-2</v>
      </c>
      <c r="S89" s="89">
        <f t="shared" si="55"/>
        <v>4.8672220275000004</v>
      </c>
      <c r="T89" s="86">
        <f t="shared" si="56"/>
        <v>9.1622765345123245</v>
      </c>
    </row>
    <row r="90" spans="1:28" s="90" customFormat="1" ht="11.25" customHeight="1" x14ac:dyDescent="0.2">
      <c r="A90" s="117">
        <v>32</v>
      </c>
      <c r="B90" s="117" t="s">
        <v>57</v>
      </c>
      <c r="C90" s="105">
        <v>0.93700000000000006</v>
      </c>
      <c r="D90" s="105">
        <v>1.2541487499999999</v>
      </c>
      <c r="E90" s="105">
        <v>1.7144147571290791</v>
      </c>
      <c r="F90" s="105">
        <v>8.0886045000000006</v>
      </c>
      <c r="G90" s="105">
        <v>-21.920885044034268</v>
      </c>
      <c r="H90" s="100">
        <f t="shared" si="57"/>
        <v>-26.488595168139948</v>
      </c>
      <c r="I90" s="86">
        <f t="shared" si="47"/>
        <v>1.1391662214295886</v>
      </c>
      <c r="J90" s="87">
        <f t="shared" si="48"/>
        <v>8.632448772678762</v>
      </c>
      <c r="K90" s="87">
        <f t="shared" si="58"/>
        <v>44.65</v>
      </c>
      <c r="L90" s="87">
        <f t="shared" si="59"/>
        <v>2.83</v>
      </c>
      <c r="M90" s="87">
        <f t="shared" si="49"/>
        <v>0.41837050000000003</v>
      </c>
      <c r="N90" s="88">
        <f t="shared" si="50"/>
        <v>0.42120599073300002</v>
      </c>
      <c r="O90" s="91">
        <f t="shared" si="51"/>
        <v>44.952613738847383</v>
      </c>
      <c r="P90" s="87">
        <f t="shared" si="52"/>
        <v>1.3384725186766273</v>
      </c>
      <c r="Q90" s="87">
        <f t="shared" si="53"/>
        <v>2.6517100000000005E-2</v>
      </c>
      <c r="R90" s="88">
        <f t="shared" si="54"/>
        <v>4.8477434377500003E-2</v>
      </c>
      <c r="S90" s="89">
        <f t="shared" si="55"/>
        <v>5.1736856326040552</v>
      </c>
      <c r="T90" s="86">
        <f t="shared" si="56"/>
        <v>8.6887022001415115</v>
      </c>
    </row>
    <row r="91" spans="1:28" s="90" customFormat="1" ht="11.25" customHeight="1" x14ac:dyDescent="0.2">
      <c r="A91" s="117">
        <v>33</v>
      </c>
      <c r="B91" s="117" t="s">
        <v>58</v>
      </c>
      <c r="C91" s="105">
        <v>0.94599999999999995</v>
      </c>
      <c r="D91" s="105">
        <v>1.3274021250000001</v>
      </c>
      <c r="E91" s="105">
        <v>1.6154649623445483</v>
      </c>
      <c r="F91" s="105">
        <v>8.1806274999999999</v>
      </c>
      <c r="G91" s="105">
        <v>-21.91351257141125</v>
      </c>
      <c r="H91" s="100">
        <f t="shared" si="57"/>
        <v>-26.481205001582637</v>
      </c>
      <c r="I91" s="86">
        <f t="shared" si="47"/>
        <v>1.0336164753329296</v>
      </c>
      <c r="J91" s="87">
        <f t="shared" si="48"/>
        <v>8.6475977801268495</v>
      </c>
      <c r="K91" s="87">
        <f t="shared" si="58"/>
        <v>44.65</v>
      </c>
      <c r="L91" s="87">
        <f t="shared" si="59"/>
        <v>2.83</v>
      </c>
      <c r="M91" s="87">
        <f t="shared" si="49"/>
        <v>0.42238899999999996</v>
      </c>
      <c r="N91" s="88">
        <f t="shared" si="50"/>
        <v>0.42599799643500003</v>
      </c>
      <c r="O91" s="91">
        <f t="shared" si="51"/>
        <v>45.031500680232561</v>
      </c>
      <c r="P91" s="87">
        <f t="shared" si="52"/>
        <v>1.4031734936575055</v>
      </c>
      <c r="Q91" s="87">
        <f t="shared" si="53"/>
        <v>2.6771800000000002E-2</v>
      </c>
      <c r="R91" s="88">
        <f t="shared" si="54"/>
        <v>5.1778084948250008E-2</v>
      </c>
      <c r="S91" s="89">
        <f t="shared" si="55"/>
        <v>5.4733705019291765</v>
      </c>
      <c r="T91" s="86">
        <f t="shared" si="56"/>
        <v>8.2273803069535472</v>
      </c>
    </row>
    <row r="92" spans="1:28" s="90" customFormat="1" ht="11.25" customHeight="1" x14ac:dyDescent="0.2">
      <c r="A92" s="117">
        <v>39</v>
      </c>
      <c r="B92" s="117" t="s">
        <v>59</v>
      </c>
      <c r="C92" s="105">
        <v>1.1779999999999999</v>
      </c>
      <c r="D92" s="105">
        <v>1.7556311250000001</v>
      </c>
      <c r="E92" s="105">
        <v>0.92789519232927553</v>
      </c>
      <c r="F92" s="105">
        <v>10.171633</v>
      </c>
      <c r="G92" s="105">
        <v>-22.009076944751211</v>
      </c>
      <c r="H92" s="100">
        <f t="shared" si="57"/>
        <v>-26.576998729418612</v>
      </c>
      <c r="I92" s="86">
        <f t="shared" si="47"/>
        <v>0.3001858016576382</v>
      </c>
      <c r="J92" s="87">
        <f t="shared" si="48"/>
        <v>8.6346629881154495</v>
      </c>
      <c r="K92" s="87">
        <f t="shared" si="58"/>
        <v>44.65</v>
      </c>
      <c r="L92" s="87">
        <f t="shared" si="59"/>
        <v>2.83</v>
      </c>
      <c r="M92" s="87">
        <f t="shared" si="49"/>
        <v>0.52597700000000003</v>
      </c>
      <c r="N92" s="88">
        <f t="shared" si="50"/>
        <v>0.52967761684199999</v>
      </c>
      <c r="O92" s="91">
        <f t="shared" si="51"/>
        <v>44.964144044312391</v>
      </c>
      <c r="P92" s="87">
        <f t="shared" si="52"/>
        <v>1.4903490025466894</v>
      </c>
      <c r="Q92" s="87">
        <f t="shared" si="53"/>
        <v>3.3337400000000003E-2</v>
      </c>
      <c r="R92" s="88">
        <f t="shared" si="54"/>
        <v>7.1073227230250002E-2</v>
      </c>
      <c r="S92" s="89">
        <f t="shared" si="55"/>
        <v>6.0333809193760617</v>
      </c>
      <c r="T92" s="86">
        <f t="shared" si="56"/>
        <v>7.4525617800644905</v>
      </c>
    </row>
    <row r="93" spans="1:28" s="90" customFormat="1" ht="11.25" customHeight="1" x14ac:dyDescent="0.2">
      <c r="A93" s="117">
        <v>63</v>
      </c>
      <c r="B93" s="117" t="s">
        <v>61</v>
      </c>
      <c r="C93" s="105">
        <v>0.84799999999999998</v>
      </c>
      <c r="D93" s="105">
        <v>0.71086843749999995</v>
      </c>
      <c r="E93" s="105">
        <v>3.9607472885683226</v>
      </c>
      <c r="F93" s="105">
        <v>6.9818239999999996</v>
      </c>
      <c r="G93" s="105">
        <v>-21.442112971110834</v>
      </c>
      <c r="H93" s="100">
        <f t="shared" si="57"/>
        <v>-26.008674042241498</v>
      </c>
      <c r="I93" s="86">
        <f t="shared" si="47"/>
        <v>3.5353291327158298</v>
      </c>
      <c r="J93" s="87">
        <f t="shared" si="48"/>
        <v>8.2332830188679242</v>
      </c>
      <c r="K93" s="87">
        <f t="shared" ref="K93" si="60">H$14</f>
        <v>44.65</v>
      </c>
      <c r="L93" s="87">
        <f t="shared" ref="L93" si="61">I$14</f>
        <v>2.83</v>
      </c>
      <c r="M93" s="87">
        <f t="shared" si="49"/>
        <v>0.37863199999999997</v>
      </c>
      <c r="N93" s="88">
        <f t="shared" si="50"/>
        <v>0.36357150297599999</v>
      </c>
      <c r="O93" s="91">
        <f t="shared" si="51"/>
        <v>42.873997992452828</v>
      </c>
      <c r="P93" s="87">
        <f t="shared" si="52"/>
        <v>0.8382882517688679</v>
      </c>
      <c r="Q93" s="87">
        <f t="shared" ref="Q93:Q94" si="62">C93*(L93/100)</f>
        <v>2.39984E-2</v>
      </c>
      <c r="R93" s="88">
        <f t="shared" si="54"/>
        <v>2.3998310056875E-2</v>
      </c>
      <c r="S93" s="89">
        <f t="shared" si="55"/>
        <v>2.8299893934994103</v>
      </c>
      <c r="T93" s="86">
        <f t="shared" si="56"/>
        <v>15.149879392105136</v>
      </c>
    </row>
    <row r="94" spans="1:28" ht="11.25" customHeight="1" x14ac:dyDescent="0.2">
      <c r="A94" s="114">
        <v>79</v>
      </c>
      <c r="B94" s="114" t="s">
        <v>86</v>
      </c>
      <c r="C94" s="108">
        <v>0</v>
      </c>
      <c r="D94" s="108">
        <v>0.178255625</v>
      </c>
      <c r="E94" s="108">
        <v>-6.9884639874034926</v>
      </c>
      <c r="F94" s="85"/>
      <c r="G94" s="85"/>
      <c r="H94" s="101">
        <f t="shared" si="57"/>
        <v>-4.5151000000000003</v>
      </c>
      <c r="I94" s="78">
        <f t="shared" si="47"/>
        <v>-8.1441945353633063</v>
      </c>
      <c r="J94" s="79" t="e">
        <f t="shared" si="48"/>
        <v>#DIV/0!</v>
      </c>
      <c r="K94" s="79"/>
      <c r="L94" s="79">
        <v>0</v>
      </c>
      <c r="M94" s="79">
        <f t="shared" si="49"/>
        <v>0</v>
      </c>
      <c r="N94" s="80">
        <f t="shared" si="50"/>
        <v>0</v>
      </c>
      <c r="O94" s="81" t="e">
        <f t="shared" si="51"/>
        <v>#DIV/0!</v>
      </c>
      <c r="P94" s="79" t="e">
        <f t="shared" si="52"/>
        <v>#DIV/0!</v>
      </c>
      <c r="Q94" s="87">
        <f t="shared" si="62"/>
        <v>0</v>
      </c>
      <c r="R94" s="80">
        <f t="shared" si="54"/>
        <v>-1.5804874999893193E-7</v>
      </c>
      <c r="S94" s="82" t="e">
        <f t="shared" si="55"/>
        <v>#DIV/0!</v>
      </c>
      <c r="T94" s="78">
        <f t="shared" si="56"/>
        <v>0</v>
      </c>
      <c r="V94" s="1"/>
      <c r="W94" s="1"/>
      <c r="X94" s="1"/>
      <c r="Y94" s="1"/>
      <c r="Z94" s="1"/>
      <c r="AA94" s="1"/>
      <c r="AB94" s="1"/>
    </row>
    <row r="95" spans="1:28" s="126" customFormat="1" ht="11.25" customHeight="1" x14ac:dyDescent="0.2">
      <c r="A95" s="117"/>
      <c r="B95" s="117"/>
      <c r="C95" s="105"/>
      <c r="D95" s="105"/>
      <c r="E95" s="105"/>
      <c r="F95" s="105"/>
      <c r="G95" s="105"/>
      <c r="H95" s="100"/>
      <c r="I95" s="86"/>
      <c r="J95" s="87"/>
      <c r="K95" s="87"/>
      <c r="L95" s="87"/>
      <c r="M95" s="87"/>
      <c r="N95" s="88"/>
      <c r="O95" s="91"/>
      <c r="P95" s="87"/>
      <c r="Q95" s="87"/>
      <c r="R95" s="88"/>
      <c r="S95" s="89"/>
      <c r="T95" s="86"/>
      <c r="U95" s="90"/>
      <c r="V95" s="90"/>
      <c r="W95" s="90"/>
      <c r="X95" s="90"/>
      <c r="Y95" s="90"/>
      <c r="Z95" s="90"/>
      <c r="AA95" s="90"/>
      <c r="AB95" s="90"/>
    </row>
    <row r="96" spans="1:28" s="90" customFormat="1" ht="11.25" customHeight="1" x14ac:dyDescent="0.2">
      <c r="A96" s="117"/>
      <c r="B96" s="117"/>
      <c r="C96" s="105"/>
      <c r="D96" s="105"/>
      <c r="E96" s="105"/>
      <c r="F96" s="105"/>
      <c r="G96" s="105"/>
      <c r="H96" s="100"/>
      <c r="I96" s="86"/>
      <c r="J96" s="87"/>
      <c r="K96" s="87"/>
      <c r="L96" s="87"/>
      <c r="M96" s="87"/>
      <c r="N96" s="88"/>
      <c r="O96" s="91"/>
      <c r="P96" s="87"/>
      <c r="Q96" s="87"/>
      <c r="R96" s="88"/>
      <c r="S96" s="89"/>
      <c r="T96" s="86"/>
    </row>
    <row r="97" spans="1:28" ht="11.25" customHeight="1" x14ac:dyDescent="0.2">
      <c r="A97" s="83"/>
      <c r="B97" s="111"/>
      <c r="C97" s="84"/>
      <c r="D97" s="84"/>
      <c r="E97" s="84"/>
      <c r="F97" s="84"/>
      <c r="G97" s="84"/>
      <c r="H97" s="102"/>
      <c r="I97" s="102"/>
      <c r="J97" s="106"/>
      <c r="K97" s="106"/>
      <c r="L97" s="106"/>
      <c r="M97" s="106"/>
      <c r="N97" s="107"/>
      <c r="O97" s="103"/>
      <c r="P97" s="106"/>
      <c r="Q97" s="106"/>
      <c r="R97" s="107"/>
      <c r="S97" s="104"/>
      <c r="T97" s="102"/>
      <c r="V97" s="1"/>
      <c r="W97" s="1"/>
      <c r="X97" s="1"/>
      <c r="Y97" s="1"/>
      <c r="Z97" s="1"/>
      <c r="AA97" s="1"/>
      <c r="AB97" s="1"/>
    </row>
    <row r="98" spans="1:28" ht="11.25" customHeight="1" x14ac:dyDescent="0.2">
      <c r="A98" s="92" t="s">
        <v>71</v>
      </c>
      <c r="B98" s="93" t="s">
        <v>40</v>
      </c>
      <c r="C98" s="92" t="s">
        <v>54</v>
      </c>
      <c r="D98" s="92" t="s">
        <v>72</v>
      </c>
      <c r="E98" s="94" t="s">
        <v>79</v>
      </c>
      <c r="F98" s="92" t="s">
        <v>72</v>
      </c>
      <c r="G98" s="94" t="s">
        <v>73</v>
      </c>
      <c r="J98" s="1"/>
      <c r="K98" s="1"/>
      <c r="L98" s="1"/>
      <c r="V98" s="1"/>
      <c r="W98" s="1"/>
      <c r="X98" s="1"/>
      <c r="Y98" s="1"/>
      <c r="Z98" s="1"/>
      <c r="AA98" s="1"/>
      <c r="AB98" s="1"/>
    </row>
    <row r="99" spans="1:28" ht="11.25" customHeight="1" x14ac:dyDescent="0.2">
      <c r="A99" s="97" t="s">
        <v>74</v>
      </c>
      <c r="B99" s="97" t="s">
        <v>75</v>
      </c>
      <c r="C99" s="98" t="s">
        <v>77</v>
      </c>
      <c r="D99" s="98" t="s">
        <v>76</v>
      </c>
      <c r="E99" s="98" t="s">
        <v>78</v>
      </c>
      <c r="F99" s="98" t="s">
        <v>76</v>
      </c>
      <c r="G99" s="98" t="s">
        <v>78</v>
      </c>
      <c r="J99" s="1"/>
      <c r="K99" s="1"/>
      <c r="L99" s="1"/>
      <c r="V99" s="1"/>
      <c r="W99" s="1"/>
      <c r="X99" s="1"/>
      <c r="Y99" s="1"/>
      <c r="Z99" s="1"/>
      <c r="AA99" s="1"/>
      <c r="AB99" s="1"/>
    </row>
    <row r="100" spans="1:28" ht="11.25" customHeight="1" x14ac:dyDescent="0.2">
      <c r="A100" s="95">
        <v>33</v>
      </c>
      <c r="B100" s="95" t="s">
        <v>85</v>
      </c>
      <c r="C100" s="96">
        <v>1.5680000000000001</v>
      </c>
      <c r="D100" s="96">
        <v>0.57160343749999998</v>
      </c>
      <c r="E100" s="96">
        <v>2.8799411243840556</v>
      </c>
      <c r="F100" s="96">
        <v>1.5817239999999999</v>
      </c>
      <c r="G100" s="96">
        <v>-21.848580214636076</v>
      </c>
      <c r="J100" s="1"/>
      <c r="K100" s="1"/>
      <c r="L100" s="1"/>
      <c r="V100" s="1"/>
      <c r="W100" s="1"/>
      <c r="X100" s="1"/>
      <c r="Y100" s="1"/>
      <c r="Z100" s="1"/>
      <c r="AA100" s="1"/>
      <c r="AB100" s="1"/>
    </row>
    <row r="101" spans="1:28" ht="11.25" customHeight="1" x14ac:dyDescent="0.2">
      <c r="A101" s="92" t="s">
        <v>71</v>
      </c>
      <c r="B101" s="93" t="s">
        <v>40</v>
      </c>
      <c r="C101" s="92" t="s">
        <v>147</v>
      </c>
      <c r="D101" s="137" t="s">
        <v>148</v>
      </c>
      <c r="E101" s="92" t="s">
        <v>72</v>
      </c>
      <c r="F101" s="93" t="s">
        <v>149</v>
      </c>
      <c r="G101" s="92" t="s">
        <v>54</v>
      </c>
      <c r="H101" s="94" t="s">
        <v>150</v>
      </c>
      <c r="I101" s="94" t="s">
        <v>73</v>
      </c>
      <c r="J101" s="92" t="s">
        <v>189</v>
      </c>
      <c r="K101" s="92" t="s">
        <v>190</v>
      </c>
      <c r="L101" s="92" t="s">
        <v>191</v>
      </c>
      <c r="M101" s="92" t="s">
        <v>192</v>
      </c>
      <c r="V101" s="1"/>
      <c r="W101" s="1"/>
      <c r="X101" s="1"/>
      <c r="Y101" s="1"/>
      <c r="Z101" s="1"/>
      <c r="AA101" s="1"/>
      <c r="AB101" s="1"/>
    </row>
    <row r="102" spans="1:28" ht="11.25" customHeight="1" x14ac:dyDescent="0.2">
      <c r="A102" s="97" t="s">
        <v>74</v>
      </c>
      <c r="B102" s="97" t="s">
        <v>75</v>
      </c>
      <c r="C102" s="138" t="s">
        <v>151</v>
      </c>
      <c r="D102" s="139" t="s">
        <v>152</v>
      </c>
      <c r="E102" s="98" t="s">
        <v>76</v>
      </c>
      <c r="F102" s="138" t="s">
        <v>153</v>
      </c>
      <c r="G102" s="98" t="s">
        <v>77</v>
      </c>
      <c r="H102" s="140" t="s">
        <v>154</v>
      </c>
      <c r="I102" s="98" t="s">
        <v>78</v>
      </c>
      <c r="J102" s="98" t="s">
        <v>155</v>
      </c>
      <c r="K102" s="98" t="s">
        <v>156</v>
      </c>
      <c r="L102" s="141" t="s">
        <v>157</v>
      </c>
      <c r="M102" s="142" t="s">
        <v>158</v>
      </c>
      <c r="V102" s="1"/>
      <c r="W102" s="1"/>
      <c r="X102" s="1"/>
      <c r="Y102" s="1"/>
      <c r="Z102" s="1"/>
      <c r="AA102" s="1"/>
      <c r="AB102" s="1"/>
    </row>
    <row r="103" spans="1:28" ht="11.25" customHeight="1" x14ac:dyDescent="0.2">
      <c r="A103" s="83">
        <v>30</v>
      </c>
      <c r="B103" s="83" t="s">
        <v>55</v>
      </c>
      <c r="C103" s="143">
        <v>45184.360567129632</v>
      </c>
      <c r="D103" s="144">
        <v>290.3</v>
      </c>
      <c r="E103" s="84">
        <v>6.8341704999999999</v>
      </c>
      <c r="F103" s="143" t="s">
        <v>159</v>
      </c>
      <c r="G103" s="84">
        <v>0.79100000000000004</v>
      </c>
      <c r="H103" s="145" t="s">
        <v>159</v>
      </c>
      <c r="I103" s="84">
        <v>-21.898756291716722</v>
      </c>
      <c r="J103" s="84">
        <v>-2.6296265783453205</v>
      </c>
      <c r="K103" s="84">
        <v>28.149223145446943</v>
      </c>
      <c r="L103" s="146">
        <v>0</v>
      </c>
      <c r="M103" s="147">
        <v>0</v>
      </c>
      <c r="V103" s="1"/>
      <c r="W103" s="1"/>
      <c r="X103" s="1"/>
      <c r="Y103" s="1"/>
      <c r="Z103" s="1"/>
      <c r="AA103" s="1"/>
      <c r="AB103" s="1"/>
    </row>
    <row r="104" spans="1:28" ht="11.25" customHeight="1" x14ac:dyDescent="0.2">
      <c r="A104" s="95">
        <v>31</v>
      </c>
      <c r="B104" s="95" t="s">
        <v>56</v>
      </c>
      <c r="C104" s="148">
        <v>45184.37060185185</v>
      </c>
      <c r="D104" s="149">
        <v>285.7</v>
      </c>
      <c r="E104" s="96">
        <v>8.3068305000000002</v>
      </c>
      <c r="F104" s="148" t="s">
        <v>159</v>
      </c>
      <c r="G104" s="96">
        <v>0.97</v>
      </c>
      <c r="H104" s="150" t="s">
        <v>159</v>
      </c>
      <c r="I104" s="96">
        <v>-21.855204477554533</v>
      </c>
      <c r="J104" s="96">
        <v>1.1341172338196397</v>
      </c>
      <c r="K104" s="96">
        <v>32.029116091655311</v>
      </c>
      <c r="L104" s="151">
        <v>0</v>
      </c>
      <c r="M104" s="152">
        <v>0</v>
      </c>
      <c r="V104" s="1"/>
      <c r="W104" s="1"/>
      <c r="X104" s="1"/>
      <c r="Y104" s="1"/>
      <c r="Z104" s="1"/>
      <c r="AA104" s="1"/>
      <c r="AB104" s="1"/>
    </row>
    <row r="105" spans="1:28" ht="11.25" customHeight="1" x14ac:dyDescent="0.2">
      <c r="A105" s="83">
        <v>32</v>
      </c>
      <c r="B105" s="83" t="s">
        <v>57</v>
      </c>
      <c r="C105" s="143">
        <v>45184.380567129629</v>
      </c>
      <c r="D105" s="144">
        <v>286.7</v>
      </c>
      <c r="E105" s="84">
        <v>8.0886045000000006</v>
      </c>
      <c r="F105" s="143" t="s">
        <v>159</v>
      </c>
      <c r="G105" s="84">
        <v>0.93700000000000006</v>
      </c>
      <c r="H105" s="145" t="s">
        <v>159</v>
      </c>
      <c r="I105" s="84">
        <v>-21.920885044034268</v>
      </c>
      <c r="J105" s="84">
        <v>3.0768436013168223</v>
      </c>
      <c r="K105" s="84">
        <v>34.031794994853456</v>
      </c>
      <c r="L105" s="146">
        <v>0</v>
      </c>
      <c r="M105" s="147">
        <v>0</v>
      </c>
      <c r="V105" s="1"/>
      <c r="W105" s="1"/>
      <c r="X105" s="1"/>
      <c r="Y105" s="1"/>
      <c r="Z105" s="1"/>
      <c r="AA105" s="1"/>
      <c r="AB105" s="1"/>
    </row>
    <row r="106" spans="1:28" ht="11.25" customHeight="1" x14ac:dyDescent="0.2">
      <c r="A106" s="95">
        <v>33</v>
      </c>
      <c r="B106" s="95" t="s">
        <v>58</v>
      </c>
      <c r="C106" s="148">
        <v>45184.390590277777</v>
      </c>
      <c r="D106" s="149">
        <v>283.39999999999998</v>
      </c>
      <c r="E106" s="96">
        <v>8.1806274999999999</v>
      </c>
      <c r="F106" s="148" t="s">
        <v>159</v>
      </c>
      <c r="G106" s="96">
        <v>0.94599999999999995</v>
      </c>
      <c r="H106" s="150" t="s">
        <v>159</v>
      </c>
      <c r="I106" s="96">
        <v>-21.91351257141125</v>
      </c>
      <c r="J106" s="96">
        <v>3.9820038505090154</v>
      </c>
      <c r="K106" s="96">
        <v>34.964888489335721</v>
      </c>
      <c r="L106" s="151">
        <v>0</v>
      </c>
      <c r="M106" s="152">
        <v>0</v>
      </c>
      <c r="V106" s="1"/>
      <c r="W106" s="1"/>
      <c r="X106" s="1"/>
      <c r="Y106" s="1"/>
      <c r="Z106" s="1"/>
      <c r="AA106" s="1"/>
      <c r="AB106" s="1"/>
    </row>
    <row r="107" spans="1:28" ht="11.25" customHeight="1" x14ac:dyDescent="0.2">
      <c r="A107" s="83">
        <v>34</v>
      </c>
      <c r="B107" s="83" t="s">
        <v>60</v>
      </c>
      <c r="C107" s="143">
        <v>45184.400555555556</v>
      </c>
      <c r="D107" s="144">
        <v>282.7</v>
      </c>
      <c r="E107" s="84">
        <v>8.4414040000000004</v>
      </c>
      <c r="F107" s="143" t="s">
        <v>159</v>
      </c>
      <c r="G107" s="84">
        <v>1.075</v>
      </c>
      <c r="H107" s="145" t="s">
        <v>159</v>
      </c>
      <c r="I107" s="84">
        <v>-20.554037564466597</v>
      </c>
      <c r="J107" s="84">
        <v>4.4239445793024146</v>
      </c>
      <c r="K107" s="84">
        <v>35.420467509019687</v>
      </c>
      <c r="L107" s="146">
        <v>0</v>
      </c>
      <c r="M107" s="147">
        <v>0</v>
      </c>
      <c r="V107" s="1"/>
      <c r="W107" s="1"/>
      <c r="X107" s="1"/>
      <c r="Y107" s="1"/>
      <c r="Z107" s="1"/>
      <c r="AA107" s="1"/>
      <c r="AB107" s="1"/>
    </row>
    <row r="108" spans="1:28" ht="11.25" customHeight="1" x14ac:dyDescent="0.2">
      <c r="A108" s="95">
        <v>35</v>
      </c>
      <c r="B108" s="95" t="s">
        <v>66</v>
      </c>
      <c r="C108" s="148">
        <v>45184.410509259258</v>
      </c>
      <c r="D108" s="149">
        <v>280.89999999999998</v>
      </c>
      <c r="E108" s="96">
        <v>7.9196255000000004</v>
      </c>
      <c r="F108" s="148" t="s">
        <v>159</v>
      </c>
      <c r="G108" s="96">
        <v>1.0009999999999999</v>
      </c>
      <c r="H108" s="150" t="s">
        <v>159</v>
      </c>
      <c r="I108" s="96">
        <v>-6.4964065467079806</v>
      </c>
      <c r="J108" s="96">
        <v>5.170112692582161</v>
      </c>
      <c r="K108" s="96">
        <v>36.189662370275244</v>
      </c>
      <c r="L108" s="151">
        <v>0</v>
      </c>
      <c r="M108" s="152">
        <v>0</v>
      </c>
      <c r="V108" s="1"/>
      <c r="W108" s="1"/>
      <c r="X108" s="1"/>
      <c r="Y108" s="1"/>
      <c r="Z108" s="1"/>
      <c r="AA108" s="1"/>
      <c r="AB108" s="1"/>
    </row>
    <row r="109" spans="1:28" ht="11.25" customHeight="1" x14ac:dyDescent="0.2">
      <c r="A109" s="83">
        <v>36</v>
      </c>
      <c r="B109" s="83" t="s">
        <v>65</v>
      </c>
      <c r="C109" s="143">
        <v>45184.420474537037</v>
      </c>
      <c r="D109" s="144">
        <v>293.60000000000002</v>
      </c>
      <c r="E109" s="84">
        <v>4.5337505</v>
      </c>
      <c r="F109" s="143" t="s">
        <v>159</v>
      </c>
      <c r="G109" s="84">
        <v>1.248</v>
      </c>
      <c r="H109" s="145" t="s">
        <v>159</v>
      </c>
      <c r="I109" s="84">
        <v>-14.114713228546133</v>
      </c>
      <c r="J109" s="84">
        <v>6.2425371976134736</v>
      </c>
      <c r="K109" s="84">
        <v>37.295181895531826</v>
      </c>
      <c r="L109" s="146">
        <v>0</v>
      </c>
      <c r="M109" s="147">
        <v>0</v>
      </c>
      <c r="V109" s="1"/>
      <c r="W109" s="1"/>
      <c r="X109" s="1"/>
      <c r="Y109" s="1"/>
      <c r="Z109" s="1"/>
      <c r="AA109" s="1"/>
      <c r="AB109" s="1"/>
    </row>
    <row r="110" spans="1:28" ht="11.25" customHeight="1" x14ac:dyDescent="0.2">
      <c r="A110" s="95">
        <v>37</v>
      </c>
      <c r="B110" s="95" t="s">
        <v>67</v>
      </c>
      <c r="C110" s="148">
        <v>45184.430439814816</v>
      </c>
      <c r="D110" s="149">
        <v>313.5</v>
      </c>
      <c r="E110" s="96">
        <v>1.2392037109375E-2</v>
      </c>
      <c r="F110" s="148" t="s">
        <v>159</v>
      </c>
      <c r="G110" s="96">
        <v>0.52100000000000002</v>
      </c>
      <c r="H110" s="150" t="s">
        <v>159</v>
      </c>
      <c r="I110" s="96">
        <v>-18.732347033607478</v>
      </c>
      <c r="J110" s="96">
        <v>1.8193435409715362</v>
      </c>
      <c r="K110" s="96">
        <v>32.73548848264592</v>
      </c>
      <c r="L110" s="151">
        <v>0</v>
      </c>
      <c r="M110" s="152">
        <v>0</v>
      </c>
      <c r="V110" s="1"/>
      <c r="W110" s="1"/>
      <c r="X110" s="1"/>
      <c r="Y110" s="1"/>
      <c r="Z110" s="1"/>
      <c r="AA110" s="1"/>
      <c r="AB110" s="1"/>
    </row>
    <row r="111" spans="1:28" ht="11.25" customHeight="1" x14ac:dyDescent="0.2">
      <c r="A111" s="83">
        <v>38</v>
      </c>
      <c r="B111" s="83" t="s">
        <v>68</v>
      </c>
      <c r="C111" s="143">
        <v>45184.440405092595</v>
      </c>
      <c r="D111" s="144">
        <v>311.3</v>
      </c>
      <c r="E111" s="84">
        <v>9.4914365234375006E-3</v>
      </c>
      <c r="F111" s="143" t="s">
        <v>159</v>
      </c>
      <c r="G111" s="84">
        <v>0.311</v>
      </c>
      <c r="H111" s="145" t="s">
        <v>159</v>
      </c>
      <c r="I111" s="84">
        <v>-17.70938604306486</v>
      </c>
      <c r="J111" s="84">
        <v>4.2852694522183308</v>
      </c>
      <c r="K111" s="84">
        <v>35.277512867513792</v>
      </c>
      <c r="L111" s="146">
        <v>0</v>
      </c>
      <c r="M111" s="147">
        <v>0</v>
      </c>
      <c r="V111" s="1"/>
      <c r="W111" s="1"/>
      <c r="X111" s="1"/>
      <c r="Y111" s="1"/>
      <c r="Z111" s="1"/>
      <c r="AA111" s="1"/>
      <c r="AB111" s="1"/>
    </row>
    <row r="112" spans="1:28" ht="11.25" customHeight="1" x14ac:dyDescent="0.2">
      <c r="A112" s="95">
        <v>39</v>
      </c>
      <c r="B112" s="95" t="s">
        <v>59</v>
      </c>
      <c r="C112" s="148">
        <v>45184.450370370374</v>
      </c>
      <c r="D112" s="149">
        <v>275.7</v>
      </c>
      <c r="E112" s="96">
        <v>10.171633</v>
      </c>
      <c r="F112" s="148" t="s">
        <v>159</v>
      </c>
      <c r="G112" s="96">
        <v>1.1779999999999999</v>
      </c>
      <c r="H112" s="150" t="s">
        <v>159</v>
      </c>
      <c r="I112" s="96">
        <v>-22.009076944751211</v>
      </c>
      <c r="J112" s="96">
        <v>4.9179432932981006</v>
      </c>
      <c r="K112" s="96">
        <v>35.929711023329283</v>
      </c>
      <c r="L112" s="151">
        <v>0</v>
      </c>
      <c r="M112" s="152">
        <v>0</v>
      </c>
      <c r="V112" s="1"/>
      <c r="W112" s="1"/>
      <c r="X112" s="1"/>
      <c r="Y112" s="1"/>
      <c r="Z112" s="1"/>
      <c r="AA112" s="1"/>
      <c r="AB112" s="1"/>
    </row>
    <row r="113" spans="1:28" ht="11.25" customHeight="1" x14ac:dyDescent="0.2">
      <c r="A113" s="83">
        <v>40</v>
      </c>
      <c r="B113" s="83" t="s">
        <v>87</v>
      </c>
      <c r="C113" s="143">
        <v>45184.460335648146</v>
      </c>
      <c r="D113" s="144">
        <v>304.5</v>
      </c>
      <c r="E113" s="84">
        <v>1.0070915625000001</v>
      </c>
      <c r="F113" s="143" t="s">
        <v>159</v>
      </c>
      <c r="G113" s="84">
        <v>1.5529999999999999</v>
      </c>
      <c r="H113" s="145" t="s">
        <v>159</v>
      </c>
      <c r="I113" s="84">
        <v>-15.955225591626984</v>
      </c>
      <c r="J113" s="84">
        <v>9.1462585325915544</v>
      </c>
      <c r="K113" s="84">
        <v>40.288512070907331</v>
      </c>
      <c r="L113" s="146">
        <v>0</v>
      </c>
      <c r="M113" s="147">
        <v>0</v>
      </c>
      <c r="V113" s="1"/>
      <c r="W113" s="1"/>
      <c r="X113" s="1"/>
      <c r="Y113" s="1"/>
      <c r="Z113" s="1"/>
      <c r="AA113" s="1"/>
      <c r="AB113" s="1"/>
    </row>
    <row r="114" spans="1:28" ht="11.25" customHeight="1" x14ac:dyDescent="0.2">
      <c r="A114" s="95">
        <v>41</v>
      </c>
      <c r="B114" s="95" t="s">
        <v>160</v>
      </c>
      <c r="C114" s="148">
        <v>45184.470300925925</v>
      </c>
      <c r="D114" s="149">
        <v>309.60000000000002</v>
      </c>
      <c r="E114" s="96">
        <v>0.53689018749999995</v>
      </c>
      <c r="F114" s="148" t="s">
        <v>159</v>
      </c>
      <c r="G114" s="96">
        <v>1.8939999999999999</v>
      </c>
      <c r="H114" s="150" t="s">
        <v>159</v>
      </c>
      <c r="I114" s="96">
        <v>-21.638013314740963</v>
      </c>
      <c r="J114" s="96">
        <v>9.2982278746274769</v>
      </c>
      <c r="K114" s="96">
        <v>40.445171186838479</v>
      </c>
      <c r="L114" s="151">
        <v>0</v>
      </c>
      <c r="M114" s="152">
        <v>0</v>
      </c>
      <c r="V114" s="1"/>
      <c r="W114" s="1"/>
      <c r="X114" s="1"/>
      <c r="Y114" s="1"/>
      <c r="Z114" s="1"/>
      <c r="AA114" s="1"/>
      <c r="AB114" s="1"/>
    </row>
    <row r="115" spans="1:28" ht="11.25" customHeight="1" x14ac:dyDescent="0.2">
      <c r="A115" s="83">
        <v>42</v>
      </c>
      <c r="B115" s="83" t="s">
        <v>161</v>
      </c>
      <c r="C115" s="143">
        <v>45184.48027777778</v>
      </c>
      <c r="D115" s="144">
        <v>308.5</v>
      </c>
      <c r="E115" s="84">
        <v>1.352713625</v>
      </c>
      <c r="F115" s="143" t="s">
        <v>159</v>
      </c>
      <c r="G115" s="84">
        <v>2.294</v>
      </c>
      <c r="H115" s="145" t="s">
        <v>159</v>
      </c>
      <c r="I115" s="84">
        <v>-21.086905832925495</v>
      </c>
      <c r="J115" s="84">
        <v>7.8965309736564766</v>
      </c>
      <c r="K115" s="84">
        <v>39.000217919503513</v>
      </c>
      <c r="L115" s="146">
        <v>0</v>
      </c>
      <c r="M115" s="147">
        <v>0</v>
      </c>
      <c r="V115" s="1"/>
      <c r="W115" s="1"/>
      <c r="X115" s="1"/>
      <c r="Y115" s="1"/>
      <c r="Z115" s="1"/>
      <c r="AA115" s="1"/>
      <c r="AB115" s="1"/>
    </row>
    <row r="116" spans="1:28" ht="11.25" customHeight="1" x14ac:dyDescent="0.2">
      <c r="A116" s="95">
        <v>43</v>
      </c>
      <c r="B116" s="95" t="s">
        <v>162</v>
      </c>
      <c r="C116" s="148">
        <v>45184.490254629629</v>
      </c>
      <c r="D116" s="149">
        <v>307.7</v>
      </c>
      <c r="E116" s="96">
        <v>1.527724375</v>
      </c>
      <c r="F116" s="148" t="s">
        <v>159</v>
      </c>
      <c r="G116" s="96">
        <v>2.2850000000000001</v>
      </c>
      <c r="H116" s="150" t="s">
        <v>159</v>
      </c>
      <c r="I116" s="96">
        <v>-21.567204446304235</v>
      </c>
      <c r="J116" s="96">
        <v>8.4266298705707925</v>
      </c>
      <c r="K116" s="96">
        <v>39.546675668376608</v>
      </c>
      <c r="L116" s="151">
        <v>0</v>
      </c>
      <c r="M116" s="152">
        <v>0</v>
      </c>
      <c r="V116" s="1"/>
      <c r="W116" s="1"/>
      <c r="X116" s="1"/>
      <c r="Y116" s="1"/>
      <c r="Z116" s="1"/>
      <c r="AA116" s="1"/>
      <c r="AB116" s="1"/>
    </row>
    <row r="117" spans="1:28" ht="11.25" customHeight="1" x14ac:dyDescent="0.2">
      <c r="A117" s="83">
        <v>44</v>
      </c>
      <c r="B117" s="83" t="s">
        <v>163</v>
      </c>
      <c r="C117" s="143">
        <v>45184.500219907408</v>
      </c>
      <c r="D117" s="144">
        <v>308.39999999999998</v>
      </c>
      <c r="E117" s="84">
        <v>1.6669447500000001</v>
      </c>
      <c r="F117" s="143" t="s">
        <v>159</v>
      </c>
      <c r="G117" s="84">
        <v>2.0830000000000002</v>
      </c>
      <c r="H117" s="145" t="s">
        <v>159</v>
      </c>
      <c r="I117" s="84">
        <v>-21.11661144447616</v>
      </c>
      <c r="J117" s="84">
        <v>9.058655365501858</v>
      </c>
      <c r="K117" s="84">
        <v>40.198205470081248</v>
      </c>
      <c r="L117" s="146">
        <v>0</v>
      </c>
      <c r="M117" s="147">
        <v>0</v>
      </c>
      <c r="V117" s="1"/>
      <c r="W117" s="1"/>
      <c r="X117" s="1"/>
      <c r="Y117" s="1"/>
      <c r="Z117" s="1"/>
      <c r="AA117" s="1"/>
      <c r="AB117" s="1"/>
    </row>
    <row r="118" spans="1:28" ht="11.25" customHeight="1" x14ac:dyDescent="0.2">
      <c r="A118" s="95">
        <v>45</v>
      </c>
      <c r="B118" s="95" t="s">
        <v>164</v>
      </c>
      <c r="C118" s="148">
        <v>45184.51021990741</v>
      </c>
      <c r="D118" s="149">
        <v>311.89999999999998</v>
      </c>
      <c r="E118" s="96">
        <v>0.53182106250000005</v>
      </c>
      <c r="F118" s="148" t="s">
        <v>159</v>
      </c>
      <c r="G118" s="96">
        <v>1.94</v>
      </c>
      <c r="H118" s="150" t="s">
        <v>159</v>
      </c>
      <c r="I118" s="96">
        <v>-21.329993122524034</v>
      </c>
      <c r="J118" s="96">
        <v>10.838883504503073</v>
      </c>
      <c r="K118" s="96">
        <v>42.033371449452041</v>
      </c>
      <c r="L118" s="151">
        <v>0</v>
      </c>
      <c r="M118" s="152">
        <v>0</v>
      </c>
      <c r="V118" s="1"/>
      <c r="W118" s="1"/>
      <c r="X118" s="1"/>
      <c r="Y118" s="1"/>
      <c r="Z118" s="1"/>
      <c r="AA118" s="1"/>
      <c r="AB118" s="1"/>
    </row>
    <row r="119" spans="1:28" ht="11.25" customHeight="1" x14ac:dyDescent="0.2">
      <c r="A119" s="83">
        <v>46</v>
      </c>
      <c r="B119" s="83" t="s">
        <v>165</v>
      </c>
      <c r="C119" s="143">
        <v>45184.528726851851</v>
      </c>
      <c r="D119" s="144">
        <v>310.89999999999998</v>
      </c>
      <c r="E119" s="84">
        <v>0.62002175000000004</v>
      </c>
      <c r="F119" s="143" t="s">
        <v>159</v>
      </c>
      <c r="G119" s="84">
        <v>1.1319999999999999</v>
      </c>
      <c r="H119" s="145" t="s">
        <v>159</v>
      </c>
      <c r="I119" s="84">
        <v>-21.419277830422971</v>
      </c>
      <c r="J119" s="84">
        <v>10.614098982015825</v>
      </c>
      <c r="K119" s="84">
        <v>41.801650076600836</v>
      </c>
      <c r="L119" s="146">
        <v>0</v>
      </c>
      <c r="M119" s="147">
        <v>0</v>
      </c>
      <c r="V119" s="1"/>
      <c r="W119" s="1"/>
      <c r="X119" s="1"/>
      <c r="Y119" s="1"/>
      <c r="Z119" s="1"/>
      <c r="AA119" s="1"/>
      <c r="AB119" s="1"/>
    </row>
    <row r="120" spans="1:28" ht="11.25" customHeight="1" x14ac:dyDescent="0.2">
      <c r="A120" s="95">
        <v>47</v>
      </c>
      <c r="B120" s="95" t="s">
        <v>166</v>
      </c>
      <c r="C120" s="148">
        <v>45184.539375</v>
      </c>
      <c r="D120" s="149">
        <v>311.10000000000002</v>
      </c>
      <c r="E120" s="96">
        <v>0.5286070625</v>
      </c>
      <c r="F120" s="148" t="s">
        <v>159</v>
      </c>
      <c r="G120" s="96">
        <v>1.8280000000000001</v>
      </c>
      <c r="H120" s="150" t="s">
        <v>159</v>
      </c>
      <c r="I120" s="96">
        <v>-21.138414564296991</v>
      </c>
      <c r="J120" s="96">
        <v>10.31818387132234</v>
      </c>
      <c r="K120" s="96">
        <v>41.496603025591348</v>
      </c>
      <c r="L120" s="151">
        <v>0</v>
      </c>
      <c r="M120" s="152">
        <v>0</v>
      </c>
      <c r="V120" s="1"/>
      <c r="W120" s="1"/>
      <c r="X120" s="1"/>
      <c r="Y120" s="1"/>
      <c r="Z120" s="1"/>
      <c r="AA120" s="1"/>
      <c r="AB120" s="1"/>
    </row>
    <row r="121" spans="1:28" ht="11.25" customHeight="1" x14ac:dyDescent="0.2">
      <c r="A121" s="83">
        <v>48</v>
      </c>
      <c r="B121" s="83" t="s">
        <v>167</v>
      </c>
      <c r="C121" s="143">
        <v>45184.549351851849</v>
      </c>
      <c r="D121" s="144">
        <v>312.39999999999998</v>
      </c>
      <c r="E121" s="84">
        <v>0.6073809375</v>
      </c>
      <c r="F121" s="143" t="s">
        <v>159</v>
      </c>
      <c r="G121" s="84">
        <v>2.1509999999999998</v>
      </c>
      <c r="H121" s="145" t="s">
        <v>159</v>
      </c>
      <c r="I121" s="84">
        <v>-21.594368167983966</v>
      </c>
      <c r="J121" s="84">
        <v>9.5143977504118471</v>
      </c>
      <c r="K121" s="84">
        <v>40.668012064989554</v>
      </c>
      <c r="L121" s="146">
        <v>0</v>
      </c>
      <c r="M121" s="147">
        <v>0</v>
      </c>
      <c r="V121" s="1"/>
      <c r="W121" s="1"/>
      <c r="X121" s="1"/>
      <c r="Y121" s="1"/>
      <c r="Z121" s="1"/>
      <c r="AA121" s="1"/>
      <c r="AB121" s="1"/>
    </row>
    <row r="122" spans="1:28" ht="11.25" customHeight="1" x14ac:dyDescent="0.2">
      <c r="A122" s="95">
        <v>49</v>
      </c>
      <c r="B122" s="95" t="s">
        <v>168</v>
      </c>
      <c r="C122" s="148">
        <v>45184.559502314813</v>
      </c>
      <c r="D122" s="149">
        <v>312.39999999999998</v>
      </c>
      <c r="E122" s="96">
        <v>1.538144875</v>
      </c>
      <c r="F122" s="148" t="s">
        <v>159</v>
      </c>
      <c r="G122" s="96">
        <v>2.0960000000000001</v>
      </c>
      <c r="H122" s="150" t="s">
        <v>159</v>
      </c>
      <c r="I122" s="96">
        <v>-21.20784138950853</v>
      </c>
      <c r="J122" s="96">
        <v>8.9953658583881175</v>
      </c>
      <c r="K122" s="96">
        <v>40.132962848777979</v>
      </c>
      <c r="L122" s="151">
        <v>0</v>
      </c>
      <c r="M122" s="152">
        <v>0</v>
      </c>
      <c r="V122" s="1"/>
      <c r="W122" s="1"/>
      <c r="X122" s="1"/>
      <c r="Y122" s="1"/>
      <c r="Z122" s="1"/>
      <c r="AA122" s="1"/>
      <c r="AB122" s="1"/>
    </row>
    <row r="123" spans="1:28" ht="11.25" customHeight="1" x14ac:dyDescent="0.2">
      <c r="A123" s="83">
        <v>50</v>
      </c>
      <c r="B123" s="83" t="s">
        <v>169</v>
      </c>
      <c r="C123" s="143">
        <v>45184.569606481484</v>
      </c>
      <c r="D123" s="144">
        <v>312.60000000000002</v>
      </c>
      <c r="E123" s="84">
        <v>1.066813</v>
      </c>
      <c r="F123" s="143" t="s">
        <v>159</v>
      </c>
      <c r="G123" s="84">
        <v>2.1139999999999999</v>
      </c>
      <c r="H123" s="145" t="s">
        <v>159</v>
      </c>
      <c r="I123" s="84">
        <v>-21.100272061603153</v>
      </c>
      <c r="J123" s="84">
        <v>10.439520525874856</v>
      </c>
      <c r="K123" s="84">
        <v>41.621684129303354</v>
      </c>
      <c r="L123" s="146">
        <v>0</v>
      </c>
      <c r="M123" s="147">
        <v>0</v>
      </c>
      <c r="V123" s="1"/>
      <c r="W123" s="1"/>
      <c r="X123" s="1"/>
      <c r="Y123" s="1"/>
      <c r="Z123" s="1"/>
      <c r="AA123" s="1"/>
      <c r="AB123" s="1"/>
    </row>
    <row r="124" spans="1:28" ht="11.25" customHeight="1" x14ac:dyDescent="0.2">
      <c r="A124" s="95">
        <v>51</v>
      </c>
      <c r="B124" s="95" t="s">
        <v>82</v>
      </c>
      <c r="C124" s="148">
        <v>45184.579594907409</v>
      </c>
      <c r="D124" s="149">
        <v>330.2</v>
      </c>
      <c r="E124" s="96">
        <v>5.4233920898437496E-3</v>
      </c>
      <c r="F124" s="148" t="s">
        <v>159</v>
      </c>
      <c r="G124" s="96">
        <v>0.98699999999999999</v>
      </c>
      <c r="H124" s="150" t="s">
        <v>159</v>
      </c>
      <c r="I124" s="96">
        <v>-21.315701033814172</v>
      </c>
      <c r="J124" s="96">
        <v>-1.5694167610062153</v>
      </c>
      <c r="K124" s="96">
        <v>29.242151037749132</v>
      </c>
      <c r="L124" s="151">
        <v>0</v>
      </c>
      <c r="M124" s="152">
        <v>0</v>
      </c>
      <c r="V124" s="1"/>
      <c r="W124" s="1"/>
      <c r="X124" s="1"/>
      <c r="Y124" s="1"/>
      <c r="Z124" s="1"/>
      <c r="AA124" s="1"/>
      <c r="AB124" s="1"/>
    </row>
    <row r="125" spans="1:28" ht="11.25" customHeight="1" x14ac:dyDescent="0.2">
      <c r="A125" s="83">
        <v>52</v>
      </c>
      <c r="B125" s="83" t="s">
        <v>98</v>
      </c>
      <c r="C125" s="143">
        <v>45184.589583333334</v>
      </c>
      <c r="D125" s="144">
        <v>281.3</v>
      </c>
      <c r="E125" s="84">
        <v>9.4779990000000005</v>
      </c>
      <c r="F125" s="143" t="s">
        <v>159</v>
      </c>
      <c r="G125" s="84">
        <v>1.7090000000000001</v>
      </c>
      <c r="H125" s="145" t="s">
        <v>159</v>
      </c>
      <c r="I125" s="84">
        <v>-20.979722755922236</v>
      </c>
      <c r="J125" s="84">
        <v>5.9485703623594253</v>
      </c>
      <c r="K125" s="84">
        <v>36.992143243741836</v>
      </c>
      <c r="L125" s="146">
        <v>0</v>
      </c>
      <c r="M125" s="147">
        <v>0</v>
      </c>
      <c r="V125" s="1"/>
      <c r="W125" s="1"/>
      <c r="X125" s="1"/>
      <c r="Y125" s="1"/>
      <c r="Z125" s="1"/>
      <c r="AA125" s="1"/>
      <c r="AB125" s="1"/>
    </row>
    <row r="126" spans="1:28" ht="11.25" customHeight="1" x14ac:dyDescent="0.2">
      <c r="A126" s="95">
        <v>53</v>
      </c>
      <c r="B126" s="95" t="s">
        <v>170</v>
      </c>
      <c r="C126" s="148">
        <v>45184.599560185183</v>
      </c>
      <c r="D126" s="149">
        <v>312.89999999999998</v>
      </c>
      <c r="E126" s="96">
        <v>1.117493125</v>
      </c>
      <c r="F126" s="148" t="s">
        <v>159</v>
      </c>
      <c r="G126" s="96">
        <v>2.0219999999999998</v>
      </c>
      <c r="H126" s="150" t="s">
        <v>159</v>
      </c>
      <c r="I126" s="96">
        <v>-20.97274568140347</v>
      </c>
      <c r="J126" s="96">
        <v>11.558788971768347</v>
      </c>
      <c r="K126" s="96">
        <v>42.775493199437122</v>
      </c>
      <c r="L126" s="151">
        <v>0</v>
      </c>
      <c r="M126" s="152">
        <v>0</v>
      </c>
      <c r="V126" s="1"/>
      <c r="W126" s="1"/>
      <c r="X126" s="1"/>
      <c r="Y126" s="1"/>
      <c r="Z126" s="1"/>
      <c r="AA126" s="1"/>
      <c r="AB126" s="1"/>
    </row>
    <row r="127" spans="1:28" ht="11.25" customHeight="1" x14ac:dyDescent="0.2">
      <c r="A127" s="83">
        <v>54</v>
      </c>
      <c r="B127" s="83" t="s">
        <v>171</v>
      </c>
      <c r="C127" s="143">
        <v>45184.609537037039</v>
      </c>
      <c r="D127" s="144">
        <v>315.2</v>
      </c>
      <c r="E127" s="84">
        <v>0.55511487500000001</v>
      </c>
      <c r="F127" s="143" t="s">
        <v>159</v>
      </c>
      <c r="G127" s="84">
        <v>1.9930000000000001</v>
      </c>
      <c r="H127" s="145" t="s">
        <v>159</v>
      </c>
      <c r="I127" s="84">
        <v>-20.926758338686238</v>
      </c>
      <c r="J127" s="84">
        <v>11.264550345323341</v>
      </c>
      <c r="K127" s="84">
        <v>42.472174368980021</v>
      </c>
      <c r="L127" s="146">
        <v>0</v>
      </c>
      <c r="M127" s="147">
        <v>0</v>
      </c>
      <c r="V127" s="1"/>
      <c r="W127" s="1"/>
      <c r="X127" s="1"/>
      <c r="Y127" s="1"/>
      <c r="Z127" s="1"/>
      <c r="AA127" s="1"/>
      <c r="AB127" s="1"/>
    </row>
    <row r="128" spans="1:28" ht="11.25" customHeight="1" x14ac:dyDescent="0.2">
      <c r="A128" s="95">
        <v>55</v>
      </c>
      <c r="B128" s="95" t="s">
        <v>172</v>
      </c>
      <c r="C128" s="148">
        <v>45184.619513888887</v>
      </c>
      <c r="D128" s="149">
        <v>314.7</v>
      </c>
      <c r="E128" s="96">
        <v>0.7683065</v>
      </c>
      <c r="F128" s="148" t="s">
        <v>159</v>
      </c>
      <c r="G128" s="96">
        <v>1.964</v>
      </c>
      <c r="H128" s="150" t="s">
        <v>159</v>
      </c>
      <c r="I128" s="96">
        <v>-20.80484083895454</v>
      </c>
      <c r="J128" s="96">
        <v>11.307156768860448</v>
      </c>
      <c r="K128" s="96">
        <v>42.516095626747486</v>
      </c>
      <c r="L128" s="151">
        <v>0</v>
      </c>
      <c r="M128" s="152">
        <v>0</v>
      </c>
      <c r="V128" s="1"/>
      <c r="W128" s="1"/>
      <c r="X128" s="1"/>
      <c r="Y128" s="1"/>
      <c r="Z128" s="1"/>
      <c r="AA128" s="1"/>
      <c r="AB128" s="1"/>
    </row>
    <row r="129" spans="1:28" ht="11.25" customHeight="1" x14ac:dyDescent="0.2">
      <c r="A129" s="83">
        <v>56</v>
      </c>
      <c r="B129" s="83" t="s">
        <v>173</v>
      </c>
      <c r="C129" s="143">
        <v>45184.629826388889</v>
      </c>
      <c r="D129" s="144">
        <v>316.10000000000002</v>
      </c>
      <c r="E129" s="84">
        <v>0.87930249999999999</v>
      </c>
      <c r="F129" s="143" t="s">
        <v>159</v>
      </c>
      <c r="G129" s="84">
        <v>1.88</v>
      </c>
      <c r="H129" s="145" t="s">
        <v>159</v>
      </c>
      <c r="I129" s="84">
        <v>-20.5947789510837</v>
      </c>
      <c r="J129" s="84">
        <v>11.230759634813756</v>
      </c>
      <c r="K129" s="84">
        <v>42.437340877144109</v>
      </c>
      <c r="L129" s="146">
        <v>0</v>
      </c>
      <c r="M129" s="147">
        <v>0</v>
      </c>
      <c r="V129" s="1"/>
      <c r="W129" s="1"/>
      <c r="X129" s="1"/>
      <c r="Y129" s="1"/>
      <c r="Z129" s="1"/>
      <c r="AA129" s="1"/>
      <c r="AB129" s="1"/>
    </row>
    <row r="130" spans="1:28" ht="11.25" customHeight="1" x14ac:dyDescent="0.2">
      <c r="A130" s="95">
        <v>57</v>
      </c>
      <c r="B130" s="95" t="s">
        <v>174</v>
      </c>
      <c r="C130" s="148">
        <v>45184.639803240738</v>
      </c>
      <c r="D130" s="149">
        <v>314.60000000000002</v>
      </c>
      <c r="E130" s="96">
        <v>1.2925195</v>
      </c>
      <c r="F130" s="148" t="s">
        <v>159</v>
      </c>
      <c r="G130" s="96">
        <v>2.3879999999999999</v>
      </c>
      <c r="H130" s="150" t="s">
        <v>159</v>
      </c>
      <c r="I130" s="96">
        <v>-20.834408835470914</v>
      </c>
      <c r="J130" s="96">
        <v>11.536808598172906</v>
      </c>
      <c r="K130" s="96">
        <v>42.752834511512525</v>
      </c>
      <c r="L130" s="151">
        <v>0</v>
      </c>
      <c r="M130" s="152">
        <v>0</v>
      </c>
      <c r="V130" s="1"/>
      <c r="W130" s="1"/>
      <c r="X130" s="1"/>
      <c r="Y130" s="1"/>
      <c r="Z130" s="1"/>
      <c r="AA130" s="1"/>
      <c r="AB130" s="1"/>
    </row>
    <row r="131" spans="1:28" ht="11.25" customHeight="1" x14ac:dyDescent="0.2">
      <c r="A131" s="83">
        <v>58</v>
      </c>
      <c r="B131" s="83" t="s">
        <v>175</v>
      </c>
      <c r="C131" s="143">
        <v>45184.650868055556</v>
      </c>
      <c r="D131" s="144">
        <v>315.89999999999998</v>
      </c>
      <c r="E131" s="84">
        <v>0.70483262499999999</v>
      </c>
      <c r="F131" s="143" t="s">
        <v>159</v>
      </c>
      <c r="G131" s="84">
        <v>1.8680000000000001</v>
      </c>
      <c r="H131" s="145" t="s">
        <v>159</v>
      </c>
      <c r="I131" s="84">
        <v>-20.751400572029603</v>
      </c>
      <c r="J131" s="84">
        <v>13.091179919485523</v>
      </c>
      <c r="K131" s="84">
        <v>44.355173731800846</v>
      </c>
      <c r="L131" s="146">
        <v>0</v>
      </c>
      <c r="M131" s="147">
        <v>0</v>
      </c>
      <c r="V131" s="1"/>
      <c r="W131" s="1"/>
      <c r="X131" s="1"/>
      <c r="Y131" s="1"/>
      <c r="Z131" s="1"/>
      <c r="AA131" s="1"/>
      <c r="AB131" s="1"/>
    </row>
    <row r="132" spans="1:28" ht="11.25" customHeight="1" x14ac:dyDescent="0.2">
      <c r="A132" s="95">
        <v>59</v>
      </c>
      <c r="B132" s="95" t="s">
        <v>176</v>
      </c>
      <c r="C132" s="148">
        <v>45184.660833333335</v>
      </c>
      <c r="D132" s="149">
        <v>313.8</v>
      </c>
      <c r="E132" s="96">
        <v>1.503695</v>
      </c>
      <c r="F132" s="148" t="s">
        <v>159</v>
      </c>
      <c r="G132" s="96">
        <v>1.9930000000000001</v>
      </c>
      <c r="H132" s="150" t="s">
        <v>159</v>
      </c>
      <c r="I132" s="96">
        <v>-20.526916733512241</v>
      </c>
      <c r="J132" s="96">
        <v>12.503880604156683</v>
      </c>
      <c r="K132" s="96">
        <v>43.749750359600959</v>
      </c>
      <c r="L132" s="151">
        <v>0</v>
      </c>
      <c r="M132" s="152">
        <v>0</v>
      </c>
      <c r="V132" s="1"/>
      <c r="W132" s="1"/>
      <c r="X132" s="1"/>
      <c r="Y132" s="1"/>
      <c r="Z132" s="1"/>
      <c r="AA132" s="1"/>
      <c r="AB132" s="1"/>
    </row>
    <row r="133" spans="1:28" ht="11.25" customHeight="1" x14ac:dyDescent="0.2">
      <c r="A133" s="83">
        <v>60</v>
      </c>
      <c r="B133" s="83" t="s">
        <v>177</v>
      </c>
      <c r="C133" s="143">
        <v>45184.67082175926</v>
      </c>
      <c r="D133" s="144">
        <v>315.39999999999998</v>
      </c>
      <c r="E133" s="84">
        <v>0.82106343749999999</v>
      </c>
      <c r="F133" s="143" t="s">
        <v>159</v>
      </c>
      <c r="G133" s="84">
        <v>1.8819999999999999</v>
      </c>
      <c r="H133" s="145" t="s">
        <v>159</v>
      </c>
      <c r="I133" s="84">
        <v>-20.842105943477652</v>
      </c>
      <c r="J133" s="84">
        <v>13.83951783888658</v>
      </c>
      <c r="K133" s="84">
        <v>45.126605359394624</v>
      </c>
      <c r="L133" s="146">
        <v>0</v>
      </c>
      <c r="M133" s="147">
        <v>0</v>
      </c>
      <c r="V133" s="1"/>
      <c r="W133" s="1"/>
      <c r="X133" s="1"/>
      <c r="Y133" s="1"/>
      <c r="Z133" s="1"/>
      <c r="AA133" s="1"/>
      <c r="AB133" s="1"/>
    </row>
    <row r="134" spans="1:28" ht="11.25" customHeight="1" x14ac:dyDescent="0.2">
      <c r="A134" s="95">
        <v>61</v>
      </c>
      <c r="B134" s="95" t="s">
        <v>178</v>
      </c>
      <c r="C134" s="148">
        <v>45184.680810185186</v>
      </c>
      <c r="D134" s="149">
        <v>316.8</v>
      </c>
      <c r="E134" s="96">
        <v>1.380468625</v>
      </c>
      <c r="F134" s="148" t="s">
        <v>159</v>
      </c>
      <c r="G134" s="96">
        <v>2.1619999999999999</v>
      </c>
      <c r="H134" s="150" t="s">
        <v>159</v>
      </c>
      <c r="I134" s="96">
        <v>-20.83931995161096</v>
      </c>
      <c r="J134" s="96">
        <v>13.279100184739482</v>
      </c>
      <c r="K134" s="96">
        <v>44.548893216440547</v>
      </c>
      <c r="L134" s="151">
        <v>0</v>
      </c>
      <c r="M134" s="152">
        <v>0</v>
      </c>
      <c r="V134" s="1"/>
      <c r="W134" s="1"/>
      <c r="X134" s="1"/>
      <c r="Y134" s="1"/>
      <c r="Z134" s="1"/>
      <c r="AA134" s="1"/>
      <c r="AB134" s="1"/>
    </row>
    <row r="135" spans="1:28" ht="11.25" customHeight="1" x14ac:dyDescent="0.2">
      <c r="A135" s="83">
        <v>62</v>
      </c>
      <c r="B135" s="83" t="s">
        <v>179</v>
      </c>
      <c r="C135" s="143">
        <v>45184.690787037034</v>
      </c>
      <c r="D135" s="144">
        <v>318.5</v>
      </c>
      <c r="E135" s="84">
        <v>0.85854118749999997</v>
      </c>
      <c r="F135" s="143" t="s">
        <v>159</v>
      </c>
      <c r="G135" s="84">
        <v>2.2250000000000001</v>
      </c>
      <c r="H135" s="145" t="s">
        <v>159</v>
      </c>
      <c r="I135" s="84">
        <v>-20.731707619696405</v>
      </c>
      <c r="J135" s="84">
        <v>14.267807300132914</v>
      </c>
      <c r="K135" s="84">
        <v>45.568111833415017</v>
      </c>
      <c r="L135" s="146">
        <v>0</v>
      </c>
      <c r="M135" s="147">
        <v>0</v>
      </c>
      <c r="V135" s="1"/>
      <c r="W135" s="1"/>
      <c r="X135" s="1"/>
      <c r="Y135" s="1"/>
      <c r="Z135" s="1"/>
      <c r="AA135" s="1"/>
      <c r="AB135" s="1"/>
    </row>
    <row r="136" spans="1:28" ht="11.25" customHeight="1" x14ac:dyDescent="0.2">
      <c r="A136" s="95">
        <v>63</v>
      </c>
      <c r="B136" s="95" t="s">
        <v>61</v>
      </c>
      <c r="C136" s="148">
        <v>45184.700775462959</v>
      </c>
      <c r="D136" s="149">
        <v>296.5</v>
      </c>
      <c r="E136" s="96">
        <v>6.9818239999999996</v>
      </c>
      <c r="F136" s="148" t="s">
        <v>159</v>
      </c>
      <c r="G136" s="96">
        <v>0.84799999999999998</v>
      </c>
      <c r="H136" s="150" t="s">
        <v>159</v>
      </c>
      <c r="I136" s="96">
        <v>-21.442112971110834</v>
      </c>
      <c r="J136" s="96">
        <v>10.324493404815765</v>
      </c>
      <c r="K136" s="96">
        <v>41.503107271288378</v>
      </c>
      <c r="L136" s="151">
        <v>0</v>
      </c>
      <c r="M136" s="152">
        <v>0</v>
      </c>
      <c r="V136" s="1"/>
      <c r="W136" s="1"/>
      <c r="X136" s="1"/>
      <c r="Y136" s="1"/>
      <c r="Z136" s="1"/>
      <c r="AA136" s="1"/>
      <c r="AB136" s="1"/>
    </row>
    <row r="137" spans="1:28" ht="11.25" customHeight="1" x14ac:dyDescent="0.2">
      <c r="A137" s="83">
        <v>64</v>
      </c>
      <c r="B137" s="83" t="s">
        <v>109</v>
      </c>
      <c r="C137" s="143">
        <v>45184.710763888892</v>
      </c>
      <c r="D137" s="144">
        <v>312.5</v>
      </c>
      <c r="E137" s="84">
        <v>0.81643081250000005</v>
      </c>
      <c r="F137" s="143" t="s">
        <v>159</v>
      </c>
      <c r="G137" s="84">
        <v>1.254</v>
      </c>
      <c r="H137" s="145" t="s">
        <v>159</v>
      </c>
      <c r="I137" s="84">
        <v>-14.451595626790086</v>
      </c>
      <c r="J137" s="84">
        <v>14.768924842445369</v>
      </c>
      <c r="K137" s="84">
        <v>46.084693863083231</v>
      </c>
      <c r="L137" s="146">
        <v>0</v>
      </c>
      <c r="M137" s="147">
        <v>0</v>
      </c>
      <c r="V137" s="1"/>
      <c r="W137" s="1"/>
      <c r="X137" s="1"/>
      <c r="Y137" s="1"/>
      <c r="Z137" s="1"/>
      <c r="AA137" s="1"/>
      <c r="AB137" s="1"/>
    </row>
    <row r="138" spans="1:28" ht="11.25" customHeight="1" x14ac:dyDescent="0.2">
      <c r="A138" s="95">
        <v>65</v>
      </c>
      <c r="B138" s="95" t="s">
        <v>180</v>
      </c>
      <c r="C138" s="148">
        <v>45184.720763888887</v>
      </c>
      <c r="D138" s="149">
        <v>314.5</v>
      </c>
      <c r="E138" s="96">
        <v>0.73605143750000002</v>
      </c>
      <c r="F138" s="148" t="s">
        <v>159</v>
      </c>
      <c r="G138" s="96">
        <v>6.4009999999999998</v>
      </c>
      <c r="H138" s="150" t="s">
        <v>159</v>
      </c>
      <c r="I138" s="96">
        <v>-21.926525193587135</v>
      </c>
      <c r="J138" s="96">
        <v>13.992405417957745</v>
      </c>
      <c r="K138" s="96">
        <v>45.284211049155921</v>
      </c>
      <c r="L138" s="151">
        <v>0</v>
      </c>
      <c r="M138" s="152">
        <v>0</v>
      </c>
      <c r="V138" s="1"/>
      <c r="W138" s="1"/>
      <c r="X138" s="1"/>
      <c r="Y138" s="1"/>
      <c r="Z138" s="1"/>
      <c r="AA138" s="1"/>
      <c r="AB138" s="1"/>
    </row>
    <row r="139" spans="1:28" ht="11.25" customHeight="1" x14ac:dyDescent="0.2">
      <c r="A139" s="83">
        <v>66</v>
      </c>
      <c r="B139" s="83" t="s">
        <v>181</v>
      </c>
      <c r="C139" s="143">
        <v>45184.730752314812</v>
      </c>
      <c r="D139" s="144">
        <v>312.5</v>
      </c>
      <c r="E139" s="84">
        <v>0.86047656250000004</v>
      </c>
      <c r="F139" s="143" t="s">
        <v>159</v>
      </c>
      <c r="G139" s="84">
        <v>6.6980000000000004</v>
      </c>
      <c r="H139" s="145" t="s">
        <v>159</v>
      </c>
      <c r="I139" s="84">
        <v>-21.956626529290499</v>
      </c>
      <c r="J139" s="84">
        <v>13.527546885394774</v>
      </c>
      <c r="K139" s="84">
        <v>44.805006982278059</v>
      </c>
      <c r="L139" s="146">
        <v>0</v>
      </c>
      <c r="M139" s="147">
        <v>0</v>
      </c>
      <c r="V139" s="1"/>
      <c r="W139" s="1"/>
      <c r="X139" s="1"/>
      <c r="Y139" s="1"/>
      <c r="Z139" s="1"/>
      <c r="AA139" s="1"/>
      <c r="AB139" s="1"/>
    </row>
    <row r="140" spans="1:28" ht="11.25" customHeight="1" x14ac:dyDescent="0.2">
      <c r="A140" s="95">
        <v>67</v>
      </c>
      <c r="B140" s="95" t="s">
        <v>182</v>
      </c>
      <c r="C140" s="148">
        <v>45184.740740740737</v>
      </c>
      <c r="D140" s="149">
        <v>316.39999999999998</v>
      </c>
      <c r="E140" s="96">
        <v>0.85024975000000003</v>
      </c>
      <c r="F140" s="148" t="s">
        <v>159</v>
      </c>
      <c r="G140" s="96">
        <v>6.6159999999999997</v>
      </c>
      <c r="H140" s="150" t="s">
        <v>159</v>
      </c>
      <c r="I140" s="96">
        <v>-21.913383771882778</v>
      </c>
      <c r="J140" s="96">
        <v>13.735497430882992</v>
      </c>
      <c r="K140" s="96">
        <v>45.019374881600044</v>
      </c>
      <c r="L140" s="151">
        <v>0</v>
      </c>
      <c r="M140" s="152">
        <v>0</v>
      </c>
      <c r="V140" s="1"/>
      <c r="W140" s="1"/>
      <c r="X140" s="1"/>
      <c r="Y140" s="1"/>
      <c r="Z140" s="1"/>
      <c r="AA140" s="1"/>
      <c r="AB140" s="1"/>
    </row>
    <row r="141" spans="1:28" ht="11.25" customHeight="1" x14ac:dyDescent="0.2">
      <c r="A141" s="83">
        <v>68</v>
      </c>
      <c r="B141" s="83" t="s">
        <v>183</v>
      </c>
      <c r="C141" s="143">
        <v>45184.750717592593</v>
      </c>
      <c r="D141" s="144">
        <v>317</v>
      </c>
      <c r="E141" s="84">
        <v>0.71014343749999997</v>
      </c>
      <c r="F141" s="143" t="s">
        <v>159</v>
      </c>
      <c r="G141" s="84">
        <v>6.4329999999999998</v>
      </c>
      <c r="H141" s="145" t="s">
        <v>159</v>
      </c>
      <c r="I141" s="84">
        <v>-22.116009927837545</v>
      </c>
      <c r="J141" s="84">
        <v>14.429717632157915</v>
      </c>
      <c r="K141" s="84">
        <v>45.735018718286312</v>
      </c>
      <c r="L141" s="146">
        <v>0</v>
      </c>
      <c r="M141" s="147">
        <v>0</v>
      </c>
      <c r="V141" s="1"/>
      <c r="W141" s="1"/>
      <c r="X141" s="1"/>
      <c r="Y141" s="1"/>
      <c r="Z141" s="1"/>
      <c r="AA141" s="1"/>
      <c r="AB141" s="1"/>
    </row>
    <row r="142" spans="1:28" ht="11.25" customHeight="1" x14ac:dyDescent="0.2">
      <c r="A142" s="95">
        <v>69</v>
      </c>
      <c r="B142" s="95" t="s">
        <v>184</v>
      </c>
      <c r="C142" s="148">
        <v>45184.760717592595</v>
      </c>
      <c r="D142" s="149">
        <v>318.60000000000002</v>
      </c>
      <c r="E142" s="96">
        <v>0.98818662499999999</v>
      </c>
      <c r="F142" s="148" t="s">
        <v>159</v>
      </c>
      <c r="G142" s="96">
        <v>6.6379999999999999</v>
      </c>
      <c r="H142" s="150" t="s">
        <v>159</v>
      </c>
      <c r="I142" s="96">
        <v>-22.044697781751328</v>
      </c>
      <c r="J142" s="96">
        <v>14.689039957515703</v>
      </c>
      <c r="K142" s="96">
        <v>46.002343730604636</v>
      </c>
      <c r="L142" s="151">
        <v>0</v>
      </c>
      <c r="M142" s="152">
        <v>0</v>
      </c>
      <c r="V142" s="1"/>
      <c r="W142" s="1"/>
      <c r="X142" s="1"/>
      <c r="Y142" s="1"/>
      <c r="Z142" s="1"/>
      <c r="AA142" s="1"/>
      <c r="AB142" s="1"/>
    </row>
    <row r="143" spans="1:28" ht="11.25" customHeight="1" x14ac:dyDescent="0.2">
      <c r="A143" s="83">
        <v>70</v>
      </c>
      <c r="B143" s="83" t="s">
        <v>185</v>
      </c>
      <c r="C143" s="143">
        <v>45184.77071759259</v>
      </c>
      <c r="D143" s="144">
        <v>315.3</v>
      </c>
      <c r="E143" s="84">
        <v>1.288156125</v>
      </c>
      <c r="F143" s="143" t="s">
        <v>159</v>
      </c>
      <c r="G143" s="84">
        <v>6.9349999999999996</v>
      </c>
      <c r="H143" s="145" t="s">
        <v>159</v>
      </c>
      <c r="I143" s="84">
        <v>-22.034369193156667</v>
      </c>
      <c r="J143" s="84">
        <v>15.116981027934088</v>
      </c>
      <c r="K143" s="84">
        <v>46.443491062456133</v>
      </c>
      <c r="L143" s="146">
        <v>0</v>
      </c>
      <c r="M143" s="147">
        <v>0</v>
      </c>
      <c r="V143" s="1"/>
      <c r="W143" s="1"/>
      <c r="X143" s="1"/>
      <c r="Y143" s="1"/>
      <c r="Z143" s="1"/>
      <c r="AA143" s="1"/>
      <c r="AB143" s="1"/>
    </row>
    <row r="144" spans="1:28" ht="11.25" customHeight="1" x14ac:dyDescent="0.2">
      <c r="A144" s="95">
        <v>71</v>
      </c>
      <c r="B144" s="95" t="s">
        <v>186</v>
      </c>
      <c r="C144" s="148">
        <v>45184.780717592592</v>
      </c>
      <c r="D144" s="149">
        <v>318</v>
      </c>
      <c r="E144" s="96">
        <v>0.61175512499999996</v>
      </c>
      <c r="F144" s="148" t="s">
        <v>159</v>
      </c>
      <c r="G144" s="96">
        <v>6.4420000000000002</v>
      </c>
      <c r="H144" s="150" t="s">
        <v>159</v>
      </c>
      <c r="I144" s="96">
        <v>-22.29510987773682</v>
      </c>
      <c r="J144" s="96">
        <v>16.541514233186824</v>
      </c>
      <c r="K144" s="96">
        <v>47.911985362422968</v>
      </c>
      <c r="L144" s="151">
        <v>0</v>
      </c>
      <c r="M144" s="152">
        <v>0</v>
      </c>
      <c r="V144" s="1"/>
      <c r="W144" s="1"/>
      <c r="X144" s="1"/>
      <c r="Y144" s="1"/>
      <c r="Z144" s="1"/>
      <c r="AA144" s="1"/>
      <c r="AB144" s="1"/>
    </row>
    <row r="145" spans="1:28" ht="11.25" customHeight="1" x14ac:dyDescent="0.2">
      <c r="A145" s="83">
        <v>72</v>
      </c>
      <c r="B145" s="83" t="s">
        <v>187</v>
      </c>
      <c r="C145" s="143">
        <v>45184.79215277778</v>
      </c>
      <c r="D145" s="144">
        <v>318.7</v>
      </c>
      <c r="E145" s="84">
        <v>0.72278125000000004</v>
      </c>
      <c r="F145" s="143" t="s">
        <v>159</v>
      </c>
      <c r="G145" s="84">
        <v>6.3319999999999999</v>
      </c>
      <c r="H145" s="145" t="s">
        <v>159</v>
      </c>
      <c r="I145" s="84">
        <v>-22.200139752505958</v>
      </c>
      <c r="J145" s="84">
        <v>16.307464394295646</v>
      </c>
      <c r="K145" s="84">
        <v>47.670712745503607</v>
      </c>
      <c r="L145" s="146">
        <v>0</v>
      </c>
      <c r="M145" s="147">
        <v>0</v>
      </c>
      <c r="V145" s="1"/>
      <c r="W145" s="1"/>
      <c r="X145" s="1"/>
      <c r="Y145" s="1"/>
      <c r="Z145" s="1"/>
      <c r="AA145" s="1"/>
      <c r="AB145" s="1"/>
    </row>
    <row r="146" spans="1:28" ht="11.25" customHeight="1" x14ac:dyDescent="0.2">
      <c r="A146" s="95">
        <v>73</v>
      </c>
      <c r="B146" s="95" t="s">
        <v>188</v>
      </c>
      <c r="C146" s="148">
        <v>45184.802152777775</v>
      </c>
      <c r="D146" s="149">
        <v>318.10000000000002</v>
      </c>
      <c r="E146" s="96">
        <v>0.91600824999999997</v>
      </c>
      <c r="F146" s="148" t="s">
        <v>159</v>
      </c>
      <c r="G146" s="96">
        <v>6.4859999999999998</v>
      </c>
      <c r="H146" s="150" t="s">
        <v>159</v>
      </c>
      <c r="I146" s="96">
        <v>-21.844129006315494</v>
      </c>
      <c r="J146" s="96">
        <v>16.142212666279097</v>
      </c>
      <c r="K146" s="96">
        <v>47.500361349160471</v>
      </c>
      <c r="L146" s="151">
        <v>0</v>
      </c>
      <c r="M146" s="152">
        <v>0</v>
      </c>
      <c r="V146" s="1"/>
      <c r="W146" s="1"/>
      <c r="X146" s="1"/>
      <c r="Y146" s="1"/>
      <c r="Z146" s="1"/>
      <c r="AA146" s="1"/>
      <c r="AB146" s="1"/>
    </row>
    <row r="147" spans="1:28" ht="11.25" customHeight="1" x14ac:dyDescent="0.2">
      <c r="A147" s="83">
        <v>74</v>
      </c>
      <c r="B147" s="83" t="s">
        <v>62</v>
      </c>
      <c r="C147" s="143">
        <v>45184.812152777777</v>
      </c>
      <c r="D147" s="144">
        <v>294.39999999999998</v>
      </c>
      <c r="E147" s="84">
        <v>6.9977375000000004</v>
      </c>
      <c r="F147" s="143" t="s">
        <v>159</v>
      </c>
      <c r="G147" s="84">
        <v>0.92100000000000004</v>
      </c>
      <c r="H147" s="145" t="s">
        <v>159</v>
      </c>
      <c r="I147" s="84">
        <v>-20.09056226987008</v>
      </c>
      <c r="J147" s="84">
        <v>10.842253159138705</v>
      </c>
      <c r="K147" s="84">
        <v>42.036845091629729</v>
      </c>
      <c r="L147" s="146">
        <v>0</v>
      </c>
      <c r="M147" s="147">
        <v>0</v>
      </c>
      <c r="V147" s="1"/>
      <c r="W147" s="1"/>
      <c r="X147" s="1"/>
      <c r="Y147" s="1"/>
      <c r="Z147" s="1"/>
      <c r="AA147" s="1"/>
      <c r="AB147" s="1"/>
    </row>
    <row r="148" spans="1:28" ht="11.25" customHeight="1" x14ac:dyDescent="0.2">
      <c r="A148" s="95">
        <v>75</v>
      </c>
      <c r="B148" s="95" t="s">
        <v>63</v>
      </c>
      <c r="C148" s="148">
        <v>45184.822152777779</v>
      </c>
      <c r="D148" s="149">
        <v>294.3</v>
      </c>
      <c r="E148" s="96">
        <v>7.0874445000000001</v>
      </c>
      <c r="F148" s="148" t="s">
        <v>159</v>
      </c>
      <c r="G148" s="96">
        <v>0.93600000000000005</v>
      </c>
      <c r="H148" s="150" t="s">
        <v>159</v>
      </c>
      <c r="I148" s="96">
        <v>-6.003138715166056</v>
      </c>
      <c r="J148" s="96">
        <v>10.419490789449503</v>
      </c>
      <c r="K148" s="96">
        <v>41.601036275211911</v>
      </c>
      <c r="L148" s="151">
        <v>0</v>
      </c>
      <c r="M148" s="152">
        <v>0</v>
      </c>
      <c r="V148" s="1"/>
      <c r="W148" s="1"/>
      <c r="X148" s="1"/>
      <c r="Y148" s="1"/>
      <c r="Z148" s="1"/>
      <c r="AA148" s="1"/>
      <c r="AB148" s="1"/>
    </row>
    <row r="149" spans="1:28" ht="11.25" customHeight="1" x14ac:dyDescent="0.2">
      <c r="A149" s="83">
        <v>76</v>
      </c>
      <c r="B149" s="83" t="s">
        <v>70</v>
      </c>
      <c r="C149" s="143">
        <v>45184.832916666666</v>
      </c>
      <c r="D149" s="144">
        <v>300.39999999999998</v>
      </c>
      <c r="E149" s="84">
        <v>4.8283990000000001</v>
      </c>
      <c r="F149" s="143" t="s">
        <v>159</v>
      </c>
      <c r="G149" s="84">
        <v>1.3979999999999999</v>
      </c>
      <c r="H149" s="145" t="s">
        <v>159</v>
      </c>
      <c r="I149" s="84">
        <v>-13.473461849861254</v>
      </c>
      <c r="J149" s="84">
        <v>11.539062193829048</v>
      </c>
      <c r="K149" s="84">
        <v>42.75515765313061</v>
      </c>
      <c r="L149" s="146">
        <v>0</v>
      </c>
      <c r="M149" s="147">
        <v>0</v>
      </c>
      <c r="V149" s="1"/>
      <c r="W149" s="1"/>
      <c r="X149" s="1"/>
      <c r="Y149" s="1"/>
      <c r="Z149" s="1"/>
      <c r="AA149" s="1"/>
      <c r="AB149" s="1"/>
    </row>
    <row r="150" spans="1:28" ht="11.25" customHeight="1" x14ac:dyDescent="0.2">
      <c r="A150" s="95">
        <v>77</v>
      </c>
      <c r="B150" s="95" t="s">
        <v>64</v>
      </c>
      <c r="C150" s="148">
        <v>45184.842928240738</v>
      </c>
      <c r="D150" s="149">
        <v>318.60000000000002</v>
      </c>
      <c r="E150" s="96">
        <v>1.1208820312499999E-2</v>
      </c>
      <c r="F150" s="148" t="s">
        <v>159</v>
      </c>
      <c r="G150" s="96">
        <v>0.65800000000000003</v>
      </c>
      <c r="H150" s="150" t="s">
        <v>159</v>
      </c>
      <c r="I150" s="96">
        <v>-16.447410911093165</v>
      </c>
      <c r="J150" s="96">
        <v>9.8778673277314244</v>
      </c>
      <c r="K150" s="96">
        <v>41.042698313465216</v>
      </c>
      <c r="L150" s="151">
        <v>0</v>
      </c>
      <c r="M150" s="152">
        <v>0</v>
      </c>
      <c r="V150" s="1"/>
      <c r="W150" s="1"/>
      <c r="X150" s="1"/>
      <c r="Y150" s="1"/>
      <c r="Z150" s="1"/>
      <c r="AA150" s="1"/>
      <c r="AB150" s="1"/>
    </row>
    <row r="151" spans="1:28" ht="11.25" customHeight="1" x14ac:dyDescent="0.2">
      <c r="A151" s="110">
        <v>78</v>
      </c>
      <c r="B151" s="110" t="s">
        <v>69</v>
      </c>
      <c r="C151" s="153">
        <v>45184.85292824074</v>
      </c>
      <c r="D151" s="154">
        <v>316.5</v>
      </c>
      <c r="E151" s="85">
        <v>1.0198611328124999E-2</v>
      </c>
      <c r="F151" s="153" t="s">
        <v>159</v>
      </c>
      <c r="G151" s="85">
        <v>0.47799999999999998</v>
      </c>
      <c r="H151" s="155" t="s">
        <v>159</v>
      </c>
      <c r="I151" s="85">
        <v>-16.553799767009256</v>
      </c>
      <c r="J151" s="85">
        <v>13.197179609404552</v>
      </c>
      <c r="K151" s="85">
        <v>44.464444572150775</v>
      </c>
      <c r="L151" s="156">
        <v>0</v>
      </c>
      <c r="M151" s="157">
        <v>0</v>
      </c>
      <c r="V151" s="1"/>
      <c r="W151" s="1"/>
      <c r="X151" s="1"/>
      <c r="Y151" s="1"/>
      <c r="Z151" s="1"/>
      <c r="AA151" s="1"/>
      <c r="AB151" s="1"/>
    </row>
    <row r="152" spans="1:28" ht="11.25" customHeight="1" x14ac:dyDescent="0.2">
      <c r="A152" s="114">
        <v>79</v>
      </c>
      <c r="B152" s="114" t="s">
        <v>86</v>
      </c>
      <c r="C152" s="108">
        <v>0</v>
      </c>
      <c r="D152" s="108">
        <v>0.178255625</v>
      </c>
      <c r="E152" s="108">
        <v>-6.9884639874034926</v>
      </c>
      <c r="J152" s="1"/>
      <c r="K152" s="1"/>
      <c r="L152" s="1"/>
      <c r="V152" s="1"/>
      <c r="W152" s="1"/>
      <c r="X152" s="1"/>
      <c r="Y152" s="1"/>
      <c r="Z152" s="1"/>
      <c r="AA152" s="1"/>
      <c r="AB152" s="1"/>
    </row>
    <row r="153" spans="1:28" ht="11.25" customHeight="1" x14ac:dyDescent="0.25">
      <c r="G153"/>
      <c r="J153" s="1"/>
      <c r="K153" s="1"/>
      <c r="L153" s="1"/>
      <c r="V153" s="1"/>
      <c r="W153" s="1"/>
      <c r="X153" s="1"/>
      <c r="Y153" s="1"/>
      <c r="Z153" s="1"/>
      <c r="AA153" s="1"/>
      <c r="AB153" s="1"/>
    </row>
    <row r="154" spans="1:28" ht="11.25" customHeight="1" x14ac:dyDescent="0.2">
      <c r="J154" s="1"/>
      <c r="K154" s="1"/>
      <c r="L154" s="1"/>
      <c r="V154" s="1"/>
      <c r="W154" s="1"/>
      <c r="X154" s="1"/>
      <c r="Y154" s="1"/>
      <c r="Z154" s="1"/>
      <c r="AA154" s="1"/>
      <c r="AB154" s="1"/>
    </row>
    <row r="155" spans="1:28" ht="11.25" customHeight="1" x14ac:dyDescent="0.2">
      <c r="J155" s="1"/>
      <c r="K155" s="1"/>
      <c r="L155" s="1"/>
      <c r="V155" s="1"/>
      <c r="W155" s="1"/>
      <c r="X155" s="1"/>
      <c r="Y155" s="1"/>
      <c r="Z155" s="1"/>
      <c r="AA155" s="1"/>
      <c r="AB155" s="1"/>
    </row>
    <row r="156" spans="1:28" ht="11.25" customHeight="1" x14ac:dyDescent="0.2">
      <c r="J156" s="1"/>
      <c r="K156" s="1"/>
      <c r="L156" s="1"/>
      <c r="V156" s="1"/>
      <c r="W156" s="1"/>
      <c r="X156" s="1"/>
      <c r="Y156" s="1"/>
      <c r="Z156" s="1"/>
      <c r="AA156" s="1"/>
      <c r="AB156" s="1"/>
    </row>
    <row r="157" spans="1:28" ht="11.25" customHeight="1" x14ac:dyDescent="0.2">
      <c r="J157" s="1"/>
      <c r="K157" s="1"/>
      <c r="L157" s="1"/>
      <c r="V157" s="1"/>
      <c r="W157" s="1"/>
      <c r="X157" s="1"/>
      <c r="Y157" s="1"/>
      <c r="Z157" s="1"/>
      <c r="AA157" s="1"/>
      <c r="AB157" s="1"/>
    </row>
    <row r="158" spans="1:28" ht="11.25" customHeight="1" x14ac:dyDescent="0.2">
      <c r="J158" s="1"/>
      <c r="K158" s="1"/>
      <c r="L158" s="1"/>
      <c r="V158" s="1"/>
      <c r="W158" s="1"/>
      <c r="X158" s="1"/>
      <c r="Y158" s="1"/>
      <c r="Z158" s="1"/>
      <c r="AA158" s="1"/>
      <c r="AB158" s="1"/>
    </row>
    <row r="159" spans="1:28" ht="11.25" customHeight="1" x14ac:dyDescent="0.2">
      <c r="J159" s="1"/>
      <c r="K159" s="1"/>
      <c r="L159" s="1"/>
      <c r="V159" s="1"/>
      <c r="W159" s="1"/>
      <c r="X159" s="1"/>
      <c r="Y159" s="1"/>
      <c r="Z159" s="1"/>
      <c r="AA159" s="1"/>
      <c r="AB159" s="1"/>
    </row>
    <row r="160" spans="1:28" ht="11.25" customHeight="1" x14ac:dyDescent="0.2">
      <c r="J160" s="1"/>
      <c r="K160" s="1"/>
      <c r="L160" s="1"/>
      <c r="V160" s="1"/>
      <c r="W160" s="1"/>
      <c r="X160" s="1"/>
      <c r="Y160" s="1"/>
      <c r="Z160" s="1"/>
      <c r="AA160" s="1"/>
      <c r="AB160" s="1"/>
    </row>
    <row r="161" spans="8:28" ht="11.25" customHeight="1" x14ac:dyDescent="0.2">
      <c r="J161" s="1"/>
      <c r="K161" s="1"/>
      <c r="L161" s="1"/>
      <c r="V161" s="1"/>
      <c r="W161" s="1"/>
      <c r="X161" s="1"/>
      <c r="Y161" s="1"/>
      <c r="Z161" s="1"/>
      <c r="AA161" s="1"/>
      <c r="AB161" s="1"/>
    </row>
    <row r="162" spans="8:28" ht="11.25" customHeight="1" x14ac:dyDescent="0.2">
      <c r="J162" s="1"/>
      <c r="K162" s="1"/>
      <c r="L162" s="1"/>
      <c r="V162" s="1"/>
      <c r="W162" s="1"/>
      <c r="X162" s="1"/>
      <c r="Y162" s="1"/>
      <c r="Z162" s="1"/>
      <c r="AA162" s="1"/>
      <c r="AB162" s="1"/>
    </row>
    <row r="163" spans="8:28" ht="11.25" customHeight="1" x14ac:dyDescent="0.2">
      <c r="J163" s="1"/>
      <c r="K163" s="1"/>
      <c r="L163" s="1"/>
      <c r="V163" s="1"/>
      <c r="W163" s="1"/>
      <c r="X163" s="1"/>
      <c r="Y163" s="1"/>
      <c r="Z163" s="1"/>
      <c r="AA163" s="1"/>
      <c r="AB163" s="1"/>
    </row>
    <row r="164" spans="8:28" ht="11.25" customHeight="1" x14ac:dyDescent="0.2">
      <c r="J164" s="1"/>
      <c r="K164" s="1"/>
      <c r="L164" s="1"/>
      <c r="V164" s="1"/>
      <c r="W164" s="1"/>
      <c r="X164" s="1"/>
      <c r="Y164" s="1"/>
      <c r="Z164" s="1"/>
      <c r="AA164" s="1"/>
      <c r="AB164" s="1"/>
    </row>
    <row r="165" spans="8:28" ht="11.25" customHeight="1" x14ac:dyDescent="0.2">
      <c r="J165" s="1"/>
      <c r="K165" s="1"/>
      <c r="L165" s="1"/>
      <c r="V165" s="1"/>
      <c r="W165" s="1"/>
      <c r="X165" s="1"/>
      <c r="Y165" s="1"/>
      <c r="Z165" s="1"/>
      <c r="AA165" s="1"/>
      <c r="AB165" s="1"/>
    </row>
    <row r="166" spans="8:28" ht="11.25" customHeight="1" x14ac:dyDescent="0.2">
      <c r="J166" s="1"/>
      <c r="K166" s="1"/>
      <c r="L166" s="1"/>
      <c r="V166" s="1"/>
      <c r="W166" s="1"/>
      <c r="X166" s="1"/>
      <c r="Y166" s="1"/>
      <c r="Z166" s="1"/>
      <c r="AA166" s="1"/>
      <c r="AB166" s="1"/>
    </row>
    <row r="167" spans="8:28" ht="11.25" customHeight="1" x14ac:dyDescent="0.2">
      <c r="J167" s="1"/>
      <c r="K167" s="1"/>
      <c r="L167" s="1"/>
      <c r="V167" s="1"/>
      <c r="W167" s="1"/>
      <c r="X167" s="1"/>
      <c r="Y167" s="1"/>
      <c r="Z167" s="1"/>
      <c r="AA167" s="1"/>
      <c r="AB167" s="1"/>
    </row>
    <row r="168" spans="8:28" ht="11.25" customHeight="1" x14ac:dyDescent="0.2">
      <c r="J168" s="1"/>
      <c r="K168" s="1"/>
      <c r="L168" s="1"/>
      <c r="V168" s="1"/>
      <c r="W168" s="1"/>
      <c r="X168" s="1"/>
      <c r="Y168" s="1"/>
      <c r="Z168" s="1"/>
      <c r="AA168" s="1"/>
      <c r="AB168" s="1"/>
    </row>
    <row r="169" spans="8:28" ht="11.25" customHeight="1" x14ac:dyDescent="0.2">
      <c r="J169" s="1"/>
      <c r="K169" s="1"/>
      <c r="L169" s="1"/>
      <c r="V169" s="1"/>
      <c r="W169" s="1"/>
      <c r="X169" s="1"/>
      <c r="Y169" s="1"/>
      <c r="Z169" s="1"/>
      <c r="AA169" s="1"/>
      <c r="AB169" s="1"/>
    </row>
    <row r="170" spans="8:28" ht="11.25" customHeight="1" x14ac:dyDescent="0.2">
      <c r="J170" s="1"/>
      <c r="K170" s="1"/>
      <c r="L170" s="1"/>
      <c r="V170" s="1"/>
      <c r="W170" s="1"/>
      <c r="X170" s="1"/>
      <c r="Y170" s="1"/>
      <c r="Z170" s="1"/>
      <c r="AA170" s="1"/>
      <c r="AB170" s="1"/>
    </row>
    <row r="171" spans="8:28" ht="11.25" customHeight="1" x14ac:dyDescent="0.2">
      <c r="J171" s="1"/>
      <c r="K171" s="1"/>
      <c r="L171" s="1"/>
      <c r="V171" s="1"/>
      <c r="W171" s="1"/>
      <c r="X171" s="1"/>
      <c r="Y171" s="1"/>
      <c r="Z171" s="1"/>
      <c r="AA171" s="1"/>
      <c r="AB171" s="1"/>
    </row>
    <row r="172" spans="8:28" ht="11.25" customHeight="1" x14ac:dyDescent="0.2">
      <c r="J172" s="1"/>
      <c r="K172" s="1"/>
      <c r="L172" s="1"/>
      <c r="V172" s="1"/>
      <c r="W172" s="1"/>
      <c r="X172" s="1"/>
      <c r="Y172" s="1"/>
      <c r="Z172" s="1"/>
      <c r="AA172" s="1"/>
      <c r="AB172" s="1"/>
    </row>
    <row r="173" spans="8:28" ht="11.25" customHeight="1" x14ac:dyDescent="0.2">
      <c r="J173" s="1"/>
      <c r="K173" s="1"/>
      <c r="L173" s="1"/>
      <c r="V173" s="1"/>
      <c r="W173" s="1"/>
      <c r="X173" s="1"/>
      <c r="Y173" s="1"/>
      <c r="Z173" s="1"/>
      <c r="AA173" s="1"/>
      <c r="AB173" s="1"/>
    </row>
    <row r="174" spans="8:28" ht="11.25" customHeight="1" x14ac:dyDescent="0.25">
      <c r="H174"/>
      <c r="I174"/>
      <c r="J174"/>
      <c r="K174" s="1"/>
      <c r="L174" s="1"/>
      <c r="V174" s="1"/>
      <c r="W174" s="1"/>
      <c r="X174" s="1"/>
      <c r="Y174" s="1"/>
      <c r="Z174" s="1"/>
      <c r="AA174" s="1"/>
      <c r="AB174" s="1"/>
    </row>
    <row r="175" spans="8:28" ht="11.25" customHeight="1" x14ac:dyDescent="0.25">
      <c r="H175"/>
      <c r="I175"/>
      <c r="J175"/>
      <c r="K175" s="1"/>
      <c r="L175" s="1"/>
      <c r="V175" s="1"/>
      <c r="W175" s="1"/>
      <c r="X175" s="1"/>
      <c r="Y175" s="1"/>
      <c r="Z175" s="1"/>
      <c r="AA175" s="1"/>
      <c r="AB175" s="1"/>
    </row>
    <row r="176" spans="8:28" ht="11.25" customHeight="1" x14ac:dyDescent="0.25">
      <c r="H176"/>
      <c r="I176"/>
      <c r="J176"/>
      <c r="K176" s="1"/>
      <c r="L176" s="1"/>
      <c r="V176" s="1"/>
      <c r="W176" s="1"/>
      <c r="X176" s="1"/>
      <c r="Y176" s="1"/>
      <c r="Z176" s="1"/>
      <c r="AA176" s="1"/>
      <c r="AB176" s="1"/>
    </row>
    <row r="177" spans="8:28" ht="11.25" customHeight="1" x14ac:dyDescent="0.25">
      <c r="H177"/>
      <c r="I177"/>
      <c r="J177"/>
      <c r="K177" s="1"/>
      <c r="L177" s="1"/>
      <c r="V177" s="1"/>
      <c r="W177" s="1"/>
      <c r="X177" s="1"/>
      <c r="Y177" s="1"/>
      <c r="Z177" s="1"/>
      <c r="AA177" s="1"/>
      <c r="AB177" s="1"/>
    </row>
    <row r="178" spans="8:28" ht="11.25" customHeight="1" x14ac:dyDescent="0.25">
      <c r="H178"/>
      <c r="I178"/>
      <c r="J178"/>
      <c r="K178" s="1"/>
      <c r="L178" s="1"/>
      <c r="V178" s="1"/>
      <c r="W178" s="1"/>
      <c r="X178" s="1"/>
      <c r="Y178" s="1"/>
      <c r="Z178" s="1"/>
      <c r="AA178" s="1"/>
      <c r="AB178" s="1"/>
    </row>
    <row r="179" spans="8:28" ht="11.25" customHeight="1" x14ac:dyDescent="0.25">
      <c r="H179"/>
      <c r="I179"/>
      <c r="J179"/>
      <c r="K179" s="1"/>
      <c r="L179" s="1"/>
      <c r="V179" s="1"/>
      <c r="W179" s="1"/>
      <c r="X179" s="1"/>
      <c r="Y179" s="1"/>
      <c r="Z179" s="1"/>
      <c r="AA179" s="1"/>
      <c r="AB179" s="1"/>
    </row>
    <row r="180" spans="8:28" ht="11.25" customHeight="1" x14ac:dyDescent="0.25">
      <c r="H180"/>
      <c r="I180"/>
      <c r="J180"/>
      <c r="K180" s="1"/>
      <c r="L180" s="1"/>
      <c r="V180" s="1"/>
      <c r="W180" s="1"/>
      <c r="X180" s="1"/>
      <c r="Y180" s="1"/>
      <c r="Z180" s="1"/>
      <c r="AA180" s="1"/>
      <c r="AB180" s="1"/>
    </row>
    <row r="181" spans="8:28" ht="11.25" customHeight="1" x14ac:dyDescent="0.25">
      <c r="H181"/>
      <c r="I181"/>
      <c r="J181"/>
      <c r="K181" s="1"/>
      <c r="L181" s="1"/>
      <c r="V181" s="1"/>
      <c r="W181" s="1"/>
      <c r="X181" s="1"/>
      <c r="Y181" s="1"/>
      <c r="Z181" s="1"/>
      <c r="AA181" s="1"/>
      <c r="AB181" s="1"/>
    </row>
    <row r="182" spans="8:28" ht="11.25" customHeight="1" x14ac:dyDescent="0.25">
      <c r="H182"/>
      <c r="I182"/>
      <c r="J182"/>
      <c r="K182" s="1"/>
      <c r="L182" s="1"/>
      <c r="V182" s="1"/>
      <c r="W182" s="1"/>
      <c r="X182" s="1"/>
      <c r="Y182" s="1"/>
      <c r="Z182" s="1"/>
      <c r="AA182" s="1"/>
      <c r="AB182" s="1"/>
    </row>
    <row r="183" spans="8:28" ht="11.25" customHeight="1" x14ac:dyDescent="0.25">
      <c r="H183"/>
      <c r="I183"/>
      <c r="J183"/>
      <c r="K183" s="1"/>
      <c r="L183" s="1"/>
      <c r="V183" s="1"/>
      <c r="W183" s="1"/>
      <c r="X183" s="1"/>
      <c r="Y183" s="1"/>
      <c r="Z183" s="1"/>
      <c r="AA183" s="1"/>
      <c r="AB183" s="1"/>
    </row>
    <row r="184" spans="8:28" ht="11.25" customHeight="1" x14ac:dyDescent="0.25">
      <c r="H184"/>
      <c r="I184"/>
      <c r="J184"/>
      <c r="K184" s="1"/>
      <c r="L184" s="1"/>
      <c r="V184" s="1"/>
      <c r="W184" s="1"/>
      <c r="X184" s="1"/>
      <c r="Y184" s="1"/>
      <c r="Z184" s="1"/>
      <c r="AA184" s="1"/>
      <c r="AB184" s="1"/>
    </row>
    <row r="185" spans="8:28" ht="11.25" customHeight="1" x14ac:dyDescent="0.25">
      <c r="H185"/>
      <c r="I185"/>
      <c r="J185"/>
      <c r="K185" s="1"/>
      <c r="L185" s="1"/>
      <c r="V185" s="1"/>
      <c r="W185" s="1"/>
      <c r="X185" s="1"/>
      <c r="Y185" s="1"/>
      <c r="Z185" s="1"/>
      <c r="AA185" s="1"/>
      <c r="AB185" s="1"/>
    </row>
    <row r="186" spans="8:28" ht="11.25" customHeight="1" x14ac:dyDescent="0.25">
      <c r="H186"/>
      <c r="I186"/>
      <c r="J186"/>
      <c r="K186" s="1"/>
      <c r="L186" s="1"/>
      <c r="V186" s="1"/>
      <c r="W186" s="1"/>
      <c r="X186" s="1"/>
      <c r="Y186" s="1"/>
      <c r="Z186" s="1"/>
      <c r="AA186" s="1"/>
      <c r="AB186" s="1"/>
    </row>
    <row r="187" spans="8:28" ht="11.25" customHeight="1" x14ac:dyDescent="0.25">
      <c r="H187"/>
      <c r="I187"/>
      <c r="J187"/>
      <c r="K187" s="1"/>
      <c r="L187" s="1"/>
      <c r="V187" s="1"/>
      <c r="W187" s="1"/>
      <c r="X187" s="1"/>
      <c r="Y187" s="1"/>
      <c r="Z187" s="1"/>
      <c r="AA187" s="1"/>
      <c r="AB187" s="1"/>
    </row>
    <row r="188" spans="8:28" ht="11.25" customHeight="1" x14ac:dyDescent="0.25">
      <c r="H188"/>
      <c r="I188"/>
      <c r="J188"/>
      <c r="K188" s="1"/>
      <c r="L188" s="1"/>
      <c r="V188" s="1"/>
      <c r="W188" s="1"/>
      <c r="X188" s="1"/>
      <c r="Y188" s="1"/>
      <c r="Z188" s="1"/>
      <c r="AA188" s="1"/>
      <c r="AB188" s="1"/>
    </row>
    <row r="189" spans="8:28" ht="11.25" customHeight="1" x14ac:dyDescent="0.25">
      <c r="H189"/>
      <c r="I189"/>
      <c r="J189"/>
      <c r="K189" s="1"/>
      <c r="L189" s="1"/>
      <c r="V189" s="1"/>
      <c r="W189" s="1"/>
      <c r="X189" s="1"/>
      <c r="Y189" s="1"/>
      <c r="Z189" s="1"/>
      <c r="AA189" s="1"/>
      <c r="AB189" s="1"/>
    </row>
    <row r="190" spans="8:28" ht="11.25" customHeight="1" x14ac:dyDescent="0.25">
      <c r="H190"/>
      <c r="I190"/>
      <c r="J190"/>
      <c r="K190" s="1"/>
      <c r="L190" s="1"/>
      <c r="V190" s="1"/>
      <c r="W190" s="1"/>
      <c r="X190" s="1"/>
      <c r="Y190" s="1"/>
      <c r="Z190" s="1"/>
      <c r="AA190" s="1"/>
      <c r="AB190" s="1"/>
    </row>
    <row r="191" spans="8:28" ht="11.25" customHeight="1" x14ac:dyDescent="0.25">
      <c r="H191"/>
      <c r="I191"/>
      <c r="J191"/>
      <c r="K191" s="1"/>
      <c r="L191" s="1"/>
      <c r="V191" s="1"/>
      <c r="W191" s="1"/>
      <c r="X191" s="1"/>
      <c r="Y191" s="1"/>
      <c r="Z191" s="1"/>
      <c r="AA191" s="1"/>
      <c r="AB191" s="1"/>
    </row>
    <row r="192" spans="8:28" ht="11.25" customHeight="1" x14ac:dyDescent="0.25">
      <c r="J192"/>
      <c r="K192"/>
      <c r="L192"/>
      <c r="M192"/>
      <c r="N192"/>
      <c r="O192"/>
      <c r="P192"/>
      <c r="V192" s="1"/>
      <c r="W192" s="1"/>
      <c r="X192" s="1"/>
      <c r="Y192" s="1"/>
      <c r="Z192" s="1"/>
      <c r="AA192" s="1"/>
      <c r="AB192" s="1"/>
    </row>
    <row r="193" spans="10:28" ht="11.25" customHeight="1" x14ac:dyDescent="0.25">
      <c r="J193"/>
      <c r="K193"/>
      <c r="L193"/>
      <c r="M193"/>
      <c r="N193"/>
      <c r="O193"/>
      <c r="P193"/>
      <c r="V193" s="1"/>
      <c r="W193" s="1"/>
      <c r="X193" s="1"/>
      <c r="Y193" s="1"/>
      <c r="Z193" s="1"/>
      <c r="AA193" s="1"/>
      <c r="AB193" s="1"/>
    </row>
    <row r="194" spans="10:28" ht="11.25" customHeight="1" x14ac:dyDescent="0.25">
      <c r="J194"/>
      <c r="K194"/>
      <c r="L194"/>
      <c r="M194"/>
      <c r="N194"/>
      <c r="O194"/>
      <c r="P194"/>
      <c r="V194" s="1"/>
      <c r="W194" s="1"/>
      <c r="X194" s="1"/>
      <c r="Y194" s="1"/>
      <c r="Z194" s="1"/>
      <c r="AA194" s="1"/>
      <c r="AB194" s="1"/>
    </row>
    <row r="195" spans="10:28" ht="11.25" customHeight="1" x14ac:dyDescent="0.25">
      <c r="J195"/>
      <c r="K195"/>
      <c r="L195"/>
      <c r="M195"/>
      <c r="N195"/>
      <c r="O195"/>
      <c r="P195"/>
      <c r="V195" s="1"/>
      <c r="W195" s="1"/>
      <c r="X195" s="1"/>
      <c r="Y195" s="1"/>
      <c r="Z195" s="1"/>
      <c r="AA195" s="1"/>
      <c r="AB195" s="1"/>
    </row>
    <row r="196" spans="10:28" ht="11.25" customHeight="1" x14ac:dyDescent="0.25">
      <c r="J196" s="1"/>
      <c r="K196" s="1"/>
      <c r="L196" s="1"/>
      <c r="P196"/>
      <c r="Q196"/>
      <c r="R196"/>
      <c r="S196"/>
      <c r="T196"/>
      <c r="U196"/>
      <c r="W196" s="1"/>
      <c r="X196" s="1"/>
      <c r="Y196" s="1"/>
      <c r="Z196" s="1"/>
      <c r="AA196" s="1"/>
      <c r="AB196" s="1"/>
    </row>
    <row r="197" spans="10:28" ht="11.25" customHeight="1" x14ac:dyDescent="0.25">
      <c r="J197" s="1"/>
      <c r="K197" s="1"/>
      <c r="L197" s="1"/>
      <c r="P197"/>
      <c r="Q197"/>
      <c r="R197"/>
      <c r="S197"/>
      <c r="T197"/>
      <c r="U197"/>
      <c r="W197" s="1"/>
      <c r="X197" s="1"/>
      <c r="Y197" s="1"/>
      <c r="Z197" s="1"/>
      <c r="AA197" s="1"/>
      <c r="AB197" s="1"/>
    </row>
    <row r="198" spans="10:28" ht="11.25" customHeight="1" x14ac:dyDescent="0.25">
      <c r="J198" s="1"/>
      <c r="K198" s="1"/>
      <c r="L198" s="1"/>
      <c r="P198"/>
      <c r="Q198"/>
      <c r="R198"/>
      <c r="S198"/>
      <c r="T198"/>
      <c r="U198"/>
      <c r="W198" s="1"/>
      <c r="X198" s="1"/>
      <c r="Y198" s="1"/>
      <c r="Z198" s="1"/>
      <c r="AA198" s="1"/>
      <c r="AB198" s="1"/>
    </row>
    <row r="199" spans="10:28" ht="11.25" customHeight="1" x14ac:dyDescent="0.25">
      <c r="J199" s="1"/>
      <c r="K199" s="1"/>
      <c r="L199" s="1"/>
      <c r="P199"/>
      <c r="Q199"/>
      <c r="R199"/>
      <c r="S199"/>
      <c r="T199"/>
      <c r="U199"/>
      <c r="W199" s="1"/>
      <c r="X199" s="1"/>
      <c r="Y199" s="1"/>
      <c r="Z199" s="1"/>
      <c r="AA199" s="1"/>
      <c r="AB199" s="1"/>
    </row>
    <row r="200" spans="10:28" ht="11.25" customHeight="1" x14ac:dyDescent="0.25">
      <c r="J200" s="1"/>
      <c r="K200" s="1"/>
      <c r="L200" s="1"/>
      <c r="P200"/>
      <c r="Q200"/>
      <c r="R200"/>
      <c r="S200"/>
      <c r="T200"/>
      <c r="U200"/>
      <c r="W200" s="1"/>
      <c r="X200" s="1"/>
      <c r="Y200" s="1"/>
      <c r="Z200" s="1"/>
      <c r="AA200" s="1"/>
      <c r="AB200" s="1"/>
    </row>
    <row r="201" spans="10:28" ht="11.25" customHeight="1" x14ac:dyDescent="0.25">
      <c r="J201" s="1"/>
      <c r="K201" s="1"/>
      <c r="L201" s="1"/>
      <c r="P201"/>
      <c r="Q201"/>
      <c r="R201"/>
      <c r="S201"/>
      <c r="T201"/>
      <c r="U201"/>
      <c r="W201" s="1"/>
      <c r="X201" s="1"/>
      <c r="Y201" s="1"/>
      <c r="Z201" s="1"/>
      <c r="AA201" s="1"/>
      <c r="AB201" s="1"/>
    </row>
    <row r="202" spans="10:28" ht="11.25" customHeight="1" x14ac:dyDescent="0.25">
      <c r="J202" s="1"/>
      <c r="K202" s="1"/>
      <c r="L202" s="1"/>
      <c r="P202"/>
      <c r="Q202"/>
      <c r="R202"/>
      <c r="S202"/>
      <c r="T202"/>
      <c r="U202"/>
      <c r="W202" s="1"/>
      <c r="X202" s="1"/>
      <c r="Y202" s="1"/>
      <c r="Z202" s="1"/>
      <c r="AA202" s="1"/>
      <c r="AB202" s="1"/>
    </row>
    <row r="203" spans="10:28" ht="11.25" customHeight="1" x14ac:dyDescent="0.25">
      <c r="J203" s="1"/>
      <c r="K203" s="1"/>
      <c r="L203" s="1"/>
      <c r="P203"/>
      <c r="Q203"/>
      <c r="R203"/>
      <c r="S203"/>
      <c r="T203"/>
      <c r="U203"/>
      <c r="W203" s="1"/>
      <c r="X203" s="1"/>
      <c r="Y203" s="1"/>
      <c r="Z203" s="1"/>
      <c r="AA203" s="1"/>
      <c r="AB203" s="1"/>
    </row>
    <row r="204" spans="10:28" ht="11.25" customHeight="1" x14ac:dyDescent="0.25">
      <c r="J204" s="1"/>
      <c r="K204" s="1"/>
      <c r="L204" s="1"/>
      <c r="P204"/>
      <c r="Q204"/>
      <c r="R204"/>
      <c r="S204"/>
      <c r="T204"/>
      <c r="U204"/>
      <c r="W204" s="1"/>
      <c r="X204" s="1"/>
      <c r="Y204" s="1"/>
      <c r="Z204" s="1"/>
      <c r="AA204" s="1"/>
      <c r="AB204" s="1"/>
    </row>
  </sheetData>
  <conditionalFormatting sqref="J102">
    <cfRule type="expression" dxfId="8" priority="5" stopIfTrue="1">
      <formula>($J$13="")</formula>
    </cfRule>
  </conditionalFormatting>
  <conditionalFormatting sqref="K102">
    <cfRule type="expression" dxfId="7" priority="8" stopIfTrue="1">
      <formula>($K$13="")</formula>
    </cfRule>
  </conditionalFormatting>
  <conditionalFormatting sqref="L101">
    <cfRule type="expression" dxfId="6" priority="1" stopIfTrue="1">
      <formula>($G$9&lt;&gt;TRUE)</formula>
    </cfRule>
  </conditionalFormatting>
  <conditionalFormatting sqref="L102">
    <cfRule type="expression" dxfId="5" priority="2" stopIfTrue="1">
      <formula>($G$9&lt;&gt;TRUE)</formula>
    </cfRule>
  </conditionalFormatting>
  <conditionalFormatting sqref="M101">
    <cfRule type="expression" dxfId="4" priority="3" stopIfTrue="1">
      <formula>($G$9&lt;&gt;TRUE)</formula>
    </cfRule>
    <cfRule type="expression" dxfId="3" priority="4" stopIfTrue="1">
      <formula>ISBLANK(R_2Element)</formula>
    </cfRule>
  </conditionalFormatting>
  <conditionalFormatting sqref="M102">
    <cfRule type="expression" dxfId="2" priority="6" stopIfTrue="1">
      <formula>($G$9&lt;&gt;TRUE)</formula>
    </cfRule>
    <cfRule type="expression" dxfId="1" priority="7" stopIfTrue="1">
      <formula>ISBLANK(R_2Element)</formula>
    </cfRule>
  </conditionalFormatting>
  <conditionalFormatting sqref="M103:M151">
    <cfRule type="expression" dxfId="0" priority="9" stopIfTrue="1">
      <formula>($G$9&lt;&gt;TRUE)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04"/>
  <sheetViews>
    <sheetView topLeftCell="A37" zoomScaleNormal="100" workbookViewId="0">
      <selection activeCell="A32" sqref="A32:XFD84"/>
    </sheetView>
  </sheetViews>
  <sheetFormatPr defaultColWidth="9.140625" defaultRowHeight="11.25" customHeight="1" x14ac:dyDescent="0.25"/>
  <cols>
    <col min="1" max="1" width="12" style="1" customWidth="1"/>
    <col min="2" max="2" width="25.28515625" style="1" customWidth="1"/>
    <col min="3" max="3" width="10.85546875" style="1" customWidth="1"/>
    <col min="4" max="4" width="8.28515625" style="1" customWidth="1"/>
    <col min="5" max="5" width="14" style="1" bestFit="1" customWidth="1"/>
    <col min="6" max="6" width="10.7109375" style="1" customWidth="1"/>
    <col min="7" max="7" width="11.42578125" style="1" bestFit="1" customWidth="1"/>
    <col min="8" max="8" width="9" style="1" customWidth="1"/>
    <col min="9" max="9" width="9.5703125" style="1" customWidth="1"/>
    <col min="10" max="10" width="11.42578125" style="5" customWidth="1"/>
    <col min="11" max="12" width="9.42578125" style="5" customWidth="1"/>
    <col min="13" max="14" width="10" style="1" customWidth="1"/>
    <col min="15" max="15" width="13" style="1" customWidth="1"/>
    <col min="16" max="16" width="9.140625" style="1"/>
    <col min="17" max="17" width="9.5703125" style="1" bestFit="1" customWidth="1"/>
    <col min="18" max="18" width="9.140625" style="1"/>
    <col min="19" max="19" width="9.5703125" style="1" bestFit="1" customWidth="1"/>
    <col min="20" max="21" width="9.140625" style="1"/>
    <col min="26" max="26" width="8.85546875" customWidth="1"/>
    <col min="27" max="28" width="8.7109375" customWidth="1"/>
    <col min="29" max="16384" width="9.140625" style="1"/>
  </cols>
  <sheetData>
    <row r="2" spans="1:19" s="1" customFormat="1" ht="45" customHeight="1" x14ac:dyDescent="0.65">
      <c r="B2" s="2" t="s">
        <v>0</v>
      </c>
      <c r="C2" s="2"/>
      <c r="D2" s="2"/>
      <c r="E2" s="2"/>
      <c r="F2" s="2"/>
      <c r="G2" s="3"/>
      <c r="H2" s="3"/>
      <c r="I2" s="3"/>
      <c r="J2" s="4"/>
      <c r="K2" s="4"/>
      <c r="L2" s="5"/>
    </row>
    <row r="3" spans="1:19" s="1" customFormat="1" ht="11.25" customHeight="1" x14ac:dyDescent="0.2">
      <c r="B3" s="6" t="s">
        <v>1</v>
      </c>
      <c r="C3" s="6"/>
      <c r="D3" s="6"/>
      <c r="E3" s="6"/>
      <c r="F3" s="6"/>
      <c r="G3" s="7">
        <v>45182</v>
      </c>
      <c r="J3" s="5"/>
      <c r="K3" s="5"/>
      <c r="L3" s="5"/>
    </row>
    <row r="4" spans="1:19" s="1" customFormat="1" ht="11.25" customHeight="1" x14ac:dyDescent="0.2">
      <c r="B4" s="6" t="s">
        <v>2</v>
      </c>
      <c r="C4" s="6"/>
      <c r="D4" s="6"/>
      <c r="E4" s="6"/>
      <c r="F4" s="6"/>
      <c r="G4" s="1" t="s">
        <v>3</v>
      </c>
      <c r="J4" s="5"/>
      <c r="K4" s="5"/>
      <c r="L4" s="5"/>
    </row>
    <row r="5" spans="1:19" s="1" customFormat="1" ht="11.25" customHeight="1" x14ac:dyDescent="0.25">
      <c r="B5" s="6" t="s">
        <v>4</v>
      </c>
      <c r="C5" s="6"/>
      <c r="D5" s="6"/>
      <c r="E5" s="6"/>
      <c r="F5" s="6"/>
      <c r="G5" s="8" t="s">
        <v>118</v>
      </c>
      <c r="J5" s="5"/>
      <c r="K5" s="5"/>
      <c r="L5" s="5"/>
      <c r="M5" s="9"/>
      <c r="N5" s="9"/>
    </row>
    <row r="6" spans="1:19" s="1" customFormat="1" ht="11.25" customHeight="1" x14ac:dyDescent="0.2">
      <c r="B6" s="6" t="s">
        <v>5</v>
      </c>
      <c r="C6" s="6"/>
      <c r="D6" s="6"/>
      <c r="E6" s="6"/>
      <c r="F6" s="6"/>
      <c r="G6" s="1" t="s">
        <v>6</v>
      </c>
      <c r="J6" s="5"/>
      <c r="K6" s="5"/>
      <c r="L6" s="5"/>
      <c r="S6" s="10"/>
    </row>
    <row r="7" spans="1:19" s="1" customFormat="1" ht="11.25" customHeight="1" x14ac:dyDescent="0.2">
      <c r="B7" s="6" t="s">
        <v>7</v>
      </c>
      <c r="C7" s="6"/>
      <c r="D7" s="6"/>
      <c r="E7" s="6"/>
      <c r="F7" s="6"/>
      <c r="G7" s="6" t="s">
        <v>53</v>
      </c>
      <c r="J7" s="5"/>
      <c r="K7" s="5"/>
      <c r="L7" s="5"/>
    </row>
    <row r="8" spans="1:19" s="1" customFormat="1" ht="11.25" customHeight="1" x14ac:dyDescent="0.2">
      <c r="B8" s="6" t="s">
        <v>8</v>
      </c>
      <c r="C8" s="6"/>
      <c r="D8" s="6"/>
      <c r="E8" s="6"/>
      <c r="F8" s="6"/>
      <c r="G8" s="6" t="s">
        <v>9</v>
      </c>
      <c r="J8" s="5"/>
      <c r="K8" s="11"/>
      <c r="M8" s="12"/>
      <c r="N8" s="13"/>
    </row>
    <row r="9" spans="1:19" s="1" customFormat="1" ht="11.25" customHeight="1" x14ac:dyDescent="0.25">
      <c r="A9" s="14" t="s">
        <v>10</v>
      </c>
      <c r="B9" s="15"/>
      <c r="C9" s="16" t="s">
        <v>11</v>
      </c>
      <c r="D9" s="17"/>
      <c r="E9" s="16" t="s">
        <v>12</v>
      </c>
      <c r="F9" s="18"/>
      <c r="G9" s="14" t="s">
        <v>13</v>
      </c>
      <c r="H9" s="19" t="s">
        <v>14</v>
      </c>
      <c r="I9" s="20" t="s">
        <v>14</v>
      </c>
      <c r="J9" s="21" t="s">
        <v>14</v>
      </c>
      <c r="K9" s="22"/>
      <c r="M9" s="12"/>
      <c r="N9" s="13"/>
    </row>
    <row r="10" spans="1:19" s="1" customFormat="1" ht="11.25" customHeight="1" x14ac:dyDescent="0.25">
      <c r="A10" s="23"/>
      <c r="B10" s="24"/>
      <c r="C10" s="25" t="s">
        <v>14</v>
      </c>
      <c r="D10" s="26" t="s">
        <v>15</v>
      </c>
      <c r="E10" s="25" t="s">
        <v>14</v>
      </c>
      <c r="F10" s="27" t="s">
        <v>15</v>
      </c>
      <c r="G10" s="28" t="s">
        <v>16</v>
      </c>
      <c r="H10" s="28" t="s">
        <v>17</v>
      </c>
      <c r="I10" s="29" t="s">
        <v>18</v>
      </c>
      <c r="J10" s="30" t="s">
        <v>19</v>
      </c>
      <c r="K10" s="22"/>
      <c r="M10" s="12"/>
      <c r="N10" s="13"/>
    </row>
    <row r="11" spans="1:19" s="1" customFormat="1" ht="11.25" customHeight="1" x14ac:dyDescent="0.25">
      <c r="A11" s="31"/>
      <c r="B11" s="32" t="s">
        <v>20</v>
      </c>
      <c r="C11" s="33">
        <v>-26.6</v>
      </c>
      <c r="D11" s="34"/>
      <c r="E11" s="35">
        <v>-21.3</v>
      </c>
      <c r="F11" s="36"/>
      <c r="G11" s="37"/>
      <c r="H11" s="38">
        <v>72.53</v>
      </c>
      <c r="I11" s="38">
        <v>6.51</v>
      </c>
      <c r="J11" s="39">
        <f>H11/I11</f>
        <v>11.141321044546851</v>
      </c>
      <c r="K11" s="22"/>
      <c r="M11" s="12"/>
      <c r="N11" s="13"/>
    </row>
    <row r="12" spans="1:19" s="1" customFormat="1" ht="11.25" customHeight="1" x14ac:dyDescent="0.25">
      <c r="A12" s="40"/>
      <c r="B12" s="41" t="s">
        <v>21</v>
      </c>
      <c r="C12" s="42"/>
      <c r="D12" s="43"/>
      <c r="E12"/>
      <c r="F12" s="44"/>
      <c r="G12" s="37"/>
      <c r="H12" s="45">
        <v>20</v>
      </c>
      <c r="I12" s="45">
        <v>46.65</v>
      </c>
      <c r="J12" s="46">
        <f>H12/I12</f>
        <v>0.4287245444801715</v>
      </c>
      <c r="K12" s="5"/>
      <c r="L12" s="5"/>
    </row>
    <row r="13" spans="1:19" s="1" customFormat="1" ht="11.25" customHeight="1" x14ac:dyDescent="0.25">
      <c r="A13" s="40"/>
      <c r="B13" s="41">
        <v>2704</v>
      </c>
      <c r="C13" s="42"/>
      <c r="D13" s="43"/>
      <c r="E13"/>
      <c r="F13" s="44"/>
      <c r="G13" s="47"/>
      <c r="H13" s="45">
        <v>3.3479999999999999</v>
      </c>
      <c r="I13" s="45"/>
      <c r="J13" s="46"/>
      <c r="K13" s="5"/>
      <c r="L13" s="5"/>
    </row>
    <row r="14" spans="1:19" s="1" customFormat="1" ht="11.25" customHeight="1" x14ac:dyDescent="0.25">
      <c r="A14" s="40"/>
      <c r="B14" s="41" t="s">
        <v>22</v>
      </c>
      <c r="C14" s="42">
        <v>-25.95</v>
      </c>
      <c r="D14" s="48"/>
      <c r="E14" s="49">
        <v>2.08</v>
      </c>
      <c r="F14" s="50"/>
      <c r="G14" s="47"/>
      <c r="H14" s="45">
        <v>44.65</v>
      </c>
      <c r="I14" s="45">
        <v>2.83</v>
      </c>
      <c r="J14" s="46">
        <f>H14/I14</f>
        <v>15.777385159010599</v>
      </c>
      <c r="K14" s="5"/>
      <c r="L14" s="5"/>
    </row>
    <row r="15" spans="1:19" s="1" customFormat="1" ht="11.25" customHeight="1" x14ac:dyDescent="0.25">
      <c r="A15" s="40"/>
      <c r="B15" s="41" t="s">
        <v>23</v>
      </c>
      <c r="C15" s="51">
        <v>-18.3</v>
      </c>
      <c r="D15" s="52">
        <f>AVERAGE(G39,G79)</f>
        <v>-13.809906497676632</v>
      </c>
      <c r="E15" s="49"/>
      <c r="F15" s="53"/>
      <c r="G15" s="54"/>
      <c r="H15" s="55"/>
      <c r="I15" s="55"/>
      <c r="J15" s="54"/>
      <c r="K15" s="5"/>
      <c r="L15" s="5"/>
    </row>
    <row r="16" spans="1:19" s="1" customFormat="1" ht="11.25" customHeight="1" x14ac:dyDescent="0.25">
      <c r="A16" s="40"/>
      <c r="B16" s="41" t="s">
        <v>24</v>
      </c>
      <c r="C16" s="42">
        <v>-25.49</v>
      </c>
      <c r="D16" s="52"/>
      <c r="E16" s="56"/>
      <c r="F16" s="57"/>
      <c r="G16" s="54"/>
      <c r="H16" s="55"/>
      <c r="I16" s="55"/>
      <c r="J16" s="54"/>
      <c r="K16" s="5"/>
      <c r="L16" s="5"/>
    </row>
    <row r="17" spans="1:20" s="1" customFormat="1" ht="11.25" customHeight="1" x14ac:dyDescent="0.25">
      <c r="A17" s="40"/>
      <c r="B17" s="41" t="s">
        <v>25</v>
      </c>
      <c r="C17" s="42">
        <v>-10.8</v>
      </c>
      <c r="D17" s="52">
        <f>AVERAGE(G38,G78)</f>
        <v>-5.9875033283409174</v>
      </c>
      <c r="E17" s="56"/>
      <c r="F17" s="57"/>
      <c r="G17" s="54"/>
      <c r="H17" s="55"/>
      <c r="I17" s="55"/>
      <c r="J17" s="54"/>
      <c r="K17" s="5"/>
      <c r="L17" s="5"/>
    </row>
    <row r="18" spans="1:20" s="1" customFormat="1" ht="11.25" customHeight="1" x14ac:dyDescent="0.25">
      <c r="A18" s="40"/>
      <c r="B18" s="41" t="s">
        <v>26</v>
      </c>
      <c r="C18" s="42">
        <v>-24.91</v>
      </c>
      <c r="D18" s="52">
        <f>AVERAGE(G37,G77)</f>
        <v>-20.172939884749514</v>
      </c>
      <c r="E18" s="56"/>
      <c r="F18" s="57"/>
      <c r="G18" s="54"/>
      <c r="H18" s="55"/>
      <c r="I18" s="55"/>
      <c r="J18" s="54"/>
      <c r="K18" s="5"/>
      <c r="L18" s="5"/>
    </row>
    <row r="19" spans="1:20" s="1" customFormat="1" ht="11.25" customHeight="1" x14ac:dyDescent="0.25">
      <c r="A19" s="40"/>
      <c r="B19" s="5" t="s">
        <v>27</v>
      </c>
      <c r="C19" s="42"/>
      <c r="D19" s="52"/>
      <c r="E19" s="58">
        <v>2.7</v>
      </c>
      <c r="F19" s="57"/>
      <c r="G19" s="54"/>
      <c r="H19" s="55"/>
      <c r="I19" s="55"/>
      <c r="J19" s="54"/>
      <c r="K19" s="5"/>
      <c r="L19" s="5"/>
    </row>
    <row r="20" spans="1:20" s="1" customFormat="1" ht="11.25" customHeight="1" x14ac:dyDescent="0.25">
      <c r="A20" s="40"/>
      <c r="B20" s="5" t="s">
        <v>28</v>
      </c>
      <c r="C20" s="42"/>
      <c r="D20" s="52"/>
      <c r="E20" s="58">
        <v>180</v>
      </c>
      <c r="F20" s="57"/>
      <c r="G20" s="54"/>
      <c r="H20" s="55"/>
      <c r="I20" s="55"/>
      <c r="J20" s="54"/>
      <c r="K20" s="5"/>
      <c r="L20" s="5"/>
    </row>
    <row r="21" spans="1:20" s="1" customFormat="1" ht="11.25" customHeight="1" x14ac:dyDescent="0.25">
      <c r="A21" s="40"/>
      <c r="B21" s="5" t="s">
        <v>29</v>
      </c>
      <c r="C21" s="42"/>
      <c r="D21" s="52"/>
      <c r="E21" s="58">
        <v>-1.8</v>
      </c>
      <c r="F21" s="57"/>
      <c r="G21" s="54"/>
      <c r="H21" s="55"/>
      <c r="I21" s="55"/>
      <c r="J21" s="54"/>
      <c r="K21" s="5"/>
      <c r="L21" s="5"/>
    </row>
    <row r="22" spans="1:20" s="1" customFormat="1" ht="11.25" customHeight="1" x14ac:dyDescent="0.25">
      <c r="A22" s="40"/>
      <c r="B22" s="41" t="s">
        <v>30</v>
      </c>
      <c r="C22" s="40"/>
      <c r="D22" s="59"/>
      <c r="E22" s="53">
        <v>0.4</v>
      </c>
      <c r="F22" s="50">
        <f>AVERAGE(E40)</f>
        <v>1.2941196946578692</v>
      </c>
      <c r="G22" s="54"/>
      <c r="H22"/>
      <c r="I22"/>
      <c r="J22" s="54"/>
      <c r="K22" s="5"/>
      <c r="L22" s="5"/>
    </row>
    <row r="23" spans="1:20" s="1" customFormat="1" ht="11.25" customHeight="1" x14ac:dyDescent="0.25">
      <c r="A23" s="40"/>
      <c r="B23" s="41" t="s">
        <v>31</v>
      </c>
      <c r="C23" s="60"/>
      <c r="D23" s="59"/>
      <c r="E23" s="53">
        <v>20.3</v>
      </c>
      <c r="F23" s="50">
        <f>AVERAGE(E41)</f>
        <v>19.457758724372056</v>
      </c>
      <c r="G23" s="54"/>
      <c r="H23"/>
      <c r="I23"/>
      <c r="J23" s="54"/>
      <c r="K23" s="5"/>
      <c r="L23" s="5"/>
    </row>
    <row r="24" spans="1:20" s="1" customFormat="1" ht="11.25" customHeight="1" x14ac:dyDescent="0.25">
      <c r="A24" s="40"/>
      <c r="B24" s="41" t="s">
        <v>32</v>
      </c>
      <c r="C24" s="60"/>
      <c r="D24" s="52"/>
      <c r="E24" s="53">
        <v>4.7</v>
      </c>
      <c r="F24" s="50"/>
      <c r="G24" s="54"/>
      <c r="H24"/>
      <c r="I24"/>
      <c r="J24" s="54"/>
      <c r="K24" s="5"/>
      <c r="L24" s="5"/>
    </row>
    <row r="25" spans="1:20" customFormat="1" ht="11.25" customHeight="1" x14ac:dyDescent="0.25">
      <c r="A25" s="31"/>
      <c r="B25" s="61" t="s">
        <v>33</v>
      </c>
      <c r="C25" s="62"/>
      <c r="D25" s="61" t="s">
        <v>34</v>
      </c>
      <c r="E25" s="61"/>
      <c r="F25" s="62"/>
      <c r="G25" s="31"/>
      <c r="H25" s="62"/>
      <c r="I25" s="62"/>
      <c r="J25" s="63"/>
      <c r="K25" s="53"/>
      <c r="L25" s="53"/>
    </row>
    <row r="26" spans="1:20" customFormat="1" ht="11.25" customHeight="1" x14ac:dyDescent="0.25">
      <c r="A26" s="64" t="s">
        <v>35</v>
      </c>
      <c r="B26" s="53">
        <v>0.99329999999999996</v>
      </c>
      <c r="C26" s="65" t="s">
        <v>52</v>
      </c>
      <c r="D26" s="53">
        <v>-4.7687999999999997</v>
      </c>
      <c r="E26" s="53"/>
      <c r="F26" s="53"/>
      <c r="G26" s="40"/>
      <c r="H26" s="53"/>
      <c r="I26" s="53"/>
      <c r="J26" s="66"/>
      <c r="K26" s="53"/>
      <c r="L26" s="53"/>
    </row>
    <row r="27" spans="1:20" customFormat="1" ht="11.25" customHeight="1" x14ac:dyDescent="0.25">
      <c r="A27" s="64" t="s">
        <v>37</v>
      </c>
      <c r="B27" s="53">
        <v>1.0955999999999999</v>
      </c>
      <c r="C27" s="65"/>
      <c r="D27" s="67">
        <v>-1.0178</v>
      </c>
      <c r="E27" s="53"/>
      <c r="F27" s="53"/>
      <c r="G27" s="40"/>
      <c r="H27" s="53"/>
      <c r="I27" s="53"/>
      <c r="J27" s="66"/>
      <c r="K27" s="53"/>
      <c r="L27" s="53"/>
    </row>
    <row r="28" spans="1:20" customFormat="1" ht="11.25" customHeight="1" x14ac:dyDescent="0.25">
      <c r="A28" s="68" t="s">
        <v>38</v>
      </c>
      <c r="B28" s="53">
        <v>5.4258000000000001E-2</v>
      </c>
      <c r="C28" s="65" t="s">
        <v>36</v>
      </c>
      <c r="D28" s="67">
        <v>0</v>
      </c>
      <c r="E28" s="49"/>
      <c r="F28" s="53"/>
      <c r="G28" s="40"/>
      <c r="H28" s="53"/>
      <c r="I28" s="53"/>
      <c r="J28" s="66"/>
      <c r="K28" s="53"/>
      <c r="L28" s="53"/>
    </row>
    <row r="29" spans="1:20" customFormat="1" ht="11.25" customHeight="1" x14ac:dyDescent="0.25">
      <c r="A29" s="68" t="s">
        <v>39</v>
      </c>
      <c r="B29" s="53">
        <v>2.2131999999999999E-2</v>
      </c>
      <c r="C29" s="49" t="s">
        <v>36</v>
      </c>
      <c r="D29" s="69">
        <v>-1.24E-3</v>
      </c>
      <c r="E29" s="69"/>
      <c r="F29" s="69"/>
      <c r="G29" s="70"/>
      <c r="H29" s="69"/>
      <c r="I29" s="69"/>
      <c r="J29" s="71"/>
      <c r="K29" s="53"/>
      <c r="L29" s="53"/>
      <c r="Q29" s="72"/>
    </row>
    <row r="30" spans="1:20" s="1" customFormat="1" ht="11.25" customHeight="1" x14ac:dyDescent="0.2">
      <c r="A30" s="73"/>
      <c r="B30" s="49"/>
      <c r="C30" s="49"/>
      <c r="D30" s="49"/>
      <c r="E30" s="49"/>
      <c r="F30" s="49"/>
      <c r="G30" s="74"/>
      <c r="H30" s="49"/>
      <c r="I30" s="56"/>
      <c r="J30" s="41"/>
      <c r="K30" s="5"/>
      <c r="L30" s="5"/>
    </row>
    <row r="31" spans="1:20" s="1" customFormat="1" ht="12" customHeight="1" x14ac:dyDescent="0.2">
      <c r="I31" s="3"/>
      <c r="J31" s="4"/>
    </row>
    <row r="32" spans="1:20" s="1" customFormat="1" ht="11.25" customHeight="1" x14ac:dyDescent="0.2">
      <c r="A32" s="75"/>
      <c r="B32" s="75" t="s">
        <v>40</v>
      </c>
      <c r="C32" s="75" t="s">
        <v>54</v>
      </c>
      <c r="D32" s="75" t="s">
        <v>80</v>
      </c>
      <c r="E32" s="75" t="s">
        <v>41</v>
      </c>
      <c r="F32" s="75" t="s">
        <v>81</v>
      </c>
      <c r="G32" s="99" t="s">
        <v>42</v>
      </c>
      <c r="H32" s="76" t="s">
        <v>43</v>
      </c>
      <c r="I32" s="77" t="s">
        <v>44</v>
      </c>
      <c r="J32" s="77" t="s">
        <v>45</v>
      </c>
      <c r="K32" s="77" t="s">
        <v>46</v>
      </c>
      <c r="L32" s="77" t="s">
        <v>47</v>
      </c>
      <c r="M32" s="77" t="s">
        <v>38</v>
      </c>
      <c r="N32" s="77" t="s">
        <v>38</v>
      </c>
      <c r="O32" s="77" t="s">
        <v>48</v>
      </c>
      <c r="P32" s="77" t="s">
        <v>49</v>
      </c>
      <c r="Q32" s="77" t="s">
        <v>39</v>
      </c>
      <c r="R32" s="77" t="s">
        <v>39</v>
      </c>
      <c r="S32" s="77" t="s">
        <v>50</v>
      </c>
      <c r="T32" s="77" t="s">
        <v>51</v>
      </c>
    </row>
    <row r="33" spans="1:20" s="90" customFormat="1" ht="11.25" customHeight="1" x14ac:dyDescent="0.2">
      <c r="A33" s="117">
        <v>30</v>
      </c>
      <c r="B33" s="117" t="s">
        <v>55</v>
      </c>
      <c r="C33" s="105">
        <v>1.1060000000000001</v>
      </c>
      <c r="D33" s="105">
        <v>1.5089465</v>
      </c>
      <c r="E33" s="105">
        <v>4.1067555753699914</v>
      </c>
      <c r="F33" s="105">
        <v>8.9779660000000003</v>
      </c>
      <c r="G33" s="105">
        <v>-21.414004683809786</v>
      </c>
      <c r="H33" s="100">
        <f>$B$26*G33+$D$26</f>
        <v>-26.039330852428257</v>
      </c>
      <c r="I33" s="86">
        <f t="shared" ref="I33:I79" si="0">$B$27*E33+$D$27</f>
        <v>3.4815614083753621</v>
      </c>
      <c r="J33" s="87">
        <f t="shared" ref="J33:J79" si="1">(F33)/C33</f>
        <v>8.1175099457504523</v>
      </c>
      <c r="K33" s="87">
        <f>H$14</f>
        <v>44.65</v>
      </c>
      <c r="L33" s="87">
        <f>I$14</f>
        <v>2.83</v>
      </c>
      <c r="M33" s="87">
        <f t="shared" ref="M33:M79" si="2">C33*(K33/100)</f>
        <v>0.49382900000000007</v>
      </c>
      <c r="N33" s="88">
        <f t="shared" ref="N33:N79" si="3">F33*$B$28+$D$28</f>
        <v>0.48712647922800001</v>
      </c>
      <c r="O33" s="91">
        <f t="shared" ref="O33:O79" si="4">N33/C33*100</f>
        <v>44.043985463652803</v>
      </c>
      <c r="P33" s="87">
        <f t="shared" ref="P33:P79" si="5">D33/C33</f>
        <v>1.3643277576853525</v>
      </c>
      <c r="Q33" s="87">
        <f t="shared" ref="Q33:Q36" si="6">C33*(L33/100)</f>
        <v>3.1299800000000003E-2</v>
      </c>
      <c r="R33" s="88">
        <f t="shared" ref="R33:R79" si="7">D33*$B$29+$D$29</f>
        <v>3.2156003938E-2</v>
      </c>
      <c r="S33" s="89">
        <f t="shared" ref="S33:S79" si="8">R33/C33*100</f>
        <v>2.9074144609403252</v>
      </c>
      <c r="T33" s="86">
        <f t="shared" ref="T33:T79" si="9">N33/R33</f>
        <v>15.148849968025527</v>
      </c>
    </row>
    <row r="34" spans="1:20" s="90" customFormat="1" ht="11.25" customHeight="1" x14ac:dyDescent="0.2">
      <c r="A34" s="117">
        <v>31</v>
      </c>
      <c r="B34" s="117" t="s">
        <v>56</v>
      </c>
      <c r="C34" s="105">
        <v>1.137</v>
      </c>
      <c r="D34" s="105">
        <v>1.5229701250000001</v>
      </c>
      <c r="E34" s="105">
        <v>2.8957636081279325</v>
      </c>
      <c r="F34" s="105">
        <v>9.1975569999999998</v>
      </c>
      <c r="G34" s="105">
        <v>-21.322140205329617</v>
      </c>
      <c r="H34" s="100">
        <f t="shared" ref="H34:H79" si="10">$B$26*G34+$D$26</f>
        <v>-25.948081865953906</v>
      </c>
      <c r="I34" s="86">
        <f t="shared" si="0"/>
        <v>2.1547986090649625</v>
      </c>
      <c r="J34" s="87">
        <f t="shared" si="1"/>
        <v>8.0893201407211954</v>
      </c>
      <c r="K34" s="87">
        <f t="shared" ref="K34:L36" si="11">H$14</f>
        <v>44.65</v>
      </c>
      <c r="L34" s="87">
        <f t="shared" si="11"/>
        <v>2.83</v>
      </c>
      <c r="M34" s="87">
        <f t="shared" si="2"/>
        <v>0.50767050000000002</v>
      </c>
      <c r="N34" s="88">
        <f t="shared" si="3"/>
        <v>0.499041047706</v>
      </c>
      <c r="O34" s="91">
        <f t="shared" si="4"/>
        <v>43.891033219525063</v>
      </c>
      <c r="P34" s="87">
        <f t="shared" si="5"/>
        <v>1.3394636103781883</v>
      </c>
      <c r="Q34" s="87">
        <f t="shared" si="6"/>
        <v>3.21771E-2</v>
      </c>
      <c r="R34" s="88">
        <f t="shared" si="7"/>
        <v>3.2466374806500005E-2</v>
      </c>
      <c r="S34" s="89">
        <f t="shared" si="8"/>
        <v>2.8554419354881273</v>
      </c>
      <c r="T34" s="86">
        <f t="shared" si="9"/>
        <v>15.371012337542791</v>
      </c>
    </row>
    <row r="35" spans="1:20" s="90" customFormat="1" ht="11.25" customHeight="1" x14ac:dyDescent="0.2">
      <c r="A35" s="117">
        <v>32</v>
      </c>
      <c r="B35" s="117" t="s">
        <v>57</v>
      </c>
      <c r="C35" s="105">
        <v>0.79900000000000004</v>
      </c>
      <c r="D35" s="105">
        <v>1.1197581249999999</v>
      </c>
      <c r="E35" s="105">
        <v>2.3540991891730645</v>
      </c>
      <c r="F35" s="105">
        <v>6.5651780000000004</v>
      </c>
      <c r="G35" s="105">
        <v>-21.321108930752715</v>
      </c>
      <c r="H35" s="100">
        <f t="shared" si="10"/>
        <v>-25.947057500916671</v>
      </c>
      <c r="I35" s="86">
        <f t="shared" si="0"/>
        <v>1.5613510716580092</v>
      </c>
      <c r="J35" s="87">
        <f t="shared" si="1"/>
        <v>8.2167434292866091</v>
      </c>
      <c r="K35" s="87">
        <f t="shared" si="11"/>
        <v>44.65</v>
      </c>
      <c r="L35" s="87">
        <f t="shared" si="11"/>
        <v>2.83</v>
      </c>
      <c r="M35" s="87">
        <f t="shared" si="2"/>
        <v>0.3567535</v>
      </c>
      <c r="N35" s="88">
        <f t="shared" si="3"/>
        <v>0.35621342792400001</v>
      </c>
      <c r="O35" s="91">
        <f t="shared" si="4"/>
        <v>44.582406498623278</v>
      </c>
      <c r="P35" s="87">
        <f t="shared" si="5"/>
        <v>1.4014494680851062</v>
      </c>
      <c r="Q35" s="87">
        <f t="shared" si="6"/>
        <v>2.2611700000000002E-2</v>
      </c>
      <c r="R35" s="88">
        <f t="shared" si="7"/>
        <v>2.3542486822499997E-2</v>
      </c>
      <c r="S35" s="89">
        <f t="shared" si="8"/>
        <v>2.9464939702753434</v>
      </c>
      <c r="T35" s="86">
        <f t="shared" si="9"/>
        <v>15.130662729459836</v>
      </c>
    </row>
    <row r="36" spans="1:20" s="90" customFormat="1" ht="11.25" customHeight="1" x14ac:dyDescent="0.2">
      <c r="A36" s="117">
        <v>33</v>
      </c>
      <c r="B36" s="117" t="s">
        <v>58</v>
      </c>
      <c r="C36" s="105">
        <v>1.099</v>
      </c>
      <c r="D36" s="105">
        <v>1.53150075</v>
      </c>
      <c r="E36" s="105">
        <v>2.4792808452493986</v>
      </c>
      <c r="F36" s="105">
        <v>9.0147840000000006</v>
      </c>
      <c r="G36" s="105">
        <v>-21.330196814149641</v>
      </c>
      <c r="H36" s="100">
        <f t="shared" si="10"/>
        <v>-25.956084495494835</v>
      </c>
      <c r="I36" s="86">
        <f t="shared" si="0"/>
        <v>1.6985000940552408</v>
      </c>
      <c r="J36" s="87">
        <f t="shared" si="1"/>
        <v>8.2027151956323934</v>
      </c>
      <c r="K36" s="87">
        <f t="shared" si="11"/>
        <v>44.65</v>
      </c>
      <c r="L36" s="87">
        <f t="shared" si="11"/>
        <v>2.83</v>
      </c>
      <c r="M36" s="87">
        <f t="shared" si="2"/>
        <v>0.49070350000000001</v>
      </c>
      <c r="N36" s="88">
        <f t="shared" si="3"/>
        <v>0.48912415027200001</v>
      </c>
      <c r="O36" s="91">
        <f t="shared" si="4"/>
        <v>44.50629210846224</v>
      </c>
      <c r="P36" s="87">
        <f t="shared" si="5"/>
        <v>1.3935402638762511</v>
      </c>
      <c r="Q36" s="87">
        <f t="shared" si="6"/>
        <v>3.1101700000000003E-2</v>
      </c>
      <c r="R36" s="88">
        <f t="shared" si="7"/>
        <v>3.2655174598999998E-2</v>
      </c>
      <c r="S36" s="89">
        <f t="shared" si="8"/>
        <v>2.9713534666969972</v>
      </c>
      <c r="T36" s="86">
        <f t="shared" si="9"/>
        <v>14.978457664929421</v>
      </c>
    </row>
    <row r="37" spans="1:20" s="1" customFormat="1" ht="11.25" customHeight="1" x14ac:dyDescent="0.2">
      <c r="A37" s="83">
        <v>34</v>
      </c>
      <c r="B37" s="83" t="s">
        <v>60</v>
      </c>
      <c r="C37" s="84">
        <v>0.69</v>
      </c>
      <c r="D37" s="84">
        <v>0.43102809375000001</v>
      </c>
      <c r="E37" s="84">
        <v>-4.0618389730353588</v>
      </c>
      <c r="F37" s="84">
        <v>5.2117529999999999</v>
      </c>
      <c r="G37" s="84">
        <v>-19.939056758136015</v>
      </c>
      <c r="H37" s="101">
        <f t="shared" si="10"/>
        <v>-24.574265077856502</v>
      </c>
      <c r="I37" s="78">
        <f t="shared" si="0"/>
        <v>-5.4679507788575386</v>
      </c>
      <c r="J37" s="79">
        <f t="shared" si="1"/>
        <v>7.5532652173913046</v>
      </c>
      <c r="K37" s="79"/>
      <c r="L37" s="79"/>
      <c r="M37" s="79">
        <f t="shared" si="2"/>
        <v>0</v>
      </c>
      <c r="N37" s="80">
        <f t="shared" si="3"/>
        <v>0.282779294274</v>
      </c>
      <c r="O37" s="81">
        <f t="shared" si="4"/>
        <v>40.982506416521744</v>
      </c>
      <c r="P37" s="79">
        <f t="shared" si="5"/>
        <v>0.6246783967391305</v>
      </c>
      <c r="Q37" s="79"/>
      <c r="R37" s="80">
        <f t="shared" si="7"/>
        <v>8.2995137708750007E-3</v>
      </c>
      <c r="S37" s="82">
        <f t="shared" si="8"/>
        <v>1.2028280827355073</v>
      </c>
      <c r="T37" s="78">
        <f t="shared" si="9"/>
        <v>34.071790478418251</v>
      </c>
    </row>
    <row r="38" spans="1:20" s="1" customFormat="1" ht="11.25" customHeight="1" x14ac:dyDescent="0.2">
      <c r="A38" s="95">
        <v>35</v>
      </c>
      <c r="B38" s="95" t="s">
        <v>66</v>
      </c>
      <c r="C38" s="96">
        <v>1.046</v>
      </c>
      <c r="D38" s="96">
        <v>0.60964462500000005</v>
      </c>
      <c r="E38" s="96">
        <v>-3.2024072598659803</v>
      </c>
      <c r="F38" s="96">
        <v>7.9380335000000004</v>
      </c>
      <c r="G38" s="96">
        <v>-5.9671570699357881</v>
      </c>
      <c r="H38" s="101">
        <f t="shared" si="10"/>
        <v>-10.695977117567217</v>
      </c>
      <c r="I38" s="78">
        <f t="shared" si="0"/>
        <v>-4.5263573939091675</v>
      </c>
      <c r="J38" s="79">
        <f t="shared" si="1"/>
        <v>7.5889421606118548</v>
      </c>
      <c r="K38" s="79"/>
      <c r="L38" s="79"/>
      <c r="M38" s="79">
        <f t="shared" si="2"/>
        <v>0</v>
      </c>
      <c r="N38" s="80">
        <f t="shared" si="3"/>
        <v>0.43070182164300003</v>
      </c>
      <c r="O38" s="81">
        <f t="shared" si="4"/>
        <v>41.176082375047798</v>
      </c>
      <c r="P38" s="79">
        <f t="shared" si="5"/>
        <v>0.58283424952198859</v>
      </c>
      <c r="Q38" s="79"/>
      <c r="R38" s="80">
        <f t="shared" si="7"/>
        <v>1.2252654840500001E-2</v>
      </c>
      <c r="S38" s="82">
        <f t="shared" si="8"/>
        <v>1.1713819159177821</v>
      </c>
      <c r="T38" s="78">
        <f t="shared" si="9"/>
        <v>35.151714240684846</v>
      </c>
    </row>
    <row r="39" spans="1:20" s="1" customFormat="1" ht="11.25" customHeight="1" x14ac:dyDescent="0.2">
      <c r="A39" s="83">
        <v>36</v>
      </c>
      <c r="B39" s="83" t="s">
        <v>65</v>
      </c>
      <c r="C39" s="84">
        <v>1.554</v>
      </c>
      <c r="D39" s="84">
        <v>0.63098931250000001</v>
      </c>
      <c r="E39" s="84">
        <v>-2.6379382741108515</v>
      </c>
      <c r="F39" s="84">
        <v>5.2218615000000002</v>
      </c>
      <c r="G39" s="84">
        <v>-13.521096736902257</v>
      </c>
      <c r="H39" s="101">
        <f t="shared" si="10"/>
        <v>-18.199305388765012</v>
      </c>
      <c r="I39" s="78">
        <f t="shared" si="0"/>
        <v>-3.9079251731158484</v>
      </c>
      <c r="J39" s="79">
        <f t="shared" si="1"/>
        <v>3.3602712355212354</v>
      </c>
      <c r="K39" s="79"/>
      <c r="L39" s="79"/>
      <c r="M39" s="79">
        <f t="shared" si="2"/>
        <v>0</v>
      </c>
      <c r="N39" s="80">
        <f t="shared" si="3"/>
        <v>0.28332776126699999</v>
      </c>
      <c r="O39" s="81">
        <f t="shared" si="4"/>
        <v>18.232159669691121</v>
      </c>
      <c r="P39" s="79">
        <f t="shared" si="5"/>
        <v>0.40604202863577865</v>
      </c>
      <c r="Q39" s="79"/>
      <c r="R39" s="80">
        <f t="shared" si="7"/>
        <v>1.272505546425E-2</v>
      </c>
      <c r="S39" s="82">
        <f t="shared" si="8"/>
        <v>0.81885813798262541</v>
      </c>
      <c r="T39" s="78">
        <f t="shared" si="9"/>
        <v>22.265345881044379</v>
      </c>
    </row>
    <row r="40" spans="1:20" s="1" customFormat="1" ht="11.25" customHeight="1" x14ac:dyDescent="0.2">
      <c r="A40" s="95">
        <v>37</v>
      </c>
      <c r="B40" s="95" t="s">
        <v>67</v>
      </c>
      <c r="C40" s="96">
        <v>0.441</v>
      </c>
      <c r="D40" s="96">
        <v>4.4275545000000003</v>
      </c>
      <c r="E40" s="96">
        <v>1.2941196946578692</v>
      </c>
      <c r="F40" s="96">
        <v>1.0271145507812499E-2</v>
      </c>
      <c r="G40" s="96">
        <v>-14.919924733913625</v>
      </c>
      <c r="H40" s="101">
        <f t="shared" si="10"/>
        <v>-19.588761238196401</v>
      </c>
      <c r="I40" s="78">
        <f t="shared" si="0"/>
        <v>0.40003753746716142</v>
      </c>
      <c r="J40" s="79">
        <f t="shared" si="1"/>
        <v>2.3290579382794784E-2</v>
      </c>
      <c r="K40" s="79"/>
      <c r="L40" s="79"/>
      <c r="M40" s="79">
        <f t="shared" si="2"/>
        <v>0</v>
      </c>
      <c r="N40" s="80">
        <f t="shared" si="3"/>
        <v>5.572918129628906E-4</v>
      </c>
      <c r="O40" s="81">
        <f t="shared" si="4"/>
        <v>0.12637002561516791</v>
      </c>
      <c r="P40" s="79">
        <f t="shared" si="5"/>
        <v>10.039806122448979</v>
      </c>
      <c r="Q40" s="79"/>
      <c r="R40" s="80">
        <f t="shared" si="7"/>
        <v>9.6750636193999998E-2</v>
      </c>
      <c r="S40" s="82">
        <f t="shared" si="8"/>
        <v>21.938919771882084</v>
      </c>
      <c r="T40" s="78">
        <f t="shared" si="9"/>
        <v>5.76008422151803E-3</v>
      </c>
    </row>
    <row r="41" spans="1:20" s="1" customFormat="1" ht="11.25" customHeight="1" x14ac:dyDescent="0.2">
      <c r="A41" s="83">
        <v>38</v>
      </c>
      <c r="B41" s="83" t="s">
        <v>68</v>
      </c>
      <c r="C41" s="84">
        <v>0.50800000000000001</v>
      </c>
      <c r="D41" s="84">
        <v>4.9898084999999996</v>
      </c>
      <c r="E41" s="84">
        <v>19.457758724372056</v>
      </c>
      <c r="F41" s="84">
        <v>8.6221757812499997E-3</v>
      </c>
      <c r="G41" s="84">
        <v>-18.489121371352017</v>
      </c>
      <c r="H41" s="101">
        <f t="shared" si="10"/>
        <v>-23.134044258163957</v>
      </c>
      <c r="I41" s="78">
        <f t="shared" si="0"/>
        <v>20.300120458422022</v>
      </c>
      <c r="J41" s="79">
        <f t="shared" si="1"/>
        <v>1.6972786970964566E-2</v>
      </c>
      <c r="K41" s="79"/>
      <c r="L41" s="79"/>
      <c r="M41" s="79">
        <f t="shared" si="2"/>
        <v>0</v>
      </c>
      <c r="N41" s="80">
        <f t="shared" si="3"/>
        <v>4.6782201353906251E-4</v>
      </c>
      <c r="O41" s="81">
        <f t="shared" si="4"/>
        <v>9.2090947547059543E-2</v>
      </c>
      <c r="P41" s="79">
        <f t="shared" si="5"/>
        <v>9.8224576771653531</v>
      </c>
      <c r="Q41" s="79"/>
      <c r="R41" s="80">
        <f t="shared" si="7"/>
        <v>0.10919444172199998</v>
      </c>
      <c r="S41" s="82">
        <f t="shared" si="8"/>
        <v>21.49496884291338</v>
      </c>
      <c r="T41" s="78">
        <f t="shared" si="9"/>
        <v>4.2843024439842706E-3</v>
      </c>
    </row>
    <row r="42" spans="1:20" s="90" customFormat="1" ht="11.25" customHeight="1" x14ac:dyDescent="0.2">
      <c r="A42" s="117">
        <v>39</v>
      </c>
      <c r="B42" s="117" t="s">
        <v>59</v>
      </c>
      <c r="C42" s="105">
        <v>0.89700000000000002</v>
      </c>
      <c r="D42" s="105">
        <v>1.4057626249999999</v>
      </c>
      <c r="E42" s="105">
        <v>1.1907049827515337</v>
      </c>
      <c r="F42" s="105">
        <v>7.4608654999999997</v>
      </c>
      <c r="G42" s="105">
        <v>-20.890378079207977</v>
      </c>
      <c r="H42" s="100">
        <f t="shared" si="10"/>
        <v>-25.519212546077281</v>
      </c>
      <c r="I42" s="86">
        <f t="shared" si="0"/>
        <v>0.2867363791025801</v>
      </c>
      <c r="J42" s="87">
        <f t="shared" si="1"/>
        <v>8.3175758082497211</v>
      </c>
      <c r="K42" s="87">
        <f t="shared" ref="K42" si="12">H$14</f>
        <v>44.65</v>
      </c>
      <c r="L42" s="87">
        <f t="shared" ref="L42" si="13">I$14</f>
        <v>2.83</v>
      </c>
      <c r="M42" s="87">
        <f t="shared" ref="M42" si="14">C42*(K42/100)</f>
        <v>0.40051049999999999</v>
      </c>
      <c r="N42" s="88">
        <f t="shared" ref="N42" si="15">F42*$B$28+$D$28</f>
        <v>0.40481164029899996</v>
      </c>
      <c r="O42" s="91">
        <f t="shared" ref="O42" si="16">N42/C42*100</f>
        <v>45.129502820401335</v>
      </c>
      <c r="P42" s="87">
        <f t="shared" ref="P42" si="17">D42/C42</f>
        <v>1.5671824136008918</v>
      </c>
      <c r="Q42" s="87">
        <f t="shared" ref="Q42" si="18">C42*(L42/100)</f>
        <v>2.5385100000000004E-2</v>
      </c>
      <c r="R42" s="88">
        <f t="shared" si="7"/>
        <v>2.9872338416499996E-2</v>
      </c>
      <c r="S42" s="89">
        <f t="shared" si="8"/>
        <v>3.3302495447603118</v>
      </c>
      <c r="T42" s="86">
        <f t="shared" si="9"/>
        <v>13.55138773050998</v>
      </c>
    </row>
    <row r="43" spans="1:20" s="126" customFormat="1" ht="11.25" customHeight="1" x14ac:dyDescent="0.2">
      <c r="A43" s="119">
        <v>40</v>
      </c>
      <c r="B43" s="119" t="s">
        <v>87</v>
      </c>
      <c r="C43" s="120">
        <v>1.675</v>
      </c>
      <c r="D43" s="120">
        <v>0.74855731250000002</v>
      </c>
      <c r="E43" s="120">
        <v>-1.0257962206445814</v>
      </c>
      <c r="F43" s="120">
        <v>1.0028758124999999</v>
      </c>
      <c r="G43" s="120">
        <v>-14.774332499855195</v>
      </c>
      <c r="H43" s="121">
        <f t="shared" si="10"/>
        <v>-19.444144472106164</v>
      </c>
      <c r="I43" s="122">
        <f t="shared" si="0"/>
        <v>-2.141662339338203</v>
      </c>
      <c r="J43" s="118">
        <f t="shared" si="1"/>
        <v>0.59873182835820893</v>
      </c>
      <c r="K43" s="118">
        <f>H$13</f>
        <v>3.3479999999999999</v>
      </c>
      <c r="L43" s="118"/>
      <c r="M43" s="118">
        <f t="shared" ref="M43" si="19">C43*(K43/100)</f>
        <v>5.6078999999999997E-2</v>
      </c>
      <c r="N43" s="123">
        <f t="shared" ref="N43" si="20">F43*$B$28+$D$28</f>
        <v>5.4414035834624994E-2</v>
      </c>
      <c r="O43" s="124">
        <f t="shared" ref="O43" si="21">N43/C43*100</f>
        <v>3.2485991543059702</v>
      </c>
      <c r="P43" s="118">
        <f t="shared" ref="P43" si="22">D43/C43</f>
        <v>0.44689988805970149</v>
      </c>
      <c r="Q43" s="118"/>
      <c r="R43" s="123">
        <f t="shared" si="7"/>
        <v>1.532707044025E-2</v>
      </c>
      <c r="S43" s="125">
        <f t="shared" si="8"/>
        <v>0.91504898150746272</v>
      </c>
      <c r="T43" s="122">
        <f t="shared" si="9"/>
        <v>3.5501915416092684</v>
      </c>
    </row>
    <row r="44" spans="1:20" s="1" customFormat="1" ht="11.25" customHeight="1" x14ac:dyDescent="0.2">
      <c r="A44" s="95">
        <v>41</v>
      </c>
      <c r="B44" s="95" t="s">
        <v>88</v>
      </c>
      <c r="C44" s="96">
        <v>1.85</v>
      </c>
      <c r="D44" s="96">
        <v>0.82722743750000005</v>
      </c>
      <c r="E44" s="96">
        <v>0.11620440662407638</v>
      </c>
      <c r="F44" s="96">
        <v>3.5384380000000002</v>
      </c>
      <c r="G44" s="96">
        <v>-21.821340790504291</v>
      </c>
      <c r="H44" s="101">
        <f t="shared" si="10"/>
        <v>-26.443937807207909</v>
      </c>
      <c r="I44" s="78">
        <f t="shared" si="0"/>
        <v>-0.89048645210266197</v>
      </c>
      <c r="J44" s="79">
        <f t="shared" si="1"/>
        <v>1.9126691891891892</v>
      </c>
      <c r="K44" s="79"/>
      <c r="L44" s="79"/>
      <c r="M44" s="79">
        <f t="shared" ref="M44" si="23">C44*(K44/100)</f>
        <v>0</v>
      </c>
      <c r="N44" s="80">
        <f t="shared" ref="N44" si="24">F44*$B$28+$D$28</f>
        <v>0.19198856900400002</v>
      </c>
      <c r="O44" s="81">
        <f t="shared" ref="O44" si="25">N44/C44*100</f>
        <v>10.377760486702703</v>
      </c>
      <c r="P44" s="79">
        <f t="shared" ref="P44" si="26">D44/C44</f>
        <v>0.44714996621621622</v>
      </c>
      <c r="Q44" s="79"/>
      <c r="R44" s="80">
        <f t="shared" si="7"/>
        <v>1.7068197646749998E-2</v>
      </c>
      <c r="S44" s="82">
        <f t="shared" si="8"/>
        <v>0.92260527820270255</v>
      </c>
      <c r="T44" s="78">
        <f t="shared" si="9"/>
        <v>11.248321174705701</v>
      </c>
    </row>
    <row r="45" spans="1:20" s="1" customFormat="1" ht="11.25" customHeight="1" x14ac:dyDescent="0.2">
      <c r="A45" s="83">
        <v>42</v>
      </c>
      <c r="B45" s="83" t="s">
        <v>89</v>
      </c>
      <c r="C45" s="84">
        <v>2.2530000000000001</v>
      </c>
      <c r="D45" s="84">
        <v>1.1734763749999999</v>
      </c>
      <c r="E45" s="84">
        <v>1.8729880525116815</v>
      </c>
      <c r="F45" s="84">
        <v>8.1786999999999992</v>
      </c>
      <c r="G45" s="84">
        <v>-20.826089451994573</v>
      </c>
      <c r="H45" s="101">
        <f t="shared" si="10"/>
        <v>-25.455354652666209</v>
      </c>
      <c r="I45" s="78">
        <f t="shared" si="0"/>
        <v>1.0342457103317979</v>
      </c>
      <c r="J45" s="79">
        <f t="shared" si="1"/>
        <v>3.6301375943186858</v>
      </c>
      <c r="K45" s="79"/>
      <c r="L45" s="79"/>
      <c r="M45" s="79">
        <f t="shared" si="2"/>
        <v>0</v>
      </c>
      <c r="N45" s="80">
        <f t="shared" si="3"/>
        <v>0.44375990459999998</v>
      </c>
      <c r="O45" s="81">
        <f t="shared" si="4"/>
        <v>19.696400559254325</v>
      </c>
      <c r="P45" s="79">
        <f t="shared" si="5"/>
        <v>0.52085058810474916</v>
      </c>
      <c r="Q45" s="79"/>
      <c r="R45" s="80">
        <f t="shared" si="7"/>
        <v>2.4731379131499996E-2</v>
      </c>
      <c r="S45" s="82">
        <f t="shared" si="8"/>
        <v>1.0977087941189523</v>
      </c>
      <c r="T45" s="78">
        <f t="shared" si="9"/>
        <v>17.943192825619235</v>
      </c>
    </row>
    <row r="46" spans="1:20" s="1" customFormat="1" ht="11.25" customHeight="1" x14ac:dyDescent="0.2">
      <c r="A46" s="95">
        <v>43</v>
      </c>
      <c r="B46" s="95" t="s">
        <v>90</v>
      </c>
      <c r="C46" s="96">
        <v>1.899</v>
      </c>
      <c r="D46" s="96">
        <v>0.40452746875000001</v>
      </c>
      <c r="E46" s="96">
        <v>0.91687344275381832</v>
      </c>
      <c r="F46" s="96">
        <v>2.2489254999999999</v>
      </c>
      <c r="G46" s="96">
        <v>-21.300012214034261</v>
      </c>
      <c r="H46" s="101">
        <f t="shared" si="10"/>
        <v>-25.926102132200228</v>
      </c>
      <c r="I46" s="78">
        <f t="shared" si="0"/>
        <v>-1.3273456118916727E-2</v>
      </c>
      <c r="J46" s="79">
        <f t="shared" si="1"/>
        <v>1.1842682991047919</v>
      </c>
      <c r="K46" s="79"/>
      <c r="L46" s="79"/>
      <c r="M46" s="79">
        <f t="shared" si="2"/>
        <v>0</v>
      </c>
      <c r="N46" s="80">
        <f t="shared" si="3"/>
        <v>0.122022199779</v>
      </c>
      <c r="O46" s="81">
        <f t="shared" si="4"/>
        <v>6.4256029372827799</v>
      </c>
      <c r="P46" s="79">
        <f t="shared" si="5"/>
        <v>0.21302131055818851</v>
      </c>
      <c r="Q46" s="79"/>
      <c r="R46" s="80">
        <f t="shared" si="7"/>
        <v>7.7130019383749998E-3</v>
      </c>
      <c r="S46" s="82">
        <f t="shared" si="8"/>
        <v>0.40616123951421801</v>
      </c>
      <c r="T46" s="78">
        <f t="shared" si="9"/>
        <v>15.820325309643062</v>
      </c>
    </row>
    <row r="47" spans="1:20" s="1" customFormat="1" ht="11.25" customHeight="1" x14ac:dyDescent="0.2">
      <c r="A47" s="83">
        <v>44</v>
      </c>
      <c r="B47" s="83" t="s">
        <v>91</v>
      </c>
      <c r="C47" s="84">
        <v>2.0249999999999999</v>
      </c>
      <c r="D47" s="84">
        <v>0.76069575</v>
      </c>
      <c r="E47" s="84">
        <v>1.3994919646438397</v>
      </c>
      <c r="F47" s="84">
        <v>8.4483800000000002</v>
      </c>
      <c r="G47" s="84">
        <v>-21.607738615614373</v>
      </c>
      <c r="H47" s="101">
        <f t="shared" si="10"/>
        <v>-26.231766766889756</v>
      </c>
      <c r="I47" s="78">
        <f t="shared" si="0"/>
        <v>0.5154833964637906</v>
      </c>
      <c r="J47" s="79">
        <f t="shared" si="1"/>
        <v>4.1720395061728395</v>
      </c>
      <c r="K47" s="79"/>
      <c r="L47" s="79"/>
      <c r="M47" s="79">
        <f t="shared" si="2"/>
        <v>0</v>
      </c>
      <c r="N47" s="80">
        <f t="shared" si="3"/>
        <v>0.45839220204000003</v>
      </c>
      <c r="O47" s="81">
        <f t="shared" si="4"/>
        <v>22.636651952592597</v>
      </c>
      <c r="P47" s="79">
        <f t="shared" si="5"/>
        <v>0.37565222222222222</v>
      </c>
      <c r="Q47" s="79"/>
      <c r="R47" s="80">
        <f t="shared" si="7"/>
        <v>1.5595718338999998E-2</v>
      </c>
      <c r="S47" s="82">
        <f t="shared" si="8"/>
        <v>0.77015893032098759</v>
      </c>
      <c r="T47" s="78">
        <f t="shared" si="9"/>
        <v>29.392182653985547</v>
      </c>
    </row>
    <row r="48" spans="1:20" s="1" customFormat="1" ht="11.25" customHeight="1" x14ac:dyDescent="0.2">
      <c r="A48" s="95">
        <v>45</v>
      </c>
      <c r="B48" s="95" t="s">
        <v>92</v>
      </c>
      <c r="C48" s="96">
        <v>2.375</v>
      </c>
      <c r="D48" s="96">
        <v>0.43351753124999998</v>
      </c>
      <c r="E48" s="96">
        <v>3.0537940170307643</v>
      </c>
      <c r="F48" s="96">
        <v>4.3568505000000002</v>
      </c>
      <c r="G48" s="96">
        <v>-21.095167686141682</v>
      </c>
      <c r="H48" s="101">
        <f t="shared" si="10"/>
        <v>-25.72263006264453</v>
      </c>
      <c r="I48" s="78">
        <f t="shared" si="0"/>
        <v>2.3279367250589047</v>
      </c>
      <c r="J48" s="79">
        <f t="shared" si="1"/>
        <v>1.8344633684210527</v>
      </c>
      <c r="K48" s="79"/>
      <c r="L48" s="79"/>
      <c r="M48" s="79">
        <f t="shared" si="2"/>
        <v>0</v>
      </c>
      <c r="N48" s="80">
        <f t="shared" si="3"/>
        <v>0.23639399442900003</v>
      </c>
      <c r="O48" s="81">
        <f t="shared" si="4"/>
        <v>9.9534313443789486</v>
      </c>
      <c r="P48" s="79">
        <f t="shared" si="5"/>
        <v>0.18253369736842104</v>
      </c>
      <c r="Q48" s="79"/>
      <c r="R48" s="80">
        <f t="shared" si="7"/>
        <v>8.3546100016249989E-3</v>
      </c>
      <c r="S48" s="82">
        <f t="shared" si="8"/>
        <v>0.35177305269999992</v>
      </c>
      <c r="T48" s="78">
        <f t="shared" si="9"/>
        <v>28.295036438926608</v>
      </c>
    </row>
    <row r="49" spans="1:20" s="1" customFormat="1" ht="11.25" customHeight="1" x14ac:dyDescent="0.2">
      <c r="A49" s="83">
        <v>46</v>
      </c>
      <c r="B49" s="83" t="s">
        <v>93</v>
      </c>
      <c r="C49" s="84">
        <v>2.0550000000000002</v>
      </c>
      <c r="D49" s="84">
        <v>0.22826857812500001</v>
      </c>
      <c r="E49" s="84">
        <v>3.6730644409579405</v>
      </c>
      <c r="F49" s="84">
        <v>1.344137125</v>
      </c>
      <c r="G49" s="84">
        <v>-21.394488910642064</v>
      </c>
      <c r="H49" s="101">
        <f t="shared" si="10"/>
        <v>-26.01994583494076</v>
      </c>
      <c r="I49" s="78">
        <f t="shared" si="0"/>
        <v>3.006409401513519</v>
      </c>
      <c r="J49" s="79">
        <f t="shared" si="1"/>
        <v>0.65408132603406322</v>
      </c>
      <c r="K49" s="79"/>
      <c r="L49" s="79"/>
      <c r="M49" s="79">
        <f t="shared" si="2"/>
        <v>0</v>
      </c>
      <c r="N49" s="80">
        <f>F49*$B$28+$D$28</f>
        <v>7.2930192128249999E-2</v>
      </c>
      <c r="O49" s="81">
        <f>N49/C49*100</f>
        <v>3.5489144587956196</v>
      </c>
      <c r="P49" s="79">
        <f t="shared" si="5"/>
        <v>0.11107960006082725</v>
      </c>
      <c r="Q49" s="79"/>
      <c r="R49" s="80">
        <f t="shared" si="7"/>
        <v>3.8120401710625001E-3</v>
      </c>
      <c r="S49" s="82">
        <f t="shared" si="8"/>
        <v>0.18550073825121655</v>
      </c>
      <c r="T49" s="78">
        <f t="shared" si="9"/>
        <v>19.131538193607948</v>
      </c>
    </row>
    <row r="50" spans="1:20" s="1" customFormat="1" ht="11.25" customHeight="1" x14ac:dyDescent="0.2">
      <c r="A50" s="95">
        <v>47</v>
      </c>
      <c r="B50" s="95" t="s">
        <v>94</v>
      </c>
      <c r="C50" s="96">
        <v>1.9259999999999999</v>
      </c>
      <c r="D50" s="96">
        <v>0.32061221875000001</v>
      </c>
      <c r="E50" s="96">
        <v>4.7864659199357007</v>
      </c>
      <c r="F50" s="96">
        <v>2.4850842499999999</v>
      </c>
      <c r="G50" s="96">
        <v>-20.359530068586118</v>
      </c>
      <c r="H50" s="101">
        <f t="shared" si="10"/>
        <v>-24.991921217126588</v>
      </c>
      <c r="I50" s="78">
        <f t="shared" si="0"/>
        <v>4.2262520618815529</v>
      </c>
      <c r="J50" s="79">
        <f t="shared" si="1"/>
        <v>1.2902825804776739</v>
      </c>
      <c r="K50" s="79"/>
      <c r="L50" s="79"/>
      <c r="M50" s="79">
        <f t="shared" si="2"/>
        <v>0</v>
      </c>
      <c r="N50" s="80">
        <f t="shared" si="3"/>
        <v>0.13483570123649999</v>
      </c>
      <c r="O50" s="81">
        <f t="shared" si="4"/>
        <v>7.0008152251557627</v>
      </c>
      <c r="P50" s="79">
        <f t="shared" si="5"/>
        <v>0.16646532645379025</v>
      </c>
      <c r="Q50" s="79"/>
      <c r="R50" s="80">
        <f t="shared" si="7"/>
        <v>5.8557896253750002E-3</v>
      </c>
      <c r="S50" s="82">
        <f t="shared" si="8"/>
        <v>0.30403892135903432</v>
      </c>
      <c r="T50" s="78">
        <f t="shared" si="9"/>
        <v>23.02604940795926</v>
      </c>
    </row>
    <row r="51" spans="1:20" s="1" customFormat="1" ht="11.25" customHeight="1" x14ac:dyDescent="0.2">
      <c r="A51" s="83">
        <v>48</v>
      </c>
      <c r="B51" s="83" t="s">
        <v>95</v>
      </c>
      <c r="C51" s="84">
        <v>2.1709999999999998</v>
      </c>
      <c r="D51" s="84">
        <v>1.384966125</v>
      </c>
      <c r="E51" s="84">
        <v>4.5192554619666314</v>
      </c>
      <c r="F51" s="84">
        <v>8.8891989999999996</v>
      </c>
      <c r="G51" s="84">
        <v>-22.73040626589011</v>
      </c>
      <c r="H51" s="101">
        <f t="shared" si="10"/>
        <v>-27.346912543908644</v>
      </c>
      <c r="I51" s="78">
        <f t="shared" si="0"/>
        <v>3.9334962841306407</v>
      </c>
      <c r="J51" s="79">
        <f t="shared" si="1"/>
        <v>4.0945181943804698</v>
      </c>
      <c r="K51" s="79"/>
      <c r="L51" s="79"/>
      <c r="M51" s="79">
        <f t="shared" ref="M51" si="27">C51*(K51/100)</f>
        <v>0</v>
      </c>
      <c r="N51" s="80">
        <f t="shared" ref="N51" si="28">F51*$B$28+$D$28</f>
        <v>0.482310159342</v>
      </c>
      <c r="O51" s="81">
        <f t="shared" ref="O51" si="29">N51/C51*100</f>
        <v>22.216036819069554</v>
      </c>
      <c r="P51" s="79">
        <f t="shared" ref="P51" si="30">D51/C51</f>
        <v>0.63793925610317836</v>
      </c>
      <c r="Q51" s="79"/>
      <c r="R51" s="80">
        <f t="shared" si="7"/>
        <v>2.9412070278499999E-2</v>
      </c>
      <c r="S51" s="82">
        <f t="shared" si="8"/>
        <v>1.3547706254491019</v>
      </c>
      <c r="T51" s="78">
        <f t="shared" si="9"/>
        <v>16.398375047218796</v>
      </c>
    </row>
    <row r="52" spans="1:20" s="1" customFormat="1" ht="11.25" customHeight="1" x14ac:dyDescent="0.2">
      <c r="A52" s="95">
        <v>49</v>
      </c>
      <c r="B52" s="95" t="s">
        <v>96</v>
      </c>
      <c r="C52" s="96">
        <v>1.8149999999999999</v>
      </c>
      <c r="D52" s="96">
        <v>0.19939612500000001</v>
      </c>
      <c r="E52" s="96">
        <v>2.5703315832150686</v>
      </c>
      <c r="F52" s="96">
        <v>1.1905619999999999</v>
      </c>
      <c r="G52" s="96">
        <v>-21.279163918156808</v>
      </c>
      <c r="H52" s="101">
        <f>$B$26*G52+$D$26</f>
        <v>-25.905393519905154</v>
      </c>
      <c r="I52" s="78">
        <f>$B$27*E52+$D$27</f>
        <v>1.7982552825704288</v>
      </c>
      <c r="J52" s="79">
        <f>(F52)/C52</f>
        <v>0.65595702479338835</v>
      </c>
      <c r="K52" s="79"/>
      <c r="L52" s="79"/>
      <c r="M52" s="79">
        <f>C52*(K52/100)</f>
        <v>0</v>
      </c>
      <c r="N52" s="80">
        <f>F52*$B$28+$D$28</f>
        <v>6.4597512996000001E-2</v>
      </c>
      <c r="O52" s="81">
        <f>N52/C52*100</f>
        <v>3.5590916251239668</v>
      </c>
      <c r="P52" s="79">
        <f>D52/C52</f>
        <v>0.10986012396694216</v>
      </c>
      <c r="Q52" s="79"/>
      <c r="R52" s="80">
        <f>D52*$B$29+$D$29</f>
        <v>3.1730350385000003E-3</v>
      </c>
      <c r="S52" s="82">
        <f>R52/C52*100</f>
        <v>0.17482286713498627</v>
      </c>
      <c r="T52" s="78">
        <f>N52/R52</f>
        <v>20.358272824663608</v>
      </c>
    </row>
    <row r="53" spans="1:20" s="90" customFormat="1" ht="11.25" customHeight="1" x14ac:dyDescent="0.2">
      <c r="A53" s="83">
        <v>50</v>
      </c>
      <c r="B53" s="83" t="s">
        <v>97</v>
      </c>
      <c r="C53" s="84">
        <v>1.966</v>
      </c>
      <c r="D53" s="84">
        <v>0.40649409375000001</v>
      </c>
      <c r="E53" s="84">
        <v>4.272205263890605</v>
      </c>
      <c r="F53" s="84">
        <v>2.7447837499999999</v>
      </c>
      <c r="G53" s="84">
        <v>-21.171070522824952</v>
      </c>
      <c r="H53" s="101">
        <f t="shared" si="10"/>
        <v>-25.798024350322024</v>
      </c>
      <c r="I53" s="78">
        <f t="shared" si="0"/>
        <v>3.6628280871185463</v>
      </c>
      <c r="J53" s="79">
        <f t="shared" si="1"/>
        <v>1.396126017293998</v>
      </c>
      <c r="K53" s="79"/>
      <c r="L53" s="79"/>
      <c r="M53" s="79">
        <f t="shared" ref="M53:M54" si="31">C53*(K53/100)</f>
        <v>0</v>
      </c>
      <c r="N53" s="80">
        <f t="shared" ref="N53:N54" si="32">F53*$B$28+$D$28</f>
        <v>0.14892647670750001</v>
      </c>
      <c r="O53" s="81">
        <f t="shared" ref="O53:O54" si="33">N53/C53*100</f>
        <v>7.5751005446337745</v>
      </c>
      <c r="P53" s="79">
        <f t="shared" ref="P53:P54" si="34">D53/C53</f>
        <v>0.20676200089013225</v>
      </c>
      <c r="Q53" s="79"/>
      <c r="R53" s="80">
        <f t="shared" si="7"/>
        <v>7.7565272828750004E-3</v>
      </c>
      <c r="S53" s="82">
        <f t="shared" si="8"/>
        <v>0.39453343249618517</v>
      </c>
      <c r="T53" s="78">
        <f t="shared" si="9"/>
        <v>19.200148633049039</v>
      </c>
    </row>
    <row r="54" spans="1:20" s="90" customFormat="1" ht="11.25" customHeight="1" x14ac:dyDescent="0.2">
      <c r="A54" s="117">
        <v>51</v>
      </c>
      <c r="B54" s="117" t="s">
        <v>82</v>
      </c>
      <c r="C54" s="105">
        <v>1.2549999999999999</v>
      </c>
      <c r="D54" s="105">
        <v>1.5809407499999999</v>
      </c>
      <c r="E54" s="105">
        <v>4.227965545924528</v>
      </c>
      <c r="F54" s="105">
        <v>10.427472</v>
      </c>
      <c r="G54" s="105">
        <v>-21.523410163299701</v>
      </c>
      <c r="H54" s="100">
        <f t="shared" si="10"/>
        <v>-26.148003315205592</v>
      </c>
      <c r="I54" s="86">
        <f t="shared" si="0"/>
        <v>3.6143590521149118</v>
      </c>
      <c r="J54" s="87">
        <f t="shared" si="1"/>
        <v>8.3087426294820723</v>
      </c>
      <c r="K54" s="87">
        <f t="shared" ref="K54" si="35">H$14</f>
        <v>44.65</v>
      </c>
      <c r="L54" s="87">
        <f t="shared" ref="L54" si="36">I$14</f>
        <v>2.83</v>
      </c>
      <c r="M54" s="87">
        <f t="shared" si="31"/>
        <v>0.56035749999999995</v>
      </c>
      <c r="N54" s="88">
        <f t="shared" si="32"/>
        <v>0.56577377577599997</v>
      </c>
      <c r="O54" s="91">
        <f t="shared" si="33"/>
        <v>45.081575759043822</v>
      </c>
      <c r="P54" s="87">
        <f t="shared" si="34"/>
        <v>1.2597137450199203</v>
      </c>
      <c r="Q54" s="87">
        <f t="shared" ref="Q54" si="37">C54*(L54/100)</f>
        <v>3.5516499999999999E-2</v>
      </c>
      <c r="R54" s="88">
        <f t="shared" si="7"/>
        <v>3.3749380678999998E-2</v>
      </c>
      <c r="S54" s="89">
        <f t="shared" si="8"/>
        <v>2.6891936796015936</v>
      </c>
      <c r="T54" s="86">
        <f t="shared" si="9"/>
        <v>16.76397505356427</v>
      </c>
    </row>
    <row r="55" spans="1:20" s="126" customFormat="1" ht="11.25" customHeight="1" x14ac:dyDescent="0.2">
      <c r="A55" s="119">
        <v>52</v>
      </c>
      <c r="B55" s="119" t="s">
        <v>98</v>
      </c>
      <c r="C55" s="120">
        <v>1.468</v>
      </c>
      <c r="D55" s="120">
        <v>0.14764212500000001</v>
      </c>
      <c r="E55" s="120">
        <v>0.24671533910081145</v>
      </c>
      <c r="F55" s="120">
        <v>0.91555462499999996</v>
      </c>
      <c r="G55" s="120">
        <v>-14.717710758435677</v>
      </c>
      <c r="H55" s="121">
        <f t="shared" si="10"/>
        <v>-19.387902096354157</v>
      </c>
      <c r="I55" s="122">
        <f t="shared" si="0"/>
        <v>-0.74749867448115104</v>
      </c>
      <c r="J55" s="118">
        <f t="shared" si="1"/>
        <v>0.62367481267029967</v>
      </c>
      <c r="K55" s="118">
        <f>H$13</f>
        <v>3.3479999999999999</v>
      </c>
      <c r="L55" s="118"/>
      <c r="M55" s="118">
        <f t="shared" si="2"/>
        <v>4.9148639999999993E-2</v>
      </c>
      <c r="N55" s="123">
        <f t="shared" si="3"/>
        <v>4.967616284325E-2</v>
      </c>
      <c r="O55" s="124">
        <f t="shared" si="4"/>
        <v>3.3839347985865125</v>
      </c>
      <c r="P55" s="118">
        <f t="shared" si="5"/>
        <v>0.10057365463215259</v>
      </c>
      <c r="Q55" s="118"/>
      <c r="R55" s="123">
        <f t="shared" si="7"/>
        <v>2.0276155104999999E-3</v>
      </c>
      <c r="S55" s="125">
        <f t="shared" si="8"/>
        <v>0.13812094758174387</v>
      </c>
      <c r="T55" s="122">
        <f t="shared" si="9"/>
        <v>24.499794258823808</v>
      </c>
    </row>
    <row r="56" spans="1:20" s="1" customFormat="1" ht="11.25" customHeight="1" x14ac:dyDescent="0.2">
      <c r="A56" s="95">
        <v>53</v>
      </c>
      <c r="B56" s="95" t="s">
        <v>99</v>
      </c>
      <c r="C56" s="96">
        <v>1.8480000000000001</v>
      </c>
      <c r="D56" s="96">
        <v>0.237152</v>
      </c>
      <c r="E56" s="96">
        <v>0.34063550411889132</v>
      </c>
      <c r="F56" s="96">
        <v>1.1569183750000001</v>
      </c>
      <c r="G56" s="96">
        <v>-21.700792837567594</v>
      </c>
      <c r="H56" s="101">
        <f t="shared" si="10"/>
        <v>-26.324197525555888</v>
      </c>
      <c r="I56" s="78">
        <f t="shared" si="0"/>
        <v>-0.6445997416873428</v>
      </c>
      <c r="J56" s="79">
        <f t="shared" si="1"/>
        <v>0.62603808170995667</v>
      </c>
      <c r="K56" s="79"/>
      <c r="L56" s="79"/>
      <c r="M56" s="79">
        <f t="shared" si="2"/>
        <v>0</v>
      </c>
      <c r="N56" s="80">
        <f t="shared" si="3"/>
        <v>6.2772077190750009E-2</v>
      </c>
      <c r="O56" s="81">
        <f t="shared" si="4"/>
        <v>3.3967574237418834</v>
      </c>
      <c r="P56" s="79">
        <f t="shared" si="5"/>
        <v>0.12832900432900432</v>
      </c>
      <c r="Q56" s="79"/>
      <c r="R56" s="80">
        <f t="shared" si="7"/>
        <v>4.0086480639999998E-3</v>
      </c>
      <c r="S56" s="82">
        <f t="shared" si="8"/>
        <v>0.21691818528138526</v>
      </c>
      <c r="T56" s="78">
        <f t="shared" si="9"/>
        <v>15.659163934714028</v>
      </c>
    </row>
    <row r="57" spans="1:20" s="1" customFormat="1" ht="11.25" customHeight="1" x14ac:dyDescent="0.2">
      <c r="A57" s="83">
        <v>54</v>
      </c>
      <c r="B57" s="83" t="s">
        <v>100</v>
      </c>
      <c r="C57" s="84">
        <v>1.978</v>
      </c>
      <c r="D57" s="84">
        <v>0.40742253125</v>
      </c>
      <c r="E57" s="84">
        <v>2.7172954864622678</v>
      </c>
      <c r="F57" s="84">
        <v>2.21779525</v>
      </c>
      <c r="G57" s="84">
        <v>-21.371571395348155</v>
      </c>
      <c r="H57" s="101">
        <f t="shared" si="10"/>
        <v>-25.99718186699932</v>
      </c>
      <c r="I57" s="78">
        <f t="shared" si="0"/>
        <v>1.9592689349680603</v>
      </c>
      <c r="J57" s="79">
        <f t="shared" si="1"/>
        <v>1.1212311678463094</v>
      </c>
      <c r="K57" s="79"/>
      <c r="L57" s="79"/>
      <c r="M57" s="79">
        <f t="shared" si="2"/>
        <v>0</v>
      </c>
      <c r="N57" s="80">
        <f t="shared" si="3"/>
        <v>0.12033313467450001</v>
      </c>
      <c r="O57" s="81">
        <f t="shared" si="4"/>
        <v>6.0835760705005058</v>
      </c>
      <c r="P57" s="79">
        <f t="shared" si="5"/>
        <v>0.2059770127654196</v>
      </c>
      <c r="Q57" s="79"/>
      <c r="R57" s="80">
        <f t="shared" si="7"/>
        <v>7.777075461625E-3</v>
      </c>
      <c r="S57" s="82">
        <f t="shared" si="8"/>
        <v>0.39317873921258845</v>
      </c>
      <c r="T57" s="78">
        <f t="shared" si="9"/>
        <v>15.472800189257352</v>
      </c>
    </row>
    <row r="58" spans="1:20" s="1" customFormat="1" ht="11.25" customHeight="1" x14ac:dyDescent="0.2">
      <c r="A58" s="95">
        <v>55</v>
      </c>
      <c r="B58" s="95" t="s">
        <v>101</v>
      </c>
      <c r="C58" s="96">
        <v>1.913</v>
      </c>
      <c r="D58" s="96">
        <v>0.47017687499999999</v>
      </c>
      <c r="E58" s="96">
        <v>5.8010962718446635</v>
      </c>
      <c r="F58" s="96">
        <v>2.26651925</v>
      </c>
      <c r="G58" s="96">
        <v>-21.732805002996987</v>
      </c>
      <c r="H58" s="101">
        <f t="shared" si="10"/>
        <v>-26.355995209476905</v>
      </c>
      <c r="I58" s="78">
        <f t="shared" si="0"/>
        <v>5.3378810754330122</v>
      </c>
      <c r="J58" s="79">
        <f t="shared" si="1"/>
        <v>1.1847983533716675</v>
      </c>
      <c r="K58" s="79"/>
      <c r="L58" s="79"/>
      <c r="M58" s="79">
        <f t="shared" si="2"/>
        <v>0</v>
      </c>
      <c r="N58" s="80">
        <f t="shared" si="3"/>
        <v>0.1229768014665</v>
      </c>
      <c r="O58" s="81">
        <f t="shared" si="4"/>
        <v>6.4284789057239946</v>
      </c>
      <c r="P58" s="79">
        <f t="shared" si="5"/>
        <v>0.24577986147412439</v>
      </c>
      <c r="Q58" s="79"/>
      <c r="R58" s="80">
        <f t="shared" si="7"/>
        <v>9.1659545974999996E-3</v>
      </c>
      <c r="S58" s="82">
        <f t="shared" si="8"/>
        <v>0.47914033442237325</v>
      </c>
      <c r="T58" s="78">
        <f t="shared" si="9"/>
        <v>13.41669328146593</v>
      </c>
    </row>
    <row r="59" spans="1:20" s="1" customFormat="1" ht="11.25" customHeight="1" x14ac:dyDescent="0.2">
      <c r="A59" s="83">
        <v>56</v>
      </c>
      <c r="B59" s="83" t="s">
        <v>102</v>
      </c>
      <c r="C59" s="84">
        <v>2.181</v>
      </c>
      <c r="D59" s="84">
        <v>0.57686400000000004</v>
      </c>
      <c r="E59" s="84">
        <v>2.6117012377016025</v>
      </c>
      <c r="F59" s="84">
        <v>3.3970069999999999</v>
      </c>
      <c r="G59" s="84">
        <v>-21.94902827330986</v>
      </c>
      <c r="H59" s="101">
        <f t="shared" si="10"/>
        <v>-26.570769783878681</v>
      </c>
      <c r="I59" s="78">
        <f t="shared" si="0"/>
        <v>1.8435798760258753</v>
      </c>
      <c r="J59" s="79">
        <f t="shared" si="1"/>
        <v>1.5575456212746446</v>
      </c>
      <c r="K59" s="79"/>
      <c r="L59" s="79"/>
      <c r="M59" s="79">
        <f t="shared" ref="M59:M60" si="38">C59*(K59/100)</f>
        <v>0</v>
      </c>
      <c r="N59" s="80">
        <f t="shared" ref="N59:N60" si="39">F59*$B$28+$D$28</f>
        <v>0.18431480580599999</v>
      </c>
      <c r="O59" s="81">
        <f t="shared" ref="O59:O60" si="40">N59/C59*100</f>
        <v>8.450931031911967</v>
      </c>
      <c r="P59" s="79">
        <f t="shared" ref="P59:P60" si="41">D59/C59</f>
        <v>0.26449518569463548</v>
      </c>
      <c r="Q59" s="79"/>
      <c r="R59" s="80">
        <f t="shared" si="7"/>
        <v>1.1527154048000001E-2</v>
      </c>
      <c r="S59" s="82">
        <f t="shared" si="8"/>
        <v>0.52852609115084825</v>
      </c>
      <c r="T59" s="78">
        <f t="shared" si="9"/>
        <v>15.989619383804383</v>
      </c>
    </row>
    <row r="60" spans="1:20" s="1" customFormat="1" ht="11.25" customHeight="1" x14ac:dyDescent="0.2">
      <c r="A60" s="95">
        <v>57</v>
      </c>
      <c r="B60" s="95" t="s">
        <v>103</v>
      </c>
      <c r="C60" s="96">
        <v>2.044</v>
      </c>
      <c r="D60" s="96">
        <v>0.67287356249999997</v>
      </c>
      <c r="E60" s="96">
        <v>2.7326772595224202</v>
      </c>
      <c r="F60" s="96">
        <v>3.99223025</v>
      </c>
      <c r="G60" s="96">
        <v>-22.29451246884706</v>
      </c>
      <c r="H60" s="101">
        <f t="shared" si="10"/>
        <v>-26.913939235305783</v>
      </c>
      <c r="I60" s="78">
        <f t="shared" si="0"/>
        <v>1.9761212055327635</v>
      </c>
      <c r="J60" s="79">
        <f t="shared" si="1"/>
        <v>1.9531459148727983</v>
      </c>
      <c r="K60" s="79"/>
      <c r="L60" s="79"/>
      <c r="M60" s="79">
        <f t="shared" si="38"/>
        <v>0</v>
      </c>
      <c r="N60" s="80">
        <f t="shared" si="39"/>
        <v>0.2166104289045</v>
      </c>
      <c r="O60" s="81">
        <f t="shared" si="40"/>
        <v>10.597379104916829</v>
      </c>
      <c r="P60" s="79">
        <f t="shared" si="41"/>
        <v>0.32919450220156554</v>
      </c>
      <c r="Q60" s="79"/>
      <c r="R60" s="80">
        <f t="shared" si="7"/>
        <v>1.3652037685249998E-2</v>
      </c>
      <c r="S60" s="82">
        <f t="shared" si="8"/>
        <v>0.66790791023727969</v>
      </c>
      <c r="T60" s="78">
        <f t="shared" si="9"/>
        <v>15.866527319839683</v>
      </c>
    </row>
    <row r="61" spans="1:20" s="1" customFormat="1" ht="11.25" customHeight="1" x14ac:dyDescent="0.2">
      <c r="A61" s="83">
        <v>58</v>
      </c>
      <c r="B61" s="83" t="s">
        <v>104</v>
      </c>
      <c r="C61" s="84">
        <v>2.0379999999999998</v>
      </c>
      <c r="D61" s="84">
        <v>0.24202615625000001</v>
      </c>
      <c r="E61" s="84">
        <v>2.2799909827955211</v>
      </c>
      <c r="F61" s="84">
        <v>0.80042168749999998</v>
      </c>
      <c r="G61" s="84">
        <v>-21.445065961568133</v>
      </c>
      <c r="H61" s="101">
        <f t="shared" si="10"/>
        <v>-26.070184019625625</v>
      </c>
      <c r="I61" s="78">
        <f t="shared" si="0"/>
        <v>1.4801581207507726</v>
      </c>
      <c r="J61" s="79">
        <f t="shared" si="1"/>
        <v>0.39274861997055938</v>
      </c>
      <c r="K61" s="79"/>
      <c r="L61" s="79"/>
      <c r="M61" s="79">
        <f t="shared" si="2"/>
        <v>0</v>
      </c>
      <c r="N61" s="80">
        <f t="shared" si="3"/>
        <v>4.3429279920375E-2</v>
      </c>
      <c r="O61" s="81">
        <f t="shared" si="4"/>
        <v>2.1309754622362611</v>
      </c>
      <c r="P61" s="79">
        <f t="shared" si="5"/>
        <v>0.11875670080961728</v>
      </c>
      <c r="Q61" s="79"/>
      <c r="R61" s="80">
        <f t="shared" si="7"/>
        <v>4.1165228901249998E-3</v>
      </c>
      <c r="S61" s="82">
        <f t="shared" si="8"/>
        <v>0.20198836556059863</v>
      </c>
      <c r="T61" s="78">
        <f t="shared" si="9"/>
        <v>10.549991116181126</v>
      </c>
    </row>
    <row r="62" spans="1:20" s="1" customFormat="1" ht="11.25" customHeight="1" x14ac:dyDescent="0.2">
      <c r="A62" s="95">
        <v>59</v>
      </c>
      <c r="B62" s="95" t="s">
        <v>105</v>
      </c>
      <c r="C62" s="96">
        <v>2.2210000000000001</v>
      </c>
      <c r="D62" s="96">
        <v>0.31075003125</v>
      </c>
      <c r="E62" s="96">
        <v>-0.20275709474071313</v>
      </c>
      <c r="F62" s="96">
        <v>1.458761625</v>
      </c>
      <c r="G62" s="96">
        <v>-20.898060970980232</v>
      </c>
      <c r="H62" s="101">
        <f t="shared" si="10"/>
        <v>-25.526843962474661</v>
      </c>
      <c r="I62" s="78">
        <f t="shared" si="0"/>
        <v>-1.2399406729979252</v>
      </c>
      <c r="J62" s="79">
        <f t="shared" si="1"/>
        <v>0.65680397343538943</v>
      </c>
      <c r="K62" s="79"/>
      <c r="L62" s="79"/>
      <c r="M62" s="79">
        <f t="shared" si="2"/>
        <v>0</v>
      </c>
      <c r="N62" s="80">
        <f t="shared" si="3"/>
        <v>7.914948824925E-2</v>
      </c>
      <c r="O62" s="81">
        <f t="shared" si="4"/>
        <v>3.5636869990657365</v>
      </c>
      <c r="P62" s="79">
        <f t="shared" si="5"/>
        <v>0.13991446701936064</v>
      </c>
      <c r="Q62" s="79"/>
      <c r="R62" s="80">
        <f t="shared" si="7"/>
        <v>5.637519691625E-3</v>
      </c>
      <c r="S62" s="82">
        <f t="shared" si="8"/>
        <v>0.25382799151846014</v>
      </c>
      <c r="T62" s="78">
        <f t="shared" si="9"/>
        <v>14.039771491500613</v>
      </c>
    </row>
    <row r="63" spans="1:20" s="1" customFormat="1" ht="11.25" customHeight="1" x14ac:dyDescent="0.2">
      <c r="A63" s="83">
        <v>60</v>
      </c>
      <c r="B63" s="83" t="s">
        <v>106</v>
      </c>
      <c r="C63" s="84">
        <v>2.1349999999999998</v>
      </c>
      <c r="D63" s="84">
        <v>0.24464309375000001</v>
      </c>
      <c r="E63" s="84">
        <v>-1.6485398498926607</v>
      </c>
      <c r="F63" s="84">
        <v>0.91781318749999996</v>
      </c>
      <c r="G63" s="84">
        <v>-21.374885135605535</v>
      </c>
      <c r="H63" s="101">
        <f>$B$26*G63+$D$26</f>
        <v>-26.000473405196974</v>
      </c>
      <c r="I63" s="78">
        <f>$B$27*E63+$D$27</f>
        <v>-2.823940259542399</v>
      </c>
      <c r="J63" s="79">
        <f>(F63)/C63</f>
        <v>0.42988908079625293</v>
      </c>
      <c r="K63" s="79"/>
      <c r="L63" s="79"/>
      <c r="M63" s="79">
        <f>C63*(K63/100)</f>
        <v>0</v>
      </c>
      <c r="N63" s="80">
        <f>F63*$B$28+$D$28</f>
        <v>4.9798707927375001E-2</v>
      </c>
      <c r="O63" s="81">
        <f>N63/C63*100</f>
        <v>2.3324921745843095</v>
      </c>
      <c r="P63" s="79">
        <f>D63/C63</f>
        <v>0.11458692915690868</v>
      </c>
      <c r="Q63" s="79"/>
      <c r="R63" s="80">
        <f>D63*$B$29+$D$29</f>
        <v>4.174440950875E-3</v>
      </c>
      <c r="S63" s="82">
        <f>R63/C63*100</f>
        <v>0.19552416631733022</v>
      </c>
      <c r="T63" s="78">
        <f>N63/R63</f>
        <v>11.929431632500814</v>
      </c>
    </row>
    <row r="64" spans="1:20" s="90" customFormat="1" ht="11.25" customHeight="1" x14ac:dyDescent="0.2">
      <c r="A64" s="95">
        <v>61</v>
      </c>
      <c r="B64" s="95" t="s">
        <v>107</v>
      </c>
      <c r="C64" s="96">
        <v>2.105</v>
      </c>
      <c r="D64" s="96">
        <v>0.20479924999999999</v>
      </c>
      <c r="E64" s="96">
        <v>-3.1024103545146398</v>
      </c>
      <c r="F64" s="96">
        <v>0.42752893749999998</v>
      </c>
      <c r="G64" s="96">
        <v>-21.539733774746896</v>
      </c>
      <c r="H64" s="101">
        <f t="shared" si="10"/>
        <v>-26.164217558456091</v>
      </c>
      <c r="I64" s="78">
        <f t="shared" si="0"/>
        <v>-4.4168007844062389</v>
      </c>
      <c r="J64" s="79">
        <f t="shared" si="1"/>
        <v>0.20310163301662706</v>
      </c>
      <c r="K64" s="79"/>
      <c r="L64" s="79"/>
      <c r="M64" s="79">
        <f t="shared" ref="M64" si="42">C64*(K64/100)</f>
        <v>0</v>
      </c>
      <c r="N64" s="80">
        <f t="shared" ref="N64" si="43">F64*$B$28+$D$28</f>
        <v>2.3196865090874999E-2</v>
      </c>
      <c r="O64" s="81">
        <f t="shared" ref="O64" si="44">N64/C64*100</f>
        <v>1.1019888404216152</v>
      </c>
      <c r="P64" s="79">
        <f t="shared" ref="P64" si="45">D64/C64</f>
        <v>9.72918052256532E-2</v>
      </c>
      <c r="Q64" s="79"/>
      <c r="R64" s="80">
        <f t="shared" si="7"/>
        <v>3.2926170009999998E-3</v>
      </c>
      <c r="S64" s="82">
        <f t="shared" si="8"/>
        <v>0.15641885990498811</v>
      </c>
      <c r="T64" s="78">
        <f t="shared" si="9"/>
        <v>7.0451148991303532</v>
      </c>
    </row>
    <row r="65" spans="1:20" s="1" customFormat="1" ht="11.25" customHeight="1" x14ac:dyDescent="0.2">
      <c r="A65" s="83">
        <v>62</v>
      </c>
      <c r="B65" s="83" t="s">
        <v>108</v>
      </c>
      <c r="C65" s="84">
        <v>2.27</v>
      </c>
      <c r="D65" s="84">
        <v>0.24064526562499999</v>
      </c>
      <c r="E65" s="84">
        <v>-0.61371662636666713</v>
      </c>
      <c r="F65" s="84">
        <v>0.90762481250000004</v>
      </c>
      <c r="G65" s="84">
        <v>-21.148991315114234</v>
      </c>
      <c r="H65" s="101">
        <f t="shared" si="10"/>
        <v>-25.776093073302967</v>
      </c>
      <c r="I65" s="78">
        <f t="shared" si="0"/>
        <v>-1.6901879358473204</v>
      </c>
      <c r="J65" s="79">
        <f t="shared" si="1"/>
        <v>0.39983471916299562</v>
      </c>
      <c r="K65" s="79"/>
      <c r="L65" s="79"/>
      <c r="M65" s="79">
        <f t="shared" si="2"/>
        <v>0</v>
      </c>
      <c r="N65" s="80">
        <f t="shared" si="3"/>
        <v>4.9245907076625003E-2</v>
      </c>
      <c r="O65" s="81">
        <f t="shared" si="4"/>
        <v>2.1694232192345817</v>
      </c>
      <c r="P65" s="79">
        <f t="shared" si="5"/>
        <v>0.10601113023127753</v>
      </c>
      <c r="Q65" s="79"/>
      <c r="R65" s="80">
        <f t="shared" si="7"/>
        <v>4.0859610188125001E-3</v>
      </c>
      <c r="S65" s="82">
        <f t="shared" si="8"/>
        <v>0.17999828276707047</v>
      </c>
      <c r="T65" s="78">
        <f t="shared" si="9"/>
        <v>12.052466200702352</v>
      </c>
    </row>
    <row r="66" spans="1:20" s="90" customFormat="1" ht="11.25" customHeight="1" x14ac:dyDescent="0.2">
      <c r="A66" s="117">
        <v>63</v>
      </c>
      <c r="B66" s="117" t="s">
        <v>61</v>
      </c>
      <c r="C66" s="105">
        <v>1.115</v>
      </c>
      <c r="D66" s="105">
        <v>1.4337353749999999</v>
      </c>
      <c r="E66" s="105">
        <v>3.7303220290716421</v>
      </c>
      <c r="F66" s="105">
        <v>9.2543860000000002</v>
      </c>
      <c r="G66" s="105">
        <v>-21.877641357850798</v>
      </c>
      <c r="H66" s="100">
        <f t="shared" si="10"/>
        <v>-26.499861160753195</v>
      </c>
      <c r="I66" s="86">
        <f t="shared" si="0"/>
        <v>3.0691408150508908</v>
      </c>
      <c r="J66" s="87">
        <f t="shared" si="1"/>
        <v>8.2998977578475337</v>
      </c>
      <c r="K66" s="87">
        <f t="shared" ref="K66" si="46">H$14</f>
        <v>44.65</v>
      </c>
      <c r="L66" s="87">
        <f t="shared" ref="L66" si="47">I$14</f>
        <v>2.83</v>
      </c>
      <c r="M66" s="87">
        <f t="shared" si="2"/>
        <v>0.4978475</v>
      </c>
      <c r="N66" s="88">
        <f t="shared" si="3"/>
        <v>0.502124475588</v>
      </c>
      <c r="O66" s="91">
        <f t="shared" si="4"/>
        <v>45.033585254529143</v>
      </c>
      <c r="P66" s="87">
        <f t="shared" si="5"/>
        <v>1.2858613228699551</v>
      </c>
      <c r="Q66" s="87">
        <f t="shared" ref="Q66" si="48">C66*(L66/100)</f>
        <v>3.1554499999999999E-2</v>
      </c>
      <c r="R66" s="88">
        <f t="shared" si="7"/>
        <v>3.0491431319499992E-2</v>
      </c>
      <c r="S66" s="89">
        <f t="shared" si="8"/>
        <v>2.7346575174439454</v>
      </c>
      <c r="T66" s="86">
        <f t="shared" si="9"/>
        <v>16.467724008314413</v>
      </c>
    </row>
    <row r="67" spans="1:20" s="126" customFormat="1" ht="11.25" customHeight="1" x14ac:dyDescent="0.2">
      <c r="A67" s="119">
        <v>64</v>
      </c>
      <c r="B67" s="119" t="s">
        <v>109</v>
      </c>
      <c r="C67" s="120">
        <v>1.3029999999999999</v>
      </c>
      <c r="D67" s="120">
        <v>0.2202845625</v>
      </c>
      <c r="E67" s="120">
        <v>-1.0342040337354419</v>
      </c>
      <c r="F67" s="120">
        <v>0.81909462499999997</v>
      </c>
      <c r="G67" s="120">
        <v>-15.085546881221498</v>
      </c>
      <c r="H67" s="121">
        <f t="shared" si="10"/>
        <v>-19.753273717117313</v>
      </c>
      <c r="I67" s="122">
        <f t="shared" si="0"/>
        <v>-2.15087393936055</v>
      </c>
      <c r="J67" s="118">
        <f t="shared" si="1"/>
        <v>0.62862212202609369</v>
      </c>
      <c r="K67" s="118">
        <f>H$13</f>
        <v>3.3479999999999999</v>
      </c>
      <c r="L67" s="118"/>
      <c r="M67" s="118">
        <f t="shared" si="2"/>
        <v>4.3624439999999994E-2</v>
      </c>
      <c r="N67" s="123">
        <f t="shared" si="3"/>
        <v>4.4442436163249999E-2</v>
      </c>
      <c r="O67" s="124">
        <f t="shared" si="4"/>
        <v>3.410777909689179</v>
      </c>
      <c r="P67" s="118">
        <f t="shared" si="5"/>
        <v>0.16905952609363009</v>
      </c>
      <c r="Q67" s="118"/>
      <c r="R67" s="123">
        <f t="shared" si="7"/>
        <v>3.6353379372500005E-3</v>
      </c>
      <c r="S67" s="125">
        <f t="shared" si="8"/>
        <v>0.2789975393131236</v>
      </c>
      <c r="T67" s="122">
        <f t="shared" si="9"/>
        <v>12.225118250455987</v>
      </c>
    </row>
    <row r="68" spans="1:20" s="1" customFormat="1" ht="11.25" customHeight="1" x14ac:dyDescent="0.2">
      <c r="A68" s="95">
        <v>65</v>
      </c>
      <c r="B68" s="95" t="s">
        <v>110</v>
      </c>
      <c r="C68" s="96">
        <v>2.1619999999999999</v>
      </c>
      <c r="D68" s="96">
        <v>0.24625301562499999</v>
      </c>
      <c r="E68" s="96">
        <v>0.1606197672452403</v>
      </c>
      <c r="F68" s="96">
        <v>0.94975262500000002</v>
      </c>
      <c r="G68" s="96">
        <v>-22.145873046955035</v>
      </c>
      <c r="H68" s="101">
        <f t="shared" si="10"/>
        <v>-26.766295697540436</v>
      </c>
      <c r="I68" s="78">
        <f t="shared" si="0"/>
        <v>-0.84182498300611475</v>
      </c>
      <c r="J68" s="79">
        <f t="shared" si="1"/>
        <v>0.43929353607770583</v>
      </c>
      <c r="K68" s="79"/>
      <c r="L68" s="79"/>
      <c r="M68" s="79">
        <f t="shared" si="2"/>
        <v>0</v>
      </c>
      <c r="N68" s="80">
        <f t="shared" si="3"/>
        <v>5.1531677927250004E-2</v>
      </c>
      <c r="O68" s="81">
        <f t="shared" si="4"/>
        <v>2.3835188680504169</v>
      </c>
      <c r="P68" s="79">
        <f t="shared" si="5"/>
        <v>0.11390056226873266</v>
      </c>
      <c r="Q68" s="79"/>
      <c r="R68" s="80">
        <f t="shared" si="7"/>
        <v>4.2100717418124996E-3</v>
      </c>
      <c r="S68" s="82">
        <f t="shared" si="8"/>
        <v>0.19473042284054115</v>
      </c>
      <c r="T68" s="78">
        <f t="shared" si="9"/>
        <v>12.240094964525435</v>
      </c>
    </row>
    <row r="69" spans="1:20" s="1" customFormat="1" ht="11.25" customHeight="1" x14ac:dyDescent="0.2">
      <c r="A69" s="83">
        <v>66</v>
      </c>
      <c r="B69" s="83" t="s">
        <v>111</v>
      </c>
      <c r="C69" s="84">
        <v>2.081</v>
      </c>
      <c r="D69" s="84">
        <v>0.45825646874999998</v>
      </c>
      <c r="E69" s="84">
        <v>2.6379249790304815</v>
      </c>
      <c r="F69" s="84">
        <v>2.2147060000000001</v>
      </c>
      <c r="G69" s="84">
        <v>-22.989833621174242</v>
      </c>
      <c r="H69" s="101">
        <f t="shared" si="10"/>
        <v>-27.604601735912372</v>
      </c>
      <c r="I69" s="78">
        <f t="shared" si="0"/>
        <v>1.8723106070257953</v>
      </c>
      <c r="J69" s="79">
        <f t="shared" si="1"/>
        <v>1.064250840941855</v>
      </c>
      <c r="K69" s="79"/>
      <c r="L69" s="79"/>
      <c r="M69" s="79">
        <f t="shared" si="2"/>
        <v>0</v>
      </c>
      <c r="N69" s="80">
        <f t="shared" si="3"/>
        <v>0.120165518148</v>
      </c>
      <c r="O69" s="81">
        <f t="shared" si="4"/>
        <v>5.7744122127823161</v>
      </c>
      <c r="P69" s="79">
        <f t="shared" si="5"/>
        <v>0.22020973990869774</v>
      </c>
      <c r="Q69" s="79"/>
      <c r="R69" s="80">
        <f t="shared" si="7"/>
        <v>8.9021321663749989E-3</v>
      </c>
      <c r="S69" s="82">
        <f t="shared" si="8"/>
        <v>0.42778145922032668</v>
      </c>
      <c r="T69" s="78">
        <f t="shared" si="9"/>
        <v>13.498509784193882</v>
      </c>
    </row>
    <row r="70" spans="1:20" s="1" customFormat="1" ht="11.25" customHeight="1" x14ac:dyDescent="0.2">
      <c r="A70" s="95">
        <v>67</v>
      </c>
      <c r="B70" s="95" t="s">
        <v>112</v>
      </c>
      <c r="C70" s="96">
        <v>1.974</v>
      </c>
      <c r="D70" s="96">
        <v>0.6634766875</v>
      </c>
      <c r="E70" s="96">
        <v>3.9978670158482554</v>
      </c>
      <c r="F70" s="96">
        <v>4.1987814999999999</v>
      </c>
      <c r="G70" s="96">
        <v>-23.040326083892509</v>
      </c>
      <c r="H70" s="101">
        <f t="shared" si="10"/>
        <v>-27.654755899130429</v>
      </c>
      <c r="I70" s="78">
        <f t="shared" si="0"/>
        <v>3.3622631025633476</v>
      </c>
      <c r="J70" s="79">
        <f t="shared" si="1"/>
        <v>2.1270422998986827</v>
      </c>
      <c r="K70" s="79"/>
      <c r="L70" s="79"/>
      <c r="M70" s="79">
        <f t="shared" si="2"/>
        <v>0</v>
      </c>
      <c r="N70" s="80">
        <f t="shared" si="3"/>
        <v>0.22781748662699999</v>
      </c>
      <c r="O70" s="81">
        <f t="shared" si="4"/>
        <v>11.540906110790274</v>
      </c>
      <c r="P70" s="79">
        <f t="shared" si="5"/>
        <v>0.33610774442755825</v>
      </c>
      <c r="Q70" s="79"/>
      <c r="R70" s="80">
        <f t="shared" si="7"/>
        <v>1.3444066047749999E-2</v>
      </c>
      <c r="S70" s="82">
        <f t="shared" si="8"/>
        <v>0.68105704395896649</v>
      </c>
      <c r="T70" s="78">
        <f t="shared" si="9"/>
        <v>16.945579247963273</v>
      </c>
    </row>
    <row r="71" spans="1:20" s="1" customFormat="1" ht="11.25" customHeight="1" x14ac:dyDescent="0.2">
      <c r="A71" s="83">
        <v>68</v>
      </c>
      <c r="B71" s="83" t="s">
        <v>113</v>
      </c>
      <c r="C71" s="84">
        <v>2.2200000000000002</v>
      </c>
      <c r="D71" s="84">
        <v>0.75954156250000004</v>
      </c>
      <c r="E71" s="84">
        <v>2.8858540737513039</v>
      </c>
      <c r="F71" s="84">
        <v>5.3001915000000004</v>
      </c>
      <c r="G71" s="84">
        <v>-23.020687311898687</v>
      </c>
      <c r="H71" s="101">
        <f t="shared" si="10"/>
        <v>-27.635248706908964</v>
      </c>
      <c r="I71" s="78">
        <f t="shared" si="0"/>
        <v>2.1439417232019284</v>
      </c>
      <c r="J71" s="79">
        <f t="shared" si="1"/>
        <v>2.3874736486486485</v>
      </c>
      <c r="K71" s="79"/>
      <c r="L71" s="79"/>
      <c r="M71" s="79">
        <f t="shared" ref="M71" si="49">C71*(K71/100)</f>
        <v>0</v>
      </c>
      <c r="N71" s="80">
        <f t="shared" ref="N71" si="50">F71*$B$28+$D$28</f>
        <v>0.28757779040700004</v>
      </c>
      <c r="O71" s="81">
        <f t="shared" ref="O71" si="51">N71/C71*100</f>
        <v>12.953954522837838</v>
      </c>
      <c r="P71" s="79">
        <f t="shared" ref="P71" si="52">D71/C71</f>
        <v>0.34213583896396393</v>
      </c>
      <c r="Q71" s="79"/>
      <c r="R71" s="80">
        <f t="shared" si="7"/>
        <v>1.557017386125E-2</v>
      </c>
      <c r="S71" s="82">
        <f t="shared" si="8"/>
        <v>0.7013591829391892</v>
      </c>
      <c r="T71" s="78">
        <f t="shared" si="9"/>
        <v>18.469786719768383</v>
      </c>
    </row>
    <row r="72" spans="1:20" s="1" customFormat="1" ht="11.25" customHeight="1" x14ac:dyDescent="0.2">
      <c r="A72" s="95">
        <v>69</v>
      </c>
      <c r="B72" s="95" t="s">
        <v>114</v>
      </c>
      <c r="C72" s="96">
        <v>1.88</v>
      </c>
      <c r="D72" s="96">
        <v>0.23892284375</v>
      </c>
      <c r="E72" s="96">
        <v>-3.5229712845804562</v>
      </c>
      <c r="F72" s="96">
        <v>1.0373135</v>
      </c>
      <c r="G72" s="96">
        <v>-21.502281687979156</v>
      </c>
      <c r="H72" s="101">
        <f t="shared" si="10"/>
        <v>-26.127016400669692</v>
      </c>
      <c r="I72" s="78">
        <f t="shared" si="0"/>
        <v>-4.8775673393863475</v>
      </c>
      <c r="J72" s="79">
        <f t="shared" si="1"/>
        <v>0.55176250000000004</v>
      </c>
      <c r="K72" s="79"/>
      <c r="L72" s="79"/>
      <c r="M72" s="79">
        <f t="shared" si="2"/>
        <v>0</v>
      </c>
      <c r="N72" s="80">
        <f t="shared" si="3"/>
        <v>5.6282555882999998E-2</v>
      </c>
      <c r="O72" s="81">
        <f t="shared" si="4"/>
        <v>2.9937529725000003</v>
      </c>
      <c r="P72" s="79">
        <f t="shared" si="5"/>
        <v>0.12708661901595744</v>
      </c>
      <c r="Q72" s="79"/>
      <c r="R72" s="80">
        <f t="shared" si="7"/>
        <v>4.047840377875E-3</v>
      </c>
      <c r="S72" s="82">
        <f t="shared" si="8"/>
        <v>0.21531065839760638</v>
      </c>
      <c r="T72" s="78">
        <f t="shared" si="9"/>
        <v>13.90434173013184</v>
      </c>
    </row>
    <row r="73" spans="1:20" s="1" customFormat="1" ht="11.25" customHeight="1" x14ac:dyDescent="0.2">
      <c r="A73" s="83">
        <v>70</v>
      </c>
      <c r="B73" s="83" t="s">
        <v>115</v>
      </c>
      <c r="C73" s="84">
        <v>2.0619999999999998</v>
      </c>
      <c r="D73" s="84">
        <v>0.25906507812500001</v>
      </c>
      <c r="E73" s="84">
        <v>-8.3873695282288274E-2</v>
      </c>
      <c r="F73" s="84">
        <v>1.1002503749999999</v>
      </c>
      <c r="G73" s="84">
        <v>-21.19221317810041</v>
      </c>
      <c r="H73" s="101">
        <f t="shared" si="10"/>
        <v>-25.819025349807134</v>
      </c>
      <c r="I73" s="78">
        <f t="shared" si="0"/>
        <v>-1.109692020551275</v>
      </c>
      <c r="J73" s="79">
        <f t="shared" si="1"/>
        <v>0.53358408098933074</v>
      </c>
      <c r="K73" s="79"/>
      <c r="L73" s="79"/>
      <c r="M73" s="79">
        <f t="shared" si="2"/>
        <v>0</v>
      </c>
      <c r="N73" s="80">
        <f t="shared" si="3"/>
        <v>5.9697384846749996E-2</v>
      </c>
      <c r="O73" s="81">
        <f t="shared" si="4"/>
        <v>2.8951205066319106</v>
      </c>
      <c r="P73" s="79">
        <f t="shared" si="5"/>
        <v>0.12563776824684775</v>
      </c>
      <c r="Q73" s="79"/>
      <c r="R73" s="80">
        <f t="shared" si="7"/>
        <v>4.4936283090624999E-3</v>
      </c>
      <c r="S73" s="82">
        <f t="shared" si="8"/>
        <v>0.21792571818925799</v>
      </c>
      <c r="T73" s="78">
        <f t="shared" si="9"/>
        <v>13.284896021852903</v>
      </c>
    </row>
    <row r="74" spans="1:20" s="90" customFormat="1" ht="11.25" customHeight="1" x14ac:dyDescent="0.2">
      <c r="A74" s="95">
        <v>71</v>
      </c>
      <c r="B74" s="95" t="s">
        <v>116</v>
      </c>
      <c r="C74" s="96">
        <v>1.8680000000000001</v>
      </c>
      <c r="D74" s="96">
        <v>0.50348215625000003</v>
      </c>
      <c r="E74" s="96">
        <v>2.8518827330701324</v>
      </c>
      <c r="F74" s="96">
        <v>3.0902335000000001</v>
      </c>
      <c r="G74" s="96">
        <v>-22.149725515115115</v>
      </c>
      <c r="H74" s="101">
        <f t="shared" si="10"/>
        <v>-26.770122354163842</v>
      </c>
      <c r="I74" s="78">
        <f t="shared" si="0"/>
        <v>2.1067227223516367</v>
      </c>
      <c r="J74" s="79">
        <f t="shared" si="1"/>
        <v>1.6543005888650963</v>
      </c>
      <c r="K74" s="79"/>
      <c r="L74" s="79"/>
      <c r="M74" s="79">
        <f t="shared" si="2"/>
        <v>0</v>
      </c>
      <c r="N74" s="80">
        <f t="shared" si="3"/>
        <v>0.167669889243</v>
      </c>
      <c r="O74" s="81">
        <f t="shared" si="4"/>
        <v>8.9759041350642388</v>
      </c>
      <c r="P74" s="79">
        <f t="shared" si="5"/>
        <v>0.26953006223233406</v>
      </c>
      <c r="Q74" s="79"/>
      <c r="R74" s="80">
        <f t="shared" si="7"/>
        <v>9.903067082125001E-3</v>
      </c>
      <c r="S74" s="82">
        <f t="shared" si="8"/>
        <v>0.53014277741568527</v>
      </c>
      <c r="T74" s="78">
        <f t="shared" si="9"/>
        <v>16.931107085565795</v>
      </c>
    </row>
    <row r="75" spans="1:20" s="1" customFormat="1" ht="11.25" customHeight="1" x14ac:dyDescent="0.2">
      <c r="A75" s="83">
        <v>72</v>
      </c>
      <c r="B75" s="83" t="s">
        <v>117</v>
      </c>
      <c r="C75" s="84">
        <v>1.9359999999999999</v>
      </c>
      <c r="D75" s="84">
        <v>0.21941684375000001</v>
      </c>
      <c r="E75" s="84">
        <v>-3.0869955589906128</v>
      </c>
      <c r="F75" s="84">
        <v>0.68092249999999999</v>
      </c>
      <c r="G75" s="84">
        <v>-21.576453736707283</v>
      </c>
      <c r="H75" s="101">
        <f t="shared" si="10"/>
        <v>-26.200691496671343</v>
      </c>
      <c r="I75" s="78">
        <f t="shared" si="0"/>
        <v>-4.3999123344301152</v>
      </c>
      <c r="J75" s="79">
        <f t="shared" si="1"/>
        <v>0.35171616735537192</v>
      </c>
      <c r="K75" s="79"/>
      <c r="L75" s="79"/>
      <c r="M75" s="79">
        <f t="shared" ref="M75:M76" si="53">C75*(K75/100)</f>
        <v>0</v>
      </c>
      <c r="N75" s="80">
        <f t="shared" ref="N75:N76" si="54">F75*$B$28+$D$28</f>
        <v>3.6945493004999996E-2</v>
      </c>
      <c r="O75" s="81">
        <f t="shared" ref="O75:O76" si="55">N75/C75*100</f>
        <v>1.9083415808367767</v>
      </c>
      <c r="P75" s="79">
        <f t="shared" ref="P75:P76" si="56">D75/C75</f>
        <v>0.11333514656508265</v>
      </c>
      <c r="Q75" s="79"/>
      <c r="R75" s="80">
        <f t="shared" si="7"/>
        <v>3.6161335858750001E-3</v>
      </c>
      <c r="S75" s="82">
        <f t="shared" si="8"/>
        <v>0.18678375960098142</v>
      </c>
      <c r="T75" s="78">
        <f t="shared" si="9"/>
        <v>10.216849606804626</v>
      </c>
    </row>
    <row r="76" spans="1:20" s="90" customFormat="1" ht="11.25" customHeight="1" x14ac:dyDescent="0.2">
      <c r="A76" s="117">
        <v>73</v>
      </c>
      <c r="B76" s="117" t="s">
        <v>84</v>
      </c>
      <c r="C76" s="105">
        <v>0.80400000000000005</v>
      </c>
      <c r="D76" s="105">
        <v>1.0477574375000001</v>
      </c>
      <c r="E76" s="105">
        <v>3.4852830536147295</v>
      </c>
      <c r="F76" s="105">
        <v>6.6975094999999998</v>
      </c>
      <c r="G76" s="105">
        <v>-21.943691232778349</v>
      </c>
      <c r="H76" s="100">
        <f>$B$26*G76+$D$26</f>
        <v>-26.565468501518733</v>
      </c>
      <c r="I76" s="86">
        <f>$B$27*E76+$D$27</f>
        <v>2.8006761135402973</v>
      </c>
      <c r="J76" s="87">
        <f>(F76)/C76</f>
        <v>8.3302356965174127</v>
      </c>
      <c r="K76" s="87">
        <f t="shared" ref="K76" si="57">H$14</f>
        <v>44.65</v>
      </c>
      <c r="L76" s="87">
        <f t="shared" ref="L76" si="58">I$14</f>
        <v>2.83</v>
      </c>
      <c r="M76" s="87">
        <f t="shared" si="53"/>
        <v>0.35898600000000003</v>
      </c>
      <c r="N76" s="88">
        <f t="shared" si="54"/>
        <v>0.36339347045100001</v>
      </c>
      <c r="O76" s="91">
        <f t="shared" si="55"/>
        <v>45.198192842164175</v>
      </c>
      <c r="P76" s="87">
        <f t="shared" si="56"/>
        <v>1.3031808924129353</v>
      </c>
      <c r="Q76" s="87">
        <f t="shared" ref="Q76" si="59">C76*(L76/100)</f>
        <v>2.2753200000000005E-2</v>
      </c>
      <c r="R76" s="88">
        <f>D76*$B$29+$D$29</f>
        <v>2.1948967606749997E-2</v>
      </c>
      <c r="S76" s="89">
        <f>R76/C76*100</f>
        <v>2.7299710953669147</v>
      </c>
      <c r="T76" s="86">
        <f>N76/R76</f>
        <v>16.556289888515991</v>
      </c>
    </row>
    <row r="77" spans="1:20" s="1" customFormat="1" ht="11.25" customHeight="1" x14ac:dyDescent="0.2">
      <c r="A77" s="83">
        <v>74</v>
      </c>
      <c r="B77" s="83" t="s">
        <v>62</v>
      </c>
      <c r="C77" s="84">
        <v>0.77</v>
      </c>
      <c r="D77" s="84">
        <v>0.15531714062499999</v>
      </c>
      <c r="E77" s="84">
        <v>-5.4803338678818259</v>
      </c>
      <c r="F77" s="84">
        <v>5.8375874999999997</v>
      </c>
      <c r="G77" s="84">
        <v>-20.406823011363013</v>
      </c>
      <c r="H77" s="101">
        <f t="shared" si="10"/>
        <v>-25.038897297186878</v>
      </c>
      <c r="I77" s="78">
        <f t="shared" si="0"/>
        <v>-7.0220537856513285</v>
      </c>
      <c r="J77" s="79">
        <f t="shared" si="1"/>
        <v>7.5812824675324668</v>
      </c>
      <c r="K77" s="79"/>
      <c r="L77" s="79"/>
      <c r="M77" s="79">
        <f t="shared" ref="M77" si="60">C77*(K77/100)</f>
        <v>0</v>
      </c>
      <c r="N77" s="80">
        <f t="shared" ref="N77" si="61">F77*$B$28+$D$28</f>
        <v>0.31673582257499999</v>
      </c>
      <c r="O77" s="81">
        <f t="shared" ref="O77" si="62">N77/C77*100</f>
        <v>41.13452241233766</v>
      </c>
      <c r="P77" s="79">
        <f t="shared" ref="P77" si="63">D77/C77</f>
        <v>0.20171057224025973</v>
      </c>
      <c r="Q77" s="79"/>
      <c r="R77" s="80">
        <f t="shared" si="7"/>
        <v>2.1974789563124998E-3</v>
      </c>
      <c r="S77" s="82">
        <f t="shared" si="8"/>
        <v>0.28538687744318181</v>
      </c>
      <c r="T77" s="78">
        <f t="shared" si="9"/>
        <v>144.13599805592747</v>
      </c>
    </row>
    <row r="78" spans="1:20" s="1" customFormat="1" ht="11.25" customHeight="1" x14ac:dyDescent="0.2">
      <c r="A78" s="95">
        <v>75</v>
      </c>
      <c r="B78" s="95" t="s">
        <v>63</v>
      </c>
      <c r="C78" s="96">
        <v>1.07</v>
      </c>
      <c r="D78" s="96">
        <v>0.15326134375</v>
      </c>
      <c r="E78" s="96">
        <v>-6.4531850494143894</v>
      </c>
      <c r="F78" s="96">
        <v>8.0983479999999997</v>
      </c>
      <c r="G78" s="96">
        <v>-6.0078495867460466</v>
      </c>
      <c r="H78" s="101">
        <f t="shared" si="10"/>
        <v>-10.736396994514848</v>
      </c>
      <c r="I78" s="78">
        <f t="shared" si="0"/>
        <v>-8.0879095401384049</v>
      </c>
      <c r="J78" s="79">
        <f t="shared" si="1"/>
        <v>7.5685495327102794</v>
      </c>
      <c r="K78" s="79"/>
      <c r="L78" s="79"/>
      <c r="M78" s="79">
        <f t="shared" si="2"/>
        <v>0</v>
      </c>
      <c r="N78" s="80">
        <f t="shared" si="3"/>
        <v>0.43940016578399999</v>
      </c>
      <c r="O78" s="81">
        <f t="shared" si="4"/>
        <v>41.065436054579436</v>
      </c>
      <c r="P78" s="79">
        <f t="shared" si="5"/>
        <v>0.14323490070093456</v>
      </c>
      <c r="Q78" s="79"/>
      <c r="R78" s="80">
        <f t="shared" si="7"/>
        <v>2.1519800598749994E-3</v>
      </c>
      <c r="S78" s="82">
        <f t="shared" si="8"/>
        <v>0.20111963176401862</v>
      </c>
      <c r="T78" s="78">
        <f t="shared" si="9"/>
        <v>204.18412511197855</v>
      </c>
    </row>
    <row r="79" spans="1:20" s="1" customFormat="1" ht="11.25" customHeight="1" x14ac:dyDescent="0.2">
      <c r="A79" s="83">
        <v>76</v>
      </c>
      <c r="B79" s="83" t="s">
        <v>70</v>
      </c>
      <c r="C79" s="84">
        <v>1.405</v>
      </c>
      <c r="D79" s="84">
        <v>0.15160489062499999</v>
      </c>
      <c r="E79" s="84">
        <v>-5.8194471610019116</v>
      </c>
      <c r="F79" s="84">
        <v>4.9027684999999996</v>
      </c>
      <c r="G79" s="84">
        <v>-14.098716258451006</v>
      </c>
      <c r="H79" s="101">
        <f t="shared" si="10"/>
        <v>-18.773054859519384</v>
      </c>
      <c r="I79" s="78">
        <f t="shared" si="0"/>
        <v>-7.3935863095936938</v>
      </c>
      <c r="J79" s="79">
        <f t="shared" si="1"/>
        <v>3.4895149466192166</v>
      </c>
      <c r="K79" s="79"/>
      <c r="L79" s="79"/>
      <c r="M79" s="79">
        <f t="shared" si="2"/>
        <v>0</v>
      </c>
      <c r="N79" s="80">
        <f t="shared" si="3"/>
        <v>0.26601441327299996</v>
      </c>
      <c r="O79" s="81">
        <f t="shared" si="4"/>
        <v>18.933410197366545</v>
      </c>
      <c r="P79" s="79">
        <f t="shared" si="5"/>
        <v>0.10790383674377223</v>
      </c>
      <c r="Q79" s="79"/>
      <c r="R79" s="80">
        <f t="shared" si="7"/>
        <v>2.1153194393124996E-3</v>
      </c>
      <c r="S79" s="82">
        <f t="shared" si="8"/>
        <v>0.15055654372330959</v>
      </c>
      <c r="T79" s="78">
        <f t="shared" si="9"/>
        <v>125.7561427031831</v>
      </c>
    </row>
    <row r="80" spans="1:20" s="90" customFormat="1" ht="11.25" customHeight="1" x14ac:dyDescent="0.2">
      <c r="A80" s="95">
        <v>77</v>
      </c>
      <c r="B80" s="95" t="s">
        <v>64</v>
      </c>
      <c r="C80" s="96">
        <v>0.48099999999999998</v>
      </c>
      <c r="D80" s="96">
        <v>4.5119210000000001</v>
      </c>
      <c r="E80" s="96">
        <v>1.8733042079939199</v>
      </c>
      <c r="F80" s="96">
        <v>1.3111895507812501E-2</v>
      </c>
      <c r="G80" s="96">
        <v>-13.232647811854577</v>
      </c>
      <c r="H80" s="101">
        <f t="shared" ref="H80:H81" si="64">$B$26*G80+$D$26</f>
        <v>-17.912789071515149</v>
      </c>
      <c r="I80" s="78">
        <f t="shared" ref="I80:I81" si="65">$B$27*E80+$D$27</f>
        <v>1.0345920902781385</v>
      </c>
      <c r="J80" s="79">
        <f t="shared" ref="J80:J81" si="66">(F80)/C80</f>
        <v>2.7259658020400208E-2</v>
      </c>
      <c r="K80" s="79"/>
      <c r="L80" s="79"/>
      <c r="M80" s="79">
        <f t="shared" ref="M80:M81" si="67">C80*(K80/100)</f>
        <v>0</v>
      </c>
      <c r="N80" s="80">
        <f t="shared" ref="N80:N81" si="68">F80*$B$28+$D$28</f>
        <v>7.1142522646289066E-4</v>
      </c>
      <c r="O80" s="81">
        <f t="shared" ref="O80:O81" si="69">N80/C80*100</f>
        <v>0.14790545248708747</v>
      </c>
      <c r="P80" s="79">
        <f t="shared" ref="P80:P81" si="70">D80/C80</f>
        <v>9.3802931392931406</v>
      </c>
      <c r="Q80" s="79"/>
      <c r="R80" s="80">
        <f t="shared" ref="R80:R81" si="71">D80*$B$29+$D$29</f>
        <v>9.861783557199999E-2</v>
      </c>
      <c r="S80" s="82">
        <f t="shared" ref="S80:S81" si="72">R80/C80*100</f>
        <v>20.502668518087315</v>
      </c>
      <c r="T80" s="78">
        <f t="shared" ref="T80:T81" si="73">N80/R80</f>
        <v>7.2139610683656262E-3</v>
      </c>
    </row>
    <row r="81" spans="1:28" s="113" customFormat="1" ht="11.25" customHeight="1" x14ac:dyDescent="0.2">
      <c r="A81" s="115">
        <v>78</v>
      </c>
      <c r="B81" s="115" t="s">
        <v>69</v>
      </c>
      <c r="C81" s="112">
        <v>0.432</v>
      </c>
      <c r="D81" s="112">
        <v>0.14931801562499999</v>
      </c>
      <c r="E81" s="112">
        <v>-6.5432018994915353</v>
      </c>
      <c r="F81" s="116">
        <v>9.5247236328124991E-3</v>
      </c>
      <c r="G81" s="116">
        <v>-18.596135370972753</v>
      </c>
      <c r="H81" s="101">
        <f t="shared" si="64"/>
        <v>-23.240341263987233</v>
      </c>
      <c r="I81" s="78">
        <f t="shared" si="65"/>
        <v>-8.1865320010829254</v>
      </c>
      <c r="J81" s="79">
        <f t="shared" si="66"/>
        <v>2.2047971372251157E-2</v>
      </c>
      <c r="K81" s="79"/>
      <c r="L81" s="79"/>
      <c r="M81" s="79">
        <f t="shared" si="67"/>
        <v>0</v>
      </c>
      <c r="N81" s="80">
        <f t="shared" si="68"/>
        <v>5.1679245486914059E-4</v>
      </c>
      <c r="O81" s="81">
        <f t="shared" si="69"/>
        <v>0.11962788307156032</v>
      </c>
      <c r="P81" s="79">
        <f t="shared" si="70"/>
        <v>0.34564355468749997</v>
      </c>
      <c r="Q81" s="79"/>
      <c r="R81" s="80">
        <f t="shared" si="71"/>
        <v>2.0647063218124997E-3</v>
      </c>
      <c r="S81" s="82">
        <f t="shared" si="72"/>
        <v>0.47794127819733795</v>
      </c>
      <c r="T81" s="78">
        <f t="shared" si="73"/>
        <v>0.25029828669070719</v>
      </c>
    </row>
    <row r="82" spans="1:28" ht="11.25" customHeight="1" x14ac:dyDescent="0.2">
      <c r="A82" s="114">
        <v>79</v>
      </c>
      <c r="B82" s="114" t="s">
        <v>86</v>
      </c>
      <c r="C82" s="108">
        <v>0</v>
      </c>
      <c r="D82" s="108">
        <v>0.14586409375000001</v>
      </c>
      <c r="E82" s="108">
        <v>-6.5857297252118752</v>
      </c>
      <c r="H82" s="101"/>
      <c r="I82" s="78"/>
      <c r="J82" s="79"/>
      <c r="K82" s="1"/>
      <c r="L82" s="1"/>
      <c r="M82" s="79"/>
      <c r="N82" s="80"/>
      <c r="O82" s="81"/>
      <c r="P82" s="79"/>
      <c r="Q82" s="79"/>
      <c r="R82" s="80"/>
      <c r="S82" s="82"/>
      <c r="T82" s="78"/>
      <c r="V82" s="1"/>
      <c r="W82" s="1"/>
      <c r="X82" s="1"/>
      <c r="Y82" s="1"/>
      <c r="Z82" s="1"/>
      <c r="AA82" s="1"/>
      <c r="AB82" s="1"/>
    </row>
    <row r="83" spans="1:28" ht="11.25" customHeight="1" x14ac:dyDescent="0.2">
      <c r="A83" s="110"/>
      <c r="B83" s="110"/>
      <c r="C83" s="85"/>
      <c r="D83" s="85"/>
      <c r="E83" s="85"/>
      <c r="V83" s="1"/>
      <c r="W83" s="1"/>
      <c r="X83" s="1"/>
      <c r="Y83" s="1"/>
      <c r="Z83" s="1"/>
      <c r="AA83" s="1"/>
      <c r="AB83" s="1"/>
    </row>
    <row r="84" spans="1:28" ht="11.25" customHeight="1" x14ac:dyDescent="0.25">
      <c r="A84" s="1" t="s">
        <v>83</v>
      </c>
      <c r="H84" s="101">
        <f>STDEV(H89:H96)</f>
        <v>0.26658754901155785</v>
      </c>
      <c r="I84" s="101">
        <f>STDEV(I89:I96)</f>
        <v>0.83181410797573974</v>
      </c>
      <c r="J84" s="79"/>
      <c r="K84" s="1"/>
      <c r="L84" s="1"/>
      <c r="M84" s="79"/>
      <c r="N84" s="80"/>
      <c r="O84" s="101">
        <f>STDEV(O89:O96)</f>
        <v>0.51038584171488766</v>
      </c>
      <c r="P84" s="79"/>
      <c r="Q84" s="79"/>
      <c r="R84" s="80"/>
      <c r="S84" s="101">
        <f>STDEV(S89:S96)</f>
        <v>0.20526646378642222</v>
      </c>
      <c r="T84" s="101">
        <f>STDEV(T89:T96)</f>
        <v>0.78243881487307876</v>
      </c>
    </row>
    <row r="85" spans="1:28" ht="11.25" customHeight="1" x14ac:dyDescent="0.25">
      <c r="H85" s="102"/>
      <c r="I85" s="102"/>
      <c r="J85"/>
      <c r="K85" s="1"/>
      <c r="L85" s="1"/>
      <c r="O85" s="102"/>
      <c r="S85" s="102"/>
      <c r="T85" s="102"/>
      <c r="V85" s="1"/>
      <c r="W85" s="1"/>
      <c r="X85" s="1"/>
      <c r="Y85" s="1"/>
      <c r="Z85" s="1"/>
      <c r="AA85" s="1"/>
      <c r="AB85" s="1"/>
    </row>
    <row r="86" spans="1:28" s="90" customFormat="1" ht="11.25" customHeight="1" x14ac:dyDescent="0.2">
      <c r="A86" s="119">
        <v>40</v>
      </c>
      <c r="B86" s="119" t="s">
        <v>87</v>
      </c>
      <c r="C86" s="120">
        <v>1.675</v>
      </c>
      <c r="D86" s="120">
        <v>0.74855731250000002</v>
      </c>
      <c r="E86" s="120">
        <v>-1.0257962206445814</v>
      </c>
      <c r="F86" s="120">
        <v>1.0028758124999999</v>
      </c>
      <c r="G86" s="120">
        <v>-14.774332499855195</v>
      </c>
      <c r="H86" s="121">
        <f t="shared" ref="H86:H96" si="74">$B$26*G86+$D$26</f>
        <v>-19.444144472106164</v>
      </c>
      <c r="I86" s="122">
        <f t="shared" ref="I86:I92" si="75">$B$27*E86+$D$27</f>
        <v>-2.141662339338203</v>
      </c>
      <c r="J86" s="118">
        <f t="shared" ref="J86:J96" si="76">(F86)/C86</f>
        <v>0.59873182835820893</v>
      </c>
      <c r="K86" s="118">
        <f>H$13</f>
        <v>3.3479999999999999</v>
      </c>
      <c r="L86" s="118"/>
      <c r="M86" s="118">
        <f t="shared" ref="M86:M96" si="77">C86*(K86/100)</f>
        <v>5.6078999999999997E-2</v>
      </c>
      <c r="N86" s="123">
        <f t="shared" ref="N86:N96" si="78">F86*$B$28+$D$28</f>
        <v>5.4414035834624994E-2</v>
      </c>
      <c r="O86" s="124">
        <f t="shared" ref="O86:O96" si="79">N86/C86*100</f>
        <v>3.2485991543059702</v>
      </c>
      <c r="P86" s="118">
        <f t="shared" ref="P86:P96" si="80">D86/C86</f>
        <v>0.44689988805970149</v>
      </c>
      <c r="Q86" s="118"/>
      <c r="R86" s="123">
        <f t="shared" ref="R86:R96" si="81">D86*$B$29+$D$29</f>
        <v>1.532707044025E-2</v>
      </c>
      <c r="S86" s="125">
        <f t="shared" ref="S86:S96" si="82">R86/C86*100</f>
        <v>0.91504898150746272</v>
      </c>
      <c r="T86" s="122">
        <f t="shared" ref="T86:T96" si="83">N86/R86</f>
        <v>3.5501915416092684</v>
      </c>
      <c r="U86" s="126"/>
      <c r="V86" s="126"/>
      <c r="W86" s="126"/>
      <c r="X86" s="126"/>
      <c r="Y86" s="126"/>
      <c r="Z86" s="126"/>
      <c r="AA86" s="126"/>
      <c r="AB86" s="126"/>
    </row>
    <row r="87" spans="1:28" s="90" customFormat="1" ht="11.25" customHeight="1" x14ac:dyDescent="0.2">
      <c r="A87" s="119">
        <v>52</v>
      </c>
      <c r="B87" s="119" t="s">
        <v>98</v>
      </c>
      <c r="C87" s="120">
        <v>1.468</v>
      </c>
      <c r="D87" s="120">
        <v>0.14764212500000001</v>
      </c>
      <c r="E87" s="120">
        <v>0.24671533910081145</v>
      </c>
      <c r="F87" s="120">
        <v>0.91555462499999996</v>
      </c>
      <c r="G87" s="120">
        <v>-14.717710758435677</v>
      </c>
      <c r="H87" s="121">
        <f t="shared" si="74"/>
        <v>-19.387902096354157</v>
      </c>
      <c r="I87" s="122">
        <f t="shared" si="75"/>
        <v>-0.74749867448115104</v>
      </c>
      <c r="J87" s="118">
        <f t="shared" si="76"/>
        <v>0.62367481267029967</v>
      </c>
      <c r="K87" s="118">
        <f>H$13</f>
        <v>3.3479999999999999</v>
      </c>
      <c r="L87" s="118"/>
      <c r="M87" s="118">
        <f t="shared" si="77"/>
        <v>4.9148639999999993E-2</v>
      </c>
      <c r="N87" s="123">
        <f t="shared" si="78"/>
        <v>4.967616284325E-2</v>
      </c>
      <c r="O87" s="124">
        <f t="shared" si="79"/>
        <v>3.3839347985865125</v>
      </c>
      <c r="P87" s="118">
        <f t="shared" si="80"/>
        <v>0.10057365463215259</v>
      </c>
      <c r="Q87" s="118"/>
      <c r="R87" s="123">
        <f t="shared" si="81"/>
        <v>2.0276155104999999E-3</v>
      </c>
      <c r="S87" s="125">
        <f t="shared" si="82"/>
        <v>0.13812094758174387</v>
      </c>
      <c r="T87" s="122">
        <f t="shared" si="83"/>
        <v>24.499794258823808</v>
      </c>
      <c r="U87" s="126"/>
      <c r="V87" s="126"/>
      <c r="W87" s="126"/>
      <c r="X87" s="126"/>
      <c r="Y87" s="126"/>
      <c r="Z87" s="126"/>
      <c r="AA87" s="126"/>
      <c r="AB87" s="126"/>
    </row>
    <row r="88" spans="1:28" s="90" customFormat="1" ht="11.25" customHeight="1" x14ac:dyDescent="0.2">
      <c r="A88" s="119">
        <v>64</v>
      </c>
      <c r="B88" s="119" t="s">
        <v>109</v>
      </c>
      <c r="C88" s="120">
        <v>1.3029999999999999</v>
      </c>
      <c r="D88" s="120">
        <v>0.2202845625</v>
      </c>
      <c r="E88" s="120">
        <v>-1.0342040337354419</v>
      </c>
      <c r="F88" s="120">
        <v>0.81909462499999997</v>
      </c>
      <c r="G88" s="120">
        <v>-15.085546881221498</v>
      </c>
      <c r="H88" s="121">
        <f t="shared" si="74"/>
        <v>-19.753273717117313</v>
      </c>
      <c r="I88" s="122">
        <f t="shared" si="75"/>
        <v>-2.15087393936055</v>
      </c>
      <c r="J88" s="118">
        <f t="shared" si="76"/>
        <v>0.62862212202609369</v>
      </c>
      <c r="K88" s="118">
        <f>H$13</f>
        <v>3.3479999999999999</v>
      </c>
      <c r="L88" s="118"/>
      <c r="M88" s="118">
        <f t="shared" si="77"/>
        <v>4.3624439999999994E-2</v>
      </c>
      <c r="N88" s="123">
        <f t="shared" si="78"/>
        <v>4.4442436163249999E-2</v>
      </c>
      <c r="O88" s="124">
        <f t="shared" si="79"/>
        <v>3.410777909689179</v>
      </c>
      <c r="P88" s="118">
        <f t="shared" si="80"/>
        <v>0.16905952609363009</v>
      </c>
      <c r="Q88" s="118"/>
      <c r="R88" s="123">
        <f t="shared" si="81"/>
        <v>3.6353379372500005E-3</v>
      </c>
      <c r="S88" s="125">
        <f t="shared" si="82"/>
        <v>0.2789975393131236</v>
      </c>
      <c r="T88" s="122">
        <f t="shared" si="83"/>
        <v>12.225118250455987</v>
      </c>
      <c r="U88" s="126"/>
      <c r="V88" s="126"/>
      <c r="W88" s="126"/>
      <c r="X88" s="126"/>
      <c r="Y88" s="126"/>
      <c r="Z88" s="126"/>
      <c r="AA88" s="126"/>
      <c r="AB88" s="126"/>
    </row>
    <row r="89" spans="1:28" s="90" customFormat="1" ht="11.25" customHeight="1" x14ac:dyDescent="0.2">
      <c r="A89" s="117">
        <v>30</v>
      </c>
      <c r="B89" s="117" t="s">
        <v>55</v>
      </c>
      <c r="C89" s="105">
        <v>1.1060000000000001</v>
      </c>
      <c r="D89" s="105">
        <v>1.5089465</v>
      </c>
      <c r="E89" s="105">
        <v>4.1067555753699914</v>
      </c>
      <c r="F89" s="105">
        <v>8.9779660000000003</v>
      </c>
      <c r="G89" s="105">
        <v>-21.414004683809786</v>
      </c>
      <c r="H89" s="100">
        <f t="shared" si="74"/>
        <v>-26.039330852428257</v>
      </c>
      <c r="I89" s="86">
        <f t="shared" si="75"/>
        <v>3.4815614083753621</v>
      </c>
      <c r="J89" s="87">
        <f t="shared" si="76"/>
        <v>8.1175099457504523</v>
      </c>
      <c r="K89" s="87">
        <f t="shared" ref="K89:L96" si="84">H$14</f>
        <v>44.65</v>
      </c>
      <c r="L89" s="87">
        <f t="shared" si="84"/>
        <v>2.83</v>
      </c>
      <c r="M89" s="87">
        <f t="shared" si="77"/>
        <v>0.49382900000000007</v>
      </c>
      <c r="N89" s="88">
        <f t="shared" si="78"/>
        <v>0.48712647922800001</v>
      </c>
      <c r="O89" s="91">
        <f t="shared" si="79"/>
        <v>44.043985463652803</v>
      </c>
      <c r="P89" s="87">
        <f t="shared" si="80"/>
        <v>1.3643277576853525</v>
      </c>
      <c r="Q89" s="87">
        <f t="shared" ref="Q89:Q96" si="85">C89*(L89/100)</f>
        <v>3.1299800000000003E-2</v>
      </c>
      <c r="R89" s="88">
        <f t="shared" si="81"/>
        <v>3.2156003938E-2</v>
      </c>
      <c r="S89" s="89">
        <f t="shared" si="82"/>
        <v>2.9074144609403252</v>
      </c>
      <c r="T89" s="86">
        <f t="shared" si="83"/>
        <v>15.148849968025527</v>
      </c>
    </row>
    <row r="90" spans="1:28" s="90" customFormat="1" ht="11.25" customHeight="1" x14ac:dyDescent="0.2">
      <c r="A90" s="117">
        <v>31</v>
      </c>
      <c r="B90" s="117" t="s">
        <v>56</v>
      </c>
      <c r="C90" s="105">
        <v>1.137</v>
      </c>
      <c r="D90" s="105">
        <v>1.5229701250000001</v>
      </c>
      <c r="E90" s="105">
        <v>2.8957636081279325</v>
      </c>
      <c r="F90" s="105">
        <v>9.1975569999999998</v>
      </c>
      <c r="G90" s="105">
        <v>-21.322140205329617</v>
      </c>
      <c r="H90" s="100">
        <f t="shared" si="74"/>
        <v>-25.948081865953906</v>
      </c>
      <c r="I90" s="86">
        <f t="shared" si="75"/>
        <v>2.1547986090649625</v>
      </c>
      <c r="J90" s="87">
        <f t="shared" si="76"/>
        <v>8.0893201407211954</v>
      </c>
      <c r="K90" s="87">
        <f t="shared" si="84"/>
        <v>44.65</v>
      </c>
      <c r="L90" s="87">
        <f t="shared" si="84"/>
        <v>2.83</v>
      </c>
      <c r="M90" s="87">
        <f t="shared" si="77"/>
        <v>0.50767050000000002</v>
      </c>
      <c r="N90" s="88">
        <f t="shared" si="78"/>
        <v>0.499041047706</v>
      </c>
      <c r="O90" s="91">
        <f t="shared" si="79"/>
        <v>43.891033219525063</v>
      </c>
      <c r="P90" s="87">
        <f t="shared" si="80"/>
        <v>1.3394636103781883</v>
      </c>
      <c r="Q90" s="87">
        <f t="shared" si="85"/>
        <v>3.21771E-2</v>
      </c>
      <c r="R90" s="88">
        <f t="shared" si="81"/>
        <v>3.2466374806500005E-2</v>
      </c>
      <c r="S90" s="89">
        <f t="shared" si="82"/>
        <v>2.8554419354881273</v>
      </c>
      <c r="T90" s="86">
        <f t="shared" si="83"/>
        <v>15.371012337542791</v>
      </c>
    </row>
    <row r="91" spans="1:28" s="126" customFormat="1" ht="11.25" customHeight="1" x14ac:dyDescent="0.2">
      <c r="A91" s="117">
        <v>32</v>
      </c>
      <c r="B91" s="117" t="s">
        <v>57</v>
      </c>
      <c r="C91" s="105">
        <v>0.79900000000000004</v>
      </c>
      <c r="D91" s="105">
        <v>1.1197581249999999</v>
      </c>
      <c r="E91" s="105">
        <v>2.3540991891730645</v>
      </c>
      <c r="F91" s="105">
        <v>6.5651780000000004</v>
      </c>
      <c r="G91" s="105">
        <v>-21.321108930752715</v>
      </c>
      <c r="H91" s="100">
        <f t="shared" si="74"/>
        <v>-25.947057500916671</v>
      </c>
      <c r="I91" s="86">
        <f t="shared" si="75"/>
        <v>1.5613510716580092</v>
      </c>
      <c r="J91" s="87">
        <f t="shared" si="76"/>
        <v>8.2167434292866091</v>
      </c>
      <c r="K91" s="87">
        <f t="shared" si="84"/>
        <v>44.65</v>
      </c>
      <c r="L91" s="87">
        <f t="shared" si="84"/>
        <v>2.83</v>
      </c>
      <c r="M91" s="87">
        <f t="shared" si="77"/>
        <v>0.3567535</v>
      </c>
      <c r="N91" s="88">
        <f t="shared" si="78"/>
        <v>0.35621342792400001</v>
      </c>
      <c r="O91" s="91">
        <f t="shared" si="79"/>
        <v>44.582406498623278</v>
      </c>
      <c r="P91" s="87">
        <f t="shared" si="80"/>
        <v>1.4014494680851062</v>
      </c>
      <c r="Q91" s="87">
        <f t="shared" si="85"/>
        <v>2.2611700000000002E-2</v>
      </c>
      <c r="R91" s="88">
        <f t="shared" si="81"/>
        <v>2.3542486822499997E-2</v>
      </c>
      <c r="S91" s="89">
        <f t="shared" si="82"/>
        <v>2.9464939702753434</v>
      </c>
      <c r="T91" s="86">
        <f t="shared" si="83"/>
        <v>15.130662729459836</v>
      </c>
      <c r="U91" s="90"/>
      <c r="V91" s="90"/>
      <c r="W91" s="90"/>
      <c r="X91" s="90"/>
      <c r="Y91" s="90"/>
      <c r="Z91" s="90"/>
      <c r="AA91" s="90"/>
      <c r="AB91" s="90"/>
    </row>
    <row r="92" spans="1:28" s="90" customFormat="1" ht="11.25" customHeight="1" x14ac:dyDescent="0.2">
      <c r="A92" s="117">
        <v>33</v>
      </c>
      <c r="B92" s="117" t="s">
        <v>58</v>
      </c>
      <c r="C92" s="105">
        <v>1.099</v>
      </c>
      <c r="D92" s="105">
        <v>1.53150075</v>
      </c>
      <c r="E92" s="105">
        <v>2.4792808452493986</v>
      </c>
      <c r="F92" s="105">
        <v>9.0147840000000006</v>
      </c>
      <c r="G92" s="105">
        <v>-21.330196814149641</v>
      </c>
      <c r="H92" s="100">
        <f t="shared" si="74"/>
        <v>-25.956084495494835</v>
      </c>
      <c r="I92" s="86">
        <f t="shared" si="75"/>
        <v>1.6985000940552408</v>
      </c>
      <c r="J92" s="87">
        <f t="shared" si="76"/>
        <v>8.2027151956323934</v>
      </c>
      <c r="K92" s="87">
        <f t="shared" si="84"/>
        <v>44.65</v>
      </c>
      <c r="L92" s="87">
        <f t="shared" si="84"/>
        <v>2.83</v>
      </c>
      <c r="M92" s="87">
        <f t="shared" si="77"/>
        <v>0.49070350000000001</v>
      </c>
      <c r="N92" s="88">
        <f t="shared" si="78"/>
        <v>0.48912415027200001</v>
      </c>
      <c r="O92" s="91">
        <f t="shared" si="79"/>
        <v>44.50629210846224</v>
      </c>
      <c r="P92" s="87">
        <f t="shared" si="80"/>
        <v>1.3935402638762511</v>
      </c>
      <c r="Q92" s="87">
        <f t="shared" si="85"/>
        <v>3.1101700000000003E-2</v>
      </c>
      <c r="R92" s="88">
        <f t="shared" si="81"/>
        <v>3.2655174598999998E-2</v>
      </c>
      <c r="S92" s="89">
        <f t="shared" si="82"/>
        <v>2.9713534666969972</v>
      </c>
      <c r="T92" s="86">
        <f t="shared" si="83"/>
        <v>14.978457664929421</v>
      </c>
    </row>
    <row r="93" spans="1:28" s="136" customFormat="1" ht="11.25" customHeight="1" x14ac:dyDescent="0.2">
      <c r="A93" s="129">
        <v>39</v>
      </c>
      <c r="B93" s="129" t="s">
        <v>59</v>
      </c>
      <c r="C93" s="130">
        <v>0.89700000000000002</v>
      </c>
      <c r="D93" s="130">
        <v>1.4057626249999999</v>
      </c>
      <c r="E93" s="130">
        <v>1.1907049827515337</v>
      </c>
      <c r="F93" s="130">
        <v>7.4608654999999997</v>
      </c>
      <c r="G93" s="130">
        <v>-20.890378079207977</v>
      </c>
      <c r="H93" s="131"/>
      <c r="I93" s="127"/>
      <c r="J93" s="132">
        <f t="shared" si="76"/>
        <v>8.3175758082497211</v>
      </c>
      <c r="K93" s="132">
        <f t="shared" si="84"/>
        <v>44.65</v>
      </c>
      <c r="L93" s="132">
        <f t="shared" si="84"/>
        <v>2.83</v>
      </c>
      <c r="M93" s="132">
        <f t="shared" si="77"/>
        <v>0.40051049999999999</v>
      </c>
      <c r="N93" s="133">
        <f t="shared" si="78"/>
        <v>0.40481164029899996</v>
      </c>
      <c r="O93" s="134">
        <f t="shared" si="79"/>
        <v>45.129502820401335</v>
      </c>
      <c r="P93" s="132">
        <f t="shared" si="80"/>
        <v>1.5671824136008918</v>
      </c>
      <c r="Q93" s="132"/>
      <c r="R93" s="133">
        <f t="shared" si="81"/>
        <v>2.9872338416499996E-2</v>
      </c>
      <c r="S93" s="135">
        <f t="shared" si="82"/>
        <v>3.3302495447603118</v>
      </c>
      <c r="T93" s="127"/>
    </row>
    <row r="94" spans="1:28" s="90" customFormat="1" ht="11.25" customHeight="1" x14ac:dyDescent="0.2">
      <c r="A94" s="117">
        <v>51</v>
      </c>
      <c r="B94" s="117" t="s">
        <v>82</v>
      </c>
      <c r="C94" s="105">
        <v>1.2549999999999999</v>
      </c>
      <c r="D94" s="105">
        <v>1.5809407499999999</v>
      </c>
      <c r="E94" s="105">
        <v>4.227965545924528</v>
      </c>
      <c r="F94" s="105">
        <v>10.427472</v>
      </c>
      <c r="G94" s="105">
        <v>-21.523410163299701</v>
      </c>
      <c r="H94" s="100">
        <f t="shared" si="74"/>
        <v>-26.148003315205592</v>
      </c>
      <c r="I94" s="86">
        <f>$B$27*E94+$D$27</f>
        <v>3.6143590521149118</v>
      </c>
      <c r="J94" s="87">
        <f t="shared" si="76"/>
        <v>8.3087426294820723</v>
      </c>
      <c r="K94" s="87">
        <f t="shared" si="84"/>
        <v>44.65</v>
      </c>
      <c r="L94" s="87">
        <f t="shared" si="84"/>
        <v>2.83</v>
      </c>
      <c r="M94" s="87">
        <f t="shared" si="77"/>
        <v>0.56035749999999995</v>
      </c>
      <c r="N94" s="88">
        <f t="shared" si="78"/>
        <v>0.56577377577599997</v>
      </c>
      <c r="O94" s="91">
        <f t="shared" si="79"/>
        <v>45.081575759043822</v>
      </c>
      <c r="P94" s="87">
        <f t="shared" si="80"/>
        <v>1.2597137450199203</v>
      </c>
      <c r="Q94" s="87">
        <f t="shared" si="85"/>
        <v>3.5516499999999999E-2</v>
      </c>
      <c r="R94" s="88">
        <f t="shared" si="81"/>
        <v>3.3749380678999998E-2</v>
      </c>
      <c r="S94" s="89">
        <f t="shared" si="82"/>
        <v>2.6891936796015936</v>
      </c>
      <c r="T94" s="86">
        <f t="shared" si="83"/>
        <v>16.76397505356427</v>
      </c>
    </row>
    <row r="95" spans="1:28" s="126" customFormat="1" ht="11.25" customHeight="1" x14ac:dyDescent="0.2">
      <c r="A95" s="117">
        <v>63</v>
      </c>
      <c r="B95" s="117" t="s">
        <v>61</v>
      </c>
      <c r="C95" s="105">
        <v>1.115</v>
      </c>
      <c r="D95" s="105">
        <v>1.4337353749999999</v>
      </c>
      <c r="E95" s="105">
        <v>3.7303220290716421</v>
      </c>
      <c r="F95" s="105">
        <v>9.2543860000000002</v>
      </c>
      <c r="G95" s="105">
        <v>-21.877641357850798</v>
      </c>
      <c r="H95" s="100">
        <f t="shared" si="74"/>
        <v>-26.499861160753195</v>
      </c>
      <c r="I95" s="86">
        <f>$B$27*E95+$D$27</f>
        <v>3.0691408150508908</v>
      </c>
      <c r="J95" s="87">
        <f t="shared" si="76"/>
        <v>8.2998977578475337</v>
      </c>
      <c r="K95" s="87">
        <f t="shared" si="84"/>
        <v>44.65</v>
      </c>
      <c r="L95" s="87">
        <f t="shared" si="84"/>
        <v>2.83</v>
      </c>
      <c r="M95" s="87">
        <f t="shared" si="77"/>
        <v>0.4978475</v>
      </c>
      <c r="N95" s="88">
        <f t="shared" si="78"/>
        <v>0.502124475588</v>
      </c>
      <c r="O95" s="91">
        <f t="shared" si="79"/>
        <v>45.033585254529143</v>
      </c>
      <c r="P95" s="87">
        <f t="shared" si="80"/>
        <v>1.2858613228699551</v>
      </c>
      <c r="Q95" s="87">
        <f t="shared" si="85"/>
        <v>3.1554499999999999E-2</v>
      </c>
      <c r="R95" s="88">
        <f t="shared" si="81"/>
        <v>3.0491431319499992E-2</v>
      </c>
      <c r="S95" s="89">
        <f t="shared" si="82"/>
        <v>2.7346575174439454</v>
      </c>
      <c r="T95" s="86">
        <f t="shared" si="83"/>
        <v>16.467724008314413</v>
      </c>
      <c r="U95" s="90"/>
      <c r="V95" s="90"/>
      <c r="W95" s="90"/>
      <c r="X95" s="90"/>
      <c r="Y95" s="90"/>
      <c r="Z95" s="90"/>
      <c r="AA95" s="90"/>
      <c r="AB95" s="90"/>
    </row>
    <row r="96" spans="1:28" s="90" customFormat="1" ht="11.25" customHeight="1" x14ac:dyDescent="0.2">
      <c r="A96" s="117">
        <v>73</v>
      </c>
      <c r="B96" s="117" t="s">
        <v>84</v>
      </c>
      <c r="C96" s="105">
        <v>0.80400000000000005</v>
      </c>
      <c r="D96" s="105">
        <v>1.0477574375000001</v>
      </c>
      <c r="E96" s="105">
        <v>3.4852830536147295</v>
      </c>
      <c r="F96" s="105">
        <v>6.6975094999999998</v>
      </c>
      <c r="G96" s="105">
        <v>-21.943691232778349</v>
      </c>
      <c r="H96" s="100">
        <f t="shared" si="74"/>
        <v>-26.565468501518733</v>
      </c>
      <c r="I96" s="86">
        <f>$B$27*E96+$D$27</f>
        <v>2.8006761135402973</v>
      </c>
      <c r="J96" s="87">
        <f t="shared" si="76"/>
        <v>8.3302356965174127</v>
      </c>
      <c r="K96" s="87">
        <f t="shared" si="84"/>
        <v>44.65</v>
      </c>
      <c r="L96" s="87">
        <f t="shared" si="84"/>
        <v>2.83</v>
      </c>
      <c r="M96" s="87">
        <f t="shared" si="77"/>
        <v>0.35898600000000003</v>
      </c>
      <c r="N96" s="88">
        <f t="shared" si="78"/>
        <v>0.36339347045100001</v>
      </c>
      <c r="O96" s="91">
        <f t="shared" si="79"/>
        <v>45.198192842164175</v>
      </c>
      <c r="P96" s="87">
        <f t="shared" si="80"/>
        <v>1.3031808924129353</v>
      </c>
      <c r="Q96" s="87">
        <f t="shared" si="85"/>
        <v>2.2753200000000005E-2</v>
      </c>
      <c r="R96" s="88">
        <f t="shared" si="81"/>
        <v>2.1948967606749997E-2</v>
      </c>
      <c r="S96" s="89">
        <f t="shared" si="82"/>
        <v>2.7299710953669147</v>
      </c>
      <c r="T96" s="86">
        <f t="shared" si="83"/>
        <v>16.556289888515991</v>
      </c>
    </row>
    <row r="97" spans="1:28" ht="11.25" customHeight="1" x14ac:dyDescent="0.2">
      <c r="A97" s="83"/>
      <c r="B97" s="111"/>
      <c r="C97" s="84"/>
      <c r="D97" s="84"/>
      <c r="E97" s="84"/>
      <c r="F97" s="84"/>
      <c r="G97" s="84"/>
      <c r="H97" s="102"/>
      <c r="I97" s="102"/>
      <c r="J97" s="106"/>
      <c r="K97" s="106"/>
      <c r="L97" s="106"/>
      <c r="M97" s="106"/>
      <c r="N97" s="107"/>
      <c r="O97" s="103"/>
      <c r="P97" s="106"/>
      <c r="Q97" s="106"/>
      <c r="R97" s="107"/>
      <c r="S97" s="104"/>
      <c r="T97" s="102"/>
      <c r="V97" s="1"/>
      <c r="W97" s="1"/>
      <c r="X97" s="1"/>
      <c r="Y97" s="1"/>
      <c r="Z97" s="1"/>
      <c r="AA97" s="1"/>
      <c r="AB97" s="1"/>
    </row>
    <row r="98" spans="1:28" ht="11.25" customHeight="1" x14ac:dyDescent="0.2">
      <c r="A98" s="92" t="s">
        <v>71</v>
      </c>
      <c r="B98" s="93" t="s">
        <v>40</v>
      </c>
      <c r="C98" s="92" t="s">
        <v>54</v>
      </c>
      <c r="D98" s="92" t="s">
        <v>72</v>
      </c>
      <c r="E98" s="94" t="s">
        <v>79</v>
      </c>
      <c r="F98" s="92" t="s">
        <v>72</v>
      </c>
      <c r="G98" s="94" t="s">
        <v>73</v>
      </c>
      <c r="J98" s="1"/>
      <c r="K98" s="1"/>
      <c r="L98" s="1"/>
      <c r="V98" s="1"/>
      <c r="W98" s="1"/>
      <c r="X98" s="1"/>
      <c r="Y98" s="1"/>
      <c r="Z98" s="1"/>
      <c r="AA98" s="1"/>
      <c r="AB98" s="1"/>
    </row>
    <row r="99" spans="1:28" ht="11.25" customHeight="1" x14ac:dyDescent="0.2">
      <c r="A99" s="97" t="s">
        <v>74</v>
      </c>
      <c r="B99" s="97" t="s">
        <v>75</v>
      </c>
      <c r="C99" s="98" t="s">
        <v>77</v>
      </c>
      <c r="D99" s="98" t="s">
        <v>76</v>
      </c>
      <c r="E99" s="98" t="s">
        <v>78</v>
      </c>
      <c r="F99" s="98" t="s">
        <v>76</v>
      </c>
      <c r="G99" s="98" t="s">
        <v>78</v>
      </c>
      <c r="J99" s="1"/>
      <c r="K99" s="1"/>
      <c r="L99" s="1"/>
      <c r="V99" s="1"/>
      <c r="W99" s="1"/>
      <c r="X99" s="1"/>
      <c r="Y99" s="1"/>
      <c r="Z99" s="1"/>
      <c r="AA99" s="1"/>
      <c r="AB99" s="1"/>
    </row>
    <row r="100" spans="1:28" ht="11.25" customHeight="1" x14ac:dyDescent="0.2">
      <c r="A100" s="95">
        <v>33</v>
      </c>
      <c r="B100" s="95" t="s">
        <v>85</v>
      </c>
      <c r="C100" s="96">
        <v>1.5680000000000001</v>
      </c>
      <c r="D100" s="96">
        <v>0.57160343749999998</v>
      </c>
      <c r="E100" s="96">
        <v>2.8799411243840556</v>
      </c>
      <c r="F100" s="96">
        <v>1.5817239999999999</v>
      </c>
      <c r="G100" s="96">
        <v>-21.848580214636076</v>
      </c>
      <c r="J100" s="1"/>
      <c r="K100" s="1"/>
      <c r="L100" s="1"/>
      <c r="V100" s="1"/>
      <c r="W100" s="1"/>
      <c r="X100" s="1"/>
      <c r="Y100" s="1"/>
      <c r="Z100" s="1"/>
      <c r="AA100" s="1"/>
      <c r="AB100" s="1"/>
    </row>
    <row r="101" spans="1:28" ht="11.25" customHeight="1" x14ac:dyDescent="0.2">
      <c r="A101" s="92" t="s">
        <v>71</v>
      </c>
      <c r="B101" s="93" t="s">
        <v>40</v>
      </c>
      <c r="C101" s="92" t="s">
        <v>54</v>
      </c>
      <c r="D101" s="92" t="s">
        <v>72</v>
      </c>
      <c r="E101" s="94" t="s">
        <v>79</v>
      </c>
      <c r="F101" s="92" t="s">
        <v>72</v>
      </c>
      <c r="G101" s="94" t="s">
        <v>73</v>
      </c>
      <c r="J101" s="1"/>
      <c r="K101" s="1"/>
      <c r="L101" s="1"/>
      <c r="V101" s="1"/>
      <c r="W101" s="1"/>
      <c r="X101" s="1"/>
      <c r="Y101" s="1"/>
      <c r="Z101" s="1"/>
      <c r="AA101" s="1"/>
      <c r="AB101" s="1"/>
    </row>
    <row r="102" spans="1:28" ht="11.25" customHeight="1" x14ac:dyDescent="0.2">
      <c r="A102" s="97" t="s">
        <v>74</v>
      </c>
      <c r="B102" s="97" t="s">
        <v>75</v>
      </c>
      <c r="C102" s="98" t="s">
        <v>77</v>
      </c>
      <c r="D102" s="98" t="s">
        <v>76</v>
      </c>
      <c r="E102" s="98" t="s">
        <v>78</v>
      </c>
      <c r="F102" s="98" t="s">
        <v>76</v>
      </c>
      <c r="G102" s="98" t="s">
        <v>78</v>
      </c>
      <c r="J102" s="1"/>
      <c r="K102" s="1"/>
      <c r="L102" s="1"/>
      <c r="V102" s="1"/>
      <c r="W102" s="1"/>
      <c r="X102" s="1"/>
      <c r="Y102" s="1"/>
      <c r="Z102" s="1"/>
      <c r="AA102" s="1"/>
      <c r="AB102" s="1"/>
    </row>
    <row r="103" spans="1:28" ht="11.25" customHeight="1" x14ac:dyDescent="0.2">
      <c r="A103" s="83">
        <v>30</v>
      </c>
      <c r="B103" s="83" t="s">
        <v>55</v>
      </c>
      <c r="C103" s="84">
        <v>1.1060000000000001</v>
      </c>
      <c r="D103" s="84">
        <v>1.5089465</v>
      </c>
      <c r="E103" s="84">
        <v>4.1067555753699914</v>
      </c>
      <c r="F103" s="84">
        <v>8.9779660000000003</v>
      </c>
      <c r="G103" s="84">
        <v>-21.414004683809786</v>
      </c>
      <c r="J103" s="1"/>
      <c r="K103" s="1"/>
      <c r="L103" s="1"/>
      <c r="V103" s="1"/>
      <c r="W103" s="1"/>
      <c r="X103" s="1"/>
      <c r="Y103" s="1"/>
      <c r="Z103" s="1"/>
      <c r="AA103" s="1"/>
      <c r="AB103" s="1"/>
    </row>
    <row r="104" spans="1:28" ht="11.25" customHeight="1" x14ac:dyDescent="0.2">
      <c r="A104" s="95">
        <v>31</v>
      </c>
      <c r="B104" s="95" t="s">
        <v>56</v>
      </c>
      <c r="C104" s="96">
        <v>1.137</v>
      </c>
      <c r="D104" s="96">
        <v>1.5229701250000001</v>
      </c>
      <c r="E104" s="96">
        <v>2.8957636081279325</v>
      </c>
      <c r="F104" s="96">
        <v>9.1975569999999998</v>
      </c>
      <c r="G104" s="96">
        <v>-21.322140205329617</v>
      </c>
      <c r="J104" s="1"/>
      <c r="K104" s="1"/>
      <c r="L104" s="1"/>
      <c r="V104" s="1"/>
      <c r="W104" s="1"/>
      <c r="X104" s="1"/>
      <c r="Y104" s="1"/>
      <c r="Z104" s="1"/>
      <c r="AA104" s="1"/>
      <c r="AB104" s="1"/>
    </row>
    <row r="105" spans="1:28" ht="11.25" customHeight="1" x14ac:dyDescent="0.2">
      <c r="A105" s="83">
        <v>32</v>
      </c>
      <c r="B105" s="83" t="s">
        <v>57</v>
      </c>
      <c r="C105" s="84">
        <v>0.79900000000000004</v>
      </c>
      <c r="D105" s="84">
        <v>1.1197581249999999</v>
      </c>
      <c r="E105" s="84">
        <v>2.3540991891730645</v>
      </c>
      <c r="F105" s="84">
        <v>6.5651780000000004</v>
      </c>
      <c r="G105" s="84">
        <v>-21.321108930752715</v>
      </c>
      <c r="J105" s="1"/>
      <c r="K105" s="1"/>
      <c r="L105" s="1"/>
      <c r="V105" s="1"/>
      <c r="W105" s="1"/>
      <c r="X105" s="1"/>
      <c r="Y105" s="1"/>
      <c r="Z105" s="1"/>
      <c r="AA105" s="1"/>
      <c r="AB105" s="1"/>
    </row>
    <row r="106" spans="1:28" ht="11.25" customHeight="1" x14ac:dyDescent="0.2">
      <c r="A106" s="95">
        <v>33</v>
      </c>
      <c r="B106" s="95" t="s">
        <v>58</v>
      </c>
      <c r="C106" s="96">
        <v>1.099</v>
      </c>
      <c r="D106" s="96">
        <v>1.53150075</v>
      </c>
      <c r="E106" s="96">
        <v>2.4792808452493986</v>
      </c>
      <c r="F106" s="96">
        <v>9.0147840000000006</v>
      </c>
      <c r="G106" s="96">
        <v>-21.330196814149641</v>
      </c>
      <c r="J106" s="1"/>
      <c r="K106" s="1"/>
      <c r="L106" s="1"/>
      <c r="V106" s="1"/>
      <c r="W106" s="1"/>
      <c r="X106" s="1"/>
      <c r="Y106" s="1"/>
      <c r="Z106" s="1"/>
      <c r="AA106" s="1"/>
      <c r="AB106" s="1"/>
    </row>
    <row r="107" spans="1:28" ht="11.25" customHeight="1" x14ac:dyDescent="0.2">
      <c r="A107" s="83">
        <v>34</v>
      </c>
      <c r="B107" s="83" t="s">
        <v>60</v>
      </c>
      <c r="C107" s="84">
        <v>0.69</v>
      </c>
      <c r="D107" s="84">
        <v>0.43102809375000001</v>
      </c>
      <c r="E107" s="84">
        <v>-4.0618389730353588</v>
      </c>
      <c r="F107" s="84">
        <v>5.2117529999999999</v>
      </c>
      <c r="G107" s="84">
        <v>-19.939056758136015</v>
      </c>
      <c r="J107" s="1"/>
      <c r="K107" s="1"/>
      <c r="L107" s="1"/>
      <c r="V107" s="1"/>
      <c r="W107" s="1"/>
      <c r="X107" s="1"/>
      <c r="Y107" s="1"/>
      <c r="Z107" s="1"/>
      <c r="AA107" s="1"/>
      <c r="AB107" s="1"/>
    </row>
    <row r="108" spans="1:28" ht="11.25" customHeight="1" x14ac:dyDescent="0.2">
      <c r="A108" s="95">
        <v>35</v>
      </c>
      <c r="B108" s="95" t="s">
        <v>66</v>
      </c>
      <c r="C108" s="96">
        <v>1.046</v>
      </c>
      <c r="D108" s="96">
        <v>0.60964462500000005</v>
      </c>
      <c r="E108" s="96">
        <v>-3.2024072598659803</v>
      </c>
      <c r="F108" s="96">
        <v>7.9380335000000004</v>
      </c>
      <c r="G108" s="96">
        <v>-5.9671570699357881</v>
      </c>
      <c r="J108" s="1"/>
      <c r="K108" s="1"/>
      <c r="L108" s="1"/>
      <c r="V108" s="1"/>
      <c r="W108" s="1"/>
      <c r="X108" s="1"/>
      <c r="Y108" s="1"/>
      <c r="Z108" s="1"/>
      <c r="AA108" s="1"/>
      <c r="AB108" s="1"/>
    </row>
    <row r="109" spans="1:28" ht="11.25" customHeight="1" x14ac:dyDescent="0.2">
      <c r="A109" s="83">
        <v>36</v>
      </c>
      <c r="B109" s="83" t="s">
        <v>65</v>
      </c>
      <c r="C109" s="84">
        <v>1.554</v>
      </c>
      <c r="D109" s="84">
        <v>0.63098931250000001</v>
      </c>
      <c r="E109" s="84">
        <v>-2.6379382741108515</v>
      </c>
      <c r="F109" s="84">
        <v>5.2218615000000002</v>
      </c>
      <c r="G109" s="84">
        <v>-13.521096736902257</v>
      </c>
      <c r="J109" s="1"/>
      <c r="K109" s="1"/>
      <c r="L109" s="1"/>
      <c r="V109" s="1"/>
      <c r="W109" s="1"/>
      <c r="X109" s="1"/>
      <c r="Y109" s="1"/>
      <c r="Z109" s="1"/>
      <c r="AA109" s="1"/>
      <c r="AB109" s="1"/>
    </row>
    <row r="110" spans="1:28" ht="11.25" customHeight="1" x14ac:dyDescent="0.2">
      <c r="A110" s="95">
        <v>37</v>
      </c>
      <c r="B110" s="95" t="s">
        <v>67</v>
      </c>
      <c r="C110" s="96">
        <v>0.441</v>
      </c>
      <c r="D110" s="96">
        <v>4.4275545000000003</v>
      </c>
      <c r="E110" s="96">
        <v>1.2941196946578692</v>
      </c>
      <c r="F110" s="96">
        <v>1.0271145507812499E-2</v>
      </c>
      <c r="G110" s="96">
        <v>-14.919924733913625</v>
      </c>
      <c r="J110" s="1"/>
      <c r="K110" s="1"/>
      <c r="L110" s="1"/>
      <c r="V110" s="1"/>
      <c r="W110" s="1"/>
      <c r="X110" s="1"/>
      <c r="Y110" s="1"/>
      <c r="Z110" s="1"/>
      <c r="AA110" s="1"/>
      <c r="AB110" s="1"/>
    </row>
    <row r="111" spans="1:28" ht="11.25" customHeight="1" x14ac:dyDescent="0.2">
      <c r="A111" s="83">
        <v>38</v>
      </c>
      <c r="B111" s="83" t="s">
        <v>68</v>
      </c>
      <c r="C111" s="84">
        <v>0.50800000000000001</v>
      </c>
      <c r="D111" s="84">
        <v>4.9898084999999996</v>
      </c>
      <c r="E111" s="84">
        <v>19.457758724372056</v>
      </c>
      <c r="F111" s="84">
        <v>8.6221757812499997E-3</v>
      </c>
      <c r="G111" s="84">
        <v>-18.489121371352017</v>
      </c>
      <c r="J111" s="1"/>
      <c r="K111" s="1"/>
      <c r="L111" s="1"/>
      <c r="V111" s="1"/>
      <c r="W111" s="1"/>
      <c r="X111" s="1"/>
      <c r="Y111" s="1"/>
      <c r="Z111" s="1"/>
      <c r="AA111" s="1"/>
      <c r="AB111" s="1"/>
    </row>
    <row r="112" spans="1:28" ht="11.25" customHeight="1" x14ac:dyDescent="0.2">
      <c r="A112" s="95">
        <v>39</v>
      </c>
      <c r="B112" s="95" t="s">
        <v>59</v>
      </c>
      <c r="C112" s="96">
        <v>0.89700000000000002</v>
      </c>
      <c r="D112" s="96">
        <v>1.4057626249999999</v>
      </c>
      <c r="E112" s="96">
        <v>1.1907049827515337</v>
      </c>
      <c r="F112" s="96">
        <v>7.4608654999999997</v>
      </c>
      <c r="G112" s="96">
        <v>-20.890378079207977</v>
      </c>
      <c r="J112" s="1"/>
      <c r="K112" s="1"/>
      <c r="L112" s="1"/>
      <c r="V112" s="1"/>
      <c r="W112" s="1"/>
      <c r="X112" s="1"/>
      <c r="Y112" s="1"/>
      <c r="Z112" s="1"/>
      <c r="AA112" s="1"/>
      <c r="AB112" s="1"/>
    </row>
    <row r="113" spans="1:28" ht="11.25" customHeight="1" x14ac:dyDescent="0.2">
      <c r="A113" s="83">
        <v>40</v>
      </c>
      <c r="B113" s="83" t="s">
        <v>87</v>
      </c>
      <c r="C113" s="84">
        <v>1.675</v>
      </c>
      <c r="D113" s="84">
        <v>0.74855731250000002</v>
      </c>
      <c r="E113" s="84">
        <v>-1.0257962206445814</v>
      </c>
      <c r="F113" s="84">
        <v>1.0028758124999999</v>
      </c>
      <c r="G113" s="84">
        <v>-14.774332499855195</v>
      </c>
      <c r="J113" s="1"/>
      <c r="K113" s="1"/>
      <c r="L113" s="1"/>
      <c r="V113" s="1"/>
      <c r="W113" s="1"/>
      <c r="X113" s="1"/>
      <c r="Y113" s="1"/>
      <c r="Z113" s="1"/>
      <c r="AA113" s="1"/>
      <c r="AB113" s="1"/>
    </row>
    <row r="114" spans="1:28" ht="11.25" customHeight="1" x14ac:dyDescent="0.2">
      <c r="A114" s="95">
        <v>41</v>
      </c>
      <c r="B114" s="95" t="s">
        <v>88</v>
      </c>
      <c r="C114" s="96">
        <v>1.85</v>
      </c>
      <c r="D114" s="96">
        <v>0.82722743750000005</v>
      </c>
      <c r="E114" s="96">
        <v>0.11620440662407638</v>
      </c>
      <c r="F114" s="96">
        <v>3.5384380000000002</v>
      </c>
      <c r="G114" s="96">
        <v>-21.821340790504291</v>
      </c>
      <c r="J114" s="1"/>
      <c r="K114" s="1"/>
      <c r="L114" s="1"/>
      <c r="V114" s="1"/>
      <c r="W114" s="1"/>
      <c r="X114" s="1"/>
      <c r="Y114" s="1"/>
      <c r="Z114" s="1"/>
      <c r="AA114" s="1"/>
      <c r="AB114" s="1"/>
    </row>
    <row r="115" spans="1:28" ht="11.25" customHeight="1" x14ac:dyDescent="0.2">
      <c r="A115" s="83">
        <v>42</v>
      </c>
      <c r="B115" s="83" t="s">
        <v>89</v>
      </c>
      <c r="C115" s="84">
        <v>2.2530000000000001</v>
      </c>
      <c r="D115" s="84">
        <v>1.1734763749999999</v>
      </c>
      <c r="E115" s="84">
        <v>1.8729880525116815</v>
      </c>
      <c r="F115" s="84">
        <v>8.1786999999999992</v>
      </c>
      <c r="G115" s="84">
        <v>-20.826089451994573</v>
      </c>
      <c r="J115" s="1"/>
      <c r="K115" s="1"/>
      <c r="L115" s="1"/>
      <c r="V115" s="1"/>
      <c r="W115" s="1"/>
      <c r="X115" s="1"/>
      <c r="Y115" s="1"/>
      <c r="Z115" s="1"/>
      <c r="AA115" s="1"/>
      <c r="AB115" s="1"/>
    </row>
    <row r="116" spans="1:28" ht="11.25" customHeight="1" x14ac:dyDescent="0.2">
      <c r="A116" s="95">
        <v>43</v>
      </c>
      <c r="B116" s="95" t="s">
        <v>90</v>
      </c>
      <c r="C116" s="96">
        <v>1.899</v>
      </c>
      <c r="D116" s="96">
        <v>0.40452746875000001</v>
      </c>
      <c r="E116" s="96">
        <v>0.91687344275381832</v>
      </c>
      <c r="F116" s="96">
        <v>2.2489254999999999</v>
      </c>
      <c r="G116" s="96">
        <v>-21.300012214034261</v>
      </c>
      <c r="J116" s="1"/>
      <c r="K116" s="1"/>
      <c r="L116" s="1"/>
      <c r="V116" s="1"/>
      <c r="W116" s="1"/>
      <c r="X116" s="1"/>
      <c r="Y116" s="1"/>
      <c r="Z116" s="1"/>
      <c r="AA116" s="1"/>
      <c r="AB116" s="1"/>
    </row>
    <row r="117" spans="1:28" ht="11.25" customHeight="1" x14ac:dyDescent="0.2">
      <c r="A117" s="83">
        <v>44</v>
      </c>
      <c r="B117" s="83" t="s">
        <v>91</v>
      </c>
      <c r="C117" s="84">
        <v>2.0249999999999999</v>
      </c>
      <c r="D117" s="84">
        <v>0.76069575</v>
      </c>
      <c r="E117" s="84">
        <v>1.3994919646438397</v>
      </c>
      <c r="F117" s="84">
        <v>8.4483800000000002</v>
      </c>
      <c r="G117" s="84">
        <v>-21.607738615614373</v>
      </c>
      <c r="J117" s="1"/>
      <c r="K117" s="1"/>
      <c r="L117" s="1"/>
      <c r="V117" s="1"/>
      <c r="W117" s="1"/>
      <c r="X117" s="1"/>
      <c r="Y117" s="1"/>
      <c r="Z117" s="1"/>
      <c r="AA117" s="1"/>
      <c r="AB117" s="1"/>
    </row>
    <row r="118" spans="1:28" ht="11.25" customHeight="1" x14ac:dyDescent="0.2">
      <c r="A118" s="95">
        <v>45</v>
      </c>
      <c r="B118" s="95" t="s">
        <v>92</v>
      </c>
      <c r="C118" s="96">
        <v>2.375</v>
      </c>
      <c r="D118" s="96">
        <v>0.43351753124999998</v>
      </c>
      <c r="E118" s="96">
        <v>3.0537940170307643</v>
      </c>
      <c r="F118" s="96">
        <v>4.3568505000000002</v>
      </c>
      <c r="G118" s="96">
        <v>-21.095167686141682</v>
      </c>
      <c r="J118" s="1"/>
      <c r="K118" s="1"/>
      <c r="L118" s="1"/>
      <c r="V118" s="1"/>
      <c r="W118" s="1"/>
      <c r="X118" s="1"/>
      <c r="Y118" s="1"/>
      <c r="Z118" s="1"/>
      <c r="AA118" s="1"/>
      <c r="AB118" s="1"/>
    </row>
    <row r="119" spans="1:28" ht="11.25" customHeight="1" x14ac:dyDescent="0.2">
      <c r="A119" s="83">
        <v>46</v>
      </c>
      <c r="B119" s="83" t="s">
        <v>93</v>
      </c>
      <c r="C119" s="84">
        <v>2.0550000000000002</v>
      </c>
      <c r="D119" s="84">
        <v>0.22826857812500001</v>
      </c>
      <c r="E119" s="84">
        <v>3.6730644409579405</v>
      </c>
      <c r="F119" s="84">
        <v>1.344137125</v>
      </c>
      <c r="G119" s="84">
        <v>-21.394488910642064</v>
      </c>
      <c r="J119" s="1"/>
      <c r="K119" s="1"/>
      <c r="L119" s="1"/>
      <c r="V119" s="1"/>
      <c r="W119" s="1"/>
      <c r="X119" s="1"/>
      <c r="Y119" s="1"/>
      <c r="Z119" s="1"/>
      <c r="AA119" s="1"/>
      <c r="AB119" s="1"/>
    </row>
    <row r="120" spans="1:28" ht="11.25" customHeight="1" x14ac:dyDescent="0.2">
      <c r="A120" s="95">
        <v>47</v>
      </c>
      <c r="B120" s="95" t="s">
        <v>94</v>
      </c>
      <c r="C120" s="96">
        <v>1.9259999999999999</v>
      </c>
      <c r="D120" s="96">
        <v>0.32061221875000001</v>
      </c>
      <c r="E120" s="96">
        <v>4.7864659199357007</v>
      </c>
      <c r="F120" s="96">
        <v>2.4850842499999999</v>
      </c>
      <c r="G120" s="96">
        <v>-20.359530068586118</v>
      </c>
      <c r="J120" s="1"/>
      <c r="K120" s="1"/>
      <c r="L120" s="1"/>
      <c r="V120" s="1"/>
      <c r="W120" s="1"/>
      <c r="X120" s="1"/>
      <c r="Y120" s="1"/>
      <c r="Z120" s="1"/>
      <c r="AA120" s="1"/>
      <c r="AB120" s="1"/>
    </row>
    <row r="121" spans="1:28" ht="11.25" customHeight="1" x14ac:dyDescent="0.2">
      <c r="A121" s="83">
        <v>48</v>
      </c>
      <c r="B121" s="83" t="s">
        <v>95</v>
      </c>
      <c r="C121" s="84">
        <v>2.1709999999999998</v>
      </c>
      <c r="D121" s="84">
        <v>1.384966125</v>
      </c>
      <c r="E121" s="84">
        <v>4.5192554619666314</v>
      </c>
      <c r="F121" s="84">
        <v>8.8891989999999996</v>
      </c>
      <c r="G121" s="84">
        <v>-22.73040626589011</v>
      </c>
      <c r="J121" s="1"/>
      <c r="K121" s="1"/>
      <c r="L121" s="1"/>
      <c r="V121" s="1"/>
      <c r="W121" s="1"/>
      <c r="X121" s="1"/>
      <c r="Y121" s="1"/>
      <c r="Z121" s="1"/>
      <c r="AA121" s="1"/>
      <c r="AB121" s="1"/>
    </row>
    <row r="122" spans="1:28" ht="11.25" customHeight="1" x14ac:dyDescent="0.2">
      <c r="A122" s="95">
        <v>49</v>
      </c>
      <c r="B122" s="95" t="s">
        <v>96</v>
      </c>
      <c r="C122" s="96">
        <v>1.8149999999999999</v>
      </c>
      <c r="D122" s="96">
        <v>0.19939612500000001</v>
      </c>
      <c r="E122" s="96">
        <v>2.5703315832150686</v>
      </c>
      <c r="F122" s="96">
        <v>1.1905619999999999</v>
      </c>
      <c r="G122" s="96">
        <v>-21.279163918156808</v>
      </c>
      <c r="J122" s="1"/>
      <c r="K122" s="1"/>
      <c r="L122" s="1"/>
      <c r="V122" s="1"/>
      <c r="W122" s="1"/>
      <c r="X122" s="1"/>
      <c r="Y122" s="1"/>
      <c r="Z122" s="1"/>
      <c r="AA122" s="1"/>
      <c r="AB122" s="1"/>
    </row>
    <row r="123" spans="1:28" ht="11.25" customHeight="1" x14ac:dyDescent="0.2">
      <c r="A123" s="83">
        <v>50</v>
      </c>
      <c r="B123" s="83" t="s">
        <v>97</v>
      </c>
      <c r="C123" s="84">
        <v>1.966</v>
      </c>
      <c r="D123" s="84">
        <v>0.40649409375000001</v>
      </c>
      <c r="E123" s="84">
        <v>4.272205263890605</v>
      </c>
      <c r="F123" s="84">
        <v>2.7447837499999999</v>
      </c>
      <c r="G123" s="84">
        <v>-21.171070522824952</v>
      </c>
      <c r="J123" s="1"/>
      <c r="K123" s="1"/>
      <c r="L123" s="1"/>
      <c r="V123" s="1"/>
      <c r="W123" s="1"/>
      <c r="X123" s="1"/>
      <c r="Y123" s="1"/>
      <c r="Z123" s="1"/>
      <c r="AA123" s="1"/>
      <c r="AB123" s="1"/>
    </row>
    <row r="124" spans="1:28" ht="11.25" customHeight="1" x14ac:dyDescent="0.2">
      <c r="A124" s="95">
        <v>51</v>
      </c>
      <c r="B124" s="95" t="s">
        <v>82</v>
      </c>
      <c r="C124" s="96">
        <v>1.2549999999999999</v>
      </c>
      <c r="D124" s="96">
        <v>1.5809407499999999</v>
      </c>
      <c r="E124" s="96">
        <v>4.227965545924528</v>
      </c>
      <c r="F124" s="96">
        <v>10.427472</v>
      </c>
      <c r="G124" s="96">
        <v>-21.523410163299701</v>
      </c>
      <c r="J124" s="1"/>
      <c r="K124" s="1"/>
      <c r="L124" s="1"/>
      <c r="V124" s="1"/>
      <c r="W124" s="1"/>
      <c r="X124" s="1"/>
      <c r="Y124" s="1"/>
      <c r="Z124" s="1"/>
      <c r="AA124" s="1"/>
      <c r="AB124" s="1"/>
    </row>
    <row r="125" spans="1:28" ht="11.25" customHeight="1" x14ac:dyDescent="0.2">
      <c r="A125" s="83">
        <v>52</v>
      </c>
      <c r="B125" s="83" t="s">
        <v>98</v>
      </c>
      <c r="C125" s="84">
        <v>1.468</v>
      </c>
      <c r="D125" s="84">
        <v>0.14764212500000001</v>
      </c>
      <c r="E125" s="84">
        <v>0.24671533910081145</v>
      </c>
      <c r="F125" s="84">
        <v>0.91555462499999996</v>
      </c>
      <c r="G125" s="84">
        <v>-14.717710758435677</v>
      </c>
      <c r="J125" s="1"/>
      <c r="K125" s="1"/>
      <c r="L125" s="1"/>
      <c r="V125" s="1"/>
      <c r="W125" s="1"/>
      <c r="X125" s="1"/>
      <c r="Y125" s="1"/>
      <c r="Z125" s="1"/>
      <c r="AA125" s="1"/>
      <c r="AB125" s="1"/>
    </row>
    <row r="126" spans="1:28" ht="11.25" customHeight="1" x14ac:dyDescent="0.2">
      <c r="A126" s="95">
        <v>53</v>
      </c>
      <c r="B126" s="95" t="s">
        <v>99</v>
      </c>
      <c r="C126" s="96">
        <v>1.8480000000000001</v>
      </c>
      <c r="D126" s="96">
        <v>0.237152</v>
      </c>
      <c r="E126" s="96">
        <v>0.34063550411889132</v>
      </c>
      <c r="F126" s="96">
        <v>1.1569183750000001</v>
      </c>
      <c r="G126" s="96">
        <v>-21.700792837567594</v>
      </c>
      <c r="J126" s="1"/>
      <c r="K126" s="1"/>
      <c r="L126" s="1"/>
      <c r="V126" s="1"/>
      <c r="W126" s="1"/>
      <c r="X126" s="1"/>
      <c r="Y126" s="1"/>
      <c r="Z126" s="1"/>
      <c r="AA126" s="1"/>
      <c r="AB126" s="1"/>
    </row>
    <row r="127" spans="1:28" ht="11.25" customHeight="1" x14ac:dyDescent="0.2">
      <c r="A127" s="83">
        <v>54</v>
      </c>
      <c r="B127" s="83" t="s">
        <v>100</v>
      </c>
      <c r="C127" s="84">
        <v>1.978</v>
      </c>
      <c r="D127" s="84">
        <v>0.40742253125</v>
      </c>
      <c r="E127" s="84">
        <v>2.7172954864622678</v>
      </c>
      <c r="F127" s="84">
        <v>2.21779525</v>
      </c>
      <c r="G127" s="84">
        <v>-21.371571395348155</v>
      </c>
      <c r="J127" s="1"/>
      <c r="K127" s="1"/>
      <c r="L127" s="1"/>
      <c r="V127" s="1"/>
      <c r="W127" s="1"/>
      <c r="X127" s="1"/>
      <c r="Y127" s="1"/>
      <c r="Z127" s="1"/>
      <c r="AA127" s="1"/>
      <c r="AB127" s="1"/>
    </row>
    <row r="128" spans="1:28" ht="11.25" customHeight="1" x14ac:dyDescent="0.2">
      <c r="A128" s="95">
        <v>55</v>
      </c>
      <c r="B128" s="95" t="s">
        <v>101</v>
      </c>
      <c r="C128" s="96">
        <v>1.913</v>
      </c>
      <c r="D128" s="96">
        <v>0.47017687499999999</v>
      </c>
      <c r="E128" s="96">
        <v>5.8010962718446635</v>
      </c>
      <c r="F128" s="96">
        <v>2.26651925</v>
      </c>
      <c r="G128" s="96">
        <v>-21.732805002996987</v>
      </c>
      <c r="J128" s="1"/>
      <c r="K128" s="1"/>
      <c r="L128" s="1"/>
      <c r="V128" s="1"/>
      <c r="W128" s="1"/>
      <c r="X128" s="1"/>
      <c r="Y128" s="1"/>
      <c r="Z128" s="1"/>
      <c r="AA128" s="1"/>
      <c r="AB128" s="1"/>
    </row>
    <row r="129" spans="1:28" ht="11.25" customHeight="1" x14ac:dyDescent="0.2">
      <c r="A129" s="83">
        <v>56</v>
      </c>
      <c r="B129" s="83" t="s">
        <v>102</v>
      </c>
      <c r="C129" s="84">
        <v>2.181</v>
      </c>
      <c r="D129" s="84">
        <v>0.57686400000000004</v>
      </c>
      <c r="E129" s="84">
        <v>2.6117012377016025</v>
      </c>
      <c r="F129" s="84">
        <v>3.3970069999999999</v>
      </c>
      <c r="G129" s="84">
        <v>-21.94902827330986</v>
      </c>
      <c r="J129" s="1"/>
      <c r="K129" s="1"/>
      <c r="L129" s="1"/>
      <c r="V129" s="1"/>
      <c r="W129" s="1"/>
      <c r="X129" s="1"/>
      <c r="Y129" s="1"/>
      <c r="Z129" s="1"/>
      <c r="AA129" s="1"/>
      <c r="AB129" s="1"/>
    </row>
    <row r="130" spans="1:28" ht="11.25" customHeight="1" x14ac:dyDescent="0.2">
      <c r="A130" s="95">
        <v>57</v>
      </c>
      <c r="B130" s="95" t="s">
        <v>103</v>
      </c>
      <c r="C130" s="96">
        <v>2.044</v>
      </c>
      <c r="D130" s="96">
        <v>0.67287356249999997</v>
      </c>
      <c r="E130" s="96">
        <v>2.7326772595224202</v>
      </c>
      <c r="F130" s="96">
        <v>3.99223025</v>
      </c>
      <c r="G130" s="96">
        <v>-22.29451246884706</v>
      </c>
      <c r="J130" s="1"/>
      <c r="K130" s="1"/>
      <c r="L130" s="1"/>
      <c r="V130" s="1"/>
      <c r="W130" s="1"/>
      <c r="X130" s="1"/>
      <c r="Y130" s="1"/>
      <c r="Z130" s="1"/>
      <c r="AA130" s="1"/>
      <c r="AB130" s="1"/>
    </row>
    <row r="131" spans="1:28" ht="11.25" customHeight="1" x14ac:dyDescent="0.2">
      <c r="A131" s="83">
        <v>58</v>
      </c>
      <c r="B131" s="83" t="s">
        <v>104</v>
      </c>
      <c r="C131" s="84">
        <v>2.0379999999999998</v>
      </c>
      <c r="D131" s="84">
        <v>0.24202615625000001</v>
      </c>
      <c r="E131" s="84">
        <v>2.2799909827955211</v>
      </c>
      <c r="F131" s="84">
        <v>0.80042168749999998</v>
      </c>
      <c r="G131" s="84">
        <v>-21.445065961568133</v>
      </c>
      <c r="J131" s="1"/>
      <c r="K131" s="1"/>
      <c r="L131" s="1"/>
      <c r="V131" s="1"/>
      <c r="W131" s="1"/>
      <c r="X131" s="1"/>
      <c r="Y131" s="1"/>
      <c r="Z131" s="1"/>
      <c r="AA131" s="1"/>
      <c r="AB131" s="1"/>
    </row>
    <row r="132" spans="1:28" ht="11.25" customHeight="1" x14ac:dyDescent="0.2">
      <c r="A132" s="95">
        <v>59</v>
      </c>
      <c r="B132" s="95" t="s">
        <v>105</v>
      </c>
      <c r="C132" s="96">
        <v>2.2210000000000001</v>
      </c>
      <c r="D132" s="96">
        <v>0.31075003125</v>
      </c>
      <c r="E132" s="96">
        <v>-0.20275709474071313</v>
      </c>
      <c r="F132" s="96">
        <v>1.458761625</v>
      </c>
      <c r="G132" s="96">
        <v>-20.898060970980232</v>
      </c>
      <c r="J132" s="1"/>
      <c r="K132" s="1"/>
      <c r="L132" s="1"/>
      <c r="V132" s="1"/>
      <c r="W132" s="1"/>
      <c r="X132" s="1"/>
      <c r="Y132" s="1"/>
      <c r="Z132" s="1"/>
      <c r="AA132" s="1"/>
      <c r="AB132" s="1"/>
    </row>
    <row r="133" spans="1:28" ht="11.25" customHeight="1" x14ac:dyDescent="0.2">
      <c r="A133" s="83">
        <v>60</v>
      </c>
      <c r="B133" s="83" t="s">
        <v>106</v>
      </c>
      <c r="C133" s="84">
        <v>2.1349999999999998</v>
      </c>
      <c r="D133" s="84">
        <v>0.24464309375000001</v>
      </c>
      <c r="E133" s="84">
        <v>-1.6485398498926607</v>
      </c>
      <c r="F133" s="84">
        <v>0.91781318749999996</v>
      </c>
      <c r="G133" s="84">
        <v>-21.374885135605535</v>
      </c>
      <c r="J133" s="1"/>
      <c r="K133" s="1"/>
      <c r="L133" s="1"/>
      <c r="V133" s="1"/>
      <c r="W133" s="1"/>
      <c r="X133" s="1"/>
      <c r="Y133" s="1"/>
      <c r="Z133" s="1"/>
      <c r="AA133" s="1"/>
      <c r="AB133" s="1"/>
    </row>
    <row r="134" spans="1:28" ht="11.25" customHeight="1" x14ac:dyDescent="0.2">
      <c r="A134" s="95">
        <v>61</v>
      </c>
      <c r="B134" s="95" t="s">
        <v>107</v>
      </c>
      <c r="C134" s="96">
        <v>2.105</v>
      </c>
      <c r="D134" s="96">
        <v>0.20479924999999999</v>
      </c>
      <c r="E134" s="96">
        <v>-3.1024103545146398</v>
      </c>
      <c r="F134" s="96">
        <v>0.42752893749999998</v>
      </c>
      <c r="G134" s="96">
        <v>-21.539733774746896</v>
      </c>
      <c r="J134" s="1"/>
      <c r="K134" s="1"/>
      <c r="L134" s="1"/>
      <c r="V134" s="1"/>
      <c r="W134" s="1"/>
      <c r="X134" s="1"/>
      <c r="Y134" s="1"/>
      <c r="Z134" s="1"/>
      <c r="AA134" s="1"/>
      <c r="AB134" s="1"/>
    </row>
    <row r="135" spans="1:28" ht="11.25" customHeight="1" x14ac:dyDescent="0.2">
      <c r="A135" s="83">
        <v>62</v>
      </c>
      <c r="B135" s="83" t="s">
        <v>108</v>
      </c>
      <c r="C135" s="84">
        <v>2.27</v>
      </c>
      <c r="D135" s="84">
        <v>0.24064526562499999</v>
      </c>
      <c r="E135" s="84">
        <v>-0.61371662636666713</v>
      </c>
      <c r="F135" s="84">
        <v>0.90762481250000004</v>
      </c>
      <c r="G135" s="84">
        <v>-21.148991315114234</v>
      </c>
      <c r="J135" s="1"/>
      <c r="K135" s="1"/>
      <c r="L135" s="1"/>
      <c r="V135" s="1"/>
      <c r="W135" s="1"/>
      <c r="X135" s="1"/>
      <c r="Y135" s="1"/>
      <c r="Z135" s="1"/>
      <c r="AA135" s="1"/>
      <c r="AB135" s="1"/>
    </row>
    <row r="136" spans="1:28" ht="11.25" customHeight="1" x14ac:dyDescent="0.2">
      <c r="A136" s="95">
        <v>63</v>
      </c>
      <c r="B136" s="95" t="s">
        <v>61</v>
      </c>
      <c r="C136" s="96">
        <v>1.115</v>
      </c>
      <c r="D136" s="96">
        <v>1.4337353749999999</v>
      </c>
      <c r="E136" s="96">
        <v>3.7303220290716421</v>
      </c>
      <c r="F136" s="96">
        <v>9.2543860000000002</v>
      </c>
      <c r="G136" s="96">
        <v>-21.877641357850798</v>
      </c>
      <c r="J136" s="1"/>
      <c r="K136" s="1"/>
      <c r="L136" s="1"/>
      <c r="V136" s="1"/>
      <c r="W136" s="1"/>
      <c r="X136" s="1"/>
      <c r="Y136" s="1"/>
      <c r="Z136" s="1"/>
      <c r="AA136" s="1"/>
      <c r="AB136" s="1"/>
    </row>
    <row r="137" spans="1:28" ht="11.25" customHeight="1" x14ac:dyDescent="0.2">
      <c r="A137" s="83">
        <v>64</v>
      </c>
      <c r="B137" s="83" t="s">
        <v>109</v>
      </c>
      <c r="C137" s="84">
        <v>1.3029999999999999</v>
      </c>
      <c r="D137" s="84">
        <v>0.2202845625</v>
      </c>
      <c r="E137" s="84">
        <v>-1.0342040337354419</v>
      </c>
      <c r="F137" s="84">
        <v>0.81909462499999997</v>
      </c>
      <c r="G137" s="84">
        <v>-15.085546881221498</v>
      </c>
      <c r="J137" s="1"/>
      <c r="K137" s="1"/>
      <c r="L137" s="1"/>
      <c r="V137" s="1"/>
      <c r="W137" s="1"/>
      <c r="X137" s="1"/>
      <c r="Y137" s="1"/>
      <c r="Z137" s="1"/>
      <c r="AA137" s="1"/>
      <c r="AB137" s="1"/>
    </row>
    <row r="138" spans="1:28" ht="11.25" customHeight="1" x14ac:dyDescent="0.2">
      <c r="A138" s="95">
        <v>65</v>
      </c>
      <c r="B138" s="95" t="s">
        <v>110</v>
      </c>
      <c r="C138" s="96">
        <v>2.1619999999999999</v>
      </c>
      <c r="D138" s="96">
        <v>0.24625301562499999</v>
      </c>
      <c r="E138" s="96">
        <v>0.1606197672452403</v>
      </c>
      <c r="F138" s="96">
        <v>0.94975262500000002</v>
      </c>
      <c r="G138" s="96">
        <v>-22.145873046955035</v>
      </c>
      <c r="J138" s="1"/>
      <c r="K138" s="1"/>
      <c r="L138" s="1"/>
      <c r="V138" s="1"/>
      <c r="W138" s="1"/>
      <c r="X138" s="1"/>
      <c r="Y138" s="1"/>
      <c r="Z138" s="1"/>
      <c r="AA138" s="1"/>
      <c r="AB138" s="1"/>
    </row>
    <row r="139" spans="1:28" ht="11.25" customHeight="1" x14ac:dyDescent="0.2">
      <c r="A139" s="83">
        <v>66</v>
      </c>
      <c r="B139" s="83" t="s">
        <v>111</v>
      </c>
      <c r="C139" s="84">
        <v>2.081</v>
      </c>
      <c r="D139" s="84">
        <v>0.45825646874999998</v>
      </c>
      <c r="E139" s="84">
        <v>2.6379249790304815</v>
      </c>
      <c r="F139" s="84">
        <v>2.2147060000000001</v>
      </c>
      <c r="G139" s="84">
        <v>-22.989833621174242</v>
      </c>
      <c r="J139" s="1"/>
      <c r="K139" s="1"/>
      <c r="L139" s="1"/>
      <c r="V139" s="1"/>
      <c r="W139" s="1"/>
      <c r="X139" s="1"/>
      <c r="Y139" s="1"/>
      <c r="Z139" s="1"/>
      <c r="AA139" s="1"/>
      <c r="AB139" s="1"/>
    </row>
    <row r="140" spans="1:28" ht="11.25" customHeight="1" x14ac:dyDescent="0.2">
      <c r="A140" s="95">
        <v>67</v>
      </c>
      <c r="B140" s="95" t="s">
        <v>112</v>
      </c>
      <c r="C140" s="96">
        <v>1.974</v>
      </c>
      <c r="D140" s="96">
        <v>0.6634766875</v>
      </c>
      <c r="E140" s="96">
        <v>3.9978670158482554</v>
      </c>
      <c r="F140" s="96">
        <v>4.1987814999999999</v>
      </c>
      <c r="G140" s="96">
        <v>-23.040326083892509</v>
      </c>
      <c r="J140" s="1"/>
      <c r="K140" s="1"/>
      <c r="L140" s="1"/>
      <c r="V140" s="1"/>
      <c r="W140" s="1"/>
      <c r="X140" s="1"/>
      <c r="Y140" s="1"/>
      <c r="Z140" s="1"/>
      <c r="AA140" s="1"/>
      <c r="AB140" s="1"/>
    </row>
    <row r="141" spans="1:28" ht="11.25" customHeight="1" x14ac:dyDescent="0.2">
      <c r="A141" s="83">
        <v>68</v>
      </c>
      <c r="B141" s="83" t="s">
        <v>113</v>
      </c>
      <c r="C141" s="84">
        <v>2.2200000000000002</v>
      </c>
      <c r="D141" s="84">
        <v>0.75954156250000004</v>
      </c>
      <c r="E141" s="84">
        <v>2.8858540737513039</v>
      </c>
      <c r="F141" s="84">
        <v>5.3001915000000004</v>
      </c>
      <c r="G141" s="84">
        <v>-23.020687311898687</v>
      </c>
      <c r="J141" s="1"/>
      <c r="K141" s="1"/>
      <c r="L141" s="1"/>
      <c r="V141" s="1"/>
      <c r="W141" s="1"/>
      <c r="X141" s="1"/>
      <c r="Y141" s="1"/>
      <c r="Z141" s="1"/>
      <c r="AA141" s="1"/>
      <c r="AB141" s="1"/>
    </row>
    <row r="142" spans="1:28" ht="11.25" customHeight="1" x14ac:dyDescent="0.2">
      <c r="A142" s="95">
        <v>69</v>
      </c>
      <c r="B142" s="95" t="s">
        <v>114</v>
      </c>
      <c r="C142" s="96">
        <v>1.88</v>
      </c>
      <c r="D142" s="96">
        <v>0.23892284375</v>
      </c>
      <c r="E142" s="96">
        <v>-3.5229712845804562</v>
      </c>
      <c r="F142" s="96">
        <v>1.0373135</v>
      </c>
      <c r="G142" s="96">
        <v>-21.502281687979156</v>
      </c>
      <c r="J142" s="1"/>
      <c r="K142" s="1"/>
      <c r="L142" s="1"/>
      <c r="V142" s="1"/>
      <c r="W142" s="1"/>
      <c r="X142" s="1"/>
      <c r="Y142" s="1"/>
      <c r="Z142" s="1"/>
      <c r="AA142" s="1"/>
      <c r="AB142" s="1"/>
    </row>
    <row r="143" spans="1:28" ht="11.25" customHeight="1" x14ac:dyDescent="0.2">
      <c r="A143" s="83">
        <v>70</v>
      </c>
      <c r="B143" s="83" t="s">
        <v>115</v>
      </c>
      <c r="C143" s="84">
        <v>2.0619999999999998</v>
      </c>
      <c r="D143" s="84">
        <v>0.25906507812500001</v>
      </c>
      <c r="E143" s="84">
        <v>-8.3873695282288274E-2</v>
      </c>
      <c r="F143" s="84">
        <v>1.1002503749999999</v>
      </c>
      <c r="G143" s="84">
        <v>-21.19221317810041</v>
      </c>
      <c r="J143" s="1"/>
      <c r="K143" s="1"/>
      <c r="L143" s="1"/>
      <c r="V143" s="1"/>
      <c r="W143" s="1"/>
      <c r="X143" s="1"/>
      <c r="Y143" s="1"/>
      <c r="Z143" s="1"/>
      <c r="AA143" s="1"/>
      <c r="AB143" s="1"/>
    </row>
    <row r="144" spans="1:28" ht="11.25" customHeight="1" x14ac:dyDescent="0.2">
      <c r="A144" s="95">
        <v>71</v>
      </c>
      <c r="B144" s="95" t="s">
        <v>116</v>
      </c>
      <c r="C144" s="96">
        <v>1.8680000000000001</v>
      </c>
      <c r="D144" s="96">
        <v>0.50348215625000003</v>
      </c>
      <c r="E144" s="96">
        <v>2.8518827330701324</v>
      </c>
      <c r="F144" s="96">
        <v>3.0902335000000001</v>
      </c>
      <c r="G144" s="96">
        <v>-22.149725515115115</v>
      </c>
      <c r="J144" s="1"/>
      <c r="K144" s="1"/>
      <c r="L144" s="1"/>
      <c r="V144" s="1"/>
      <c r="W144" s="1"/>
      <c r="X144" s="1"/>
      <c r="Y144" s="1"/>
      <c r="Z144" s="1"/>
      <c r="AA144" s="1"/>
      <c r="AB144" s="1"/>
    </row>
    <row r="145" spans="1:28" ht="11.25" customHeight="1" x14ac:dyDescent="0.2">
      <c r="A145" s="83">
        <v>72</v>
      </c>
      <c r="B145" s="83" t="s">
        <v>117</v>
      </c>
      <c r="C145" s="84">
        <v>1.9359999999999999</v>
      </c>
      <c r="D145" s="84">
        <v>0.21941684375000001</v>
      </c>
      <c r="E145" s="84">
        <v>-3.0869955589906128</v>
      </c>
      <c r="F145" s="84">
        <v>0.68092249999999999</v>
      </c>
      <c r="G145" s="84">
        <v>-21.576453736707283</v>
      </c>
      <c r="J145" s="1"/>
      <c r="K145" s="1"/>
      <c r="L145" s="1"/>
      <c r="V145" s="1"/>
      <c r="W145" s="1"/>
      <c r="X145" s="1"/>
      <c r="Y145" s="1"/>
      <c r="Z145" s="1"/>
      <c r="AA145" s="1"/>
      <c r="AB145" s="1"/>
    </row>
    <row r="146" spans="1:28" ht="11.25" customHeight="1" x14ac:dyDescent="0.2">
      <c r="A146" s="95">
        <v>73</v>
      </c>
      <c r="B146" s="95" t="s">
        <v>84</v>
      </c>
      <c r="C146" s="96">
        <v>0.80400000000000005</v>
      </c>
      <c r="D146" s="96">
        <v>1.0477574375000001</v>
      </c>
      <c r="E146" s="96">
        <v>3.4852830536147295</v>
      </c>
      <c r="F146" s="96">
        <v>6.6975094999999998</v>
      </c>
      <c r="G146" s="96">
        <v>-21.943691232778349</v>
      </c>
      <c r="J146" s="1"/>
      <c r="K146" s="1"/>
      <c r="L146" s="1"/>
      <c r="V146" s="1"/>
      <c r="W146" s="1"/>
      <c r="X146" s="1"/>
      <c r="Y146" s="1"/>
      <c r="Z146" s="1"/>
      <c r="AA146" s="1"/>
      <c r="AB146" s="1"/>
    </row>
    <row r="147" spans="1:28" ht="11.25" customHeight="1" x14ac:dyDescent="0.2">
      <c r="A147" s="83">
        <v>74</v>
      </c>
      <c r="B147" s="83" t="s">
        <v>62</v>
      </c>
      <c r="C147" s="84">
        <v>0.77</v>
      </c>
      <c r="D147" s="84">
        <v>0.15531714062499999</v>
      </c>
      <c r="E147" s="84">
        <v>-5.4803338678818259</v>
      </c>
      <c r="F147" s="84">
        <v>5.8375874999999997</v>
      </c>
      <c r="G147" s="84">
        <v>-20.406823011363013</v>
      </c>
      <c r="J147" s="1"/>
      <c r="K147" s="1"/>
      <c r="L147" s="1"/>
      <c r="V147" s="1"/>
      <c r="W147" s="1"/>
      <c r="X147" s="1"/>
      <c r="Y147" s="1"/>
      <c r="Z147" s="1"/>
      <c r="AA147" s="1"/>
      <c r="AB147" s="1"/>
    </row>
    <row r="148" spans="1:28" ht="11.25" customHeight="1" x14ac:dyDescent="0.2">
      <c r="A148" s="95">
        <v>75</v>
      </c>
      <c r="B148" s="95" t="s">
        <v>63</v>
      </c>
      <c r="C148" s="96">
        <v>1.07</v>
      </c>
      <c r="D148" s="96">
        <v>0.15326134375</v>
      </c>
      <c r="E148" s="96">
        <v>-6.4531850494143894</v>
      </c>
      <c r="F148" s="96">
        <v>8.0983479999999997</v>
      </c>
      <c r="G148" s="96">
        <v>-6.0078495867460466</v>
      </c>
      <c r="J148" s="1"/>
      <c r="K148" s="1"/>
      <c r="L148" s="1"/>
      <c r="V148" s="1"/>
      <c r="W148" s="1"/>
      <c r="X148" s="1"/>
      <c r="Y148" s="1"/>
      <c r="Z148" s="1"/>
      <c r="AA148" s="1"/>
      <c r="AB148" s="1"/>
    </row>
    <row r="149" spans="1:28" ht="11.25" customHeight="1" x14ac:dyDescent="0.2">
      <c r="A149" s="83">
        <v>76</v>
      </c>
      <c r="B149" s="83" t="s">
        <v>70</v>
      </c>
      <c r="C149" s="84">
        <v>1.405</v>
      </c>
      <c r="D149" s="84">
        <v>0.15160489062499999</v>
      </c>
      <c r="E149" s="84">
        <v>-5.8194471610019116</v>
      </c>
      <c r="F149" s="84">
        <v>4.9027684999999996</v>
      </c>
      <c r="G149" s="84">
        <v>-14.098716258451006</v>
      </c>
      <c r="J149" s="1"/>
      <c r="K149" s="1"/>
      <c r="L149" s="1"/>
      <c r="V149" s="1"/>
      <c r="W149" s="1"/>
      <c r="X149" s="1"/>
      <c r="Y149" s="1"/>
      <c r="Z149" s="1"/>
      <c r="AA149" s="1"/>
      <c r="AB149" s="1"/>
    </row>
    <row r="150" spans="1:28" ht="11.25" customHeight="1" x14ac:dyDescent="0.2">
      <c r="A150" s="95">
        <v>77</v>
      </c>
      <c r="B150" s="95" t="s">
        <v>64</v>
      </c>
      <c r="C150" s="96">
        <v>0.48099999999999998</v>
      </c>
      <c r="D150" s="96">
        <v>4.5119210000000001</v>
      </c>
      <c r="E150" s="96">
        <v>1.8733042079939199</v>
      </c>
      <c r="F150" s="96">
        <v>1.3111895507812501E-2</v>
      </c>
      <c r="G150" s="96">
        <v>-13.232647811854577</v>
      </c>
      <c r="J150" s="1"/>
      <c r="K150" s="1"/>
      <c r="L150" s="1"/>
      <c r="V150" s="1"/>
      <c r="W150" s="1"/>
      <c r="X150" s="1"/>
      <c r="Y150" s="1"/>
      <c r="Z150" s="1"/>
      <c r="AA150" s="1"/>
      <c r="AB150" s="1"/>
    </row>
    <row r="151" spans="1:28" ht="11.25" customHeight="1" x14ac:dyDescent="0.2">
      <c r="A151" s="83">
        <v>78</v>
      </c>
      <c r="B151" s="83" t="s">
        <v>69</v>
      </c>
      <c r="C151" s="84">
        <v>0.432</v>
      </c>
      <c r="D151" s="84">
        <v>0.14931801562499999</v>
      </c>
      <c r="E151" s="84">
        <v>-6.5432018994915353</v>
      </c>
      <c r="F151" s="85">
        <v>9.5247236328124991E-3</v>
      </c>
      <c r="G151" s="85">
        <v>-18.596135370972753</v>
      </c>
      <c r="J151" s="1"/>
      <c r="K151" s="1"/>
      <c r="L151" s="1"/>
      <c r="V151" s="1"/>
      <c r="W151" s="1"/>
      <c r="X151" s="1"/>
      <c r="Y151" s="1"/>
      <c r="Z151" s="1"/>
      <c r="AA151" s="1"/>
      <c r="AB151" s="1"/>
    </row>
    <row r="152" spans="1:28" ht="11.25" customHeight="1" x14ac:dyDescent="0.2">
      <c r="A152" s="114">
        <v>79</v>
      </c>
      <c r="B152" s="114" t="s">
        <v>86</v>
      </c>
      <c r="C152" s="108">
        <v>0</v>
      </c>
      <c r="D152" s="108">
        <v>0.14586409375000001</v>
      </c>
      <c r="E152" s="108">
        <v>-6.5857297252118752</v>
      </c>
      <c r="J152" s="1"/>
      <c r="K152" s="1"/>
      <c r="L152" s="1"/>
      <c r="V152" s="1"/>
      <c r="W152" s="1"/>
      <c r="X152" s="1"/>
      <c r="Y152" s="1"/>
      <c r="Z152" s="1"/>
      <c r="AA152" s="1"/>
      <c r="AB152" s="1"/>
    </row>
    <row r="153" spans="1:28" ht="11.25" customHeight="1" x14ac:dyDescent="0.25">
      <c r="H153"/>
      <c r="I153"/>
      <c r="J153"/>
      <c r="K153" s="1"/>
      <c r="L153" s="1"/>
      <c r="V153" s="1"/>
      <c r="W153" s="1"/>
      <c r="X153" s="1"/>
      <c r="Y153" s="1"/>
      <c r="Z153" s="1"/>
      <c r="AA153" s="1"/>
      <c r="AB153" s="1"/>
    </row>
    <row r="154" spans="1:28" ht="11.25" customHeight="1" x14ac:dyDescent="0.25">
      <c r="H154"/>
      <c r="I154"/>
      <c r="J154"/>
      <c r="K154" s="1"/>
      <c r="L154" s="1"/>
      <c r="V154" s="1"/>
      <c r="W154" s="1"/>
      <c r="X154" s="1"/>
      <c r="Y154" s="1"/>
      <c r="Z154" s="1"/>
      <c r="AA154" s="1"/>
      <c r="AB154" s="1"/>
    </row>
    <row r="155" spans="1:28" ht="11.25" customHeight="1" x14ac:dyDescent="0.25">
      <c r="H155"/>
      <c r="I155"/>
      <c r="J155"/>
      <c r="K155" s="1"/>
      <c r="L155" s="1"/>
      <c r="V155" s="1"/>
      <c r="W155" s="1"/>
      <c r="X155" s="1"/>
      <c r="Y155" s="1"/>
      <c r="Z155" s="1"/>
      <c r="AA155" s="1"/>
      <c r="AB155" s="1"/>
    </row>
    <row r="156" spans="1:28" ht="11.25" customHeight="1" x14ac:dyDescent="0.25">
      <c r="H156"/>
      <c r="I156"/>
      <c r="J156"/>
      <c r="K156" s="1"/>
      <c r="L156" s="1"/>
      <c r="V156" s="1"/>
      <c r="W156" s="1"/>
      <c r="X156" s="1"/>
      <c r="Y156" s="1"/>
      <c r="Z156" s="1"/>
      <c r="AA156" s="1"/>
      <c r="AB156" s="1"/>
    </row>
    <row r="157" spans="1:28" ht="11.25" customHeight="1" x14ac:dyDescent="0.25">
      <c r="H157"/>
      <c r="I157"/>
      <c r="J157"/>
      <c r="K157" s="1"/>
      <c r="L157" s="1"/>
      <c r="V157" s="1"/>
      <c r="W157" s="1"/>
      <c r="X157" s="1"/>
      <c r="Y157" s="1"/>
      <c r="Z157" s="1"/>
      <c r="AA157" s="1"/>
      <c r="AB157" s="1"/>
    </row>
    <row r="158" spans="1:28" ht="11.25" customHeight="1" x14ac:dyDescent="0.25">
      <c r="H158"/>
      <c r="I158"/>
      <c r="J158"/>
      <c r="K158" s="1"/>
      <c r="L158" s="1"/>
      <c r="V158" s="1"/>
      <c r="W158" s="1"/>
      <c r="X158" s="1"/>
      <c r="Y158" s="1"/>
      <c r="Z158" s="1"/>
      <c r="AA158" s="1"/>
      <c r="AB158" s="1"/>
    </row>
    <row r="159" spans="1:28" ht="11.25" customHeight="1" x14ac:dyDescent="0.25">
      <c r="H159"/>
      <c r="I159"/>
      <c r="J159"/>
      <c r="K159" s="1"/>
      <c r="L159" s="1"/>
      <c r="V159" s="1"/>
      <c r="W159" s="1"/>
      <c r="X159" s="1"/>
      <c r="Y159" s="1"/>
      <c r="Z159" s="1"/>
      <c r="AA159" s="1"/>
      <c r="AB159" s="1"/>
    </row>
    <row r="160" spans="1:28" ht="11.25" customHeight="1" x14ac:dyDescent="0.25">
      <c r="H160"/>
      <c r="I160"/>
      <c r="J160"/>
      <c r="K160" s="1"/>
      <c r="L160" s="1"/>
      <c r="V160" s="1"/>
      <c r="W160" s="1"/>
      <c r="X160" s="1"/>
      <c r="Y160" s="1"/>
      <c r="Z160" s="1"/>
      <c r="AA160" s="1"/>
      <c r="AB160" s="1"/>
    </row>
    <row r="161" spans="8:28" ht="11.25" customHeight="1" x14ac:dyDescent="0.25">
      <c r="H161"/>
      <c r="I161"/>
      <c r="J161"/>
      <c r="K161" s="1"/>
      <c r="L161" s="1"/>
      <c r="V161" s="1"/>
      <c r="W161" s="1"/>
      <c r="X161" s="1"/>
      <c r="Y161" s="1"/>
      <c r="Z161" s="1"/>
      <c r="AA161" s="1"/>
      <c r="AB161" s="1"/>
    </row>
    <row r="162" spans="8:28" ht="11.25" customHeight="1" x14ac:dyDescent="0.25">
      <c r="H162"/>
      <c r="I162"/>
      <c r="J162"/>
      <c r="K162" s="1"/>
      <c r="L162" s="1"/>
      <c r="V162" s="1"/>
      <c r="W162" s="1"/>
      <c r="X162" s="1"/>
      <c r="Y162" s="1"/>
      <c r="Z162" s="1"/>
      <c r="AA162" s="1"/>
      <c r="AB162" s="1"/>
    </row>
    <row r="163" spans="8:28" ht="11.25" customHeight="1" x14ac:dyDescent="0.25">
      <c r="H163"/>
      <c r="I163"/>
      <c r="J163"/>
      <c r="K163" s="1"/>
      <c r="L163" s="1"/>
      <c r="V163" s="1"/>
      <c r="W163" s="1"/>
      <c r="X163" s="1"/>
      <c r="Y163" s="1"/>
      <c r="Z163" s="1"/>
      <c r="AA163" s="1"/>
      <c r="AB163" s="1"/>
    </row>
    <row r="164" spans="8:28" ht="11.25" customHeight="1" x14ac:dyDescent="0.25">
      <c r="H164"/>
      <c r="I164"/>
      <c r="J164"/>
      <c r="K164" s="1"/>
      <c r="L164" s="1"/>
      <c r="V164" s="1"/>
      <c r="W164" s="1"/>
      <c r="X164" s="1"/>
      <c r="Y164" s="1"/>
      <c r="Z164" s="1"/>
      <c r="AA164" s="1"/>
      <c r="AB164" s="1"/>
    </row>
    <row r="165" spans="8:28" ht="11.25" customHeight="1" x14ac:dyDescent="0.25">
      <c r="H165"/>
      <c r="I165"/>
      <c r="J165"/>
      <c r="K165" s="1"/>
      <c r="L165" s="1"/>
      <c r="V165" s="1"/>
      <c r="W165" s="1"/>
      <c r="X165" s="1"/>
      <c r="Y165" s="1"/>
      <c r="Z165" s="1"/>
      <c r="AA165" s="1"/>
      <c r="AB165" s="1"/>
    </row>
    <row r="166" spans="8:28" ht="11.25" customHeight="1" x14ac:dyDescent="0.25">
      <c r="H166"/>
      <c r="I166"/>
      <c r="J166"/>
      <c r="K166" s="1"/>
      <c r="L166" s="1"/>
      <c r="V166" s="1"/>
      <c r="W166" s="1"/>
      <c r="X166" s="1"/>
      <c r="Y166" s="1"/>
      <c r="Z166" s="1"/>
      <c r="AA166" s="1"/>
      <c r="AB166" s="1"/>
    </row>
    <row r="167" spans="8:28" ht="11.25" customHeight="1" x14ac:dyDescent="0.25">
      <c r="H167"/>
      <c r="I167"/>
      <c r="J167"/>
      <c r="K167" s="1"/>
      <c r="L167" s="1"/>
      <c r="V167" s="1"/>
      <c r="W167" s="1"/>
      <c r="X167" s="1"/>
      <c r="Y167" s="1"/>
      <c r="Z167" s="1"/>
      <c r="AA167" s="1"/>
      <c r="AB167" s="1"/>
    </row>
    <row r="168" spans="8:28" ht="11.25" customHeight="1" x14ac:dyDescent="0.25">
      <c r="H168"/>
      <c r="I168"/>
      <c r="J168"/>
      <c r="K168" s="1"/>
      <c r="L168" s="1"/>
      <c r="V168" s="1"/>
      <c r="W168" s="1"/>
      <c r="X168" s="1"/>
      <c r="Y168" s="1"/>
      <c r="Z168" s="1"/>
      <c r="AA168" s="1"/>
      <c r="AB168" s="1"/>
    </row>
    <row r="169" spans="8:28" ht="11.25" customHeight="1" x14ac:dyDescent="0.25">
      <c r="H169"/>
      <c r="I169"/>
      <c r="J169"/>
      <c r="K169" s="1"/>
      <c r="L169" s="1"/>
      <c r="V169" s="1"/>
      <c r="W169" s="1"/>
      <c r="X169" s="1"/>
      <c r="Y169" s="1"/>
      <c r="Z169" s="1"/>
      <c r="AA169" s="1"/>
      <c r="AB169" s="1"/>
    </row>
    <row r="170" spans="8:28" ht="11.25" customHeight="1" x14ac:dyDescent="0.25">
      <c r="H170"/>
      <c r="I170"/>
      <c r="J170"/>
      <c r="K170" s="1"/>
      <c r="L170" s="1"/>
      <c r="V170" s="1"/>
      <c r="W170" s="1"/>
      <c r="X170" s="1"/>
      <c r="Y170" s="1"/>
      <c r="Z170" s="1"/>
      <c r="AA170" s="1"/>
      <c r="AB170" s="1"/>
    </row>
    <row r="171" spans="8:28" ht="11.25" customHeight="1" x14ac:dyDescent="0.25">
      <c r="H171"/>
      <c r="I171"/>
      <c r="J171"/>
      <c r="K171" s="1"/>
      <c r="L171" s="1"/>
      <c r="V171" s="1"/>
      <c r="W171" s="1"/>
      <c r="X171" s="1"/>
      <c r="Y171" s="1"/>
      <c r="Z171" s="1"/>
      <c r="AA171" s="1"/>
      <c r="AB171" s="1"/>
    </row>
    <row r="172" spans="8:28" ht="11.25" customHeight="1" x14ac:dyDescent="0.25">
      <c r="H172"/>
      <c r="I172"/>
      <c r="J172"/>
      <c r="K172" s="1"/>
      <c r="L172" s="1"/>
      <c r="V172" s="1"/>
      <c r="W172" s="1"/>
      <c r="X172" s="1"/>
      <c r="Y172" s="1"/>
      <c r="Z172" s="1"/>
      <c r="AA172" s="1"/>
      <c r="AB172" s="1"/>
    </row>
    <row r="173" spans="8:28" ht="11.25" customHeight="1" x14ac:dyDescent="0.25">
      <c r="H173"/>
      <c r="I173"/>
      <c r="J173"/>
      <c r="K173" s="1"/>
      <c r="L173" s="1"/>
      <c r="V173" s="1"/>
      <c r="W173" s="1"/>
      <c r="X173" s="1"/>
      <c r="Y173" s="1"/>
      <c r="Z173" s="1"/>
      <c r="AA173" s="1"/>
      <c r="AB173" s="1"/>
    </row>
    <row r="174" spans="8:28" ht="11.25" customHeight="1" x14ac:dyDescent="0.25">
      <c r="H174"/>
      <c r="I174"/>
      <c r="J174"/>
      <c r="K174" s="1"/>
      <c r="L174" s="1"/>
      <c r="V174" s="1"/>
      <c r="W174" s="1"/>
      <c r="X174" s="1"/>
      <c r="Y174" s="1"/>
      <c r="Z174" s="1"/>
      <c r="AA174" s="1"/>
      <c r="AB174" s="1"/>
    </row>
    <row r="175" spans="8:28" ht="11.25" customHeight="1" x14ac:dyDescent="0.25">
      <c r="H175"/>
      <c r="I175"/>
      <c r="J175"/>
      <c r="K175" s="1"/>
      <c r="L175" s="1"/>
      <c r="V175" s="1"/>
      <c r="W175" s="1"/>
      <c r="X175" s="1"/>
      <c r="Y175" s="1"/>
      <c r="Z175" s="1"/>
      <c r="AA175" s="1"/>
      <c r="AB175" s="1"/>
    </row>
    <row r="176" spans="8:28" ht="11.25" customHeight="1" x14ac:dyDescent="0.25">
      <c r="H176"/>
      <c r="I176"/>
      <c r="J176"/>
      <c r="K176" s="1"/>
      <c r="L176" s="1"/>
      <c r="V176" s="1"/>
      <c r="W176" s="1"/>
      <c r="X176" s="1"/>
      <c r="Y176" s="1"/>
      <c r="Z176" s="1"/>
      <c r="AA176" s="1"/>
      <c r="AB176" s="1"/>
    </row>
    <row r="177" spans="8:28" ht="11.25" customHeight="1" x14ac:dyDescent="0.25">
      <c r="H177"/>
      <c r="I177"/>
      <c r="J177"/>
      <c r="K177" s="1"/>
      <c r="L177" s="1"/>
      <c r="V177" s="1"/>
      <c r="W177" s="1"/>
      <c r="X177" s="1"/>
      <c r="Y177" s="1"/>
      <c r="Z177" s="1"/>
      <c r="AA177" s="1"/>
      <c r="AB177" s="1"/>
    </row>
    <row r="178" spans="8:28" ht="11.25" customHeight="1" x14ac:dyDescent="0.25">
      <c r="H178"/>
      <c r="I178"/>
      <c r="J178"/>
      <c r="K178" s="1"/>
      <c r="L178" s="1"/>
      <c r="V178" s="1"/>
      <c r="W178" s="1"/>
      <c r="X178" s="1"/>
      <c r="Y178" s="1"/>
      <c r="Z178" s="1"/>
      <c r="AA178" s="1"/>
      <c r="AB178" s="1"/>
    </row>
    <row r="179" spans="8:28" ht="11.25" customHeight="1" x14ac:dyDescent="0.25">
      <c r="H179"/>
      <c r="I179"/>
      <c r="J179"/>
      <c r="K179" s="1"/>
      <c r="L179" s="1"/>
      <c r="V179" s="1"/>
      <c r="W179" s="1"/>
      <c r="X179" s="1"/>
      <c r="Y179" s="1"/>
      <c r="Z179" s="1"/>
      <c r="AA179" s="1"/>
      <c r="AB179" s="1"/>
    </row>
    <row r="180" spans="8:28" ht="11.25" customHeight="1" x14ac:dyDescent="0.25">
      <c r="H180"/>
      <c r="I180"/>
      <c r="J180"/>
      <c r="K180" s="1"/>
      <c r="L180" s="1"/>
      <c r="V180" s="1"/>
      <c r="W180" s="1"/>
      <c r="X180" s="1"/>
      <c r="Y180" s="1"/>
      <c r="Z180" s="1"/>
      <c r="AA180" s="1"/>
      <c r="AB180" s="1"/>
    </row>
    <row r="181" spans="8:28" ht="11.25" customHeight="1" x14ac:dyDescent="0.25">
      <c r="H181"/>
      <c r="I181"/>
      <c r="J181"/>
      <c r="K181" s="1"/>
      <c r="L181" s="1"/>
      <c r="V181" s="1"/>
      <c r="W181" s="1"/>
      <c r="X181" s="1"/>
      <c r="Y181" s="1"/>
      <c r="Z181" s="1"/>
      <c r="AA181" s="1"/>
      <c r="AB181" s="1"/>
    </row>
    <row r="182" spans="8:28" ht="11.25" customHeight="1" x14ac:dyDescent="0.25">
      <c r="H182"/>
      <c r="I182"/>
      <c r="J182"/>
      <c r="K182" s="1"/>
      <c r="L182" s="1"/>
      <c r="V182" s="1"/>
      <c r="W182" s="1"/>
      <c r="X182" s="1"/>
      <c r="Y182" s="1"/>
      <c r="Z182" s="1"/>
      <c r="AA182" s="1"/>
      <c r="AB182" s="1"/>
    </row>
    <row r="183" spans="8:28" ht="11.25" customHeight="1" x14ac:dyDescent="0.25">
      <c r="J183"/>
      <c r="K183"/>
      <c r="L183"/>
      <c r="M183"/>
      <c r="N183"/>
      <c r="O183"/>
      <c r="P183"/>
      <c r="V183" s="1"/>
      <c r="W183" s="1"/>
      <c r="X183" s="1"/>
      <c r="Y183" s="1"/>
      <c r="Z183" s="1"/>
      <c r="AA183" s="1"/>
      <c r="AB183" s="1"/>
    </row>
    <row r="184" spans="8:28" ht="11.25" customHeight="1" x14ac:dyDescent="0.25">
      <c r="J184"/>
      <c r="K184"/>
      <c r="L184"/>
      <c r="M184"/>
      <c r="N184"/>
      <c r="O184"/>
      <c r="P184"/>
      <c r="V184" s="1"/>
      <c r="W184" s="1"/>
      <c r="X184" s="1"/>
      <c r="Y184" s="1"/>
      <c r="Z184" s="1"/>
      <c r="AA184" s="1"/>
      <c r="AB184" s="1"/>
    </row>
    <row r="185" spans="8:28" ht="11.25" customHeight="1" x14ac:dyDescent="0.25">
      <c r="J185"/>
      <c r="K185"/>
      <c r="L185"/>
      <c r="M185"/>
      <c r="N185"/>
      <c r="O185"/>
      <c r="P185"/>
      <c r="V185" s="1"/>
      <c r="W185" s="1"/>
      <c r="X185" s="1"/>
      <c r="Y185" s="1"/>
      <c r="Z185" s="1"/>
      <c r="AA185" s="1"/>
      <c r="AB185" s="1"/>
    </row>
    <row r="186" spans="8:28" ht="11.25" customHeight="1" x14ac:dyDescent="0.25">
      <c r="J186"/>
      <c r="K186"/>
      <c r="L186"/>
      <c r="M186"/>
      <c r="N186"/>
      <c r="O186"/>
      <c r="P186"/>
      <c r="V186" s="1"/>
      <c r="W186" s="1"/>
      <c r="X186" s="1"/>
      <c r="Y186" s="1"/>
      <c r="Z186" s="1"/>
      <c r="AA186" s="1"/>
      <c r="AB186" s="1"/>
    </row>
    <row r="187" spans="8:28" ht="11.25" customHeight="1" x14ac:dyDescent="0.25">
      <c r="J187"/>
      <c r="K187"/>
      <c r="L187"/>
      <c r="M187"/>
      <c r="N187"/>
      <c r="O187"/>
      <c r="P187"/>
      <c r="V187" s="1"/>
      <c r="W187" s="1"/>
      <c r="X187" s="1"/>
      <c r="Y187" s="1"/>
      <c r="Z187" s="1"/>
      <c r="AA187" s="1"/>
      <c r="AB187" s="1"/>
    </row>
    <row r="188" spans="8:28" ht="11.25" customHeight="1" x14ac:dyDescent="0.25">
      <c r="J188"/>
      <c r="K188"/>
      <c r="L188"/>
      <c r="M188"/>
      <c r="N188"/>
      <c r="O188"/>
      <c r="P188"/>
      <c r="V188" s="1"/>
      <c r="W188" s="1"/>
      <c r="X188" s="1"/>
      <c r="Y188" s="1"/>
      <c r="Z188" s="1"/>
      <c r="AA188" s="1"/>
      <c r="AB188" s="1"/>
    </row>
    <row r="189" spans="8:28" ht="11.25" customHeight="1" x14ac:dyDescent="0.25">
      <c r="J189"/>
      <c r="K189"/>
      <c r="L189"/>
      <c r="M189"/>
      <c r="N189"/>
      <c r="O189"/>
      <c r="P189"/>
      <c r="V189" s="1"/>
      <c r="W189" s="1"/>
      <c r="X189" s="1"/>
      <c r="Y189" s="1"/>
      <c r="Z189" s="1"/>
      <c r="AA189" s="1"/>
      <c r="AB189" s="1"/>
    </row>
    <row r="190" spans="8:28" ht="11.25" customHeight="1" x14ac:dyDescent="0.25">
      <c r="J190"/>
      <c r="K190"/>
      <c r="L190"/>
      <c r="M190"/>
      <c r="N190"/>
      <c r="O190"/>
      <c r="P190"/>
      <c r="V190" s="1"/>
      <c r="W190" s="1"/>
      <c r="X190" s="1"/>
      <c r="Y190" s="1"/>
      <c r="Z190" s="1"/>
      <c r="AA190" s="1"/>
      <c r="AB190" s="1"/>
    </row>
    <row r="191" spans="8:28" ht="11.25" customHeight="1" x14ac:dyDescent="0.25">
      <c r="J191"/>
      <c r="K191"/>
      <c r="L191"/>
      <c r="M191"/>
      <c r="N191"/>
      <c r="O191"/>
      <c r="P191"/>
      <c r="V191" s="1"/>
      <c r="W191" s="1"/>
      <c r="X191" s="1"/>
      <c r="Y191" s="1"/>
      <c r="Z191" s="1"/>
      <c r="AA191" s="1"/>
      <c r="AB191" s="1"/>
    </row>
    <row r="192" spans="8:28" ht="11.25" customHeight="1" x14ac:dyDescent="0.25">
      <c r="J192"/>
      <c r="K192"/>
      <c r="L192"/>
      <c r="M192"/>
      <c r="N192"/>
      <c r="O192"/>
      <c r="P192"/>
      <c r="V192" s="1"/>
      <c r="W192" s="1"/>
      <c r="X192" s="1"/>
      <c r="Y192" s="1"/>
      <c r="Z192" s="1"/>
      <c r="AA192" s="1"/>
      <c r="AB192" s="1"/>
    </row>
    <row r="193" spans="10:28" ht="11.25" customHeight="1" x14ac:dyDescent="0.25">
      <c r="J193"/>
      <c r="K193"/>
      <c r="L193"/>
      <c r="M193"/>
      <c r="N193"/>
      <c r="O193"/>
      <c r="P193"/>
      <c r="V193" s="1"/>
      <c r="W193" s="1"/>
      <c r="X193" s="1"/>
      <c r="Y193" s="1"/>
      <c r="Z193" s="1"/>
      <c r="AA193" s="1"/>
      <c r="AB193" s="1"/>
    </row>
    <row r="194" spans="10:28" ht="11.25" customHeight="1" x14ac:dyDescent="0.25">
      <c r="J194"/>
      <c r="K194"/>
      <c r="L194"/>
      <c r="M194"/>
      <c r="N194"/>
      <c r="O194"/>
      <c r="P194"/>
      <c r="V194" s="1"/>
      <c r="W194" s="1"/>
      <c r="X194" s="1"/>
      <c r="Y194" s="1"/>
      <c r="Z194" s="1"/>
      <c r="AA194" s="1"/>
      <c r="AB194" s="1"/>
    </row>
    <row r="195" spans="10:28" ht="11.25" customHeight="1" x14ac:dyDescent="0.25">
      <c r="J195"/>
      <c r="K195"/>
      <c r="L195"/>
      <c r="M195"/>
      <c r="N195"/>
      <c r="O195"/>
      <c r="P195"/>
      <c r="V195" s="1"/>
      <c r="W195" s="1"/>
      <c r="X195" s="1"/>
      <c r="Y195" s="1"/>
      <c r="Z195" s="1"/>
      <c r="AA195" s="1"/>
      <c r="AB195" s="1"/>
    </row>
    <row r="196" spans="10:28" ht="11.25" customHeight="1" x14ac:dyDescent="0.25">
      <c r="J196"/>
      <c r="K196"/>
      <c r="L196"/>
      <c r="M196"/>
      <c r="N196"/>
      <c r="O196"/>
      <c r="P196"/>
      <c r="V196" s="1"/>
      <c r="W196" s="1"/>
      <c r="X196" s="1"/>
      <c r="Y196" s="1"/>
      <c r="Z196" s="1"/>
      <c r="AA196" s="1"/>
      <c r="AB196" s="1"/>
    </row>
    <row r="197" spans="10:28" ht="11.25" customHeight="1" x14ac:dyDescent="0.25">
      <c r="J197"/>
      <c r="K197"/>
      <c r="L197"/>
      <c r="M197"/>
      <c r="N197"/>
      <c r="O197"/>
      <c r="P197"/>
      <c r="V197" s="1"/>
      <c r="W197" s="1"/>
      <c r="X197" s="1"/>
      <c r="Y197" s="1"/>
      <c r="Z197" s="1"/>
      <c r="AA197" s="1"/>
      <c r="AB197" s="1"/>
    </row>
    <row r="198" spans="10:28" ht="11.25" customHeight="1" x14ac:dyDescent="0.25">
      <c r="J198"/>
      <c r="K198"/>
      <c r="L198"/>
      <c r="M198"/>
      <c r="N198"/>
      <c r="O198"/>
      <c r="P198"/>
      <c r="V198" s="1"/>
      <c r="W198" s="1"/>
      <c r="X198" s="1"/>
      <c r="Y198" s="1"/>
      <c r="Z198" s="1"/>
      <c r="AA198" s="1"/>
      <c r="AB198" s="1"/>
    </row>
    <row r="199" spans="10:28" ht="11.25" customHeight="1" x14ac:dyDescent="0.25">
      <c r="J199"/>
      <c r="K199"/>
      <c r="L199"/>
      <c r="M199"/>
      <c r="N199"/>
      <c r="O199"/>
      <c r="P199"/>
      <c r="V199" s="1"/>
      <c r="W199" s="1"/>
      <c r="X199" s="1"/>
      <c r="Y199" s="1"/>
      <c r="Z199" s="1"/>
      <c r="AA199" s="1"/>
      <c r="AB199" s="1"/>
    </row>
    <row r="200" spans="10:28" ht="11.25" customHeight="1" x14ac:dyDescent="0.25">
      <c r="J200"/>
      <c r="K200"/>
      <c r="L200"/>
      <c r="M200"/>
      <c r="N200"/>
      <c r="O200"/>
      <c r="P200"/>
      <c r="V200" s="1"/>
      <c r="W200" s="1"/>
      <c r="X200" s="1"/>
      <c r="Y200" s="1"/>
      <c r="Z200" s="1"/>
      <c r="AA200" s="1"/>
      <c r="AB200" s="1"/>
    </row>
    <row r="201" spans="10:28" ht="11.25" customHeight="1" x14ac:dyDescent="0.25">
      <c r="J201" s="1"/>
      <c r="K201" s="1"/>
      <c r="L201" s="1"/>
      <c r="P201"/>
      <c r="Q201"/>
      <c r="R201"/>
      <c r="S201"/>
      <c r="T201"/>
      <c r="U201"/>
      <c r="W201" s="1"/>
      <c r="X201" s="1"/>
      <c r="Y201" s="1"/>
      <c r="Z201" s="1"/>
      <c r="AA201" s="1"/>
      <c r="AB201" s="1"/>
    </row>
    <row r="202" spans="10:28" ht="11.25" customHeight="1" x14ac:dyDescent="0.25">
      <c r="J202" s="1"/>
      <c r="K202" s="1"/>
      <c r="L202" s="1"/>
      <c r="P202"/>
      <c r="Q202"/>
      <c r="R202"/>
      <c r="S202"/>
      <c r="T202"/>
      <c r="U202"/>
      <c r="W202" s="1"/>
      <c r="X202" s="1"/>
      <c r="Y202" s="1"/>
      <c r="Z202" s="1"/>
      <c r="AA202" s="1"/>
      <c r="AB202" s="1"/>
    </row>
    <row r="203" spans="10:28" ht="11.25" customHeight="1" x14ac:dyDescent="0.25">
      <c r="J203" s="1"/>
      <c r="K203" s="1"/>
      <c r="L203" s="1"/>
      <c r="P203"/>
      <c r="Q203"/>
      <c r="R203"/>
      <c r="S203"/>
      <c r="T203"/>
      <c r="U203"/>
      <c r="W203" s="1"/>
      <c r="X203" s="1"/>
      <c r="Y203" s="1"/>
      <c r="Z203" s="1"/>
      <c r="AA203" s="1"/>
      <c r="AB203" s="1"/>
    </row>
    <row r="204" spans="10:28" ht="11.25" customHeight="1" x14ac:dyDescent="0.25">
      <c r="J204" s="1"/>
      <c r="K204" s="1"/>
      <c r="L204" s="1"/>
      <c r="P204"/>
      <c r="Q204"/>
      <c r="R204"/>
      <c r="S204"/>
      <c r="T204"/>
      <c r="U204"/>
      <c r="W204" s="1"/>
      <c r="X204" s="1"/>
      <c r="Y204" s="1"/>
      <c r="Z204" s="1"/>
      <c r="AA204" s="1"/>
      <c r="AB204" s="1"/>
    </row>
  </sheetData>
  <sortState xmlns:xlrd2="http://schemas.microsoft.com/office/spreadsheetml/2017/richdata2" ref="A86:AB96">
    <sortCondition ref="B86:B96"/>
  </sortState>
  <pageMargins left="0.7" right="0.7" top="0.75" bottom="0.75" header="0.3" footer="0.3"/>
  <pageSetup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E331"/>
  <sheetViews>
    <sheetView tabSelected="1" topLeftCell="C312" zoomScaleNormal="100" workbookViewId="0">
      <selection activeCell="X318" sqref="X318"/>
    </sheetView>
  </sheetViews>
  <sheetFormatPr defaultRowHeight="15" x14ac:dyDescent="0.25"/>
  <cols>
    <col min="1" max="1" width="9.7109375" bestFit="1" customWidth="1"/>
    <col min="2" max="2" width="9.7109375" customWidth="1"/>
    <col min="3" max="3" width="15.42578125" bestFit="1" customWidth="1"/>
    <col min="4" max="4" width="21.140625" bestFit="1" customWidth="1"/>
    <col min="5" max="8" width="9.140625" hidden="1" customWidth="1"/>
    <col min="9" max="10" width="9.140625" customWidth="1"/>
    <col min="11" max="14" width="9.140625" hidden="1" customWidth="1"/>
    <col min="15" max="16" width="9.140625" customWidth="1"/>
    <col min="17" max="18" width="9.140625" hidden="1" customWidth="1"/>
    <col min="19" max="21" width="9.140625" customWidth="1"/>
    <col min="24" max="24" width="26" bestFit="1" customWidth="1"/>
  </cols>
  <sheetData>
    <row r="2" spans="1:24" s="1" customFormat="1" ht="11.25" customHeight="1" x14ac:dyDescent="0.2">
      <c r="B2" s="75"/>
      <c r="C2" s="75" t="s">
        <v>40</v>
      </c>
      <c r="D2" s="75" t="s">
        <v>54</v>
      </c>
      <c r="E2" s="75" t="s">
        <v>80</v>
      </c>
      <c r="F2" s="75" t="s">
        <v>41</v>
      </c>
      <c r="G2" s="75" t="s">
        <v>81</v>
      </c>
      <c r="H2" s="99" t="s">
        <v>42</v>
      </c>
      <c r="I2" s="76" t="s">
        <v>715</v>
      </c>
      <c r="J2" s="77" t="s">
        <v>714</v>
      </c>
      <c r="K2" s="77" t="s">
        <v>45</v>
      </c>
      <c r="L2" s="77" t="s">
        <v>46</v>
      </c>
      <c r="M2" s="77" t="s">
        <v>47</v>
      </c>
      <c r="N2" s="77" t="s">
        <v>38</v>
      </c>
      <c r="O2" s="77" t="s">
        <v>38</v>
      </c>
      <c r="P2" s="77" t="s">
        <v>48</v>
      </c>
      <c r="Q2" s="77" t="s">
        <v>49</v>
      </c>
      <c r="R2" s="77" t="s">
        <v>39</v>
      </c>
      <c r="S2" s="77" t="s">
        <v>39</v>
      </c>
      <c r="T2" s="77" t="s">
        <v>50</v>
      </c>
      <c r="U2" s="77" t="s">
        <v>51</v>
      </c>
      <c r="V2" s="202" t="s">
        <v>585</v>
      </c>
      <c r="W2" s="202" t="s">
        <v>586</v>
      </c>
    </row>
    <row r="3" spans="1:24" s="1" customFormat="1" ht="11.25" customHeight="1" x14ac:dyDescent="0.2">
      <c r="A3" s="201">
        <v>45182</v>
      </c>
      <c r="B3" s="83">
        <v>41</v>
      </c>
      <c r="C3" s="83" t="s">
        <v>119</v>
      </c>
      <c r="D3" s="84">
        <v>1.85</v>
      </c>
      <c r="E3" s="84">
        <v>0.82722743750000005</v>
      </c>
      <c r="F3" s="84">
        <v>0.11620440662407638</v>
      </c>
      <c r="G3" s="84">
        <v>3.5384380000000002</v>
      </c>
      <c r="H3" s="84">
        <v>-21.821340790504291</v>
      </c>
      <c r="I3" s="101">
        <v>-26.443937807207909</v>
      </c>
      <c r="J3" s="78">
        <v>-0.89048645210266197</v>
      </c>
      <c r="K3" s="79">
        <v>1.9126691891891892</v>
      </c>
      <c r="L3" s="79"/>
      <c r="M3" s="79"/>
      <c r="N3" s="79">
        <v>0</v>
      </c>
      <c r="O3" s="80">
        <v>0.19198856900400002</v>
      </c>
      <c r="P3" s="81">
        <v>10.377760486702703</v>
      </c>
      <c r="Q3" s="79">
        <v>0.44714996621621622</v>
      </c>
      <c r="R3" s="79"/>
      <c r="S3" s="80">
        <v>1.7068197646749998E-2</v>
      </c>
      <c r="T3" s="82">
        <v>0.92260527820270255</v>
      </c>
      <c r="U3" s="78">
        <v>11.248321174705701</v>
      </c>
      <c r="V3" s="102"/>
      <c r="W3" s="102"/>
    </row>
    <row r="4" spans="1:24" s="1" customFormat="1" ht="11.25" customHeight="1" x14ac:dyDescent="0.2">
      <c r="A4" s="201">
        <v>45182</v>
      </c>
      <c r="B4" s="83">
        <v>42</v>
      </c>
      <c r="C4" s="83" t="s">
        <v>120</v>
      </c>
      <c r="D4" s="84">
        <v>2.2530000000000001</v>
      </c>
      <c r="E4" s="84">
        <v>1.1734763749999999</v>
      </c>
      <c r="F4" s="84">
        <v>1.8729880525116815</v>
      </c>
      <c r="G4" s="84">
        <v>8.1786999999999992</v>
      </c>
      <c r="H4" s="84">
        <v>-20.826089451994573</v>
      </c>
      <c r="I4" s="101">
        <v>-25.455354652666209</v>
      </c>
      <c r="J4" s="78">
        <v>1.0342457103317979</v>
      </c>
      <c r="K4" s="79">
        <v>3.6301375943186858</v>
      </c>
      <c r="L4" s="79"/>
      <c r="M4" s="79"/>
      <c r="N4" s="79">
        <v>0</v>
      </c>
      <c r="O4" s="80">
        <v>0.44375990459999998</v>
      </c>
      <c r="P4" s="81">
        <v>19.696400559254325</v>
      </c>
      <c r="Q4" s="79">
        <v>0.52085058810474916</v>
      </c>
      <c r="R4" s="79"/>
      <c r="S4" s="80">
        <v>2.4731379131499996E-2</v>
      </c>
      <c r="T4" s="82">
        <v>1.0977087941189523</v>
      </c>
      <c r="U4" s="78">
        <v>17.943192825619235</v>
      </c>
      <c r="V4" s="102"/>
      <c r="W4" s="102"/>
    </row>
    <row r="5" spans="1:24" s="1" customFormat="1" ht="11.25" customHeight="1" x14ac:dyDescent="0.2">
      <c r="A5" s="201">
        <v>45182</v>
      </c>
      <c r="B5" s="83">
        <v>43</v>
      </c>
      <c r="C5" s="83" t="s">
        <v>121</v>
      </c>
      <c r="D5" s="84">
        <v>1.899</v>
      </c>
      <c r="E5" s="84">
        <v>0.40452746875000001</v>
      </c>
      <c r="F5" s="84">
        <v>0.91687344275381832</v>
      </c>
      <c r="G5" s="84">
        <v>2.2489254999999999</v>
      </c>
      <c r="H5" s="84">
        <v>-21.300012214034261</v>
      </c>
      <c r="I5" s="101">
        <v>-25.926102132200228</v>
      </c>
      <c r="J5" s="78">
        <v>-1.3273456118916727E-2</v>
      </c>
      <c r="K5" s="79">
        <v>1.1842682991047919</v>
      </c>
      <c r="L5" s="79"/>
      <c r="M5" s="79"/>
      <c r="N5" s="79">
        <v>0</v>
      </c>
      <c r="O5" s="80">
        <v>0.122022199779</v>
      </c>
      <c r="P5" s="81">
        <v>6.4256029372827799</v>
      </c>
      <c r="Q5" s="79">
        <v>0.21302131055818851</v>
      </c>
      <c r="R5" s="79"/>
      <c r="S5" s="80">
        <v>7.7130019383749998E-3</v>
      </c>
      <c r="T5" s="82">
        <v>0.40616123951421801</v>
      </c>
      <c r="U5" s="78">
        <v>15.820325309643062</v>
      </c>
      <c r="V5" s="102"/>
      <c r="W5" s="102"/>
    </row>
    <row r="6" spans="1:24" s="1" customFormat="1" ht="11.25" customHeight="1" x14ac:dyDescent="0.2">
      <c r="A6" s="201">
        <v>45182</v>
      </c>
      <c r="B6" s="83">
        <v>44</v>
      </c>
      <c r="C6" s="83" t="s">
        <v>122</v>
      </c>
      <c r="D6" s="84">
        <v>2.0249999999999999</v>
      </c>
      <c r="E6" s="84">
        <v>0.76069575</v>
      </c>
      <c r="F6" s="84">
        <v>1.3994919646438397</v>
      </c>
      <c r="G6" s="84">
        <v>8.4483800000000002</v>
      </c>
      <c r="H6" s="84">
        <v>-21.607738615614373</v>
      </c>
      <c r="I6" s="101">
        <v>-26.231766766889756</v>
      </c>
      <c r="J6" s="78">
        <v>0.5154833964637906</v>
      </c>
      <c r="K6" s="79">
        <v>4.1720395061728395</v>
      </c>
      <c r="L6" s="79"/>
      <c r="M6" s="79"/>
      <c r="N6" s="79">
        <v>0</v>
      </c>
      <c r="O6" s="80">
        <v>0.45839220204000003</v>
      </c>
      <c r="P6" s="81">
        <v>22.636651952592597</v>
      </c>
      <c r="Q6" s="79">
        <v>0.37565222222222222</v>
      </c>
      <c r="R6" s="79"/>
      <c r="S6" s="80">
        <v>1.5595718338999998E-2</v>
      </c>
      <c r="T6" s="82">
        <v>0.77015893032098759</v>
      </c>
      <c r="U6" s="78">
        <v>29.392182653985547</v>
      </c>
      <c r="V6" s="102"/>
      <c r="W6" s="102"/>
    </row>
    <row r="7" spans="1:24" s="1" customFormat="1" ht="11.25" customHeight="1" x14ac:dyDescent="0.2">
      <c r="A7" s="201">
        <v>45182</v>
      </c>
      <c r="B7" s="83">
        <v>45</v>
      </c>
      <c r="C7" s="83" t="s">
        <v>123</v>
      </c>
      <c r="D7" s="84">
        <v>2.375</v>
      </c>
      <c r="E7" s="84">
        <v>0.43351753124999998</v>
      </c>
      <c r="F7" s="84">
        <v>3.0537940170307643</v>
      </c>
      <c r="G7" s="84">
        <v>4.3568505000000002</v>
      </c>
      <c r="H7" s="84">
        <v>-21.095167686141682</v>
      </c>
      <c r="I7" s="101">
        <v>-25.72263006264453</v>
      </c>
      <c r="J7" s="78">
        <v>2.3279367250589047</v>
      </c>
      <c r="K7" s="79">
        <v>1.8344633684210527</v>
      </c>
      <c r="L7" s="79"/>
      <c r="M7" s="79"/>
      <c r="N7" s="79">
        <v>0</v>
      </c>
      <c r="O7" s="80">
        <v>0.23639399442900003</v>
      </c>
      <c r="P7" s="81">
        <v>9.9534313443789486</v>
      </c>
      <c r="Q7" s="79">
        <v>0.18253369736842104</v>
      </c>
      <c r="R7" s="79"/>
      <c r="S7" s="80">
        <v>8.3546100016249989E-3</v>
      </c>
      <c r="T7" s="82">
        <v>0.35177305269999992</v>
      </c>
      <c r="U7" s="78">
        <v>28.295036438926608</v>
      </c>
      <c r="V7" s="102"/>
      <c r="W7" s="102"/>
    </row>
    <row r="8" spans="1:24" s="1" customFormat="1" ht="11.25" customHeight="1" x14ac:dyDescent="0.2">
      <c r="A8" s="201">
        <v>45182</v>
      </c>
      <c r="B8" s="83">
        <v>46</v>
      </c>
      <c r="C8" s="83" t="s">
        <v>124</v>
      </c>
      <c r="D8" s="84">
        <v>2.0550000000000002</v>
      </c>
      <c r="E8" s="84">
        <v>0.22826857812500001</v>
      </c>
      <c r="F8" s="84">
        <v>3.6730644409579405</v>
      </c>
      <c r="G8" s="84">
        <v>1.344137125</v>
      </c>
      <c r="H8" s="84">
        <v>-21.394488910642064</v>
      </c>
      <c r="I8" s="101">
        <v>-26.01994583494076</v>
      </c>
      <c r="J8" s="78">
        <v>3.006409401513519</v>
      </c>
      <c r="K8" s="79">
        <v>0.65408132603406322</v>
      </c>
      <c r="L8" s="79"/>
      <c r="M8" s="79"/>
      <c r="N8" s="79">
        <v>0</v>
      </c>
      <c r="O8" s="80">
        <v>7.2930192128249999E-2</v>
      </c>
      <c r="P8" s="81">
        <v>3.5489144587956196</v>
      </c>
      <c r="Q8" s="79">
        <v>0.11107960006082725</v>
      </c>
      <c r="R8" s="79"/>
      <c r="S8" s="80">
        <v>3.8120401710625001E-3</v>
      </c>
      <c r="T8" s="82">
        <v>0.18550073825121655</v>
      </c>
      <c r="U8" s="78">
        <v>19.131538193607948</v>
      </c>
      <c r="V8" s="102"/>
      <c r="W8" s="102"/>
      <c r="X8" s="1" t="s">
        <v>413</v>
      </c>
    </row>
    <row r="9" spans="1:24" s="1" customFormat="1" ht="11.25" customHeight="1" x14ac:dyDescent="0.2">
      <c r="A9" s="201">
        <v>45182</v>
      </c>
      <c r="B9" s="83">
        <v>47</v>
      </c>
      <c r="C9" s="83" t="s">
        <v>125</v>
      </c>
      <c r="D9" s="84">
        <v>1.9259999999999999</v>
      </c>
      <c r="E9" s="84">
        <v>0.32061221875000001</v>
      </c>
      <c r="F9" s="84">
        <v>4.7864659199357007</v>
      </c>
      <c r="G9" s="84">
        <v>2.4850842499999999</v>
      </c>
      <c r="H9" s="84">
        <v>-20.359530068586118</v>
      </c>
      <c r="I9" s="101">
        <v>-24.991921217126588</v>
      </c>
      <c r="J9" s="78">
        <v>4.2262520618815529</v>
      </c>
      <c r="K9" s="79">
        <v>1.2902825804776739</v>
      </c>
      <c r="L9" s="79"/>
      <c r="M9" s="79"/>
      <c r="N9" s="79">
        <v>0</v>
      </c>
      <c r="O9" s="80">
        <v>0.13483570123649999</v>
      </c>
      <c r="P9" s="81">
        <v>7.0008152251557627</v>
      </c>
      <c r="Q9" s="79">
        <v>0.16646532645379025</v>
      </c>
      <c r="R9" s="79"/>
      <c r="S9" s="80">
        <v>5.8557896253750002E-3</v>
      </c>
      <c r="T9" s="82">
        <v>0.30403892135903432</v>
      </c>
      <c r="U9" s="78">
        <v>23.02604940795926</v>
      </c>
      <c r="V9" s="102"/>
      <c r="W9" s="102"/>
      <c r="X9" s="1" t="s">
        <v>413</v>
      </c>
    </row>
    <row r="10" spans="1:24" s="1" customFormat="1" ht="11.25" customHeight="1" x14ac:dyDescent="0.2">
      <c r="A10" s="201">
        <v>45182</v>
      </c>
      <c r="B10" s="83">
        <v>48</v>
      </c>
      <c r="C10" s="83" t="s">
        <v>126</v>
      </c>
      <c r="D10" s="84">
        <v>2.1709999999999998</v>
      </c>
      <c r="E10" s="84">
        <v>1.384966125</v>
      </c>
      <c r="F10" s="84">
        <v>4.5192554619666314</v>
      </c>
      <c r="G10" s="84">
        <v>8.8891989999999996</v>
      </c>
      <c r="H10" s="84">
        <v>-22.73040626589011</v>
      </c>
      <c r="I10" s="101">
        <v>-27.346912543908644</v>
      </c>
      <c r="J10" s="78">
        <v>3.9334962841306407</v>
      </c>
      <c r="K10" s="79">
        <v>4.0945181943804698</v>
      </c>
      <c r="L10" s="79"/>
      <c r="M10" s="79"/>
      <c r="N10" s="79">
        <v>0</v>
      </c>
      <c r="O10" s="80">
        <v>0.482310159342</v>
      </c>
      <c r="P10" s="81">
        <v>22.216036819069554</v>
      </c>
      <c r="Q10" s="79">
        <v>0.63793925610317836</v>
      </c>
      <c r="R10" s="79"/>
      <c r="S10" s="80">
        <v>2.9412070278499999E-2</v>
      </c>
      <c r="T10" s="82">
        <v>1.3547706254491019</v>
      </c>
      <c r="U10" s="78">
        <v>16.398375047218796</v>
      </c>
      <c r="V10" s="102"/>
      <c r="W10" s="102"/>
    </row>
    <row r="11" spans="1:24" s="1" customFormat="1" ht="11.25" customHeight="1" x14ac:dyDescent="0.2">
      <c r="A11" s="201">
        <v>45182</v>
      </c>
      <c r="B11" s="83">
        <v>49</v>
      </c>
      <c r="C11" s="83" t="s">
        <v>127</v>
      </c>
      <c r="D11" s="84">
        <v>1.8149999999999999</v>
      </c>
      <c r="E11" s="84">
        <v>0.19939612500000001</v>
      </c>
      <c r="F11" s="84">
        <v>2.5703315832150686</v>
      </c>
      <c r="G11" s="84">
        <v>1.1905619999999999</v>
      </c>
      <c r="H11" s="84">
        <v>-21.279163918156808</v>
      </c>
      <c r="I11" s="101">
        <v>-25.905393519905154</v>
      </c>
      <c r="J11" s="78">
        <v>1.7982552825704288</v>
      </c>
      <c r="K11" s="79">
        <v>0.65595702479338835</v>
      </c>
      <c r="L11" s="79"/>
      <c r="M11" s="79"/>
      <c r="N11" s="79">
        <v>0</v>
      </c>
      <c r="O11" s="80">
        <v>6.4597512996000001E-2</v>
      </c>
      <c r="P11" s="81">
        <v>3.5590916251239668</v>
      </c>
      <c r="Q11" s="79">
        <v>0.10986012396694216</v>
      </c>
      <c r="R11" s="79"/>
      <c r="S11" s="80">
        <v>3.1730350385000003E-3</v>
      </c>
      <c r="T11" s="82">
        <v>0.17482286713498627</v>
      </c>
      <c r="U11" s="78">
        <v>20.358272824663608</v>
      </c>
      <c r="V11" s="102"/>
      <c r="W11" s="102"/>
      <c r="X11" s="1" t="s">
        <v>413</v>
      </c>
    </row>
    <row r="12" spans="1:24" s="1" customFormat="1" ht="11.25" customHeight="1" x14ac:dyDescent="0.2">
      <c r="A12" s="201">
        <v>45182</v>
      </c>
      <c r="B12" s="83">
        <v>50</v>
      </c>
      <c r="C12" s="83" t="s">
        <v>128</v>
      </c>
      <c r="D12" s="84">
        <v>1.966</v>
      </c>
      <c r="E12" s="84">
        <v>0.40649409375000001</v>
      </c>
      <c r="F12" s="84">
        <v>4.272205263890605</v>
      </c>
      <c r="G12" s="84">
        <v>2.7447837499999999</v>
      </c>
      <c r="H12" s="84">
        <v>-21.171070522824952</v>
      </c>
      <c r="I12" s="101">
        <v>-25.798024350322024</v>
      </c>
      <c r="J12" s="78">
        <v>3.6628280871185463</v>
      </c>
      <c r="K12" s="79">
        <v>1.396126017293998</v>
      </c>
      <c r="L12" s="79"/>
      <c r="M12" s="79"/>
      <c r="N12" s="79">
        <v>0</v>
      </c>
      <c r="O12" s="80">
        <v>0.14892647670750001</v>
      </c>
      <c r="P12" s="81">
        <v>7.5751005446337745</v>
      </c>
      <c r="Q12" s="79">
        <v>0.20676200089013225</v>
      </c>
      <c r="R12" s="79"/>
      <c r="S12" s="80">
        <v>7.7565272828750004E-3</v>
      </c>
      <c r="T12" s="82">
        <v>0.39453343249618517</v>
      </c>
      <c r="U12" s="78">
        <v>19.200148633049039</v>
      </c>
      <c r="V12" s="102"/>
      <c r="W12" s="102"/>
    </row>
    <row r="13" spans="1:24" s="1" customFormat="1" ht="11.25" customHeight="1" x14ac:dyDescent="0.2">
      <c r="A13" s="201">
        <v>45182</v>
      </c>
      <c r="B13" s="83">
        <v>53</v>
      </c>
      <c r="C13" s="83" t="s">
        <v>129</v>
      </c>
      <c r="D13" s="84">
        <v>1.8480000000000001</v>
      </c>
      <c r="E13" s="84">
        <v>0.237152</v>
      </c>
      <c r="F13" s="84">
        <v>0.34063550411889132</v>
      </c>
      <c r="G13" s="84">
        <v>1.1569183750000001</v>
      </c>
      <c r="H13" s="84">
        <v>-21.700792837567594</v>
      </c>
      <c r="I13" s="101">
        <v>-26.324197525555888</v>
      </c>
      <c r="J13" s="78">
        <v>-0.6445997416873428</v>
      </c>
      <c r="K13" s="79">
        <v>0.62603808170995667</v>
      </c>
      <c r="L13" s="79"/>
      <c r="M13" s="79"/>
      <c r="N13" s="79">
        <v>0</v>
      </c>
      <c r="O13" s="80">
        <v>6.2772077190750009E-2</v>
      </c>
      <c r="P13" s="81">
        <v>3.3967574237418834</v>
      </c>
      <c r="Q13" s="79">
        <v>0.12832900432900432</v>
      </c>
      <c r="R13" s="79"/>
      <c r="S13" s="80">
        <v>4.0086480639999998E-3</v>
      </c>
      <c r="T13" s="82">
        <v>0.21691818528138526</v>
      </c>
      <c r="U13" s="78">
        <v>15.659163934714028</v>
      </c>
      <c r="V13" s="102"/>
      <c r="W13" s="102"/>
      <c r="X13" s="1" t="s">
        <v>413</v>
      </c>
    </row>
    <row r="14" spans="1:24" s="1" customFormat="1" ht="11.25" customHeight="1" x14ac:dyDescent="0.2">
      <c r="A14" s="201">
        <v>45182</v>
      </c>
      <c r="B14" s="83">
        <v>54</v>
      </c>
      <c r="C14" s="83" t="s">
        <v>130</v>
      </c>
      <c r="D14" s="84">
        <v>1.978</v>
      </c>
      <c r="E14" s="84">
        <v>0.40742253125</v>
      </c>
      <c r="F14" s="84">
        <v>2.7172954864622678</v>
      </c>
      <c r="G14" s="84">
        <v>2.21779525</v>
      </c>
      <c r="H14" s="84">
        <v>-21.371571395348155</v>
      </c>
      <c r="I14" s="101">
        <v>-25.99718186699932</v>
      </c>
      <c r="J14" s="78">
        <v>1.9592689349680603</v>
      </c>
      <c r="K14" s="79">
        <v>1.1212311678463094</v>
      </c>
      <c r="L14" s="79"/>
      <c r="M14" s="79"/>
      <c r="N14" s="79">
        <v>0</v>
      </c>
      <c r="O14" s="80">
        <v>0.12033313467450001</v>
      </c>
      <c r="P14" s="81">
        <v>6.0835760705005058</v>
      </c>
      <c r="Q14" s="79">
        <v>0.2059770127654196</v>
      </c>
      <c r="R14" s="79"/>
      <c r="S14" s="80">
        <v>7.777075461625E-3</v>
      </c>
      <c r="T14" s="82">
        <v>0.39317873921258845</v>
      </c>
      <c r="U14" s="78">
        <v>15.472800189257352</v>
      </c>
      <c r="V14" s="102"/>
      <c r="W14" s="102"/>
    </row>
    <row r="15" spans="1:24" s="1" customFormat="1" ht="11.25" customHeight="1" x14ac:dyDescent="0.2">
      <c r="A15" s="201">
        <v>45182</v>
      </c>
      <c r="B15" s="83">
        <v>55</v>
      </c>
      <c r="C15" s="83" t="s">
        <v>131</v>
      </c>
      <c r="D15" s="84">
        <v>1.913</v>
      </c>
      <c r="E15" s="84">
        <v>0.47017687499999999</v>
      </c>
      <c r="F15" s="84">
        <v>5.8010962718446635</v>
      </c>
      <c r="G15" s="84">
        <v>2.26651925</v>
      </c>
      <c r="H15" s="84">
        <v>-21.732805002996987</v>
      </c>
      <c r="I15" s="101">
        <v>-26.355995209476905</v>
      </c>
      <c r="J15" s="78">
        <v>5.3378810754330122</v>
      </c>
      <c r="K15" s="79">
        <v>1.1847983533716675</v>
      </c>
      <c r="L15" s="79"/>
      <c r="M15" s="79"/>
      <c r="N15" s="79">
        <v>0</v>
      </c>
      <c r="O15" s="80">
        <v>0.1229768014665</v>
      </c>
      <c r="P15" s="81">
        <v>6.4284789057239946</v>
      </c>
      <c r="Q15" s="79">
        <v>0.24577986147412439</v>
      </c>
      <c r="R15" s="79"/>
      <c r="S15" s="80">
        <v>9.1659545974999996E-3</v>
      </c>
      <c r="T15" s="82">
        <v>0.47914033442237325</v>
      </c>
      <c r="U15" s="78">
        <v>13.41669328146593</v>
      </c>
      <c r="V15" s="102"/>
      <c r="W15" s="102"/>
    </row>
    <row r="16" spans="1:24" s="1" customFormat="1" ht="11.25" customHeight="1" x14ac:dyDescent="0.2">
      <c r="A16" s="201">
        <v>45182</v>
      </c>
      <c r="B16" s="83">
        <v>56</v>
      </c>
      <c r="C16" s="83" t="s">
        <v>132</v>
      </c>
      <c r="D16" s="84">
        <v>2.181</v>
      </c>
      <c r="E16" s="84">
        <v>0.57686400000000004</v>
      </c>
      <c r="F16" s="84">
        <v>2.6117012377016025</v>
      </c>
      <c r="G16" s="84">
        <v>3.3970069999999999</v>
      </c>
      <c r="H16" s="84">
        <v>-21.94902827330986</v>
      </c>
      <c r="I16" s="101">
        <v>-26.570769783878681</v>
      </c>
      <c r="J16" s="78">
        <v>1.8435798760258753</v>
      </c>
      <c r="K16" s="79">
        <v>1.5575456212746446</v>
      </c>
      <c r="L16" s="79"/>
      <c r="M16" s="79"/>
      <c r="N16" s="79">
        <v>0</v>
      </c>
      <c r="O16" s="80">
        <v>0.18431480580599999</v>
      </c>
      <c r="P16" s="81">
        <v>8.450931031911967</v>
      </c>
      <c r="Q16" s="79">
        <v>0.26449518569463548</v>
      </c>
      <c r="R16" s="79"/>
      <c r="S16" s="80">
        <v>1.1527154048000001E-2</v>
      </c>
      <c r="T16" s="82">
        <v>0.52852609115084825</v>
      </c>
      <c r="U16" s="78">
        <v>15.989619383804383</v>
      </c>
      <c r="V16" s="102"/>
      <c r="W16" s="102"/>
    </row>
    <row r="17" spans="1:31" s="1" customFormat="1" ht="11.25" customHeight="1" x14ac:dyDescent="0.2">
      <c r="A17" s="201">
        <v>45182</v>
      </c>
      <c r="B17" s="83">
        <v>57</v>
      </c>
      <c r="C17" s="83" t="s">
        <v>133</v>
      </c>
      <c r="D17" s="84">
        <v>2.044</v>
      </c>
      <c r="E17" s="84">
        <v>0.67287356249999997</v>
      </c>
      <c r="F17" s="84">
        <v>2.7326772595224202</v>
      </c>
      <c r="G17" s="84">
        <v>3.99223025</v>
      </c>
      <c r="H17" s="84">
        <v>-22.29451246884706</v>
      </c>
      <c r="I17" s="101">
        <v>-26.913939235305783</v>
      </c>
      <c r="J17" s="78">
        <v>1.9761212055327635</v>
      </c>
      <c r="K17" s="79">
        <v>1.9531459148727983</v>
      </c>
      <c r="L17" s="79"/>
      <c r="M17" s="79"/>
      <c r="N17" s="79">
        <v>0</v>
      </c>
      <c r="O17" s="80">
        <v>0.2166104289045</v>
      </c>
      <c r="P17" s="81">
        <v>10.597379104916829</v>
      </c>
      <c r="Q17" s="79">
        <v>0.32919450220156554</v>
      </c>
      <c r="R17" s="79"/>
      <c r="S17" s="80">
        <v>1.3652037685249998E-2</v>
      </c>
      <c r="T17" s="82">
        <v>0.66790791023727969</v>
      </c>
      <c r="U17" s="78">
        <v>15.866527319839683</v>
      </c>
      <c r="V17" s="102"/>
      <c r="W17" s="102"/>
    </row>
    <row r="18" spans="1:31" s="1" customFormat="1" ht="11.25" customHeight="1" x14ac:dyDescent="0.2">
      <c r="A18" s="201">
        <v>45182</v>
      </c>
      <c r="B18" s="83">
        <v>58</v>
      </c>
      <c r="C18" s="83" t="s">
        <v>134</v>
      </c>
      <c r="D18" s="84">
        <v>2.0379999999999998</v>
      </c>
      <c r="E18" s="84">
        <v>0.24202615625000001</v>
      </c>
      <c r="F18" s="84">
        <v>2.2799909827955211</v>
      </c>
      <c r="G18" s="84">
        <v>0.80042168749999998</v>
      </c>
      <c r="H18" s="84">
        <v>-21.445065961568133</v>
      </c>
      <c r="I18" s="101">
        <v>-26.070184019625625</v>
      </c>
      <c r="J18" s="78">
        <v>1.4801581207507726</v>
      </c>
      <c r="K18" s="79">
        <v>0.39274861997055938</v>
      </c>
      <c r="L18" s="79"/>
      <c r="M18" s="79"/>
      <c r="N18" s="79">
        <v>0</v>
      </c>
      <c r="O18" s="80">
        <v>4.3429279920375E-2</v>
      </c>
      <c r="P18" s="81">
        <v>2.1309754622362611</v>
      </c>
      <c r="Q18" s="79">
        <v>0.11875670080961728</v>
      </c>
      <c r="R18" s="79"/>
      <c r="S18" s="80">
        <v>4.1165228901249998E-3</v>
      </c>
      <c r="T18" s="82">
        <v>0.20198836556059863</v>
      </c>
      <c r="U18" s="78">
        <v>10.549991116181126</v>
      </c>
      <c r="V18" s="102"/>
      <c r="W18" s="102"/>
      <c r="X18" s="1" t="s">
        <v>413</v>
      </c>
    </row>
    <row r="19" spans="1:31" s="1" customFormat="1" ht="11.25" customHeight="1" x14ac:dyDescent="0.2">
      <c r="A19" s="201">
        <v>45182</v>
      </c>
      <c r="B19" s="83">
        <v>59</v>
      </c>
      <c r="C19" s="83" t="s">
        <v>135</v>
      </c>
      <c r="D19" s="84">
        <v>2.2210000000000001</v>
      </c>
      <c r="E19" s="84">
        <v>0.31075003125</v>
      </c>
      <c r="F19" s="84">
        <v>-0.20275709474071313</v>
      </c>
      <c r="G19" s="84">
        <v>1.458761625</v>
      </c>
      <c r="H19" s="84">
        <v>-20.898060970980232</v>
      </c>
      <c r="I19" s="101">
        <v>-25.526843962474661</v>
      </c>
      <c r="J19" s="78">
        <v>-1.2399406729979252</v>
      </c>
      <c r="K19" s="79">
        <v>0.65680397343538943</v>
      </c>
      <c r="L19" s="79"/>
      <c r="M19" s="79"/>
      <c r="N19" s="79">
        <v>0</v>
      </c>
      <c r="O19" s="80">
        <v>7.914948824925E-2</v>
      </c>
      <c r="P19" s="81">
        <v>3.5636869990657365</v>
      </c>
      <c r="Q19" s="79">
        <v>0.13991446701936064</v>
      </c>
      <c r="R19" s="79"/>
      <c r="S19" s="80">
        <v>5.637519691625E-3</v>
      </c>
      <c r="T19" s="82">
        <v>0.25382799151846014</v>
      </c>
      <c r="U19" s="78">
        <v>14.039771491500613</v>
      </c>
      <c r="V19" s="102"/>
      <c r="W19" s="102"/>
      <c r="X19" s="1" t="s">
        <v>413</v>
      </c>
    </row>
    <row r="20" spans="1:31" s="1" customFormat="1" ht="11.25" customHeight="1" x14ac:dyDescent="0.2">
      <c r="A20" s="201">
        <v>45182</v>
      </c>
      <c r="B20" s="83">
        <v>60</v>
      </c>
      <c r="C20" s="83" t="s">
        <v>136</v>
      </c>
      <c r="D20" s="84">
        <v>2.1349999999999998</v>
      </c>
      <c r="E20" s="84">
        <v>0.24464309375000001</v>
      </c>
      <c r="F20" s="84">
        <v>-1.6485398498926607</v>
      </c>
      <c r="G20" s="84">
        <v>0.91781318749999996</v>
      </c>
      <c r="H20" s="84">
        <v>-21.374885135605535</v>
      </c>
      <c r="I20" s="101">
        <v>-26.000473405196974</v>
      </c>
      <c r="J20" s="78">
        <v>-2.823940259542399</v>
      </c>
      <c r="K20" s="79">
        <v>0.42988908079625293</v>
      </c>
      <c r="L20" s="79"/>
      <c r="M20" s="79"/>
      <c r="N20" s="79">
        <v>0</v>
      </c>
      <c r="O20" s="80">
        <v>4.9798707927375001E-2</v>
      </c>
      <c r="P20" s="81">
        <v>2.3324921745843095</v>
      </c>
      <c r="Q20" s="79">
        <v>0.11458692915690868</v>
      </c>
      <c r="R20" s="79"/>
      <c r="S20" s="80">
        <v>4.174440950875E-3</v>
      </c>
      <c r="T20" s="82">
        <v>0.19552416631733022</v>
      </c>
      <c r="U20" s="78">
        <v>11.929431632500814</v>
      </c>
      <c r="V20" s="102"/>
      <c r="W20" s="102"/>
      <c r="X20" s="1" t="s">
        <v>413</v>
      </c>
    </row>
    <row r="21" spans="1:31" s="1" customFormat="1" ht="11.25" customHeight="1" x14ac:dyDescent="0.2">
      <c r="A21" s="201">
        <v>45182</v>
      </c>
      <c r="B21" s="83">
        <v>61</v>
      </c>
      <c r="C21" s="83" t="s">
        <v>137</v>
      </c>
      <c r="D21" s="84">
        <v>2.105</v>
      </c>
      <c r="E21" s="84">
        <v>0.20479924999999999</v>
      </c>
      <c r="F21" s="84">
        <v>-3.1024103545146398</v>
      </c>
      <c r="G21" s="84">
        <v>0.42752893749999998</v>
      </c>
      <c r="H21" s="84">
        <v>-21.539733774746896</v>
      </c>
      <c r="I21" s="101">
        <v>-26.164217558456091</v>
      </c>
      <c r="J21" s="78">
        <v>-4.4168007844062389</v>
      </c>
      <c r="K21" s="79">
        <v>0.20310163301662706</v>
      </c>
      <c r="L21" s="79"/>
      <c r="M21" s="79"/>
      <c r="N21" s="79">
        <v>0</v>
      </c>
      <c r="O21" s="80">
        <v>2.3196865090874999E-2</v>
      </c>
      <c r="P21" s="81">
        <v>1.1019888404216152</v>
      </c>
      <c r="Q21" s="79">
        <v>9.72918052256532E-2</v>
      </c>
      <c r="R21" s="79"/>
      <c r="S21" s="80">
        <v>3.2926170009999998E-3</v>
      </c>
      <c r="T21" s="82">
        <v>0.15641885990498811</v>
      </c>
      <c r="U21" s="78">
        <v>7.0451148991303532</v>
      </c>
      <c r="V21" s="102"/>
      <c r="W21" s="102"/>
      <c r="X21" s="1" t="s">
        <v>413</v>
      </c>
    </row>
    <row r="22" spans="1:31" s="1" customFormat="1" ht="11.25" customHeight="1" x14ac:dyDescent="0.2">
      <c r="A22" s="201">
        <v>45182</v>
      </c>
      <c r="B22" s="83">
        <v>62</v>
      </c>
      <c r="C22" s="83" t="s">
        <v>138</v>
      </c>
      <c r="D22" s="84">
        <v>2.27</v>
      </c>
      <c r="E22" s="84">
        <v>0.24064526562499999</v>
      </c>
      <c r="F22" s="84">
        <v>-0.61371662636666713</v>
      </c>
      <c r="G22" s="84">
        <v>0.90762481250000004</v>
      </c>
      <c r="H22" s="84">
        <v>-21.148991315114234</v>
      </c>
      <c r="I22" s="101">
        <v>-25.776093073302967</v>
      </c>
      <c r="J22" s="78">
        <v>-1.6901879358473204</v>
      </c>
      <c r="K22" s="79">
        <v>0.39983471916299562</v>
      </c>
      <c r="L22" s="79"/>
      <c r="M22" s="79"/>
      <c r="N22" s="79">
        <v>0</v>
      </c>
      <c r="O22" s="80">
        <v>4.9245907076625003E-2</v>
      </c>
      <c r="P22" s="81">
        <v>2.1694232192345817</v>
      </c>
      <c r="Q22" s="79">
        <v>0.10601113023127753</v>
      </c>
      <c r="R22" s="79"/>
      <c r="S22" s="80">
        <v>4.0859610188125001E-3</v>
      </c>
      <c r="T22" s="82">
        <v>0.17999828276707047</v>
      </c>
      <c r="U22" s="78">
        <v>12.052466200702352</v>
      </c>
      <c r="V22" s="102"/>
      <c r="W22" s="102"/>
      <c r="X22" s="1" t="s">
        <v>413</v>
      </c>
    </row>
    <row r="23" spans="1:31" s="1" customFormat="1" ht="11.25" customHeight="1" x14ac:dyDescent="0.2">
      <c r="A23" s="201">
        <v>45182</v>
      </c>
      <c r="B23" s="83">
        <v>65</v>
      </c>
      <c r="C23" s="83" t="s">
        <v>139</v>
      </c>
      <c r="D23" s="84">
        <v>2.1619999999999999</v>
      </c>
      <c r="E23" s="84">
        <v>0.24625301562499999</v>
      </c>
      <c r="F23" s="84">
        <v>0.1606197672452403</v>
      </c>
      <c r="G23" s="84">
        <v>0.94975262500000002</v>
      </c>
      <c r="H23" s="84">
        <v>-22.145873046955035</v>
      </c>
      <c r="I23" s="101">
        <v>-26.766295697540436</v>
      </c>
      <c r="J23" s="78">
        <v>-0.84182498300611475</v>
      </c>
      <c r="K23" s="79">
        <v>0.43929353607770583</v>
      </c>
      <c r="L23" s="79"/>
      <c r="M23" s="79"/>
      <c r="N23" s="79">
        <v>0</v>
      </c>
      <c r="O23" s="80">
        <v>5.1531677927250004E-2</v>
      </c>
      <c r="P23" s="81">
        <v>2.3835188680504169</v>
      </c>
      <c r="Q23" s="79">
        <v>0.11390056226873266</v>
      </c>
      <c r="R23" s="79"/>
      <c r="S23" s="80">
        <v>4.2100717418124996E-3</v>
      </c>
      <c r="T23" s="82">
        <v>0.19473042284054115</v>
      </c>
      <c r="U23" s="78">
        <v>12.240094964525435</v>
      </c>
      <c r="V23" s="102"/>
      <c r="W23" s="102"/>
      <c r="X23" s="1" t="s">
        <v>413</v>
      </c>
    </row>
    <row r="24" spans="1:31" s="1" customFormat="1" ht="11.25" customHeight="1" x14ac:dyDescent="0.2">
      <c r="A24" s="201">
        <v>45182</v>
      </c>
      <c r="B24" s="83">
        <v>66</v>
      </c>
      <c r="C24" s="83" t="s">
        <v>140</v>
      </c>
      <c r="D24" s="84">
        <v>2.081</v>
      </c>
      <c r="E24" s="84">
        <v>0.45825646874999998</v>
      </c>
      <c r="F24" s="84">
        <v>2.6379249790304815</v>
      </c>
      <c r="G24" s="84">
        <v>2.2147060000000001</v>
      </c>
      <c r="H24" s="84">
        <v>-22.989833621174242</v>
      </c>
      <c r="I24" s="101">
        <v>-27.604601735912372</v>
      </c>
      <c r="J24" s="78">
        <v>1.8723106070257953</v>
      </c>
      <c r="K24" s="79">
        <v>1.064250840941855</v>
      </c>
      <c r="L24" s="79"/>
      <c r="M24" s="79"/>
      <c r="N24" s="79">
        <v>0</v>
      </c>
      <c r="O24" s="80">
        <v>0.120165518148</v>
      </c>
      <c r="P24" s="81">
        <v>5.7744122127823161</v>
      </c>
      <c r="Q24" s="79">
        <v>0.22020973990869774</v>
      </c>
      <c r="R24" s="79"/>
      <c r="S24" s="80">
        <v>8.9021321663749989E-3</v>
      </c>
      <c r="T24" s="82">
        <v>0.42778145922032668</v>
      </c>
      <c r="U24" s="78">
        <v>13.498509784193882</v>
      </c>
      <c r="V24" s="102"/>
      <c r="W24" s="102"/>
    </row>
    <row r="25" spans="1:31" s="1" customFormat="1" ht="11.25" customHeight="1" x14ac:dyDescent="0.2">
      <c r="A25" s="201">
        <v>45182</v>
      </c>
      <c r="B25" s="83">
        <v>67</v>
      </c>
      <c r="C25" s="83" t="s">
        <v>141</v>
      </c>
      <c r="D25" s="84">
        <v>1.974</v>
      </c>
      <c r="E25" s="84">
        <v>0.6634766875</v>
      </c>
      <c r="F25" s="84">
        <v>3.9978670158482554</v>
      </c>
      <c r="G25" s="84">
        <v>4.1987814999999999</v>
      </c>
      <c r="H25" s="84">
        <v>-23.040326083892509</v>
      </c>
      <c r="I25" s="101">
        <v>-27.654755899130429</v>
      </c>
      <c r="J25" s="78">
        <v>3.3622631025633476</v>
      </c>
      <c r="K25" s="79">
        <v>2.1270422998986827</v>
      </c>
      <c r="L25" s="79"/>
      <c r="M25" s="79"/>
      <c r="N25" s="79">
        <v>0</v>
      </c>
      <c r="O25" s="80">
        <v>0.22781748662699999</v>
      </c>
      <c r="P25" s="81">
        <v>11.540906110790274</v>
      </c>
      <c r="Q25" s="79">
        <v>0.33610774442755825</v>
      </c>
      <c r="R25" s="79"/>
      <c r="S25" s="80">
        <v>1.3444066047749999E-2</v>
      </c>
      <c r="T25" s="82">
        <v>0.68105704395896649</v>
      </c>
      <c r="U25" s="78">
        <v>16.945579247963273</v>
      </c>
      <c r="V25" s="102"/>
      <c r="W25" s="102"/>
    </row>
    <row r="26" spans="1:31" s="1" customFormat="1" ht="11.25" customHeight="1" x14ac:dyDescent="0.2">
      <c r="A26" s="201">
        <v>45182</v>
      </c>
      <c r="B26" s="83">
        <v>68</v>
      </c>
      <c r="C26" s="83" t="s">
        <v>142</v>
      </c>
      <c r="D26" s="84">
        <v>2.2200000000000002</v>
      </c>
      <c r="E26" s="84">
        <v>0.75954156250000004</v>
      </c>
      <c r="F26" s="84">
        <v>2.8858540737513039</v>
      </c>
      <c r="G26" s="84">
        <v>5.3001915000000004</v>
      </c>
      <c r="H26" s="84">
        <v>-23.020687311898687</v>
      </c>
      <c r="I26" s="101">
        <v>-27.635248706908964</v>
      </c>
      <c r="J26" s="78">
        <v>2.1439417232019284</v>
      </c>
      <c r="K26" s="79">
        <v>2.3874736486486485</v>
      </c>
      <c r="L26" s="79"/>
      <c r="M26" s="79"/>
      <c r="N26" s="79">
        <v>0</v>
      </c>
      <c r="O26" s="80">
        <v>0.28757779040700004</v>
      </c>
      <c r="P26" s="81">
        <v>12.953954522837838</v>
      </c>
      <c r="Q26" s="79">
        <v>0.34213583896396393</v>
      </c>
      <c r="R26" s="79"/>
      <c r="S26" s="80">
        <v>1.557017386125E-2</v>
      </c>
      <c r="T26" s="82">
        <v>0.7013591829391892</v>
      </c>
      <c r="U26" s="78">
        <v>18.469786719768383</v>
      </c>
      <c r="V26" s="102"/>
      <c r="W26" s="102"/>
    </row>
    <row r="27" spans="1:31" s="1" customFormat="1" ht="11.25" customHeight="1" x14ac:dyDescent="0.2">
      <c r="A27" s="201">
        <v>45182</v>
      </c>
      <c r="B27" s="83">
        <v>69</v>
      </c>
      <c r="C27" s="83" t="s">
        <v>143</v>
      </c>
      <c r="D27" s="84">
        <v>1.88</v>
      </c>
      <c r="E27" s="84">
        <v>0.23892284375</v>
      </c>
      <c r="F27" s="84">
        <v>-3.5229712845804562</v>
      </c>
      <c r="G27" s="84">
        <v>1.0373135</v>
      </c>
      <c r="H27" s="84">
        <v>-21.502281687979156</v>
      </c>
      <c r="I27" s="101">
        <v>-26.127016400669692</v>
      </c>
      <c r="J27" s="78">
        <v>-4.8775673393863475</v>
      </c>
      <c r="K27" s="79">
        <v>0.55176250000000004</v>
      </c>
      <c r="L27" s="79"/>
      <c r="M27" s="79"/>
      <c r="N27" s="79">
        <v>0</v>
      </c>
      <c r="O27" s="80">
        <v>5.6282555882999998E-2</v>
      </c>
      <c r="P27" s="81">
        <v>2.9937529725000003</v>
      </c>
      <c r="Q27" s="79">
        <v>0.12708661901595744</v>
      </c>
      <c r="R27" s="79"/>
      <c r="S27" s="80">
        <v>4.047840377875E-3</v>
      </c>
      <c r="T27" s="82">
        <v>0.21531065839760638</v>
      </c>
      <c r="U27" s="78">
        <v>13.90434173013184</v>
      </c>
      <c r="V27" s="102"/>
      <c r="W27" s="102"/>
      <c r="X27" s="1" t="s">
        <v>413</v>
      </c>
    </row>
    <row r="28" spans="1:31" s="1" customFormat="1" ht="11.25" customHeight="1" x14ac:dyDescent="0.2">
      <c r="A28" s="201">
        <v>45182</v>
      </c>
      <c r="B28" s="83">
        <v>70</v>
      </c>
      <c r="C28" s="83" t="s">
        <v>144</v>
      </c>
      <c r="D28" s="84">
        <v>2.0619999999999998</v>
      </c>
      <c r="E28" s="84">
        <v>0.25906507812500001</v>
      </c>
      <c r="F28" s="84">
        <v>-8.3873695282288274E-2</v>
      </c>
      <c r="G28" s="84">
        <v>1.1002503749999999</v>
      </c>
      <c r="H28" s="84">
        <v>-21.19221317810041</v>
      </c>
      <c r="I28" s="101">
        <v>-25.819025349807134</v>
      </c>
      <c r="J28" s="78">
        <v>-1.109692020551275</v>
      </c>
      <c r="K28" s="79">
        <v>0.53358408098933074</v>
      </c>
      <c r="L28" s="79"/>
      <c r="M28" s="79"/>
      <c r="N28" s="79">
        <v>0</v>
      </c>
      <c r="O28" s="80">
        <v>5.9697384846749996E-2</v>
      </c>
      <c r="P28" s="81">
        <v>2.8951205066319106</v>
      </c>
      <c r="Q28" s="79">
        <v>0.12563776824684775</v>
      </c>
      <c r="R28" s="79"/>
      <c r="S28" s="80">
        <v>4.4936283090624999E-3</v>
      </c>
      <c r="T28" s="82">
        <v>0.21792571818925799</v>
      </c>
      <c r="U28" s="78">
        <v>13.284896021852903</v>
      </c>
      <c r="V28" s="102"/>
      <c r="W28" s="102"/>
      <c r="X28" s="1" t="s">
        <v>413</v>
      </c>
    </row>
    <row r="29" spans="1:31" s="1" customFormat="1" ht="11.25" customHeight="1" x14ac:dyDescent="0.2">
      <c r="A29" s="201">
        <v>45182</v>
      </c>
      <c r="B29" s="83">
        <v>71</v>
      </c>
      <c r="C29" s="83" t="s">
        <v>145</v>
      </c>
      <c r="D29" s="84">
        <v>1.8680000000000001</v>
      </c>
      <c r="E29" s="84">
        <v>0.50348215625000003</v>
      </c>
      <c r="F29" s="84">
        <v>2.8518827330701324</v>
      </c>
      <c r="G29" s="84">
        <v>3.0902335000000001</v>
      </c>
      <c r="H29" s="84">
        <v>-22.149725515115115</v>
      </c>
      <c r="I29" s="101">
        <v>-26.770122354163842</v>
      </c>
      <c r="J29" s="78">
        <v>2.1067227223516367</v>
      </c>
      <c r="K29" s="79">
        <v>1.6543005888650963</v>
      </c>
      <c r="L29" s="79"/>
      <c r="M29" s="79"/>
      <c r="N29" s="79">
        <v>0</v>
      </c>
      <c r="O29" s="80">
        <v>0.167669889243</v>
      </c>
      <c r="P29" s="81">
        <v>8.9759041350642388</v>
      </c>
      <c r="Q29" s="79">
        <v>0.26953006223233406</v>
      </c>
      <c r="R29" s="79"/>
      <c r="S29" s="80">
        <v>9.903067082125001E-3</v>
      </c>
      <c r="T29" s="82">
        <v>0.53014277741568527</v>
      </c>
      <c r="U29" s="78">
        <v>16.931107085565795</v>
      </c>
      <c r="V29" s="102"/>
      <c r="W29" s="102"/>
    </row>
    <row r="30" spans="1:31" s="1" customFormat="1" ht="11.25" customHeight="1" x14ac:dyDescent="0.2">
      <c r="A30" s="201">
        <v>45182</v>
      </c>
      <c r="B30" s="83">
        <v>72</v>
      </c>
      <c r="C30" s="83" t="s">
        <v>146</v>
      </c>
      <c r="D30" s="84">
        <v>1.9359999999999999</v>
      </c>
      <c r="E30" s="84">
        <v>0.21941684375000001</v>
      </c>
      <c r="F30" s="84">
        <v>-3.0869955589906128</v>
      </c>
      <c r="G30" s="84">
        <v>0.68092249999999999</v>
      </c>
      <c r="H30" s="84">
        <v>-21.576453736707283</v>
      </c>
      <c r="I30" s="101">
        <v>-26.200691496671343</v>
      </c>
      <c r="J30" s="78">
        <v>-4.3999123344301152</v>
      </c>
      <c r="K30" s="79">
        <v>0.35171616735537192</v>
      </c>
      <c r="L30" s="79"/>
      <c r="M30" s="79"/>
      <c r="N30" s="79">
        <v>0</v>
      </c>
      <c r="O30" s="80">
        <v>3.6945493004999996E-2</v>
      </c>
      <c r="P30" s="81">
        <v>1.9083415808367767</v>
      </c>
      <c r="Q30" s="79">
        <v>0.11333514656508265</v>
      </c>
      <c r="R30" s="79"/>
      <c r="S30" s="80">
        <v>3.6161335858750001E-3</v>
      </c>
      <c r="T30" s="82">
        <v>0.18678375960098142</v>
      </c>
      <c r="U30" s="78">
        <v>10.216849606804626</v>
      </c>
      <c r="V30" s="102"/>
      <c r="W30" s="102"/>
      <c r="X30" s="1" t="s">
        <v>413</v>
      </c>
    </row>
    <row r="31" spans="1:31" s="1" customFormat="1" ht="11.25" customHeight="1" x14ac:dyDescent="0.2">
      <c r="B31" s="110"/>
      <c r="C31" s="110"/>
      <c r="D31" s="85"/>
      <c r="E31" s="85"/>
      <c r="F31" s="85"/>
      <c r="K31" s="5"/>
      <c r="L31" s="5"/>
      <c r="M31" s="5"/>
    </row>
    <row r="32" spans="1:31" s="90" customFormat="1" ht="11.25" customHeight="1" x14ac:dyDescent="0.25">
      <c r="B32" s="90" t="s">
        <v>712</v>
      </c>
      <c r="I32" s="100">
        <v>0.26658754901155785</v>
      </c>
      <c r="J32" s="100">
        <v>0.83181410797573974</v>
      </c>
      <c r="K32" s="87"/>
      <c r="N32" s="87"/>
      <c r="O32" s="88"/>
      <c r="P32" s="100">
        <v>0.51038584171488766</v>
      </c>
      <c r="Q32" s="87"/>
      <c r="R32" s="87"/>
      <c r="S32" s="88"/>
      <c r="T32" s="100">
        <v>0.20526646378642222</v>
      </c>
      <c r="U32" s="100">
        <v>0.78243881487307876</v>
      </c>
      <c r="V32" s="208"/>
      <c r="W32" s="208"/>
      <c r="Y32" s="209"/>
      <c r="Z32" s="209"/>
      <c r="AA32" s="209"/>
      <c r="AB32" s="209"/>
      <c r="AC32" s="209"/>
      <c r="AD32" s="209"/>
      <c r="AE32" s="209"/>
    </row>
    <row r="33" spans="1:24" s="207" customFormat="1" x14ac:dyDescent="0.25"/>
    <row r="34" spans="1:24" s="1" customFormat="1" ht="11.25" customHeight="1" x14ac:dyDescent="0.2">
      <c r="A34" s="201">
        <v>45184</v>
      </c>
      <c r="B34" s="75"/>
      <c r="C34" s="75" t="s">
        <v>40</v>
      </c>
      <c r="D34" s="75" t="s">
        <v>54</v>
      </c>
      <c r="E34" s="75" t="s">
        <v>80</v>
      </c>
      <c r="F34" s="75" t="s">
        <v>41</v>
      </c>
      <c r="G34" s="75" t="s">
        <v>81</v>
      </c>
      <c r="H34" s="99" t="s">
        <v>42</v>
      </c>
      <c r="I34" s="76" t="s">
        <v>715</v>
      </c>
      <c r="J34" s="77" t="s">
        <v>714</v>
      </c>
      <c r="K34" s="77" t="s">
        <v>45</v>
      </c>
      <c r="L34" s="77" t="s">
        <v>46</v>
      </c>
      <c r="M34" s="77" t="s">
        <v>47</v>
      </c>
      <c r="N34" s="178" t="s">
        <v>38</v>
      </c>
      <c r="O34" s="77" t="s">
        <v>38</v>
      </c>
      <c r="P34" s="77" t="s">
        <v>48</v>
      </c>
      <c r="Q34" s="77" t="s">
        <v>49</v>
      </c>
      <c r="R34" s="77" t="s">
        <v>39</v>
      </c>
      <c r="S34" s="77" t="s">
        <v>39</v>
      </c>
      <c r="T34" s="77" t="s">
        <v>50</v>
      </c>
      <c r="U34" s="77" t="s">
        <v>51</v>
      </c>
      <c r="V34" s="202" t="s">
        <v>585</v>
      </c>
      <c r="W34" s="202" t="s">
        <v>586</v>
      </c>
    </row>
    <row r="35" spans="1:24" s="1" customFormat="1" ht="11.25" customHeight="1" x14ac:dyDescent="0.2">
      <c r="A35" s="201">
        <v>45184</v>
      </c>
      <c r="B35" s="83">
        <v>41</v>
      </c>
      <c r="C35" s="83" t="s">
        <v>194</v>
      </c>
      <c r="D35" s="84">
        <v>1.8939999999999999</v>
      </c>
      <c r="E35" s="112">
        <v>0.66566268750000002</v>
      </c>
      <c r="F35" s="84">
        <v>-3.5834988086467234</v>
      </c>
      <c r="G35" s="84">
        <v>0.53689018749999995</v>
      </c>
      <c r="H35" s="84">
        <v>-21.638013314740963</v>
      </c>
      <c r="I35" s="101">
        <v>-26.205044546696342</v>
      </c>
      <c r="J35" s="78">
        <v>-4.5121181791834601</v>
      </c>
      <c r="K35" s="79">
        <v>0.28346894799366418</v>
      </c>
      <c r="L35" s="79"/>
      <c r="M35" s="79"/>
      <c r="N35" s="79">
        <v>0</v>
      </c>
      <c r="O35" s="180">
        <v>2.7958019623874997E-2</v>
      </c>
      <c r="P35" s="81">
        <v>1.4761361997822069</v>
      </c>
      <c r="Q35" s="79">
        <v>0.35145865232312568</v>
      </c>
      <c r="R35" s="79"/>
      <c r="S35" s="180">
        <v>2.1961429373375002E-2</v>
      </c>
      <c r="T35" s="169">
        <v>1.1595263660704858</v>
      </c>
      <c r="U35" s="78">
        <v>1.2730509999394657</v>
      </c>
      <c r="V35" s="102"/>
      <c r="W35" s="102"/>
      <c r="X35" s="1" t="s">
        <v>412</v>
      </c>
    </row>
    <row r="36" spans="1:24" s="1" customFormat="1" ht="11.25" customHeight="1" x14ac:dyDescent="0.2">
      <c r="A36" s="201">
        <v>45184</v>
      </c>
      <c r="B36" s="83">
        <v>42</v>
      </c>
      <c r="C36" s="83" t="s">
        <v>195</v>
      </c>
      <c r="D36" s="84">
        <v>2.294</v>
      </c>
      <c r="E36" s="112">
        <v>0.70619362500000005</v>
      </c>
      <c r="F36" s="84">
        <v>-3.1210419015542668</v>
      </c>
      <c r="G36" s="84">
        <v>1.352713625</v>
      </c>
      <c r="H36" s="84">
        <v>-21.086905832925495</v>
      </c>
      <c r="I36" s="101">
        <v>-25.652614406924517</v>
      </c>
      <c r="J36" s="78">
        <v>-4.0188153963879358</v>
      </c>
      <c r="K36" s="79">
        <v>0.58967464036617268</v>
      </c>
      <c r="L36" s="79"/>
      <c r="M36" s="79"/>
      <c r="N36" s="79">
        <v>0</v>
      </c>
      <c r="O36" s="180">
        <v>7.044120930825E-2</v>
      </c>
      <c r="P36" s="81">
        <v>3.0706717222428073</v>
      </c>
      <c r="Q36" s="79">
        <v>0.30784377724498696</v>
      </c>
      <c r="R36" s="79"/>
      <c r="S36" s="180">
        <v>2.3787672355250006E-2</v>
      </c>
      <c r="T36" s="169">
        <v>1.0369517155732346</v>
      </c>
      <c r="U36" s="78">
        <v>2.9612485095753147</v>
      </c>
      <c r="V36" s="102"/>
      <c r="W36" s="102"/>
      <c r="X36" s="1" t="s">
        <v>412</v>
      </c>
    </row>
    <row r="37" spans="1:24" s="1" customFormat="1" ht="11.25" customHeight="1" x14ac:dyDescent="0.2">
      <c r="A37" s="201">
        <v>45184</v>
      </c>
      <c r="B37" s="83">
        <v>43</v>
      </c>
      <c r="C37" s="83" t="s">
        <v>196</v>
      </c>
      <c r="D37" s="84">
        <v>2.2850000000000001</v>
      </c>
      <c r="E37" s="112">
        <v>0.73111543749999996</v>
      </c>
      <c r="F37" s="84">
        <v>-3.837568339151165</v>
      </c>
      <c r="G37" s="84">
        <v>1.527724375</v>
      </c>
      <c r="H37" s="84">
        <v>-21.567204446304235</v>
      </c>
      <c r="I37" s="101">
        <v>-26.134065736975366</v>
      </c>
      <c r="J37" s="78">
        <v>-4.7831341473725484</v>
      </c>
      <c r="K37" s="79">
        <v>0.66858834792122535</v>
      </c>
      <c r="L37" s="79"/>
      <c r="M37" s="79"/>
      <c r="N37" s="79">
        <v>0</v>
      </c>
      <c r="O37" s="180">
        <v>7.9554719103750005E-2</v>
      </c>
      <c r="P37" s="81">
        <v>3.4816069629649893</v>
      </c>
      <c r="Q37" s="79">
        <v>0.31996299234135661</v>
      </c>
      <c r="R37" s="79"/>
      <c r="S37" s="180">
        <v>2.4910599382875001E-2</v>
      </c>
      <c r="T37" s="169">
        <v>1.0901794040645514</v>
      </c>
      <c r="U37" s="78">
        <v>3.1936091894457008</v>
      </c>
      <c r="V37" s="102"/>
      <c r="W37" s="102"/>
      <c r="X37" s="1" t="s">
        <v>412</v>
      </c>
    </row>
    <row r="38" spans="1:24" s="1" customFormat="1" ht="11.25" customHeight="1" x14ac:dyDescent="0.2">
      <c r="A38" s="201">
        <v>45184</v>
      </c>
      <c r="B38" s="83">
        <v>44</v>
      </c>
      <c r="C38" s="83" t="s">
        <v>197</v>
      </c>
      <c r="D38" s="84">
        <v>2.0830000000000002</v>
      </c>
      <c r="E38" s="112">
        <v>0.79275649999999998</v>
      </c>
      <c r="F38" s="84">
        <v>-3.1990043883496355</v>
      </c>
      <c r="G38" s="84">
        <v>1.6669447500000001</v>
      </c>
      <c r="H38" s="84">
        <v>-21.11661144447616</v>
      </c>
      <c r="I38" s="101">
        <v>-25.682391311942901</v>
      </c>
      <c r="J38" s="78">
        <v>-4.1019779810525563</v>
      </c>
      <c r="K38" s="79">
        <v>0.80026152184349497</v>
      </c>
      <c r="L38" s="79"/>
      <c r="M38" s="79"/>
      <c r="N38" s="79">
        <v>0</v>
      </c>
      <c r="O38" s="180">
        <v>8.6804480911500004E-2</v>
      </c>
      <c r="P38" s="81">
        <v>4.1672818488478152</v>
      </c>
      <c r="Q38" s="79">
        <v>0.3805840134421507</v>
      </c>
      <c r="R38" s="79"/>
      <c r="S38" s="180">
        <v>2.7688022377E-2</v>
      </c>
      <c r="T38" s="169">
        <v>1.3292377521363417</v>
      </c>
      <c r="U38" s="78">
        <v>3.1350914026856285</v>
      </c>
      <c r="V38" s="102"/>
      <c r="W38" s="102"/>
      <c r="X38" s="1" t="s">
        <v>412</v>
      </c>
    </row>
    <row r="39" spans="1:24" s="1" customFormat="1" ht="11.25" customHeight="1" x14ac:dyDescent="0.2">
      <c r="A39" s="201">
        <v>45184</v>
      </c>
      <c r="B39" s="83">
        <v>45</v>
      </c>
      <c r="C39" s="83" t="s">
        <v>198</v>
      </c>
      <c r="D39" s="84">
        <v>1.94</v>
      </c>
      <c r="E39" s="112">
        <v>0.697566625</v>
      </c>
      <c r="F39" s="84">
        <v>-3.4655747628029587</v>
      </c>
      <c r="G39" s="84">
        <v>0.53182106250000005</v>
      </c>
      <c r="H39" s="84">
        <v>-21.329993122524034</v>
      </c>
      <c r="I39" s="101">
        <v>-25.896285106018091</v>
      </c>
      <c r="J39" s="78">
        <v>-4.3863285994819154</v>
      </c>
      <c r="K39" s="79">
        <v>0.27413456829896909</v>
      </c>
      <c r="L39" s="79"/>
      <c r="M39" s="79"/>
      <c r="N39" s="79">
        <v>0</v>
      </c>
      <c r="O39" s="180">
        <v>2.7694050008625005E-2</v>
      </c>
      <c r="P39" s="81">
        <v>1.4275283509600518</v>
      </c>
      <c r="Q39" s="79">
        <v>0.35957042525773197</v>
      </c>
      <c r="R39" s="79"/>
      <c r="S39" s="180">
        <v>2.339895698925E-2</v>
      </c>
      <c r="T39" s="169">
        <v>1.2061318035695876</v>
      </c>
      <c r="U39" s="78">
        <v>1.1835591655366633</v>
      </c>
      <c r="V39" s="102"/>
      <c r="W39" s="102"/>
      <c r="X39" s="1" t="s">
        <v>412</v>
      </c>
    </row>
    <row r="40" spans="1:24" s="1" customFormat="1" ht="11.25" customHeight="1" x14ac:dyDescent="0.2">
      <c r="A40" s="201">
        <v>45184</v>
      </c>
      <c r="B40" s="83">
        <v>46</v>
      </c>
      <c r="C40" s="83" t="s">
        <v>199</v>
      </c>
      <c r="D40" s="84">
        <v>1.1319999999999999</v>
      </c>
      <c r="E40" s="84">
        <v>0.22210984375000001</v>
      </c>
      <c r="F40" s="84">
        <v>0.68870545020915941</v>
      </c>
      <c r="G40" s="84">
        <v>0.62002175000000004</v>
      </c>
      <c r="H40" s="84">
        <v>-21.419277830422971</v>
      </c>
      <c r="I40" s="101">
        <v>-25.985784097215983</v>
      </c>
      <c r="J40" s="78">
        <v>4.5042103738110351E-2</v>
      </c>
      <c r="K40" s="79">
        <v>0.54772239399293299</v>
      </c>
      <c r="L40" s="79"/>
      <c r="M40" s="79"/>
      <c r="N40" s="79">
        <v>0</v>
      </c>
      <c r="O40" s="180">
        <v>3.2287012609500003E-2</v>
      </c>
      <c r="P40" s="81">
        <v>2.8522095944787993</v>
      </c>
      <c r="Q40" s="79">
        <v>0.19621010931978802</v>
      </c>
      <c r="R40" s="79"/>
      <c r="S40" s="180">
        <v>1.9758253396875008E-3</v>
      </c>
      <c r="T40" s="82">
        <v>0.17454287453069797</v>
      </c>
      <c r="U40" s="78">
        <v>16.341025677202094</v>
      </c>
      <c r="V40" s="102"/>
      <c r="W40" s="102"/>
      <c r="X40" s="1" t="s">
        <v>413</v>
      </c>
    </row>
    <row r="41" spans="1:24" s="1" customFormat="1" ht="11.25" customHeight="1" x14ac:dyDescent="0.2">
      <c r="A41" s="201">
        <v>45184</v>
      </c>
      <c r="B41" s="83">
        <v>47</v>
      </c>
      <c r="C41" s="83" t="s">
        <v>200</v>
      </c>
      <c r="D41" s="84">
        <v>1.8280000000000001</v>
      </c>
      <c r="E41" s="84">
        <v>0.20622096875000001</v>
      </c>
      <c r="F41" s="84">
        <v>-3.1184502885163168</v>
      </c>
      <c r="G41" s="84">
        <v>0.5286070625</v>
      </c>
      <c r="H41" s="84">
        <v>-21.138414564296991</v>
      </c>
      <c r="I41" s="101">
        <v>-25.704246759251301</v>
      </c>
      <c r="J41" s="78">
        <v>-4.0160509227603551</v>
      </c>
      <c r="K41" s="79">
        <v>0.28917235366520788</v>
      </c>
      <c r="L41" s="79"/>
      <c r="M41" s="79"/>
      <c r="N41" s="79">
        <v>0</v>
      </c>
      <c r="O41" s="180">
        <v>2.7526684172625E-2</v>
      </c>
      <c r="P41" s="81">
        <v>1.5058361144762036</v>
      </c>
      <c r="Q41" s="79">
        <v>0.11281234614332604</v>
      </c>
      <c r="R41" s="79"/>
      <c r="S41" s="180">
        <v>1.2599044099375015E-3</v>
      </c>
      <c r="T41" s="82">
        <v>6.8922560718681705E-2</v>
      </c>
      <c r="U41" s="78">
        <v>21.848232259136612</v>
      </c>
      <c r="V41" s="102"/>
      <c r="W41" s="102"/>
      <c r="X41" s="1" t="s">
        <v>413</v>
      </c>
    </row>
    <row r="42" spans="1:24" s="1" customFormat="1" ht="11.25" customHeight="1" x14ac:dyDescent="0.2">
      <c r="A42" s="201">
        <v>45184</v>
      </c>
      <c r="B42" s="83">
        <v>48</v>
      </c>
      <c r="C42" s="83" t="s">
        <v>201</v>
      </c>
      <c r="D42" s="84">
        <v>2.1509999999999998</v>
      </c>
      <c r="E42" s="84">
        <v>0.21241165625</v>
      </c>
      <c r="F42" s="84">
        <v>-4.2560930652938422</v>
      </c>
      <c r="G42" s="84">
        <v>0.6073809375</v>
      </c>
      <c r="H42" s="84">
        <v>-21.594368167983966</v>
      </c>
      <c r="I42" s="101">
        <v>-26.161294651587127</v>
      </c>
      <c r="J42" s="78">
        <v>-5.2295744727489417</v>
      </c>
      <c r="K42" s="79">
        <v>0.28237142608089261</v>
      </c>
      <c r="L42" s="79"/>
      <c r="M42" s="79"/>
      <c r="N42" s="79">
        <v>0</v>
      </c>
      <c r="O42" s="180">
        <v>3.1628754939375003E-2</v>
      </c>
      <c r="P42" s="81">
        <v>1.4704209641736405</v>
      </c>
      <c r="Q42" s="79">
        <v>9.8750188865643893E-2</v>
      </c>
      <c r="R42" s="79"/>
      <c r="S42" s="180">
        <v>1.5388444073125007E-3</v>
      </c>
      <c r="T42" s="82">
        <v>7.154088365004653E-2</v>
      </c>
      <c r="U42" s="78">
        <v>20.553575650063753</v>
      </c>
      <c r="V42" s="102"/>
      <c r="W42" s="102"/>
      <c r="X42" s="1" t="s">
        <v>413</v>
      </c>
    </row>
    <row r="43" spans="1:24" s="1" customFormat="1" ht="11.25" customHeight="1" x14ac:dyDescent="0.2">
      <c r="A43" s="201">
        <v>45184</v>
      </c>
      <c r="B43" s="83">
        <v>49</v>
      </c>
      <c r="C43" s="83" t="s">
        <v>202</v>
      </c>
      <c r="D43" s="84">
        <v>2.0960000000000001</v>
      </c>
      <c r="E43" s="84">
        <v>0.29852506249999999</v>
      </c>
      <c r="F43" s="84">
        <v>-1.7447495026079451</v>
      </c>
      <c r="G43" s="84">
        <v>1.538144875</v>
      </c>
      <c r="H43" s="84">
        <v>-21.20784138950853</v>
      </c>
      <c r="I43" s="101">
        <v>-25.77384020884335</v>
      </c>
      <c r="J43" s="78">
        <v>-2.5507242944318951</v>
      </c>
      <c r="K43" s="79">
        <v>0.73384774570610678</v>
      </c>
      <c r="L43" s="79"/>
      <c r="M43" s="79"/>
      <c r="N43" s="79">
        <v>0</v>
      </c>
      <c r="O43" s="180">
        <v>8.0097356220749996E-2</v>
      </c>
      <c r="P43" s="81">
        <v>3.8214387509899805</v>
      </c>
      <c r="Q43" s="79">
        <v>0.1424260794370229</v>
      </c>
      <c r="R43" s="79"/>
      <c r="S43" s="180">
        <v>5.418942266125E-3</v>
      </c>
      <c r="T43" s="82">
        <v>0.25853732185710876</v>
      </c>
      <c r="U43" s="78">
        <v>14.780994571847755</v>
      </c>
      <c r="V43" s="102"/>
      <c r="W43" s="102"/>
      <c r="X43" s="1" t="s">
        <v>413</v>
      </c>
    </row>
    <row r="44" spans="1:24" s="1" customFormat="1" ht="11.25" customHeight="1" x14ac:dyDescent="0.2">
      <c r="A44" s="201">
        <v>45184</v>
      </c>
      <c r="B44" s="83">
        <v>50</v>
      </c>
      <c r="C44" s="83" t="s">
        <v>203</v>
      </c>
      <c r="D44" s="84">
        <v>2.1139999999999999</v>
      </c>
      <c r="E44" s="84">
        <v>0.25184037500000001</v>
      </c>
      <c r="F44" s="84">
        <v>-2.9486848037570956</v>
      </c>
      <c r="G44" s="84">
        <v>1.066813</v>
      </c>
      <c r="H44" s="84">
        <v>-21.100272061603153</v>
      </c>
      <c r="I44" s="101">
        <v>-25.666012714551002</v>
      </c>
      <c r="J44" s="78">
        <v>-3.8349620801676938</v>
      </c>
      <c r="K44" s="79">
        <v>0.50464191106906342</v>
      </c>
      <c r="L44" s="79"/>
      <c r="M44" s="79"/>
      <c r="N44" s="79">
        <v>0</v>
      </c>
      <c r="O44" s="180">
        <v>5.5553220162000004E-2</v>
      </c>
      <c r="P44" s="81">
        <v>2.6278722877010408</v>
      </c>
      <c r="Q44" s="79">
        <v>0.1191297894985809</v>
      </c>
      <c r="R44" s="79"/>
      <c r="S44" s="180">
        <v>3.3154236167500014E-3</v>
      </c>
      <c r="T44" s="82">
        <v>0.15683176995033121</v>
      </c>
      <c r="U44" s="78">
        <v>16.755994582815021</v>
      </c>
      <c r="V44" s="102"/>
      <c r="W44" s="102"/>
      <c r="X44" s="1" t="s">
        <v>413</v>
      </c>
    </row>
    <row r="45" spans="1:24" s="1" customFormat="1" ht="11.25" customHeight="1" x14ac:dyDescent="0.2">
      <c r="A45" s="201">
        <v>45184</v>
      </c>
      <c r="B45" s="83">
        <v>53</v>
      </c>
      <c r="C45" s="83" t="s">
        <v>204</v>
      </c>
      <c r="D45" s="84">
        <v>2.0219999999999998</v>
      </c>
      <c r="E45" s="84">
        <v>0.26362621874999997</v>
      </c>
      <c r="F45" s="84">
        <v>-4.4229846057763922</v>
      </c>
      <c r="G45" s="84">
        <v>1.117493125</v>
      </c>
      <c r="H45" s="84">
        <v>-20.97274568140347</v>
      </c>
      <c r="I45" s="101">
        <v>-25.538180271038836</v>
      </c>
      <c r="J45" s="78">
        <v>-5.4075976789816771</v>
      </c>
      <c r="K45" s="79">
        <v>0.55266722304648863</v>
      </c>
      <c r="L45" s="79"/>
      <c r="M45" s="79"/>
      <c r="N45" s="79">
        <v>0</v>
      </c>
      <c r="O45" s="180">
        <v>5.8192336991250003E-2</v>
      </c>
      <c r="P45" s="81">
        <v>2.8779592972922852</v>
      </c>
      <c r="Q45" s="79">
        <v>0.13037894102373887</v>
      </c>
      <c r="R45" s="79"/>
      <c r="S45" s="180">
        <v>3.8464701644374995E-3</v>
      </c>
      <c r="T45" s="82">
        <v>0.19023096757851138</v>
      </c>
      <c r="U45" s="78">
        <v>15.128763386563259</v>
      </c>
      <c r="V45" s="102"/>
      <c r="W45" s="102"/>
      <c r="X45" s="1" t="s">
        <v>413</v>
      </c>
    </row>
    <row r="46" spans="1:24" s="1" customFormat="1" ht="11.25" customHeight="1" x14ac:dyDescent="0.2">
      <c r="A46" s="201">
        <v>45184</v>
      </c>
      <c r="B46" s="83">
        <v>54</v>
      </c>
      <c r="C46" s="83" t="s">
        <v>205</v>
      </c>
      <c r="D46" s="84">
        <v>1.9930000000000001</v>
      </c>
      <c r="E46" s="84">
        <v>0.219523515625</v>
      </c>
      <c r="F46" s="84">
        <v>-4.3906063057765898</v>
      </c>
      <c r="G46" s="84">
        <v>0.55511487500000001</v>
      </c>
      <c r="H46" s="84">
        <v>-20.926758338686238</v>
      </c>
      <c r="I46" s="101">
        <v>-25.492082558699085</v>
      </c>
      <c r="J46" s="78">
        <v>-5.3730597463718883</v>
      </c>
      <c r="K46" s="79">
        <v>0.27853230055193173</v>
      </c>
      <c r="L46" s="79"/>
      <c r="M46" s="79"/>
      <c r="N46" s="79">
        <v>0</v>
      </c>
      <c r="O46" s="180">
        <v>2.8907052000750003E-2</v>
      </c>
      <c r="P46" s="81">
        <v>1.4504291018941295</v>
      </c>
      <c r="Q46" s="79">
        <v>0.11014727326894129</v>
      </c>
      <c r="R46" s="79"/>
      <c r="S46" s="180">
        <v>1.8592905670312514E-3</v>
      </c>
      <c r="T46" s="82">
        <v>9.3291047016118983E-2</v>
      </c>
      <c r="U46" s="78">
        <v>15.547355810504753</v>
      </c>
      <c r="V46" s="102"/>
      <c r="W46" s="102"/>
      <c r="X46" s="1" t="s">
        <v>413</v>
      </c>
    </row>
    <row r="47" spans="1:24" s="1" customFormat="1" ht="11.25" customHeight="1" x14ac:dyDescent="0.2">
      <c r="A47" s="201">
        <v>45184</v>
      </c>
      <c r="B47" s="83">
        <v>55</v>
      </c>
      <c r="C47" s="83" t="s">
        <v>206</v>
      </c>
      <c r="D47" s="84">
        <v>1.964</v>
      </c>
      <c r="E47" s="84">
        <v>0.22345723437500001</v>
      </c>
      <c r="F47" s="84">
        <v>-6.8119745943507892</v>
      </c>
      <c r="G47" s="84">
        <v>0.7683065</v>
      </c>
      <c r="H47" s="84">
        <v>-20.80484083895454</v>
      </c>
      <c r="I47" s="101">
        <v>-25.369872456968029</v>
      </c>
      <c r="J47" s="78">
        <v>-7.9559332997939869</v>
      </c>
      <c r="K47" s="79">
        <v>0.39119475560081468</v>
      </c>
      <c r="L47" s="79"/>
      <c r="M47" s="79"/>
      <c r="N47" s="79">
        <v>0</v>
      </c>
      <c r="O47" s="180">
        <v>4.0008792681000001E-2</v>
      </c>
      <c r="P47" s="81">
        <v>2.0371075703156825</v>
      </c>
      <c r="Q47" s="79">
        <v>0.11377659591395113</v>
      </c>
      <c r="R47" s="79"/>
      <c r="S47" s="180">
        <v>2.0365360664687509E-3</v>
      </c>
      <c r="T47" s="82">
        <v>0.10369328240675921</v>
      </c>
      <c r="U47" s="78">
        <v>19.6455114838075</v>
      </c>
      <c r="V47" s="102"/>
      <c r="W47" s="102"/>
      <c r="X47" s="1" t="s">
        <v>413</v>
      </c>
    </row>
    <row r="48" spans="1:24" s="1" customFormat="1" ht="11.25" customHeight="1" x14ac:dyDescent="0.2">
      <c r="A48" s="201">
        <v>45184</v>
      </c>
      <c r="B48" s="83">
        <v>56</v>
      </c>
      <c r="C48" s="83" t="s">
        <v>207</v>
      </c>
      <c r="D48" s="84">
        <v>1.88</v>
      </c>
      <c r="E48" s="84">
        <v>0.249194921875</v>
      </c>
      <c r="F48" s="84">
        <v>-1.9679980484539339</v>
      </c>
      <c r="G48" s="84">
        <v>0.87930249999999999</v>
      </c>
      <c r="H48" s="84">
        <v>-20.5947789510837</v>
      </c>
      <c r="I48" s="101">
        <v>-25.159306420566299</v>
      </c>
      <c r="J48" s="78">
        <v>-2.7888635182858112</v>
      </c>
      <c r="K48" s="79">
        <v>0.46771409574468087</v>
      </c>
      <c r="L48" s="79"/>
      <c r="M48" s="79"/>
      <c r="N48" s="79">
        <v>0</v>
      </c>
      <c r="O48" s="180">
        <v>4.5788798385000003E-2</v>
      </c>
      <c r="P48" s="81">
        <v>2.4355743821808513</v>
      </c>
      <c r="Q48" s="79">
        <v>0.13255049035904257</v>
      </c>
      <c r="R48" s="79"/>
      <c r="S48" s="180">
        <v>3.1962247898437504E-3</v>
      </c>
      <c r="T48" s="82">
        <v>0.17001195690658247</v>
      </c>
      <c r="U48" s="78">
        <v>14.325900521921181</v>
      </c>
      <c r="V48" s="102"/>
      <c r="W48" s="102"/>
      <c r="X48" s="1" t="s">
        <v>413</v>
      </c>
    </row>
    <row r="49" spans="1:28" s="1" customFormat="1" ht="11.25" customHeight="1" x14ac:dyDescent="0.2">
      <c r="A49" s="201">
        <v>45184</v>
      </c>
      <c r="B49" s="83">
        <v>57</v>
      </c>
      <c r="C49" s="83" t="s">
        <v>208</v>
      </c>
      <c r="D49" s="84">
        <v>2.3879999999999999</v>
      </c>
      <c r="E49" s="84">
        <v>0.26727537499999998</v>
      </c>
      <c r="F49" s="84">
        <v>-4.5392323100563736</v>
      </c>
      <c r="G49" s="84">
        <v>1.2925195</v>
      </c>
      <c r="H49" s="84">
        <v>-20.834408835470914</v>
      </c>
      <c r="I49" s="101">
        <v>-25.399511416676042</v>
      </c>
      <c r="J49" s="78">
        <v>-5.5315991051371345</v>
      </c>
      <c r="K49" s="79">
        <v>0.54125607202680071</v>
      </c>
      <c r="L49" s="79"/>
      <c r="M49" s="79"/>
      <c r="N49" s="79">
        <v>0</v>
      </c>
      <c r="O49" s="180">
        <v>6.7306660443000002E-2</v>
      </c>
      <c r="P49" s="81">
        <v>2.818536869472362</v>
      </c>
      <c r="Q49" s="79">
        <v>0.11192436139028475</v>
      </c>
      <c r="R49" s="79"/>
      <c r="S49" s="180">
        <v>4.0108938467499997E-3</v>
      </c>
      <c r="T49" s="82">
        <v>0.16796037884212731</v>
      </c>
      <c r="U49" s="78">
        <v>16.780962801480808</v>
      </c>
      <c r="V49" s="102"/>
      <c r="W49" s="102"/>
      <c r="X49" s="1" t="s">
        <v>413</v>
      </c>
    </row>
    <row r="50" spans="1:28" s="1" customFormat="1" ht="11.25" customHeight="1" x14ac:dyDescent="0.2">
      <c r="A50" s="201">
        <v>45184</v>
      </c>
      <c r="B50" s="83">
        <v>58</v>
      </c>
      <c r="C50" s="83" t="s">
        <v>209</v>
      </c>
      <c r="D50" s="84">
        <v>1.8680000000000001</v>
      </c>
      <c r="E50" s="84">
        <v>0.1781926875</v>
      </c>
      <c r="F50" s="84">
        <v>-0.81283688581557101</v>
      </c>
      <c r="G50" s="84">
        <v>0.70483262499999999</v>
      </c>
      <c r="H50" s="84">
        <v>-20.751400572029603</v>
      </c>
      <c r="I50" s="101">
        <v>-25.316303933402473</v>
      </c>
      <c r="J50" s="78">
        <v>-1.5566531060994695</v>
      </c>
      <c r="K50" s="79">
        <v>0.37731939239828693</v>
      </c>
      <c r="L50" s="79"/>
      <c r="M50" s="79"/>
      <c r="N50" s="79">
        <v>0</v>
      </c>
      <c r="O50" s="180">
        <v>3.6703454114250002E-2</v>
      </c>
      <c r="P50" s="81">
        <v>1.9648530039748393</v>
      </c>
      <c r="Q50" s="79">
        <v>9.5392230995717336E-2</v>
      </c>
      <c r="R50" s="79"/>
      <c r="S50" s="180">
        <v>-2.9938866249988594E-6</v>
      </c>
      <c r="T50" s="82">
        <v>-1.6027230326546356E-4</v>
      </c>
      <c r="U50" s="78">
        <v>-12259.466944331596</v>
      </c>
      <c r="V50" s="102"/>
      <c r="W50" s="102"/>
      <c r="X50" s="1" t="s">
        <v>413</v>
      </c>
    </row>
    <row r="51" spans="1:28" s="1" customFormat="1" ht="11.25" customHeight="1" x14ac:dyDescent="0.2">
      <c r="A51" s="201">
        <v>45184</v>
      </c>
      <c r="B51" s="83">
        <v>59</v>
      </c>
      <c r="C51" s="83" t="s">
        <v>210</v>
      </c>
      <c r="D51" s="84">
        <v>1.9930000000000001</v>
      </c>
      <c r="E51" s="84">
        <v>0.18254496875000001</v>
      </c>
      <c r="F51" s="84">
        <v>-0.76432245657420683</v>
      </c>
      <c r="G51" s="84">
        <v>1.503695</v>
      </c>
      <c r="H51" s="84">
        <v>-20.526916733512241</v>
      </c>
      <c r="I51" s="101">
        <v>-25.091281333672669</v>
      </c>
      <c r="J51" s="78">
        <v>-1.5049027644277064</v>
      </c>
      <c r="K51" s="79">
        <v>0.75448820873055689</v>
      </c>
      <c r="L51" s="79"/>
      <c r="M51" s="79"/>
      <c r="N51" s="79">
        <v>0</v>
      </c>
      <c r="O51" s="180">
        <v>7.830341343000001E-2</v>
      </c>
      <c r="P51" s="81">
        <v>3.9289218981435026</v>
      </c>
      <c r="Q51" s="79">
        <v>9.159306008529855E-2</v>
      </c>
      <c r="R51" s="79"/>
      <c r="S51" s="180">
        <v>1.9311120193750073E-4</v>
      </c>
      <c r="T51" s="82">
        <v>9.6894732532614505E-3</v>
      </c>
      <c r="U51" s="78">
        <v>405.48353821205274</v>
      </c>
      <c r="V51" s="102"/>
      <c r="W51" s="102"/>
      <c r="X51" s="1" t="s">
        <v>413</v>
      </c>
    </row>
    <row r="52" spans="1:28" s="1" customFormat="1" ht="11.25" customHeight="1" x14ac:dyDescent="0.2">
      <c r="A52" s="201">
        <v>45184</v>
      </c>
      <c r="B52" s="83">
        <v>60</v>
      </c>
      <c r="C52" s="83" t="s">
        <v>211</v>
      </c>
      <c r="D52" s="84">
        <v>1.8819999999999999</v>
      </c>
      <c r="E52" s="84">
        <v>9.9048609374999999E-2</v>
      </c>
      <c r="F52" s="84">
        <v>-3.7927371677461963</v>
      </c>
      <c r="G52" s="84">
        <v>0.82106343749999999</v>
      </c>
      <c r="H52" s="84">
        <v>-20.842105943477652</v>
      </c>
      <c r="I52" s="101">
        <v>-25.407226997741997</v>
      </c>
      <c r="J52" s="78">
        <v>-4.7353127368348673</v>
      </c>
      <c r="K52" s="79">
        <v>0.43627175212539854</v>
      </c>
      <c r="L52" s="79"/>
      <c r="M52" s="79"/>
      <c r="N52" s="79">
        <v>0</v>
      </c>
      <c r="O52" s="180">
        <v>4.2756057444375002E-2</v>
      </c>
      <c r="P52" s="81">
        <v>2.2718415220178003</v>
      </c>
      <c r="Q52" s="79">
        <v>5.2629441750797028E-2</v>
      </c>
      <c r="R52" s="79"/>
      <c r="S52" s="180">
        <v>-3.5690677587812492E-3</v>
      </c>
      <c r="T52" s="82">
        <v>-0.18964228261324384</v>
      </c>
      <c r="U52" s="78">
        <v>-11.979614939833803</v>
      </c>
      <c r="V52" s="102"/>
      <c r="W52" s="102"/>
      <c r="X52" s="1" t="s">
        <v>413</v>
      </c>
    </row>
    <row r="53" spans="1:28" s="1" customFormat="1" ht="11.25" customHeight="1" x14ac:dyDescent="0.2">
      <c r="A53" s="201">
        <v>45184</v>
      </c>
      <c r="B53" s="83">
        <v>61</v>
      </c>
      <c r="C53" s="83" t="s">
        <v>212</v>
      </c>
      <c r="D53" s="84">
        <v>2.1619999999999999</v>
      </c>
      <c r="E53" s="84">
        <v>0.14108899999999999</v>
      </c>
      <c r="F53" s="84">
        <v>4.4064228164013564</v>
      </c>
      <c r="G53" s="84">
        <v>1.380468625</v>
      </c>
      <c r="H53" s="84">
        <v>-20.83931995161096</v>
      </c>
      <c r="I53" s="101">
        <v>-25.404434319494825</v>
      </c>
      <c r="J53" s="78">
        <v>4.0107312182553265</v>
      </c>
      <c r="K53" s="79">
        <v>0.63851462765957445</v>
      </c>
      <c r="L53" s="79"/>
      <c r="M53" s="79"/>
      <c r="N53" s="79">
        <v>0</v>
      </c>
      <c r="O53" s="180">
        <v>7.1886523178250006E-2</v>
      </c>
      <c r="P53" s="81">
        <v>3.3250010720744685</v>
      </c>
      <c r="Q53" s="79">
        <v>6.5258556891766878E-2</v>
      </c>
      <c r="R53" s="79"/>
      <c r="S53" s="180">
        <v>-1.6748118379999993E-3</v>
      </c>
      <c r="T53" s="82">
        <v>-7.7465857446808478E-2</v>
      </c>
      <c r="U53" s="78">
        <v>-42.922148952621647</v>
      </c>
      <c r="V53" s="102"/>
      <c r="W53" s="102"/>
      <c r="X53" s="1" t="s">
        <v>413</v>
      </c>
    </row>
    <row r="54" spans="1:28" s="1" customFormat="1" ht="11.25" customHeight="1" x14ac:dyDescent="0.2">
      <c r="A54" s="201">
        <v>45184</v>
      </c>
      <c r="B54" s="83">
        <v>62</v>
      </c>
      <c r="C54" s="83" t="s">
        <v>213</v>
      </c>
      <c r="D54" s="84">
        <v>2.2250000000000001</v>
      </c>
      <c r="E54" s="84">
        <v>8.5452335937499999E-2</v>
      </c>
      <c r="F54" s="84">
        <v>-2.2249980408762804</v>
      </c>
      <c r="G54" s="84">
        <v>0.85854118749999997</v>
      </c>
      <c r="H54" s="84">
        <v>-20.731707619696405</v>
      </c>
      <c r="I54" s="101">
        <v>-25.296563717983677</v>
      </c>
      <c r="J54" s="78">
        <v>-3.0630054102027282</v>
      </c>
      <c r="K54" s="79">
        <v>0.38586120786516853</v>
      </c>
      <c r="L54" s="79"/>
      <c r="M54" s="79"/>
      <c r="N54" s="79">
        <v>0</v>
      </c>
      <c r="O54" s="180">
        <v>4.4707673797874999E-2</v>
      </c>
      <c r="P54" s="81">
        <v>2.0093336538370785</v>
      </c>
      <c r="Q54" s="79">
        <v>3.8405544241573032E-2</v>
      </c>
      <c r="R54" s="79"/>
      <c r="S54" s="180">
        <v>-4.1816886473281245E-3</v>
      </c>
      <c r="T54" s="82">
        <v>-0.18794106280126402</v>
      </c>
      <c r="U54" s="78">
        <v>-10.691296643149368</v>
      </c>
      <c r="V54" s="102"/>
      <c r="W54" s="102"/>
      <c r="X54" s="1" t="s">
        <v>413</v>
      </c>
    </row>
    <row r="55" spans="1:28" s="1" customFormat="1" ht="11.25" customHeight="1" x14ac:dyDescent="0.2">
      <c r="A55" s="201">
        <v>45184</v>
      </c>
      <c r="B55" s="83">
        <v>65</v>
      </c>
      <c r="C55" s="83" t="s">
        <v>214</v>
      </c>
      <c r="D55" s="84">
        <v>6.4009999999999998</v>
      </c>
      <c r="E55" s="84">
        <v>8.8323421875000002E-2</v>
      </c>
      <c r="F55" s="84">
        <v>-3.3065970884100793</v>
      </c>
      <c r="G55" s="84">
        <v>0.73605143750000002</v>
      </c>
      <c r="H55" s="84">
        <v>-21.926525193587135</v>
      </c>
      <c r="I55" s="101">
        <v>-26.494248854051744</v>
      </c>
      <c r="J55" s="78">
        <v>-4.2167471142070312</v>
      </c>
      <c r="K55" s="79">
        <v>0.11499006991095143</v>
      </c>
      <c r="L55" s="79"/>
      <c r="M55" s="79"/>
      <c r="N55" s="79">
        <v>0</v>
      </c>
      <c r="O55" s="180">
        <v>3.8329142556375005E-2</v>
      </c>
      <c r="P55" s="81">
        <v>0.59879929005428856</v>
      </c>
      <c r="Q55" s="79">
        <v>1.379837867130136E-2</v>
      </c>
      <c r="R55" s="79"/>
      <c r="S55" s="180">
        <v>-4.0523232571562495E-3</v>
      </c>
      <c r="T55" s="82">
        <v>-6.3307659071336508E-2</v>
      </c>
      <c r="U55" s="78">
        <v>-9.4585599726495637</v>
      </c>
      <c r="V55" s="102">
        <f>O55*27.38</f>
        <v>1.0494519231935475</v>
      </c>
      <c r="W55" s="102">
        <f>IF(S55&lt;0,0,S55*27.38)</f>
        <v>0</v>
      </c>
      <c r="X55" s="1" t="s">
        <v>413</v>
      </c>
      <c r="Z55" s="1" t="s">
        <v>717</v>
      </c>
      <c r="AA55" s="211">
        <f>AVERAGE(V55:V57)</f>
        <v>1.16286058489161</v>
      </c>
      <c r="AB55" s="1">
        <v>1.16286058489161</v>
      </c>
    </row>
    <row r="56" spans="1:28" s="1" customFormat="1" ht="11.25" customHeight="1" x14ac:dyDescent="0.2">
      <c r="A56" s="201">
        <v>45184</v>
      </c>
      <c r="B56" s="83">
        <v>66</v>
      </c>
      <c r="C56" s="83" t="s">
        <v>215</v>
      </c>
      <c r="D56" s="84">
        <v>6.6980000000000004</v>
      </c>
      <c r="E56" s="84">
        <v>0.1063428828125</v>
      </c>
      <c r="F56" s="84">
        <v>-0.41882695551376248</v>
      </c>
      <c r="G56" s="84">
        <v>0.86047656250000004</v>
      </c>
      <c r="H56" s="84">
        <v>-21.956626529290499</v>
      </c>
      <c r="I56" s="101">
        <v>-26.524422432960797</v>
      </c>
      <c r="J56" s="78">
        <v>-1.1363627134465304</v>
      </c>
      <c r="K56" s="79">
        <v>0.12846768624962676</v>
      </c>
      <c r="L56" s="79"/>
      <c r="M56" s="79"/>
      <c r="N56" s="79">
        <v>0</v>
      </c>
      <c r="O56" s="180">
        <v>4.4808456515625004E-2</v>
      </c>
      <c r="P56" s="81">
        <v>0.66898262937630637</v>
      </c>
      <c r="Q56" s="79">
        <v>1.5876811408256194E-2</v>
      </c>
      <c r="R56" s="79"/>
      <c r="S56" s="180">
        <v>-3.2404023862343742E-3</v>
      </c>
      <c r="T56" s="82">
        <v>-4.837865610979955E-2</v>
      </c>
      <c r="U56" s="78">
        <v>-13.828053178203056</v>
      </c>
      <c r="V56" s="102">
        <f t="shared" ref="V56:V63" si="0">O56*27.38</f>
        <v>1.2268555393978127</v>
      </c>
      <c r="W56" s="102">
        <f t="shared" ref="W56:W63" si="1">IF(S56&lt;0,0,S56*27.38)</f>
        <v>0</v>
      </c>
      <c r="X56" s="1" t="s">
        <v>413</v>
      </c>
      <c r="Z56" s="1" t="s">
        <v>718</v>
      </c>
      <c r="AA56" s="211">
        <f>AVERAGE(V58:V60)</f>
        <v>1.4193635179030728</v>
      </c>
      <c r="AB56" s="1">
        <v>1.4193635179030728</v>
      </c>
    </row>
    <row r="57" spans="1:28" s="1" customFormat="1" ht="11.25" customHeight="1" x14ac:dyDescent="0.2">
      <c r="A57" s="201">
        <v>45184</v>
      </c>
      <c r="B57" s="83">
        <v>67</v>
      </c>
      <c r="C57" s="83" t="s">
        <v>216</v>
      </c>
      <c r="D57" s="84">
        <v>6.6159999999999997</v>
      </c>
      <c r="E57" s="84">
        <v>0.106445015625</v>
      </c>
      <c r="F57" s="84">
        <v>-1.8483707002423522</v>
      </c>
      <c r="G57" s="84">
        <v>0.85024975000000003</v>
      </c>
      <c r="H57" s="84">
        <v>-21.913383771882778</v>
      </c>
      <c r="I57" s="101">
        <v>-26.481075892935294</v>
      </c>
      <c r="J57" s="78">
        <v>-2.6612570259485171</v>
      </c>
      <c r="K57" s="79">
        <v>0.12851417019347039</v>
      </c>
      <c r="L57" s="79"/>
      <c r="M57" s="79"/>
      <c r="N57" s="79">
        <v>0</v>
      </c>
      <c r="O57" s="180">
        <v>4.4275905481500004E-2</v>
      </c>
      <c r="P57" s="81">
        <v>0.66922468986547767</v>
      </c>
      <c r="Q57" s="79">
        <v>1.6089028963875453E-2</v>
      </c>
      <c r="R57" s="79"/>
      <c r="S57" s="180">
        <v>-3.2358004859687492E-3</v>
      </c>
      <c r="T57" s="82">
        <v>-4.8908713512224145E-2</v>
      </c>
      <c r="U57" s="78">
        <v>-13.683138275518392</v>
      </c>
      <c r="V57" s="102">
        <f>O57*27.38</f>
        <v>1.2122742920834702</v>
      </c>
      <c r="W57" s="102">
        <f t="shared" si="1"/>
        <v>0</v>
      </c>
      <c r="X57" s="1" t="s">
        <v>413</v>
      </c>
      <c r="Z57" s="1" t="s">
        <v>719</v>
      </c>
      <c r="AA57" s="211">
        <f>AVERAGE(V61:V63)</f>
        <v>1.069598429588535</v>
      </c>
      <c r="AB57" s="1">
        <v>1.069598429588535</v>
      </c>
    </row>
    <row r="58" spans="1:28" s="1" customFormat="1" ht="11.25" customHeight="1" x14ac:dyDescent="0.2">
      <c r="A58" s="201">
        <v>45184</v>
      </c>
      <c r="B58" s="83">
        <v>68</v>
      </c>
      <c r="C58" s="83" t="s">
        <v>217</v>
      </c>
      <c r="D58" s="84">
        <v>6.4329999999999998</v>
      </c>
      <c r="E58" s="84">
        <v>0.10442064062500001</v>
      </c>
      <c r="F58" s="84">
        <v>-2.817892470060368</v>
      </c>
      <c r="G58" s="84">
        <v>0.71014343749999997</v>
      </c>
      <c r="H58" s="84">
        <v>-22.116009927837545</v>
      </c>
      <c r="I58" s="101">
        <v>-26.684188351664353</v>
      </c>
      <c r="J58" s="78">
        <v>-3.6954458978133946</v>
      </c>
      <c r="K58" s="79">
        <v>0.1103907100108814</v>
      </c>
      <c r="L58" s="79"/>
      <c r="M58" s="79"/>
      <c r="N58" s="79">
        <v>0</v>
      </c>
      <c r="O58" s="180">
        <v>3.6980009364375004E-2</v>
      </c>
      <c r="P58" s="81">
        <v>0.57484858331066391</v>
      </c>
      <c r="Q58" s="79">
        <v>1.6232028699673561E-2</v>
      </c>
      <c r="R58" s="79"/>
      <c r="S58" s="180">
        <v>-3.3270147747187489E-3</v>
      </c>
      <c r="T58" s="82">
        <v>-5.1717935251340726E-2</v>
      </c>
      <c r="U58" s="78">
        <v>-11.115072179834588</v>
      </c>
      <c r="V58" s="102">
        <f t="shared" si="0"/>
        <v>1.0125126563965876</v>
      </c>
      <c r="W58" s="102">
        <f t="shared" si="1"/>
        <v>0</v>
      </c>
      <c r="X58" s="1" t="s">
        <v>413</v>
      </c>
      <c r="Z58" s="1" t="s">
        <v>720</v>
      </c>
      <c r="AA58" s="211">
        <f>AVERAGE(V68:V70)</f>
        <v>0.59024632893028472</v>
      </c>
      <c r="AB58" s="1">
        <v>0.59024632893028472</v>
      </c>
    </row>
    <row r="59" spans="1:28" s="1" customFormat="1" ht="11.25" customHeight="1" x14ac:dyDescent="0.2">
      <c r="A59" s="201">
        <v>45184</v>
      </c>
      <c r="B59" s="83">
        <v>69</v>
      </c>
      <c r="C59" s="83" t="s">
        <v>218</v>
      </c>
      <c r="D59" s="84">
        <v>6.6379999999999999</v>
      </c>
      <c r="E59" s="84">
        <v>0.1276286796875</v>
      </c>
      <c r="F59" s="84">
        <v>-0.89751709836249915</v>
      </c>
      <c r="G59" s="84">
        <v>0.98818662499999999</v>
      </c>
      <c r="H59" s="84">
        <v>-22.044697781751328</v>
      </c>
      <c r="I59" s="101">
        <v>-26.612705056427529</v>
      </c>
      <c r="J59" s="78">
        <v>-1.6469814888232777</v>
      </c>
      <c r="K59" s="79">
        <v>0.14886812669478758</v>
      </c>
      <c r="L59" s="79"/>
      <c r="M59" s="79"/>
      <c r="N59" s="79">
        <v>0</v>
      </c>
      <c r="O59" s="180">
        <v>5.1458830310250003E-2</v>
      </c>
      <c r="P59" s="81">
        <v>0.77521588295043686</v>
      </c>
      <c r="Q59" s="79">
        <v>1.9226977958345888E-2</v>
      </c>
      <c r="R59" s="79"/>
      <c r="S59" s="180">
        <v>-2.2813069506406247E-3</v>
      </c>
      <c r="T59" s="82">
        <v>-3.4367384010856053E-2</v>
      </c>
      <c r="U59" s="78">
        <v>-22.556732357212869</v>
      </c>
      <c r="V59" s="102">
        <f t="shared" si="0"/>
        <v>1.408942773894645</v>
      </c>
      <c r="W59" s="102">
        <f t="shared" si="1"/>
        <v>0</v>
      </c>
      <c r="X59" s="1" t="s">
        <v>413</v>
      </c>
      <c r="Z59" s="1" t="s">
        <v>721</v>
      </c>
      <c r="AA59" s="211">
        <f>AVERAGE(V71:V73)</f>
        <v>0.38750065033160025</v>
      </c>
      <c r="AB59" s="1">
        <v>0.38750065033160025</v>
      </c>
    </row>
    <row r="60" spans="1:28" s="1" customFormat="1" ht="11.25" customHeight="1" x14ac:dyDescent="0.2">
      <c r="A60" s="201">
        <v>45184</v>
      </c>
      <c r="B60" s="83">
        <v>70</v>
      </c>
      <c r="C60" s="83" t="s">
        <v>219</v>
      </c>
      <c r="D60" s="84">
        <v>6.9349999999999996</v>
      </c>
      <c r="E60" s="84">
        <v>0.16505937500000001</v>
      </c>
      <c r="F60" s="84">
        <v>0.71479258849582727</v>
      </c>
      <c r="G60" s="84">
        <v>1.288156125</v>
      </c>
      <c r="H60" s="84">
        <v>-22.034369193156667</v>
      </c>
      <c r="I60" s="101">
        <v>-26.602351679220241</v>
      </c>
      <c r="J60" s="78">
        <v>7.2869254148498985E-2</v>
      </c>
      <c r="K60" s="79">
        <v>0.18574709805335257</v>
      </c>
      <c r="L60" s="79"/>
      <c r="M60" s="79"/>
      <c r="N60" s="79">
        <v>0</v>
      </c>
      <c r="O60" s="180">
        <v>6.7079442053250005E-2</v>
      </c>
      <c r="P60" s="81">
        <v>0.9672594384030283</v>
      </c>
      <c r="Q60" s="79">
        <v>2.3800919250180248E-2</v>
      </c>
      <c r="R60" s="79"/>
      <c r="S60" s="180">
        <v>-5.9475468124999854E-4</v>
      </c>
      <c r="T60" s="82">
        <v>-8.5761309480893808E-3</v>
      </c>
      <c r="U60" s="78">
        <v>-112.78505940006869</v>
      </c>
      <c r="V60" s="102">
        <f t="shared" si="0"/>
        <v>1.836635123417985</v>
      </c>
      <c r="W60" s="102">
        <f t="shared" si="1"/>
        <v>0</v>
      </c>
      <c r="X60" s="1" t="s">
        <v>413</v>
      </c>
      <c r="Z60" s="1" t="s">
        <v>722</v>
      </c>
      <c r="AA60" s="211">
        <f>AVERAGE(V74:V76)</f>
        <v>0.40833207437825553</v>
      </c>
      <c r="AB60" s="1">
        <v>0.40833207437825553</v>
      </c>
    </row>
    <row r="61" spans="1:28" s="1" customFormat="1" ht="11.25" customHeight="1" x14ac:dyDescent="0.2">
      <c r="A61" s="201">
        <v>45184</v>
      </c>
      <c r="B61" s="83">
        <v>71</v>
      </c>
      <c r="C61" s="83" t="s">
        <v>220</v>
      </c>
      <c r="D61" s="84">
        <v>6.4420000000000002</v>
      </c>
      <c r="E61" s="84">
        <v>0.11632878125</v>
      </c>
      <c r="F61" s="84">
        <v>-4.1388658101214615</v>
      </c>
      <c r="G61" s="84">
        <v>0.61175512499999996</v>
      </c>
      <c r="H61" s="84">
        <v>-22.29510987773682</v>
      </c>
      <c r="I61" s="101">
        <v>-26.863718141443389</v>
      </c>
      <c r="J61" s="78">
        <v>-5.1045281596565637</v>
      </c>
      <c r="K61" s="79">
        <v>9.4963540049674E-2</v>
      </c>
      <c r="L61" s="79"/>
      <c r="M61" s="79"/>
      <c r="N61" s="79">
        <v>0</v>
      </c>
      <c r="O61" s="180">
        <v>3.1856536379249997E-2</v>
      </c>
      <c r="P61" s="81">
        <v>0.49451313845467237</v>
      </c>
      <c r="Q61" s="79">
        <v>1.8057867316050916E-2</v>
      </c>
      <c r="R61" s="79"/>
      <c r="S61" s="180">
        <v>-2.790457774437499E-3</v>
      </c>
      <c r="T61" s="82">
        <v>-4.3316637293348323E-2</v>
      </c>
      <c r="U61" s="78">
        <v>-11.416240256734092</v>
      </c>
      <c r="V61" s="102">
        <f t="shared" si="0"/>
        <v>0.87223196606386488</v>
      </c>
      <c r="W61" s="102">
        <f t="shared" si="1"/>
        <v>0</v>
      </c>
      <c r="X61" s="1" t="s">
        <v>413</v>
      </c>
      <c r="Z61" s="1" t="s">
        <v>723</v>
      </c>
      <c r="AA61" s="211">
        <f>AVERAGE(V77:V79)</f>
        <v>0.80993612318169206</v>
      </c>
      <c r="AB61" s="1">
        <v>0.80993612318169206</v>
      </c>
    </row>
    <row r="62" spans="1:28" s="1" customFormat="1" ht="11.25" customHeight="1" x14ac:dyDescent="0.2">
      <c r="A62" s="201">
        <v>45184</v>
      </c>
      <c r="B62" s="83">
        <v>72</v>
      </c>
      <c r="C62" s="83" t="s">
        <v>221</v>
      </c>
      <c r="D62" s="84">
        <v>6.3319999999999999</v>
      </c>
      <c r="E62" s="84">
        <v>0.15922953125</v>
      </c>
      <c r="F62" s="84">
        <v>9.3700469484809812</v>
      </c>
      <c r="G62" s="84">
        <v>0.72278125000000004</v>
      </c>
      <c r="H62" s="84">
        <v>-22.200139752505958</v>
      </c>
      <c r="I62" s="101">
        <v>-26.768520087911973</v>
      </c>
      <c r="J62" s="78">
        <v>9.3054290799446626</v>
      </c>
      <c r="K62" s="79">
        <v>0.11414738629185092</v>
      </c>
      <c r="L62" s="79"/>
      <c r="M62" s="79"/>
      <c r="N62" s="79">
        <v>0</v>
      </c>
      <c r="O62" s="180">
        <v>3.7638110812500007E-2</v>
      </c>
      <c r="P62" s="81">
        <v>0.59441109937618464</v>
      </c>
      <c r="Q62" s="79">
        <v>2.5146798997157296E-2</v>
      </c>
      <c r="R62" s="79"/>
      <c r="S62" s="180">
        <v>-8.5743578093749884E-4</v>
      </c>
      <c r="T62" s="82">
        <v>-1.3541310501223924E-2</v>
      </c>
      <c r="U62" s="78">
        <v>-43.896128024127286</v>
      </c>
      <c r="V62" s="102">
        <f t="shared" si="0"/>
        <v>1.0305314740462501</v>
      </c>
      <c r="W62" s="102">
        <f t="shared" si="1"/>
        <v>0</v>
      </c>
      <c r="X62" s="1" t="s">
        <v>413</v>
      </c>
      <c r="Z62" s="1" t="s">
        <v>724</v>
      </c>
      <c r="AA62" s="211">
        <f>AVERAGE(V80:V82)</f>
        <v>1.474205448106104</v>
      </c>
      <c r="AB62" s="1">
        <v>1.474205448106104</v>
      </c>
    </row>
    <row r="63" spans="1:28" s="1" customFormat="1" ht="11.25" customHeight="1" x14ac:dyDescent="0.2">
      <c r="A63" s="201">
        <v>45184</v>
      </c>
      <c r="B63" s="83">
        <v>73</v>
      </c>
      <c r="C63" s="83" t="s">
        <v>222</v>
      </c>
      <c r="D63" s="84">
        <v>6.4859999999999998</v>
      </c>
      <c r="E63" s="84">
        <v>0.253714546875</v>
      </c>
      <c r="F63" s="84">
        <v>-1.6420062642271693</v>
      </c>
      <c r="G63" s="84">
        <v>0.91600824999999997</v>
      </c>
      <c r="H63" s="84">
        <v>-21.844129006315494</v>
      </c>
      <c r="I63" s="101">
        <v>-26.411654915930651</v>
      </c>
      <c r="J63" s="78">
        <v>-2.4411280820511214</v>
      </c>
      <c r="K63" s="79">
        <v>0.14122853068146779</v>
      </c>
      <c r="L63" s="79"/>
      <c r="M63" s="79"/>
      <c r="N63" s="79">
        <v>0</v>
      </c>
      <c r="O63" s="180">
        <v>4.7700213610500003E-2</v>
      </c>
      <c r="P63" s="81">
        <v>0.73543345067067534</v>
      </c>
      <c r="Q63" s="79">
        <v>3.9117259771045333E-2</v>
      </c>
      <c r="R63" s="79"/>
      <c r="S63" s="180">
        <v>3.3998700530937509E-3</v>
      </c>
      <c r="T63" s="82">
        <v>5.2418594713132143E-2</v>
      </c>
      <c r="U63" s="78">
        <v>14.0300108138235</v>
      </c>
      <c r="V63" s="102">
        <f t="shared" si="0"/>
        <v>1.30603184865549</v>
      </c>
      <c r="W63" s="102">
        <f t="shared" si="1"/>
        <v>9.3088442053706894E-2</v>
      </c>
      <c r="X63" s="1" t="s">
        <v>413</v>
      </c>
      <c r="Z63" s="1" t="s">
        <v>725</v>
      </c>
      <c r="AA63" s="211">
        <f>AVERAGE(V83:V85)</f>
        <v>0.97576711126086391</v>
      </c>
      <c r="AB63" s="1">
        <v>0.97576711126086391</v>
      </c>
    </row>
    <row r="64" spans="1:28" s="1" customFormat="1" ht="11.25" customHeight="1" x14ac:dyDescent="0.2">
      <c r="B64" s="110"/>
      <c r="C64" s="110"/>
      <c r="D64" s="85"/>
      <c r="E64" s="85"/>
      <c r="F64" s="85"/>
      <c r="K64" s="5"/>
      <c r="L64" s="5"/>
      <c r="M64" s="5"/>
      <c r="Z64" s="1" t="s">
        <v>726</v>
      </c>
      <c r="AA64" s="211">
        <f>AVERAGE(V86:V88)</f>
        <v>0.61806168943374584</v>
      </c>
      <c r="AB64" s="1">
        <v>0.61806168943374584</v>
      </c>
    </row>
    <row r="65" spans="1:31" s="90" customFormat="1" ht="11.25" customHeight="1" x14ac:dyDescent="0.25">
      <c r="B65" s="90" t="s">
        <v>712</v>
      </c>
      <c r="I65" s="100">
        <v>0.20174456572434946</v>
      </c>
      <c r="J65" s="100">
        <v>0.90327763201204114</v>
      </c>
      <c r="K65" s="87"/>
      <c r="N65" s="87"/>
      <c r="O65" s="88"/>
      <c r="P65" s="100">
        <v>0.17708088027281824</v>
      </c>
      <c r="Q65" s="87"/>
      <c r="R65" s="87"/>
      <c r="S65" s="88"/>
      <c r="T65" s="100">
        <v>0.48461851370901082</v>
      </c>
      <c r="U65" s="100">
        <v>0.72952852918123956</v>
      </c>
      <c r="V65" s="208"/>
      <c r="W65" s="208"/>
      <c r="Y65" s="209"/>
      <c r="Z65" s="209"/>
      <c r="AA65" s="209"/>
      <c r="AB65" s="209"/>
      <c r="AC65" s="209"/>
      <c r="AD65" s="209"/>
      <c r="AE65" s="209"/>
    </row>
    <row r="66" spans="1:31" s="207" customFormat="1" x14ac:dyDescent="0.25"/>
    <row r="67" spans="1:31" s="1" customFormat="1" ht="11.25" customHeight="1" x14ac:dyDescent="0.2">
      <c r="B67" s="75"/>
      <c r="C67" s="75" t="s">
        <v>40</v>
      </c>
      <c r="D67" s="75" t="s">
        <v>54</v>
      </c>
      <c r="E67" s="75" t="s">
        <v>80</v>
      </c>
      <c r="F67" s="75" t="s">
        <v>41</v>
      </c>
      <c r="G67" s="75" t="s">
        <v>81</v>
      </c>
      <c r="H67" s="99" t="s">
        <v>42</v>
      </c>
      <c r="I67" s="76" t="s">
        <v>715</v>
      </c>
      <c r="J67" s="77" t="s">
        <v>714</v>
      </c>
      <c r="K67" s="77" t="s">
        <v>45</v>
      </c>
      <c r="L67" s="77" t="s">
        <v>46</v>
      </c>
      <c r="M67" s="77" t="s">
        <v>47</v>
      </c>
      <c r="N67" s="178" t="s">
        <v>38</v>
      </c>
      <c r="O67" s="77" t="s">
        <v>38</v>
      </c>
      <c r="P67" s="77" t="s">
        <v>48</v>
      </c>
      <c r="Q67" s="77" t="s">
        <v>49</v>
      </c>
      <c r="R67" s="77" t="s">
        <v>39</v>
      </c>
      <c r="S67" s="77" t="s">
        <v>39</v>
      </c>
      <c r="T67" s="77" t="s">
        <v>50</v>
      </c>
      <c r="U67" s="77" t="s">
        <v>51</v>
      </c>
      <c r="V67" s="202" t="s">
        <v>585</v>
      </c>
      <c r="W67" s="202" t="s">
        <v>586</v>
      </c>
    </row>
    <row r="68" spans="1:31" s="1" customFormat="1" ht="11.25" customHeight="1" x14ac:dyDescent="0.2">
      <c r="A68" s="201">
        <v>45188</v>
      </c>
      <c r="B68" s="83">
        <v>38</v>
      </c>
      <c r="C68" s="83" t="s">
        <v>414</v>
      </c>
      <c r="D68" s="84">
        <v>6.367</v>
      </c>
      <c r="E68" s="84">
        <v>7.6182078124999997E-2</v>
      </c>
      <c r="F68" s="84">
        <v>-13.4079707217587</v>
      </c>
      <c r="G68" s="84">
        <v>0.37424196874999999</v>
      </c>
      <c r="H68" s="84">
        <v>-23.071512431295755</v>
      </c>
      <c r="I68" s="101">
        <v>-27.891663664035804</v>
      </c>
      <c r="J68" s="78">
        <v>-14.671977655834361</v>
      </c>
      <c r="K68" s="79">
        <v>5.8778383657923663E-2</v>
      </c>
      <c r="L68" s="79"/>
      <c r="M68" s="79"/>
      <c r="N68" s="79">
        <v>0</v>
      </c>
      <c r="O68" s="180">
        <v>2.1477372344593751E-2</v>
      </c>
      <c r="P68" s="81">
        <v>0.33732326597445816</v>
      </c>
      <c r="Q68" s="79">
        <v>1.1965144985864614E-2</v>
      </c>
      <c r="R68" s="79"/>
      <c r="S68" s="180">
        <v>-5.0291249875312489E-3</v>
      </c>
      <c r="T68" s="82">
        <v>-7.8987356487062177E-2</v>
      </c>
      <c r="U68" s="78">
        <v>-4.2705982447926383</v>
      </c>
      <c r="V68" s="102">
        <f t="shared" ref="V68:V88" si="2">O68*27.38</f>
        <v>0.58805045479497686</v>
      </c>
      <c r="W68" s="102">
        <f t="shared" ref="W68:W88" si="3">IF(S68&lt;0,0,S68*27.38)</f>
        <v>0</v>
      </c>
      <c r="X68" s="1" t="s">
        <v>413</v>
      </c>
    </row>
    <row r="69" spans="1:31" s="1" customFormat="1" ht="11.25" customHeight="1" x14ac:dyDescent="0.2">
      <c r="A69" s="201">
        <v>45188</v>
      </c>
      <c r="B69" s="83">
        <v>39</v>
      </c>
      <c r="C69" s="83" t="s">
        <v>415</v>
      </c>
      <c r="D69" s="84">
        <v>6.3579999999999997</v>
      </c>
      <c r="E69" s="84">
        <v>6.5791734374999994E-2</v>
      </c>
      <c r="F69" s="84">
        <v>-6.2881058876327334</v>
      </c>
      <c r="G69" s="84">
        <v>0.360371</v>
      </c>
      <c r="H69" s="84">
        <v>-23.474620213012358</v>
      </c>
      <c r="I69" s="101">
        <v>-28.300697130143639</v>
      </c>
      <c r="J69" s="78">
        <v>-7.5521128217083948</v>
      </c>
      <c r="K69" s="79">
        <v>5.6679930795847752E-2</v>
      </c>
      <c r="L69" s="79"/>
      <c r="M69" s="79"/>
      <c r="N69" s="79">
        <v>0</v>
      </c>
      <c r="O69" s="180">
        <v>2.0681331319000001E-2</v>
      </c>
      <c r="P69" s="81">
        <v>0.32528045484429069</v>
      </c>
      <c r="Q69" s="79">
        <v>1.0347866369141239E-2</v>
      </c>
      <c r="R69" s="79"/>
      <c r="S69" s="180">
        <v>-5.4547758095937499E-3</v>
      </c>
      <c r="T69" s="82">
        <v>-8.5793894457278239E-2</v>
      </c>
      <c r="U69" s="78">
        <v>-3.7914172902626158</v>
      </c>
      <c r="V69" s="102">
        <f t="shared" si="2"/>
        <v>0.56625485151421995</v>
      </c>
      <c r="W69" s="102">
        <f t="shared" si="3"/>
        <v>0</v>
      </c>
      <c r="X69" s="1" t="s">
        <v>413</v>
      </c>
    </row>
    <row r="70" spans="1:31" s="1" customFormat="1" ht="11.25" customHeight="1" x14ac:dyDescent="0.2">
      <c r="A70" s="201">
        <v>45188</v>
      </c>
      <c r="B70" s="83">
        <v>40</v>
      </c>
      <c r="C70" s="83" t="s">
        <v>416</v>
      </c>
      <c r="D70" s="84">
        <v>6.2960000000000003</v>
      </c>
      <c r="E70" s="84">
        <v>6.0451566406249997E-2</v>
      </c>
      <c r="F70" s="84">
        <v>-4.7203374539116494</v>
      </c>
      <c r="G70" s="84">
        <v>0.39230537500000001</v>
      </c>
      <c r="H70" s="84">
        <v>-24.555873178250948</v>
      </c>
      <c r="I70" s="101">
        <v>-29.397844513971236</v>
      </c>
      <c r="J70" s="78">
        <v>-5.9843443879873099</v>
      </c>
      <c r="K70" s="79">
        <v>6.2310256512071158E-2</v>
      </c>
      <c r="L70" s="79"/>
      <c r="M70" s="79"/>
      <c r="N70" s="79">
        <v>0</v>
      </c>
      <c r="O70" s="180">
        <v>2.2514013165875001E-2</v>
      </c>
      <c r="P70" s="81">
        <v>0.35759233109712518</v>
      </c>
      <c r="Q70" s="79">
        <v>9.6015829743090839E-3</v>
      </c>
      <c r="R70" s="79"/>
      <c r="S70" s="180">
        <v>-5.6735411306015615E-3</v>
      </c>
      <c r="T70" s="82">
        <v>-9.0113423294179817E-2</v>
      </c>
      <c r="U70" s="78">
        <v>-3.968247104870791</v>
      </c>
      <c r="V70" s="102">
        <f>O70*27.38</f>
        <v>0.61643368048165748</v>
      </c>
      <c r="W70" s="102">
        <f t="shared" si="3"/>
        <v>0</v>
      </c>
      <c r="X70" s="1" t="s">
        <v>413</v>
      </c>
    </row>
    <row r="71" spans="1:31" s="1" customFormat="1" ht="11.25" customHeight="1" x14ac:dyDescent="0.2">
      <c r="A71" s="201">
        <v>45188</v>
      </c>
      <c r="B71" s="83">
        <v>41</v>
      </c>
      <c r="C71" s="83" t="s">
        <v>417</v>
      </c>
      <c r="D71" s="84">
        <v>6.367</v>
      </c>
      <c r="E71" s="84">
        <v>3.7426078124999998E-2</v>
      </c>
      <c r="F71" s="84">
        <v>-9.7290246313964666</v>
      </c>
      <c r="G71" s="84">
        <v>0.248651015625</v>
      </c>
      <c r="H71" s="84">
        <v>-24.421700919696871</v>
      </c>
      <c r="I71" s="101">
        <v>-29.261699923216412</v>
      </c>
      <c r="J71" s="78">
        <v>-10.993031565472128</v>
      </c>
      <c r="K71" s="79">
        <v>3.9053088679912043E-2</v>
      </c>
      <c r="L71" s="79"/>
      <c r="M71" s="79"/>
      <c r="N71" s="79">
        <v>0</v>
      </c>
      <c r="O71" s="180">
        <v>1.4269833135703125E-2</v>
      </c>
      <c r="P71" s="81">
        <v>0.22412177062514724</v>
      </c>
      <c r="Q71" s="79">
        <v>5.8781338346159881E-3</v>
      </c>
      <c r="R71" s="79"/>
      <c r="S71" s="180">
        <v>-6.6168032835312498E-3</v>
      </c>
      <c r="T71" s="82">
        <v>-0.10392340636926731</v>
      </c>
      <c r="U71" s="78">
        <v>-2.1566053159264564</v>
      </c>
      <c r="V71" s="102">
        <f t="shared" si="2"/>
        <v>0.39070803125555154</v>
      </c>
      <c r="W71" s="102">
        <f t="shared" si="3"/>
        <v>0</v>
      </c>
      <c r="X71" s="1" t="s">
        <v>413</v>
      </c>
    </row>
    <row r="72" spans="1:31" s="1" customFormat="1" ht="11.25" customHeight="1" x14ac:dyDescent="0.2">
      <c r="A72" s="201">
        <v>45188</v>
      </c>
      <c r="B72" s="83">
        <v>42</v>
      </c>
      <c r="C72" s="83" t="s">
        <v>418</v>
      </c>
      <c r="D72" s="84">
        <v>6.3579999999999997</v>
      </c>
      <c r="E72" s="84">
        <v>3.3907097656250003E-2</v>
      </c>
      <c r="F72" s="84">
        <v>-13.576044052139192</v>
      </c>
      <c r="G72" s="84">
        <v>0.23558728125</v>
      </c>
      <c r="H72" s="84">
        <v>-24.834443491706129</v>
      </c>
      <c r="I72" s="101">
        <v>-29.680509811034206</v>
      </c>
      <c r="J72" s="78">
        <v>-14.840050986214854</v>
      </c>
      <c r="K72" s="79">
        <v>3.7053677453601767E-2</v>
      </c>
      <c r="L72" s="79"/>
      <c r="M72" s="79"/>
      <c r="N72" s="79">
        <v>0</v>
      </c>
      <c r="O72" s="180">
        <v>1.3520118483656252E-2</v>
      </c>
      <c r="P72" s="81">
        <v>0.21264734953847517</v>
      </c>
      <c r="Q72" s="79">
        <v>5.3329817012032089E-3</v>
      </c>
      <c r="R72" s="79"/>
      <c r="S72" s="180">
        <v>-6.7609618374140611E-3</v>
      </c>
      <c r="T72" s="82">
        <v>-0.10633787098795315</v>
      </c>
      <c r="U72" s="78">
        <v>-1.9997329978758525</v>
      </c>
      <c r="V72" s="102">
        <f t="shared" si="2"/>
        <v>0.37018084408250818</v>
      </c>
      <c r="W72" s="102">
        <f t="shared" si="3"/>
        <v>0</v>
      </c>
      <c r="X72" s="1" t="s">
        <v>413</v>
      </c>
    </row>
    <row r="73" spans="1:31" s="1" customFormat="1" ht="11.25" customHeight="1" x14ac:dyDescent="0.2">
      <c r="A73" s="201">
        <v>45188</v>
      </c>
      <c r="B73" s="83">
        <v>43</v>
      </c>
      <c r="C73" s="83" t="s">
        <v>419</v>
      </c>
      <c r="D73" s="84">
        <v>6.2960000000000003</v>
      </c>
      <c r="E73" s="84">
        <v>3.7146847656250002E-2</v>
      </c>
      <c r="F73" s="84">
        <v>-8.093262258939804</v>
      </c>
      <c r="G73" s="84">
        <v>0.25559110937500001</v>
      </c>
      <c r="H73" s="84">
        <v>-24.707387843794614</v>
      </c>
      <c r="I73" s="101">
        <v>-29.551586445098394</v>
      </c>
      <c r="J73" s="78">
        <v>-9.3572691930154654</v>
      </c>
      <c r="K73" s="79">
        <v>4.0595792467439648E-2</v>
      </c>
      <c r="L73" s="79"/>
      <c r="M73" s="79"/>
      <c r="N73" s="79">
        <v>0</v>
      </c>
      <c r="O73" s="180">
        <v>1.4668118175921877E-2</v>
      </c>
      <c r="P73" s="81">
        <v>0.23297519339138939</v>
      </c>
      <c r="Q73" s="79">
        <v>5.9000711016915499E-3</v>
      </c>
      <c r="R73" s="79"/>
      <c r="S73" s="180">
        <v>-6.6282422389140616E-3</v>
      </c>
      <c r="T73" s="82">
        <v>-0.10527703683154482</v>
      </c>
      <c r="U73" s="78">
        <v>-2.2129725570085728</v>
      </c>
      <c r="V73" s="102">
        <f t="shared" si="2"/>
        <v>0.40161307565674098</v>
      </c>
      <c r="W73" s="102">
        <f t="shared" si="3"/>
        <v>0</v>
      </c>
      <c r="X73" s="1" t="s">
        <v>413</v>
      </c>
    </row>
    <row r="74" spans="1:31" s="1" customFormat="1" ht="11.25" customHeight="1" x14ac:dyDescent="0.2">
      <c r="A74" s="201">
        <v>45188</v>
      </c>
      <c r="B74" s="83">
        <v>44</v>
      </c>
      <c r="C74" s="83" t="s">
        <v>420</v>
      </c>
      <c r="D74" s="84">
        <v>6.0039999999999996</v>
      </c>
      <c r="E74" s="84">
        <v>4.3158953125000003E-2</v>
      </c>
      <c r="F74" s="84">
        <v>-6.2308257193014471</v>
      </c>
      <c r="G74" s="84">
        <v>0.28838740624999998</v>
      </c>
      <c r="H74" s="84">
        <v>-24.464843861945347</v>
      </c>
      <c r="I74" s="101">
        <v>-29.305477066715945</v>
      </c>
      <c r="J74" s="78">
        <v>-7.4948326533771077</v>
      </c>
      <c r="K74" s="79">
        <v>4.8032546010992674E-2</v>
      </c>
      <c r="L74" s="79"/>
      <c r="M74" s="79"/>
      <c r="N74" s="79">
        <v>0</v>
      </c>
      <c r="O74" s="180">
        <v>1.6550264857281248E-2</v>
      </c>
      <c r="P74" s="81">
        <v>0.27565397830248584</v>
      </c>
      <c r="Q74" s="79">
        <v>7.1883666097601606E-3</v>
      </c>
      <c r="R74" s="79"/>
      <c r="S74" s="180">
        <v>-6.3819503262812494E-3</v>
      </c>
      <c r="T74" s="82">
        <v>-0.10629497545438457</v>
      </c>
      <c r="U74" s="78">
        <v>-2.5932926474100366</v>
      </c>
      <c r="V74" s="102">
        <f t="shared" si="2"/>
        <v>0.45314625179236057</v>
      </c>
      <c r="W74" s="102">
        <f t="shared" si="3"/>
        <v>0</v>
      </c>
      <c r="X74" s="1" t="s">
        <v>413</v>
      </c>
    </row>
    <row r="75" spans="1:31" s="1" customFormat="1" ht="11.25" customHeight="1" x14ac:dyDescent="0.2">
      <c r="A75" s="201">
        <v>45188</v>
      </c>
      <c r="B75" s="83">
        <v>45</v>
      </c>
      <c r="C75" s="83" t="s">
        <v>421</v>
      </c>
      <c r="D75" s="84">
        <v>6.0339999999999998</v>
      </c>
      <c r="E75" s="84">
        <v>3.849669921875E-2</v>
      </c>
      <c r="F75" s="84">
        <v>-6.3775638041611016</v>
      </c>
      <c r="G75" s="84">
        <v>0.24743840624999999</v>
      </c>
      <c r="H75" s="84">
        <v>-24.99915434707485</v>
      </c>
      <c r="I75" s="101">
        <v>-29.847641915976851</v>
      </c>
      <c r="J75" s="78">
        <v>-7.6415707382367621</v>
      </c>
      <c r="K75" s="79">
        <v>4.10073593387471E-2</v>
      </c>
      <c r="L75" s="79"/>
      <c r="M75" s="79"/>
      <c r="N75" s="79">
        <v>0</v>
      </c>
      <c r="O75" s="180">
        <v>1.420024269628125E-2</v>
      </c>
      <c r="P75" s="81">
        <v>0.23533713450913574</v>
      </c>
      <c r="Q75" s="79">
        <v>6.3799634104656942E-3</v>
      </c>
      <c r="R75" s="79"/>
      <c r="S75" s="180">
        <v>-6.5729442198046864E-3</v>
      </c>
      <c r="T75" s="82">
        <v>-0.1089317901856925</v>
      </c>
      <c r="U75" s="78">
        <v>-2.1604082160769056</v>
      </c>
      <c r="V75" s="102">
        <f t="shared" si="2"/>
        <v>0.3888026450241806</v>
      </c>
      <c r="W75" s="102">
        <f t="shared" si="3"/>
        <v>0</v>
      </c>
      <c r="X75" s="1" t="s">
        <v>413</v>
      </c>
    </row>
    <row r="76" spans="1:31" s="1" customFormat="1" ht="11.25" customHeight="1" x14ac:dyDescent="0.2">
      <c r="A76" s="201">
        <v>45188</v>
      </c>
      <c r="B76" s="83">
        <v>46</v>
      </c>
      <c r="C76" s="83" t="s">
        <v>422</v>
      </c>
      <c r="D76" s="84">
        <v>6.0579999999999998</v>
      </c>
      <c r="E76" s="84">
        <v>3.7315109375000002E-2</v>
      </c>
      <c r="F76" s="84">
        <v>-7.9852596113881846</v>
      </c>
      <c r="G76" s="84">
        <v>0.24377565625</v>
      </c>
      <c r="H76" s="84">
        <v>-24.559662262897508</v>
      </c>
      <c r="I76" s="101">
        <v>-29.401689298162097</v>
      </c>
      <c r="J76" s="78">
        <v>-9.2492665454638452</v>
      </c>
      <c r="K76" s="79">
        <v>4.024028660448993E-2</v>
      </c>
      <c r="L76" s="79"/>
      <c r="M76" s="79"/>
      <c r="N76" s="79">
        <v>0</v>
      </c>
      <c r="O76" s="180">
        <v>1.399004113653125E-2</v>
      </c>
      <c r="P76" s="81">
        <v>0.23093498079450728</v>
      </c>
      <c r="Q76" s="79">
        <v>6.1596416928029057E-3</v>
      </c>
      <c r="R76" s="79"/>
      <c r="S76" s="180">
        <v>-6.6213492293437492E-3</v>
      </c>
      <c r="T76" s="82">
        <v>-0.10929926096638742</v>
      </c>
      <c r="U76" s="78">
        <v>-2.1128686392996405</v>
      </c>
      <c r="V76" s="102">
        <f t="shared" si="2"/>
        <v>0.38304732631822558</v>
      </c>
      <c r="W76" s="102">
        <f t="shared" si="3"/>
        <v>0</v>
      </c>
      <c r="X76" s="1" t="s">
        <v>413</v>
      </c>
    </row>
    <row r="77" spans="1:31" s="1" customFormat="1" ht="11.25" customHeight="1" x14ac:dyDescent="0.2">
      <c r="A77" s="201">
        <v>45188</v>
      </c>
      <c r="B77" s="83">
        <v>47</v>
      </c>
      <c r="C77" s="83" t="s">
        <v>423</v>
      </c>
      <c r="D77" s="84">
        <v>6.51</v>
      </c>
      <c r="E77" s="84">
        <v>8.5170265625000005E-2</v>
      </c>
      <c r="F77" s="84">
        <v>0.28425612472671169</v>
      </c>
      <c r="G77" s="84">
        <v>0.64182093750000002</v>
      </c>
      <c r="H77" s="84">
        <v>-22.919464430531157</v>
      </c>
      <c r="I77" s="101">
        <v>-27.737380557659961</v>
      </c>
      <c r="J77" s="78">
        <v>-0.97975080934894931</v>
      </c>
      <c r="K77" s="79">
        <v>9.8590005760368665E-2</v>
      </c>
      <c r="L77" s="79"/>
      <c r="M77" s="79"/>
      <c r="N77" s="79">
        <v>0</v>
      </c>
      <c r="O77" s="180">
        <v>3.68334617821875E-2</v>
      </c>
      <c r="P77" s="81">
        <v>0.56579818405817972</v>
      </c>
      <c r="Q77" s="79">
        <v>1.3082990111367128E-2</v>
      </c>
      <c r="R77" s="79"/>
      <c r="S77" s="180">
        <v>-4.6609148984062491E-3</v>
      </c>
      <c r="T77" s="82">
        <v>-7.1596234998559896E-2</v>
      </c>
      <c r="U77" s="78">
        <v>-7.9026248247489601</v>
      </c>
      <c r="V77" s="102">
        <f t="shared" si="2"/>
        <v>1.0085001835962937</v>
      </c>
      <c r="W77" s="102">
        <f t="shared" si="3"/>
        <v>0</v>
      </c>
      <c r="X77" s="1" t="s">
        <v>413</v>
      </c>
    </row>
    <row r="78" spans="1:31" s="1" customFormat="1" ht="11.25" customHeight="1" x14ac:dyDescent="0.2">
      <c r="A78" s="201">
        <v>45188</v>
      </c>
      <c r="B78" s="83">
        <v>48</v>
      </c>
      <c r="C78" s="83" t="s">
        <v>424</v>
      </c>
      <c r="D78" s="84">
        <v>6.4950000000000001</v>
      </c>
      <c r="E78" s="84">
        <v>5.9759460937500002E-2</v>
      </c>
      <c r="F78" s="84">
        <v>4.3039253301442315</v>
      </c>
      <c r="G78" s="84">
        <v>0.48696262499999998</v>
      </c>
      <c r="H78" s="84">
        <v>-23.223161672240561</v>
      </c>
      <c r="I78" s="101">
        <v>-28.045542148822499</v>
      </c>
      <c r="J78" s="78">
        <v>3.0399183960685705</v>
      </c>
      <c r="K78" s="79">
        <v>7.4975E-2</v>
      </c>
      <c r="L78" s="79"/>
      <c r="M78" s="79"/>
      <c r="N78" s="79">
        <v>0</v>
      </c>
      <c r="O78" s="180">
        <v>2.7946298086125001E-2</v>
      </c>
      <c r="P78" s="81">
        <v>0.43027402750000004</v>
      </c>
      <c r="Q78" s="79">
        <v>9.2008407909930714E-3</v>
      </c>
      <c r="R78" s="79"/>
      <c r="S78" s="180">
        <v>-5.7018939232343739E-3</v>
      </c>
      <c r="T78" s="82">
        <v>-8.7788974953570034E-2</v>
      </c>
      <c r="U78" s="78">
        <v>-4.9012307949553344</v>
      </c>
      <c r="V78" s="102">
        <f t="shared" si="2"/>
        <v>0.76516964159810252</v>
      </c>
      <c r="W78" s="102">
        <f t="shared" si="3"/>
        <v>0</v>
      </c>
      <c r="X78" s="1" t="s">
        <v>413</v>
      </c>
    </row>
    <row r="79" spans="1:31" s="1" customFormat="1" ht="11.25" customHeight="1" x14ac:dyDescent="0.2">
      <c r="A79" s="201">
        <v>45188</v>
      </c>
      <c r="B79" s="183">
        <v>49</v>
      </c>
      <c r="C79" s="183" t="s">
        <v>425</v>
      </c>
      <c r="D79" s="184">
        <v>6.3319999999999999</v>
      </c>
      <c r="E79" s="184">
        <v>5.3424398437499999E-2</v>
      </c>
      <c r="F79" s="184">
        <v>-4.2381907250031992</v>
      </c>
      <c r="G79" s="184">
        <v>0.417574</v>
      </c>
      <c r="H79" s="184">
        <v>-23.370386219802967</v>
      </c>
      <c r="I79" s="101">
        <v>-28.194930897234066</v>
      </c>
      <c r="J79" s="78">
        <v>-5.5021976590788597</v>
      </c>
      <c r="K79" s="79">
        <v>6.5946620341124446E-2</v>
      </c>
      <c r="L79" s="79"/>
      <c r="M79" s="79"/>
      <c r="N79" s="79">
        <v>0</v>
      </c>
      <c r="O79" s="180">
        <v>2.3964154285999999E-2</v>
      </c>
      <c r="P79" s="81">
        <v>0.3784610594756791</v>
      </c>
      <c r="Q79" s="79">
        <v>8.4372075864655727E-3</v>
      </c>
      <c r="R79" s="79"/>
      <c r="S79" s="180">
        <v>-5.9614160936093744E-3</v>
      </c>
      <c r="T79" s="82">
        <v>-9.4147443044999599E-2</v>
      </c>
      <c r="U79" s="78">
        <v>-4.0198761350829919</v>
      </c>
      <c r="V79" s="102">
        <f t="shared" si="2"/>
        <v>0.65613854435067998</v>
      </c>
      <c r="W79" s="102">
        <f t="shared" si="3"/>
        <v>0</v>
      </c>
      <c r="X79" s="1" t="s">
        <v>413</v>
      </c>
    </row>
    <row r="80" spans="1:31" s="1" customFormat="1" ht="11.25" customHeight="1" x14ac:dyDescent="0.2">
      <c r="A80" s="201">
        <v>45188</v>
      </c>
      <c r="B80" s="183">
        <v>52</v>
      </c>
      <c r="C80" s="183" t="s">
        <v>426</v>
      </c>
      <c r="D80" s="184">
        <v>6.516</v>
      </c>
      <c r="E80" s="184">
        <v>8.4723835937500006E-2</v>
      </c>
      <c r="F80" s="184">
        <v>-21.253511983651219</v>
      </c>
      <c r="G80" s="184">
        <v>0.72623143749999997</v>
      </c>
      <c r="H80" s="184">
        <v>-22.11747765218869</v>
      </c>
      <c r="I80" s="101">
        <v>-26.92360457367586</v>
      </c>
      <c r="J80" s="78">
        <v>-22.517518917726878</v>
      </c>
      <c r="K80" s="79">
        <v>0.11145356622160835</v>
      </c>
      <c r="L80" s="79">
        <v>3.3479999999999999</v>
      </c>
      <c r="M80" s="79"/>
      <c r="N80" s="79">
        <v>0.21815567999999996</v>
      </c>
      <c r="O80" s="180">
        <v>4.1677695966687502E-2</v>
      </c>
      <c r="P80" s="81">
        <v>0.6396208711891882</v>
      </c>
      <c r="Q80" s="79">
        <v>1.3002430315761204E-2</v>
      </c>
      <c r="R80" s="79"/>
      <c r="S80" s="180">
        <v>-4.6792033369843743E-3</v>
      </c>
      <c r="T80" s="82">
        <v>-7.1810978161208933E-2</v>
      </c>
      <c r="U80" s="78">
        <v>-8.9070068054678089</v>
      </c>
      <c r="V80" s="102">
        <f t="shared" si="2"/>
        <v>1.1411353155679038</v>
      </c>
      <c r="W80" s="102">
        <f t="shared" si="3"/>
        <v>0</v>
      </c>
      <c r="X80" s="1" t="s">
        <v>413</v>
      </c>
    </row>
    <row r="81" spans="1:31" s="1" customFormat="1" ht="11.25" customHeight="1" x14ac:dyDescent="0.2">
      <c r="A81" s="201">
        <v>45188</v>
      </c>
      <c r="B81" s="183">
        <v>53</v>
      </c>
      <c r="C81" s="183" t="s">
        <v>427</v>
      </c>
      <c r="D81" s="184">
        <v>6.7830000000000004</v>
      </c>
      <c r="E81" s="184">
        <v>9.1923085937499996E-2</v>
      </c>
      <c r="F81" s="184">
        <v>-5.669378622523813</v>
      </c>
      <c r="G81" s="184">
        <v>0.78526856249999999</v>
      </c>
      <c r="H81" s="184">
        <v>-22.317772396983631</v>
      </c>
      <c r="I81" s="101">
        <v>-27.126843651219289</v>
      </c>
      <c r="J81" s="78">
        <v>-6.9333855565994735</v>
      </c>
      <c r="K81" s="79">
        <v>0.11577009619637328</v>
      </c>
      <c r="L81" s="79"/>
      <c r="M81" s="79"/>
      <c r="N81" s="79">
        <v>0</v>
      </c>
      <c r="O81" s="180">
        <v>4.50657775333125E-2</v>
      </c>
      <c r="P81" s="81">
        <v>0.66439300506136667</v>
      </c>
      <c r="Q81" s="79">
        <v>1.3551980825224826E-2</v>
      </c>
      <c r="R81" s="79"/>
      <c r="S81" s="180">
        <v>-4.3842788614843744E-3</v>
      </c>
      <c r="T81" s="82">
        <v>-6.4636279839073774E-2</v>
      </c>
      <c r="U81" s="78">
        <v>-10.278948706756005</v>
      </c>
      <c r="V81" s="102">
        <f t="shared" si="2"/>
        <v>1.2339009888620962</v>
      </c>
      <c r="W81" s="102">
        <f t="shared" si="3"/>
        <v>0</v>
      </c>
      <c r="X81" s="1" t="s">
        <v>413</v>
      </c>
    </row>
    <row r="82" spans="1:31" s="1" customFormat="1" ht="11.25" customHeight="1" x14ac:dyDescent="0.2">
      <c r="A82" s="201">
        <v>45188</v>
      </c>
      <c r="B82" s="183">
        <v>54</v>
      </c>
      <c r="C82" s="183" t="s">
        <v>428</v>
      </c>
      <c r="D82" s="184">
        <v>7.14</v>
      </c>
      <c r="E82" s="184">
        <v>0.139134828125</v>
      </c>
      <c r="F82" s="184">
        <v>-4.6189434628194359</v>
      </c>
      <c r="G82" s="184">
        <v>1.303103125</v>
      </c>
      <c r="H82" s="184">
        <v>-22.03273574360427</v>
      </c>
      <c r="I82" s="101">
        <v>-26.837616959035252</v>
      </c>
      <c r="J82" s="78">
        <v>-5.8829503968950974</v>
      </c>
      <c r="K82" s="79">
        <v>0.1825074404761905</v>
      </c>
      <c r="L82" s="79"/>
      <c r="M82" s="79"/>
      <c r="N82" s="79">
        <v>0</v>
      </c>
      <c r="O82" s="180">
        <v>7.4783785240625011E-2</v>
      </c>
      <c r="P82" s="81">
        <v>1.0473919501488098</v>
      </c>
      <c r="Q82" s="79">
        <v>1.9486670605742298E-2</v>
      </c>
      <c r="R82" s="79"/>
      <c r="S82" s="180">
        <v>-2.4502026310312492E-3</v>
      </c>
      <c r="T82" s="82">
        <v>-3.4316563459821418E-2</v>
      </c>
      <c r="U82" s="78">
        <v>-30.521469650512035</v>
      </c>
      <c r="V82" s="102">
        <f t="shared" si="2"/>
        <v>2.0475800398883126</v>
      </c>
      <c r="W82" s="102">
        <f t="shared" si="3"/>
        <v>0</v>
      </c>
      <c r="X82" s="1" t="s">
        <v>413</v>
      </c>
    </row>
    <row r="83" spans="1:31" s="1" customFormat="1" ht="11.25" customHeight="1" x14ac:dyDescent="0.2">
      <c r="A83" s="201">
        <v>45188</v>
      </c>
      <c r="B83" s="183">
        <v>55</v>
      </c>
      <c r="C83" s="183" t="s">
        <v>429</v>
      </c>
      <c r="D83" s="184">
        <v>6.6790000000000003</v>
      </c>
      <c r="E83" s="184">
        <v>0.16473840625</v>
      </c>
      <c r="F83" s="184">
        <v>-9.6331049002197346</v>
      </c>
      <c r="G83" s="184">
        <v>0.79824275</v>
      </c>
      <c r="H83" s="184">
        <v>-22.290423315460263</v>
      </c>
      <c r="I83" s="101">
        <v>-27.099092538197525</v>
      </c>
      <c r="J83" s="78">
        <v>-10.897111834295396</v>
      </c>
      <c r="K83" s="79">
        <v>0.11951530917802065</v>
      </c>
      <c r="L83" s="79"/>
      <c r="M83" s="79"/>
      <c r="N83" s="79">
        <v>0</v>
      </c>
      <c r="O83" s="180">
        <v>4.5810353179750005E-2</v>
      </c>
      <c r="P83" s="81">
        <v>0.68588640784174282</v>
      </c>
      <c r="Q83" s="79">
        <v>2.4665130446174577E-2</v>
      </c>
      <c r="R83" s="79"/>
      <c r="S83" s="180">
        <v>-1.4013264495624988E-3</v>
      </c>
      <c r="T83" s="82">
        <v>-2.0981081742214386E-2</v>
      </c>
      <c r="U83" s="78">
        <v>-32.690707574992416</v>
      </c>
      <c r="V83" s="102">
        <f t="shared" si="2"/>
        <v>1.2542874700615552</v>
      </c>
      <c r="W83" s="102">
        <f t="shared" si="3"/>
        <v>0</v>
      </c>
      <c r="X83" s="1" t="s">
        <v>413</v>
      </c>
    </row>
    <row r="84" spans="1:31" s="1" customFormat="1" ht="11.25" customHeight="1" x14ac:dyDescent="0.2">
      <c r="A84" s="201">
        <v>45188</v>
      </c>
      <c r="B84" s="83">
        <v>56</v>
      </c>
      <c r="C84" s="83" t="s">
        <v>430</v>
      </c>
      <c r="D84" s="84">
        <v>6.65</v>
      </c>
      <c r="E84" s="84">
        <v>0.200686296875</v>
      </c>
      <c r="F84" s="84">
        <v>-7.5185379244000483</v>
      </c>
      <c r="G84" s="84">
        <v>0.54276562500000003</v>
      </c>
      <c r="H84" s="84">
        <v>-22.148514848791322</v>
      </c>
      <c r="I84" s="101">
        <v>-26.955098017068551</v>
      </c>
      <c r="J84" s="78">
        <v>-8.7825448584757098</v>
      </c>
      <c r="K84" s="79">
        <v>8.1618890977443612E-2</v>
      </c>
      <c r="L84" s="79"/>
      <c r="M84" s="79"/>
      <c r="N84" s="79">
        <v>0</v>
      </c>
      <c r="O84" s="180">
        <v>3.1148776453125002E-2</v>
      </c>
      <c r="P84" s="81">
        <v>0.46840265343045112</v>
      </c>
      <c r="Q84" s="79">
        <v>3.0178390507518797E-2</v>
      </c>
      <c r="R84" s="79"/>
      <c r="S84" s="180">
        <v>7.1314837781251764E-5</v>
      </c>
      <c r="T84" s="82">
        <v>1.0724035756579213E-3</v>
      </c>
      <c r="U84" s="78">
        <v>436.77833985501718</v>
      </c>
      <c r="V84" s="102">
        <f t="shared" si="2"/>
        <v>0.85285349928656251</v>
      </c>
      <c r="W84" s="102">
        <f t="shared" si="3"/>
        <v>1.9526002584506733E-3</v>
      </c>
      <c r="X84" s="1" t="s">
        <v>413</v>
      </c>
    </row>
    <row r="85" spans="1:31" s="1" customFormat="1" ht="11.25" customHeight="1" x14ac:dyDescent="0.2">
      <c r="A85" s="201">
        <v>45188</v>
      </c>
      <c r="B85" s="83">
        <v>57</v>
      </c>
      <c r="C85" s="83" t="s">
        <v>431</v>
      </c>
      <c r="D85" s="84">
        <v>6.298</v>
      </c>
      <c r="E85" s="84">
        <v>0.23213098437499999</v>
      </c>
      <c r="F85" s="84">
        <v>-10.124029726416017</v>
      </c>
      <c r="G85" s="84">
        <v>0.52195934374999997</v>
      </c>
      <c r="H85" s="84">
        <v>-22.997372547697466</v>
      </c>
      <c r="I85" s="101">
        <v>-27.816433924148619</v>
      </c>
      <c r="J85" s="78">
        <v>-11.388036660491679</v>
      </c>
      <c r="K85" s="79">
        <v>8.2876999642743726E-2</v>
      </c>
      <c r="L85" s="79"/>
      <c r="M85" s="79"/>
      <c r="N85" s="79">
        <v>0</v>
      </c>
      <c r="O85" s="180">
        <v>2.995472477846875E-2</v>
      </c>
      <c r="P85" s="81">
        <v>0.47562281324974198</v>
      </c>
      <c r="Q85" s="79">
        <v>3.6857888913147029E-2</v>
      </c>
      <c r="R85" s="79"/>
      <c r="S85" s="180">
        <v>1.3594779059062506E-3</v>
      </c>
      <c r="T85" s="82">
        <v>2.1585867035666093E-2</v>
      </c>
      <c r="U85" s="78">
        <v>22.033991614229606</v>
      </c>
      <c r="V85" s="102">
        <f t="shared" si="2"/>
        <v>0.82016036443447438</v>
      </c>
      <c r="W85" s="102">
        <f t="shared" si="3"/>
        <v>3.7222505063713142E-2</v>
      </c>
      <c r="X85" s="1" t="s">
        <v>413</v>
      </c>
    </row>
    <row r="86" spans="1:31" s="1" customFormat="1" ht="11.25" customHeight="1" x14ac:dyDescent="0.2">
      <c r="A86" s="201">
        <v>45188</v>
      </c>
      <c r="B86" s="83">
        <v>58</v>
      </c>
      <c r="C86" s="83" t="s">
        <v>432</v>
      </c>
      <c r="D86" s="84">
        <v>6.1820000000000004</v>
      </c>
      <c r="E86" s="84">
        <v>0.22018103124999999</v>
      </c>
      <c r="F86" s="84">
        <v>-11.582464559771299</v>
      </c>
      <c r="G86" s="84">
        <v>0.3500696875</v>
      </c>
      <c r="H86" s="84">
        <v>-22.596999911042449</v>
      </c>
      <c r="I86" s="101">
        <v>-27.410175809734774</v>
      </c>
      <c r="J86" s="78">
        <v>-12.846471493846961</v>
      </c>
      <c r="K86" s="79">
        <v>5.6627254529278546E-2</v>
      </c>
      <c r="L86" s="79"/>
      <c r="M86" s="79"/>
      <c r="N86" s="79">
        <v>0</v>
      </c>
      <c r="O86" s="180">
        <v>2.0090149295937502E-2</v>
      </c>
      <c r="P86" s="81">
        <v>0.3249781510180767</v>
      </c>
      <c r="Q86" s="79">
        <v>3.5616472217728887E-2</v>
      </c>
      <c r="R86" s="79"/>
      <c r="S86" s="180">
        <v>8.6993612618750139E-4</v>
      </c>
      <c r="T86" s="82">
        <v>1.4072082274142693E-2</v>
      </c>
      <c r="U86" s="78">
        <v>23.093821133722383</v>
      </c>
      <c r="V86" s="102">
        <f t="shared" si="2"/>
        <v>0.55006828772276883</v>
      </c>
      <c r="W86" s="102">
        <f t="shared" si="3"/>
        <v>2.3818851135013787E-2</v>
      </c>
      <c r="X86" s="1" t="s">
        <v>413</v>
      </c>
    </row>
    <row r="87" spans="1:31" s="1" customFormat="1" ht="11.25" customHeight="1" x14ac:dyDescent="0.2">
      <c r="A87" s="201">
        <v>45188</v>
      </c>
      <c r="B87" s="83">
        <v>59</v>
      </c>
      <c r="C87" s="83" t="s">
        <v>433</v>
      </c>
      <c r="D87" s="84">
        <v>6.8170000000000002</v>
      </c>
      <c r="E87" s="84">
        <v>0.22009726562500001</v>
      </c>
      <c r="F87" s="84">
        <v>-10.612650083861475</v>
      </c>
      <c r="G87" s="84">
        <v>0.4323904375</v>
      </c>
      <c r="H87" s="84">
        <v>-22.283183347019232</v>
      </c>
      <c r="I87" s="101">
        <v>-27.091746142220416</v>
      </c>
      <c r="J87" s="78">
        <v>-11.876657017937136</v>
      </c>
      <c r="K87" s="79">
        <v>6.3428258398122342E-2</v>
      </c>
      <c r="L87" s="79"/>
      <c r="M87" s="79"/>
      <c r="N87" s="79">
        <v>0</v>
      </c>
      <c r="O87" s="180">
        <v>2.4814454817687501E-2</v>
      </c>
      <c r="P87" s="81">
        <v>0.36400843212098433</v>
      </c>
      <c r="Q87" s="79">
        <v>3.2286528623294702E-2</v>
      </c>
      <c r="R87" s="79"/>
      <c r="S87" s="180">
        <v>8.6650458359375203E-4</v>
      </c>
      <c r="T87" s="82">
        <v>1.2710937121809476E-2</v>
      </c>
      <c r="U87" s="78">
        <v>28.63741899064367</v>
      </c>
      <c r="V87" s="102">
        <f t="shared" si="2"/>
        <v>0.6794197729082837</v>
      </c>
      <c r="W87" s="102">
        <f t="shared" si="3"/>
        <v>2.372489549879693E-2</v>
      </c>
      <c r="X87" s="1" t="s">
        <v>413</v>
      </c>
    </row>
    <row r="88" spans="1:31" s="1" customFormat="1" ht="11.25" customHeight="1" x14ac:dyDescent="0.2">
      <c r="A88" s="201">
        <v>45188</v>
      </c>
      <c r="B88" s="83">
        <v>60</v>
      </c>
      <c r="C88" s="83" t="s">
        <v>434</v>
      </c>
      <c r="D88" s="84">
        <v>6.2880000000000003</v>
      </c>
      <c r="E88" s="84">
        <v>0.21604134375</v>
      </c>
      <c r="F88" s="84">
        <v>-4.9418807733624392</v>
      </c>
      <c r="G88" s="84">
        <v>0.39756425000000001</v>
      </c>
      <c r="H88" s="84">
        <v>-22.336073705734524</v>
      </c>
      <c r="I88" s="101">
        <v>-27.145413989208819</v>
      </c>
      <c r="J88" s="78">
        <v>-6.2058877074380998</v>
      </c>
      <c r="K88" s="79">
        <v>6.3225866730279898E-2</v>
      </c>
      <c r="L88" s="79"/>
      <c r="M88" s="79"/>
      <c r="N88" s="79">
        <v>0</v>
      </c>
      <c r="O88" s="180">
        <v>2.281581474325E-2</v>
      </c>
      <c r="P88" s="81">
        <v>0.36284692657840328</v>
      </c>
      <c r="Q88" s="79">
        <v>3.4357720062022902E-2</v>
      </c>
      <c r="R88" s="79"/>
      <c r="S88" s="180">
        <v>7.0034968806250222E-4</v>
      </c>
      <c r="T88" s="82">
        <v>1.1137876718551244E-2</v>
      </c>
      <c r="U88" s="78">
        <v>32.577746705891045</v>
      </c>
      <c r="V88" s="102">
        <f t="shared" si="2"/>
        <v>0.62469700767018499</v>
      </c>
      <c r="W88" s="102">
        <f t="shared" si="3"/>
        <v>1.9175574459151312E-2</v>
      </c>
      <c r="X88" s="1" t="s">
        <v>413</v>
      </c>
    </row>
    <row r="89" spans="1:31" s="1" customFormat="1" ht="11.25" customHeight="1" x14ac:dyDescent="0.2">
      <c r="B89" s="110"/>
      <c r="C89" s="110"/>
      <c r="D89" s="85"/>
      <c r="E89" s="85"/>
      <c r="F89" s="85"/>
      <c r="K89" s="5"/>
      <c r="L89" s="5"/>
      <c r="M89" s="5"/>
    </row>
    <row r="90" spans="1:31" s="90" customFormat="1" ht="11.25" customHeight="1" x14ac:dyDescent="0.25">
      <c r="B90" s="90" t="s">
        <v>712</v>
      </c>
      <c r="I90" s="100">
        <v>8.5902149403215666E-2</v>
      </c>
      <c r="J90" s="100">
        <v>0.26329592438853699</v>
      </c>
      <c r="K90" s="87"/>
      <c r="N90" s="87"/>
      <c r="O90" s="88"/>
      <c r="P90" s="100">
        <v>0.39514219075914675</v>
      </c>
      <c r="Q90" s="87"/>
      <c r="R90" s="87"/>
      <c r="S90" s="88"/>
      <c r="T90" s="100">
        <v>0.38742956144757651</v>
      </c>
      <c r="U90" s="100">
        <v>1.6515942471446556</v>
      </c>
      <c r="V90" s="208"/>
      <c r="W90" s="208"/>
      <c r="Y90" s="209"/>
      <c r="Z90" s="209"/>
      <c r="AA90" s="209"/>
      <c r="AB90" s="209"/>
      <c r="AC90" s="209"/>
      <c r="AD90" s="209"/>
      <c r="AE90" s="209"/>
    </row>
    <row r="91" spans="1:31" s="207" customFormat="1" x14ac:dyDescent="0.25"/>
    <row r="92" spans="1:31" s="1" customFormat="1" ht="11.25" customHeight="1" x14ac:dyDescent="0.2">
      <c r="B92" s="75"/>
      <c r="C92" s="75" t="s">
        <v>40</v>
      </c>
      <c r="D92" s="75" t="s">
        <v>54</v>
      </c>
      <c r="E92" s="75" t="s">
        <v>80</v>
      </c>
      <c r="F92" s="75" t="s">
        <v>41</v>
      </c>
      <c r="G92" s="75" t="s">
        <v>81</v>
      </c>
      <c r="H92" s="99" t="s">
        <v>42</v>
      </c>
      <c r="I92" s="76" t="s">
        <v>715</v>
      </c>
      <c r="J92" s="77" t="s">
        <v>714</v>
      </c>
      <c r="K92" s="77" t="s">
        <v>45</v>
      </c>
      <c r="L92" s="77" t="s">
        <v>46</v>
      </c>
      <c r="M92" s="77" t="s">
        <v>47</v>
      </c>
      <c r="N92" s="178" t="s">
        <v>38</v>
      </c>
      <c r="O92" s="77" t="s">
        <v>38</v>
      </c>
      <c r="P92" s="77" t="s">
        <v>48</v>
      </c>
      <c r="Q92" s="77" t="s">
        <v>49</v>
      </c>
      <c r="R92" s="77" t="s">
        <v>39</v>
      </c>
      <c r="S92" s="77" t="s">
        <v>39</v>
      </c>
      <c r="T92" s="77" t="s">
        <v>50</v>
      </c>
      <c r="U92" s="77" t="s">
        <v>51</v>
      </c>
      <c r="V92" s="202" t="s">
        <v>585</v>
      </c>
      <c r="W92" s="202" t="s">
        <v>586</v>
      </c>
    </row>
    <row r="93" spans="1:31" s="1" customFormat="1" ht="11.25" customHeight="1" x14ac:dyDescent="0.2">
      <c r="A93" s="201">
        <v>45189</v>
      </c>
      <c r="B93" s="83">
        <v>38</v>
      </c>
      <c r="C93" s="83" t="s">
        <v>435</v>
      </c>
      <c r="D93" s="84">
        <v>6.1870000000000003</v>
      </c>
      <c r="E93" s="84">
        <v>8.4100007812500002E-2</v>
      </c>
      <c r="F93" s="84">
        <v>-4.0553714321766021</v>
      </c>
      <c r="G93" s="84">
        <v>0.43424131249999998</v>
      </c>
      <c r="H93" s="84">
        <v>-22.726958300292658</v>
      </c>
      <c r="I93" s="101">
        <v>-27.411964750015116</v>
      </c>
      <c r="J93" s="78">
        <v>-6.2023511233538011</v>
      </c>
      <c r="K93" s="79">
        <v>7.0186085744302559E-2</v>
      </c>
      <c r="L93" s="79"/>
      <c r="M93" s="79"/>
      <c r="N93" s="79">
        <v>0</v>
      </c>
      <c r="O93" s="180">
        <v>2.3896733668187498E-2</v>
      </c>
      <c r="P93" s="81">
        <v>0.38624104845947144</v>
      </c>
      <c r="Q93" s="79">
        <v>1.359301888031356E-2</v>
      </c>
      <c r="R93" s="79"/>
      <c r="S93" s="180">
        <v>2.0056169863125E-3</v>
      </c>
      <c r="T93" s="82">
        <v>3.241663142577178E-2</v>
      </c>
      <c r="U93" s="78">
        <v>11.914903908010725</v>
      </c>
      <c r="V93" s="102">
        <f>O93*27.38</f>
        <v>0.65429256783497369</v>
      </c>
      <c r="W93" s="102">
        <f t="shared" ref="W93:W125" si="4">IF(S93&lt;0,0,S93*27.38)</f>
        <v>5.4913793085236251E-2</v>
      </c>
      <c r="X93" s="1" t="s">
        <v>413</v>
      </c>
    </row>
    <row r="94" spans="1:31" s="1" customFormat="1" ht="11.25" customHeight="1" x14ac:dyDescent="0.2">
      <c r="A94" s="201">
        <v>45189</v>
      </c>
      <c r="B94" s="83">
        <v>39</v>
      </c>
      <c r="C94" s="83" t="s">
        <v>436</v>
      </c>
      <c r="D94" s="84">
        <v>6.2690000000000001</v>
      </c>
      <c r="E94" s="84">
        <v>8.5355132812499998E-2</v>
      </c>
      <c r="F94" s="84">
        <v>-1.3931777596105643</v>
      </c>
      <c r="G94" s="84">
        <v>0.48080681250000001</v>
      </c>
      <c r="H94" s="84">
        <v>-25.746718433612113</v>
      </c>
      <c r="I94" s="101">
        <v>-30.457090868454454</v>
      </c>
      <c r="J94" s="78">
        <v>-3.5401574507877633</v>
      </c>
      <c r="K94" s="79">
        <v>7.6695934359546983E-2</v>
      </c>
      <c r="L94" s="79"/>
      <c r="M94" s="79"/>
      <c r="N94" s="79">
        <v>0</v>
      </c>
      <c r="O94" s="180">
        <v>2.6459279698687499E-2</v>
      </c>
      <c r="P94" s="81">
        <v>0.42206539637402296</v>
      </c>
      <c r="Q94" s="79">
        <v>1.3615430341761046E-2</v>
      </c>
      <c r="R94" s="79"/>
      <c r="S94" s="180">
        <v>2.0355492073124998E-3</v>
      </c>
      <c r="T94" s="82">
        <v>3.2470078279031742E-2</v>
      </c>
      <c r="U94" s="78">
        <v>12.998594975564961</v>
      </c>
      <c r="V94" s="102">
        <f t="shared" ref="V93:V125" si="5">O94*27.38</f>
        <v>0.72445507815006371</v>
      </c>
      <c r="W94" s="102">
        <f t="shared" si="4"/>
        <v>5.5733337296216247E-2</v>
      </c>
      <c r="X94" s="1" t="s">
        <v>413</v>
      </c>
      <c r="Z94" s="1" t="s">
        <v>727</v>
      </c>
      <c r="AA94" s="211">
        <f>AVERAGE(V93:V95)</f>
        <v>0.66058478213085325</v>
      </c>
    </row>
    <row r="95" spans="1:31" s="1" customFormat="1" ht="11.25" customHeight="1" x14ac:dyDescent="0.2">
      <c r="A95" s="201">
        <v>45189</v>
      </c>
      <c r="B95" s="83">
        <v>40</v>
      </c>
      <c r="C95" s="83" t="s">
        <v>437</v>
      </c>
      <c r="D95" s="84">
        <v>6.3150000000000004</v>
      </c>
      <c r="E95" s="84">
        <v>6.9802429687500001E-2</v>
      </c>
      <c r="F95" s="84">
        <v>-0.38863200593364233</v>
      </c>
      <c r="G95" s="84">
        <v>0.40020387499999999</v>
      </c>
      <c r="H95" s="84">
        <v>-22.227519974917417</v>
      </c>
      <c r="I95" s="101">
        <v>-26.908331142706722</v>
      </c>
      <c r="J95" s="78">
        <v>-2.5356116971108413</v>
      </c>
      <c r="K95" s="79">
        <v>6.3373535233570852E-2</v>
      </c>
      <c r="L95" s="79"/>
      <c r="M95" s="79"/>
      <c r="N95" s="79">
        <v>0</v>
      </c>
      <c r="O95" s="180">
        <v>2.2023619445124997E-2</v>
      </c>
      <c r="P95" s="81">
        <v>0.34875090174386375</v>
      </c>
      <c r="Q95" s="79">
        <v>1.1053433046318289E-2</v>
      </c>
      <c r="R95" s="79"/>
      <c r="S95" s="180">
        <v>1.6646483431875E-3</v>
      </c>
      <c r="T95" s="82">
        <v>2.6360227128859857E-2</v>
      </c>
      <c r="U95" s="78">
        <v>13.230193353001965</v>
      </c>
      <c r="V95" s="102">
        <f t="shared" si="5"/>
        <v>0.60300670040752236</v>
      </c>
      <c r="W95" s="102">
        <f t="shared" si="4"/>
        <v>4.5578071636473746E-2</v>
      </c>
      <c r="X95" s="1" t="s">
        <v>413</v>
      </c>
      <c r="Z95" s="1" t="s">
        <v>728</v>
      </c>
      <c r="AA95" s="211">
        <f>AVERAGE(V96:V98)</f>
        <v>0.55110306598027126</v>
      </c>
    </row>
    <row r="96" spans="1:31" s="1" customFormat="1" ht="11.25" customHeight="1" x14ac:dyDescent="0.2">
      <c r="A96" s="201">
        <v>45189</v>
      </c>
      <c r="B96" s="83">
        <v>41</v>
      </c>
      <c r="C96" s="83" t="s">
        <v>438</v>
      </c>
      <c r="D96" s="84">
        <v>6.1289999999999996</v>
      </c>
      <c r="E96" s="84">
        <v>6.3852078125000003E-2</v>
      </c>
      <c r="F96" s="84">
        <v>9.697146521546296</v>
      </c>
      <c r="G96" s="84">
        <v>0.39675865625000001</v>
      </c>
      <c r="H96" s="84">
        <v>-23.965719085262414</v>
      </c>
      <c r="I96" s="101">
        <v>-28.661131125578617</v>
      </c>
      <c r="J96" s="78">
        <v>7.550166830369097</v>
      </c>
      <c r="K96" s="79">
        <v>6.473464778104096E-2</v>
      </c>
      <c r="L96" s="79"/>
      <c r="M96" s="79"/>
      <c r="N96" s="79">
        <v>0</v>
      </c>
      <c r="O96" s="180">
        <v>2.1834025612093751E-2</v>
      </c>
      <c r="P96" s="81">
        <v>0.35624124020384651</v>
      </c>
      <c r="Q96" s="79">
        <v>1.0418025473160387E-2</v>
      </c>
      <c r="R96" s="79"/>
      <c r="S96" s="180">
        <v>1.5227443591250001E-3</v>
      </c>
      <c r="T96" s="82">
        <v>2.4844907148392888E-2</v>
      </c>
      <c r="U96" s="78">
        <v>14.338602196260984</v>
      </c>
      <c r="V96" s="102">
        <f t="shared" si="5"/>
        <v>0.59781562125912691</v>
      </c>
      <c r="W96" s="102">
        <f t="shared" si="4"/>
        <v>4.16927405528425E-2</v>
      </c>
      <c r="X96" s="1" t="s">
        <v>413</v>
      </c>
      <c r="Z96" s="1" t="s">
        <v>729</v>
      </c>
      <c r="AA96" s="211">
        <f>AVERAGE(V99:V101)</f>
        <v>0.38589525070057579</v>
      </c>
    </row>
    <row r="97" spans="1:27" s="1" customFormat="1" ht="11.25" customHeight="1" x14ac:dyDescent="0.2">
      <c r="A97" s="201">
        <v>45189</v>
      </c>
      <c r="B97" s="83">
        <v>42</v>
      </c>
      <c r="C97" s="83" t="s">
        <v>439</v>
      </c>
      <c r="D97" s="84">
        <v>6.2370000000000001</v>
      </c>
      <c r="E97" s="84">
        <v>6.0157003906249999E-2</v>
      </c>
      <c r="F97" s="84">
        <v>3.4659765640354667</v>
      </c>
      <c r="G97" s="84">
        <v>0.38226862499999997</v>
      </c>
      <c r="H97" s="84">
        <v>-23.529146414594205</v>
      </c>
      <c r="I97" s="101">
        <v>-28.220891244476796</v>
      </c>
      <c r="J97" s="78">
        <v>1.3189968728582677</v>
      </c>
      <c r="K97" s="79">
        <v>6.1290464165464159E-2</v>
      </c>
      <c r="L97" s="79"/>
      <c r="M97" s="79"/>
      <c r="N97" s="79">
        <v>0</v>
      </c>
      <c r="O97" s="180">
        <v>2.1036624702374999E-2</v>
      </c>
      <c r="P97" s="81">
        <v>0.33728755334896582</v>
      </c>
      <c r="Q97" s="79">
        <v>9.6451826048180207E-3</v>
      </c>
      <c r="R97" s="79"/>
      <c r="S97" s="180">
        <v>1.43462422915625E-3</v>
      </c>
      <c r="T97" s="82">
        <v>2.3001831475970017E-2</v>
      </c>
      <c r="U97" s="78">
        <v>14.663508586319733</v>
      </c>
      <c r="V97" s="102">
        <f t="shared" si="5"/>
        <v>0.57598278435102745</v>
      </c>
      <c r="W97" s="102">
        <f t="shared" si="4"/>
        <v>3.9280011394298125E-2</v>
      </c>
      <c r="X97" s="1" t="s">
        <v>413</v>
      </c>
      <c r="Z97" s="1" t="s">
        <v>730</v>
      </c>
      <c r="AA97" s="211">
        <f>AVERAGE(V102:V104)</f>
        <v>1.0305382226612345</v>
      </c>
    </row>
    <row r="98" spans="1:27" s="1" customFormat="1" ht="11.25" customHeight="1" x14ac:dyDescent="0.2">
      <c r="A98" s="201">
        <v>45189</v>
      </c>
      <c r="B98" s="83">
        <v>43</v>
      </c>
      <c r="C98" s="83" t="s">
        <v>440</v>
      </c>
      <c r="D98" s="84">
        <v>6.0369999999999999</v>
      </c>
      <c r="E98" s="84">
        <v>5.4964132812499997E-2</v>
      </c>
      <c r="F98" s="84">
        <v>-5.8025974097498656</v>
      </c>
      <c r="G98" s="84">
        <v>0.31824203125</v>
      </c>
      <c r="H98" s="84">
        <v>-22.163881082975486</v>
      </c>
      <c r="I98" s="101">
        <v>-26.844157684072478</v>
      </c>
      <c r="J98" s="78">
        <v>-7.9495771009270646</v>
      </c>
      <c r="K98" s="79">
        <v>5.2715261098227599E-2</v>
      </c>
      <c r="L98" s="79"/>
      <c r="M98" s="79"/>
      <c r="N98" s="79">
        <v>0</v>
      </c>
      <c r="O98" s="180">
        <v>1.7513177221718749E-2</v>
      </c>
      <c r="P98" s="81">
        <v>0.29009735334965625</v>
      </c>
      <c r="Q98" s="79">
        <v>9.1045441133841311E-3</v>
      </c>
      <c r="R98" s="79"/>
      <c r="S98" s="180">
        <v>1.3107846393125E-3</v>
      </c>
      <c r="T98" s="82">
        <v>2.1712516801598476E-2</v>
      </c>
      <c r="U98" s="78">
        <v>13.360834950663079</v>
      </c>
      <c r="V98" s="102">
        <f t="shared" si="5"/>
        <v>0.47951079233065935</v>
      </c>
      <c r="W98" s="102">
        <f t="shared" si="4"/>
        <v>3.588928342437625E-2</v>
      </c>
      <c r="X98" s="1" t="s">
        <v>413</v>
      </c>
      <c r="Z98" s="1" t="s">
        <v>731</v>
      </c>
      <c r="AA98" s="211">
        <f>AVERAGE(V105:V107)</f>
        <v>2.9986743538459577</v>
      </c>
    </row>
    <row r="99" spans="1:27" s="1" customFormat="1" ht="11.25" customHeight="1" x14ac:dyDescent="0.2">
      <c r="A99" s="201">
        <v>45189</v>
      </c>
      <c r="B99" s="83">
        <v>44</v>
      </c>
      <c r="C99" s="83" t="s">
        <v>441</v>
      </c>
      <c r="D99" s="84">
        <v>6.4050000000000002</v>
      </c>
      <c r="E99" s="84">
        <v>3.4379738281250002E-2</v>
      </c>
      <c r="F99" s="84">
        <v>-12.313799117750545</v>
      </c>
      <c r="G99" s="84">
        <v>0.250848953125</v>
      </c>
      <c r="H99" s="84">
        <v>-22.148719264685024</v>
      </c>
      <c r="I99" s="101">
        <v>-26.828868506508378</v>
      </c>
      <c r="J99" s="78">
        <v>-14.460778808927744</v>
      </c>
      <c r="K99" s="79">
        <v>3.9164551619828257E-2</v>
      </c>
      <c r="L99" s="79"/>
      <c r="M99" s="79"/>
      <c r="N99" s="79">
        <v>0</v>
      </c>
      <c r="O99" s="180">
        <v>1.3804468739421875E-2</v>
      </c>
      <c r="P99" s="81">
        <v>0.21552644401907689</v>
      </c>
      <c r="Q99" s="79">
        <v>5.3676406371975021E-3</v>
      </c>
      <c r="R99" s="79"/>
      <c r="S99" s="180">
        <v>8.1988799853125014E-4</v>
      </c>
      <c r="T99" s="82">
        <v>1.2800749391588605E-2</v>
      </c>
      <c r="U99" s="78">
        <v>16.837017695284285</v>
      </c>
      <c r="V99" s="102">
        <f t="shared" si="5"/>
        <v>0.37796635408537094</v>
      </c>
      <c r="W99" s="102">
        <f t="shared" si="4"/>
        <v>2.2448533399785628E-2</v>
      </c>
      <c r="X99" s="1" t="s">
        <v>413</v>
      </c>
      <c r="Z99" s="1" t="s">
        <v>732</v>
      </c>
      <c r="AA99" s="211">
        <f>AVERAGE(V108:V110)</f>
        <v>2.0003640122307424</v>
      </c>
    </row>
    <row r="100" spans="1:27" s="1" customFormat="1" ht="11.25" customHeight="1" x14ac:dyDescent="0.2">
      <c r="A100" s="201">
        <v>45189</v>
      </c>
      <c r="B100" s="83">
        <v>45</v>
      </c>
      <c r="C100" s="83" t="s">
        <v>442</v>
      </c>
      <c r="D100" s="84">
        <v>6.4180000000000001</v>
      </c>
      <c r="E100" s="84">
        <v>3.8789179687500001E-2</v>
      </c>
      <c r="F100" s="84">
        <v>-6.8850995491674949</v>
      </c>
      <c r="G100" s="84">
        <v>0.24809814062499999</v>
      </c>
      <c r="H100" s="84">
        <v>-22.282746248824207</v>
      </c>
      <c r="I100" s="101">
        <v>-26.96402131731433</v>
      </c>
      <c r="J100" s="78">
        <v>-9.032079240344693</v>
      </c>
      <c r="K100" s="79">
        <v>3.8656612749298845E-2</v>
      </c>
      <c r="L100" s="79"/>
      <c r="M100" s="79"/>
      <c r="N100" s="79">
        <v>0</v>
      </c>
      <c r="O100" s="180">
        <v>1.3653088776734374E-2</v>
      </c>
      <c r="P100" s="81">
        <v>0.21273120562066644</v>
      </c>
      <c r="Q100" s="79">
        <v>6.0438111074322216E-3</v>
      </c>
      <c r="R100" s="79"/>
      <c r="S100" s="180">
        <v>9.2504435718750004E-4</v>
      </c>
      <c r="T100" s="82">
        <v>1.4413280729004363E-2</v>
      </c>
      <c r="U100" s="78">
        <v>14.759388207334352</v>
      </c>
      <c r="V100" s="102">
        <f t="shared" si="5"/>
        <v>0.37382157070698713</v>
      </c>
      <c r="W100" s="102">
        <f t="shared" si="4"/>
        <v>2.5327714499793749E-2</v>
      </c>
      <c r="X100" s="1" t="s">
        <v>413</v>
      </c>
      <c r="Z100" s="1" t="s">
        <v>733</v>
      </c>
      <c r="AA100" s="211">
        <f>AVERAGE(V111:V113)</f>
        <v>1.2712134654138045</v>
      </c>
    </row>
    <row r="101" spans="1:27" s="1" customFormat="1" ht="11.25" customHeight="1" x14ac:dyDescent="0.2">
      <c r="A101" s="201">
        <v>45189</v>
      </c>
      <c r="B101" s="83">
        <v>46</v>
      </c>
      <c r="C101" s="83" t="s">
        <v>443</v>
      </c>
      <c r="D101" s="84">
        <v>6.2809999999999997</v>
      </c>
      <c r="E101" s="84">
        <v>4.8573132812500003E-2</v>
      </c>
      <c r="F101" s="84">
        <v>-9.049985296224472</v>
      </c>
      <c r="G101" s="84">
        <v>0.26938653125000001</v>
      </c>
      <c r="H101" s="84">
        <v>-22.410038656429087</v>
      </c>
      <c r="I101" s="101">
        <v>-27.092382981143089</v>
      </c>
      <c r="J101" s="78">
        <v>-11.196964987401671</v>
      </c>
      <c r="K101" s="79">
        <v>4.2889114989651332E-2</v>
      </c>
      <c r="L101" s="79"/>
      <c r="M101" s="79"/>
      <c r="N101" s="79">
        <v>0</v>
      </c>
      <c r="O101" s="180">
        <v>1.482461020121875E-2</v>
      </c>
      <c r="P101" s="81">
        <v>0.23602308869955022</v>
      </c>
      <c r="Q101" s="79">
        <v>7.7333438644324164E-3</v>
      </c>
      <c r="R101" s="79"/>
      <c r="S101" s="180">
        <v>1.1583720713125001E-3</v>
      </c>
      <c r="T101" s="82">
        <v>1.8442478447898428E-2</v>
      </c>
      <c r="U101" s="78">
        <v>12.79779663922805</v>
      </c>
      <c r="V101" s="102">
        <f t="shared" si="5"/>
        <v>0.40589782730936935</v>
      </c>
      <c r="W101" s="102">
        <f t="shared" si="4"/>
        <v>3.1716227312536253E-2</v>
      </c>
      <c r="X101" s="1" t="s">
        <v>413</v>
      </c>
      <c r="Z101" s="1" t="s">
        <v>734</v>
      </c>
      <c r="AA101" s="211">
        <f>AVERAGE(V114:V116)</f>
        <v>1.1283648603113214</v>
      </c>
    </row>
    <row r="102" spans="1:27" s="1" customFormat="1" ht="11.25" customHeight="1" x14ac:dyDescent="0.2">
      <c r="A102" s="201">
        <v>45189</v>
      </c>
      <c r="B102" s="83">
        <v>47</v>
      </c>
      <c r="C102" s="83" t="s">
        <v>444</v>
      </c>
      <c r="D102" s="84">
        <v>6.5049999999999999</v>
      </c>
      <c r="E102" s="84">
        <v>0.10993427343749999</v>
      </c>
      <c r="F102" s="84">
        <v>-0.65225017507253291</v>
      </c>
      <c r="G102" s="84">
        <v>0.61288212500000006</v>
      </c>
      <c r="H102" s="84">
        <v>-22.004665351663277</v>
      </c>
      <c r="I102" s="101">
        <v>-26.683604540617246</v>
      </c>
      <c r="J102" s="78">
        <v>-2.7992298662497319</v>
      </c>
      <c r="K102" s="79">
        <v>9.4217083013066888E-2</v>
      </c>
      <c r="L102" s="79"/>
      <c r="M102" s="79"/>
      <c r="N102" s="79">
        <v>0</v>
      </c>
      <c r="O102" s="180">
        <v>3.3727516220874998E-2</v>
      </c>
      <c r="P102" s="81">
        <v>0.5184860295292083</v>
      </c>
      <c r="Q102" s="79">
        <v>1.689996517102229E-2</v>
      </c>
      <c r="R102" s="79"/>
      <c r="S102" s="180">
        <v>2.6217125529375E-3</v>
      </c>
      <c r="T102" s="82">
        <v>4.0303036939853959E-2</v>
      </c>
      <c r="U102" s="78">
        <v>12.864688839775731</v>
      </c>
      <c r="V102" s="102">
        <f t="shared" si="5"/>
        <v>0.9234593941275574</v>
      </c>
      <c r="W102" s="102">
        <f t="shared" si="4"/>
        <v>7.1782489699428742E-2</v>
      </c>
      <c r="X102" s="1" t="s">
        <v>413</v>
      </c>
      <c r="Z102" s="1" t="s">
        <v>735</v>
      </c>
      <c r="AA102" s="211">
        <f>AVERAGE(V117:V119)</f>
        <v>0.64333027986728275</v>
      </c>
    </row>
    <row r="103" spans="1:27" s="1" customFormat="1" ht="11.25" customHeight="1" x14ac:dyDescent="0.2">
      <c r="A103" s="201">
        <v>45189</v>
      </c>
      <c r="B103" s="83">
        <v>48</v>
      </c>
      <c r="C103" s="83" t="s">
        <v>445</v>
      </c>
      <c r="D103" s="84">
        <v>6.593</v>
      </c>
      <c r="E103" s="84">
        <v>0.11516408593749999</v>
      </c>
      <c r="F103" s="84">
        <v>-0.53741349045621778</v>
      </c>
      <c r="G103" s="84">
        <v>0.60490693750000002</v>
      </c>
      <c r="H103" s="84">
        <v>-21.917363761723337</v>
      </c>
      <c r="I103" s="101">
        <v>-26.595569617321811</v>
      </c>
      <c r="J103" s="78">
        <v>-2.6843931816334168</v>
      </c>
      <c r="K103" s="79">
        <v>9.1749876763233734E-2</v>
      </c>
      <c r="L103" s="79"/>
      <c r="M103" s="79"/>
      <c r="N103" s="79">
        <v>0</v>
      </c>
      <c r="O103" s="180">
        <v>3.3288633677562497E-2</v>
      </c>
      <c r="P103" s="81">
        <v>0.50490874681575149</v>
      </c>
      <c r="Q103" s="79">
        <v>1.7467630204383435E-2</v>
      </c>
      <c r="R103" s="79"/>
      <c r="S103" s="180">
        <v>2.7464331214375002E-3</v>
      </c>
      <c r="T103" s="82">
        <v>4.1656804511413625E-2</v>
      </c>
      <c r="U103" s="78">
        <v>12.120678787961536</v>
      </c>
      <c r="V103" s="102">
        <f t="shared" si="5"/>
        <v>0.91144279009166118</v>
      </c>
      <c r="W103" s="102">
        <f t="shared" si="4"/>
        <v>7.5197338864958746E-2</v>
      </c>
      <c r="X103" s="1" t="s">
        <v>413</v>
      </c>
      <c r="Z103" s="1" t="s">
        <v>736</v>
      </c>
      <c r="AA103" s="211">
        <f>AVERAGE(V120:V122)</f>
        <v>0.5903027678031495</v>
      </c>
    </row>
    <row r="104" spans="1:27" s="1" customFormat="1" ht="11.25" customHeight="1" x14ac:dyDescent="0.2">
      <c r="A104" s="201">
        <v>45189</v>
      </c>
      <c r="B104" s="83">
        <v>49</v>
      </c>
      <c r="C104" s="83" t="s">
        <v>446</v>
      </c>
      <c r="D104" s="84">
        <v>6.633</v>
      </c>
      <c r="E104" s="84">
        <v>0.11863416406250001</v>
      </c>
      <c r="F104" s="84">
        <v>-1.2013182032175607</v>
      </c>
      <c r="G104" s="84">
        <v>0.83405574999999998</v>
      </c>
      <c r="H104" s="84">
        <v>-21.893411414315366</v>
      </c>
      <c r="I104" s="101">
        <v>-26.571416070195614</v>
      </c>
      <c r="J104" s="78">
        <v>-3.3482978943947597</v>
      </c>
      <c r="K104" s="79">
        <v>0.12574336650082918</v>
      </c>
      <c r="L104" s="79"/>
      <c r="M104" s="79"/>
      <c r="N104" s="79">
        <v>0</v>
      </c>
      <c r="O104" s="180">
        <v>4.5898921978249997E-2</v>
      </c>
      <c r="P104" s="81">
        <v>0.69197832019071304</v>
      </c>
      <c r="Q104" s="79">
        <v>1.7885446112241823E-2</v>
      </c>
      <c r="R104" s="79"/>
      <c r="S104" s="180">
        <v>2.8291875445625001E-3</v>
      </c>
      <c r="T104" s="82">
        <v>4.2653211888474298E-2</v>
      </c>
      <c r="U104" s="78">
        <v>16.223357856379831</v>
      </c>
      <c r="V104" s="102">
        <f t="shared" si="5"/>
        <v>1.256712483764485</v>
      </c>
      <c r="W104" s="102">
        <f t="shared" si="4"/>
        <v>7.7463154970121254E-2</v>
      </c>
      <c r="X104" s="1" t="s">
        <v>413</v>
      </c>
      <c r="Z104" s="1" t="s">
        <v>737</v>
      </c>
      <c r="AA104" s="211">
        <f>AVERAGE(V123:V125)</f>
        <v>2.5466168852787932</v>
      </c>
    </row>
    <row r="105" spans="1:27" s="1" customFormat="1" ht="11.25" customHeight="1" x14ac:dyDescent="0.2">
      <c r="A105" s="201">
        <v>45189</v>
      </c>
      <c r="B105" s="83">
        <v>52</v>
      </c>
      <c r="C105" s="83" t="s">
        <v>447</v>
      </c>
      <c r="D105" s="84">
        <v>7.0330000000000004</v>
      </c>
      <c r="E105" s="84">
        <v>0.32911340625000002</v>
      </c>
      <c r="F105" s="84">
        <v>3.8797426529959544</v>
      </c>
      <c r="G105" s="84">
        <v>2.1824314999999999</v>
      </c>
      <c r="H105" s="84">
        <v>-21.789124742618217</v>
      </c>
      <c r="I105" s="101">
        <v>-26.46625339045621</v>
      </c>
      <c r="J105" s="78">
        <v>1.7327629618187554</v>
      </c>
      <c r="K105" s="79">
        <v>0.31031302431394847</v>
      </c>
      <c r="L105" s="79"/>
      <c r="M105" s="79"/>
      <c r="N105" s="79">
        <v>0</v>
      </c>
      <c r="O105" s="180">
        <v>0.12010138787649999</v>
      </c>
      <c r="P105" s="81">
        <v>1.70768360410209</v>
      </c>
      <c r="Q105" s="79">
        <v>4.6795593096829236E-2</v>
      </c>
      <c r="R105" s="79"/>
      <c r="S105" s="180">
        <v>7.8486965122500016E-3</v>
      </c>
      <c r="T105" s="82">
        <v>0.11159813041731836</v>
      </c>
      <c r="U105" s="78">
        <v>15.302080758129643</v>
      </c>
      <c r="V105" s="102">
        <f t="shared" si="5"/>
        <v>3.2883760000585696</v>
      </c>
      <c r="W105" s="102">
        <f t="shared" si="4"/>
        <v>0.21489731050540503</v>
      </c>
      <c r="X105" s="1" t="s">
        <v>413</v>
      </c>
    </row>
    <row r="106" spans="1:27" s="1" customFormat="1" ht="11.25" customHeight="1" x14ac:dyDescent="0.2">
      <c r="A106" s="201">
        <v>45189</v>
      </c>
      <c r="B106" s="83">
        <v>53</v>
      </c>
      <c r="C106" s="83" t="s">
        <v>448</v>
      </c>
      <c r="D106" s="84">
        <v>6.8739999999999997</v>
      </c>
      <c r="E106" s="84">
        <v>0.246860625</v>
      </c>
      <c r="F106" s="84">
        <v>3.3948684605791257</v>
      </c>
      <c r="G106" s="84">
        <v>1.5553718750000001</v>
      </c>
      <c r="H106" s="84">
        <v>-21.631220088021902</v>
      </c>
      <c r="I106" s="101">
        <v>-26.307022336761285</v>
      </c>
      <c r="J106" s="78">
        <v>1.2478887694019267</v>
      </c>
      <c r="K106" s="79">
        <v>0.22626882091940648</v>
      </c>
      <c r="L106" s="79"/>
      <c r="M106" s="79"/>
      <c r="N106" s="79">
        <v>0</v>
      </c>
      <c r="O106" s="180">
        <v>8.5593669653124996E-2</v>
      </c>
      <c r="P106" s="81">
        <v>1.2451799484015857</v>
      </c>
      <c r="Q106" s="79">
        <v>3.5912223596159441E-2</v>
      </c>
      <c r="R106" s="79"/>
      <c r="S106" s="180">
        <v>5.8871321850000003E-3</v>
      </c>
      <c r="T106" s="82">
        <v>8.5643470832121052E-2</v>
      </c>
      <c r="U106" s="78">
        <v>14.53911122824992</v>
      </c>
      <c r="V106" s="102">
        <f t="shared" si="5"/>
        <v>2.3435546751025624</v>
      </c>
      <c r="W106" s="102">
        <f t="shared" si="4"/>
        <v>0.1611896792253</v>
      </c>
      <c r="X106" s="1" t="s">
        <v>413</v>
      </c>
    </row>
    <row r="107" spans="1:27" s="1" customFormat="1" ht="11.25" customHeight="1" x14ac:dyDescent="0.2">
      <c r="A107" s="201">
        <v>45189</v>
      </c>
      <c r="B107" s="83">
        <v>54</v>
      </c>
      <c r="C107" s="83" t="s">
        <v>449</v>
      </c>
      <c r="D107" s="84">
        <v>7.3019999999999996</v>
      </c>
      <c r="E107" s="84">
        <v>0.35592759374999999</v>
      </c>
      <c r="F107" s="84">
        <v>2.8303318394158339</v>
      </c>
      <c r="G107" s="84">
        <v>2.2326830000000002</v>
      </c>
      <c r="H107" s="84">
        <v>-21.66394284075329</v>
      </c>
      <c r="I107" s="101">
        <v>-26.340019960615617</v>
      </c>
      <c r="J107" s="78">
        <v>0.68335214823863488</v>
      </c>
      <c r="K107" s="79">
        <v>0.30576321555738156</v>
      </c>
      <c r="L107" s="79"/>
      <c r="M107" s="79"/>
      <c r="N107" s="79">
        <v>0</v>
      </c>
      <c r="O107" s="180">
        <v>0.122866778173</v>
      </c>
      <c r="P107" s="81">
        <v>1.6826455515338266</v>
      </c>
      <c r="Q107" s="79">
        <v>4.8743850143796223E-2</v>
      </c>
      <c r="R107" s="79"/>
      <c r="S107" s="180">
        <v>8.4881612557500003E-3</v>
      </c>
      <c r="T107" s="82">
        <v>0.11624433382292523</v>
      </c>
      <c r="U107" s="78">
        <v>14.475075869908611</v>
      </c>
      <c r="V107" s="102">
        <f t="shared" si="5"/>
        <v>3.3640923863767398</v>
      </c>
      <c r="W107" s="102">
        <f t="shared" si="4"/>
        <v>0.23240585518243501</v>
      </c>
      <c r="X107" s="1" t="s">
        <v>413</v>
      </c>
    </row>
    <row r="108" spans="1:27" s="1" customFormat="1" ht="11.25" customHeight="1" x14ac:dyDescent="0.2">
      <c r="A108" s="201">
        <v>45189</v>
      </c>
      <c r="B108" s="83">
        <v>55</v>
      </c>
      <c r="C108" s="83" t="s">
        <v>450</v>
      </c>
      <c r="D108" s="84">
        <v>6.7709999999999999</v>
      </c>
      <c r="E108" s="84">
        <v>0.25117374999999997</v>
      </c>
      <c r="F108" s="84">
        <v>0.25070560174866863</v>
      </c>
      <c r="G108" s="84">
        <v>1.2850071249999999</v>
      </c>
      <c r="H108" s="84">
        <v>-21.630310425977886</v>
      </c>
      <c r="I108" s="101">
        <v>-26.306105033556097</v>
      </c>
      <c r="J108" s="78">
        <v>-1.8962740894285304</v>
      </c>
      <c r="K108" s="79">
        <v>0.1897809961600945</v>
      </c>
      <c r="L108" s="79"/>
      <c r="M108" s="79"/>
      <c r="N108" s="79">
        <v>0</v>
      </c>
      <c r="O108" s="180">
        <v>7.0715227095874994E-2</v>
      </c>
      <c r="P108" s="81">
        <v>1.0443837999686161</v>
      </c>
      <c r="Q108" s="79">
        <v>3.7095517648796331E-2</v>
      </c>
      <c r="R108" s="79"/>
      <c r="S108" s="180">
        <v>5.9899915899999994E-3</v>
      </c>
      <c r="T108" s="82">
        <v>8.8465390488849494E-2</v>
      </c>
      <c r="U108" s="78">
        <v>11.805563669560177</v>
      </c>
      <c r="V108" s="102">
        <f t="shared" si="5"/>
        <v>1.9361829178850574</v>
      </c>
      <c r="W108" s="102">
        <f t="shared" si="4"/>
        <v>0.16400596973419998</v>
      </c>
      <c r="X108" s="1" t="s">
        <v>413</v>
      </c>
    </row>
    <row r="109" spans="1:27" s="1" customFormat="1" ht="11.25" customHeight="1" x14ac:dyDescent="0.2">
      <c r="A109" s="201">
        <v>45189</v>
      </c>
      <c r="B109" s="83">
        <v>56</v>
      </c>
      <c r="C109" s="83" t="s">
        <v>451</v>
      </c>
      <c r="D109" s="84">
        <v>6.64</v>
      </c>
      <c r="E109" s="84">
        <v>0.28452378125</v>
      </c>
      <c r="F109" s="84">
        <v>-1.5833425907121335</v>
      </c>
      <c r="G109" s="84">
        <v>1.3086205</v>
      </c>
      <c r="H109" s="84">
        <v>-21.499122806335507</v>
      </c>
      <c r="I109" s="101">
        <v>-26.173815437908722</v>
      </c>
      <c r="J109" s="78">
        <v>-3.7303222818893325</v>
      </c>
      <c r="K109" s="79">
        <v>0.19708140060240964</v>
      </c>
      <c r="L109" s="79"/>
      <c r="M109" s="79"/>
      <c r="N109" s="79">
        <v>0</v>
      </c>
      <c r="O109" s="180">
        <v>7.2014694735499998E-2</v>
      </c>
      <c r="P109" s="81">
        <v>1.0845586556551206</v>
      </c>
      <c r="Q109" s="79">
        <v>4.2849967055722894E-2</v>
      </c>
      <c r="R109" s="79"/>
      <c r="S109" s="180">
        <v>6.7853231352500007E-3</v>
      </c>
      <c r="T109" s="82">
        <v>0.10218860143448798</v>
      </c>
      <c r="U109" s="78">
        <v>10.61330364082162</v>
      </c>
      <c r="V109" s="102">
        <f t="shared" si="5"/>
        <v>1.9717623418579899</v>
      </c>
      <c r="W109" s="102">
        <f t="shared" si="4"/>
        <v>0.185782147443145</v>
      </c>
      <c r="X109" s="1" t="s">
        <v>413</v>
      </c>
    </row>
    <row r="110" spans="1:27" s="1" customFormat="1" ht="11.25" customHeight="1" x14ac:dyDescent="0.2">
      <c r="A110" s="201">
        <v>45189</v>
      </c>
      <c r="B110" s="83">
        <v>57</v>
      </c>
      <c r="C110" s="83" t="s">
        <v>452</v>
      </c>
      <c r="D110" s="84">
        <v>6.7190000000000003</v>
      </c>
      <c r="E110" s="84">
        <v>0.32871662499999998</v>
      </c>
      <c r="F110" s="84">
        <v>0.91364924551795568</v>
      </c>
      <c r="G110" s="84">
        <v>1.389181</v>
      </c>
      <c r="H110" s="84">
        <v>-21.581916823573703</v>
      </c>
      <c r="I110" s="101">
        <v>-26.25730492489172</v>
      </c>
      <c r="J110" s="78">
        <v>-1.2333304456592433</v>
      </c>
      <c r="K110" s="79">
        <v>0.20675413007888077</v>
      </c>
      <c r="L110" s="79"/>
      <c r="M110" s="79"/>
      <c r="N110" s="79">
        <v>0</v>
      </c>
      <c r="O110" s="180">
        <v>7.6448019610999993E-2</v>
      </c>
      <c r="P110" s="81">
        <v>1.1377886532370887</v>
      </c>
      <c r="Q110" s="79">
        <v>4.8923444709034078E-2</v>
      </c>
      <c r="R110" s="79"/>
      <c r="S110" s="180">
        <v>7.8392340730000006E-3</v>
      </c>
      <c r="T110" s="82">
        <v>0.11667263094210449</v>
      </c>
      <c r="U110" s="78">
        <v>9.7519756265861908</v>
      </c>
      <c r="V110" s="102">
        <f t="shared" si="5"/>
        <v>2.0931467769491796</v>
      </c>
      <c r="W110" s="102">
        <f t="shared" si="4"/>
        <v>0.21463822891874001</v>
      </c>
      <c r="X110" s="1" t="s">
        <v>413</v>
      </c>
    </row>
    <row r="111" spans="1:27" s="1" customFormat="1" ht="11.25" customHeight="1" x14ac:dyDescent="0.2">
      <c r="A111" s="201">
        <v>45189</v>
      </c>
      <c r="B111" s="83">
        <v>58</v>
      </c>
      <c r="C111" s="83" t="s">
        <v>453</v>
      </c>
      <c r="D111" s="84">
        <v>6.5339999999999998</v>
      </c>
      <c r="E111" s="84">
        <v>0.27567724999999998</v>
      </c>
      <c r="F111" s="84">
        <v>-1.2530816634189756</v>
      </c>
      <c r="G111" s="84">
        <v>0.89295731249999999</v>
      </c>
      <c r="H111" s="84">
        <v>-21.727727773259076</v>
      </c>
      <c r="I111" s="101">
        <v>-26.404340686554452</v>
      </c>
      <c r="J111" s="78">
        <v>-3.4000613545961746</v>
      </c>
      <c r="K111" s="79">
        <v>0.13666319444444444</v>
      </c>
      <c r="L111" s="79"/>
      <c r="M111" s="79"/>
      <c r="N111" s="79">
        <v>0</v>
      </c>
      <c r="O111" s="180">
        <v>4.9140333864187494E-2</v>
      </c>
      <c r="P111" s="81">
        <v>0.75207122534722215</v>
      </c>
      <c r="Q111" s="79">
        <v>4.2191192225283135E-2</v>
      </c>
      <c r="R111" s="79"/>
      <c r="S111" s="180">
        <v>6.5743510579999997E-3</v>
      </c>
      <c r="T111" s="82">
        <v>0.10061755521885522</v>
      </c>
      <c r="U111" s="78">
        <v>7.4745527627994663</v>
      </c>
      <c r="V111" s="102">
        <f t="shared" si="5"/>
        <v>1.3454623412014535</v>
      </c>
      <c r="W111" s="102">
        <f t="shared" si="4"/>
        <v>0.18000573196803998</v>
      </c>
      <c r="X111" s="1" t="s">
        <v>413</v>
      </c>
    </row>
    <row r="112" spans="1:27" s="1" customFormat="1" ht="11.25" customHeight="1" x14ac:dyDescent="0.2">
      <c r="A112" s="201">
        <v>45189</v>
      </c>
      <c r="B112" s="83">
        <v>59</v>
      </c>
      <c r="C112" s="83" t="s">
        <v>454</v>
      </c>
      <c r="D112" s="84">
        <v>6.4</v>
      </c>
      <c r="E112" s="84">
        <v>0.26917390624999998</v>
      </c>
      <c r="F112" s="84">
        <v>-2.770731921257763</v>
      </c>
      <c r="G112" s="84">
        <v>0.78665712499999996</v>
      </c>
      <c r="H112" s="84">
        <v>-21.881838922595932</v>
      </c>
      <c r="I112" s="101">
        <v>-26.559746369545739</v>
      </c>
      <c r="J112" s="78">
        <v>-4.917711612434962</v>
      </c>
      <c r="K112" s="79">
        <v>0.12291517578124998</v>
      </c>
      <c r="L112" s="79"/>
      <c r="M112" s="79"/>
      <c r="N112" s="79">
        <v>0</v>
      </c>
      <c r="O112" s="180">
        <v>4.3290528245874996E-2</v>
      </c>
      <c r="P112" s="81">
        <v>0.6764145038417968</v>
      </c>
      <c r="Q112" s="79">
        <v>4.2058422851562492E-2</v>
      </c>
      <c r="R112" s="79"/>
      <c r="S112" s="180">
        <v>6.4192593162500002E-3</v>
      </c>
      <c r="T112" s="82">
        <v>0.10030092681640623</v>
      </c>
      <c r="U112" s="78">
        <v>6.7438509823535897</v>
      </c>
      <c r="V112" s="102">
        <f t="shared" si="5"/>
        <v>1.1852946633720574</v>
      </c>
      <c r="W112" s="102">
        <f t="shared" si="4"/>
        <v>0.175759320078925</v>
      </c>
      <c r="X112" s="1" t="s">
        <v>413</v>
      </c>
    </row>
    <row r="113" spans="1:31" s="1" customFormat="1" ht="11.25" customHeight="1" x14ac:dyDescent="0.2">
      <c r="A113" s="201">
        <v>45189</v>
      </c>
      <c r="B113" s="83">
        <v>60</v>
      </c>
      <c r="C113" s="83" t="s">
        <v>455</v>
      </c>
      <c r="D113" s="84">
        <v>6.5910000000000002</v>
      </c>
      <c r="E113" s="84">
        <v>0.28277137499999999</v>
      </c>
      <c r="F113" s="84">
        <v>-1.8786049730671328</v>
      </c>
      <c r="G113" s="84">
        <v>0.85142487499999997</v>
      </c>
      <c r="H113" s="84">
        <v>-21.671040417504905</v>
      </c>
      <c r="I113" s="101">
        <v>-26.347177157011945</v>
      </c>
      <c r="J113" s="78">
        <v>-4.0255846642443318</v>
      </c>
      <c r="K113" s="79">
        <v>0.12917992338036716</v>
      </c>
      <c r="L113" s="79"/>
      <c r="M113" s="79"/>
      <c r="N113" s="79">
        <v>0</v>
      </c>
      <c r="O113" s="180">
        <v>4.6854762296124994E-2</v>
      </c>
      <c r="P113" s="81">
        <v>0.71089003635449843</v>
      </c>
      <c r="Q113" s="79">
        <v>4.29026513427401E-2</v>
      </c>
      <c r="R113" s="79"/>
      <c r="S113" s="180">
        <v>6.7435317509999997E-3</v>
      </c>
      <c r="T113" s="82">
        <v>0.10231424292216659</v>
      </c>
      <c r="U113" s="78">
        <v>6.9481043503913051</v>
      </c>
      <c r="V113" s="102">
        <f t="shared" si="5"/>
        <v>1.2828833916679023</v>
      </c>
      <c r="W113" s="102">
        <f t="shared" si="4"/>
        <v>0.18463789934237998</v>
      </c>
      <c r="X113" s="1" t="s">
        <v>413</v>
      </c>
    </row>
    <row r="114" spans="1:31" s="1" customFormat="1" ht="11.25" customHeight="1" x14ac:dyDescent="0.2">
      <c r="A114" s="201">
        <v>45189</v>
      </c>
      <c r="B114" s="183">
        <v>63</v>
      </c>
      <c r="C114" s="183" t="s">
        <v>456</v>
      </c>
      <c r="D114" s="184">
        <v>6.7729999999999997</v>
      </c>
      <c r="E114" s="184">
        <v>0.28053112499999999</v>
      </c>
      <c r="F114" s="184">
        <v>-2.2158200831374764</v>
      </c>
      <c r="G114" s="184">
        <v>0.78485962499999995</v>
      </c>
      <c r="H114" s="184">
        <v>-21.735135196591038</v>
      </c>
      <c r="I114" s="101">
        <v>-26.411810332242403</v>
      </c>
      <c r="J114" s="78">
        <v>-4.3627997743146754</v>
      </c>
      <c r="K114" s="79">
        <v>0.11588064742359368</v>
      </c>
      <c r="L114" s="79"/>
      <c r="M114" s="79"/>
      <c r="N114" s="79">
        <v>0</v>
      </c>
      <c r="O114" s="180">
        <v>4.3191610023374995E-2</v>
      </c>
      <c r="P114" s="81">
        <v>0.63770279083677828</v>
      </c>
      <c r="Q114" s="79">
        <v>4.1419035139524586E-2</v>
      </c>
      <c r="R114" s="79"/>
      <c r="S114" s="180">
        <v>6.6901062689999997E-3</v>
      </c>
      <c r="T114" s="82">
        <v>9.877611500073824E-2</v>
      </c>
      <c r="U114" s="78">
        <v>6.4560424433782631</v>
      </c>
      <c r="V114" s="102">
        <f t="shared" si="5"/>
        <v>1.1825862824400073</v>
      </c>
      <c r="W114" s="102">
        <f t="shared" si="4"/>
        <v>0.18317510964521999</v>
      </c>
      <c r="X114" s="1" t="s">
        <v>413</v>
      </c>
    </row>
    <row r="115" spans="1:31" s="1" customFormat="1" ht="11.25" customHeight="1" x14ac:dyDescent="0.2">
      <c r="A115" s="201">
        <v>45189</v>
      </c>
      <c r="B115" s="183">
        <v>64</v>
      </c>
      <c r="C115" s="183" t="s">
        <v>457</v>
      </c>
      <c r="D115" s="184">
        <v>6.5720000000000001</v>
      </c>
      <c r="E115" s="184">
        <v>0.27674931250000001</v>
      </c>
      <c r="F115" s="184">
        <v>-0.71184539815427605</v>
      </c>
      <c r="G115" s="184">
        <v>0.77925562500000001</v>
      </c>
      <c r="H115" s="184">
        <v>-21.68380813427483</v>
      </c>
      <c r="I115" s="101">
        <v>-26.360052122602738</v>
      </c>
      <c r="J115" s="78">
        <v>-2.8588250893314751</v>
      </c>
      <c r="K115" s="79">
        <v>0.11857206710286063</v>
      </c>
      <c r="L115" s="79"/>
      <c r="M115" s="79"/>
      <c r="N115" s="79">
        <v>0</v>
      </c>
      <c r="O115" s="180">
        <v>4.2883216299374999E-2</v>
      </c>
      <c r="P115" s="81">
        <v>0.65251394247375227</v>
      </c>
      <c r="Q115" s="79">
        <v>4.2110364044430922E-2</v>
      </c>
      <c r="R115" s="79"/>
      <c r="S115" s="180">
        <v>6.5999176045000007E-3</v>
      </c>
      <c r="T115" s="82">
        <v>0.10042479617315887</v>
      </c>
      <c r="U115" s="78">
        <v>6.497538131405773</v>
      </c>
      <c r="V115" s="102">
        <f t="shared" si="5"/>
        <v>1.1741424622768875</v>
      </c>
      <c r="W115" s="102">
        <f t="shared" si="4"/>
        <v>0.18070574401121001</v>
      </c>
      <c r="X115" s="1" t="s">
        <v>413</v>
      </c>
    </row>
    <row r="116" spans="1:31" s="1" customFormat="1" ht="11.25" customHeight="1" x14ac:dyDescent="0.2">
      <c r="A116" s="201">
        <v>45189</v>
      </c>
      <c r="B116" s="183">
        <v>65</v>
      </c>
      <c r="C116" s="183" t="s">
        <v>458</v>
      </c>
      <c r="D116" s="184">
        <v>6.633</v>
      </c>
      <c r="E116" s="184">
        <v>0.254711953125</v>
      </c>
      <c r="F116" s="184">
        <v>-1.8862337536467155</v>
      </c>
      <c r="G116" s="184">
        <v>0.68250650000000002</v>
      </c>
      <c r="H116" s="184">
        <v>-21.736801068373804</v>
      </c>
      <c r="I116" s="101">
        <v>-26.413490197348143</v>
      </c>
      <c r="J116" s="78">
        <v>-4.0332134448239145</v>
      </c>
      <c r="K116" s="79">
        <v>0.1028955977687321</v>
      </c>
      <c r="L116" s="79"/>
      <c r="M116" s="79"/>
      <c r="N116" s="79">
        <v>0</v>
      </c>
      <c r="O116" s="180">
        <v>3.7559015201499998E-2</v>
      </c>
      <c r="P116" s="81">
        <v>0.56624476408110958</v>
      </c>
      <c r="Q116" s="79">
        <v>3.840071658751696E-2</v>
      </c>
      <c r="R116" s="79"/>
      <c r="S116" s="180">
        <v>6.0743706581250006E-3</v>
      </c>
      <c r="T116" s="82">
        <v>9.1578028917910448E-2</v>
      </c>
      <c r="U116" s="78">
        <v>6.1831944929573135</v>
      </c>
      <c r="V116" s="102">
        <f t="shared" si="5"/>
        <v>1.02836583621707</v>
      </c>
      <c r="W116" s="102">
        <f t="shared" si="4"/>
        <v>0.1663162686194625</v>
      </c>
      <c r="X116" s="1" t="s">
        <v>413</v>
      </c>
    </row>
    <row r="117" spans="1:31" s="1" customFormat="1" ht="11.25" customHeight="1" x14ac:dyDescent="0.2">
      <c r="A117" s="201">
        <v>45189</v>
      </c>
      <c r="B117" s="183">
        <v>66</v>
      </c>
      <c r="C117" s="183" t="s">
        <v>459</v>
      </c>
      <c r="D117" s="184">
        <v>6.1260000000000003</v>
      </c>
      <c r="E117" s="184">
        <v>0.23064662499999999</v>
      </c>
      <c r="F117" s="184">
        <v>-2.3015174857858867</v>
      </c>
      <c r="G117" s="184">
        <v>0.40562156249999998</v>
      </c>
      <c r="H117" s="184">
        <v>-21.818832826013804</v>
      </c>
      <c r="I117" s="101">
        <v>-26.49621102175232</v>
      </c>
      <c r="J117" s="78">
        <v>-4.4484971769630857</v>
      </c>
      <c r="K117" s="79">
        <v>6.6213118266405482E-2</v>
      </c>
      <c r="L117" s="79"/>
      <c r="M117" s="79"/>
      <c r="N117" s="79">
        <v>0</v>
      </c>
      <c r="O117" s="180">
        <v>2.2321760205937496E-2</v>
      </c>
      <c r="P117" s="81">
        <v>0.3643774111318559</v>
      </c>
      <c r="Q117" s="79">
        <v>3.7650444825334639E-2</v>
      </c>
      <c r="R117" s="79"/>
      <c r="S117" s="180">
        <v>5.5004607129999997E-3</v>
      </c>
      <c r="T117" s="82">
        <v>8.9788780819458042E-2</v>
      </c>
      <c r="U117" s="78">
        <v>4.0581619196336396</v>
      </c>
      <c r="V117" s="102">
        <f t="shared" si="5"/>
        <v>0.61116979443856856</v>
      </c>
      <c r="W117" s="102">
        <f t="shared" si="4"/>
        <v>0.15060261432194</v>
      </c>
      <c r="X117" s="1" t="s">
        <v>413</v>
      </c>
    </row>
    <row r="118" spans="1:31" s="1" customFormat="1" ht="11.25" customHeight="1" x14ac:dyDescent="0.2">
      <c r="A118" s="201">
        <v>45189</v>
      </c>
      <c r="B118" s="183">
        <v>67</v>
      </c>
      <c r="C118" s="183" t="s">
        <v>460</v>
      </c>
      <c r="D118" s="184">
        <v>6.1479999999999997</v>
      </c>
      <c r="E118" s="184">
        <v>0.24006350000000001</v>
      </c>
      <c r="F118" s="184">
        <v>-1.0823738568279673</v>
      </c>
      <c r="G118" s="184">
        <v>0.46674500000000002</v>
      </c>
      <c r="H118" s="184">
        <v>-21.727327986258945</v>
      </c>
      <c r="I118" s="101">
        <v>-26.40393754134352</v>
      </c>
      <c r="J118" s="78">
        <v>-3.2293535480051663</v>
      </c>
      <c r="K118" s="79">
        <v>7.5918184775536773E-2</v>
      </c>
      <c r="L118" s="79"/>
      <c r="M118" s="79"/>
      <c r="N118" s="79">
        <v>0</v>
      </c>
      <c r="O118" s="180">
        <v>2.5685444094999999E-2</v>
      </c>
      <c r="P118" s="81">
        <v>0.41778536263825633</v>
      </c>
      <c r="Q118" s="79">
        <v>3.9047413793103454E-2</v>
      </c>
      <c r="R118" s="79"/>
      <c r="S118" s="180">
        <v>5.7250343480000007E-3</v>
      </c>
      <c r="T118" s="82">
        <v>9.3120272413793115E-2</v>
      </c>
      <c r="U118" s="78">
        <v>4.4865135357612349</v>
      </c>
      <c r="V118" s="102">
        <f t="shared" si="5"/>
        <v>0.70326745932109991</v>
      </c>
      <c r="W118" s="102">
        <f t="shared" si="4"/>
        <v>0.15675144044824002</v>
      </c>
      <c r="X118" s="1" t="s">
        <v>413</v>
      </c>
    </row>
    <row r="119" spans="1:31" s="1" customFormat="1" ht="11.25" customHeight="1" x14ac:dyDescent="0.2">
      <c r="A119" s="201">
        <v>45189</v>
      </c>
      <c r="B119" s="183">
        <v>68</v>
      </c>
      <c r="C119" s="183" t="s">
        <v>461</v>
      </c>
      <c r="D119" s="184">
        <v>6.2679999999999998</v>
      </c>
      <c r="E119" s="184">
        <v>0.24673967187500001</v>
      </c>
      <c r="F119" s="184">
        <v>0.94757124979061302</v>
      </c>
      <c r="G119" s="184">
        <v>0.40853099999999998</v>
      </c>
      <c r="H119" s="184">
        <v>-21.758806317753745</v>
      </c>
      <c r="I119" s="101">
        <v>-26.435680290822877</v>
      </c>
      <c r="J119" s="78">
        <v>-1.199408441386586</v>
      </c>
      <c r="K119" s="79">
        <v>6.5177249521378433E-2</v>
      </c>
      <c r="L119" s="79"/>
      <c r="M119" s="79"/>
      <c r="N119" s="79">
        <v>0</v>
      </c>
      <c r="O119" s="180">
        <v>2.2481869460999997E-2</v>
      </c>
      <c r="P119" s="81">
        <v>0.35867692184109762</v>
      </c>
      <c r="Q119" s="79">
        <v>3.9364976368059988E-2</v>
      </c>
      <c r="R119" s="79"/>
      <c r="S119" s="180">
        <v>5.8842476948750009E-3</v>
      </c>
      <c r="T119" s="82">
        <v>9.387759564254948E-2</v>
      </c>
      <c r="U119" s="78">
        <v>3.8206871339867314</v>
      </c>
      <c r="V119" s="102">
        <f t="shared" si="5"/>
        <v>0.6155535858421799</v>
      </c>
      <c r="W119" s="102">
        <f t="shared" si="4"/>
        <v>0.16111070188567753</v>
      </c>
      <c r="X119" s="1" t="s">
        <v>413</v>
      </c>
    </row>
    <row r="120" spans="1:31" s="1" customFormat="1" ht="11.25" customHeight="1" x14ac:dyDescent="0.2">
      <c r="A120" s="201">
        <v>45189</v>
      </c>
      <c r="B120" s="183">
        <v>69</v>
      </c>
      <c r="C120" s="183" t="s">
        <v>462</v>
      </c>
      <c r="D120" s="184">
        <v>6.2039999999999997</v>
      </c>
      <c r="E120" s="184">
        <v>0.23785371875</v>
      </c>
      <c r="F120" s="184">
        <v>3.2571345640275418</v>
      </c>
      <c r="G120" s="184">
        <v>0.36170765625000001</v>
      </c>
      <c r="H120" s="184">
        <v>-22.058474552336246</v>
      </c>
      <c r="I120" s="101">
        <v>-26.73786573857587</v>
      </c>
      <c r="J120" s="78">
        <v>1.1101548728503428</v>
      </c>
      <c r="K120" s="79">
        <v>5.8302330149903291E-2</v>
      </c>
      <c r="L120" s="79"/>
      <c r="M120" s="79"/>
      <c r="N120" s="79">
        <v>0</v>
      </c>
      <c r="O120" s="180">
        <v>1.9905134031093751E-2</v>
      </c>
      <c r="P120" s="81">
        <v>0.32084355304793277</v>
      </c>
      <c r="Q120" s="79">
        <v>3.8338768334945199E-2</v>
      </c>
      <c r="R120" s="79"/>
      <c r="S120" s="180">
        <v>5.6723354847500003E-3</v>
      </c>
      <c r="T120" s="82">
        <v>9.1430294725177302E-2</v>
      </c>
      <c r="U120" s="78">
        <v>3.5091602188566671</v>
      </c>
      <c r="V120" s="102">
        <f t="shared" si="5"/>
        <v>0.54500256977134687</v>
      </c>
      <c r="W120" s="102">
        <f t="shared" si="4"/>
        <v>0.15530854557245499</v>
      </c>
      <c r="X120" s="1" t="s">
        <v>413</v>
      </c>
    </row>
    <row r="121" spans="1:31" s="1" customFormat="1" ht="11.25" customHeight="1" x14ac:dyDescent="0.2">
      <c r="A121" s="201">
        <v>45189</v>
      </c>
      <c r="B121" s="183">
        <v>70</v>
      </c>
      <c r="C121" s="183" t="s">
        <v>463</v>
      </c>
      <c r="D121" s="184">
        <v>6.3869999999999996</v>
      </c>
      <c r="E121" s="184">
        <v>0.21495342187499999</v>
      </c>
      <c r="F121" s="184">
        <v>12.198311191750966</v>
      </c>
      <c r="G121" s="184">
        <v>0.36149734374999998</v>
      </c>
      <c r="H121" s="184">
        <v>-22.46070324248031</v>
      </c>
      <c r="I121" s="101">
        <v>-27.143473149717142</v>
      </c>
      <c r="J121" s="78">
        <v>10.051331500573767</v>
      </c>
      <c r="K121" s="79">
        <v>5.6598926530452481E-2</v>
      </c>
      <c r="L121" s="79"/>
      <c r="M121" s="79"/>
      <c r="N121" s="79">
        <v>0</v>
      </c>
      <c r="O121" s="180">
        <v>1.9893560323906247E-2</v>
      </c>
      <c r="P121" s="81">
        <v>0.31146955258973302</v>
      </c>
      <c r="Q121" s="79">
        <v>3.3654833548614371E-2</v>
      </c>
      <c r="R121" s="79"/>
      <c r="S121" s="180">
        <v>5.1262092048750003E-3</v>
      </c>
      <c r="T121" s="82">
        <v>8.0260047046735575E-2</v>
      </c>
      <c r="U121" s="78">
        <v>3.8807546724756312</v>
      </c>
      <c r="V121" s="102">
        <f t="shared" si="5"/>
        <v>0.54468568166855302</v>
      </c>
      <c r="W121" s="102">
        <f t="shared" si="4"/>
        <v>0.1403556080294775</v>
      </c>
      <c r="X121" s="1" t="s">
        <v>413</v>
      </c>
    </row>
    <row r="122" spans="1:31" s="1" customFormat="1" ht="11.25" customHeight="1" x14ac:dyDescent="0.2">
      <c r="A122" s="201">
        <v>45189</v>
      </c>
      <c r="B122" s="183">
        <v>71</v>
      </c>
      <c r="C122" s="183" t="s">
        <v>464</v>
      </c>
      <c r="D122" s="184">
        <v>6.3860000000000001</v>
      </c>
      <c r="E122" s="184">
        <v>0.2067196875</v>
      </c>
      <c r="F122" s="184">
        <v>16.461718246201464</v>
      </c>
      <c r="G122" s="184">
        <v>0.45211256249999998</v>
      </c>
      <c r="H122" s="184">
        <v>-21.965222510964939</v>
      </c>
      <c r="I122" s="101">
        <v>-26.643830380057043</v>
      </c>
      <c r="J122" s="78">
        <v>14.314738555024265</v>
      </c>
      <c r="K122" s="79">
        <v>7.0797457328531155E-2</v>
      </c>
      <c r="L122" s="79"/>
      <c r="M122" s="79"/>
      <c r="N122" s="79">
        <v>0</v>
      </c>
      <c r="O122" s="180">
        <v>2.4880206426937498E-2</v>
      </c>
      <c r="P122" s="81">
        <v>0.3896054874246398</v>
      </c>
      <c r="Q122" s="79">
        <v>3.2370762214218606E-2</v>
      </c>
      <c r="R122" s="79"/>
      <c r="S122" s="180">
        <v>4.9298511075000001E-3</v>
      </c>
      <c r="T122" s="82">
        <v>7.7197793728468522E-2</v>
      </c>
      <c r="U122" s="78">
        <v>5.0468474370526408</v>
      </c>
      <c r="V122" s="102">
        <f t="shared" si="5"/>
        <v>0.68122005196954871</v>
      </c>
      <c r="W122" s="102">
        <f t="shared" si="4"/>
        <v>0.13497932332335</v>
      </c>
      <c r="X122" s="1" t="s">
        <v>413</v>
      </c>
    </row>
    <row r="123" spans="1:31" s="1" customFormat="1" ht="11.25" customHeight="1" x14ac:dyDescent="0.2">
      <c r="A123" s="201">
        <v>45189</v>
      </c>
      <c r="B123" s="183">
        <v>72</v>
      </c>
      <c r="C123" s="183" t="s">
        <v>465</v>
      </c>
      <c r="D123" s="184">
        <v>7.0330000000000004</v>
      </c>
      <c r="E123" s="184">
        <v>0.32309637499999999</v>
      </c>
      <c r="F123" s="184">
        <v>81.338864280670947</v>
      </c>
      <c r="G123" s="184">
        <v>1.75674</v>
      </c>
      <c r="H123" s="184">
        <v>-21.824837962770996</v>
      </c>
      <c r="I123" s="101">
        <v>-26.50226660165827</v>
      </c>
      <c r="J123" s="78">
        <v>79.191884589493753</v>
      </c>
      <c r="K123" s="79">
        <v>0.24978529788141615</v>
      </c>
      <c r="L123" s="79"/>
      <c r="M123" s="79"/>
      <c r="N123" s="79">
        <v>0</v>
      </c>
      <c r="O123" s="180">
        <v>9.6675158939999992E-2</v>
      </c>
      <c r="P123" s="81">
        <v>1.3745934727712212</v>
      </c>
      <c r="Q123" s="79">
        <v>4.5940050476325892E-2</v>
      </c>
      <c r="R123" s="79"/>
      <c r="S123" s="180">
        <v>7.7052023510000003E-3</v>
      </c>
      <c r="T123" s="82">
        <v>0.10955783237594199</v>
      </c>
      <c r="U123" s="78">
        <v>12.546738493824662</v>
      </c>
      <c r="V123" s="102">
        <f t="shared" si="5"/>
        <v>2.6469658517771997</v>
      </c>
      <c r="W123" s="102">
        <f t="shared" si="4"/>
        <v>0.21096844037038001</v>
      </c>
      <c r="X123" s="1" t="s">
        <v>413</v>
      </c>
    </row>
    <row r="124" spans="1:31" s="1" customFormat="1" ht="11.25" customHeight="1" x14ac:dyDescent="0.2">
      <c r="A124" s="201">
        <v>45189</v>
      </c>
      <c r="B124" s="183">
        <v>73</v>
      </c>
      <c r="C124" s="183" t="s">
        <v>466</v>
      </c>
      <c r="D124" s="184">
        <v>7.1630000000000003</v>
      </c>
      <c r="E124" s="184">
        <v>0.31457903124999997</v>
      </c>
      <c r="F124" s="184">
        <v>280.40764948125087</v>
      </c>
      <c r="G124" s="184">
        <v>1.737939125</v>
      </c>
      <c r="H124" s="184">
        <v>-21.745010790521526</v>
      </c>
      <c r="I124" s="101">
        <v>-26.421768881161906</v>
      </c>
      <c r="J124" s="78">
        <v>278.26066979007368</v>
      </c>
      <c r="K124" s="79">
        <v>0.24262726860254083</v>
      </c>
      <c r="L124" s="79"/>
      <c r="M124" s="79"/>
      <c r="N124" s="79">
        <v>0</v>
      </c>
      <c r="O124" s="180">
        <v>9.5640527987874993E-2</v>
      </c>
      <c r="P124" s="81">
        <v>1.3352021218466423</v>
      </c>
      <c r="Q124" s="79">
        <v>4.3917217820745494E-2</v>
      </c>
      <c r="R124" s="79"/>
      <c r="S124" s="180">
        <v>7.5020807372500001E-3</v>
      </c>
      <c r="T124" s="82">
        <v>0.10473378105891386</v>
      </c>
      <c r="U124" s="78">
        <v>12.748533551897424</v>
      </c>
      <c r="V124" s="102">
        <f t="shared" si="5"/>
        <v>2.6186376563080174</v>
      </c>
      <c r="W124" s="102">
        <f t="shared" si="4"/>
        <v>0.20540697058590499</v>
      </c>
      <c r="X124" s="1" t="s">
        <v>413</v>
      </c>
    </row>
    <row r="125" spans="1:31" s="1" customFormat="1" ht="11.25" customHeight="1" x14ac:dyDescent="0.2">
      <c r="A125" s="201">
        <v>45189</v>
      </c>
      <c r="B125" s="183">
        <v>74</v>
      </c>
      <c r="C125" s="183" t="s">
        <v>467</v>
      </c>
      <c r="D125" s="184">
        <v>6.7709999999999999</v>
      </c>
      <c r="E125" s="184">
        <v>0.32018321875</v>
      </c>
      <c r="F125" s="184">
        <v>818.29598265052516</v>
      </c>
      <c r="G125" s="184">
        <v>1.5757418750000001</v>
      </c>
      <c r="H125" s="184">
        <v>-21.492001373957013</v>
      </c>
      <c r="I125" s="101">
        <v>-26.16663418549825</v>
      </c>
      <c r="J125" s="78">
        <v>816.14900295934797</v>
      </c>
      <c r="K125" s="79">
        <v>0.23271922537291392</v>
      </c>
      <c r="L125" s="79"/>
      <c r="M125" s="79"/>
      <c r="N125" s="79">
        <v>0</v>
      </c>
      <c r="O125" s="180">
        <v>8.6714651123125E-2</v>
      </c>
      <c r="P125" s="81">
        <v>1.2806771691496825</v>
      </c>
      <c r="Q125" s="79">
        <v>4.728743446315168E-2</v>
      </c>
      <c r="R125" s="79"/>
      <c r="S125" s="180">
        <v>7.63572940075E-3</v>
      </c>
      <c r="T125" s="82">
        <v>0.11277107370772411</v>
      </c>
      <c r="U125" s="78">
        <v>11.356433232771145</v>
      </c>
      <c r="V125" s="102">
        <f t="shared" si="5"/>
        <v>2.3742471477511624</v>
      </c>
      <c r="W125" s="102">
        <f t="shared" si="4"/>
        <v>0.209066270992535</v>
      </c>
      <c r="X125" s="1" t="s">
        <v>413</v>
      </c>
    </row>
    <row r="126" spans="1:31" s="1" customFormat="1" ht="11.25" customHeight="1" x14ac:dyDescent="0.2">
      <c r="B126" s="110"/>
      <c r="C126" s="110"/>
      <c r="D126" s="85"/>
      <c r="E126" s="85"/>
      <c r="F126" s="85"/>
      <c r="K126" s="5"/>
      <c r="L126" s="5"/>
      <c r="M126" s="5"/>
    </row>
    <row r="127" spans="1:31" s="90" customFormat="1" ht="11.25" customHeight="1" x14ac:dyDescent="0.25">
      <c r="B127" s="90" t="s">
        <v>712</v>
      </c>
      <c r="I127" s="100">
        <v>0.12506259019746419</v>
      </c>
      <c r="J127" s="100">
        <v>0.62110323416678737</v>
      </c>
      <c r="K127" s="87"/>
      <c r="N127" s="87"/>
      <c r="O127" s="88"/>
      <c r="P127" s="100">
        <v>0.20399492065201136</v>
      </c>
      <c r="Q127" s="87"/>
      <c r="R127" s="87"/>
      <c r="S127" s="88"/>
      <c r="T127" s="100">
        <v>5.2729207162680147E-2</v>
      </c>
      <c r="U127" s="100">
        <v>0.2660583487708148</v>
      </c>
      <c r="V127" s="208"/>
      <c r="W127" s="208"/>
      <c r="Y127" s="209"/>
      <c r="Z127" s="209"/>
      <c r="AA127" s="209"/>
      <c r="AB127" s="209"/>
      <c r="AC127" s="209"/>
      <c r="AD127" s="209"/>
      <c r="AE127" s="209"/>
    </row>
    <row r="128" spans="1:31" s="207" customFormat="1" x14ac:dyDescent="0.25"/>
    <row r="129" spans="1:27" s="1" customFormat="1" ht="11.25" customHeight="1" x14ac:dyDescent="0.2">
      <c r="B129" s="75"/>
      <c r="C129" s="75" t="s">
        <v>40</v>
      </c>
      <c r="D129" s="75" t="s">
        <v>54</v>
      </c>
      <c r="E129" s="75" t="s">
        <v>80</v>
      </c>
      <c r="F129" s="75" t="s">
        <v>41</v>
      </c>
      <c r="G129" s="75" t="s">
        <v>81</v>
      </c>
      <c r="H129" s="99" t="s">
        <v>42</v>
      </c>
      <c r="I129" s="76" t="s">
        <v>715</v>
      </c>
      <c r="J129" s="77" t="s">
        <v>714</v>
      </c>
      <c r="K129" s="77" t="s">
        <v>45</v>
      </c>
      <c r="L129" s="77" t="s">
        <v>46</v>
      </c>
      <c r="M129" s="77" t="s">
        <v>47</v>
      </c>
      <c r="N129" s="178" t="s">
        <v>38</v>
      </c>
      <c r="O129" s="77" t="s">
        <v>38</v>
      </c>
      <c r="P129" s="77" t="s">
        <v>48</v>
      </c>
      <c r="Q129" s="77" t="s">
        <v>49</v>
      </c>
      <c r="R129" s="77" t="s">
        <v>39</v>
      </c>
      <c r="S129" s="77" t="s">
        <v>39</v>
      </c>
      <c r="T129" s="77" t="s">
        <v>50</v>
      </c>
      <c r="U129" s="77" t="s">
        <v>51</v>
      </c>
      <c r="V129" s="202" t="s">
        <v>585</v>
      </c>
      <c r="W129" s="202" t="s">
        <v>586</v>
      </c>
    </row>
    <row r="130" spans="1:27" s="1" customFormat="1" ht="11.25" customHeight="1" x14ac:dyDescent="0.2">
      <c r="A130" s="201">
        <v>45190</v>
      </c>
      <c r="B130" s="83">
        <v>38</v>
      </c>
      <c r="C130" s="83" t="s">
        <v>468</v>
      </c>
      <c r="D130" s="84">
        <v>6.7130000000000001</v>
      </c>
      <c r="E130" s="84">
        <v>0.39128146875000003</v>
      </c>
      <c r="F130" s="84">
        <v>0.62762102560132149</v>
      </c>
      <c r="G130" s="84">
        <v>1.1697115</v>
      </c>
      <c r="H130" s="84">
        <v>-21.641538612293242</v>
      </c>
      <c r="I130" s="101">
        <v>-26.225376304374802</v>
      </c>
      <c r="J130" s="78">
        <v>-1.4808011100206615</v>
      </c>
      <c r="K130" s="79">
        <v>0.1742457172650082</v>
      </c>
      <c r="L130" s="79"/>
      <c r="M130" s="79"/>
      <c r="N130" s="79">
        <v>0</v>
      </c>
      <c r="O130" s="180">
        <v>6.1961957578E-2</v>
      </c>
      <c r="P130" s="81">
        <v>0.9230144134962015</v>
      </c>
      <c r="Q130" s="79">
        <v>5.8287124795173548E-2</v>
      </c>
      <c r="R130" s="79"/>
      <c r="S130" s="180">
        <v>6.4497873493437503E-3</v>
      </c>
      <c r="T130" s="82">
        <v>9.6079060767819913E-2</v>
      </c>
      <c r="U130" s="78">
        <v>9.6068217790629138</v>
      </c>
      <c r="V130" s="212">
        <f t="shared" ref="V130:V162" si="6">O130*27.38</f>
        <v>1.69651839848564</v>
      </c>
      <c r="W130" s="102">
        <f t="shared" ref="W130:W162" si="7">IF(S130&lt;0,0,S130*27.38)</f>
        <v>0.17659517762503188</v>
      </c>
    </row>
    <row r="131" spans="1:27" s="1" customFormat="1" ht="11.25" customHeight="1" x14ac:dyDescent="0.2">
      <c r="A131" s="201">
        <v>45190</v>
      </c>
      <c r="B131" s="83">
        <v>39</v>
      </c>
      <c r="C131" s="83" t="s">
        <v>469</v>
      </c>
      <c r="D131" s="84">
        <v>6.6989999999999998</v>
      </c>
      <c r="E131" s="84">
        <v>0.42645184375</v>
      </c>
      <c r="F131" s="84">
        <v>0.53038104948699427</v>
      </c>
      <c r="G131" s="84">
        <v>0.78825387499999999</v>
      </c>
      <c r="H131" s="84">
        <v>-24.351227942940511</v>
      </c>
      <c r="I131" s="101">
        <v>-28.931001101026101</v>
      </c>
      <c r="J131" s="78">
        <v>-1.5780410861349887</v>
      </c>
      <c r="K131" s="79">
        <v>0.11766739438722197</v>
      </c>
      <c r="L131" s="79"/>
      <c r="M131" s="79"/>
      <c r="N131" s="79">
        <v>0</v>
      </c>
      <c r="O131" s="180">
        <v>4.1755384266499995E-2</v>
      </c>
      <c r="P131" s="81">
        <v>0.62330772154799219</v>
      </c>
      <c r="Q131" s="79">
        <v>6.3659030265711306E-2</v>
      </c>
      <c r="R131" s="79"/>
      <c r="S131" s="180">
        <v>7.2445323132187493E-3</v>
      </c>
      <c r="T131" s="82">
        <v>0.10814348877770934</v>
      </c>
      <c r="U131" s="78">
        <v>5.7637101280245453</v>
      </c>
      <c r="V131" s="212">
        <f t="shared" si="6"/>
        <v>1.1432624212167699</v>
      </c>
      <c r="W131" s="102">
        <f t="shared" si="7"/>
        <v>0.19835529473592936</v>
      </c>
    </row>
    <row r="132" spans="1:27" s="1" customFormat="1" ht="11.25" customHeight="1" x14ac:dyDescent="0.2">
      <c r="A132" s="201">
        <v>45190</v>
      </c>
      <c r="B132" s="83">
        <v>40</v>
      </c>
      <c r="C132" s="83" t="s">
        <v>470</v>
      </c>
      <c r="D132" s="84">
        <v>6.8609999999999998</v>
      </c>
      <c r="E132" s="84">
        <v>0.51020181249999996</v>
      </c>
      <c r="F132" s="84">
        <v>1.3013803485475428</v>
      </c>
      <c r="G132" s="84">
        <v>0.96519631250000004</v>
      </c>
      <c r="H132" s="84">
        <v>-21.472396139564918</v>
      </c>
      <c r="I132" s="101">
        <v>-26.056487545355569</v>
      </c>
      <c r="J132" s="78">
        <v>-0.80704178707444019</v>
      </c>
      <c r="K132" s="79">
        <v>0.14067866382451538</v>
      </c>
      <c r="L132" s="79"/>
      <c r="M132" s="79"/>
      <c r="N132" s="79">
        <v>0</v>
      </c>
      <c r="O132" s="180">
        <v>5.1128379065749997E-2</v>
      </c>
      <c r="P132" s="81">
        <v>0.7452030180112228</v>
      </c>
      <c r="Q132" s="79">
        <v>7.4362602025943733E-2</v>
      </c>
      <c r="R132" s="79"/>
      <c r="S132" s="180">
        <v>9.1370303570624985E-3</v>
      </c>
      <c r="T132" s="82">
        <v>0.13317344930859201</v>
      </c>
      <c r="U132" s="78">
        <v>5.5957326470115252</v>
      </c>
      <c r="V132" s="212">
        <f t="shared" si="6"/>
        <v>1.3998950188202348</v>
      </c>
      <c r="W132" s="102">
        <f t="shared" si="7"/>
        <v>0.25017189117637118</v>
      </c>
      <c r="Z132" s="1" t="s">
        <v>738</v>
      </c>
      <c r="AA132" s="211">
        <f>AVERAGE(V130:V132)</f>
        <v>1.4132252795075484</v>
      </c>
    </row>
    <row r="133" spans="1:27" s="1" customFormat="1" ht="11.25" customHeight="1" x14ac:dyDescent="0.2">
      <c r="A133" s="201">
        <v>45190</v>
      </c>
      <c r="B133" s="83">
        <v>41</v>
      </c>
      <c r="C133" s="83" t="s">
        <v>471</v>
      </c>
      <c r="D133" s="84">
        <v>6.1920000000000002</v>
      </c>
      <c r="E133" s="84">
        <v>0.53604837500000002</v>
      </c>
      <c r="F133" s="84">
        <v>0.48442869681841749</v>
      </c>
      <c r="G133" s="84">
        <v>0.53823781250000002</v>
      </c>
      <c r="H133" s="84">
        <v>-21.481975777202791</v>
      </c>
      <c r="I133" s="101">
        <v>-26.066052813536988</v>
      </c>
      <c r="J133" s="78">
        <v>-1.6239934388035655</v>
      </c>
      <c r="K133" s="79">
        <v>8.6924711321059431E-2</v>
      </c>
      <c r="L133" s="79"/>
      <c r="M133" s="79"/>
      <c r="N133" s="79">
        <v>0</v>
      </c>
      <c r="O133" s="180">
        <v>2.8511533403750001E-2</v>
      </c>
      <c r="P133" s="81">
        <v>0.460457580809916</v>
      </c>
      <c r="Q133" s="79">
        <v>8.6571119993540058E-2</v>
      </c>
      <c r="R133" s="79"/>
      <c r="S133" s="180">
        <v>9.7210851298750005E-3</v>
      </c>
      <c r="T133" s="82">
        <v>0.1569942688933301</v>
      </c>
      <c r="U133" s="78">
        <v>2.9329578974807951</v>
      </c>
      <c r="V133" s="102">
        <f t="shared" si="6"/>
        <v>0.78064578459467504</v>
      </c>
      <c r="W133" s="102">
        <f t="shared" si="7"/>
        <v>0.2661633108559775</v>
      </c>
      <c r="Z133" s="1" t="s">
        <v>739</v>
      </c>
      <c r="AA133" s="211">
        <f>AVERAGE(V133:V135)</f>
        <v>0.81918649545773159</v>
      </c>
    </row>
    <row r="134" spans="1:27" s="1" customFormat="1" ht="11.25" customHeight="1" x14ac:dyDescent="0.2">
      <c r="A134" s="201">
        <v>45190</v>
      </c>
      <c r="B134" s="83">
        <v>42</v>
      </c>
      <c r="C134" s="83" t="s">
        <v>472</v>
      </c>
      <c r="D134" s="84">
        <v>6.32</v>
      </c>
      <c r="E134" s="84">
        <v>0.58704468750000005</v>
      </c>
      <c r="F134" s="84">
        <v>-1.4246337003753773</v>
      </c>
      <c r="G134" s="84">
        <v>0.58386925000000001</v>
      </c>
      <c r="H134" s="84">
        <v>-21.914286668643683</v>
      </c>
      <c r="I134" s="101">
        <v>-26.497715238640719</v>
      </c>
      <c r="J134" s="78">
        <v>-3.5330558359973603</v>
      </c>
      <c r="K134" s="79">
        <v>9.2384374999999991E-2</v>
      </c>
      <c r="L134" s="79"/>
      <c r="M134" s="79"/>
      <c r="N134" s="79">
        <v>0</v>
      </c>
      <c r="O134" s="180">
        <v>3.0928721911E-2</v>
      </c>
      <c r="P134" s="81">
        <v>0.48937851124999998</v>
      </c>
      <c r="Q134" s="79">
        <v>9.288681764240507E-2</v>
      </c>
      <c r="R134" s="79"/>
      <c r="S134" s="180">
        <v>1.0873448803437501E-2</v>
      </c>
      <c r="T134" s="82">
        <v>0.17204824056071993</v>
      </c>
      <c r="U134" s="78">
        <v>2.8444261310378618</v>
      </c>
      <c r="V134" s="102">
        <f t="shared" si="6"/>
        <v>0.84682840592317998</v>
      </c>
      <c r="W134" s="102">
        <f t="shared" si="7"/>
        <v>0.2977150282381188</v>
      </c>
      <c r="Z134" s="1" t="s">
        <v>740</v>
      </c>
      <c r="AA134" s="211">
        <f>AVERAGE(V136:V138)</f>
        <v>0.68460601900610329</v>
      </c>
    </row>
    <row r="135" spans="1:27" s="1" customFormat="1" ht="11.25" customHeight="1" x14ac:dyDescent="0.2">
      <c r="A135" s="201">
        <v>45190</v>
      </c>
      <c r="B135" s="83">
        <v>43</v>
      </c>
      <c r="C135" s="83" t="s">
        <v>473</v>
      </c>
      <c r="D135" s="84">
        <v>6.5449999999999999</v>
      </c>
      <c r="E135" s="84">
        <v>0.62736674999999997</v>
      </c>
      <c r="F135" s="84">
        <v>-0.65253287707389696</v>
      </c>
      <c r="G135" s="84">
        <v>0.57232525000000001</v>
      </c>
      <c r="H135" s="84">
        <v>-22.484534575875138</v>
      </c>
      <c r="I135" s="101">
        <v>-27.067107774011326</v>
      </c>
      <c r="J135" s="78">
        <v>-2.76095501269588</v>
      </c>
      <c r="K135" s="79">
        <v>8.744465240641712E-2</v>
      </c>
      <c r="L135" s="79"/>
      <c r="M135" s="79"/>
      <c r="N135" s="79">
        <v>0</v>
      </c>
      <c r="O135" s="180">
        <v>3.0317213143E-2</v>
      </c>
      <c r="P135" s="81">
        <v>0.46321181272727274</v>
      </c>
      <c r="Q135" s="79">
        <v>9.5854354469060349E-2</v>
      </c>
      <c r="R135" s="79"/>
      <c r="S135" s="180">
        <v>1.1784606449749999E-2</v>
      </c>
      <c r="T135" s="82">
        <v>0.18005510236440028</v>
      </c>
      <c r="U135" s="78">
        <v>2.5726114208627777</v>
      </c>
      <c r="V135" s="102">
        <f t="shared" si="6"/>
        <v>0.83008529585533997</v>
      </c>
      <c r="W135" s="102">
        <f t="shared" si="7"/>
        <v>0.32266252459415495</v>
      </c>
      <c r="Z135" s="1" t="s">
        <v>741</v>
      </c>
      <c r="AA135" s="211">
        <f>AVERAGE(V139:V141)</f>
        <v>0.44474433029321164</v>
      </c>
    </row>
    <row r="136" spans="1:27" s="1" customFormat="1" ht="11.25" customHeight="1" x14ac:dyDescent="0.2">
      <c r="A136" s="201">
        <v>45190</v>
      </c>
      <c r="B136" s="83">
        <v>44</v>
      </c>
      <c r="C136" s="83" t="s">
        <v>474</v>
      </c>
      <c r="D136" s="84">
        <v>6.4050000000000002</v>
      </c>
      <c r="E136" s="84">
        <v>0.6428239375</v>
      </c>
      <c r="F136" s="84">
        <v>-1.1468104644208887</v>
      </c>
      <c r="G136" s="84">
        <v>0.44596059375000002</v>
      </c>
      <c r="H136" s="84">
        <v>-22.168567258518696</v>
      </c>
      <c r="I136" s="101">
        <v>-26.751614407630917</v>
      </c>
      <c r="J136" s="78">
        <v>-3.2552326000428717</v>
      </c>
      <c r="K136" s="79">
        <v>6.9626946721311478E-2</v>
      </c>
      <c r="L136" s="79"/>
      <c r="M136" s="79"/>
      <c r="N136" s="79">
        <v>0</v>
      </c>
      <c r="O136" s="180">
        <v>2.3623424572125001E-2</v>
      </c>
      <c r="P136" s="81">
        <v>0.36882786217213115</v>
      </c>
      <c r="Q136" s="79">
        <v>0.10036283177205307</v>
      </c>
      <c r="R136" s="79"/>
      <c r="S136" s="180">
        <v>1.21338925156875E-2</v>
      </c>
      <c r="T136" s="82">
        <v>0.18944406737997657</v>
      </c>
      <c r="U136" s="78">
        <v>1.946895816126859</v>
      </c>
      <c r="V136" s="212">
        <f t="shared" si="6"/>
        <v>0.64680936478478246</v>
      </c>
      <c r="W136" s="102">
        <f t="shared" si="7"/>
        <v>0.33222597707952373</v>
      </c>
      <c r="Z136" s="1" t="s">
        <v>742</v>
      </c>
      <c r="AA136" s="211">
        <f>AVERAGE(V142:V144)</f>
        <v>0.28651051544030248</v>
      </c>
    </row>
    <row r="137" spans="1:27" s="1" customFormat="1" ht="11.25" customHeight="1" x14ac:dyDescent="0.2">
      <c r="A137" s="201">
        <v>45190</v>
      </c>
      <c r="B137" s="83">
        <v>45</v>
      </c>
      <c r="C137" s="83" t="s">
        <v>475</v>
      </c>
      <c r="D137" s="84">
        <v>6.3319999999999999</v>
      </c>
      <c r="E137" s="84">
        <v>0.73006956249999999</v>
      </c>
      <c r="F137" s="84">
        <v>-1.9030291722267334</v>
      </c>
      <c r="G137" s="84">
        <v>0.46562771874999997</v>
      </c>
      <c r="H137" s="84">
        <v>-21.993856391198033</v>
      </c>
      <c r="I137" s="101">
        <v>-26.577165606611235</v>
      </c>
      <c r="J137" s="78">
        <v>-4.0114513078487164</v>
      </c>
      <c r="K137" s="79">
        <v>7.3535647307327853E-2</v>
      </c>
      <c r="L137" s="79"/>
      <c r="M137" s="79"/>
      <c r="N137" s="79">
        <v>0</v>
      </c>
      <c r="O137" s="180">
        <v>2.4665231517624998E-2</v>
      </c>
      <c r="P137" s="81">
        <v>0.38953303091637714</v>
      </c>
      <c r="Q137" s="79">
        <v>0.11529841479785218</v>
      </c>
      <c r="R137" s="79"/>
      <c r="S137" s="180">
        <v>1.4105381903812499E-2</v>
      </c>
      <c r="T137" s="82">
        <v>0.22276345394523847</v>
      </c>
      <c r="U137" s="78">
        <v>1.7486397522465031</v>
      </c>
      <c r="V137" s="212">
        <f t="shared" si="6"/>
        <v>0.67533403895257238</v>
      </c>
      <c r="W137" s="102">
        <f t="shared" si="7"/>
        <v>0.38620535652638621</v>
      </c>
      <c r="Z137" s="1" t="s">
        <v>743</v>
      </c>
      <c r="AA137" s="211">
        <f>AVERAGE(V145:V147)</f>
        <v>0.26821580803837913</v>
      </c>
    </row>
    <row r="138" spans="1:27" s="1" customFormat="1" ht="11.25" customHeight="1" x14ac:dyDescent="0.2">
      <c r="A138" s="201">
        <v>45190</v>
      </c>
      <c r="B138" s="83">
        <v>46</v>
      </c>
      <c r="C138" s="83" t="s">
        <v>476</v>
      </c>
      <c r="D138" s="84">
        <v>6.3440000000000003</v>
      </c>
      <c r="E138" s="84">
        <v>0.89244662500000005</v>
      </c>
      <c r="F138" s="84">
        <v>-0.89908915536740519</v>
      </c>
      <c r="G138" s="84">
        <v>0.50447331250000005</v>
      </c>
      <c r="H138" s="84">
        <v>-22.335671236856719</v>
      </c>
      <c r="I138" s="101">
        <v>-26.918467730001435</v>
      </c>
      <c r="J138" s="78">
        <v>-3.0075112909893882</v>
      </c>
      <c r="K138" s="79">
        <v>7.9519752916141245E-2</v>
      </c>
      <c r="L138" s="79"/>
      <c r="M138" s="79"/>
      <c r="N138" s="79">
        <v>0</v>
      </c>
      <c r="O138" s="180">
        <v>2.672296030975E-2</v>
      </c>
      <c r="P138" s="81">
        <v>0.42123203514738328</v>
      </c>
      <c r="Q138" s="79">
        <v>0.14067569750945777</v>
      </c>
      <c r="R138" s="79"/>
      <c r="S138" s="180">
        <v>1.7774616385125001E-2</v>
      </c>
      <c r="T138" s="82">
        <v>0.28017995562933479</v>
      </c>
      <c r="U138" s="78">
        <v>1.5034338705680073</v>
      </c>
      <c r="V138" s="212">
        <f t="shared" si="6"/>
        <v>0.73167465328095493</v>
      </c>
      <c r="W138" s="102">
        <f t="shared" si="7"/>
        <v>0.48666899662472252</v>
      </c>
      <c r="Z138" s="1" t="s">
        <v>744</v>
      </c>
      <c r="AA138" s="211">
        <f>AVERAGE(V148:V150)</f>
        <v>0.58537031039460408</v>
      </c>
    </row>
    <row r="139" spans="1:27" s="1" customFormat="1" ht="11.25" customHeight="1" x14ac:dyDescent="0.2">
      <c r="A139" s="201">
        <v>45190</v>
      </c>
      <c r="B139" s="83">
        <v>47</v>
      </c>
      <c r="C139" s="83" t="s">
        <v>477</v>
      </c>
      <c r="D139" s="84">
        <v>6.48</v>
      </c>
      <c r="E139" s="84">
        <v>1.0459097500000001</v>
      </c>
      <c r="F139" s="84">
        <v>-1.1980598382660412</v>
      </c>
      <c r="G139" s="84">
        <v>0.30994125</v>
      </c>
      <c r="H139" s="84">
        <v>-22.415758434549751</v>
      </c>
      <c r="I139" s="101">
        <v>-26.998434796897925</v>
      </c>
      <c r="J139" s="78">
        <v>-3.3064819738880242</v>
      </c>
      <c r="K139" s="79">
        <v>4.7830439814814815E-2</v>
      </c>
      <c r="L139" s="79"/>
      <c r="M139" s="79"/>
      <c r="N139" s="79">
        <v>0</v>
      </c>
      <c r="O139" s="180">
        <v>1.6418207894999998E-2</v>
      </c>
      <c r="P139" s="81">
        <v>0.25336740578703698</v>
      </c>
      <c r="Q139" s="79">
        <v>0.16140582561728395</v>
      </c>
      <c r="R139" s="79"/>
      <c r="S139" s="180">
        <v>2.1242422620750004E-2</v>
      </c>
      <c r="T139" s="82">
        <v>0.327815163900463</v>
      </c>
      <c r="U139" s="78">
        <v>0.77289714963877898</v>
      </c>
      <c r="V139" s="102">
        <f t="shared" si="6"/>
        <v>0.44953053216509992</v>
      </c>
      <c r="W139" s="102">
        <f t="shared" si="7"/>
        <v>0.58161753135613503</v>
      </c>
      <c r="Z139" s="1" t="s">
        <v>745</v>
      </c>
      <c r="AA139" s="211">
        <f>AVERAGE(V151:V153)</f>
        <v>0.60271771247966577</v>
      </c>
    </row>
    <row r="140" spans="1:27" s="1" customFormat="1" ht="11.25" customHeight="1" x14ac:dyDescent="0.2">
      <c r="A140" s="201">
        <v>45190</v>
      </c>
      <c r="B140" s="83">
        <v>48</v>
      </c>
      <c r="C140" s="83" t="s">
        <v>478</v>
      </c>
      <c r="D140" s="84">
        <v>6.4130000000000003</v>
      </c>
      <c r="E140" s="84">
        <v>1.104354375</v>
      </c>
      <c r="F140" s="84">
        <v>-1.1100923472697755</v>
      </c>
      <c r="G140" s="84">
        <v>0.29438962499999999</v>
      </c>
      <c r="H140" s="84">
        <v>-22.494764764700285</v>
      </c>
      <c r="I140" s="101">
        <v>-27.077322617553236</v>
      </c>
      <c r="J140" s="78">
        <v>-3.2185144828917585</v>
      </c>
      <c r="K140" s="79">
        <v>4.5905134102604085E-2</v>
      </c>
      <c r="L140" s="79"/>
      <c r="M140" s="79"/>
      <c r="N140" s="79">
        <v>0</v>
      </c>
      <c r="O140" s="180">
        <v>1.5594407215499999E-2</v>
      </c>
      <c r="P140" s="81">
        <v>0.24316867636831435</v>
      </c>
      <c r="Q140" s="79">
        <v>0.17220557851239668</v>
      </c>
      <c r="R140" s="79"/>
      <c r="S140" s="180">
        <v>2.2563095811874996E-2</v>
      </c>
      <c r="T140" s="82">
        <v>0.3518337098374395</v>
      </c>
      <c r="U140" s="78">
        <v>0.69114661150765644</v>
      </c>
      <c r="V140" s="102">
        <f t="shared" si="6"/>
        <v>0.42697486956038994</v>
      </c>
      <c r="W140" s="102">
        <f t="shared" si="7"/>
        <v>0.61777756332913736</v>
      </c>
      <c r="Z140" s="1" t="s">
        <v>746</v>
      </c>
      <c r="AA140" s="211">
        <f>AVERAGE(V154:V156)</f>
        <v>0.67675156739919073</v>
      </c>
    </row>
    <row r="141" spans="1:27" s="1" customFormat="1" ht="11.25" customHeight="1" x14ac:dyDescent="0.2">
      <c r="A141" s="201">
        <v>45190</v>
      </c>
      <c r="B141" s="83">
        <v>49</v>
      </c>
      <c r="C141" s="83" t="s">
        <v>479</v>
      </c>
      <c r="D141" s="84">
        <v>6.2069999999999999</v>
      </c>
      <c r="E141" s="84">
        <v>0.96557887499999995</v>
      </c>
      <c r="F141" s="84">
        <v>-0.72015326558938497</v>
      </c>
      <c r="G141" s="84">
        <v>0.3155929375</v>
      </c>
      <c r="H141" s="84">
        <v>-22.187189511190375</v>
      </c>
      <c r="I141" s="101">
        <v>-26.770208726923592</v>
      </c>
      <c r="J141" s="78">
        <v>-2.828575401211368</v>
      </c>
      <c r="K141" s="79">
        <v>5.0844681408087643E-2</v>
      </c>
      <c r="L141" s="79"/>
      <c r="M141" s="79"/>
      <c r="N141" s="79">
        <v>0</v>
      </c>
      <c r="O141" s="180">
        <v>1.6717589085249999E-2</v>
      </c>
      <c r="P141" s="81">
        <v>0.26933444635492182</v>
      </c>
      <c r="Q141" s="79">
        <v>0.1555628927017883</v>
      </c>
      <c r="R141" s="79"/>
      <c r="S141" s="180">
        <v>1.9427185838375001E-2</v>
      </c>
      <c r="T141" s="82">
        <v>0.31298833314604479</v>
      </c>
      <c r="U141" s="78">
        <v>0.86052551431444757</v>
      </c>
      <c r="V141" s="102">
        <f t="shared" si="6"/>
        <v>0.45772758915414496</v>
      </c>
      <c r="W141" s="102">
        <f t="shared" si="7"/>
        <v>0.53191634825470746</v>
      </c>
      <c r="Z141" s="1" t="s">
        <v>747</v>
      </c>
      <c r="AA141" s="211">
        <f>AVERAGE(V157:V159)</f>
        <v>0.47228571175514489</v>
      </c>
    </row>
    <row r="142" spans="1:27" s="1" customFormat="1" ht="11.25" customHeight="1" x14ac:dyDescent="0.2">
      <c r="A142" s="201">
        <v>45190</v>
      </c>
      <c r="B142" s="83">
        <v>52</v>
      </c>
      <c r="C142" s="83" t="s">
        <v>480</v>
      </c>
      <c r="D142" s="84">
        <v>6.5019999999999998</v>
      </c>
      <c r="E142" s="84">
        <v>0.139140125</v>
      </c>
      <c r="F142" s="84">
        <v>-5.8045927829141197</v>
      </c>
      <c r="G142" s="84">
        <v>0.18747295312500001</v>
      </c>
      <c r="H142" s="84">
        <v>-24.438343064547833</v>
      </c>
      <c r="I142" s="101">
        <v>-29.01798554995101</v>
      </c>
      <c r="J142" s="78">
        <v>-7.9130149185361027</v>
      </c>
      <c r="K142" s="79">
        <v>2.8833121058904954E-2</v>
      </c>
      <c r="L142" s="79"/>
      <c r="M142" s="79"/>
      <c r="N142" s="79">
        <v>0</v>
      </c>
      <c r="O142" s="180">
        <v>9.9308172729375005E-3</v>
      </c>
      <c r="P142" s="81">
        <v>0.15273480887323135</v>
      </c>
      <c r="Q142" s="79">
        <v>2.1399588588126732E-2</v>
      </c>
      <c r="R142" s="79"/>
      <c r="S142" s="180">
        <v>7.5214940462499987E-4</v>
      </c>
      <c r="T142" s="82">
        <v>1.1567969926561056E-2</v>
      </c>
      <c r="U142" s="78">
        <v>13.203250859300649</v>
      </c>
      <c r="V142" s="212">
        <f t="shared" si="6"/>
        <v>0.27190577693302875</v>
      </c>
      <c r="W142" s="102">
        <f t="shared" si="7"/>
        <v>2.0593850698632496E-2</v>
      </c>
      <c r="X142" s="1" t="s">
        <v>413</v>
      </c>
      <c r="Z142" s="1" t="s">
        <v>748</v>
      </c>
      <c r="AA142" s="211">
        <f>AVERAGE(V160:V162)</f>
        <v>1.8334773361671102</v>
      </c>
    </row>
    <row r="143" spans="1:27" s="1" customFormat="1" ht="11.25" customHeight="1" x14ac:dyDescent="0.2">
      <c r="A143" s="201">
        <v>45190</v>
      </c>
      <c r="B143" s="83">
        <v>53</v>
      </c>
      <c r="C143" s="83" t="s">
        <v>481</v>
      </c>
      <c r="D143" s="84">
        <v>6.218</v>
      </c>
      <c r="E143" s="84">
        <v>9.6187117187500004E-2</v>
      </c>
      <c r="F143" s="84">
        <v>-7.4617685348502549</v>
      </c>
      <c r="G143" s="84">
        <v>0.18918589062499999</v>
      </c>
      <c r="H143" s="84">
        <v>-24.606655716316013</v>
      </c>
      <c r="I143" s="101">
        <v>-29.18604573274154</v>
      </c>
      <c r="J143" s="78">
        <v>-9.5701906704722379</v>
      </c>
      <c r="K143" s="79">
        <v>3.0425521168382114E-2</v>
      </c>
      <c r="L143" s="79"/>
      <c r="M143" s="79"/>
      <c r="N143" s="79">
        <v>0</v>
      </c>
      <c r="O143" s="180">
        <v>1.00215549981875E-2</v>
      </c>
      <c r="P143" s="81">
        <v>0.16117007073315376</v>
      </c>
      <c r="Q143" s="79">
        <v>1.5469140750643295E-2</v>
      </c>
      <c r="R143" s="79"/>
      <c r="S143" s="180">
        <v>-2.1845971291406269E-4</v>
      </c>
      <c r="T143" s="82">
        <v>-3.513343726504707E-3</v>
      </c>
      <c r="U143" s="78">
        <v>-45.873698470572293</v>
      </c>
      <c r="V143" s="212">
        <f t="shared" si="6"/>
        <v>0.27439017585037373</v>
      </c>
      <c r="W143" s="102">
        <f t="shared" si="7"/>
        <v>0</v>
      </c>
      <c r="X143" s="1" t="s">
        <v>413</v>
      </c>
      <c r="Z143" s="1" t="s">
        <v>749</v>
      </c>
      <c r="AA143" s="211">
        <f>V167</f>
        <v>2.1062359783450173</v>
      </c>
    </row>
    <row r="144" spans="1:27" s="1" customFormat="1" ht="11.25" customHeight="1" x14ac:dyDescent="0.2">
      <c r="A144" s="201">
        <v>45190</v>
      </c>
      <c r="B144" s="83">
        <v>54</v>
      </c>
      <c r="C144" s="83" t="s">
        <v>482</v>
      </c>
      <c r="D144" s="84">
        <v>6.1479999999999997</v>
      </c>
      <c r="E144" s="84">
        <v>0.1007888515625</v>
      </c>
      <c r="F144" s="84">
        <v>-3.474288055467234</v>
      </c>
      <c r="G144" s="84">
        <v>0.21596893750000001</v>
      </c>
      <c r="H144" s="84">
        <v>-23.954061234790171</v>
      </c>
      <c r="I144" s="101">
        <v>-28.534430142937985</v>
      </c>
      <c r="J144" s="78">
        <v>-5.582710191089217</v>
      </c>
      <c r="K144" s="79">
        <v>3.5128324251789203E-2</v>
      </c>
      <c r="L144" s="79"/>
      <c r="M144" s="79"/>
      <c r="N144" s="79">
        <v>0</v>
      </c>
      <c r="O144" s="180">
        <v>1.144030655725E-2</v>
      </c>
      <c r="P144" s="81">
        <v>0.18608175922657777</v>
      </c>
      <c r="Q144" s="79">
        <v>1.6393762453236826E-2</v>
      </c>
      <c r="R144" s="79"/>
      <c r="S144" s="180">
        <v>-1.1447432124218762E-4</v>
      </c>
      <c r="T144" s="82">
        <v>-1.8619765979536048E-3</v>
      </c>
      <c r="U144" s="78">
        <v>-99.937754014250174</v>
      </c>
      <c r="V144" s="212">
        <f t="shared" si="6"/>
        <v>0.31323559353750502</v>
      </c>
      <c r="W144" s="102">
        <f t="shared" si="7"/>
        <v>0</v>
      </c>
      <c r="X144" s="1" t="s">
        <v>413</v>
      </c>
      <c r="Z144" s="1" t="s">
        <v>750</v>
      </c>
      <c r="AA144" s="211">
        <f t="shared" ref="AA144:AA148" si="8">V168</f>
        <v>1.1324545663874486</v>
      </c>
    </row>
    <row r="145" spans="1:27" s="1" customFormat="1" ht="11.25" customHeight="1" x14ac:dyDescent="0.2">
      <c r="A145" s="201">
        <v>45190</v>
      </c>
      <c r="B145" s="83">
        <v>55</v>
      </c>
      <c r="C145" s="83" t="s">
        <v>483</v>
      </c>
      <c r="D145" s="84">
        <v>6.1909999999999998</v>
      </c>
      <c r="E145" s="84">
        <v>0.1169339375</v>
      </c>
      <c r="F145" s="84">
        <v>-3.6045445306407409</v>
      </c>
      <c r="G145" s="84">
        <v>0.18145835937499999</v>
      </c>
      <c r="H145" s="84">
        <v>-24.160135342491326</v>
      </c>
      <c r="I145" s="101">
        <v>-28.740195139477589</v>
      </c>
      <c r="J145" s="78">
        <v>-5.7129666662627239</v>
      </c>
      <c r="K145" s="79">
        <v>2.9310024127766111E-2</v>
      </c>
      <c r="L145" s="79"/>
      <c r="M145" s="79"/>
      <c r="N145" s="79">
        <v>0</v>
      </c>
      <c r="O145" s="180">
        <v>9.6122122128124987E-3</v>
      </c>
      <c r="P145" s="81">
        <v>0.15526105980960264</v>
      </c>
      <c r="Q145" s="79">
        <v>1.8887730172831529E-2</v>
      </c>
      <c r="R145" s="79"/>
      <c r="S145" s="180">
        <v>2.5035618568749985E-4</v>
      </c>
      <c r="T145" s="82">
        <v>4.0438731333790967E-3</v>
      </c>
      <c r="U145" s="78">
        <v>38.394147068571634</v>
      </c>
      <c r="V145" s="102">
        <f t="shared" si="6"/>
        <v>0.2631823703868062</v>
      </c>
      <c r="W145" s="102">
        <f t="shared" si="7"/>
        <v>6.8547523641237455E-3</v>
      </c>
      <c r="X145" s="1" t="s">
        <v>413</v>
      </c>
      <c r="Z145" s="1" t="s">
        <v>751</v>
      </c>
      <c r="AA145" s="211">
        <f t="shared" si="8"/>
        <v>0.76040884088149185</v>
      </c>
    </row>
    <row r="146" spans="1:27" s="1" customFormat="1" ht="11.25" customHeight="1" x14ac:dyDescent="0.2">
      <c r="A146" s="201">
        <v>45190</v>
      </c>
      <c r="B146" s="83">
        <v>56</v>
      </c>
      <c r="C146" s="83" t="s">
        <v>484</v>
      </c>
      <c r="D146" s="84">
        <v>6.165</v>
      </c>
      <c r="E146" s="84">
        <v>0.139203359375</v>
      </c>
      <c r="F146" s="84">
        <v>-0.31570290971483228</v>
      </c>
      <c r="G146" s="84">
        <v>0.186832890625</v>
      </c>
      <c r="H146" s="84">
        <v>-24.20945160694016</v>
      </c>
      <c r="I146" s="101">
        <v>-28.789437429529752</v>
      </c>
      <c r="J146" s="78">
        <v>-2.4241250453368153</v>
      </c>
      <c r="K146" s="79">
        <v>3.0305416159772912E-2</v>
      </c>
      <c r="L146" s="79"/>
      <c r="M146" s="79"/>
      <c r="N146" s="79">
        <v>0</v>
      </c>
      <c r="O146" s="180">
        <v>9.8969118821874997E-3</v>
      </c>
      <c r="P146" s="81">
        <v>0.16053385048154906</v>
      </c>
      <c r="Q146" s="79">
        <v>2.2579620336577455E-2</v>
      </c>
      <c r="R146" s="79"/>
      <c r="S146" s="180">
        <v>7.5357831179687475E-4</v>
      </c>
      <c r="T146" s="82">
        <v>1.2223492486567313E-2</v>
      </c>
      <c r="U146" s="78">
        <v>13.133222821379697</v>
      </c>
      <c r="V146" s="102">
        <f t="shared" si="6"/>
        <v>0.27097744733429374</v>
      </c>
      <c r="W146" s="102">
        <f t="shared" si="7"/>
        <v>2.0632974176998432E-2</v>
      </c>
      <c r="X146" s="1" t="s">
        <v>413</v>
      </c>
      <c r="AA146" s="211"/>
    </row>
    <row r="147" spans="1:27" s="1" customFormat="1" ht="11.25" customHeight="1" x14ac:dyDescent="0.2">
      <c r="A147" s="201">
        <v>45190</v>
      </c>
      <c r="B147" s="83">
        <v>57</v>
      </c>
      <c r="C147" s="83" t="s">
        <v>485</v>
      </c>
      <c r="D147" s="84">
        <v>6.2549999999999999</v>
      </c>
      <c r="E147" s="84">
        <v>0.171026640625</v>
      </c>
      <c r="F147" s="84">
        <v>-1.6929263624769764</v>
      </c>
      <c r="G147" s="84">
        <v>0.18649515624999999</v>
      </c>
      <c r="H147" s="84">
        <v>-24.530694093196942</v>
      </c>
      <c r="I147" s="101">
        <v>-29.110198052057147</v>
      </c>
      <c r="J147" s="78">
        <v>-3.8013484980989594</v>
      </c>
      <c r="K147" s="79">
        <v>2.9815372701838528E-2</v>
      </c>
      <c r="L147" s="79"/>
      <c r="M147" s="79"/>
      <c r="N147" s="79">
        <v>0</v>
      </c>
      <c r="O147" s="180">
        <v>9.8790214168749998E-3</v>
      </c>
      <c r="P147" s="81">
        <v>0.15793799227617905</v>
      </c>
      <c r="Q147" s="79">
        <v>2.7342388589128699E-2</v>
      </c>
      <c r="R147" s="79"/>
      <c r="S147" s="180">
        <v>1.472688998203125E-3</v>
      </c>
      <c r="T147" s="82">
        <v>2.3544188620353717E-2</v>
      </c>
      <c r="U147" s="78">
        <v>6.70815184260133</v>
      </c>
      <c r="V147" s="102">
        <f t="shared" si="6"/>
        <v>0.27048760639403746</v>
      </c>
      <c r="W147" s="102">
        <f t="shared" si="7"/>
        <v>4.0322224770801558E-2</v>
      </c>
      <c r="X147" s="1" t="s">
        <v>413</v>
      </c>
      <c r="AA147" s="211"/>
    </row>
    <row r="148" spans="1:27" s="1" customFormat="1" ht="11.25" customHeight="1" x14ac:dyDescent="0.2">
      <c r="A148" s="201">
        <v>45190</v>
      </c>
      <c r="B148" s="83">
        <v>58</v>
      </c>
      <c r="C148" s="83" t="s">
        <v>486</v>
      </c>
      <c r="D148" s="84">
        <v>6.3869999999999996</v>
      </c>
      <c r="E148" s="84">
        <v>0.21193270312500001</v>
      </c>
      <c r="F148" s="84">
        <v>9.7310782692261455E-2</v>
      </c>
      <c r="G148" s="84">
        <v>0.35769690625</v>
      </c>
      <c r="H148" s="84">
        <v>-23.397959672357626</v>
      </c>
      <c r="I148" s="101">
        <v>-27.97916273284909</v>
      </c>
      <c r="J148" s="78">
        <v>-2.0111113529297215</v>
      </c>
      <c r="K148" s="79">
        <v>5.6003899522467517E-2</v>
      </c>
      <c r="L148" s="79"/>
      <c r="M148" s="79"/>
      <c r="N148" s="79">
        <v>0</v>
      </c>
      <c r="O148" s="180">
        <v>1.8947920517875E-2</v>
      </c>
      <c r="P148" s="81">
        <v>0.29666385655041494</v>
      </c>
      <c r="Q148" s="79">
        <v>3.3181885568341951E-2</v>
      </c>
      <c r="R148" s="79"/>
      <c r="S148" s="180">
        <v>2.3970432925156252E-3</v>
      </c>
      <c r="T148" s="82">
        <v>3.7530034327784956E-2</v>
      </c>
      <c r="U148" s="78">
        <v>7.9047051745109389</v>
      </c>
      <c r="V148" s="212">
        <f t="shared" si="6"/>
        <v>0.5187940637794175</v>
      </c>
      <c r="W148" s="102">
        <f t="shared" si="7"/>
        <v>6.5631045349077821E-2</v>
      </c>
      <c r="X148" s="1" t="s">
        <v>413</v>
      </c>
      <c r="AA148" s="211"/>
    </row>
    <row r="149" spans="1:27" s="1" customFormat="1" ht="11.25" customHeight="1" x14ac:dyDescent="0.2">
      <c r="A149" s="201">
        <v>45190</v>
      </c>
      <c r="B149" s="83">
        <v>59</v>
      </c>
      <c r="C149" s="83" t="s">
        <v>487</v>
      </c>
      <c r="D149" s="84">
        <v>6.29</v>
      </c>
      <c r="E149" s="84">
        <v>0.23233662499999999</v>
      </c>
      <c r="F149" s="84">
        <v>-1.6367566541650724</v>
      </c>
      <c r="G149" s="84">
        <v>0.38130962499999999</v>
      </c>
      <c r="H149" s="84">
        <v>-23.700313261559479</v>
      </c>
      <c r="I149" s="101">
        <v>-28.281062791667139</v>
      </c>
      <c r="J149" s="78">
        <v>-3.7451787897870554</v>
      </c>
      <c r="K149" s="79">
        <v>6.0621562003179648E-2</v>
      </c>
      <c r="L149" s="79"/>
      <c r="M149" s="79"/>
      <c r="N149" s="79">
        <v>0</v>
      </c>
      <c r="O149" s="180">
        <v>2.0198733455499999E-2</v>
      </c>
      <c r="P149" s="81">
        <v>0.32112453824324322</v>
      </c>
      <c r="Q149" s="79">
        <v>3.6937460254372015E-2</v>
      </c>
      <c r="R149" s="79"/>
      <c r="S149" s="180">
        <v>2.8581107151249997E-3</v>
      </c>
      <c r="T149" s="82">
        <v>4.5438962084658183E-2</v>
      </c>
      <c r="U149" s="78">
        <v>7.0671627059823701</v>
      </c>
      <c r="V149" s="212">
        <f t="shared" si="6"/>
        <v>0.55304132201158995</v>
      </c>
      <c r="W149" s="102">
        <f t="shared" si="7"/>
        <v>7.8255071380122485E-2</v>
      </c>
      <c r="X149" s="1" t="s">
        <v>413</v>
      </c>
    </row>
    <row r="150" spans="1:27" s="1" customFormat="1" ht="11.25" customHeight="1" x14ac:dyDescent="0.2">
      <c r="A150" s="201">
        <v>45190</v>
      </c>
      <c r="B150" s="83">
        <v>60</v>
      </c>
      <c r="C150" s="83" t="s">
        <v>488</v>
      </c>
      <c r="D150" s="84">
        <v>6.3810000000000002</v>
      </c>
      <c r="E150" s="84">
        <v>0.24415584374999999</v>
      </c>
      <c r="F150" s="84">
        <v>0.13484488265880223</v>
      </c>
      <c r="G150" s="84">
        <v>0.47179268749999997</v>
      </c>
      <c r="H150" s="84">
        <v>-22.735108103319313</v>
      </c>
      <c r="I150" s="101">
        <v>-27.317305441164333</v>
      </c>
      <c r="J150" s="78">
        <v>-1.9735772529631808</v>
      </c>
      <c r="K150" s="79">
        <v>7.3937108211879016E-2</v>
      </c>
      <c r="L150" s="79"/>
      <c r="M150" s="79"/>
      <c r="N150" s="79">
        <v>0</v>
      </c>
      <c r="O150" s="180">
        <v>2.4991802242249998E-2</v>
      </c>
      <c r="P150" s="81">
        <v>0.39165964961996547</v>
      </c>
      <c r="Q150" s="79">
        <v>3.8262943700047014E-2</v>
      </c>
      <c r="R150" s="79"/>
      <c r="S150" s="180">
        <v>3.1251896012187497E-3</v>
      </c>
      <c r="T150" s="82">
        <v>4.8976486463230676E-2</v>
      </c>
      <c r="U150" s="78">
        <v>7.9968915269984864</v>
      </c>
      <c r="V150" s="212">
        <f t="shared" si="6"/>
        <v>0.68427554539280488</v>
      </c>
      <c r="W150" s="102">
        <f t="shared" si="7"/>
        <v>8.556769128136936E-2</v>
      </c>
      <c r="X150" s="1" t="s">
        <v>413</v>
      </c>
    </row>
    <row r="151" spans="1:27" s="1" customFormat="1" ht="11.25" customHeight="1" x14ac:dyDescent="0.2">
      <c r="A151" s="201">
        <v>45190</v>
      </c>
      <c r="B151" s="83">
        <v>63</v>
      </c>
      <c r="C151" s="83" t="s">
        <v>489</v>
      </c>
      <c r="D151" s="84">
        <v>6.2110000000000003</v>
      </c>
      <c r="E151" s="84">
        <v>0.23412760937499999</v>
      </c>
      <c r="F151" s="84">
        <v>-0.79020522144612748</v>
      </c>
      <c r="G151" s="84">
        <v>0.30654103124999998</v>
      </c>
      <c r="H151" s="84">
        <v>-23.799286729362716</v>
      </c>
      <c r="I151" s="101">
        <v>-28.379887799268673</v>
      </c>
      <c r="J151" s="78">
        <v>-2.8986273570681105</v>
      </c>
      <c r="K151" s="79">
        <v>4.935453731283207E-2</v>
      </c>
      <c r="L151" s="79"/>
      <c r="M151" s="79"/>
      <c r="N151" s="79">
        <v>0</v>
      </c>
      <c r="O151" s="180">
        <v>1.6238091507374999E-2</v>
      </c>
      <c r="P151" s="81">
        <v>0.26144085505353404</v>
      </c>
      <c r="Q151" s="79">
        <v>3.7695638282885198E-2</v>
      </c>
      <c r="R151" s="79"/>
      <c r="S151" s="180">
        <v>2.8985815890468745E-3</v>
      </c>
      <c r="T151" s="82">
        <v>4.6668516970646827E-2</v>
      </c>
      <c r="U151" s="78">
        <v>5.6020819178370918</v>
      </c>
      <c r="V151" s="102">
        <f t="shared" si="6"/>
        <v>0.44459894547192746</v>
      </c>
      <c r="W151" s="102">
        <f t="shared" si="7"/>
        <v>7.9363163908103426E-2</v>
      </c>
      <c r="X151" s="1" t="s">
        <v>413</v>
      </c>
    </row>
    <row r="152" spans="1:27" s="1" customFormat="1" ht="11.25" customHeight="1" x14ac:dyDescent="0.2">
      <c r="A152" s="201">
        <v>45190</v>
      </c>
      <c r="B152" s="83">
        <v>64</v>
      </c>
      <c r="C152" s="83" t="s">
        <v>490</v>
      </c>
      <c r="D152" s="84">
        <v>6.2640000000000002</v>
      </c>
      <c r="E152" s="84">
        <v>0.25276470312499999</v>
      </c>
      <c r="F152" s="84">
        <v>-0.49063882983457763</v>
      </c>
      <c r="G152" s="84">
        <v>0.47130562500000001</v>
      </c>
      <c r="H152" s="84">
        <v>-23.329840209664482</v>
      </c>
      <c r="I152" s="101">
        <v>-27.911145449349984</v>
      </c>
      <c r="J152" s="78">
        <v>-2.5990609654565606</v>
      </c>
      <c r="K152" s="79">
        <v>7.5240361590038315E-2</v>
      </c>
      <c r="L152" s="79"/>
      <c r="M152" s="79"/>
      <c r="N152" s="79">
        <v>0</v>
      </c>
      <c r="O152" s="180">
        <v>2.49660015675E-2</v>
      </c>
      <c r="P152" s="81">
        <v>0.39856324341475097</v>
      </c>
      <c r="Q152" s="79">
        <v>4.0351964100415069E-2</v>
      </c>
      <c r="R152" s="79"/>
      <c r="S152" s="180">
        <v>3.3197239965156245E-3</v>
      </c>
      <c r="T152" s="82">
        <v>5.2996870953314568E-2</v>
      </c>
      <c r="U152" s="78">
        <v>7.5205051967284824</v>
      </c>
      <c r="V152" s="102">
        <f t="shared" si="6"/>
        <v>0.68356912291814997</v>
      </c>
      <c r="W152" s="102">
        <f t="shared" si="7"/>
        <v>9.089404302459779E-2</v>
      </c>
      <c r="X152" s="1" t="s">
        <v>413</v>
      </c>
    </row>
    <row r="153" spans="1:27" s="1" customFormat="1" ht="11.25" customHeight="1" x14ac:dyDescent="0.2">
      <c r="A153" s="201">
        <v>45190</v>
      </c>
      <c r="B153" s="83">
        <v>65</v>
      </c>
      <c r="C153" s="83" t="s">
        <v>491</v>
      </c>
      <c r="D153" s="84">
        <v>6.2779999999999996</v>
      </c>
      <c r="E153" s="84">
        <v>0.24179192187500001</v>
      </c>
      <c r="F153" s="84">
        <v>-0.38788871841843875</v>
      </c>
      <c r="G153" s="84">
        <v>0.46883449999999999</v>
      </c>
      <c r="H153" s="84">
        <v>-23.695668254371096</v>
      </c>
      <c r="I153" s="101">
        <v>-28.276424751989541</v>
      </c>
      <c r="J153" s="78">
        <v>-2.4963108540404217</v>
      </c>
      <c r="K153" s="79">
        <v>7.467895826696401E-2</v>
      </c>
      <c r="L153" s="79"/>
      <c r="M153" s="79"/>
      <c r="N153" s="79">
        <v>0</v>
      </c>
      <c r="O153" s="180">
        <v>2.4835101133999997E-2</v>
      </c>
      <c r="P153" s="81">
        <v>0.39558937773176167</v>
      </c>
      <c r="Q153" s="79">
        <v>3.8514164045078056E-2</v>
      </c>
      <c r="R153" s="79"/>
      <c r="S153" s="180">
        <v>3.0717720586093747E-3</v>
      </c>
      <c r="T153" s="82">
        <v>4.8929150344207945E-2</v>
      </c>
      <c r="U153" s="78">
        <v>8.0849427171504136</v>
      </c>
      <c r="V153" s="102">
        <f t="shared" si="6"/>
        <v>0.67998506904891987</v>
      </c>
      <c r="W153" s="102">
        <f t="shared" si="7"/>
        <v>8.4105118964724682E-2</v>
      </c>
      <c r="X153" s="1" t="s">
        <v>413</v>
      </c>
    </row>
    <row r="154" spans="1:27" s="1" customFormat="1" ht="11.25" customHeight="1" x14ac:dyDescent="0.2">
      <c r="A154" s="201">
        <v>45190</v>
      </c>
      <c r="B154" s="83">
        <v>66</v>
      </c>
      <c r="C154" s="83" t="s">
        <v>492</v>
      </c>
      <c r="D154" s="84">
        <v>6.2759999999999998</v>
      </c>
      <c r="E154" s="84">
        <v>0.23819537499999999</v>
      </c>
      <c r="F154" s="84">
        <v>2.250628469036009E-2</v>
      </c>
      <c r="G154" s="84">
        <v>0.43959509375</v>
      </c>
      <c r="H154" s="84">
        <v>-23.453065482691454</v>
      </c>
      <c r="I154" s="101">
        <v>-28.034185884467416</v>
      </c>
      <c r="J154" s="78">
        <v>-2.0859158509316229</v>
      </c>
      <c r="K154" s="79">
        <v>7.0043832656150412E-2</v>
      </c>
      <c r="L154" s="79"/>
      <c r="M154" s="79"/>
      <c r="N154" s="79">
        <v>0</v>
      </c>
      <c r="O154" s="180">
        <v>2.3286231306124998E-2</v>
      </c>
      <c r="P154" s="81">
        <v>0.37103619034615998</v>
      </c>
      <c r="Q154" s="79">
        <v>3.7953373964308479E-2</v>
      </c>
      <c r="R154" s="79"/>
      <c r="S154" s="180">
        <v>2.9905008888749997E-3</v>
      </c>
      <c r="T154" s="82">
        <v>4.7649791091061183E-2</v>
      </c>
      <c r="U154" s="78">
        <v>7.7867327820407617</v>
      </c>
      <c r="V154" s="212">
        <f t="shared" si="6"/>
        <v>0.63757701316170245</v>
      </c>
      <c r="W154" s="102">
        <f t="shared" si="7"/>
        <v>8.1879914337397497E-2</v>
      </c>
      <c r="X154" s="1" t="s">
        <v>413</v>
      </c>
    </row>
    <row r="155" spans="1:27" s="1" customFormat="1" ht="11.25" customHeight="1" x14ac:dyDescent="0.2">
      <c r="A155" s="201">
        <v>45190</v>
      </c>
      <c r="B155" s="83">
        <v>67</v>
      </c>
      <c r="C155" s="83" t="s">
        <v>493</v>
      </c>
      <c r="D155" s="84">
        <v>6.6230000000000002</v>
      </c>
      <c r="E155" s="84">
        <v>0.23044910937499999</v>
      </c>
      <c r="F155" s="84">
        <v>0.51437828286804432</v>
      </c>
      <c r="G155" s="84">
        <v>0.48710249999999999</v>
      </c>
      <c r="H155" s="84">
        <v>-23.416657735874626</v>
      </c>
      <c r="I155" s="101">
        <v>-27.997832749270813</v>
      </c>
      <c r="J155" s="78">
        <v>-1.5940438527539387</v>
      </c>
      <c r="K155" s="79">
        <v>7.3547108561075034E-2</v>
      </c>
      <c r="L155" s="79"/>
      <c r="M155" s="79"/>
      <c r="N155" s="79">
        <v>0</v>
      </c>
      <c r="O155" s="180">
        <v>2.5802793629999998E-2</v>
      </c>
      <c r="P155" s="81">
        <v>0.38959374346972664</v>
      </c>
      <c r="Q155" s="79">
        <v>3.4795275460516382E-2</v>
      </c>
      <c r="R155" s="79"/>
      <c r="S155" s="180">
        <v>2.8154585245468745E-3</v>
      </c>
      <c r="T155" s="82">
        <v>4.251032046726369E-2</v>
      </c>
      <c r="U155" s="78">
        <v>9.1646861088648954</v>
      </c>
      <c r="V155" s="212">
        <f t="shared" si="6"/>
        <v>0.70648048958939991</v>
      </c>
      <c r="W155" s="102">
        <f t="shared" si="7"/>
        <v>7.7087254402093422E-2</v>
      </c>
      <c r="X155" s="1" t="s">
        <v>413</v>
      </c>
    </row>
    <row r="156" spans="1:27" s="1" customFormat="1" ht="11.25" customHeight="1" x14ac:dyDescent="0.2">
      <c r="A156" s="201">
        <v>45190</v>
      </c>
      <c r="B156" s="83">
        <v>68</v>
      </c>
      <c r="C156" s="83" t="s">
        <v>494</v>
      </c>
      <c r="D156" s="84">
        <v>6.3289999999999997</v>
      </c>
      <c r="E156" s="84">
        <v>0.21210828125</v>
      </c>
      <c r="F156" s="84">
        <v>-0.42559710414558083</v>
      </c>
      <c r="G156" s="84">
        <v>0.47311762499999999</v>
      </c>
      <c r="H156" s="84">
        <v>-23.49904996766972</v>
      </c>
      <c r="I156" s="101">
        <v>-28.080101392718216</v>
      </c>
      <c r="J156" s="78">
        <v>-2.5340192397675638</v>
      </c>
      <c r="K156" s="79">
        <v>7.4753930320745773E-2</v>
      </c>
      <c r="L156" s="79"/>
      <c r="M156" s="79"/>
      <c r="N156" s="79">
        <v>0</v>
      </c>
      <c r="O156" s="180">
        <v>2.5061986831499999E-2</v>
      </c>
      <c r="P156" s="81">
        <v>0.3959865196950545</v>
      </c>
      <c r="Q156" s="79">
        <v>3.3513711684310318E-2</v>
      </c>
      <c r="R156" s="79"/>
      <c r="S156" s="180">
        <v>2.4010108314062497E-3</v>
      </c>
      <c r="T156" s="82">
        <v>3.793665399599068E-2</v>
      </c>
      <c r="U156" s="78">
        <v>10.438098197508516</v>
      </c>
      <c r="V156" s="212">
        <f t="shared" si="6"/>
        <v>0.68619719944646995</v>
      </c>
      <c r="W156" s="102">
        <f t="shared" si="7"/>
        <v>6.5739676563903116E-2</v>
      </c>
      <c r="X156" s="1" t="s">
        <v>413</v>
      </c>
    </row>
    <row r="157" spans="1:27" s="1" customFormat="1" ht="11.25" customHeight="1" x14ac:dyDescent="0.2">
      <c r="A157" s="201">
        <v>45190</v>
      </c>
      <c r="B157" s="83">
        <v>69</v>
      </c>
      <c r="C157" s="83" t="s">
        <v>495</v>
      </c>
      <c r="D157" s="84">
        <v>6.2569999999999997</v>
      </c>
      <c r="E157" s="84">
        <v>0.19678259375000001</v>
      </c>
      <c r="F157" s="84">
        <v>-1.2877334771693727</v>
      </c>
      <c r="G157" s="84">
        <v>0.35545334374999998</v>
      </c>
      <c r="H157" s="84">
        <v>-22.833966329642827</v>
      </c>
      <c r="I157" s="101">
        <v>-27.416015380148362</v>
      </c>
      <c r="J157" s="78">
        <v>-3.3961556127913557</v>
      </c>
      <c r="K157" s="79">
        <v>5.6808909021895476E-2</v>
      </c>
      <c r="L157" s="79"/>
      <c r="M157" s="79"/>
      <c r="N157" s="79">
        <v>0</v>
      </c>
      <c r="O157" s="180">
        <v>1.8829074525125E-2</v>
      </c>
      <c r="P157" s="81">
        <v>0.30092815287078473</v>
      </c>
      <c r="Q157" s="79">
        <v>3.1449991010068727E-2</v>
      </c>
      <c r="R157" s="79"/>
      <c r="S157" s="180">
        <v>2.05469627096875E-3</v>
      </c>
      <c r="T157" s="82">
        <v>3.2838361370764742E-2</v>
      </c>
      <c r="U157" s="78">
        <v>9.1639211065718502</v>
      </c>
      <c r="V157" s="102">
        <f t="shared" si="6"/>
        <v>0.51554006049792245</v>
      </c>
      <c r="W157" s="102">
        <f t="shared" si="7"/>
        <v>5.6257583899124372E-2</v>
      </c>
      <c r="X157" s="1" t="s">
        <v>413</v>
      </c>
    </row>
    <row r="158" spans="1:27" s="1" customFormat="1" ht="11.25" customHeight="1" x14ac:dyDescent="0.2">
      <c r="A158" s="201">
        <v>45190</v>
      </c>
      <c r="B158" s="83">
        <v>70</v>
      </c>
      <c r="C158" s="83" t="s">
        <v>496</v>
      </c>
      <c r="D158" s="84">
        <v>6.3559999999999999</v>
      </c>
      <c r="E158" s="84">
        <v>0.19520004687500001</v>
      </c>
      <c r="F158" s="84">
        <v>-1.7732613136145492</v>
      </c>
      <c r="G158" s="84">
        <v>0.30868612499999998</v>
      </c>
      <c r="H158" s="84">
        <v>-22.962496740191799</v>
      </c>
      <c r="I158" s="101">
        <v>-27.54435299508151</v>
      </c>
      <c r="J158" s="78">
        <v>-3.8816834492365322</v>
      </c>
      <c r="K158" s="79">
        <v>4.8566098961611071E-2</v>
      </c>
      <c r="L158" s="79"/>
      <c r="M158" s="79"/>
      <c r="N158" s="79">
        <v>0</v>
      </c>
      <c r="O158" s="180">
        <v>1.6351721413499998E-2</v>
      </c>
      <c r="P158" s="81">
        <v>0.25726433941944615</v>
      </c>
      <c r="Q158" s="79">
        <v>3.0711146456104468E-2</v>
      </c>
      <c r="R158" s="79"/>
      <c r="S158" s="180">
        <v>2.0189354592343748E-3</v>
      </c>
      <c r="T158" s="82">
        <v>3.1764245739999607E-2</v>
      </c>
      <c r="U158" s="78">
        <v>8.0991798616984685</v>
      </c>
      <c r="V158" s="102">
        <f t="shared" si="6"/>
        <v>0.44771013230162993</v>
      </c>
      <c r="W158" s="102">
        <f t="shared" si="7"/>
        <v>5.5278452873837182E-2</v>
      </c>
      <c r="X158" s="1" t="s">
        <v>413</v>
      </c>
    </row>
    <row r="159" spans="1:27" s="1" customFormat="1" ht="11.25" customHeight="1" x14ac:dyDescent="0.2">
      <c r="A159" s="201">
        <v>45190</v>
      </c>
      <c r="B159" s="83">
        <v>71</v>
      </c>
      <c r="C159" s="83" t="s">
        <v>497</v>
      </c>
      <c r="D159" s="84">
        <v>6.2480000000000002</v>
      </c>
      <c r="E159" s="84">
        <v>0.20133507812500001</v>
      </c>
      <c r="F159" s="84">
        <v>2.3604502053569121</v>
      </c>
      <c r="G159" s="84">
        <v>0.31275184374999998</v>
      </c>
      <c r="H159" s="84">
        <v>-22.811229056642638</v>
      </c>
      <c r="I159" s="101">
        <v>-27.393312213057673</v>
      </c>
      <c r="J159" s="78">
        <v>0.25202806973492908</v>
      </c>
      <c r="K159" s="79">
        <v>5.005631302016645E-2</v>
      </c>
      <c r="L159" s="79"/>
      <c r="M159" s="79"/>
      <c r="N159" s="79">
        <v>0</v>
      </c>
      <c r="O159" s="180">
        <v>1.6567090667124997E-2</v>
      </c>
      <c r="P159" s="81">
        <v>0.26515830133042567</v>
      </c>
      <c r="Q159" s="79">
        <v>3.2223924155729833E-2</v>
      </c>
      <c r="R159" s="79"/>
      <c r="S159" s="180">
        <v>2.1575687603906249E-3</v>
      </c>
      <c r="T159" s="82">
        <v>3.4532150454395401E-2</v>
      </c>
      <c r="U159" s="78">
        <v>7.6785922058518992</v>
      </c>
      <c r="V159" s="102">
        <f t="shared" si="6"/>
        <v>0.4536069424658824</v>
      </c>
      <c r="W159" s="102">
        <f t="shared" si="7"/>
        <v>5.907423265949531E-2</v>
      </c>
      <c r="X159" s="1" t="s">
        <v>413</v>
      </c>
    </row>
    <row r="160" spans="1:27" s="1" customFormat="1" ht="11.25" customHeight="1" x14ac:dyDescent="0.2">
      <c r="A160" s="201">
        <v>45190</v>
      </c>
      <c r="B160" s="83">
        <v>72</v>
      </c>
      <c r="C160" s="83" t="s">
        <v>498</v>
      </c>
      <c r="D160" s="84">
        <v>6.81</v>
      </c>
      <c r="E160" s="84">
        <v>0.38899175000000003</v>
      </c>
      <c r="F160" s="84">
        <v>3.2423455494077214</v>
      </c>
      <c r="G160" s="84">
        <v>1.557396</v>
      </c>
      <c r="H160" s="84">
        <v>-22.293655144181606</v>
      </c>
      <c r="I160" s="101">
        <v>-26.876514661465333</v>
      </c>
      <c r="J160" s="78">
        <v>1.1339234137857384</v>
      </c>
      <c r="K160" s="79">
        <v>0.22869251101321586</v>
      </c>
      <c r="L160" s="79"/>
      <c r="M160" s="79"/>
      <c r="N160" s="79">
        <v>0</v>
      </c>
      <c r="O160" s="180">
        <v>8.2498380911999999E-2</v>
      </c>
      <c r="P160" s="81">
        <v>1.2114299693392072</v>
      </c>
      <c r="Q160" s="79">
        <v>5.7120668135095455E-2</v>
      </c>
      <c r="R160" s="79"/>
      <c r="S160" s="180">
        <v>6.3980465747500003E-3</v>
      </c>
      <c r="T160" s="82">
        <v>9.3950757338472843E-2</v>
      </c>
      <c r="U160" s="78">
        <v>12.894307652835986</v>
      </c>
      <c r="V160" s="212">
        <f t="shared" si="6"/>
        <v>2.25880566937056</v>
      </c>
      <c r="W160" s="102">
        <f t="shared" si="7"/>
        <v>0.17517851521665501</v>
      </c>
    </row>
    <row r="161" spans="1:31" s="1" customFormat="1" ht="11.25" customHeight="1" x14ac:dyDescent="0.2">
      <c r="A161" s="201">
        <v>45190</v>
      </c>
      <c r="B161" s="83">
        <v>73</v>
      </c>
      <c r="C161" s="83" t="s">
        <v>499</v>
      </c>
      <c r="D161" s="84">
        <v>6.6079999999999997</v>
      </c>
      <c r="E161" s="84">
        <v>0.29010612499999999</v>
      </c>
      <c r="F161" s="84">
        <v>1.9709487945520632</v>
      </c>
      <c r="G161" s="84">
        <v>1.1208275000000001</v>
      </c>
      <c r="H161" s="84">
        <v>-22.510218047070495</v>
      </c>
      <c r="I161" s="101">
        <v>-27.09275271999989</v>
      </c>
      <c r="J161" s="78">
        <v>-0.13747334106991982</v>
      </c>
      <c r="K161" s="79">
        <v>0.16961675242130753</v>
      </c>
      <c r="L161" s="79"/>
      <c r="M161" s="79"/>
      <c r="N161" s="79">
        <v>0</v>
      </c>
      <c r="O161" s="180">
        <v>5.9372474330000001E-2</v>
      </c>
      <c r="P161" s="81">
        <v>0.89849386092615025</v>
      </c>
      <c r="Q161" s="79">
        <v>4.3902258625907992E-2</v>
      </c>
      <c r="R161" s="79"/>
      <c r="S161" s="180">
        <v>4.1635281066249993E-3</v>
      </c>
      <c r="T161" s="82">
        <v>6.3007386601467916E-2</v>
      </c>
      <c r="U161" s="78">
        <v>14.260135349038864</v>
      </c>
      <c r="V161" s="212">
        <f t="shared" si="6"/>
        <v>1.6256183471554</v>
      </c>
      <c r="W161" s="102">
        <f t="shared" si="7"/>
        <v>0.11399739955939248</v>
      </c>
      <c r="X161" s="1" t="s">
        <v>413</v>
      </c>
    </row>
    <row r="162" spans="1:31" s="1" customFormat="1" ht="11.25" customHeight="1" x14ac:dyDescent="0.2">
      <c r="A162" s="201">
        <v>45190</v>
      </c>
      <c r="B162" s="83">
        <v>74</v>
      </c>
      <c r="C162" s="83" t="s">
        <v>500</v>
      </c>
      <c r="D162" s="84">
        <v>6.6390000000000002</v>
      </c>
      <c r="E162" s="84">
        <v>0.29172787500000003</v>
      </c>
      <c r="F162" s="84">
        <v>1.5690040797893268</v>
      </c>
      <c r="G162" s="84">
        <v>1.1142013749999999</v>
      </c>
      <c r="H162" s="84">
        <v>-22.542510270300436</v>
      </c>
      <c r="I162" s="101">
        <v>-27.124996504894987</v>
      </c>
      <c r="J162" s="78">
        <v>-0.53941805583265623</v>
      </c>
      <c r="K162" s="79">
        <v>0.16782668700105435</v>
      </c>
      <c r="L162" s="79"/>
      <c r="M162" s="79"/>
      <c r="N162" s="79">
        <v>0</v>
      </c>
      <c r="O162" s="180">
        <v>5.9021475236499997E-2</v>
      </c>
      <c r="P162" s="81">
        <v>0.88901152638198522</v>
      </c>
      <c r="Q162" s="79">
        <v>4.3941538635336647E-2</v>
      </c>
      <c r="R162" s="79"/>
      <c r="S162" s="180">
        <v>4.2001747913750003E-3</v>
      </c>
      <c r="T162" s="82">
        <v>6.3265172335818659E-2</v>
      </c>
      <c r="U162" s="78">
        <v>14.052147391032335</v>
      </c>
      <c r="V162" s="212">
        <f t="shared" si="6"/>
        <v>1.6160079919753698</v>
      </c>
      <c r="W162" s="102">
        <f t="shared" si="7"/>
        <v>0.1150007857878475</v>
      </c>
      <c r="X162" s="1" t="s">
        <v>413</v>
      </c>
    </row>
    <row r="163" spans="1:31" s="1" customFormat="1" ht="11.25" customHeight="1" x14ac:dyDescent="0.2">
      <c r="B163" s="110"/>
      <c r="C163" s="110"/>
      <c r="D163" s="85"/>
      <c r="E163" s="85"/>
      <c r="F163" s="85"/>
      <c r="K163" s="5"/>
      <c r="L163" s="5"/>
      <c r="M163" s="5"/>
    </row>
    <row r="164" spans="1:31" s="90" customFormat="1" ht="11.25" customHeight="1" x14ac:dyDescent="0.25">
      <c r="B164" s="90" t="s">
        <v>712</v>
      </c>
      <c r="I164" s="100">
        <v>0.17475576457704664</v>
      </c>
      <c r="J164" s="100">
        <v>0.79005368389444675</v>
      </c>
      <c r="K164" s="87"/>
      <c r="N164" s="87"/>
      <c r="O164" s="88"/>
      <c r="P164" s="100">
        <v>0.22173757927218662</v>
      </c>
      <c r="Q164" s="87"/>
      <c r="R164" s="87"/>
      <c r="S164" s="88"/>
      <c r="T164" s="100">
        <v>2.6711169808243462E-2</v>
      </c>
      <c r="U164" s="100">
        <v>0.89851457337869656</v>
      </c>
      <c r="V164" s="208"/>
      <c r="W164" s="208"/>
      <c r="Y164" s="209"/>
      <c r="Z164" s="209"/>
      <c r="AA164" s="209"/>
      <c r="AB164" s="209"/>
      <c r="AC164" s="209"/>
      <c r="AD164" s="209"/>
      <c r="AE164" s="209"/>
    </row>
    <row r="165" spans="1:31" s="207" customFormat="1" x14ac:dyDescent="0.25"/>
    <row r="166" spans="1:31" s="1" customFormat="1" ht="11.25" customHeight="1" x14ac:dyDescent="0.2">
      <c r="B166" s="75"/>
      <c r="C166" s="75" t="s">
        <v>40</v>
      </c>
      <c r="D166" s="75" t="s">
        <v>54</v>
      </c>
      <c r="E166" s="75" t="s">
        <v>80</v>
      </c>
      <c r="F166" s="75" t="s">
        <v>41</v>
      </c>
      <c r="G166" s="75" t="s">
        <v>81</v>
      </c>
      <c r="H166" s="99" t="s">
        <v>42</v>
      </c>
      <c r="I166" s="76" t="s">
        <v>715</v>
      </c>
      <c r="J166" s="77" t="s">
        <v>714</v>
      </c>
      <c r="K166" s="77" t="s">
        <v>45</v>
      </c>
      <c r="L166" s="77" t="s">
        <v>46</v>
      </c>
      <c r="M166" s="77" t="s">
        <v>47</v>
      </c>
      <c r="N166" s="178" t="s">
        <v>38</v>
      </c>
      <c r="O166" s="77" t="s">
        <v>38</v>
      </c>
      <c r="P166" s="77" t="s">
        <v>48</v>
      </c>
      <c r="Q166" s="77" t="s">
        <v>49</v>
      </c>
      <c r="R166" s="77" t="s">
        <v>39</v>
      </c>
      <c r="S166" s="77" t="s">
        <v>39</v>
      </c>
      <c r="T166" s="77" t="s">
        <v>50</v>
      </c>
      <c r="U166" s="77" t="s">
        <v>51</v>
      </c>
      <c r="V166" s="202" t="s">
        <v>585</v>
      </c>
      <c r="W166" s="202" t="s">
        <v>586</v>
      </c>
    </row>
    <row r="167" spans="1:31" s="1" customFormat="1" ht="11.25" customHeight="1" x14ac:dyDescent="0.2">
      <c r="A167" s="201">
        <v>45195</v>
      </c>
      <c r="B167" s="83">
        <v>40</v>
      </c>
      <c r="C167" s="83" t="s">
        <v>501</v>
      </c>
      <c r="D167" s="84">
        <v>6.4960000000000004</v>
      </c>
      <c r="E167" s="84">
        <v>0.24337757812499999</v>
      </c>
      <c r="F167" s="84">
        <v>6.9716131502668421</v>
      </c>
      <c r="G167" s="84">
        <v>1.4038373749999999</v>
      </c>
      <c r="H167" s="84">
        <v>-21.73321273268234</v>
      </c>
      <c r="I167" s="101">
        <v>-26.45467081513199</v>
      </c>
      <c r="J167" s="78">
        <v>4.7018248964514324</v>
      </c>
      <c r="K167" s="79">
        <v>0.21610797028940884</v>
      </c>
      <c r="L167" s="79"/>
      <c r="M167" s="79"/>
      <c r="N167" s="79">
        <v>0</v>
      </c>
      <c r="O167" s="180">
        <v>7.6926076637874999E-2</v>
      </c>
      <c r="P167" s="81">
        <v>1.1842068447948737</v>
      </c>
      <c r="Q167" s="79">
        <v>3.7465760179341133E-2</v>
      </c>
      <c r="R167" s="79"/>
      <c r="S167" s="180">
        <v>3.5570353281249995E-3</v>
      </c>
      <c r="T167" s="82">
        <v>5.4757317243303558E-2</v>
      </c>
      <c r="U167" s="78">
        <v>21.626458424416217</v>
      </c>
      <c r="V167" s="102">
        <f t="shared" ref="V167:V194" si="9">O167*27.38</f>
        <v>2.1062359783450173</v>
      </c>
      <c r="W167" s="102">
        <f t="shared" ref="W167:W194" si="10">IF(S167&lt;0,0,S167*27.38)</f>
        <v>9.7391627284062476E-2</v>
      </c>
      <c r="X167" s="1" t="s">
        <v>413</v>
      </c>
    </row>
    <row r="168" spans="1:31" s="1" customFormat="1" ht="11.25" customHeight="1" x14ac:dyDescent="0.2">
      <c r="A168" s="201">
        <v>45195</v>
      </c>
      <c r="B168" s="83">
        <v>41</v>
      </c>
      <c r="C168" s="83" t="s">
        <v>502</v>
      </c>
      <c r="D168" s="84">
        <v>6.47</v>
      </c>
      <c r="E168" s="84">
        <v>0.13634585937499999</v>
      </c>
      <c r="F168" s="84">
        <v>5.9118349700306716</v>
      </c>
      <c r="G168" s="84">
        <v>0.75479768749999998</v>
      </c>
      <c r="H168" s="84">
        <v>-21.910946390673079</v>
      </c>
      <c r="I168" s="101">
        <v>-26.635230438284779</v>
      </c>
      <c r="J168" s="78">
        <v>3.6238185315151994</v>
      </c>
      <c r="K168" s="79">
        <v>0.11666115726429675</v>
      </c>
      <c r="L168" s="79"/>
      <c r="M168" s="79"/>
      <c r="N168" s="79">
        <v>0</v>
      </c>
      <c r="O168" s="180">
        <v>4.1360648881937495E-2</v>
      </c>
      <c r="P168" s="81">
        <v>0.63926814346116689</v>
      </c>
      <c r="Q168" s="79">
        <v>2.1073548589644511E-2</v>
      </c>
      <c r="R168" s="79"/>
      <c r="S168" s="180">
        <v>1.0524931093749998E-3</v>
      </c>
      <c r="T168" s="82">
        <v>1.6267281443199378E-2</v>
      </c>
      <c r="U168" s="78">
        <v>39.297785908069862</v>
      </c>
      <c r="V168" s="102">
        <f t="shared" si="9"/>
        <v>1.1324545663874486</v>
      </c>
      <c r="W168" s="102">
        <f t="shared" si="10"/>
        <v>2.8817261334687493E-2</v>
      </c>
      <c r="X168" s="1" t="s">
        <v>413</v>
      </c>
    </row>
    <row r="169" spans="1:31" s="1" customFormat="1" ht="11.25" customHeight="1" x14ac:dyDescent="0.2">
      <c r="A169" s="201">
        <v>45195</v>
      </c>
      <c r="B169" s="83">
        <v>42</v>
      </c>
      <c r="C169" s="83" t="s">
        <v>503</v>
      </c>
      <c r="D169" s="84">
        <v>6.38</v>
      </c>
      <c r="E169" s="84">
        <v>8.6435742187499998E-2</v>
      </c>
      <c r="F169" s="84">
        <v>3.5284756901396985</v>
      </c>
      <c r="G169" s="84">
        <v>0.50682371874999999</v>
      </c>
      <c r="H169" s="84">
        <v>-22.171934875547869</v>
      </c>
      <c r="I169" s="101">
        <v>-26.900368640069082</v>
      </c>
      <c r="J169" s="78">
        <v>1.1994654720101017</v>
      </c>
      <c r="K169" s="79">
        <v>7.9439454349529773E-2</v>
      </c>
      <c r="L169" s="79"/>
      <c r="M169" s="79"/>
      <c r="N169" s="79">
        <v>0</v>
      </c>
      <c r="O169" s="180">
        <v>2.7772419316343749E-2</v>
      </c>
      <c r="P169" s="81">
        <v>0.43530437799911836</v>
      </c>
      <c r="Q169" s="79">
        <v>1.3547921972962382E-2</v>
      </c>
      <c r="R169" s="79"/>
      <c r="S169" s="180">
        <v>-1.1540363281250035E-4</v>
      </c>
      <c r="T169" s="82">
        <v>-1.8088343701018865E-3</v>
      </c>
      <c r="U169" s="78">
        <v>-240.65463659594155</v>
      </c>
      <c r="V169" s="102">
        <f t="shared" si="9"/>
        <v>0.76040884088149185</v>
      </c>
      <c r="W169" s="102">
        <f t="shared" si="10"/>
        <v>0</v>
      </c>
      <c r="X169" s="1" t="s">
        <v>413</v>
      </c>
    </row>
    <row r="170" spans="1:31" s="1" customFormat="1" ht="11.25" customHeight="1" x14ac:dyDescent="0.2">
      <c r="A170" s="201">
        <v>45195</v>
      </c>
      <c r="B170" s="83">
        <v>43</v>
      </c>
      <c r="C170" s="83" t="s">
        <v>504</v>
      </c>
      <c r="D170" s="84">
        <v>6.3730000000000002</v>
      </c>
      <c r="E170" s="84">
        <v>0.109477453125</v>
      </c>
      <c r="F170" s="84">
        <v>7.3759580479832998</v>
      </c>
      <c r="G170" s="84">
        <v>0.54049918750000003</v>
      </c>
      <c r="H170" s="84">
        <v>-23.086100605322748</v>
      </c>
      <c r="I170" s="101">
        <v>-27.829069604947378</v>
      </c>
      <c r="J170" s="78">
        <v>5.1131245264086136</v>
      </c>
      <c r="K170" s="79">
        <v>8.4810793582300328E-2</v>
      </c>
      <c r="L170" s="79"/>
      <c r="M170" s="79"/>
      <c r="N170" s="79">
        <v>0</v>
      </c>
      <c r="O170" s="180">
        <v>2.9617733977437503E-2</v>
      </c>
      <c r="P170" s="81">
        <v>0.46473770559293121</v>
      </c>
      <c r="Q170" s="79">
        <v>1.7178323101365134E-2</v>
      </c>
      <c r="R170" s="79"/>
      <c r="S170" s="180">
        <v>4.2377240312499974E-4</v>
      </c>
      <c r="T170" s="82">
        <v>6.6494963616036363E-3</v>
      </c>
      <c r="U170" s="78">
        <v>69.890662438207869</v>
      </c>
      <c r="V170" s="102">
        <f t="shared" si="9"/>
        <v>0.81093355630223884</v>
      </c>
      <c r="W170" s="102">
        <f t="shared" si="10"/>
        <v>1.1602888397562492E-2</v>
      </c>
      <c r="X170" s="1" t="s">
        <v>413</v>
      </c>
    </row>
    <row r="171" spans="1:31" s="1" customFormat="1" ht="11.25" customHeight="1" x14ac:dyDescent="0.2">
      <c r="A171" s="201">
        <v>45195</v>
      </c>
      <c r="B171" s="83">
        <v>44</v>
      </c>
      <c r="C171" s="83" t="s">
        <v>505</v>
      </c>
      <c r="D171" s="84">
        <v>6.3440000000000003</v>
      </c>
      <c r="E171" s="84">
        <v>9.3833734375000005E-2</v>
      </c>
      <c r="F171" s="84">
        <v>3.7269855520440931</v>
      </c>
      <c r="G171" s="84">
        <v>0.45176256250000002</v>
      </c>
      <c r="H171" s="84">
        <v>-21.946056384785141</v>
      </c>
      <c r="I171" s="101">
        <v>-26.670898681303228</v>
      </c>
      <c r="J171" s="78">
        <v>1.4013897035392517</v>
      </c>
      <c r="K171" s="79">
        <v>7.1210996610970995E-2</v>
      </c>
      <c r="L171" s="79"/>
      <c r="M171" s="79"/>
      <c r="N171" s="79">
        <v>0</v>
      </c>
      <c r="O171" s="180">
        <v>2.47552331373125E-2</v>
      </c>
      <c r="P171" s="81">
        <v>0.39021489812913773</v>
      </c>
      <c r="Q171" s="79">
        <v>1.4790941736286254E-2</v>
      </c>
      <c r="R171" s="79"/>
      <c r="S171" s="180">
        <v>5.7709384375000117E-5</v>
      </c>
      <c r="T171" s="82">
        <v>9.0966873226671046E-4</v>
      </c>
      <c r="U171" s="78">
        <v>428.96373623483919</v>
      </c>
      <c r="V171" s="102">
        <f t="shared" si="9"/>
        <v>0.67779828329961622</v>
      </c>
      <c r="W171" s="102">
        <f t="shared" si="10"/>
        <v>1.5800829441875032E-3</v>
      </c>
      <c r="X171" s="1" t="s">
        <v>413</v>
      </c>
    </row>
    <row r="172" spans="1:31" s="1" customFormat="1" ht="11.25" customHeight="1" x14ac:dyDescent="0.2">
      <c r="A172" s="201">
        <v>45195</v>
      </c>
      <c r="B172" s="83">
        <v>45</v>
      </c>
      <c r="C172" s="83" t="s">
        <v>506</v>
      </c>
      <c r="D172" s="84">
        <v>6.1710000000000003</v>
      </c>
      <c r="E172" s="84">
        <v>5.6581621093749999E-2</v>
      </c>
      <c r="F172" s="84">
        <v>0.34912006465348533</v>
      </c>
      <c r="G172" s="84">
        <v>0.25296129687500002</v>
      </c>
      <c r="H172" s="84">
        <v>-22.719283991787758</v>
      </c>
      <c r="I172" s="101">
        <v>-27.456420607257186</v>
      </c>
      <c r="J172" s="78">
        <v>-2.0345750702344745</v>
      </c>
      <c r="K172" s="79">
        <v>4.0991945693566685E-2</v>
      </c>
      <c r="L172" s="79"/>
      <c r="M172" s="79"/>
      <c r="N172" s="79">
        <v>0</v>
      </c>
      <c r="O172" s="180">
        <v>1.3861520184859377E-2</v>
      </c>
      <c r="P172" s="81">
        <v>0.22462356481703738</v>
      </c>
      <c r="Q172" s="79">
        <v>9.1689549657672977E-3</v>
      </c>
      <c r="R172" s="79"/>
      <c r="S172" s="180">
        <v>-8.1399006640625019E-4</v>
      </c>
      <c r="T172" s="82">
        <v>-1.3190569865601201E-2</v>
      </c>
      <c r="U172" s="78">
        <v>-17.029102389489481</v>
      </c>
      <c r="V172" s="102">
        <f t="shared" si="9"/>
        <v>0.3795284226614497</v>
      </c>
      <c r="W172" s="102">
        <f t="shared" si="10"/>
        <v>0</v>
      </c>
      <c r="X172" s="1" t="s">
        <v>413</v>
      </c>
    </row>
    <row r="173" spans="1:31" s="1" customFormat="1" ht="11.25" customHeight="1" x14ac:dyDescent="0.2">
      <c r="A173" s="201">
        <v>45195</v>
      </c>
      <c r="B173" s="83">
        <v>46</v>
      </c>
      <c r="C173" s="83" t="s">
        <v>507</v>
      </c>
      <c r="D173" s="84">
        <v>6.0670000000000002</v>
      </c>
      <c r="E173" s="84">
        <v>3.92173828125E-2</v>
      </c>
      <c r="F173" s="84">
        <v>-2.5509134929514454</v>
      </c>
      <c r="G173" s="84">
        <v>0.17023450000000001</v>
      </c>
      <c r="H173" s="84">
        <v>-22.831260501493151</v>
      </c>
      <c r="I173" s="101">
        <v>-27.57017754346689</v>
      </c>
      <c r="J173" s="78">
        <v>-4.9844892050302105</v>
      </c>
      <c r="K173" s="79">
        <v>2.8059090159881325E-2</v>
      </c>
      <c r="L173" s="79"/>
      <c r="M173" s="79"/>
      <c r="N173" s="79">
        <v>0</v>
      </c>
      <c r="O173" s="180">
        <v>9.3283398965000007E-3</v>
      </c>
      <c r="P173" s="81">
        <v>0.15375539634910171</v>
      </c>
      <c r="Q173" s="79">
        <v>6.4640485927970988E-3</v>
      </c>
      <c r="R173" s="79"/>
      <c r="S173" s="180">
        <v>-1.2203132421875001E-3</v>
      </c>
      <c r="T173" s="82">
        <v>-2.0113948280657656E-2</v>
      </c>
      <c r="U173" s="78">
        <v>-7.6442175451429781</v>
      </c>
      <c r="V173" s="102">
        <f t="shared" si="9"/>
        <v>0.25540994636617004</v>
      </c>
      <c r="W173" s="102">
        <f t="shared" si="10"/>
        <v>0</v>
      </c>
      <c r="X173" s="1" t="s">
        <v>413</v>
      </c>
    </row>
    <row r="174" spans="1:31" s="1" customFormat="1" ht="11.25" customHeight="1" x14ac:dyDescent="0.2">
      <c r="A174" s="201">
        <v>45195</v>
      </c>
      <c r="B174" s="83">
        <v>47</v>
      </c>
      <c r="C174" s="83" t="s">
        <v>508</v>
      </c>
      <c r="D174" s="84">
        <v>6.194</v>
      </c>
      <c r="E174" s="84">
        <v>7.6507015624999994E-2</v>
      </c>
      <c r="F174" s="84">
        <v>1.3684542009830825</v>
      </c>
      <c r="G174" s="84">
        <v>0.42139128125000003</v>
      </c>
      <c r="H174" s="84">
        <v>-22.472343412548856</v>
      </c>
      <c r="I174" s="101">
        <v>-27.205553672808385</v>
      </c>
      <c r="J174" s="78">
        <v>-0.99770838676000828</v>
      </c>
      <c r="K174" s="79">
        <v>6.8032173272521798E-2</v>
      </c>
      <c r="L174" s="79"/>
      <c r="M174" s="79"/>
      <c r="N174" s="79">
        <v>0</v>
      </c>
      <c r="O174" s="180">
        <v>2.309097803865625E-2</v>
      </c>
      <c r="P174" s="81">
        <v>0.37279589988143769</v>
      </c>
      <c r="Q174" s="79">
        <v>1.2351794579431707E-2</v>
      </c>
      <c r="R174" s="79"/>
      <c r="S174" s="180">
        <v>-3.4773583437500014E-4</v>
      </c>
      <c r="T174" s="82">
        <v>-5.6140754661769474E-3</v>
      </c>
      <c r="U174" s="78">
        <v>-66.403792062899157</v>
      </c>
      <c r="V174" s="102">
        <f t="shared" si="9"/>
        <v>0.63223097869840805</v>
      </c>
      <c r="W174" s="102">
        <f t="shared" si="10"/>
        <v>0</v>
      </c>
      <c r="X174" s="1" t="s">
        <v>413</v>
      </c>
    </row>
    <row r="175" spans="1:31" s="1" customFormat="1" ht="11.25" customHeight="1" x14ac:dyDescent="0.2">
      <c r="A175" s="201">
        <v>45195</v>
      </c>
      <c r="B175" s="83">
        <v>48</v>
      </c>
      <c r="C175" s="83" t="s">
        <v>509</v>
      </c>
      <c r="D175" s="84">
        <v>6.218</v>
      </c>
      <c r="E175" s="84">
        <v>3.8818292968750001E-2</v>
      </c>
      <c r="F175" s="84">
        <v>-5.2657449102555542</v>
      </c>
      <c r="G175" s="84">
        <v>0.17637221875</v>
      </c>
      <c r="H175" s="84">
        <v>-24.615964504108742</v>
      </c>
      <c r="I175" s="101">
        <v>-29.383258339724073</v>
      </c>
      <c r="J175" s="78">
        <v>-7.7460157227119506</v>
      </c>
      <c r="K175" s="79">
        <v>2.8364782687359279E-2</v>
      </c>
      <c r="L175" s="79"/>
      <c r="M175" s="79"/>
      <c r="N175" s="79">
        <v>0</v>
      </c>
      <c r="O175" s="180">
        <v>9.6646684708437507E-3</v>
      </c>
      <c r="P175" s="81">
        <v>0.15543049969192266</v>
      </c>
      <c r="Q175" s="79">
        <v>6.2428904742280475E-3</v>
      </c>
      <c r="R175" s="79"/>
      <c r="S175" s="180">
        <v>-1.2296519445312501E-3</v>
      </c>
      <c r="T175" s="82">
        <v>-1.9775682607450148E-2</v>
      </c>
      <c r="U175" s="78">
        <v>-7.859678109587322</v>
      </c>
      <c r="V175" s="102">
        <f t="shared" si="9"/>
        <v>0.26461862273170189</v>
      </c>
      <c r="W175" s="102">
        <f t="shared" si="10"/>
        <v>0</v>
      </c>
      <c r="X175" s="1" t="s">
        <v>413</v>
      </c>
    </row>
    <row r="176" spans="1:31" s="1" customFormat="1" ht="11.25" customHeight="1" x14ac:dyDescent="0.2">
      <c r="A176" s="201">
        <v>45195</v>
      </c>
      <c r="B176" s="83">
        <v>49</v>
      </c>
      <c r="C176" s="83" t="s">
        <v>510</v>
      </c>
      <c r="D176" s="84">
        <v>6.4050000000000002</v>
      </c>
      <c r="E176" s="84">
        <v>7.3930343750000002E-2</v>
      </c>
      <c r="F176" s="84">
        <v>-2.3852836541193856</v>
      </c>
      <c r="G176" s="84">
        <v>0.42696371875</v>
      </c>
      <c r="H176" s="84">
        <v>-21.904136875610565</v>
      </c>
      <c r="I176" s="101">
        <v>-26.628312651932774</v>
      </c>
      <c r="J176" s="78">
        <v>-4.816010532970239</v>
      </c>
      <c r="K176" s="79">
        <v>6.6661002146760337E-2</v>
      </c>
      <c r="L176" s="79"/>
      <c r="M176" s="79"/>
      <c r="N176" s="79">
        <v>0</v>
      </c>
      <c r="O176" s="180">
        <v>2.3396330896343749E-2</v>
      </c>
      <c r="P176" s="81">
        <v>0.36528229346360264</v>
      </c>
      <c r="Q176" s="79">
        <v>1.154259855581577E-2</v>
      </c>
      <c r="R176" s="79"/>
      <c r="S176" s="180">
        <v>-4.0802995625000005E-4</v>
      </c>
      <c r="T176" s="82">
        <v>-6.3704911202185788E-3</v>
      </c>
      <c r="U176" s="78">
        <v>-57.339738266689452</v>
      </c>
      <c r="V176" s="102">
        <f t="shared" si="9"/>
        <v>0.64059153994189177</v>
      </c>
      <c r="W176" s="102">
        <f t="shared" si="10"/>
        <v>0</v>
      </c>
      <c r="X176" s="1" t="s">
        <v>413</v>
      </c>
    </row>
    <row r="177" spans="1:24" s="1" customFormat="1" ht="11.25" customHeight="1" x14ac:dyDescent="0.2">
      <c r="A177" s="201">
        <v>45195</v>
      </c>
      <c r="B177" s="83">
        <v>50</v>
      </c>
      <c r="C177" s="83" t="s">
        <v>511</v>
      </c>
      <c r="D177" s="84">
        <v>6.15</v>
      </c>
      <c r="E177" s="84">
        <v>2.853980859375E-2</v>
      </c>
      <c r="F177" s="84">
        <v>-6.2431722835322168</v>
      </c>
      <c r="G177" s="84">
        <v>0.119828203125</v>
      </c>
      <c r="H177" s="84">
        <v>-24.891976597563772</v>
      </c>
      <c r="I177" s="101">
        <v>-29.663659025465037</v>
      </c>
      <c r="J177" s="78">
        <v>-8.7402548468089716</v>
      </c>
      <c r="K177" s="79">
        <v>1.9484260670731706E-2</v>
      </c>
      <c r="L177" s="79"/>
      <c r="M177" s="79"/>
      <c r="N177" s="79">
        <v>0</v>
      </c>
      <c r="O177" s="180">
        <v>6.566226046640625E-3</v>
      </c>
      <c r="P177" s="81">
        <v>0.10676790319740853</v>
      </c>
      <c r="Q177" s="79">
        <v>4.6406192835365852E-3</v>
      </c>
      <c r="R177" s="79"/>
      <c r="S177" s="180">
        <v>-1.4701684789062502E-3</v>
      </c>
      <c r="T177" s="82">
        <v>-2.3905178518800814E-2</v>
      </c>
      <c r="U177" s="78">
        <v>-4.4663085495654551</v>
      </c>
      <c r="V177" s="102">
        <f t="shared" si="9"/>
        <v>0.17978326915702031</v>
      </c>
      <c r="W177" s="102">
        <f t="shared" si="10"/>
        <v>0</v>
      </c>
      <c r="X177" s="1" t="s">
        <v>413</v>
      </c>
    </row>
    <row r="178" spans="1:24" s="1" customFormat="1" ht="11.25" customHeight="1" x14ac:dyDescent="0.2">
      <c r="A178" s="201">
        <v>45195</v>
      </c>
      <c r="B178" s="83">
        <v>51</v>
      </c>
      <c r="C178" s="83" t="s">
        <v>512</v>
      </c>
      <c r="D178" s="84">
        <v>6.2450000000000001</v>
      </c>
      <c r="E178" s="84">
        <v>3.4426589843750001E-2</v>
      </c>
      <c r="F178" s="84">
        <v>1.0915261866690784</v>
      </c>
      <c r="G178" s="84">
        <v>0.13777409374999999</v>
      </c>
      <c r="H178" s="84">
        <v>-24.282763737482416</v>
      </c>
      <c r="I178" s="101">
        <v>-29.044759680908385</v>
      </c>
      <c r="J178" s="78">
        <v>-1.2793995629202133</v>
      </c>
      <c r="K178" s="79">
        <v>2.2061504203362687E-2</v>
      </c>
      <c r="L178" s="79"/>
      <c r="M178" s="79"/>
      <c r="N178" s="79">
        <v>0</v>
      </c>
      <c r="O178" s="180">
        <v>7.5496070152187497E-3</v>
      </c>
      <c r="P178" s="81">
        <v>0.12089042458316654</v>
      </c>
      <c r="Q178" s="79">
        <v>5.5126645066052842E-3</v>
      </c>
      <c r="R178" s="79"/>
      <c r="S178" s="180">
        <v>-1.3324177976562501E-3</v>
      </c>
      <c r="T178" s="82">
        <v>-2.1335753365192153E-2</v>
      </c>
      <c r="U178" s="78">
        <v>-5.6660958961210675</v>
      </c>
      <c r="V178" s="102">
        <f t="shared" si="9"/>
        <v>0.20670824007668936</v>
      </c>
      <c r="W178" s="102">
        <f t="shared" si="10"/>
        <v>0</v>
      </c>
      <c r="X178" s="1" t="s">
        <v>413</v>
      </c>
    </row>
    <row r="179" spans="1:24" s="1" customFormat="1" ht="11.25" customHeight="1" x14ac:dyDescent="0.2">
      <c r="A179" s="201">
        <v>45195</v>
      </c>
      <c r="B179" s="83">
        <v>54</v>
      </c>
      <c r="C179" s="83" t="s">
        <v>513</v>
      </c>
      <c r="D179" s="84">
        <v>6.2960000000000003</v>
      </c>
      <c r="E179" s="84">
        <v>8.0632015624999998E-2</v>
      </c>
      <c r="F179" s="84">
        <v>0.49409588417370642</v>
      </c>
      <c r="G179" s="84">
        <v>0.24664373437500001</v>
      </c>
      <c r="H179" s="84">
        <v>-23.495019198784597</v>
      </c>
      <c r="I179" s="101">
        <v>-28.244490004045275</v>
      </c>
      <c r="J179" s="78">
        <v>-1.8871056666185058</v>
      </c>
      <c r="K179" s="79">
        <v>3.9174671914707748E-2</v>
      </c>
      <c r="L179" s="79"/>
      <c r="M179" s="79"/>
      <c r="N179" s="79">
        <v>0</v>
      </c>
      <c r="O179" s="180">
        <v>1.3515336712546875E-2</v>
      </c>
      <c r="P179" s="81">
        <v>0.21466544969102405</v>
      </c>
      <c r="Q179" s="79">
        <v>1.280686398109911E-2</v>
      </c>
      <c r="R179" s="79"/>
      <c r="S179" s="180">
        <v>-2.5121083437500006E-4</v>
      </c>
      <c r="T179" s="82">
        <v>-3.9900068992217291E-3</v>
      </c>
      <c r="U179" s="78">
        <v>-53.800771555782433</v>
      </c>
      <c r="V179" s="102">
        <f t="shared" si="9"/>
        <v>0.37004991918953345</v>
      </c>
      <c r="W179" s="102">
        <f t="shared" si="10"/>
        <v>0</v>
      </c>
      <c r="X179" s="1" t="s">
        <v>413</v>
      </c>
    </row>
    <row r="180" spans="1:24" s="1" customFormat="1" ht="11.25" customHeight="1" x14ac:dyDescent="0.2">
      <c r="A180" s="201">
        <v>45195</v>
      </c>
      <c r="B180" s="83">
        <v>55</v>
      </c>
      <c r="C180" s="83" t="s">
        <v>514</v>
      </c>
      <c r="D180" s="84">
        <v>6.37</v>
      </c>
      <c r="E180" s="84">
        <v>0.1173957421875</v>
      </c>
      <c r="F180" s="84">
        <v>9.4099447199624819</v>
      </c>
      <c r="G180" s="84">
        <v>0.4370480625</v>
      </c>
      <c r="H180" s="84">
        <v>-22.234136750103104</v>
      </c>
      <c r="I180" s="101">
        <v>-26.963559524429741</v>
      </c>
      <c r="J180" s="78">
        <v>7.1820957691458389</v>
      </c>
      <c r="K180" s="79">
        <v>6.8610370879120877E-2</v>
      </c>
      <c r="L180" s="79"/>
      <c r="M180" s="79"/>
      <c r="N180" s="79">
        <v>0</v>
      </c>
      <c r="O180" s="180">
        <v>2.3948922680812501E-2</v>
      </c>
      <c r="P180" s="81">
        <v>0.37596424930631867</v>
      </c>
      <c r="Q180" s="79">
        <v>1.8429472870879121E-2</v>
      </c>
      <c r="R180" s="79"/>
      <c r="S180" s="180">
        <v>6.0906036718749983E-4</v>
      </c>
      <c r="T180" s="82">
        <v>9.561387239992147E-3</v>
      </c>
      <c r="U180" s="78">
        <v>39.321098483887724</v>
      </c>
      <c r="V180" s="102">
        <f t="shared" si="9"/>
        <v>0.65572150300064624</v>
      </c>
      <c r="W180" s="102">
        <f t="shared" si="10"/>
        <v>1.6676072853593744E-2</v>
      </c>
      <c r="X180" s="1" t="s">
        <v>413</v>
      </c>
    </row>
    <row r="181" spans="1:24" s="1" customFormat="1" ht="11.25" customHeight="1" x14ac:dyDescent="0.2">
      <c r="A181" s="201">
        <v>45195</v>
      </c>
      <c r="B181" s="83">
        <v>56</v>
      </c>
      <c r="C181" s="83" t="s">
        <v>515</v>
      </c>
      <c r="D181" s="84">
        <v>6.1950000000000003</v>
      </c>
      <c r="E181" s="84">
        <v>0.12984953906249999</v>
      </c>
      <c r="F181" s="84">
        <v>2.686856833248763</v>
      </c>
      <c r="G181" s="84">
        <v>0.41483728125000002</v>
      </c>
      <c r="H181" s="84">
        <v>-22.311244517554716</v>
      </c>
      <c r="I181" s="101">
        <v>-27.041893305383837</v>
      </c>
      <c r="J181" s="78">
        <v>0.34337077078064215</v>
      </c>
      <c r="K181" s="79">
        <v>6.6963241525423725E-2</v>
      </c>
      <c r="L181" s="79"/>
      <c r="M181" s="79"/>
      <c r="N181" s="79">
        <v>0</v>
      </c>
      <c r="O181" s="180">
        <v>2.273183850065625E-2</v>
      </c>
      <c r="P181" s="81">
        <v>0.36693847458686435</v>
      </c>
      <c r="Q181" s="79">
        <v>2.0960377572639223E-2</v>
      </c>
      <c r="R181" s="79"/>
      <c r="S181" s="180">
        <v>9.0047921406249953E-4</v>
      </c>
      <c r="T181" s="82">
        <v>1.453558053369652E-2</v>
      </c>
      <c r="U181" s="78">
        <v>25.24415682856451</v>
      </c>
      <c r="V181" s="102">
        <f t="shared" si="9"/>
        <v>0.62239773814796806</v>
      </c>
      <c r="W181" s="102">
        <f t="shared" si="10"/>
        <v>2.4655120881031237E-2</v>
      </c>
      <c r="X181" s="1" t="s">
        <v>413</v>
      </c>
    </row>
    <row r="182" spans="1:24" s="1" customFormat="1" ht="11.25" customHeight="1" x14ac:dyDescent="0.2">
      <c r="A182" s="201">
        <v>45195</v>
      </c>
      <c r="B182" s="83">
        <v>57</v>
      </c>
      <c r="C182" s="83" t="s">
        <v>516</v>
      </c>
      <c r="D182" s="84">
        <v>6.1630000000000003</v>
      </c>
      <c r="E182" s="84">
        <v>0.148402234375</v>
      </c>
      <c r="F182" s="84">
        <v>0.74564551965039527</v>
      </c>
      <c r="G182" s="84">
        <v>0.18500509374999999</v>
      </c>
      <c r="H182" s="84">
        <v>-23.668059388816637</v>
      </c>
      <c r="I182" s="101">
        <v>-28.420281533098823</v>
      </c>
      <c r="J182" s="78">
        <v>-1.6312293774116178</v>
      </c>
      <c r="K182" s="79">
        <v>3.0018674955378872E-2</v>
      </c>
      <c r="L182" s="79"/>
      <c r="M182" s="79"/>
      <c r="N182" s="79">
        <v>0</v>
      </c>
      <c r="O182" s="180">
        <v>1.013772412221875E-2</v>
      </c>
      <c r="P182" s="81">
        <v>0.16449333315298961</v>
      </c>
      <c r="Q182" s="79">
        <v>2.4079544763102385E-2</v>
      </c>
      <c r="R182" s="79"/>
      <c r="S182" s="180">
        <v>1.3346122843749999E-3</v>
      </c>
      <c r="T182" s="82">
        <v>2.1655237455378871E-2</v>
      </c>
      <c r="U182" s="78">
        <v>7.5960069009601954</v>
      </c>
      <c r="V182" s="102">
        <f t="shared" si="9"/>
        <v>0.27757088646634936</v>
      </c>
      <c r="W182" s="102">
        <f t="shared" si="10"/>
        <v>3.6541684346187493E-2</v>
      </c>
      <c r="X182" s="1" t="s">
        <v>413</v>
      </c>
    </row>
    <row r="183" spans="1:24" s="1" customFormat="1" ht="11.25" customHeight="1" x14ac:dyDescent="0.2">
      <c r="A183" s="201">
        <v>45195</v>
      </c>
      <c r="B183" s="83">
        <v>58</v>
      </c>
      <c r="C183" s="83" t="s">
        <v>517</v>
      </c>
      <c r="D183" s="84">
        <v>6.1989999999999998</v>
      </c>
      <c r="E183" s="84">
        <v>0.19771343750000001</v>
      </c>
      <c r="F183" s="84">
        <v>1.8363353213162181</v>
      </c>
      <c r="G183" s="84">
        <v>0.15951481249999999</v>
      </c>
      <c r="H183" s="84">
        <v>-24.206612591934736</v>
      </c>
      <c r="I183" s="101">
        <v>-28.967397732146502</v>
      </c>
      <c r="J183" s="78">
        <v>-0.52177971115714272</v>
      </c>
      <c r="K183" s="79">
        <v>2.5732345942894013E-2</v>
      </c>
      <c r="L183" s="79"/>
      <c r="M183" s="79"/>
      <c r="N183" s="79">
        <v>0</v>
      </c>
      <c r="O183" s="180">
        <v>8.7409331805625001E-3</v>
      </c>
      <c r="P183" s="81">
        <v>0.14100553606327634</v>
      </c>
      <c r="Q183" s="79">
        <v>3.189440837231812E-2</v>
      </c>
      <c r="R183" s="79"/>
      <c r="S183" s="180">
        <v>2.4884944374999997E-3</v>
      </c>
      <c r="T183" s="82">
        <v>4.0143481811582504E-2</v>
      </c>
      <c r="U183" s="78">
        <v>3.5125387659471112</v>
      </c>
      <c r="V183" s="102">
        <f t="shared" si="9"/>
        <v>0.23932675048380125</v>
      </c>
      <c r="W183" s="102">
        <f t="shared" si="10"/>
        <v>6.8134977698749988E-2</v>
      </c>
      <c r="X183" s="1" t="s">
        <v>413</v>
      </c>
    </row>
    <row r="184" spans="1:24" s="1" customFormat="1" ht="11.25" customHeight="1" x14ac:dyDescent="0.2">
      <c r="A184" s="201">
        <v>45195</v>
      </c>
      <c r="B184" s="83">
        <v>59</v>
      </c>
      <c r="C184" s="83" t="s">
        <v>518</v>
      </c>
      <c r="D184" s="84">
        <v>6.2430000000000003</v>
      </c>
      <c r="E184" s="84">
        <v>0.230674875</v>
      </c>
      <c r="F184" s="84">
        <v>1.2577898655699027</v>
      </c>
      <c r="G184" s="84">
        <v>0.15126559375000001</v>
      </c>
      <c r="H184" s="84">
        <v>-24.957498642058521</v>
      </c>
      <c r="I184" s="101">
        <v>-29.730222870467252</v>
      </c>
      <c r="J184" s="78">
        <v>-1.1102761487422947</v>
      </c>
      <c r="K184" s="79">
        <v>2.4229632188050618E-2</v>
      </c>
      <c r="L184" s="79"/>
      <c r="M184" s="79"/>
      <c r="N184" s="79">
        <v>0</v>
      </c>
      <c r="O184" s="180">
        <v>8.2889007407187503E-3</v>
      </c>
      <c r="P184" s="81">
        <v>0.13277111550086096</v>
      </c>
      <c r="Q184" s="79">
        <v>3.6949363286881302E-2</v>
      </c>
      <c r="R184" s="79"/>
      <c r="S184" s="180">
        <v>3.2597920750000002E-3</v>
      </c>
      <c r="T184" s="82">
        <v>5.2215154172673403E-2</v>
      </c>
      <c r="U184" s="78">
        <v>2.5427697687493609</v>
      </c>
      <c r="V184" s="102">
        <f t="shared" si="9"/>
        <v>0.22695010228087936</v>
      </c>
      <c r="W184" s="102">
        <f t="shared" si="10"/>
        <v>8.9253107013500005E-2</v>
      </c>
      <c r="X184" s="1" t="s">
        <v>413</v>
      </c>
    </row>
    <row r="185" spans="1:24" s="1" customFormat="1" ht="11.25" customHeight="1" x14ac:dyDescent="0.2">
      <c r="A185" s="201">
        <v>45195</v>
      </c>
      <c r="B185" s="83">
        <v>60</v>
      </c>
      <c r="C185" s="83" t="s">
        <v>519</v>
      </c>
      <c r="D185" s="84">
        <v>6.3650000000000002</v>
      </c>
      <c r="E185" s="84">
        <v>0.233301203125</v>
      </c>
      <c r="F185" s="84">
        <v>1.9038533738440222</v>
      </c>
      <c r="G185" s="84">
        <v>0.12305904687499999</v>
      </c>
      <c r="H185" s="84">
        <v>-26.982237437912339</v>
      </c>
      <c r="I185" s="101">
        <v>-31.787155013175145</v>
      </c>
      <c r="J185" s="78">
        <v>-0.45310034812586042</v>
      </c>
      <c r="K185" s="79">
        <v>1.9333707285938726E-2</v>
      </c>
      <c r="L185" s="79"/>
      <c r="M185" s="79"/>
      <c r="N185" s="79">
        <v>0</v>
      </c>
      <c r="O185" s="180">
        <v>6.7432665916093747E-3</v>
      </c>
      <c r="P185" s="81">
        <v>0.10594291581475844</v>
      </c>
      <c r="Q185" s="79">
        <v>3.6653763256087976E-2</v>
      </c>
      <c r="R185" s="79"/>
      <c r="S185" s="180">
        <v>3.3212481531250003E-3</v>
      </c>
      <c r="T185" s="82">
        <v>5.2179861007462684E-2</v>
      </c>
      <c r="U185" s="78">
        <v>2.0303410888658102</v>
      </c>
      <c r="V185" s="102">
        <f t="shared" si="9"/>
        <v>0.18463063927826467</v>
      </c>
      <c r="W185" s="102">
        <f t="shared" si="10"/>
        <v>9.0935774432562511E-2</v>
      </c>
      <c r="X185" s="1" t="s">
        <v>413</v>
      </c>
    </row>
    <row r="186" spans="1:24" s="1" customFormat="1" ht="11.25" customHeight="1" x14ac:dyDescent="0.2">
      <c r="A186" s="201">
        <v>45195</v>
      </c>
      <c r="B186" s="83">
        <v>61</v>
      </c>
      <c r="C186" s="83" t="s">
        <v>520</v>
      </c>
      <c r="D186" s="84">
        <v>6.2830000000000004</v>
      </c>
      <c r="E186" s="84">
        <v>0.235843140625</v>
      </c>
      <c r="F186" s="84">
        <v>-0.16840822814423451</v>
      </c>
      <c r="G186" s="84">
        <v>0.124027</v>
      </c>
      <c r="H186" s="84">
        <v>-24.247374805423739</v>
      </c>
      <c r="I186" s="101">
        <v>-29.008808064829978</v>
      </c>
      <c r="J186" s="78">
        <v>-2.5610048496683153</v>
      </c>
      <c r="K186" s="79">
        <v>1.9740092312589524E-2</v>
      </c>
      <c r="L186" s="79"/>
      <c r="M186" s="79"/>
      <c r="N186" s="79">
        <v>0</v>
      </c>
      <c r="O186" s="180">
        <v>6.7963075189999998E-3</v>
      </c>
      <c r="P186" s="81">
        <v>0.10816978384529682</v>
      </c>
      <c r="Q186" s="79">
        <v>3.7536708678179209E-2</v>
      </c>
      <c r="R186" s="79"/>
      <c r="S186" s="180">
        <v>3.3807294906249997E-3</v>
      </c>
      <c r="T186" s="82">
        <v>5.3807567891532702E-2</v>
      </c>
      <c r="U186" s="78">
        <v>2.0103079935400445</v>
      </c>
      <c r="V186" s="102">
        <f t="shared" si="9"/>
        <v>0.18608289987021998</v>
      </c>
      <c r="W186" s="102">
        <f t="shared" si="10"/>
        <v>9.256437345331249E-2</v>
      </c>
      <c r="X186" s="1" t="s">
        <v>413</v>
      </c>
    </row>
    <row r="187" spans="1:24" s="1" customFormat="1" ht="11.25" customHeight="1" x14ac:dyDescent="0.2">
      <c r="A187" s="201">
        <v>45195</v>
      </c>
      <c r="B187" s="83">
        <v>62</v>
      </c>
      <c r="C187" s="83" t="s">
        <v>521</v>
      </c>
      <c r="D187" s="84">
        <v>6.0460000000000003</v>
      </c>
      <c r="E187" s="84">
        <v>0.23727807812500001</v>
      </c>
      <c r="F187" s="84">
        <v>1.181889223015764</v>
      </c>
      <c r="G187" s="84">
        <v>0.1305410859375</v>
      </c>
      <c r="H187" s="84">
        <v>-24.54542458363365</v>
      </c>
      <c r="I187" s="101">
        <v>-29.311596834513423</v>
      </c>
      <c r="J187" s="78">
        <v>-1.1874822823483646</v>
      </c>
      <c r="K187" s="79">
        <v>2.1591314247022823E-2</v>
      </c>
      <c r="L187" s="79"/>
      <c r="M187" s="79"/>
      <c r="N187" s="79">
        <v>0</v>
      </c>
      <c r="O187" s="180">
        <v>7.1532598861171869E-3</v>
      </c>
      <c r="P187" s="81">
        <v>0.11831392467941096</v>
      </c>
      <c r="Q187" s="79">
        <v>3.9245464459973539E-2</v>
      </c>
      <c r="R187" s="79"/>
      <c r="S187" s="180">
        <v>3.4143070281250007E-3</v>
      </c>
      <c r="T187" s="82">
        <v>5.6472163879010925E-2</v>
      </c>
      <c r="U187" s="78">
        <v>2.095083959114675</v>
      </c>
      <c r="V187" s="102">
        <f t="shared" si="9"/>
        <v>0.19585625568188858</v>
      </c>
      <c r="W187" s="102">
        <f t="shared" si="10"/>
        <v>9.3483726430062516E-2</v>
      </c>
      <c r="X187" s="1" t="s">
        <v>413</v>
      </c>
    </row>
    <row r="188" spans="1:24" s="1" customFormat="1" ht="11.25" customHeight="1" x14ac:dyDescent="0.2">
      <c r="A188" s="201">
        <v>45195</v>
      </c>
      <c r="B188" s="83">
        <v>65</v>
      </c>
      <c r="C188" s="83" t="s">
        <v>522</v>
      </c>
      <c r="D188" s="84">
        <v>6.0289999999999999</v>
      </c>
      <c r="E188" s="84">
        <v>0.24113275000000001</v>
      </c>
      <c r="F188" s="84">
        <v>1.0907732915697022</v>
      </c>
      <c r="G188" s="84">
        <v>0.13733014062500001</v>
      </c>
      <c r="H188" s="84">
        <v>-25.168467187217072</v>
      </c>
      <c r="I188" s="101">
        <v>-29.944545815493825</v>
      </c>
      <c r="J188" s="78">
        <v>-1.2801654078152989</v>
      </c>
      <c r="K188" s="79">
        <v>2.2778261838613371E-2</v>
      </c>
      <c r="L188" s="79"/>
      <c r="M188" s="79"/>
      <c r="N188" s="79">
        <v>0</v>
      </c>
      <c r="O188" s="180">
        <v>7.5252797158281252E-3</v>
      </c>
      <c r="P188" s="81">
        <v>0.12481804139704968</v>
      </c>
      <c r="Q188" s="79">
        <v>3.9995480179134187E-2</v>
      </c>
      <c r="R188" s="79"/>
      <c r="S188" s="180">
        <v>3.5045063500000005E-3</v>
      </c>
      <c r="T188" s="82">
        <v>5.8127489633438389E-2</v>
      </c>
      <c r="U188" s="78">
        <v>2.1473151891501421</v>
      </c>
      <c r="V188" s="102">
        <f t="shared" si="9"/>
        <v>0.20604215861937406</v>
      </c>
      <c r="W188" s="102">
        <f t="shared" si="10"/>
        <v>9.5953383863000008E-2</v>
      </c>
      <c r="X188" s="1" t="s">
        <v>413</v>
      </c>
    </row>
    <row r="189" spans="1:24" s="1" customFormat="1" ht="11.25" customHeight="1" x14ac:dyDescent="0.2">
      <c r="A189" s="201">
        <v>45195</v>
      </c>
      <c r="B189" s="83">
        <v>66</v>
      </c>
      <c r="C189" s="83" t="s">
        <v>523</v>
      </c>
      <c r="D189" s="84">
        <v>6.0640000000000001</v>
      </c>
      <c r="E189" s="84">
        <v>0.23544646875</v>
      </c>
      <c r="F189" s="84">
        <v>-2.1699845328293499E-2</v>
      </c>
      <c r="G189" s="84">
        <v>0.121765703125</v>
      </c>
      <c r="H189" s="84">
        <v>-23.907138527225797</v>
      </c>
      <c r="I189" s="101">
        <v>-28.663162029808689</v>
      </c>
      <c r="J189" s="78">
        <v>-2.4117730826679402</v>
      </c>
      <c r="K189" s="79">
        <v>2.0080096161774405E-2</v>
      </c>
      <c r="L189" s="79"/>
      <c r="M189" s="79"/>
      <c r="N189" s="79">
        <v>0</v>
      </c>
      <c r="O189" s="180">
        <v>6.6723952341406247E-3</v>
      </c>
      <c r="P189" s="81">
        <v>0.1100329029376752</v>
      </c>
      <c r="Q189" s="79">
        <v>3.8826924266160946E-2</v>
      </c>
      <c r="R189" s="79"/>
      <c r="S189" s="180">
        <v>3.3714473687499998E-3</v>
      </c>
      <c r="T189" s="82">
        <v>5.5597746846141161E-2</v>
      </c>
      <c r="U189" s="78">
        <v>1.9790892469469237</v>
      </c>
      <c r="V189" s="102">
        <f t="shared" si="9"/>
        <v>0.18269018151077029</v>
      </c>
      <c r="W189" s="102">
        <f t="shared" si="10"/>
        <v>9.2310228956374987E-2</v>
      </c>
      <c r="X189" s="1" t="s">
        <v>413</v>
      </c>
    </row>
    <row r="190" spans="1:24" s="1" customFormat="1" ht="11.25" customHeight="1" x14ac:dyDescent="0.2">
      <c r="A190" s="201">
        <v>45195</v>
      </c>
      <c r="B190" s="83">
        <v>67</v>
      </c>
      <c r="C190" s="83" t="s">
        <v>524</v>
      </c>
      <c r="D190" s="84">
        <v>6.2279999999999998</v>
      </c>
      <c r="E190" s="84">
        <v>0.23709423437499999</v>
      </c>
      <c r="F190" s="84">
        <v>0.1644609770894423</v>
      </c>
      <c r="G190" s="84">
        <v>0.110293875</v>
      </c>
      <c r="H190" s="84">
        <v>-24.659196665083378</v>
      </c>
      <c r="I190" s="101">
        <v>-29.427177892058204</v>
      </c>
      <c r="J190" s="78">
        <v>-2.2224102941046193</v>
      </c>
      <c r="K190" s="79">
        <v>1.7709356936416187E-2</v>
      </c>
      <c r="L190" s="79"/>
      <c r="M190" s="79"/>
      <c r="N190" s="79">
        <v>0</v>
      </c>
      <c r="O190" s="180">
        <v>6.0437734683749999E-3</v>
      </c>
      <c r="P190" s="81">
        <v>9.7041963204479775E-2</v>
      </c>
      <c r="Q190" s="79">
        <v>3.8069080663937056E-2</v>
      </c>
      <c r="R190" s="79"/>
      <c r="S190" s="180">
        <v>3.4100050843749998E-3</v>
      </c>
      <c r="T190" s="82">
        <v>5.4752811245584461E-2</v>
      </c>
      <c r="U190" s="78">
        <v>1.7723649434038098</v>
      </c>
      <c r="V190" s="102">
        <f t="shared" si="9"/>
        <v>0.1654785175641075</v>
      </c>
      <c r="W190" s="102">
        <f t="shared" si="10"/>
        <v>9.3365939210187487E-2</v>
      </c>
      <c r="X190" s="1" t="s">
        <v>413</v>
      </c>
    </row>
    <row r="191" spans="1:24" s="1" customFormat="1" ht="11.25" customHeight="1" x14ac:dyDescent="0.2">
      <c r="A191" s="201">
        <v>45195</v>
      </c>
      <c r="B191" s="83">
        <v>68</v>
      </c>
      <c r="C191" s="83" t="s">
        <v>525</v>
      </c>
      <c r="D191" s="84">
        <v>6.1680000000000001</v>
      </c>
      <c r="E191" s="84">
        <v>0.238786671875</v>
      </c>
      <c r="F191" s="84">
        <v>4.3890238528521142</v>
      </c>
      <c r="G191" s="84">
        <v>0.13397565624999999</v>
      </c>
      <c r="H191" s="84">
        <v>-26.253478168930947</v>
      </c>
      <c r="I191" s="101">
        <v>-31.046808471816952</v>
      </c>
      <c r="J191" s="78">
        <v>2.074815063121171</v>
      </c>
      <c r="K191" s="79">
        <v>2.1721085643644614E-2</v>
      </c>
      <c r="L191" s="79"/>
      <c r="M191" s="79"/>
      <c r="N191" s="79">
        <v>0</v>
      </c>
      <c r="O191" s="180">
        <v>7.3414640355312496E-3</v>
      </c>
      <c r="P191" s="81">
        <v>0.1190250330014794</v>
      </c>
      <c r="Q191" s="79">
        <v>3.8713792457036315E-2</v>
      </c>
      <c r="R191" s="79"/>
      <c r="S191" s="180">
        <v>3.4496081218749995E-3</v>
      </c>
      <c r="T191" s="82">
        <v>5.5927498733381965E-2</v>
      </c>
      <c r="U191" s="78">
        <v>2.1282023279620734</v>
      </c>
      <c r="V191" s="102">
        <f t="shared" si="9"/>
        <v>0.20100928529284562</v>
      </c>
      <c r="W191" s="102">
        <f t="shared" si="10"/>
        <v>9.4450270376937484E-2</v>
      </c>
      <c r="X191" s="1" t="s">
        <v>413</v>
      </c>
    </row>
    <row r="192" spans="1:24" s="1" customFormat="1" ht="11.25" customHeight="1" x14ac:dyDescent="0.2">
      <c r="A192" s="201">
        <v>45195</v>
      </c>
      <c r="B192" s="83">
        <v>69</v>
      </c>
      <c r="C192" s="83" t="s">
        <v>526</v>
      </c>
      <c r="D192" s="84">
        <v>6.0510000000000002</v>
      </c>
      <c r="E192" s="84">
        <v>0.23750578124999999</v>
      </c>
      <c r="F192" s="84">
        <v>0.91297474718565752</v>
      </c>
      <c r="G192" s="84">
        <v>0.11442578125</v>
      </c>
      <c r="H192" s="84">
        <v>-26.042061722064808</v>
      </c>
      <c r="I192" s="101">
        <v>-30.832030503445637</v>
      </c>
      <c r="J192" s="78">
        <v>-1.4610220871627491</v>
      </c>
      <c r="K192" s="79">
        <v>1.8910226615435465E-2</v>
      </c>
      <c r="L192" s="79"/>
      <c r="M192" s="79"/>
      <c r="N192" s="79">
        <v>0</v>
      </c>
      <c r="O192" s="180">
        <v>6.2701895351562498E-3</v>
      </c>
      <c r="P192" s="81">
        <v>0.10362236878460171</v>
      </c>
      <c r="Q192" s="79">
        <v>3.9250666212196327E-2</v>
      </c>
      <c r="R192" s="79"/>
      <c r="S192" s="180">
        <v>3.4196352812499997E-3</v>
      </c>
      <c r="T192" s="82">
        <v>5.6513556127086424E-2</v>
      </c>
      <c r="U192" s="78">
        <v>1.8335842917330851</v>
      </c>
      <c r="V192" s="102">
        <f t="shared" si="9"/>
        <v>0.17167778947257811</v>
      </c>
      <c r="W192" s="102">
        <f t="shared" si="10"/>
        <v>9.3629614000624986E-2</v>
      </c>
      <c r="X192" s="1" t="s">
        <v>413</v>
      </c>
    </row>
    <row r="193" spans="1:31" s="1" customFormat="1" ht="11.25" customHeight="1" x14ac:dyDescent="0.2">
      <c r="A193" s="201">
        <v>45195</v>
      </c>
      <c r="B193" s="83">
        <v>70</v>
      </c>
      <c r="C193" s="83" t="s">
        <v>527</v>
      </c>
      <c r="D193" s="84">
        <v>6.0279999999999996</v>
      </c>
      <c r="E193" s="84">
        <v>0.23393917187499999</v>
      </c>
      <c r="F193" s="84">
        <v>1.2822189226708858</v>
      </c>
      <c r="G193" s="84">
        <v>9.93732265625E-2</v>
      </c>
      <c r="H193" s="84">
        <v>-25.135179884472851</v>
      </c>
      <c r="I193" s="101">
        <v>-29.910729244635966</v>
      </c>
      <c r="J193" s="78">
        <v>-1.0854269118591748</v>
      </c>
      <c r="K193" s="79">
        <v>1.6485273152372262E-2</v>
      </c>
      <c r="L193" s="79"/>
      <c r="M193" s="79"/>
      <c r="N193" s="79">
        <v>0</v>
      </c>
      <c r="O193" s="180">
        <v>5.4453546959453121E-3</v>
      </c>
      <c r="P193" s="81">
        <v>9.0334351293054296E-2</v>
      </c>
      <c r="Q193" s="79">
        <v>3.8808754458360982E-2</v>
      </c>
      <c r="R193" s="79"/>
      <c r="S193" s="180">
        <v>3.336176621875E-3</v>
      </c>
      <c r="T193" s="82">
        <v>5.534466857788653E-2</v>
      </c>
      <c r="U193" s="78">
        <v>1.632214152044777</v>
      </c>
      <c r="V193" s="102">
        <f t="shared" si="9"/>
        <v>0.14909381157498264</v>
      </c>
      <c r="W193" s="102">
        <f t="shared" si="10"/>
        <v>9.1344515906937498E-2</v>
      </c>
      <c r="X193" s="1" t="s">
        <v>413</v>
      </c>
    </row>
    <row r="194" spans="1:31" s="1" customFormat="1" ht="11.25" customHeight="1" x14ac:dyDescent="0.2">
      <c r="A194" s="201">
        <v>45195</v>
      </c>
      <c r="B194" s="83">
        <v>71</v>
      </c>
      <c r="C194" s="83" t="s">
        <v>528</v>
      </c>
      <c r="D194" s="84">
        <v>6.1870000000000003</v>
      </c>
      <c r="E194" s="84">
        <v>0.238723546875</v>
      </c>
      <c r="F194" s="84">
        <v>1.9022180182133308</v>
      </c>
      <c r="G194" s="84">
        <v>0.10600280468749999</v>
      </c>
      <c r="H194" s="84">
        <v>-26.599521729329478</v>
      </c>
      <c r="I194" s="101">
        <v>-31.398354124825815</v>
      </c>
      <c r="J194" s="78">
        <v>-0.45476383187339975</v>
      </c>
      <c r="K194" s="79">
        <v>1.7133150911184742E-2</v>
      </c>
      <c r="L194" s="79"/>
      <c r="M194" s="79"/>
      <c r="N194" s="79">
        <v>0</v>
      </c>
      <c r="O194" s="180">
        <v>5.8086356884609371E-3</v>
      </c>
      <c r="P194" s="81">
        <v>9.3884527048019029E-2</v>
      </c>
      <c r="Q194" s="79">
        <v>3.8584701288993051E-2</v>
      </c>
      <c r="R194" s="79"/>
      <c r="S194" s="180">
        <v>3.4481309968749999E-3</v>
      </c>
      <c r="T194" s="82">
        <v>5.5731873232180366E-2</v>
      </c>
      <c r="U194" s="78">
        <v>1.6845751201811168</v>
      </c>
      <c r="V194" s="102">
        <f t="shared" si="9"/>
        <v>0.15904044515006044</v>
      </c>
      <c r="W194" s="102">
        <f t="shared" si="10"/>
        <v>9.4409826694437496E-2</v>
      </c>
      <c r="X194" s="1" t="s">
        <v>413</v>
      </c>
    </row>
    <row r="195" spans="1:31" s="1" customFormat="1" ht="11.25" customHeight="1" x14ac:dyDescent="0.2">
      <c r="A195" s="201">
        <v>45195</v>
      </c>
      <c r="B195" s="110"/>
      <c r="C195" s="110"/>
      <c r="D195" s="85"/>
      <c r="E195" s="85"/>
      <c r="F195" s="85"/>
      <c r="K195" s="5"/>
      <c r="L195" s="5"/>
      <c r="M195" s="5"/>
    </row>
    <row r="196" spans="1:31" s="90" customFormat="1" ht="11.25" customHeight="1" x14ac:dyDescent="0.25">
      <c r="A196" s="210">
        <v>45195</v>
      </c>
      <c r="B196" s="90" t="s">
        <v>712</v>
      </c>
      <c r="I196" s="100">
        <v>0.21462947749297942</v>
      </c>
      <c r="J196" s="100">
        <v>0.73052070398557378</v>
      </c>
      <c r="K196" s="87"/>
      <c r="N196" s="87"/>
      <c r="O196" s="88"/>
      <c r="P196" s="100">
        <v>0.34821294991614743</v>
      </c>
      <c r="Q196" s="87"/>
      <c r="R196" s="87"/>
      <c r="S196" s="88"/>
      <c r="T196" s="100">
        <v>0.11333273780366282</v>
      </c>
      <c r="U196" s="100">
        <v>0.58168756618010642</v>
      </c>
      <c r="V196" s="208"/>
      <c r="W196" s="208"/>
      <c r="Y196" s="209"/>
      <c r="Z196" s="209"/>
      <c r="AA196" s="209"/>
      <c r="AB196" s="209"/>
      <c r="AC196" s="209"/>
      <c r="AD196" s="209"/>
      <c r="AE196" s="209"/>
    </row>
    <row r="197" spans="1:31" s="207" customFormat="1" x14ac:dyDescent="0.25"/>
    <row r="198" spans="1:31" s="1" customFormat="1" ht="11.25" customHeight="1" x14ac:dyDescent="0.2">
      <c r="B198" s="75"/>
      <c r="C198" s="75" t="s">
        <v>40</v>
      </c>
      <c r="D198" s="75" t="s">
        <v>54</v>
      </c>
      <c r="E198" s="75" t="s">
        <v>80</v>
      </c>
      <c r="F198" s="75" t="s">
        <v>41</v>
      </c>
      <c r="G198" s="75" t="s">
        <v>81</v>
      </c>
      <c r="H198" s="99" t="s">
        <v>42</v>
      </c>
      <c r="I198" s="76" t="s">
        <v>715</v>
      </c>
      <c r="J198" s="77" t="s">
        <v>714</v>
      </c>
      <c r="K198" s="77" t="s">
        <v>45</v>
      </c>
      <c r="L198" s="77" t="s">
        <v>46</v>
      </c>
      <c r="M198" s="77" t="s">
        <v>47</v>
      </c>
      <c r="N198" s="178" t="s">
        <v>38</v>
      </c>
      <c r="O198" s="77" t="s">
        <v>38</v>
      </c>
      <c r="P198" s="77" t="s">
        <v>48</v>
      </c>
      <c r="Q198" s="77" t="s">
        <v>49</v>
      </c>
      <c r="R198" s="77" t="s">
        <v>39</v>
      </c>
      <c r="S198" s="77" t="s">
        <v>39</v>
      </c>
      <c r="T198" s="77" t="s">
        <v>50</v>
      </c>
      <c r="U198" s="77" t="s">
        <v>51</v>
      </c>
      <c r="V198" s="202" t="s">
        <v>585</v>
      </c>
      <c r="W198" s="202" t="s">
        <v>586</v>
      </c>
    </row>
    <row r="199" spans="1:31" s="1" customFormat="1" ht="11.25" customHeight="1" x14ac:dyDescent="0.2">
      <c r="B199" s="83"/>
      <c r="C199" s="83"/>
      <c r="D199" s="84"/>
      <c r="E199" s="84"/>
      <c r="F199" s="84"/>
      <c r="G199" s="84"/>
      <c r="H199" s="84"/>
      <c r="I199" s="101"/>
      <c r="J199" s="78"/>
      <c r="K199" s="79"/>
      <c r="L199" s="79"/>
      <c r="M199" s="79"/>
      <c r="N199" s="79"/>
      <c r="O199" s="180"/>
      <c r="P199" s="81"/>
      <c r="Q199" s="79"/>
      <c r="R199" s="79"/>
      <c r="S199" s="180"/>
      <c r="T199" s="82"/>
      <c r="U199" s="78"/>
      <c r="V199" s="102"/>
      <c r="W199" s="102"/>
    </row>
    <row r="200" spans="1:31" s="1" customFormat="1" ht="11.25" customHeight="1" x14ac:dyDescent="0.2">
      <c r="A200" s="201">
        <v>45196</v>
      </c>
      <c r="B200" s="83">
        <v>40</v>
      </c>
      <c r="C200" s="83" t="s">
        <v>529</v>
      </c>
      <c r="D200" s="84">
        <v>5.9180000000000001</v>
      </c>
      <c r="E200" s="84">
        <v>4.5675078124999997E-2</v>
      </c>
      <c r="F200" s="84">
        <v>-7.2043131038564967</v>
      </c>
      <c r="G200" s="84">
        <v>0.29269974999999998</v>
      </c>
      <c r="H200" s="84">
        <v>-23.569040785643054</v>
      </c>
      <c r="I200" s="101">
        <v>-27.979667965400584</v>
      </c>
      <c r="J200" s="78">
        <v>-9.7660234236024337</v>
      </c>
      <c r="K200" s="79">
        <v>4.9459234538695503E-2</v>
      </c>
      <c r="L200" s="79"/>
      <c r="M200" s="79"/>
      <c r="N200" s="79">
        <v>0</v>
      </c>
      <c r="O200" s="180">
        <v>1.5613775464E-2</v>
      </c>
      <c r="P200" s="81">
        <v>0.26383534072321729</v>
      </c>
      <c r="Q200" s="79">
        <v>7.7179922482257515E-3</v>
      </c>
      <c r="R200" s="79"/>
      <c r="S200" s="180">
        <v>1.09519702328125E-3</v>
      </c>
      <c r="T200" s="82">
        <v>1.8506201812795706E-2</v>
      </c>
      <c r="U200" s="78">
        <v>14.256590487454542</v>
      </c>
      <c r="V200" s="102">
        <f t="shared" ref="V200:V227" si="11">O200*27.38</f>
        <v>0.42750517220431999</v>
      </c>
      <c r="W200" s="102">
        <f t="shared" ref="W200:W227" si="12">IF(S200&lt;0,0,S200*27.38)</f>
        <v>2.9986494497440622E-2</v>
      </c>
      <c r="X200" s="1" t="s">
        <v>413</v>
      </c>
    </row>
    <row r="201" spans="1:31" s="1" customFormat="1" ht="11.25" customHeight="1" x14ac:dyDescent="0.2">
      <c r="A201" s="201">
        <v>45196</v>
      </c>
      <c r="B201" s="83">
        <v>41</v>
      </c>
      <c r="C201" s="83" t="s">
        <v>530</v>
      </c>
      <c r="D201" s="84">
        <v>6.2350000000000003</v>
      </c>
      <c r="E201" s="84">
        <v>0.15608195312500001</v>
      </c>
      <c r="F201" s="84">
        <v>5.9172488868797224</v>
      </c>
      <c r="G201" s="84">
        <v>0.85680106249999999</v>
      </c>
      <c r="H201" s="84">
        <v>-23.172496078747951</v>
      </c>
      <c r="I201" s="101">
        <v>-27.585264599922713</v>
      </c>
      <c r="J201" s="78">
        <v>4.0562299774390986</v>
      </c>
      <c r="K201" s="79">
        <v>0.13741797313552526</v>
      </c>
      <c r="L201" s="79"/>
      <c r="M201" s="79"/>
      <c r="N201" s="79">
        <v>0</v>
      </c>
      <c r="O201" s="180">
        <v>4.5705195878000003E-2</v>
      </c>
      <c r="P201" s="81">
        <v>0.73304243589414597</v>
      </c>
      <c r="Q201" s="79">
        <v>2.5033192161186848E-2</v>
      </c>
      <c r="R201" s="79"/>
      <c r="S201" s="180">
        <v>3.74253307203125E-3</v>
      </c>
      <c r="T201" s="82">
        <v>6.0024588164093819E-2</v>
      </c>
      <c r="U201" s="78">
        <v>12.212369269242991</v>
      </c>
      <c r="V201" s="102">
        <f t="shared" si="11"/>
        <v>1.2514082631396399</v>
      </c>
      <c r="W201" s="102">
        <f t="shared" si="12"/>
        <v>0.10247055551221562</v>
      </c>
      <c r="X201" s="1" t="s">
        <v>413</v>
      </c>
    </row>
    <row r="202" spans="1:31" s="1" customFormat="1" ht="11.25" customHeight="1" x14ac:dyDescent="0.2">
      <c r="A202" s="201">
        <v>45196</v>
      </c>
      <c r="B202" s="83">
        <v>42</v>
      </c>
      <c r="C202" s="83" t="s">
        <v>531</v>
      </c>
      <c r="D202" s="84">
        <v>5.9969999999999999</v>
      </c>
      <c r="E202" s="84">
        <v>3.3014667968750001E-2</v>
      </c>
      <c r="F202" s="84">
        <v>-17.509856040227145</v>
      </c>
      <c r="G202" s="84">
        <v>0.2220413125</v>
      </c>
      <c r="H202" s="84">
        <v>-22.519232333359533</v>
      </c>
      <c r="I202" s="101">
        <v>-26.935528478759391</v>
      </c>
      <c r="J202" s="78">
        <v>-20.621882352775273</v>
      </c>
      <c r="K202" s="79">
        <v>3.7025398115724528E-2</v>
      </c>
      <c r="L202" s="79"/>
      <c r="M202" s="79"/>
      <c r="N202" s="79">
        <v>0</v>
      </c>
      <c r="O202" s="180">
        <v>1.1844571774000001E-2</v>
      </c>
      <c r="P202" s="81">
        <v>0.19750828370852097</v>
      </c>
      <c r="Q202" s="79">
        <v>5.5051972600883778E-3</v>
      </c>
      <c r="R202" s="79"/>
      <c r="S202" s="180">
        <v>7.9162570855468748E-4</v>
      </c>
      <c r="T202" s="82">
        <v>1.3200361990239912E-2</v>
      </c>
      <c r="U202" s="78">
        <v>14.962338446063425</v>
      </c>
      <c r="V202" s="102">
        <f t="shared" si="11"/>
        <v>0.32430437517212002</v>
      </c>
      <c r="W202" s="102">
        <f t="shared" si="12"/>
        <v>2.1674711900227343E-2</v>
      </c>
      <c r="X202" s="1" t="s">
        <v>413</v>
      </c>
    </row>
    <row r="203" spans="1:31" s="1" customFormat="1" ht="11.25" customHeight="1" x14ac:dyDescent="0.2">
      <c r="A203" s="201">
        <v>45196</v>
      </c>
      <c r="B203" s="83">
        <v>43</v>
      </c>
      <c r="C203" s="83" t="s">
        <v>532</v>
      </c>
      <c r="D203" s="84">
        <v>6.41</v>
      </c>
      <c r="E203" s="84">
        <v>9.7556749999999998E-2</v>
      </c>
      <c r="F203" s="84">
        <v>-1.4271306332919176</v>
      </c>
      <c r="G203" s="84">
        <v>0.63773643749999998</v>
      </c>
      <c r="H203" s="84">
        <v>-21.796489901204083</v>
      </c>
      <c r="I203" s="101">
        <v>-26.216688855737583</v>
      </c>
      <c r="J203" s="78">
        <v>-3.6803394091097061</v>
      </c>
      <c r="K203" s="79">
        <v>9.9490863884555372E-2</v>
      </c>
      <c r="L203" s="79"/>
      <c r="M203" s="79"/>
      <c r="N203" s="79">
        <v>0</v>
      </c>
      <c r="O203" s="180">
        <v>3.4019412521999998E-2</v>
      </c>
      <c r="P203" s="81">
        <v>0.53072406430577224</v>
      </c>
      <c r="Q203" s="79">
        <v>1.5219461778471138E-2</v>
      </c>
      <c r="R203" s="79"/>
      <c r="S203" s="180">
        <v>2.3392157514999998E-3</v>
      </c>
      <c r="T203" s="82">
        <v>3.6493225452418093E-2</v>
      </c>
      <c r="U203" s="78">
        <v>14.543084578746264</v>
      </c>
      <c r="V203" s="102">
        <f t="shared" si="11"/>
        <v>0.93145151485235989</v>
      </c>
      <c r="W203" s="102">
        <f t="shared" si="12"/>
        <v>6.4047727276069985E-2</v>
      </c>
      <c r="X203" s="1" t="s">
        <v>413</v>
      </c>
    </row>
    <row r="204" spans="1:31" s="1" customFormat="1" ht="11.25" customHeight="1" x14ac:dyDescent="0.2">
      <c r="A204" s="201">
        <v>45196</v>
      </c>
      <c r="B204" s="83">
        <v>44</v>
      </c>
      <c r="C204" s="83" t="s">
        <v>533</v>
      </c>
      <c r="D204" s="84">
        <v>6.0519999999999996</v>
      </c>
      <c r="E204" s="84">
        <v>5.9432585937499997E-2</v>
      </c>
      <c r="F204" s="84">
        <v>0.4557406357048599</v>
      </c>
      <c r="G204" s="84">
        <v>0.38504018750000002</v>
      </c>
      <c r="H204" s="84">
        <v>-22.139658974263455</v>
      </c>
      <c r="I204" s="101">
        <v>-26.558004815802434</v>
      </c>
      <c r="J204" s="78">
        <v>-1.6969228143485007</v>
      </c>
      <c r="K204" s="79">
        <v>6.3621974140779913E-2</v>
      </c>
      <c r="L204" s="79"/>
      <c r="M204" s="79"/>
      <c r="N204" s="79">
        <v>0</v>
      </c>
      <c r="O204" s="180">
        <v>2.0539583762000001E-2</v>
      </c>
      <c r="P204" s="81">
        <v>0.33938505885657638</v>
      </c>
      <c r="Q204" s="79">
        <v>9.8203215362690013E-3</v>
      </c>
      <c r="R204" s="79"/>
      <c r="S204" s="180">
        <v>1.4250745456093749E-3</v>
      </c>
      <c r="T204" s="82">
        <v>2.3547166979665812E-2</v>
      </c>
      <c r="U204" s="78">
        <v>14.412989008386988</v>
      </c>
      <c r="V204" s="102">
        <f t="shared" si="11"/>
        <v>0.56237380340356002</v>
      </c>
      <c r="W204" s="102">
        <f t="shared" si="12"/>
        <v>3.9018541058784682E-2</v>
      </c>
      <c r="X204" s="1" t="s">
        <v>413</v>
      </c>
    </row>
    <row r="205" spans="1:31" s="1" customFormat="1" ht="11.25" customHeight="1" x14ac:dyDescent="0.2">
      <c r="A205" s="201">
        <v>45196</v>
      </c>
      <c r="B205" s="83">
        <v>45</v>
      </c>
      <c r="C205" s="83" t="s">
        <v>534</v>
      </c>
      <c r="D205" s="84">
        <v>6.23</v>
      </c>
      <c r="E205" s="84">
        <v>0.106604734375</v>
      </c>
      <c r="F205" s="84">
        <v>0.71315784700520801</v>
      </c>
      <c r="G205" s="84">
        <v>0.68684168749999996</v>
      </c>
      <c r="H205" s="84">
        <v>-21.142346439899857</v>
      </c>
      <c r="I205" s="101">
        <v>-25.566077769124398</v>
      </c>
      <c r="J205" s="78">
        <v>-1.4257595239647141</v>
      </c>
      <c r="K205" s="79">
        <v>0.11024746187800961</v>
      </c>
      <c r="L205" s="79"/>
      <c r="M205" s="79"/>
      <c r="N205" s="79">
        <v>0</v>
      </c>
      <c r="O205" s="180">
        <v>3.6638882977999998E-2</v>
      </c>
      <c r="P205" s="81">
        <v>0.58810406064205456</v>
      </c>
      <c r="Q205" s="79">
        <v>1.7111514345906902E-2</v>
      </c>
      <c r="R205" s="79"/>
      <c r="S205" s="180">
        <v>2.5561683208437497E-3</v>
      </c>
      <c r="T205" s="82">
        <v>4.1029989098615563E-2</v>
      </c>
      <c r="U205" s="78">
        <v>14.333517350651658</v>
      </c>
      <c r="V205" s="102">
        <f t="shared" si="11"/>
        <v>1.00317261593764</v>
      </c>
      <c r="W205" s="102">
        <f t="shared" si="12"/>
        <v>6.9987888624701872E-2</v>
      </c>
      <c r="X205" s="1" t="s">
        <v>413</v>
      </c>
    </row>
    <row r="206" spans="1:31" s="1" customFormat="1" ht="11.25" customHeight="1" x14ac:dyDescent="0.2">
      <c r="A206" s="201">
        <v>45196</v>
      </c>
      <c r="B206" s="83">
        <v>46</v>
      </c>
      <c r="C206" s="83" t="s">
        <v>535</v>
      </c>
      <c r="D206" s="84">
        <v>6.0730000000000004</v>
      </c>
      <c r="E206" s="84">
        <v>7.2744812500000006E-2</v>
      </c>
      <c r="F206" s="84">
        <v>-11.711781499196272</v>
      </c>
      <c r="G206" s="84">
        <v>0.45918356249999998</v>
      </c>
      <c r="H206" s="84">
        <v>-21.61092129345078</v>
      </c>
      <c r="I206" s="101">
        <v>-26.032122318466147</v>
      </c>
      <c r="J206" s="78">
        <v>-14.514190631253351</v>
      </c>
      <c r="K206" s="79">
        <v>7.5610664004610556E-2</v>
      </c>
      <c r="L206" s="79"/>
      <c r="M206" s="79"/>
      <c r="N206" s="79">
        <v>0</v>
      </c>
      <c r="O206" s="180">
        <v>2.4494687958E-2</v>
      </c>
      <c r="P206" s="81">
        <v>0.40333752606619455</v>
      </c>
      <c r="Q206" s="79">
        <v>1.197839823810308E-2</v>
      </c>
      <c r="R206" s="79"/>
      <c r="S206" s="180">
        <v>1.744275114125E-3</v>
      </c>
      <c r="T206" s="82">
        <v>2.8721803295323561E-2</v>
      </c>
      <c r="U206" s="78">
        <v>14.04290398896595</v>
      </c>
      <c r="V206" s="102">
        <f t="shared" si="11"/>
        <v>0.67066455629003996</v>
      </c>
      <c r="W206" s="102">
        <f t="shared" si="12"/>
        <v>4.7758252624742502E-2</v>
      </c>
      <c r="X206" s="1" t="s">
        <v>413</v>
      </c>
    </row>
    <row r="207" spans="1:31" s="1" customFormat="1" ht="11.25" customHeight="1" x14ac:dyDescent="0.2">
      <c r="A207" s="201">
        <v>45196</v>
      </c>
      <c r="B207" s="83">
        <v>47</v>
      </c>
      <c r="C207" s="83" t="s">
        <v>536</v>
      </c>
      <c r="D207" s="84">
        <v>6.1890000000000001</v>
      </c>
      <c r="E207" s="84">
        <v>9.3792085937500005E-2</v>
      </c>
      <c r="F207" s="84">
        <v>-6.2041553149188022</v>
      </c>
      <c r="G207" s="84">
        <v>0.46219390625000001</v>
      </c>
      <c r="H207" s="84">
        <v>-21.677094060813857</v>
      </c>
      <c r="I207" s="101">
        <v>-26.097937752885464</v>
      </c>
      <c r="J207" s="78">
        <v>-8.712457208735465</v>
      </c>
      <c r="K207" s="79">
        <v>7.4679900832121504E-2</v>
      </c>
      <c r="L207" s="79"/>
      <c r="M207" s="79"/>
      <c r="N207" s="79">
        <v>0</v>
      </c>
      <c r="O207" s="180">
        <v>2.4655271735000001E-2</v>
      </c>
      <c r="P207" s="81">
        <v>0.39837246299886897</v>
      </c>
      <c r="Q207" s="79">
        <v>1.5154643066327356E-2</v>
      </c>
      <c r="R207" s="79"/>
      <c r="S207" s="180">
        <v>2.248946636609375E-3</v>
      </c>
      <c r="T207" s="82">
        <v>3.6337803144439733E-2</v>
      </c>
      <c r="U207" s="78">
        <v>10.963031018010961</v>
      </c>
      <c r="V207" s="102">
        <f t="shared" si="11"/>
        <v>0.67506134010429997</v>
      </c>
      <c r="W207" s="102">
        <f t="shared" si="12"/>
        <v>6.1576158910364685E-2</v>
      </c>
      <c r="X207" s="1" t="s">
        <v>413</v>
      </c>
    </row>
    <row r="208" spans="1:31" s="1" customFormat="1" ht="11.25" customHeight="1" x14ac:dyDescent="0.2">
      <c r="A208" s="201">
        <v>45196</v>
      </c>
      <c r="B208" s="83">
        <v>48</v>
      </c>
      <c r="C208" s="83" t="s">
        <v>537</v>
      </c>
      <c r="D208" s="84">
        <v>5.923</v>
      </c>
      <c r="E208" s="84">
        <v>0.14503965625000001</v>
      </c>
      <c r="F208" s="84">
        <v>-9.69972458356294</v>
      </c>
      <c r="G208" s="84">
        <v>0.175595515625</v>
      </c>
      <c r="H208" s="84">
        <v>-21.801088335992645</v>
      </c>
      <c r="I208" s="101">
        <v>-26.221262458978288</v>
      </c>
      <c r="J208" s="78">
        <v>-12.394689876325199</v>
      </c>
      <c r="K208" s="79">
        <v>2.9646381162417693E-2</v>
      </c>
      <c r="L208" s="79"/>
      <c r="M208" s="79"/>
      <c r="N208" s="79">
        <v>0</v>
      </c>
      <c r="O208" s="180">
        <v>9.3669671855000011E-3</v>
      </c>
      <c r="P208" s="81">
        <v>0.15814565567280095</v>
      </c>
      <c r="Q208" s="79">
        <v>2.4487532711463787E-2</v>
      </c>
      <c r="R208" s="79"/>
      <c r="S208" s="180">
        <v>3.4777608775625E-3</v>
      </c>
      <c r="T208" s="82">
        <v>5.8716205935547869E-2</v>
      </c>
      <c r="U208" s="78">
        <v>2.693390234484764</v>
      </c>
      <c r="V208" s="102">
        <f t="shared" si="11"/>
        <v>0.25646756153899003</v>
      </c>
      <c r="W208" s="102">
        <f t="shared" si="12"/>
        <v>9.5221092827661252E-2</v>
      </c>
      <c r="X208" s="1" t="s">
        <v>413</v>
      </c>
    </row>
    <row r="209" spans="1:24" s="1" customFormat="1" ht="11.25" customHeight="1" x14ac:dyDescent="0.2">
      <c r="A209" s="201">
        <v>45196</v>
      </c>
      <c r="B209" s="83">
        <v>49</v>
      </c>
      <c r="C209" s="83" t="s">
        <v>538</v>
      </c>
      <c r="D209" s="84">
        <v>5.9290000000000003</v>
      </c>
      <c r="E209" s="84">
        <v>0.32982175000000002</v>
      </c>
      <c r="F209" s="84">
        <v>-6.7064005162728035</v>
      </c>
      <c r="G209" s="84">
        <v>0.244416546875</v>
      </c>
      <c r="H209" s="84">
        <v>-21.455435382510764</v>
      </c>
      <c r="I209" s="101">
        <v>-25.877476031445209</v>
      </c>
      <c r="J209" s="78">
        <v>-9.2415223038417711</v>
      </c>
      <c r="K209" s="79">
        <v>4.1223907383201211E-2</v>
      </c>
      <c r="L209" s="79"/>
      <c r="M209" s="79"/>
      <c r="N209" s="79">
        <v>0</v>
      </c>
      <c r="O209" s="180">
        <v>1.30381562765E-2</v>
      </c>
      <c r="P209" s="81">
        <v>0.21990481154494854</v>
      </c>
      <c r="Q209" s="79">
        <v>5.5628562995446114E-2</v>
      </c>
      <c r="R209" s="79"/>
      <c r="S209" s="180">
        <v>7.9084659214999995E-3</v>
      </c>
      <c r="T209" s="82">
        <v>0.13338616835048067</v>
      </c>
      <c r="U209" s="78">
        <v>1.6486327950221542</v>
      </c>
      <c r="V209" s="102">
        <f t="shared" si="11"/>
        <v>0.35698471885056998</v>
      </c>
      <c r="W209" s="102">
        <f t="shared" si="12"/>
        <v>0.21653379693066999</v>
      </c>
    </row>
    <row r="210" spans="1:24" s="1" customFormat="1" ht="11.25" customHeight="1" x14ac:dyDescent="0.2">
      <c r="A210" s="201">
        <v>45196</v>
      </c>
      <c r="B210" s="83">
        <v>50</v>
      </c>
      <c r="C210" s="83" t="s">
        <v>539</v>
      </c>
      <c r="D210" s="84">
        <v>6.3659999999999997</v>
      </c>
      <c r="E210" s="84">
        <v>0.69779987499999996</v>
      </c>
      <c r="F210" s="84">
        <v>-2.5455186015060915</v>
      </c>
      <c r="G210" s="84">
        <v>1.0080512500000001</v>
      </c>
      <c r="H210" s="84">
        <v>-21.191718666120657</v>
      </c>
      <c r="I210" s="101">
        <v>-25.615183385323608</v>
      </c>
      <c r="J210" s="78">
        <v>-4.8584492948265172</v>
      </c>
      <c r="K210" s="79">
        <v>0.15834923814011939</v>
      </c>
      <c r="L210" s="79"/>
      <c r="M210" s="79"/>
      <c r="N210" s="79">
        <v>0</v>
      </c>
      <c r="O210" s="180">
        <v>5.3773485880000006E-2</v>
      </c>
      <c r="P210" s="81">
        <v>0.84469817593465291</v>
      </c>
      <c r="Q210" s="79">
        <v>0.10961355246622682</v>
      </c>
      <c r="R210" s="79"/>
      <c r="S210" s="180">
        <v>1.6731845402749999E-2</v>
      </c>
      <c r="T210" s="82">
        <v>0.2628313761035187</v>
      </c>
      <c r="U210" s="78">
        <v>3.2138407082796707</v>
      </c>
      <c r="V210" s="102">
        <f t="shared" si="11"/>
        <v>1.4723180433944001</v>
      </c>
      <c r="W210" s="102">
        <f t="shared" si="12"/>
        <v>0.45811792712729493</v>
      </c>
    </row>
    <row r="211" spans="1:24" s="1" customFormat="1" ht="11.25" customHeight="1" x14ac:dyDescent="0.2">
      <c r="A211" s="201">
        <v>45196</v>
      </c>
      <c r="B211" s="83">
        <v>51</v>
      </c>
      <c r="C211" s="83" t="s">
        <v>540</v>
      </c>
      <c r="D211" s="84">
        <v>6.21</v>
      </c>
      <c r="E211" s="84">
        <v>0.89143087499999996</v>
      </c>
      <c r="F211" s="84">
        <v>-1.9540691720837389</v>
      </c>
      <c r="G211" s="84">
        <v>0.5123505625</v>
      </c>
      <c r="H211" s="84">
        <v>-21.34947750145048</v>
      </c>
      <c r="I211" s="101">
        <v>-25.772090322942649</v>
      </c>
      <c r="J211" s="78">
        <v>-4.2354164658730102</v>
      </c>
      <c r="K211" s="79">
        <v>8.2504116344605472E-2</v>
      </c>
      <c r="L211" s="79"/>
      <c r="M211" s="79"/>
      <c r="N211" s="79">
        <v>0</v>
      </c>
      <c r="O211" s="180">
        <v>2.7330828406000002E-2</v>
      </c>
      <c r="P211" s="81">
        <v>0.4401099582286635</v>
      </c>
      <c r="Q211" s="79">
        <v>0.14354764492753622</v>
      </c>
      <c r="R211" s="79"/>
      <c r="S211" s="180">
        <v>2.1374729520749997E-2</v>
      </c>
      <c r="T211" s="82">
        <v>0.34419854300724634</v>
      </c>
      <c r="U211" s="78">
        <v>1.2786514271194864</v>
      </c>
      <c r="V211" s="102">
        <f t="shared" si="11"/>
        <v>0.74831808175628001</v>
      </c>
      <c r="W211" s="102">
        <f t="shared" si="12"/>
        <v>0.58524009427813495</v>
      </c>
    </row>
    <row r="212" spans="1:24" s="1" customFormat="1" ht="11.25" customHeight="1" x14ac:dyDescent="0.2">
      <c r="A212" s="201">
        <v>45196</v>
      </c>
      <c r="B212" s="83">
        <v>54</v>
      </c>
      <c r="C212" s="83" t="s">
        <v>541</v>
      </c>
      <c r="D212" s="84">
        <v>6.52</v>
      </c>
      <c r="E212" s="84">
        <v>0.88490968749999999</v>
      </c>
      <c r="F212" s="84">
        <v>-1.5225189147693996</v>
      </c>
      <c r="G212" s="84">
        <v>2.0501170000000002</v>
      </c>
      <c r="H212" s="84">
        <v>-26.340055387240209</v>
      </c>
      <c r="I212" s="101">
        <v>-30.735719088149114</v>
      </c>
      <c r="J212" s="78">
        <v>-3.7808214248180851</v>
      </c>
      <c r="K212" s="79">
        <v>0.31443512269938656</v>
      </c>
      <c r="L212" s="79"/>
      <c r="M212" s="79"/>
      <c r="N212" s="79">
        <v>0</v>
      </c>
      <c r="O212" s="180">
        <v>0.10936144124800001</v>
      </c>
      <c r="P212" s="81">
        <v>1.6773227185276078</v>
      </c>
      <c r="Q212" s="79">
        <v>0.13572234470858896</v>
      </c>
      <c r="R212" s="79"/>
      <c r="S212" s="180">
        <v>2.1218364486874999E-2</v>
      </c>
      <c r="T212" s="82">
        <v>0.32543503814225461</v>
      </c>
      <c r="U212" s="78">
        <v>5.1540938188542995</v>
      </c>
      <c r="V212" s="102">
        <f t="shared" si="11"/>
        <v>2.9943162613702401</v>
      </c>
      <c r="W212" s="102">
        <f t="shared" si="12"/>
        <v>0.58095881965063745</v>
      </c>
    </row>
    <row r="213" spans="1:24" s="1" customFormat="1" ht="11.25" customHeight="1" x14ac:dyDescent="0.2">
      <c r="A213" s="201">
        <v>45196</v>
      </c>
      <c r="B213" s="83">
        <v>55</v>
      </c>
      <c r="C213" s="83" t="s">
        <v>542</v>
      </c>
      <c r="D213" s="84">
        <v>6.0869999999999997</v>
      </c>
      <c r="E213" s="84">
        <v>0.41730678124999998</v>
      </c>
      <c r="F213" s="84">
        <v>-8.3032230674049412</v>
      </c>
      <c r="G213" s="84">
        <v>0.24655021874999999</v>
      </c>
      <c r="H213" s="84">
        <v>-22.351019390639763</v>
      </c>
      <c r="I213" s="101">
        <v>-26.768223885930311</v>
      </c>
      <c r="J213" s="78">
        <v>-10.923615179204363</v>
      </c>
      <c r="K213" s="79">
        <v>4.0504389477575162E-2</v>
      </c>
      <c r="L213" s="79"/>
      <c r="M213" s="79"/>
      <c r="N213" s="79">
        <v>0</v>
      </c>
      <c r="O213" s="180">
        <v>1.3151974869000001E-2</v>
      </c>
      <c r="P213" s="81">
        <v>0.21606661522917694</v>
      </c>
      <c r="Q213" s="79">
        <v>6.855705294069328E-2</v>
      </c>
      <c r="R213" s="79"/>
      <c r="S213" s="180">
        <v>1.00061820008125E-2</v>
      </c>
      <c r="T213" s="82">
        <v>0.16438610154119435</v>
      </c>
      <c r="U213" s="78">
        <v>1.3143849340269909</v>
      </c>
      <c r="V213" s="102">
        <f t="shared" si="11"/>
        <v>0.36010107191321999</v>
      </c>
      <c r="W213" s="102">
        <f t="shared" si="12"/>
        <v>0.27396926318224624</v>
      </c>
    </row>
    <row r="214" spans="1:24" s="1" customFormat="1" ht="11.25" customHeight="1" x14ac:dyDescent="0.2">
      <c r="A214" s="201">
        <v>45196</v>
      </c>
      <c r="B214" s="83">
        <v>56</v>
      </c>
      <c r="C214" s="83" t="s">
        <v>543</v>
      </c>
      <c r="D214" s="84">
        <v>6.23</v>
      </c>
      <c r="E214" s="84">
        <v>0.2843425</v>
      </c>
      <c r="F214" s="84">
        <v>-4.387458112741216</v>
      </c>
      <c r="G214" s="84">
        <v>0.51049740624999995</v>
      </c>
      <c r="H214" s="84">
        <v>-21.40186913635193</v>
      </c>
      <c r="I214" s="101">
        <v>-25.824199043015632</v>
      </c>
      <c r="J214" s="78">
        <v>-6.7987483759615959</v>
      </c>
      <c r="K214" s="79">
        <v>8.1941798756019243E-2</v>
      </c>
      <c r="L214" s="79"/>
      <c r="M214" s="79"/>
      <c r="N214" s="79">
        <v>0</v>
      </c>
      <c r="O214" s="180">
        <v>2.7231973638999998E-2</v>
      </c>
      <c r="P214" s="81">
        <v>0.43711033128410909</v>
      </c>
      <c r="Q214" s="79">
        <v>4.5640850722311395E-2</v>
      </c>
      <c r="R214" s="79"/>
      <c r="S214" s="180">
        <v>6.8179644649999996E-3</v>
      </c>
      <c r="T214" s="82">
        <v>0.10943763186195825</v>
      </c>
      <c r="U214" s="78">
        <v>3.9941501277683762</v>
      </c>
      <c r="V214" s="102">
        <f t="shared" si="11"/>
        <v>0.74561143823581988</v>
      </c>
      <c r="W214" s="102">
        <f t="shared" si="12"/>
        <v>0.18667586705169997</v>
      </c>
      <c r="X214" s="1" t="s">
        <v>413</v>
      </c>
    </row>
    <row r="215" spans="1:24" s="1" customFormat="1" ht="11.25" customHeight="1" x14ac:dyDescent="0.2">
      <c r="A215" s="201">
        <v>45196</v>
      </c>
      <c r="B215" s="83">
        <v>57</v>
      </c>
      <c r="C215" s="83" t="s">
        <v>544</v>
      </c>
      <c r="D215" s="84">
        <v>6.5279999999999996</v>
      </c>
      <c r="E215" s="84">
        <v>0.40978759375000001</v>
      </c>
      <c r="F215" s="84">
        <v>0.45647147737049032</v>
      </c>
      <c r="G215" s="84">
        <v>1.3845533750000001</v>
      </c>
      <c r="H215" s="84">
        <v>-22.118299184460579</v>
      </c>
      <c r="I215" s="101">
        <v>-26.536760368864492</v>
      </c>
      <c r="J215" s="78">
        <v>-1.6961529457379256</v>
      </c>
      <c r="K215" s="79">
        <v>0.2120945733762255</v>
      </c>
      <c r="L215" s="79"/>
      <c r="M215" s="79"/>
      <c r="N215" s="79">
        <v>0</v>
      </c>
      <c r="O215" s="180">
        <v>7.3857615236000013E-2</v>
      </c>
      <c r="P215" s="81">
        <v>1.1313972922181375</v>
      </c>
      <c r="Q215" s="79">
        <v>6.2773834826899522E-2</v>
      </c>
      <c r="R215" s="79"/>
      <c r="S215" s="180">
        <v>9.8258869229374997E-3</v>
      </c>
      <c r="T215" s="82">
        <v>0.15051910114793965</v>
      </c>
      <c r="U215" s="78">
        <v>7.5166359856622389</v>
      </c>
      <c r="V215" s="102">
        <f t="shared" si="11"/>
        <v>2.0222215051616801</v>
      </c>
      <c r="W215" s="102">
        <f t="shared" si="12"/>
        <v>0.26903278395002872</v>
      </c>
    </row>
    <row r="216" spans="1:24" s="1" customFormat="1" ht="11.25" customHeight="1" x14ac:dyDescent="0.2">
      <c r="A216" s="201">
        <v>45196</v>
      </c>
      <c r="B216" s="83">
        <v>58</v>
      </c>
      <c r="C216" s="83" t="s">
        <v>545</v>
      </c>
      <c r="D216" s="84">
        <v>6.3220000000000001</v>
      </c>
      <c r="E216" s="84">
        <v>0.31778146875000002</v>
      </c>
      <c r="F216" s="84">
        <v>-5.9987340299236802</v>
      </c>
      <c r="G216" s="84">
        <v>0.82220931249999996</v>
      </c>
      <c r="H216" s="84">
        <v>-21.556816512800189</v>
      </c>
      <c r="I216" s="101">
        <v>-25.978309703631069</v>
      </c>
      <c r="J216" s="78">
        <v>-8.4960664271216046</v>
      </c>
      <c r="K216" s="79">
        <v>0.13005525347991143</v>
      </c>
      <c r="L216" s="79"/>
      <c r="M216" s="79"/>
      <c r="N216" s="79">
        <v>0</v>
      </c>
      <c r="O216" s="180">
        <v>4.3859933566000001E-2</v>
      </c>
      <c r="P216" s="81">
        <v>0.69376674416323947</v>
      </c>
      <c r="Q216" s="79">
        <v>5.026597101391965E-2</v>
      </c>
      <c r="R216" s="79"/>
      <c r="S216" s="180">
        <v>7.6197640576875E-3</v>
      </c>
      <c r="T216" s="82">
        <v>0.12052774529717651</v>
      </c>
      <c r="U216" s="78">
        <v>5.7560750220015242</v>
      </c>
      <c r="V216" s="102">
        <f t="shared" si="11"/>
        <v>1.2008849810370801</v>
      </c>
      <c r="W216" s="102">
        <f t="shared" si="12"/>
        <v>0.20862913989948373</v>
      </c>
    </row>
    <row r="217" spans="1:24" s="1" customFormat="1" ht="11.25" customHeight="1" x14ac:dyDescent="0.2">
      <c r="A217" s="201">
        <v>45196</v>
      </c>
      <c r="B217" s="83">
        <v>59</v>
      </c>
      <c r="C217" s="83" t="s">
        <v>546</v>
      </c>
      <c r="D217" s="84">
        <v>6.1859999999999999</v>
      </c>
      <c r="E217" s="84">
        <v>0.32924846875000002</v>
      </c>
      <c r="F217" s="84">
        <v>-9.8872569811284663</v>
      </c>
      <c r="G217" s="84">
        <v>0.7761948125</v>
      </c>
      <c r="H217" s="84">
        <v>-21.372448746129177</v>
      </c>
      <c r="I217" s="101">
        <v>-25.794937522900081</v>
      </c>
      <c r="J217" s="78">
        <v>-12.592236503920725</v>
      </c>
      <c r="K217" s="79">
        <v>0.12547604469770449</v>
      </c>
      <c r="L217" s="79"/>
      <c r="M217" s="79"/>
      <c r="N217" s="79">
        <v>0</v>
      </c>
      <c r="O217" s="180">
        <v>4.1405336078000003E-2</v>
      </c>
      <c r="P217" s="81">
        <v>0.66933941283543485</v>
      </c>
      <c r="Q217" s="79">
        <v>5.3224776713546723E-2</v>
      </c>
      <c r="R217" s="79"/>
      <c r="S217" s="180">
        <v>7.8947197836875E-3</v>
      </c>
      <c r="T217" s="82">
        <v>0.12762236960374232</v>
      </c>
      <c r="U217" s="78">
        <v>5.2446872355816812</v>
      </c>
      <c r="V217" s="102">
        <f t="shared" si="11"/>
        <v>1.1336781018156401</v>
      </c>
      <c r="W217" s="102">
        <f t="shared" si="12"/>
        <v>0.21615742767736373</v>
      </c>
    </row>
    <row r="218" spans="1:24" s="1" customFormat="1" ht="11.25" customHeight="1" x14ac:dyDescent="0.2">
      <c r="A218" s="201">
        <v>45196</v>
      </c>
      <c r="B218" s="83">
        <v>60</v>
      </c>
      <c r="C218" s="83" t="s">
        <v>547</v>
      </c>
      <c r="D218" s="84">
        <v>6.2839999999999998</v>
      </c>
      <c r="E218" s="84">
        <v>0.24934100000000001</v>
      </c>
      <c r="F218" s="84">
        <v>-3.5344287809826458</v>
      </c>
      <c r="G218" s="84">
        <v>0.36518790625000003</v>
      </c>
      <c r="H218" s="84">
        <v>-21.838766228154707</v>
      </c>
      <c r="I218" s="101">
        <v>-26.258736890522673</v>
      </c>
      <c r="J218" s="78">
        <v>-5.9001672778871193</v>
      </c>
      <c r="K218" s="79">
        <v>5.8113925246658184E-2</v>
      </c>
      <c r="L218" s="79"/>
      <c r="M218" s="79"/>
      <c r="N218" s="79">
        <v>0</v>
      </c>
      <c r="O218" s="180">
        <v>1.9480583671000001E-2</v>
      </c>
      <c r="P218" s="81">
        <v>0.31000292283577346</v>
      </c>
      <c r="Q218" s="79">
        <v>3.9678707829408022E-2</v>
      </c>
      <c r="R218" s="79"/>
      <c r="S218" s="180">
        <v>5.9786984979999999E-3</v>
      </c>
      <c r="T218" s="82">
        <v>9.5141605633354553E-2</v>
      </c>
      <c r="U218" s="78">
        <v>3.2583318388637035</v>
      </c>
      <c r="V218" s="102">
        <f t="shared" si="11"/>
        <v>0.53337838091197998</v>
      </c>
      <c r="W218" s="102">
        <f t="shared" si="12"/>
        <v>0.16369676487523999</v>
      </c>
      <c r="X218" s="1" t="s">
        <v>413</v>
      </c>
    </row>
    <row r="219" spans="1:24" s="1" customFormat="1" ht="11.25" customHeight="1" x14ac:dyDescent="0.2">
      <c r="A219" s="201">
        <v>45196</v>
      </c>
      <c r="B219" s="83">
        <v>61</v>
      </c>
      <c r="C219" s="83" t="s">
        <v>548</v>
      </c>
      <c r="D219" s="84">
        <v>6.133</v>
      </c>
      <c r="E219" s="84">
        <v>0.26781175000000002</v>
      </c>
      <c r="F219" s="84">
        <v>-15.549276865639005</v>
      </c>
      <c r="G219" s="84">
        <v>0.58987862499999999</v>
      </c>
      <c r="H219" s="84">
        <v>-21.644852663810873</v>
      </c>
      <c r="I219" s="101">
        <v>-26.065870459426296</v>
      </c>
      <c r="J219" s="78">
        <v>-18.556608250264127</v>
      </c>
      <c r="K219" s="79">
        <v>9.618109000489157E-2</v>
      </c>
      <c r="L219" s="79"/>
      <c r="M219" s="79"/>
      <c r="N219" s="79">
        <v>0</v>
      </c>
      <c r="O219" s="180">
        <v>3.1466485372000003E-2</v>
      </c>
      <c r="P219" s="81">
        <v>0.51306840652209362</v>
      </c>
      <c r="Q219" s="79">
        <v>4.3667332463720857E-2</v>
      </c>
      <c r="R219" s="79"/>
      <c r="S219" s="180">
        <v>6.4215901415000005E-3</v>
      </c>
      <c r="T219" s="82">
        <v>0.10470552978150988</v>
      </c>
      <c r="U219" s="78">
        <v>4.9001080228782454</v>
      </c>
      <c r="V219" s="102">
        <f t="shared" si="11"/>
        <v>0.86155236948536007</v>
      </c>
      <c r="W219" s="102">
        <f t="shared" si="12"/>
        <v>0.17582313807427</v>
      </c>
      <c r="X219" s="1" t="s">
        <v>413</v>
      </c>
    </row>
    <row r="220" spans="1:24" s="1" customFormat="1" ht="11.25" customHeight="1" x14ac:dyDescent="0.2">
      <c r="A220" s="201">
        <v>45196</v>
      </c>
      <c r="B220" s="83">
        <v>62</v>
      </c>
      <c r="C220" s="83" t="s">
        <v>549</v>
      </c>
      <c r="D220" s="84">
        <v>6.1470000000000002</v>
      </c>
      <c r="E220" s="84">
        <v>0.247846234375</v>
      </c>
      <c r="F220" s="84">
        <v>-6.1157628196886193</v>
      </c>
      <c r="G220" s="84">
        <v>0.42725043750000002</v>
      </c>
      <c r="H220" s="84">
        <v>-21.09842868564812</v>
      </c>
      <c r="I220" s="101">
        <v>-25.52239717074562</v>
      </c>
      <c r="J220" s="78">
        <v>-8.6193445542599907</v>
      </c>
      <c r="K220" s="79">
        <v>6.9505520985846753E-2</v>
      </c>
      <c r="L220" s="79"/>
      <c r="M220" s="79"/>
      <c r="N220" s="79">
        <v>0</v>
      </c>
      <c r="O220" s="180">
        <v>2.2791247338000004E-2</v>
      </c>
      <c r="P220" s="81">
        <v>0.37077025114690099</v>
      </c>
      <c r="Q220" s="79">
        <v>4.0319868940133397E-2</v>
      </c>
      <c r="R220" s="79"/>
      <c r="S220" s="180">
        <v>5.9428570078437501E-3</v>
      </c>
      <c r="T220" s="82">
        <v>9.6678981744651865E-2</v>
      </c>
      <c r="U220" s="78">
        <v>3.8350657449638628</v>
      </c>
      <c r="V220" s="102">
        <f t="shared" si="11"/>
        <v>0.62402435211444007</v>
      </c>
      <c r="W220" s="102">
        <f t="shared" si="12"/>
        <v>0.16271542487476187</v>
      </c>
      <c r="X220" s="1" t="s">
        <v>413</v>
      </c>
    </row>
    <row r="221" spans="1:24" s="1" customFormat="1" ht="11.25" customHeight="1" x14ac:dyDescent="0.2">
      <c r="A221" s="201">
        <v>45196</v>
      </c>
      <c r="B221" s="83">
        <v>65</v>
      </c>
      <c r="C221" s="83" t="s">
        <v>550</v>
      </c>
      <c r="D221" s="84">
        <v>6.1189999999999998</v>
      </c>
      <c r="E221" s="84">
        <v>0.22390837499999999</v>
      </c>
      <c r="F221" s="84">
        <v>-4.5881793974933416</v>
      </c>
      <c r="G221" s="84">
        <v>0.21966979687499999</v>
      </c>
      <c r="H221" s="84">
        <v>-23.365407536852658</v>
      </c>
      <c r="I221" s="101">
        <v>-27.777134336153654</v>
      </c>
      <c r="J221" s="78">
        <v>-7.0101881773194847</v>
      </c>
      <c r="K221" s="79">
        <v>3.5899623610884134E-2</v>
      </c>
      <c r="L221" s="79"/>
      <c r="M221" s="79"/>
      <c r="N221" s="79">
        <v>0</v>
      </c>
      <c r="O221" s="180">
        <v>1.17180656445E-2</v>
      </c>
      <c r="P221" s="81">
        <v>0.19150295218990032</v>
      </c>
      <c r="Q221" s="79">
        <v>3.6592314920738681E-2</v>
      </c>
      <c r="R221" s="79"/>
      <c r="S221" s="180">
        <v>5.3688750157499998E-3</v>
      </c>
      <c r="T221" s="82">
        <v>8.774105271694721E-2</v>
      </c>
      <c r="U221" s="78">
        <v>2.1825923699330252</v>
      </c>
      <c r="V221" s="102">
        <f t="shared" si="11"/>
        <v>0.32084063734641</v>
      </c>
      <c r="W221" s="102">
        <f t="shared" si="12"/>
        <v>0.14699979793123499</v>
      </c>
      <c r="X221" s="1" t="s">
        <v>413</v>
      </c>
    </row>
    <row r="222" spans="1:24" s="1" customFormat="1" ht="11.25" customHeight="1" x14ac:dyDescent="0.2">
      <c r="A222" s="201">
        <v>45196</v>
      </c>
      <c r="B222" s="83">
        <v>66</v>
      </c>
      <c r="C222" s="83" t="s">
        <v>551</v>
      </c>
      <c r="D222" s="84">
        <v>6.0190000000000001</v>
      </c>
      <c r="E222" s="84">
        <v>0.229078296875</v>
      </c>
      <c r="F222" s="84">
        <v>-2.1840108859115803</v>
      </c>
      <c r="G222" s="84">
        <v>0.2194849375</v>
      </c>
      <c r="H222" s="84">
        <v>-23.041199829675207</v>
      </c>
      <c r="I222" s="101">
        <v>-27.454677350594963</v>
      </c>
      <c r="J222" s="78">
        <v>-4.4776370672192591</v>
      </c>
      <c r="K222" s="79">
        <v>3.6465349310516697E-2</v>
      </c>
      <c r="L222" s="79"/>
      <c r="M222" s="79"/>
      <c r="N222" s="79">
        <v>0</v>
      </c>
      <c r="O222" s="180">
        <v>1.1708204506E-2</v>
      </c>
      <c r="P222" s="81">
        <v>0.19452075936202026</v>
      </c>
      <c r="Q222" s="79">
        <v>3.8059195360525003E-2</v>
      </c>
      <c r="R222" s="79"/>
      <c r="S222" s="180">
        <v>5.4928394024687495E-3</v>
      </c>
      <c r="T222" s="82">
        <v>9.125833863546684E-2</v>
      </c>
      <c r="U222" s="78">
        <v>2.131539564171085</v>
      </c>
      <c r="V222" s="102">
        <f t="shared" si="11"/>
        <v>0.32057063937427999</v>
      </c>
      <c r="W222" s="102">
        <f t="shared" si="12"/>
        <v>0.15039394283959437</v>
      </c>
      <c r="X222" s="1" t="s">
        <v>413</v>
      </c>
    </row>
    <row r="223" spans="1:24" s="1" customFormat="1" ht="11.25" customHeight="1" x14ac:dyDescent="0.2">
      <c r="A223" s="201">
        <v>45196</v>
      </c>
      <c r="B223" s="83">
        <v>67</v>
      </c>
      <c r="C223" s="83" t="s">
        <v>552</v>
      </c>
      <c r="D223" s="84">
        <v>6.13</v>
      </c>
      <c r="E223" s="84">
        <v>0.21722675</v>
      </c>
      <c r="F223" s="84">
        <v>-4.7155998187389248</v>
      </c>
      <c r="G223" s="84">
        <v>0.13931134375000001</v>
      </c>
      <c r="H223" s="84">
        <v>-24.186847161212455</v>
      </c>
      <c r="I223" s="101">
        <v>-28.594138186541908</v>
      </c>
      <c r="J223" s="78">
        <v>-7.1444128490595826</v>
      </c>
      <c r="K223" s="79">
        <v>2.2726157218597064E-2</v>
      </c>
      <c r="L223" s="79"/>
      <c r="M223" s="79"/>
      <c r="N223" s="79">
        <v>0</v>
      </c>
      <c r="O223" s="180">
        <v>7.4314243210000007E-3</v>
      </c>
      <c r="P223" s="81">
        <v>0.12123041306688419</v>
      </c>
      <c r="Q223" s="79">
        <v>3.5436663947797716E-2</v>
      </c>
      <c r="R223" s="79"/>
      <c r="S223" s="180">
        <v>5.2086630114999994E-3</v>
      </c>
      <c r="T223" s="82">
        <v>8.4970032814029359E-2</v>
      </c>
      <c r="U223" s="78">
        <v>1.4267431593467375</v>
      </c>
      <c r="V223" s="102">
        <f t="shared" si="11"/>
        <v>0.20347239790898</v>
      </c>
      <c r="W223" s="102">
        <f t="shared" si="12"/>
        <v>0.14261319325486999</v>
      </c>
      <c r="X223" s="1" t="s">
        <v>413</v>
      </c>
    </row>
    <row r="224" spans="1:24" s="1" customFormat="1" ht="11.25" customHeight="1" x14ac:dyDescent="0.2">
      <c r="A224" s="201">
        <v>45196</v>
      </c>
      <c r="B224" s="83">
        <v>68</v>
      </c>
      <c r="C224" s="83" t="s">
        <v>553</v>
      </c>
      <c r="D224" s="84">
        <v>5.9610000000000003</v>
      </c>
      <c r="E224" s="84">
        <v>0.21085582812500001</v>
      </c>
      <c r="F224" s="84">
        <v>-3.9874019296608498</v>
      </c>
      <c r="G224" s="84">
        <v>0.162066203125</v>
      </c>
      <c r="H224" s="84">
        <v>-24.162273576167205</v>
      </c>
      <c r="I224" s="101">
        <v>-28.569697298855903</v>
      </c>
      <c r="J224" s="78">
        <v>-6.3773291927047389</v>
      </c>
      <c r="K224" s="79">
        <v>2.7187754256836099E-2</v>
      </c>
      <c r="L224" s="79"/>
      <c r="M224" s="79"/>
      <c r="N224" s="79">
        <v>0</v>
      </c>
      <c r="O224" s="180">
        <v>8.6452595395000009E-3</v>
      </c>
      <c r="P224" s="81">
        <v>0.14503035630766653</v>
      </c>
      <c r="Q224" s="79">
        <v>3.5372559658614328E-2</v>
      </c>
      <c r="R224" s="79"/>
      <c r="S224" s="180">
        <v>5.0559010467812497E-3</v>
      </c>
      <c r="T224" s="82">
        <v>8.4816323549425421E-2</v>
      </c>
      <c r="U224" s="78">
        <v>1.709934482401283</v>
      </c>
      <c r="V224" s="102">
        <f t="shared" si="11"/>
        <v>0.23670720619151001</v>
      </c>
      <c r="W224" s="102">
        <f t="shared" si="12"/>
        <v>0.13843057066087061</v>
      </c>
      <c r="X224" s="1" t="s">
        <v>413</v>
      </c>
    </row>
    <row r="225" spans="1:31" s="1" customFormat="1" ht="11.25" customHeight="1" x14ac:dyDescent="0.2">
      <c r="A225" s="201">
        <v>45196</v>
      </c>
      <c r="B225" s="83">
        <v>69</v>
      </c>
      <c r="C225" s="83" t="s">
        <v>554</v>
      </c>
      <c r="D225" s="84">
        <v>6.1870000000000003</v>
      </c>
      <c r="E225" s="84">
        <v>0.21530487500000001</v>
      </c>
      <c r="F225" s="84">
        <v>-5.3804888096455894</v>
      </c>
      <c r="G225" s="84">
        <v>0.32398234375000001</v>
      </c>
      <c r="H225" s="84">
        <v>-21.963282435561279</v>
      </c>
      <c r="I225" s="101">
        <v>-26.38258071040925</v>
      </c>
      <c r="J225" s="78">
        <v>-7.8448069120806636</v>
      </c>
      <c r="K225" s="79">
        <v>5.2365014344593501E-2</v>
      </c>
      <c r="L225" s="79"/>
      <c r="M225" s="79"/>
      <c r="N225" s="79">
        <v>0</v>
      </c>
      <c r="O225" s="180">
        <v>1.7282514145E-2</v>
      </c>
      <c r="P225" s="81">
        <v>0.2793359325197996</v>
      </c>
      <c r="Q225" s="79">
        <v>3.4799559560368516E-2</v>
      </c>
      <c r="R225" s="79"/>
      <c r="S225" s="180">
        <v>5.1625802927500004E-3</v>
      </c>
      <c r="T225" s="82">
        <v>8.3442383913851628E-2</v>
      </c>
      <c r="U225" s="78">
        <v>3.3476504315623847</v>
      </c>
      <c r="V225" s="102">
        <f t="shared" si="11"/>
        <v>0.47319523729009999</v>
      </c>
      <c r="W225" s="102">
        <f t="shared" si="12"/>
        <v>0.14135144841549502</v>
      </c>
      <c r="X225" s="1" t="s">
        <v>413</v>
      </c>
    </row>
    <row r="226" spans="1:31" s="1" customFormat="1" ht="11.25" customHeight="1" x14ac:dyDescent="0.2">
      <c r="A226" s="201">
        <v>45196</v>
      </c>
      <c r="B226" s="83">
        <v>70</v>
      </c>
      <c r="C226" s="83" t="s">
        <v>555</v>
      </c>
      <c r="D226" s="84">
        <v>6.3220000000000001</v>
      </c>
      <c r="E226" s="84">
        <v>0.186644296875</v>
      </c>
      <c r="F226" s="84">
        <v>-5.3544145975092938</v>
      </c>
      <c r="G226" s="84">
        <v>0.17824567187500001</v>
      </c>
      <c r="H226" s="84">
        <v>-22.021651686108928</v>
      </c>
      <c r="I226" s="101">
        <v>-26.440634767003942</v>
      </c>
      <c r="J226" s="78">
        <v>-7.8173403370162902</v>
      </c>
      <c r="K226" s="79">
        <v>2.8194506781872828E-2</v>
      </c>
      <c r="L226" s="79"/>
      <c r="M226" s="79"/>
      <c r="N226" s="79">
        <v>0</v>
      </c>
      <c r="O226" s="180">
        <v>9.508337120500001E-3</v>
      </c>
      <c r="P226" s="81">
        <v>0.15040077697722243</v>
      </c>
      <c r="Q226" s="79">
        <v>2.9522982738848465E-2</v>
      </c>
      <c r="R226" s="79"/>
      <c r="S226" s="180">
        <v>4.4753569504687504E-3</v>
      </c>
      <c r="T226" s="82">
        <v>7.0790208011210845E-2</v>
      </c>
      <c r="U226" s="78">
        <v>2.1245986020185708</v>
      </c>
      <c r="V226" s="102">
        <f t="shared" si="11"/>
        <v>0.26033827035929002</v>
      </c>
      <c r="W226" s="102">
        <f t="shared" si="12"/>
        <v>0.12253527330383437</v>
      </c>
      <c r="X226" s="1" t="s">
        <v>413</v>
      </c>
    </row>
    <row r="227" spans="1:31" s="1" customFormat="1" ht="11.25" customHeight="1" x14ac:dyDescent="0.2">
      <c r="A227" s="201">
        <v>45196</v>
      </c>
      <c r="B227" s="83">
        <v>71</v>
      </c>
      <c r="C227" s="83" t="s">
        <v>556</v>
      </c>
      <c r="D227" s="84">
        <v>5.9740000000000002</v>
      </c>
      <c r="E227" s="84">
        <v>0.17357312499999999</v>
      </c>
      <c r="F227" s="84">
        <v>-3.7615552567753507</v>
      </c>
      <c r="G227" s="84">
        <v>0.21587765624999999</v>
      </c>
      <c r="H227" s="84">
        <v>-23.008923290844844</v>
      </c>
      <c r="I227" s="101">
        <v>-27.422575105074284</v>
      </c>
      <c r="J227" s="78">
        <v>-6.1394223074871537</v>
      </c>
      <c r="K227" s="79">
        <v>3.6136199573150313E-2</v>
      </c>
      <c r="L227" s="79"/>
      <c r="M227" s="79"/>
      <c r="N227" s="79">
        <v>0</v>
      </c>
      <c r="O227" s="180">
        <v>1.1515777695E-2</v>
      </c>
      <c r="P227" s="81">
        <v>0.19276494300301306</v>
      </c>
      <c r="Q227" s="79">
        <v>2.9054758118513557E-2</v>
      </c>
      <c r="R227" s="79"/>
      <c r="S227" s="180">
        <v>4.16193639125E-3</v>
      </c>
      <c r="T227" s="82">
        <v>6.9667499016571807E-2</v>
      </c>
      <c r="U227" s="78">
        <v>2.7669278461849198</v>
      </c>
      <c r="V227" s="102">
        <f t="shared" si="11"/>
        <v>0.31530199328909997</v>
      </c>
      <c r="W227" s="102">
        <f t="shared" si="12"/>
        <v>0.11395381839242499</v>
      </c>
      <c r="X227" s="1" t="s">
        <v>413</v>
      </c>
    </row>
    <row r="228" spans="1:31" s="1" customFormat="1" ht="11.25" customHeight="1" x14ac:dyDescent="0.2">
      <c r="B228" s="110"/>
      <c r="C228" s="110"/>
      <c r="D228" s="85"/>
      <c r="E228" s="85"/>
      <c r="F228" s="85"/>
      <c r="K228" s="5"/>
      <c r="L228" s="5"/>
      <c r="M228" s="5"/>
    </row>
    <row r="229" spans="1:31" s="90" customFormat="1" ht="11.25" customHeight="1" x14ac:dyDescent="0.25">
      <c r="B229" s="90" t="s">
        <v>712</v>
      </c>
      <c r="I229" s="100">
        <v>0.22634699105063447</v>
      </c>
      <c r="J229" s="100">
        <v>0.61629001627059543</v>
      </c>
      <c r="K229" s="87"/>
      <c r="N229" s="87"/>
      <c r="O229" s="88"/>
      <c r="P229" s="100">
        <v>0.34259496357837016</v>
      </c>
      <c r="Q229" s="87"/>
      <c r="R229" s="87"/>
      <c r="S229" s="88"/>
      <c r="T229" s="100">
        <v>0.10686288374588346</v>
      </c>
      <c r="U229" s="100">
        <v>0.65525359761997437</v>
      </c>
      <c r="V229" s="208"/>
      <c r="W229" s="208"/>
      <c r="Y229" s="209"/>
      <c r="Z229" s="209"/>
      <c r="AA229" s="209"/>
      <c r="AB229" s="209"/>
      <c r="AC229" s="209"/>
      <c r="AD229" s="209"/>
      <c r="AE229" s="209"/>
    </row>
    <row r="230" spans="1:31" s="207" customFormat="1" x14ac:dyDescent="0.25"/>
    <row r="231" spans="1:31" s="1" customFormat="1" ht="11.25" customHeight="1" x14ac:dyDescent="0.2">
      <c r="B231" s="75"/>
      <c r="C231" s="75" t="s">
        <v>40</v>
      </c>
      <c r="D231" s="75" t="s">
        <v>54</v>
      </c>
      <c r="E231" s="75" t="s">
        <v>80</v>
      </c>
      <c r="F231" s="75" t="s">
        <v>41</v>
      </c>
      <c r="G231" s="75" t="s">
        <v>81</v>
      </c>
      <c r="H231" s="99" t="s">
        <v>42</v>
      </c>
      <c r="I231" s="76" t="s">
        <v>715</v>
      </c>
      <c r="J231" s="77" t="s">
        <v>714</v>
      </c>
      <c r="K231" s="77" t="s">
        <v>45</v>
      </c>
      <c r="L231" s="77" t="s">
        <v>46</v>
      </c>
      <c r="M231" s="77" t="s">
        <v>47</v>
      </c>
      <c r="N231" s="178" t="s">
        <v>38</v>
      </c>
      <c r="O231" s="77" t="s">
        <v>38</v>
      </c>
      <c r="P231" s="77" t="s">
        <v>48</v>
      </c>
      <c r="Q231" s="77" t="s">
        <v>49</v>
      </c>
      <c r="R231" s="77" t="s">
        <v>39</v>
      </c>
      <c r="S231" s="77" t="s">
        <v>39</v>
      </c>
      <c r="T231" s="77" t="s">
        <v>50</v>
      </c>
      <c r="U231" s="77" t="s">
        <v>51</v>
      </c>
      <c r="V231" s="202" t="s">
        <v>585</v>
      </c>
      <c r="W231" s="202" t="s">
        <v>586</v>
      </c>
    </row>
    <row r="232" spans="1:31" s="1" customFormat="1" ht="11.25" customHeight="1" x14ac:dyDescent="0.2">
      <c r="A232" s="201">
        <v>45197</v>
      </c>
      <c r="B232" s="83">
        <v>40</v>
      </c>
      <c r="C232" s="83" t="s">
        <v>557</v>
      </c>
      <c r="D232" s="84">
        <v>6.2450000000000001</v>
      </c>
      <c r="E232" s="84">
        <v>0.17935781249999999</v>
      </c>
      <c r="F232" s="84">
        <v>-1.9065079471864976</v>
      </c>
      <c r="G232" s="84">
        <v>0.46267515625</v>
      </c>
      <c r="H232" s="84">
        <v>-22.276163744115255</v>
      </c>
      <c r="I232" s="101">
        <v>-27.192029161674938</v>
      </c>
      <c r="J232" s="78">
        <v>-3.3632141322194085</v>
      </c>
      <c r="K232" s="79">
        <v>7.4087294835868692E-2</v>
      </c>
      <c r="L232" s="79"/>
      <c r="M232" s="79"/>
      <c r="N232" s="79">
        <v>0</v>
      </c>
      <c r="O232" s="180">
        <v>2.5601667095937499E-2</v>
      </c>
      <c r="P232" s="81">
        <v>0.40995463724479581</v>
      </c>
      <c r="Q232" s="79">
        <v>2.8720226180944754E-2</v>
      </c>
      <c r="R232" s="79"/>
      <c r="S232" s="180">
        <v>2.0476439328125E-3</v>
      </c>
      <c r="T232" s="82">
        <v>3.2788533752001602E-2</v>
      </c>
      <c r="U232" s="78">
        <v>12.502987792791126</v>
      </c>
      <c r="V232" s="102">
        <f t="shared" ref="V232:V259" si="13">O232*27.38</f>
        <v>0.70097364508676874</v>
      </c>
      <c r="W232" s="102">
        <f t="shared" ref="W232:W259" si="14">IF(S232&lt;0,0,S232*27.38)</f>
        <v>5.6064490880406249E-2</v>
      </c>
      <c r="X232" s="1" t="s">
        <v>413</v>
      </c>
    </row>
    <row r="233" spans="1:31" s="1" customFormat="1" ht="11.25" customHeight="1" x14ac:dyDescent="0.2">
      <c r="A233" s="201">
        <v>45197</v>
      </c>
      <c r="B233" s="83">
        <v>41</v>
      </c>
      <c r="C233" s="83" t="s">
        <v>558</v>
      </c>
      <c r="D233" s="84">
        <v>6.2009999999999996</v>
      </c>
      <c r="E233" s="84">
        <v>0.19603465624999999</v>
      </c>
      <c r="F233" s="84">
        <v>0.22601067308802847</v>
      </c>
      <c r="G233" s="84">
        <v>0.63943843749999996</v>
      </c>
      <c r="H233" s="84">
        <v>-21.386963572353238</v>
      </c>
      <c r="I233" s="101">
        <v>-26.292958868006359</v>
      </c>
      <c r="J233" s="78">
        <v>-1.2306955119448824</v>
      </c>
      <c r="K233" s="79">
        <v>0.10311859982260925</v>
      </c>
      <c r="L233" s="79"/>
      <c r="M233" s="79"/>
      <c r="N233" s="79">
        <v>0</v>
      </c>
      <c r="O233" s="180">
        <v>3.5382686500624996E-2</v>
      </c>
      <c r="P233" s="81">
        <v>0.57059646025842603</v>
      </c>
      <c r="Q233" s="79">
        <v>3.16133940090308E-2</v>
      </c>
      <c r="R233" s="79"/>
      <c r="S233" s="180">
        <v>2.4604458461562496E-3</v>
      </c>
      <c r="T233" s="82">
        <v>3.9678210710470077E-2</v>
      </c>
      <c r="U233" s="78">
        <v>14.380599579503215</v>
      </c>
      <c r="V233" s="102">
        <f t="shared" si="13"/>
        <v>0.96877795638711239</v>
      </c>
      <c r="W233" s="102">
        <f t="shared" si="14"/>
        <v>6.7367007267758114E-2</v>
      </c>
      <c r="X233" s="1" t="s">
        <v>413</v>
      </c>
    </row>
    <row r="234" spans="1:31" s="1" customFormat="1" ht="11.25" customHeight="1" x14ac:dyDescent="0.2">
      <c r="A234" s="201">
        <v>45197</v>
      </c>
      <c r="B234" s="83">
        <v>42</v>
      </c>
      <c r="C234" s="83" t="s">
        <v>559</v>
      </c>
      <c r="D234" s="84">
        <v>5.9</v>
      </c>
      <c r="E234" s="84">
        <v>0.15857231250000001</v>
      </c>
      <c r="F234" s="84">
        <v>-4.2879534630380078</v>
      </c>
      <c r="G234" s="84">
        <v>0.33823443749999998</v>
      </c>
      <c r="H234" s="84">
        <v>-22.692403266284771</v>
      </c>
      <c r="I234" s="101">
        <v>-27.612888942540536</v>
      </c>
      <c r="J234" s="78">
        <v>-5.7446596480709182</v>
      </c>
      <c r="K234" s="79">
        <v>5.7327870762711855E-2</v>
      </c>
      <c r="L234" s="79"/>
      <c r="M234" s="79"/>
      <c r="N234" s="79">
        <v>0</v>
      </c>
      <c r="O234" s="180">
        <v>1.8715864364624999E-2</v>
      </c>
      <c r="P234" s="81">
        <v>0.31721804007838977</v>
      </c>
      <c r="Q234" s="79">
        <v>2.6876663135593219E-2</v>
      </c>
      <c r="R234" s="79"/>
      <c r="S234" s="180">
        <v>1.5331404513125001E-3</v>
      </c>
      <c r="T234" s="82">
        <v>2.5985431378177964E-2</v>
      </c>
      <c r="U234" s="78">
        <v>12.207534116396584</v>
      </c>
      <c r="V234" s="102">
        <f t="shared" si="13"/>
        <v>0.51244036630343248</v>
      </c>
      <c r="W234" s="102">
        <f t="shared" si="14"/>
        <v>4.1977385556936253E-2</v>
      </c>
      <c r="X234" s="1" t="s">
        <v>413</v>
      </c>
    </row>
    <row r="235" spans="1:31" s="1" customFormat="1" ht="11.25" customHeight="1" x14ac:dyDescent="0.2">
      <c r="A235" s="201">
        <v>45197</v>
      </c>
      <c r="B235" s="83">
        <v>43</v>
      </c>
      <c r="C235" s="83" t="s">
        <v>560</v>
      </c>
      <c r="D235" s="84">
        <v>6.2690000000000001</v>
      </c>
      <c r="E235" s="84">
        <v>0.27460581249999999</v>
      </c>
      <c r="F235" s="84">
        <v>3.0381987403016453E-2</v>
      </c>
      <c r="G235" s="84">
        <v>0.91671875000000003</v>
      </c>
      <c r="H235" s="84">
        <v>-23.319501828066773</v>
      </c>
      <c r="I235" s="101">
        <v>-28.246948298358319</v>
      </c>
      <c r="J235" s="78">
        <v>-1.4263241976298944</v>
      </c>
      <c r="K235" s="79">
        <v>0.14623045940341362</v>
      </c>
      <c r="L235" s="79"/>
      <c r="M235" s="79"/>
      <c r="N235" s="79">
        <v>0</v>
      </c>
      <c r="O235" s="180">
        <v>5.0725715312500003E-2</v>
      </c>
      <c r="P235" s="81">
        <v>0.80915162406284891</v>
      </c>
      <c r="Q235" s="79">
        <v>4.3803766549688941E-2</v>
      </c>
      <c r="R235" s="79"/>
      <c r="S235" s="180">
        <v>4.4053176768124999E-3</v>
      </c>
      <c r="T235" s="82">
        <v>7.0271457597902376E-2</v>
      </c>
      <c r="U235" s="78">
        <v>11.514655476379394</v>
      </c>
      <c r="V235" s="102">
        <f t="shared" si="13"/>
        <v>1.3888700852562501</v>
      </c>
      <c r="W235" s="102">
        <f t="shared" si="14"/>
        <v>0.12061759799112624</v>
      </c>
      <c r="X235" s="1" t="s">
        <v>413</v>
      </c>
    </row>
    <row r="236" spans="1:31" s="1" customFormat="1" ht="11.25" customHeight="1" x14ac:dyDescent="0.2">
      <c r="A236" s="201">
        <v>45197</v>
      </c>
      <c r="B236" s="83">
        <v>44</v>
      </c>
      <c r="C236" s="83" t="s">
        <v>561</v>
      </c>
      <c r="D236" s="84">
        <v>6.1769999999999996</v>
      </c>
      <c r="E236" s="84">
        <v>0.23363365624999999</v>
      </c>
      <c r="F236" s="84">
        <v>-1.7119416873234705</v>
      </c>
      <c r="G236" s="84">
        <v>0.82787175000000002</v>
      </c>
      <c r="H236" s="84">
        <v>-21.489159210470572</v>
      </c>
      <c r="I236" s="101">
        <v>-26.396288877706795</v>
      </c>
      <c r="J236" s="78">
        <v>-3.1686478723563813</v>
      </c>
      <c r="K236" s="79">
        <v>0.13402489072365226</v>
      </c>
      <c r="L236" s="79"/>
      <c r="M236" s="79"/>
      <c r="N236" s="79">
        <v>0</v>
      </c>
      <c r="O236" s="180">
        <v>4.5809455414500003E-2</v>
      </c>
      <c r="P236" s="81">
        <v>0.74161333033025745</v>
      </c>
      <c r="Q236" s="79">
        <v>3.7823159502994981E-2</v>
      </c>
      <c r="R236" s="79"/>
      <c r="S236" s="180">
        <v>3.3911338931562496E-3</v>
      </c>
      <c r="T236" s="82">
        <v>5.4899366895843446E-2</v>
      </c>
      <c r="U236" s="78">
        <v>13.508595312897983</v>
      </c>
      <c r="V236" s="102">
        <f t="shared" si="13"/>
        <v>1.25426288924901</v>
      </c>
      <c r="W236" s="102">
        <f t="shared" si="14"/>
        <v>9.2849245994618107E-2</v>
      </c>
      <c r="X236" s="1" t="s">
        <v>413</v>
      </c>
    </row>
    <row r="237" spans="1:31" s="1" customFormat="1" ht="11.25" customHeight="1" x14ac:dyDescent="0.2">
      <c r="A237" s="201">
        <v>45197</v>
      </c>
      <c r="B237" s="83">
        <v>45</v>
      </c>
      <c r="C237" s="83" t="s">
        <v>562</v>
      </c>
      <c r="D237" s="84">
        <v>6.2649999999999997</v>
      </c>
      <c r="E237" s="84">
        <v>0.23828279687500001</v>
      </c>
      <c r="F237" s="84">
        <v>-3.4411786168642156</v>
      </c>
      <c r="G237" s="84">
        <v>0.82066587499999999</v>
      </c>
      <c r="H237" s="84">
        <v>-21.853402148797208</v>
      </c>
      <c r="I237" s="101">
        <v>-26.764574912648861</v>
      </c>
      <c r="J237" s="78">
        <v>-4.8978848018971259</v>
      </c>
      <c r="K237" s="79">
        <v>0.1309921588188348</v>
      </c>
      <c r="L237" s="79"/>
      <c r="M237" s="79"/>
      <c r="N237" s="79">
        <v>0</v>
      </c>
      <c r="O237" s="180">
        <v>4.541072552725E-2</v>
      </c>
      <c r="P237" s="81">
        <v>0.72483201160814048</v>
      </c>
      <c r="Q237" s="79">
        <v>3.8033965981644061E-2</v>
      </c>
      <c r="R237" s="79"/>
      <c r="S237" s="180">
        <v>3.5062140710468755E-3</v>
      </c>
      <c r="T237" s="82">
        <v>5.5965108875448928E-2</v>
      </c>
      <c r="U237" s="78">
        <v>12.951498284784247</v>
      </c>
      <c r="V237" s="102">
        <f t="shared" si="13"/>
        <v>1.243345664936105</v>
      </c>
      <c r="W237" s="102">
        <f t="shared" si="14"/>
        <v>9.6000141265263447E-2</v>
      </c>
      <c r="X237" s="1" t="s">
        <v>413</v>
      </c>
    </row>
    <row r="238" spans="1:31" s="1" customFormat="1" ht="11.25" customHeight="1" x14ac:dyDescent="0.2">
      <c r="A238" s="201">
        <v>45197</v>
      </c>
      <c r="B238" s="83">
        <v>46</v>
      </c>
      <c r="C238" s="83" t="s">
        <v>563</v>
      </c>
      <c r="D238" s="84">
        <v>6.2430000000000003</v>
      </c>
      <c r="E238" s="84">
        <v>0.31344640624999998</v>
      </c>
      <c r="F238" s="84">
        <v>-0.80601160578852582</v>
      </c>
      <c r="G238" s="84">
        <v>0.88152843749999998</v>
      </c>
      <c r="H238" s="84">
        <v>-23.172708565101722</v>
      </c>
      <c r="I238" s="101">
        <v>-28.09852563017435</v>
      </c>
      <c r="J238" s="78">
        <v>-2.2627177908214366</v>
      </c>
      <c r="K238" s="79">
        <v>0.14120269702066313</v>
      </c>
      <c r="L238" s="79"/>
      <c r="M238" s="79"/>
      <c r="N238" s="79">
        <v>0</v>
      </c>
      <c r="O238" s="180">
        <v>4.8778494560625003E-2</v>
      </c>
      <c r="P238" s="81">
        <v>0.78133100369413744</v>
      </c>
      <c r="Q238" s="79">
        <v>5.0207657576485661E-2</v>
      </c>
      <c r="R238" s="79"/>
      <c r="S238" s="180">
        <v>5.3667388939062496E-3</v>
      </c>
      <c r="T238" s="82">
        <v>8.596410209684846E-2</v>
      </c>
      <c r="U238" s="78">
        <v>9.0890381523892163</v>
      </c>
      <c r="V238" s="102">
        <f t="shared" si="13"/>
        <v>1.3355551810699124</v>
      </c>
      <c r="W238" s="102">
        <f t="shared" si="14"/>
        <v>0.14694131091515311</v>
      </c>
      <c r="X238" s="1" t="s">
        <v>413</v>
      </c>
    </row>
    <row r="239" spans="1:31" s="1" customFormat="1" ht="11.25" customHeight="1" x14ac:dyDescent="0.2">
      <c r="A239" s="201">
        <v>45197</v>
      </c>
      <c r="B239" s="83">
        <v>47</v>
      </c>
      <c r="C239" s="83" t="s">
        <v>564</v>
      </c>
      <c r="D239" s="84">
        <v>6.1310000000000002</v>
      </c>
      <c r="E239" s="84">
        <v>0.42520337499999999</v>
      </c>
      <c r="F239" s="84">
        <v>-1.9770591074684818</v>
      </c>
      <c r="G239" s="84">
        <v>0.75230756249999997</v>
      </c>
      <c r="H239" s="84">
        <v>-21.894359601798289</v>
      </c>
      <c r="I239" s="101">
        <v>-26.805986993378255</v>
      </c>
      <c r="J239" s="78">
        <v>-3.4337652925013926</v>
      </c>
      <c r="K239" s="79">
        <v>0.12270552316098515</v>
      </c>
      <c r="L239" s="79"/>
      <c r="M239" s="79"/>
      <c r="N239" s="79">
        <v>0</v>
      </c>
      <c r="O239" s="180">
        <v>4.1628186663374998E-2</v>
      </c>
      <c r="P239" s="81">
        <v>0.67897874185899521</v>
      </c>
      <c r="Q239" s="79">
        <v>6.9353021529929865E-2</v>
      </c>
      <c r="R239" s="79"/>
      <c r="S239" s="180">
        <v>8.133059141375E-3</v>
      </c>
      <c r="T239" s="82">
        <v>0.13265469158987114</v>
      </c>
      <c r="U239" s="78">
        <v>5.1183922236101198</v>
      </c>
      <c r="V239" s="102">
        <f t="shared" si="13"/>
        <v>1.1397797508432075</v>
      </c>
      <c r="W239" s="102">
        <f t="shared" si="14"/>
        <v>0.2226831592908475</v>
      </c>
      <c r="X239" s="1" t="s">
        <v>413</v>
      </c>
    </row>
    <row r="240" spans="1:31" s="1" customFormat="1" ht="11.25" customHeight="1" x14ac:dyDescent="0.2">
      <c r="A240" s="201">
        <v>45197</v>
      </c>
      <c r="B240" s="83">
        <v>48</v>
      </c>
      <c r="C240" s="83" t="s">
        <v>565</v>
      </c>
      <c r="D240" s="84">
        <v>6.3869999999999996</v>
      </c>
      <c r="E240" s="84">
        <v>0.58335881249999999</v>
      </c>
      <c r="F240" s="84">
        <v>-2.5667194635025092</v>
      </c>
      <c r="G240" s="84">
        <v>0.67822968750000001</v>
      </c>
      <c r="H240" s="84">
        <v>-21.912749026328704</v>
      </c>
      <c r="I240" s="101">
        <v>-26.824580540520955</v>
      </c>
      <c r="J240" s="78">
        <v>-4.0234256485354205</v>
      </c>
      <c r="K240" s="79">
        <v>0.1061890852512917</v>
      </c>
      <c r="L240" s="79"/>
      <c r="M240" s="79"/>
      <c r="N240" s="79">
        <v>0</v>
      </c>
      <c r="O240" s="180">
        <v>3.7529161528125E-2</v>
      </c>
      <c r="P240" s="81">
        <v>0.58758668432949746</v>
      </c>
      <c r="Q240" s="79">
        <v>9.1335339361202444E-2</v>
      </c>
      <c r="R240" s="79"/>
      <c r="S240" s="180">
        <v>1.2047880685812501E-2</v>
      </c>
      <c r="T240" s="82">
        <v>0.18863129302978709</v>
      </c>
      <c r="U240" s="78">
        <v>3.1150010949493447</v>
      </c>
      <c r="V240" s="102">
        <f t="shared" si="13"/>
        <v>1.0275484426400625</v>
      </c>
      <c r="W240" s="102">
        <f t="shared" si="14"/>
        <v>0.32987097317754627</v>
      </c>
    </row>
    <row r="241" spans="1:24" s="1" customFormat="1" ht="11.25" customHeight="1" x14ac:dyDescent="0.2">
      <c r="A241" s="201">
        <v>45197</v>
      </c>
      <c r="B241" s="83">
        <v>49</v>
      </c>
      <c r="C241" s="83" t="s">
        <v>566</v>
      </c>
      <c r="D241" s="84">
        <v>6.2939999999999996</v>
      </c>
      <c r="E241" s="84">
        <v>0.72711243749999999</v>
      </c>
      <c r="F241" s="84">
        <v>-1.6427481330864024</v>
      </c>
      <c r="G241" s="84">
        <v>0.73352249999999997</v>
      </c>
      <c r="H241" s="84">
        <v>-21.593509205348113</v>
      </c>
      <c r="I241" s="101">
        <v>-26.501797157527477</v>
      </c>
      <c r="J241" s="78">
        <v>-3.0994543181193133</v>
      </c>
      <c r="K241" s="79">
        <v>0.11654313632030505</v>
      </c>
      <c r="L241" s="79"/>
      <c r="M241" s="79"/>
      <c r="N241" s="79">
        <v>0</v>
      </c>
      <c r="O241" s="180">
        <v>4.0588734014999996E-2</v>
      </c>
      <c r="P241" s="81">
        <v>0.64487979051477595</v>
      </c>
      <c r="Q241" s="79">
        <v>0.11552469613918018</v>
      </c>
      <c r="R241" s="79"/>
      <c r="S241" s="180">
        <v>1.5606214165437499E-2</v>
      </c>
      <c r="T241" s="82">
        <v>0.24795383167202892</v>
      </c>
      <c r="U241" s="78">
        <v>2.6008059087700048</v>
      </c>
      <c r="V241" s="102">
        <f t="shared" si="13"/>
        <v>1.1113195373306999</v>
      </c>
      <c r="W241" s="102">
        <f t="shared" si="14"/>
        <v>0.42729814384967868</v>
      </c>
    </row>
    <row r="242" spans="1:24" s="1" customFormat="1" ht="11.25" customHeight="1" x14ac:dyDescent="0.2">
      <c r="A242" s="201">
        <v>45197</v>
      </c>
      <c r="B242" s="83">
        <v>52</v>
      </c>
      <c r="C242" s="83" t="s">
        <v>567</v>
      </c>
      <c r="D242" s="84">
        <v>6.19</v>
      </c>
      <c r="E242" s="84">
        <v>0.7420814375</v>
      </c>
      <c r="F242" s="84">
        <v>-1.9091305983131024</v>
      </c>
      <c r="G242" s="84">
        <v>0.79164306250000005</v>
      </c>
      <c r="H242" s="84">
        <v>-21.978719251192317</v>
      </c>
      <c r="I242" s="101">
        <v>-26.891283034880551</v>
      </c>
      <c r="J242" s="78">
        <v>-3.3658367833460132</v>
      </c>
      <c r="K242" s="79">
        <v>0.12789064014539581</v>
      </c>
      <c r="L242" s="79"/>
      <c r="M242" s="79"/>
      <c r="N242" s="79">
        <v>0</v>
      </c>
      <c r="O242" s="180">
        <v>4.3804777220375006E-2</v>
      </c>
      <c r="P242" s="81">
        <v>0.70767006818053313</v>
      </c>
      <c r="Q242" s="79">
        <v>0.11988391558966073</v>
      </c>
      <c r="R242" s="79"/>
      <c r="S242" s="180">
        <v>1.5976741822437503E-2</v>
      </c>
      <c r="T242" s="82">
        <v>0.25810568372273834</v>
      </c>
      <c r="U242" s="78">
        <v>2.741784132660654</v>
      </c>
      <c r="V242" s="102">
        <f t="shared" si="13"/>
        <v>1.1993748002938676</v>
      </c>
      <c r="W242" s="102">
        <f t="shared" si="14"/>
        <v>0.43744319109833879</v>
      </c>
    </row>
    <row r="243" spans="1:24" s="1" customFormat="1" ht="11.25" customHeight="1" x14ac:dyDescent="0.2">
      <c r="A243" s="201">
        <v>45197</v>
      </c>
      <c r="B243" s="83">
        <v>53</v>
      </c>
      <c r="C243" s="83" t="s">
        <v>568</v>
      </c>
      <c r="D243" s="84">
        <v>6.1989999999999998</v>
      </c>
      <c r="E243" s="84">
        <v>0.52957393750000004</v>
      </c>
      <c r="F243" s="84">
        <v>-3.1470421539357973</v>
      </c>
      <c r="G243" s="84">
        <v>0.88106593749999995</v>
      </c>
      <c r="H243" s="84">
        <v>-22.148299592471712</v>
      </c>
      <c r="I243" s="101">
        <v>-27.062745717948154</v>
      </c>
      <c r="J243" s="78">
        <v>-4.6037483389687086</v>
      </c>
      <c r="K243" s="79">
        <v>0.14213033352153573</v>
      </c>
      <c r="L243" s="79"/>
      <c r="M243" s="79"/>
      <c r="N243" s="79">
        <v>0</v>
      </c>
      <c r="O243" s="180">
        <v>4.8752902585625001E-2</v>
      </c>
      <c r="P243" s="81">
        <v>0.7864639875080659</v>
      </c>
      <c r="Q243" s="79">
        <v>8.5428930069366041E-2</v>
      </c>
      <c r="R243" s="79"/>
      <c r="S243" s="180">
        <v>1.0716543674937502E-2</v>
      </c>
      <c r="T243" s="82">
        <v>0.17287536175088727</v>
      </c>
      <c r="U243" s="78">
        <v>4.5493121723230718</v>
      </c>
      <c r="V243" s="102">
        <f t="shared" si="13"/>
        <v>1.3348544727944125</v>
      </c>
      <c r="W243" s="102">
        <f t="shared" si="14"/>
        <v>0.29341896581978877</v>
      </c>
    </row>
    <row r="244" spans="1:24" s="1" customFormat="1" ht="11.25" customHeight="1" x14ac:dyDescent="0.2">
      <c r="A244" s="201">
        <v>45197</v>
      </c>
      <c r="B244" s="83">
        <v>54</v>
      </c>
      <c r="C244" s="83" t="s">
        <v>569</v>
      </c>
      <c r="D244" s="84">
        <v>6.0730000000000004</v>
      </c>
      <c r="E244" s="84">
        <v>0.27250706250000001</v>
      </c>
      <c r="F244" s="84">
        <v>-6.5075639027516452</v>
      </c>
      <c r="G244" s="84">
        <v>0.46988131249999998</v>
      </c>
      <c r="H244" s="84">
        <v>-21.915480555182377</v>
      </c>
      <c r="I244" s="101">
        <v>-26.827342389344906</v>
      </c>
      <c r="J244" s="78">
        <v>-7.9642700877845556</v>
      </c>
      <c r="K244" s="79">
        <v>7.7372190433064369E-2</v>
      </c>
      <c r="L244" s="79"/>
      <c r="M244" s="79"/>
      <c r="N244" s="79">
        <v>0</v>
      </c>
      <c r="O244" s="180">
        <v>2.6000412545874999E-2</v>
      </c>
      <c r="P244" s="81">
        <v>0.42813127854231836</v>
      </c>
      <c r="Q244" s="79">
        <v>4.4871902272353034E-2</v>
      </c>
      <c r="R244" s="79"/>
      <c r="S244" s="180">
        <v>4.3533673180625003E-3</v>
      </c>
      <c r="T244" s="82">
        <v>7.1683967035443774E-2</v>
      </c>
      <c r="U244" s="78">
        <v>5.9724830565059426</v>
      </c>
      <c r="V244" s="102">
        <f t="shared" si="13"/>
        <v>0.71189129550605745</v>
      </c>
      <c r="W244" s="102">
        <f t="shared" si="14"/>
        <v>0.11919519716855126</v>
      </c>
      <c r="X244" s="1" t="s">
        <v>413</v>
      </c>
    </row>
    <row r="245" spans="1:24" s="1" customFormat="1" ht="11.25" customHeight="1" x14ac:dyDescent="0.2">
      <c r="A245" s="201">
        <v>45197</v>
      </c>
      <c r="B245" s="83">
        <v>55</v>
      </c>
      <c r="C245" s="83" t="s">
        <v>570</v>
      </c>
      <c r="D245" s="84">
        <v>6.3019999999999996</v>
      </c>
      <c r="E245" s="84">
        <v>0.241981453125</v>
      </c>
      <c r="F245" s="84">
        <v>-5.2916349892053738</v>
      </c>
      <c r="G245" s="84">
        <v>0.66296412500000002</v>
      </c>
      <c r="H245" s="84">
        <v>-21.600427942422296</v>
      </c>
      <c r="I245" s="101">
        <v>-26.508792692583185</v>
      </c>
      <c r="J245" s="78">
        <v>-6.7483411742382842</v>
      </c>
      <c r="K245" s="79">
        <v>0.10519900428435418</v>
      </c>
      <c r="L245" s="79"/>
      <c r="M245" s="79"/>
      <c r="N245" s="79">
        <v>0</v>
      </c>
      <c r="O245" s="180">
        <v>3.6684456892750003E-2</v>
      </c>
      <c r="P245" s="81">
        <v>0.58210817030704542</v>
      </c>
      <c r="Q245" s="79">
        <v>3.8397564761186928E-2</v>
      </c>
      <c r="R245" s="79"/>
      <c r="S245" s="180">
        <v>3.5977669092031248E-3</v>
      </c>
      <c r="T245" s="82">
        <v>5.7089287673803953E-2</v>
      </c>
      <c r="U245" s="78">
        <v>10.196451804287483</v>
      </c>
      <c r="V245" s="102">
        <f t="shared" si="13"/>
        <v>1.0044204297234951</v>
      </c>
      <c r="W245" s="102">
        <f t="shared" si="14"/>
        <v>9.8506857973981551E-2</v>
      </c>
      <c r="X245" s="1" t="s">
        <v>413</v>
      </c>
    </row>
    <row r="246" spans="1:24" s="1" customFormat="1" ht="11.25" customHeight="1" x14ac:dyDescent="0.2">
      <c r="A246" s="201">
        <v>45197</v>
      </c>
      <c r="B246" s="83">
        <v>56</v>
      </c>
      <c r="C246" s="83" t="s">
        <v>571</v>
      </c>
      <c r="D246" s="84">
        <v>5.9329999999999998</v>
      </c>
      <c r="E246" s="84">
        <v>0.30855809374999998</v>
      </c>
      <c r="F246" s="84">
        <v>-2.4761721275744497</v>
      </c>
      <c r="G246" s="84">
        <v>0.87203206249999998</v>
      </c>
      <c r="H246" s="84">
        <v>-21.598403571690788</v>
      </c>
      <c r="I246" s="101">
        <v>-26.506745851336561</v>
      </c>
      <c r="J246" s="78">
        <v>-3.9328783126073605</v>
      </c>
      <c r="K246" s="79">
        <v>0.14697995322770943</v>
      </c>
      <c r="L246" s="79"/>
      <c r="M246" s="79"/>
      <c r="N246" s="79">
        <v>0</v>
      </c>
      <c r="O246" s="180">
        <v>4.8253022146375002E-2</v>
      </c>
      <c r="P246" s="81">
        <v>0.81329887319020744</v>
      </c>
      <c r="Q246" s="79">
        <v>5.2007094850834316E-2</v>
      </c>
      <c r="R246" s="79"/>
      <c r="S246" s="180">
        <v>5.2457384945937494E-3</v>
      </c>
      <c r="T246" s="82">
        <v>8.8416290149903071E-2</v>
      </c>
      <c r="U246" s="78">
        <v>9.1985184156824626</v>
      </c>
      <c r="V246" s="102">
        <f t="shared" si="13"/>
        <v>1.3211677463677476</v>
      </c>
      <c r="W246" s="102">
        <f t="shared" si="14"/>
        <v>0.14362831998197687</v>
      </c>
      <c r="X246" s="1" t="s">
        <v>413</v>
      </c>
    </row>
    <row r="247" spans="1:24" s="1" customFormat="1" ht="11.25" customHeight="1" x14ac:dyDescent="0.2">
      <c r="A247" s="201">
        <v>45197</v>
      </c>
      <c r="B247" s="83">
        <v>57</v>
      </c>
      <c r="C247" s="83" t="s">
        <v>572</v>
      </c>
      <c r="D247" s="84">
        <v>5.0170000000000003</v>
      </c>
      <c r="E247" s="84">
        <v>0.24088237500000001</v>
      </c>
      <c r="F247" s="84">
        <v>-3.8528464792741968</v>
      </c>
      <c r="G247" s="84">
        <v>0.30660225000000002</v>
      </c>
      <c r="H247" s="84">
        <v>-22.875005901292425</v>
      </c>
      <c r="I247" s="101">
        <v>-27.797518466796774</v>
      </c>
      <c r="J247" s="78">
        <v>-5.3095526643071072</v>
      </c>
      <c r="K247" s="79">
        <v>6.1112666932429741E-2</v>
      </c>
      <c r="L247" s="79"/>
      <c r="M247" s="79"/>
      <c r="N247" s="79">
        <v>0</v>
      </c>
      <c r="O247" s="180">
        <v>1.69655289015E-2</v>
      </c>
      <c r="P247" s="81">
        <v>0.33816083120390666</v>
      </c>
      <c r="Q247" s="79">
        <v>4.8013230017939008E-2</v>
      </c>
      <c r="R247" s="79"/>
      <c r="S247" s="180">
        <v>3.5705614283750003E-3</v>
      </c>
      <c r="T247" s="82">
        <v>7.116925310693642E-2</v>
      </c>
      <c r="U247" s="78">
        <v>4.7515017573080067</v>
      </c>
      <c r="V247" s="102">
        <f t="shared" si="13"/>
        <v>0.46451618132306999</v>
      </c>
      <c r="W247" s="102">
        <f t="shared" si="14"/>
        <v>9.7761971908907508E-2</v>
      </c>
      <c r="X247" s="1" t="s">
        <v>413</v>
      </c>
    </row>
    <row r="248" spans="1:24" s="1" customFormat="1" ht="11.25" customHeight="1" x14ac:dyDescent="0.2">
      <c r="A248" s="201">
        <v>45197</v>
      </c>
      <c r="B248" s="83">
        <v>58</v>
      </c>
      <c r="C248" s="83" t="s">
        <v>573</v>
      </c>
      <c r="D248" s="84">
        <v>5.9740000000000002</v>
      </c>
      <c r="E248" s="84">
        <v>0.29408237500000001</v>
      </c>
      <c r="F248" s="84">
        <v>-1.149325923275879</v>
      </c>
      <c r="G248" s="84">
        <v>0.659759125</v>
      </c>
      <c r="H248" s="84">
        <v>-21.634827846057224</v>
      </c>
      <c r="I248" s="101">
        <v>-26.543574435148464</v>
      </c>
      <c r="J248" s="78">
        <v>-2.6060321083087898</v>
      </c>
      <c r="K248" s="79">
        <v>0.11043842065617676</v>
      </c>
      <c r="L248" s="79"/>
      <c r="M248" s="79"/>
      <c r="N248" s="79">
        <v>0</v>
      </c>
      <c r="O248" s="180">
        <v>3.6507111422750003E-2</v>
      </c>
      <c r="P248" s="81">
        <v>0.61109995685888863</v>
      </c>
      <c r="Q248" s="79">
        <v>4.9227046367592904E-2</v>
      </c>
      <c r="R248" s="79"/>
      <c r="S248" s="180">
        <v>4.8874210283750006E-3</v>
      </c>
      <c r="T248" s="82">
        <v>8.1811533785989293E-2</v>
      </c>
      <c r="U248" s="78">
        <v>7.4696064060779532</v>
      </c>
      <c r="V248" s="102">
        <f t="shared" si="13"/>
        <v>0.99956471075489506</v>
      </c>
      <c r="W248" s="102">
        <f t="shared" si="14"/>
        <v>0.13381758775690752</v>
      </c>
      <c r="X248" s="1" t="s">
        <v>413</v>
      </c>
    </row>
    <row r="249" spans="1:24" s="1" customFormat="1" ht="11.25" customHeight="1" x14ac:dyDescent="0.2">
      <c r="A249" s="201">
        <v>45197</v>
      </c>
      <c r="B249" s="83">
        <v>59</v>
      </c>
      <c r="C249" s="83" t="s">
        <v>574</v>
      </c>
      <c r="D249" s="84">
        <v>6.47</v>
      </c>
      <c r="E249" s="84">
        <v>0.43100925000000001</v>
      </c>
      <c r="F249" s="84">
        <v>2.9293964534420347</v>
      </c>
      <c r="G249" s="84">
        <v>1.5888752500000001</v>
      </c>
      <c r="H249" s="84">
        <v>-21.880135595992016</v>
      </c>
      <c r="I249" s="101">
        <v>-26.791605101107528</v>
      </c>
      <c r="J249" s="78">
        <v>1.4726902684091239</v>
      </c>
      <c r="K249" s="79">
        <v>0.24557577279752707</v>
      </c>
      <c r="L249" s="79"/>
      <c r="M249" s="79"/>
      <c r="N249" s="79">
        <v>0</v>
      </c>
      <c r="O249" s="180">
        <v>8.7918823083500006E-2</v>
      </c>
      <c r="P249" s="81">
        <v>1.3588689811978363</v>
      </c>
      <c r="Q249" s="79">
        <v>6.6616576506955183E-2</v>
      </c>
      <c r="R249" s="79"/>
      <c r="S249" s="180">
        <v>8.2767719652500002E-3</v>
      </c>
      <c r="T249" s="82">
        <v>0.12792537813369398</v>
      </c>
      <c r="U249" s="78">
        <v>10.622356572420612</v>
      </c>
      <c r="V249" s="102">
        <f t="shared" si="13"/>
        <v>2.4072173760262299</v>
      </c>
      <c r="W249" s="102">
        <f t="shared" si="14"/>
        <v>0.22661801640854501</v>
      </c>
      <c r="X249" s="1" t="s">
        <v>413</v>
      </c>
    </row>
    <row r="250" spans="1:24" s="1" customFormat="1" ht="11.25" customHeight="1" x14ac:dyDescent="0.2">
      <c r="A250" s="201">
        <v>45197</v>
      </c>
      <c r="B250" s="83">
        <v>60</v>
      </c>
      <c r="C250" s="83" t="s">
        <v>575</v>
      </c>
      <c r="D250" s="84">
        <v>6.181</v>
      </c>
      <c r="E250" s="84">
        <v>0.26603512499999998</v>
      </c>
      <c r="F250" s="84">
        <v>-1.2579259781061447</v>
      </c>
      <c r="G250" s="84">
        <v>0.53504450000000003</v>
      </c>
      <c r="H250" s="84">
        <v>-21.618381073110502</v>
      </c>
      <c r="I250" s="101">
        <v>-26.52694510302203</v>
      </c>
      <c r="J250" s="78">
        <v>-2.7146321631390555</v>
      </c>
      <c r="K250" s="79">
        <v>8.6562773014075403E-2</v>
      </c>
      <c r="L250" s="79"/>
      <c r="M250" s="79"/>
      <c r="N250" s="79">
        <v>0</v>
      </c>
      <c r="O250" s="180">
        <v>2.9606152363000002E-2</v>
      </c>
      <c r="P250" s="81">
        <v>0.47898644819608482</v>
      </c>
      <c r="Q250" s="79">
        <v>4.3040790325190093E-2</v>
      </c>
      <c r="R250" s="79"/>
      <c r="S250" s="180">
        <v>4.1931674491249996E-3</v>
      </c>
      <c r="T250" s="82">
        <v>6.7839628686701181E-2</v>
      </c>
      <c r="U250" s="78">
        <v>7.060570015914343</v>
      </c>
      <c r="V250" s="102">
        <f t="shared" si="13"/>
        <v>0.81061645169894003</v>
      </c>
      <c r="W250" s="102">
        <f t="shared" si="14"/>
        <v>0.11480892475704249</v>
      </c>
      <c r="X250" s="1" t="s">
        <v>413</v>
      </c>
    </row>
    <row r="251" spans="1:24" s="1" customFormat="1" ht="11.25" customHeight="1" x14ac:dyDescent="0.2">
      <c r="A251" s="201">
        <v>45197</v>
      </c>
      <c r="B251" s="83">
        <v>61</v>
      </c>
      <c r="C251" s="83" t="s">
        <v>576</v>
      </c>
      <c r="D251" s="84">
        <v>5.976</v>
      </c>
      <c r="E251" s="84">
        <v>0.27009878124999998</v>
      </c>
      <c r="F251" s="84">
        <v>-3.3727516536301572</v>
      </c>
      <c r="G251" s="84">
        <v>0.5638061875</v>
      </c>
      <c r="H251" s="84">
        <v>-21.614036573907171</v>
      </c>
      <c r="I251" s="101">
        <v>-26.522552379877546</v>
      </c>
      <c r="J251" s="78">
        <v>-4.8294578386630675</v>
      </c>
      <c r="K251" s="79">
        <v>9.4345078229585003E-2</v>
      </c>
      <c r="L251" s="79"/>
      <c r="M251" s="79"/>
      <c r="N251" s="79">
        <v>0</v>
      </c>
      <c r="O251" s="180">
        <v>3.1197651579125001E-2</v>
      </c>
      <c r="P251" s="81">
        <v>0.5220490558755857</v>
      </c>
      <c r="Q251" s="79">
        <v>4.5197252551874158E-2</v>
      </c>
      <c r="R251" s="79"/>
      <c r="S251" s="180">
        <v>4.2937551322812491E-3</v>
      </c>
      <c r="T251" s="82">
        <v>7.1849985479940578E-2</v>
      </c>
      <c r="U251" s="78">
        <v>7.2658199217219579</v>
      </c>
      <c r="V251" s="102">
        <f t="shared" si="13"/>
        <v>0.85419170023644253</v>
      </c>
      <c r="W251" s="102">
        <f t="shared" si="14"/>
        <v>0.1175630155218606</v>
      </c>
      <c r="X251" s="1" t="s">
        <v>413</v>
      </c>
    </row>
    <row r="252" spans="1:24" s="1" customFormat="1" ht="11.25" customHeight="1" x14ac:dyDescent="0.2">
      <c r="A252" s="201">
        <v>45197</v>
      </c>
      <c r="B252" s="83">
        <v>62</v>
      </c>
      <c r="C252" s="83" t="s">
        <v>577</v>
      </c>
      <c r="D252" s="84">
        <v>6.0730000000000004</v>
      </c>
      <c r="E252" s="84">
        <v>0.30105646874999997</v>
      </c>
      <c r="F252" s="84">
        <v>-0.71044358364547033</v>
      </c>
      <c r="G252" s="84">
        <v>0.78759625</v>
      </c>
      <c r="H252" s="84">
        <v>-21.459434916120646</v>
      </c>
      <c r="I252" s="101">
        <v>-26.366234643689587</v>
      </c>
      <c r="J252" s="78">
        <v>-2.1671497686783812</v>
      </c>
      <c r="K252" s="79">
        <v>0.12968816894450846</v>
      </c>
      <c r="L252" s="79"/>
      <c r="M252" s="79"/>
      <c r="N252" s="79">
        <v>0</v>
      </c>
      <c r="O252" s="180">
        <v>4.3580850897500002E-2</v>
      </c>
      <c r="P252" s="81">
        <v>0.71761651403754323</v>
      </c>
      <c r="Q252" s="79">
        <v>4.9572940680059269E-2</v>
      </c>
      <c r="R252" s="79"/>
      <c r="S252" s="180">
        <v>5.0600507709687497E-3</v>
      </c>
      <c r="T252" s="82">
        <v>8.3320447406039014E-2</v>
      </c>
      <c r="U252" s="78">
        <v>8.6127299645960704</v>
      </c>
      <c r="V252" s="102">
        <f t="shared" si="13"/>
        <v>1.1932436975735501</v>
      </c>
      <c r="W252" s="102">
        <f t="shared" si="14"/>
        <v>0.13854419010912436</v>
      </c>
      <c r="X252" s="1" t="s">
        <v>413</v>
      </c>
    </row>
    <row r="253" spans="1:24" s="1" customFormat="1" ht="11.25" customHeight="1" x14ac:dyDescent="0.2">
      <c r="A253" s="201">
        <v>45197</v>
      </c>
      <c r="B253" s="83">
        <v>65</v>
      </c>
      <c r="C253" s="83" t="s">
        <v>578</v>
      </c>
      <c r="D253" s="84">
        <v>6.3010000000000002</v>
      </c>
      <c r="E253" s="84">
        <v>0.301332875</v>
      </c>
      <c r="F253" s="84">
        <v>-0.92869260054406766</v>
      </c>
      <c r="G253" s="84">
        <v>0.74885475000000001</v>
      </c>
      <c r="H253" s="84">
        <v>-21.443296592954496</v>
      </c>
      <c r="I253" s="101">
        <v>-26.349917185136292</v>
      </c>
      <c r="J253" s="78">
        <v>-2.3853987855769785</v>
      </c>
      <c r="K253" s="79">
        <v>0.11884696873512141</v>
      </c>
      <c r="L253" s="79"/>
      <c r="M253" s="79"/>
      <c r="N253" s="79">
        <v>0</v>
      </c>
      <c r="O253" s="180">
        <v>4.1437128736500004E-2</v>
      </c>
      <c r="P253" s="81">
        <v>0.65762781679892079</v>
      </c>
      <c r="Q253" s="79">
        <v>4.7823024123155054E-2</v>
      </c>
      <c r="R253" s="79"/>
      <c r="S253" s="180">
        <v>5.0668926548750005E-3</v>
      </c>
      <c r="T253" s="82">
        <v>8.0414103394302494E-2</v>
      </c>
      <c r="U253" s="78">
        <v>8.1780159081586561</v>
      </c>
      <c r="V253" s="102">
        <f t="shared" si="13"/>
        <v>1.13454858480537</v>
      </c>
      <c r="W253" s="102">
        <f t="shared" si="14"/>
        <v>0.13873152089047752</v>
      </c>
      <c r="X253" s="1" t="s">
        <v>413</v>
      </c>
    </row>
    <row r="254" spans="1:24" s="1" customFormat="1" ht="11.25" customHeight="1" x14ac:dyDescent="0.2">
      <c r="A254" s="201">
        <v>45197</v>
      </c>
      <c r="B254" s="83">
        <v>66</v>
      </c>
      <c r="C254" s="83" t="s">
        <v>579</v>
      </c>
      <c r="D254" s="84">
        <v>6.1349999999999998</v>
      </c>
      <c r="E254" s="84">
        <v>0.29317093750000001</v>
      </c>
      <c r="F254" s="84">
        <v>-2.6450081913712564</v>
      </c>
      <c r="G254" s="84">
        <v>0.63354537499999997</v>
      </c>
      <c r="H254" s="84">
        <v>-25.20304108878749</v>
      </c>
      <c r="I254" s="101">
        <v>-30.151394844873032</v>
      </c>
      <c r="J254" s="78">
        <v>-4.1017143764041677</v>
      </c>
      <c r="K254" s="79">
        <v>0.10326737978810106</v>
      </c>
      <c r="L254" s="79"/>
      <c r="M254" s="79"/>
      <c r="N254" s="79">
        <v>0</v>
      </c>
      <c r="O254" s="180">
        <v>3.5056599780249997E-2</v>
      </c>
      <c r="P254" s="81">
        <v>0.57141971931947833</v>
      </c>
      <c r="Q254" s="79">
        <v>4.7786623879380603E-2</v>
      </c>
      <c r="R254" s="79"/>
      <c r="S254" s="180">
        <v>4.8648602159375E-3</v>
      </c>
      <c r="T254" s="82">
        <v>7.9296825035656077E-2</v>
      </c>
      <c r="U254" s="78">
        <v>7.2060857299461567</v>
      </c>
      <c r="V254" s="102">
        <f t="shared" si="13"/>
        <v>0.95984970198324493</v>
      </c>
      <c r="W254" s="102">
        <f t="shared" si="14"/>
        <v>0.13319987271236874</v>
      </c>
      <c r="X254" s="1" t="s">
        <v>413</v>
      </c>
    </row>
    <row r="255" spans="1:24" s="1" customFormat="1" ht="11.25" customHeight="1" x14ac:dyDescent="0.2">
      <c r="A255" s="201">
        <v>45197</v>
      </c>
      <c r="B255" s="83">
        <v>67</v>
      </c>
      <c r="C255" s="83" t="s">
        <v>580</v>
      </c>
      <c r="D255" s="84">
        <v>6.0919999999999996</v>
      </c>
      <c r="E255" s="84">
        <v>0.24660226562500001</v>
      </c>
      <c r="F255" s="84">
        <v>-3.8677981562418307</v>
      </c>
      <c r="G255" s="84">
        <v>0.31318784374999997</v>
      </c>
      <c r="H255" s="84">
        <v>-23.617345732413561</v>
      </c>
      <c r="I255" s="101">
        <v>-28.548098270043354</v>
      </c>
      <c r="J255" s="78">
        <v>-5.324504341274741</v>
      </c>
      <c r="K255" s="79">
        <v>5.1409692014116874E-2</v>
      </c>
      <c r="L255" s="79"/>
      <c r="M255" s="79"/>
      <c r="N255" s="79">
        <v>0</v>
      </c>
      <c r="O255" s="180">
        <v>1.73299361460625E-2</v>
      </c>
      <c r="P255" s="81">
        <v>0.28447038979091432</v>
      </c>
      <c r="Q255" s="79">
        <v>4.0479689038903484E-2</v>
      </c>
      <c r="R255" s="79"/>
      <c r="S255" s="180">
        <v>3.7121458810156251E-3</v>
      </c>
      <c r="T255" s="82">
        <v>6.0934764954294569E-2</v>
      </c>
      <c r="U255" s="78">
        <v>4.668441570329966</v>
      </c>
      <c r="V255" s="102">
        <f t="shared" si="13"/>
        <v>0.47449365167919122</v>
      </c>
      <c r="W255" s="102">
        <f t="shared" si="14"/>
        <v>0.10163855422220781</v>
      </c>
      <c r="X255" s="1" t="s">
        <v>413</v>
      </c>
    </row>
    <row r="256" spans="1:24" s="1" customFormat="1" ht="11.25" customHeight="1" x14ac:dyDescent="0.2">
      <c r="A256" s="201">
        <v>45197</v>
      </c>
      <c r="B256" s="83">
        <v>68</v>
      </c>
      <c r="C256" s="83" t="s">
        <v>581</v>
      </c>
      <c r="D256" s="84">
        <v>6.0279999999999996</v>
      </c>
      <c r="E256" s="84">
        <v>0.22752862500000001</v>
      </c>
      <c r="F256" s="84">
        <v>-3.0994691836837562</v>
      </c>
      <c r="G256" s="84">
        <v>0.151274625</v>
      </c>
      <c r="H256" s="84">
        <v>-23.85778693117712</v>
      </c>
      <c r="I256" s="101">
        <v>-28.791208366113189</v>
      </c>
      <c r="J256" s="78">
        <v>-4.5561753687166675</v>
      </c>
      <c r="K256" s="79">
        <v>2.5095325978765761E-2</v>
      </c>
      <c r="L256" s="79"/>
      <c r="M256" s="79"/>
      <c r="N256" s="79">
        <v>0</v>
      </c>
      <c r="O256" s="180">
        <v>8.3706300997500004E-3</v>
      </c>
      <c r="P256" s="81">
        <v>0.13886247677090249</v>
      </c>
      <c r="Q256" s="79">
        <v>3.774529280026543E-2</v>
      </c>
      <c r="R256" s="79"/>
      <c r="S256" s="180">
        <v>3.2400160546250008E-3</v>
      </c>
      <c r="T256" s="82">
        <v>5.3749436871682162E-2</v>
      </c>
      <c r="U256" s="78">
        <v>2.5835150069090682</v>
      </c>
      <c r="V256" s="102">
        <f t="shared" si="13"/>
        <v>0.229187852131155</v>
      </c>
      <c r="W256" s="102">
        <f t="shared" si="14"/>
        <v>8.8711639575632523E-2</v>
      </c>
      <c r="X256" s="1" t="s">
        <v>413</v>
      </c>
    </row>
    <row r="257" spans="1:31" s="1" customFormat="1" ht="11.25" customHeight="1" x14ac:dyDescent="0.2">
      <c r="A257" s="201">
        <v>45197</v>
      </c>
      <c r="B257" s="83">
        <v>69</v>
      </c>
      <c r="C257" s="83" t="s">
        <v>582</v>
      </c>
      <c r="D257" s="84">
        <v>6.109</v>
      </c>
      <c r="E257" s="84">
        <v>0.23023739062500001</v>
      </c>
      <c r="F257" s="84">
        <v>-3.6922824829915823</v>
      </c>
      <c r="G257" s="84">
        <v>0.1748839375</v>
      </c>
      <c r="H257" s="84">
        <v>-21.001490047769227</v>
      </c>
      <c r="I257" s="101">
        <v>-25.903206587299465</v>
      </c>
      <c r="J257" s="78">
        <v>-5.1489886680244936</v>
      </c>
      <c r="K257" s="79">
        <v>2.862726100834834E-2</v>
      </c>
      <c r="L257" s="79"/>
      <c r="M257" s="79"/>
      <c r="N257" s="79">
        <v>0</v>
      </c>
      <c r="O257" s="180">
        <v>9.6770277976250003E-3</v>
      </c>
      <c r="P257" s="81">
        <v>0.15840608606359471</v>
      </c>
      <c r="Q257" s="79">
        <v>3.768822894499918E-2</v>
      </c>
      <c r="R257" s="79"/>
      <c r="S257" s="180">
        <v>3.3070661301406257E-3</v>
      </c>
      <c r="T257" s="82">
        <v>5.4134328533976518E-2</v>
      </c>
      <c r="U257" s="78">
        <v>2.9261670062864771</v>
      </c>
      <c r="V257" s="102">
        <f t="shared" si="13"/>
        <v>0.26495702109897251</v>
      </c>
      <c r="W257" s="102">
        <f t="shared" si="14"/>
        <v>9.0547470643250333E-2</v>
      </c>
      <c r="X257" s="1" t="s">
        <v>413</v>
      </c>
    </row>
    <row r="258" spans="1:31" s="1" customFormat="1" ht="11.25" customHeight="1" x14ac:dyDescent="0.2">
      <c r="A258" s="201">
        <v>45197</v>
      </c>
      <c r="B258" s="83">
        <v>70</v>
      </c>
      <c r="C258" s="83" t="s">
        <v>583</v>
      </c>
      <c r="D258" s="84">
        <v>5.9420000000000002</v>
      </c>
      <c r="E258" s="84">
        <v>0.22603982812500001</v>
      </c>
      <c r="F258" s="84">
        <v>-5.2339824436349325</v>
      </c>
      <c r="G258" s="84">
        <v>0.10546434374999999</v>
      </c>
      <c r="H258" s="84">
        <v>-21.04453778776849</v>
      </c>
      <c r="I258" s="101">
        <v>-25.946732157212722</v>
      </c>
      <c r="J258" s="78">
        <v>-6.6906886286678429</v>
      </c>
      <c r="K258" s="79">
        <v>1.7748963943116796E-2</v>
      </c>
      <c r="L258" s="79"/>
      <c r="M258" s="79"/>
      <c r="N258" s="79">
        <v>0</v>
      </c>
      <c r="O258" s="180">
        <v>5.8357639970625002E-3</v>
      </c>
      <c r="P258" s="81">
        <v>9.8212117082842484E-2</v>
      </c>
      <c r="Q258" s="79">
        <v>3.8041034689498487E-2</v>
      </c>
      <c r="R258" s="79"/>
      <c r="S258" s="180">
        <v>3.203163865578125E-3</v>
      </c>
      <c r="T258" s="82">
        <v>5.3907167041032059E-2</v>
      </c>
      <c r="U258" s="78">
        <v>1.8218749467596247</v>
      </c>
      <c r="V258" s="102">
        <f t="shared" si="13"/>
        <v>0.15978321823957126</v>
      </c>
      <c r="W258" s="102">
        <f t="shared" si="14"/>
        <v>8.770262663952906E-2</v>
      </c>
      <c r="X258" s="1" t="s">
        <v>413</v>
      </c>
    </row>
    <row r="259" spans="1:31" s="1" customFormat="1" ht="11.25" customHeight="1" x14ac:dyDescent="0.2">
      <c r="A259" s="201">
        <v>45197</v>
      </c>
      <c r="B259" s="83">
        <v>71</v>
      </c>
      <c r="C259" s="83" t="s">
        <v>584</v>
      </c>
      <c r="D259" s="84">
        <v>6.0529999999999999</v>
      </c>
      <c r="E259" s="84">
        <v>0.23431553124999999</v>
      </c>
      <c r="F259" s="84">
        <v>-4.9324693258047114</v>
      </c>
      <c r="G259" s="84">
        <v>0.12506753125</v>
      </c>
      <c r="H259" s="84">
        <v>-21.698390286553025</v>
      </c>
      <c r="I259" s="101">
        <v>-26.607842418733767</v>
      </c>
      <c r="J259" s="78">
        <v>-6.3891755108376227</v>
      </c>
      <c r="K259" s="79">
        <v>2.0662073558566002E-2</v>
      </c>
      <c r="L259" s="79"/>
      <c r="M259" s="79"/>
      <c r="N259" s="79">
        <v>0</v>
      </c>
      <c r="O259" s="180">
        <v>6.9204867741875006E-3</v>
      </c>
      <c r="P259" s="81">
        <v>0.11433151782896912</v>
      </c>
      <c r="Q259" s="79">
        <v>3.8710644515116473E-2</v>
      </c>
      <c r="R259" s="79"/>
      <c r="S259" s="180">
        <v>3.4080123450312494E-3</v>
      </c>
      <c r="T259" s="82">
        <v>5.6302863787068384E-2</v>
      </c>
      <c r="U259" s="78">
        <v>2.0306519089572266</v>
      </c>
      <c r="V259" s="102">
        <f t="shared" si="13"/>
        <v>0.18948292787725377</v>
      </c>
      <c r="W259" s="102">
        <f t="shared" si="14"/>
        <v>9.3311378006955603E-2</v>
      </c>
      <c r="X259" s="1" t="s">
        <v>413</v>
      </c>
    </row>
    <row r="260" spans="1:31" s="1" customFormat="1" ht="11.25" customHeight="1" x14ac:dyDescent="0.2">
      <c r="B260" s="110"/>
      <c r="C260" s="110"/>
      <c r="D260" s="85"/>
      <c r="E260" s="85"/>
      <c r="F260" s="85"/>
      <c r="K260" s="5"/>
      <c r="L260" s="5"/>
      <c r="M260" s="5"/>
    </row>
    <row r="261" spans="1:31" s="90" customFormat="1" ht="11.25" customHeight="1" x14ac:dyDescent="0.25">
      <c r="B261" s="90" t="s">
        <v>712</v>
      </c>
      <c r="I261" s="100">
        <v>0.14473976162125071</v>
      </c>
      <c r="J261" s="100">
        <v>0.45808405663376095</v>
      </c>
      <c r="K261" s="87"/>
      <c r="N261" s="87"/>
      <c r="O261" s="88"/>
      <c r="P261" s="100">
        <v>0.40872467549395619</v>
      </c>
      <c r="Q261" s="87"/>
      <c r="R261" s="87"/>
      <c r="S261" s="88"/>
      <c r="T261" s="100">
        <v>4.2835655574883572E-2</v>
      </c>
      <c r="U261" s="100">
        <v>0.2572937046086804</v>
      </c>
      <c r="V261" s="208"/>
      <c r="W261" s="208"/>
      <c r="Y261" s="209"/>
      <c r="Z261" s="209"/>
      <c r="AA261" s="209"/>
      <c r="AB261" s="209"/>
      <c r="AC261" s="209"/>
      <c r="AD261" s="209"/>
      <c r="AE261" s="209"/>
    </row>
    <row r="262" spans="1:31" s="207" customFormat="1" x14ac:dyDescent="0.25"/>
    <row r="263" spans="1:31" s="1" customFormat="1" ht="11.25" customHeight="1" x14ac:dyDescent="0.2">
      <c r="B263" s="75"/>
      <c r="C263" s="75" t="s">
        <v>40</v>
      </c>
      <c r="D263" s="75" t="s">
        <v>54</v>
      </c>
      <c r="E263" s="75" t="s">
        <v>80</v>
      </c>
      <c r="F263" s="75" t="s">
        <v>41</v>
      </c>
      <c r="G263" s="75" t="s">
        <v>81</v>
      </c>
      <c r="H263" s="99" t="s">
        <v>42</v>
      </c>
      <c r="I263" s="76" t="s">
        <v>715</v>
      </c>
      <c r="J263" s="77" t="s">
        <v>714</v>
      </c>
      <c r="K263" s="77" t="s">
        <v>45</v>
      </c>
      <c r="L263" s="77" t="s">
        <v>46</v>
      </c>
      <c r="M263" s="77" t="s">
        <v>47</v>
      </c>
      <c r="N263" s="178" t="s">
        <v>38</v>
      </c>
      <c r="O263" s="77" t="s">
        <v>38</v>
      </c>
      <c r="P263" s="77" t="s">
        <v>48</v>
      </c>
      <c r="Q263" s="77" t="s">
        <v>49</v>
      </c>
      <c r="R263" s="77" t="s">
        <v>39</v>
      </c>
      <c r="S263" s="77" t="s">
        <v>39</v>
      </c>
      <c r="T263" s="77" t="s">
        <v>50</v>
      </c>
      <c r="U263" s="77" t="s">
        <v>51</v>
      </c>
    </row>
    <row r="264" spans="1:31" s="1" customFormat="1" ht="11.25" customHeight="1" x14ac:dyDescent="0.2">
      <c r="A264" s="201">
        <v>45198</v>
      </c>
      <c r="B264" s="83">
        <v>38</v>
      </c>
      <c r="C264" s="83" t="s">
        <v>620</v>
      </c>
      <c r="D264" s="84">
        <v>2.1789999999999998</v>
      </c>
      <c r="E264" s="84">
        <v>0.242269796875</v>
      </c>
      <c r="F264" s="84">
        <v>-2.7513070679423546</v>
      </c>
      <c r="G264" s="84">
        <v>0.75079668749999995</v>
      </c>
      <c r="H264" s="84">
        <v>-20.148666954107824</v>
      </c>
      <c r="I264" s="101">
        <v>-25.265437627098198</v>
      </c>
      <c r="J264" s="78">
        <v>-3.915952751741945</v>
      </c>
      <c r="K264" s="79">
        <v>0.34456020536943555</v>
      </c>
      <c r="L264" s="79"/>
      <c r="M264" s="79"/>
      <c r="N264" s="79">
        <v>0</v>
      </c>
      <c r="O264" s="180">
        <v>4.1187204682874998E-2</v>
      </c>
      <c r="P264" s="81">
        <v>1.8901883746156496</v>
      </c>
      <c r="Q264" s="79">
        <v>0.11118393615190456</v>
      </c>
      <c r="R264" s="79"/>
      <c r="S264" s="180">
        <v>5.45833852359375E-3</v>
      </c>
      <c r="T264" s="82">
        <v>0.25049740815024096</v>
      </c>
      <c r="U264" s="78">
        <v>7.5457402476674336</v>
      </c>
      <c r="V264" s="102"/>
      <c r="W264" s="102"/>
      <c r="X264" s="1" t="s">
        <v>413</v>
      </c>
    </row>
    <row r="265" spans="1:31" s="1" customFormat="1" ht="11.25" customHeight="1" x14ac:dyDescent="0.2">
      <c r="A265" s="201">
        <v>45198</v>
      </c>
      <c r="B265" s="83">
        <v>39</v>
      </c>
      <c r="C265" s="83" t="s">
        <v>621</v>
      </c>
      <c r="D265" s="84">
        <v>2.37</v>
      </c>
      <c r="E265" s="84">
        <v>0.2486719375</v>
      </c>
      <c r="F265" s="84">
        <v>-2.6352293386806558</v>
      </c>
      <c r="G265" s="84">
        <v>0.81000174999999996</v>
      </c>
      <c r="H265" s="84">
        <v>-20.637977941271991</v>
      </c>
      <c r="I265" s="101">
        <v>-25.765513455979978</v>
      </c>
      <c r="J265" s="78">
        <v>-3.7998750224802462</v>
      </c>
      <c r="K265" s="79">
        <v>0.34177289029535862</v>
      </c>
      <c r="L265" s="79"/>
      <c r="M265" s="79"/>
      <c r="N265" s="79">
        <v>0</v>
      </c>
      <c r="O265" s="180">
        <v>4.4435076001499998E-2</v>
      </c>
      <c r="P265" s="81">
        <v>1.8748977215822784</v>
      </c>
      <c r="Q265" s="79">
        <v>0.10492486814345992</v>
      </c>
      <c r="R265" s="79"/>
      <c r="S265" s="180">
        <v>5.6025787518750002E-3</v>
      </c>
      <c r="T265" s="82">
        <v>0.23639572792721517</v>
      </c>
      <c r="U265" s="78">
        <v>7.9311827587660471</v>
      </c>
      <c r="V265" s="102"/>
      <c r="W265" s="102"/>
      <c r="X265" s="1" t="s">
        <v>413</v>
      </c>
    </row>
    <row r="266" spans="1:31" s="1" customFormat="1" ht="11.25" customHeight="1" x14ac:dyDescent="0.2">
      <c r="A266" s="201">
        <v>45198</v>
      </c>
      <c r="B266" s="83">
        <v>40</v>
      </c>
      <c r="C266" s="83" t="s">
        <v>622</v>
      </c>
      <c r="D266" s="84">
        <v>1.8120000000000001</v>
      </c>
      <c r="E266" s="84">
        <v>0.212961796875</v>
      </c>
      <c r="F266" s="84">
        <v>-6.1756082929074196</v>
      </c>
      <c r="G266" s="84">
        <v>0.339910875</v>
      </c>
      <c r="H266" s="84">
        <v>-21.944513525863897</v>
      </c>
      <c r="I266" s="101">
        <v>-27.100792823432904</v>
      </c>
      <c r="J266" s="78">
        <v>-7.3402539767070101</v>
      </c>
      <c r="K266" s="79">
        <v>0.18758878311258279</v>
      </c>
      <c r="L266" s="79"/>
      <c r="M266" s="79"/>
      <c r="N266" s="79">
        <v>0</v>
      </c>
      <c r="O266" s="180">
        <v>1.8646830780749999E-2</v>
      </c>
      <c r="P266" s="81">
        <v>1.0290745463990065</v>
      </c>
      <c r="Q266" s="79">
        <v>0.1175285854718543</v>
      </c>
      <c r="R266" s="79"/>
      <c r="S266" s="180">
        <v>4.7980292835937506E-3</v>
      </c>
      <c r="T266" s="82">
        <v>0.26479190306808781</v>
      </c>
      <c r="U266" s="78">
        <v>3.8863520163393872</v>
      </c>
      <c r="V266" s="102"/>
      <c r="W266" s="102"/>
      <c r="X266" s="1" t="s">
        <v>413</v>
      </c>
    </row>
    <row r="267" spans="1:31" s="1" customFormat="1" ht="11.25" customHeight="1" x14ac:dyDescent="0.2">
      <c r="A267" s="201">
        <v>45198</v>
      </c>
      <c r="B267" s="95">
        <v>41</v>
      </c>
      <c r="C267" s="95" t="s">
        <v>623</v>
      </c>
      <c r="D267" s="96">
        <v>2.0249999999999999</v>
      </c>
      <c r="E267" s="96">
        <v>0.41826865624999998</v>
      </c>
      <c r="F267" s="96">
        <v>0.41754132771498753</v>
      </c>
      <c r="G267" s="96">
        <v>2.1350577500000001</v>
      </c>
      <c r="H267" s="96">
        <v>-21.030640039162801</v>
      </c>
      <c r="I267" s="101">
        <v>-26.166814120024384</v>
      </c>
      <c r="J267" s="78">
        <v>-0.74710435608460291</v>
      </c>
      <c r="K267" s="79">
        <v>1.0543495061728396</v>
      </c>
      <c r="L267" s="79"/>
      <c r="M267" s="79"/>
      <c r="N267" s="79">
        <v>0</v>
      </c>
      <c r="O267" s="180">
        <v>0.1171249980495</v>
      </c>
      <c r="P267" s="81">
        <v>5.7839505209629634</v>
      </c>
      <c r="Q267" s="79">
        <v>0.20655242283950617</v>
      </c>
      <c r="R267" s="79"/>
      <c r="S267" s="180">
        <v>9.4235928253125004E-3</v>
      </c>
      <c r="T267" s="82">
        <v>0.46536260865740742</v>
      </c>
      <c r="U267" s="78">
        <v>12.428911161663647</v>
      </c>
      <c r="V267" s="102"/>
      <c r="W267" s="102"/>
      <c r="X267" s="1" t="s">
        <v>413</v>
      </c>
    </row>
    <row r="268" spans="1:31" s="1" customFormat="1" ht="11.25" customHeight="1" x14ac:dyDescent="0.2">
      <c r="A268" s="201">
        <v>45198</v>
      </c>
      <c r="B268" s="83">
        <v>42</v>
      </c>
      <c r="C268" s="83" t="s">
        <v>624</v>
      </c>
      <c r="D268" s="84">
        <v>1.8480000000000001</v>
      </c>
      <c r="E268" s="84">
        <v>0.40576709374999997</v>
      </c>
      <c r="F268" s="84">
        <v>-2.6527551699996321</v>
      </c>
      <c r="G268" s="84">
        <v>1.2952831250000001</v>
      </c>
      <c r="H268" s="84">
        <v>-20.750875833374486</v>
      </c>
      <c r="I268" s="101">
        <v>-25.880895101708727</v>
      </c>
      <c r="J268" s="78">
        <v>-3.8174008537992226</v>
      </c>
      <c r="K268" s="79">
        <v>0.70091078192640699</v>
      </c>
      <c r="L268" s="79"/>
      <c r="M268" s="79"/>
      <c r="N268" s="79">
        <v>0</v>
      </c>
      <c r="O268" s="180">
        <v>7.1056641671250004E-2</v>
      </c>
      <c r="P268" s="81">
        <v>3.8450563674918827</v>
      </c>
      <c r="Q268" s="79">
        <v>0.21957093817640691</v>
      </c>
      <c r="R268" s="79"/>
      <c r="S268" s="180">
        <v>9.1419326221874996E-3</v>
      </c>
      <c r="T268" s="82">
        <v>0.49469332371144475</v>
      </c>
      <c r="U268" s="78">
        <v>7.7726061444376988</v>
      </c>
      <c r="V268" s="102"/>
      <c r="W268" s="102"/>
      <c r="X268" s="1" t="s">
        <v>413</v>
      </c>
    </row>
    <row r="269" spans="1:31" s="1" customFormat="1" ht="11.25" customHeight="1" x14ac:dyDescent="0.2">
      <c r="A269" s="201">
        <v>45198</v>
      </c>
      <c r="B269" s="95">
        <v>43</v>
      </c>
      <c r="C269" s="95" t="s">
        <v>625</v>
      </c>
      <c r="D269" s="96">
        <v>2.1760000000000002</v>
      </c>
      <c r="E269" s="96">
        <v>0.50335003125</v>
      </c>
      <c r="F269" s="96">
        <v>-1.050596132526338</v>
      </c>
      <c r="G269" s="96">
        <v>1.2165431250000001</v>
      </c>
      <c r="H269" s="96">
        <v>-20.795539561033781</v>
      </c>
      <c r="I269" s="101">
        <v>-25.926541431376524</v>
      </c>
      <c r="J269" s="78">
        <v>-2.2152418163259284</v>
      </c>
      <c r="K269" s="79">
        <v>0.55907312729779413</v>
      </c>
      <c r="L269" s="79"/>
      <c r="M269" s="79"/>
      <c r="N269" s="79">
        <v>0</v>
      </c>
      <c r="O269" s="180">
        <v>6.6737122751250003E-2</v>
      </c>
      <c r="P269" s="81">
        <v>3.066963361730239</v>
      </c>
      <c r="Q269" s="79">
        <v>0.23131894818474263</v>
      </c>
      <c r="R269" s="79"/>
      <c r="S269" s="180">
        <v>1.13404762040625E-2</v>
      </c>
      <c r="T269" s="82">
        <v>0.52116159026022513</v>
      </c>
      <c r="U269" s="78">
        <v>5.8848607016469696</v>
      </c>
      <c r="V269" s="102"/>
      <c r="W269" s="102"/>
    </row>
    <row r="270" spans="1:31" s="1" customFormat="1" ht="11.25" customHeight="1" x14ac:dyDescent="0.2">
      <c r="A270" s="201">
        <v>45198</v>
      </c>
      <c r="B270" s="83">
        <v>44</v>
      </c>
      <c r="C270" s="83" t="s">
        <v>626</v>
      </c>
      <c r="D270" s="84">
        <v>2.2109999999999999</v>
      </c>
      <c r="E270" s="84">
        <v>0.63605962500000002</v>
      </c>
      <c r="F270" s="84">
        <v>-0.99662411920664606</v>
      </c>
      <c r="G270" s="84">
        <v>1.9612126249999999</v>
      </c>
      <c r="H270" s="84">
        <v>-21.051371394930069</v>
      </c>
      <c r="I270" s="101">
        <v>-26.188001565618531</v>
      </c>
      <c r="J270" s="78">
        <v>-2.1612698030062365</v>
      </c>
      <c r="K270" s="79">
        <v>0.88702515829941209</v>
      </c>
      <c r="L270" s="79"/>
      <c r="M270" s="79"/>
      <c r="N270" s="79">
        <v>0</v>
      </c>
      <c r="O270" s="180">
        <v>0.10758820218224999</v>
      </c>
      <c r="P270" s="81">
        <v>4.866042613398915</v>
      </c>
      <c r="Q270" s="79">
        <v>0.28767961329715064</v>
      </c>
      <c r="R270" s="79"/>
      <c r="S270" s="180">
        <v>1.4330423351250001E-2</v>
      </c>
      <c r="T270" s="82">
        <v>0.64814216875848041</v>
      </c>
      <c r="U270" s="78">
        <v>7.5076778644411348</v>
      </c>
      <c r="V270" s="102"/>
      <c r="W270" s="102"/>
    </row>
    <row r="271" spans="1:31" s="1" customFormat="1" ht="11.25" customHeight="1" x14ac:dyDescent="0.2">
      <c r="A271" s="201">
        <v>45198</v>
      </c>
      <c r="B271" s="95">
        <v>45</v>
      </c>
      <c r="C271" s="95" t="s">
        <v>627</v>
      </c>
      <c r="D271" s="96">
        <v>1.992</v>
      </c>
      <c r="E271" s="96">
        <v>0.58299243749999996</v>
      </c>
      <c r="F271" s="96">
        <v>-3.7115573902213317</v>
      </c>
      <c r="G271" s="96">
        <v>0.59116800000000003</v>
      </c>
      <c r="H271" s="96">
        <v>-20.009210604326977</v>
      </c>
      <c r="I271" s="101">
        <v>-25.122913237622171</v>
      </c>
      <c r="J271" s="78">
        <v>-4.8762030740209221</v>
      </c>
      <c r="K271" s="79">
        <v>0.29677108433734939</v>
      </c>
      <c r="L271" s="79"/>
      <c r="M271" s="79"/>
      <c r="N271" s="79">
        <v>0</v>
      </c>
      <c r="O271" s="180">
        <v>3.2430294143999998E-2</v>
      </c>
      <c r="P271" s="81">
        <v>1.6280268144578312</v>
      </c>
      <c r="Q271" s="79">
        <v>0.29266688629518073</v>
      </c>
      <c r="R271" s="79"/>
      <c r="S271" s="180">
        <v>1.3134819616875E-2</v>
      </c>
      <c r="T271" s="82">
        <v>0.65937849482304212</v>
      </c>
      <c r="U271" s="78">
        <v>2.4690323194339934</v>
      </c>
      <c r="V271" s="102"/>
      <c r="W271" s="102"/>
    </row>
    <row r="272" spans="1:31" s="1" customFormat="1" ht="11.25" customHeight="1" x14ac:dyDescent="0.2">
      <c r="A272" s="201">
        <v>45198</v>
      </c>
      <c r="B272" s="83">
        <v>46</v>
      </c>
      <c r="C272" s="83" t="s">
        <v>628</v>
      </c>
      <c r="D272" s="84">
        <v>1.972</v>
      </c>
      <c r="E272" s="84">
        <v>0.64363375</v>
      </c>
      <c r="F272" s="84">
        <v>-2.2964498766614438</v>
      </c>
      <c r="G272" s="84">
        <v>1.0056955000000001</v>
      </c>
      <c r="H272" s="84">
        <v>-20.211521520553148</v>
      </c>
      <c r="I272" s="101">
        <v>-25.32967499400532</v>
      </c>
      <c r="J272" s="78">
        <v>-3.4610955604610343</v>
      </c>
      <c r="K272" s="79">
        <v>0.50998757606490874</v>
      </c>
      <c r="L272" s="79"/>
      <c r="M272" s="79"/>
      <c r="N272" s="79">
        <v>0</v>
      </c>
      <c r="O272" s="180">
        <v>5.5170443739E-2</v>
      </c>
      <c r="P272" s="81">
        <v>2.7976898447768761</v>
      </c>
      <c r="Q272" s="79">
        <v>0.32638628296146044</v>
      </c>
      <c r="R272" s="79"/>
      <c r="S272" s="180">
        <v>1.4501068387500001E-2</v>
      </c>
      <c r="T272" s="82">
        <v>0.7353482955121704</v>
      </c>
      <c r="U272" s="78">
        <v>3.8045778603842195</v>
      </c>
      <c r="V272" s="102"/>
      <c r="W272" s="102"/>
    </row>
    <row r="273" spans="1:24" s="1" customFormat="1" ht="11.25" customHeight="1" x14ac:dyDescent="0.2">
      <c r="A273" s="201">
        <v>45198</v>
      </c>
      <c r="B273" s="95">
        <v>47</v>
      </c>
      <c r="C273" s="95" t="s">
        <v>629</v>
      </c>
      <c r="D273" s="96">
        <v>2.3479999999999999</v>
      </c>
      <c r="E273" s="96">
        <v>0.60183237499999997</v>
      </c>
      <c r="F273" s="96">
        <v>-3.0059003429150355</v>
      </c>
      <c r="G273" s="96">
        <v>0.60619274999999995</v>
      </c>
      <c r="H273" s="96">
        <v>-19.961065267171332</v>
      </c>
      <c r="I273" s="101">
        <v>-25.073708703049103</v>
      </c>
      <c r="J273" s="78">
        <v>-4.1705460267146259</v>
      </c>
      <c r="K273" s="79">
        <v>0.25817408432708688</v>
      </c>
      <c r="L273" s="79"/>
      <c r="M273" s="79"/>
      <c r="N273" s="79">
        <v>0</v>
      </c>
      <c r="O273" s="180">
        <v>3.3254521879499996E-2</v>
      </c>
      <c r="P273" s="81">
        <v>1.4162913918015332</v>
      </c>
      <c r="Q273" s="79">
        <v>0.25631702512776833</v>
      </c>
      <c r="R273" s="79"/>
      <c r="S273" s="180">
        <v>1.3559283408750001E-2</v>
      </c>
      <c r="T273" s="82">
        <v>0.57748225761286209</v>
      </c>
      <c r="U273" s="78">
        <v>2.4525279748958102</v>
      </c>
      <c r="V273" s="102"/>
      <c r="W273" s="102"/>
    </row>
    <row r="274" spans="1:24" s="1" customFormat="1" ht="11.25" customHeight="1" x14ac:dyDescent="0.2">
      <c r="A274" s="201">
        <v>45198</v>
      </c>
      <c r="B274" s="83">
        <v>48</v>
      </c>
      <c r="C274" s="83" t="s">
        <v>630</v>
      </c>
      <c r="D274" s="84">
        <v>2.0059999999999998</v>
      </c>
      <c r="E274" s="84">
        <v>0.5794248125</v>
      </c>
      <c r="F274" s="84">
        <v>-2.3590102942178115</v>
      </c>
      <c r="G274" s="84">
        <v>0.59847506250000004</v>
      </c>
      <c r="H274" s="84">
        <v>-19.936433482999906</v>
      </c>
      <c r="I274" s="101">
        <v>-25.048535019625906</v>
      </c>
      <c r="J274" s="78">
        <v>-3.5236559780174019</v>
      </c>
      <c r="K274" s="79">
        <v>0.29834250373878368</v>
      </c>
      <c r="L274" s="79"/>
      <c r="M274" s="79"/>
      <c r="N274" s="79">
        <v>0</v>
      </c>
      <c r="O274" s="180">
        <v>3.2831144978625E-2</v>
      </c>
      <c r="P274" s="81">
        <v>1.6366473070102194</v>
      </c>
      <c r="Q274" s="79">
        <v>0.2888458686440678</v>
      </c>
      <c r="R274" s="79"/>
      <c r="S274" s="180">
        <v>1.3054441025625E-2</v>
      </c>
      <c r="T274" s="82">
        <v>0.65076974205508487</v>
      </c>
      <c r="U274" s="78">
        <v>2.5149406944487049</v>
      </c>
      <c r="V274" s="102"/>
      <c r="W274" s="102"/>
    </row>
    <row r="275" spans="1:24" s="1" customFormat="1" ht="11.25" customHeight="1" x14ac:dyDescent="0.2">
      <c r="A275" s="201">
        <v>45198</v>
      </c>
      <c r="B275" s="95">
        <v>49</v>
      </c>
      <c r="C275" s="95" t="s">
        <v>631</v>
      </c>
      <c r="D275" s="96">
        <v>2.0739999999999998</v>
      </c>
      <c r="E275" s="96">
        <v>0.60080524999999996</v>
      </c>
      <c r="F275" s="96">
        <v>-3.8220168670126675</v>
      </c>
      <c r="G275" s="96">
        <v>1.0475276250000001</v>
      </c>
      <c r="H275" s="96">
        <v>-20.521522358446855</v>
      </c>
      <c r="I275" s="101">
        <v>-25.646495850332688</v>
      </c>
      <c r="J275" s="78">
        <v>-4.986662550812258</v>
      </c>
      <c r="K275" s="79">
        <v>0.50507600048216017</v>
      </c>
      <c r="L275" s="79"/>
      <c r="M275" s="79"/>
      <c r="N275" s="79">
        <v>0</v>
      </c>
      <c r="O275" s="180">
        <v>5.746527045225E-2</v>
      </c>
      <c r="P275" s="81">
        <v>2.770745923445034</v>
      </c>
      <c r="Q275" s="79">
        <v>0.28968430568948889</v>
      </c>
      <c r="R275" s="79"/>
      <c r="S275" s="180">
        <v>1.35361422825E-2</v>
      </c>
      <c r="T275" s="82">
        <v>0.65265874071841856</v>
      </c>
      <c r="U275" s="78">
        <v>4.2453211005725846</v>
      </c>
      <c r="V275" s="102"/>
      <c r="W275" s="102"/>
    </row>
    <row r="276" spans="1:24" s="1" customFormat="1" ht="11.25" customHeight="1" x14ac:dyDescent="0.2">
      <c r="A276" s="201">
        <v>45198</v>
      </c>
      <c r="B276" s="83">
        <v>50</v>
      </c>
      <c r="C276" s="83" t="s">
        <v>632</v>
      </c>
      <c r="D276" s="84">
        <v>2.1920000000000002</v>
      </c>
      <c r="E276" s="84">
        <v>0.62502512499999996</v>
      </c>
      <c r="F276" s="84">
        <v>-3.2031890825562348</v>
      </c>
      <c r="G276" s="84">
        <v>0.97562062500000002</v>
      </c>
      <c r="H276" s="84">
        <v>-20.810845326273764</v>
      </c>
      <c r="I276" s="101">
        <v>-25.942183923451786</v>
      </c>
      <c r="J276" s="78">
        <v>-4.3678347663558252</v>
      </c>
      <c r="K276" s="79">
        <v>0.44508240191605836</v>
      </c>
      <c r="L276" s="79"/>
      <c r="M276" s="79"/>
      <c r="N276" s="79">
        <v>0</v>
      </c>
      <c r="O276" s="180">
        <v>5.3520596246249996E-2</v>
      </c>
      <c r="P276" s="81">
        <v>2.4416330404311126</v>
      </c>
      <c r="Q276" s="79">
        <v>0.28513919936131382</v>
      </c>
      <c r="R276" s="79"/>
      <c r="S276" s="180">
        <v>1.4081816066250001E-2</v>
      </c>
      <c r="T276" s="82">
        <v>0.64241861616104012</v>
      </c>
      <c r="U276" s="78">
        <v>3.8006884903519818</v>
      </c>
      <c r="V276" s="102"/>
      <c r="W276" s="102"/>
    </row>
    <row r="277" spans="1:24" s="1" customFormat="1" ht="11.25" customHeight="1" x14ac:dyDescent="0.2">
      <c r="A277" s="201">
        <v>45198</v>
      </c>
      <c r="B277" s="83">
        <v>51</v>
      </c>
      <c r="C277" s="83" t="s">
        <v>633</v>
      </c>
      <c r="D277" s="84">
        <v>1.742</v>
      </c>
      <c r="E277" s="84">
        <v>0.70913024999999996</v>
      </c>
      <c r="F277" s="84">
        <v>-1.7766540626648064</v>
      </c>
      <c r="G277" s="84">
        <v>1.3187517499999999</v>
      </c>
      <c r="H277" s="84">
        <v>-20.580288238718925</v>
      </c>
      <c r="I277" s="101">
        <v>-25.706554579970742</v>
      </c>
      <c r="J277" s="78">
        <v>-2.9412997464643968</v>
      </c>
      <c r="K277" s="79">
        <v>0.75703315154994255</v>
      </c>
      <c r="L277" s="79"/>
      <c r="M277" s="79"/>
      <c r="N277" s="79">
        <v>0</v>
      </c>
      <c r="O277" s="180">
        <v>7.2344083501499984E-2</v>
      </c>
      <c r="P277" s="81">
        <v>4.1529324627726742</v>
      </c>
      <c r="Q277" s="79">
        <v>0.40707821469575201</v>
      </c>
      <c r="R277" s="79"/>
      <c r="S277" s="180">
        <v>1.59767045325E-2</v>
      </c>
      <c r="T277" s="82">
        <v>0.91714721770952934</v>
      </c>
      <c r="U277" s="78">
        <v>4.5280979788001208</v>
      </c>
      <c r="V277" s="102"/>
      <c r="W277" s="102"/>
    </row>
    <row r="278" spans="1:24" s="1" customFormat="1" ht="11.25" customHeight="1" x14ac:dyDescent="0.2">
      <c r="A278" s="201">
        <v>45198</v>
      </c>
      <c r="B278" s="83">
        <v>54</v>
      </c>
      <c r="C278" s="83" t="s">
        <v>634</v>
      </c>
      <c r="D278" s="84">
        <v>2.0779999999999998</v>
      </c>
      <c r="E278" s="84">
        <v>0.29888306250000002</v>
      </c>
      <c r="F278" s="84">
        <v>-3.8773388328080527</v>
      </c>
      <c r="G278" s="84">
        <v>0.72431674999999995</v>
      </c>
      <c r="H278" s="84">
        <v>-19.725309264040348</v>
      </c>
      <c r="I278" s="101">
        <v>-24.832766067849235</v>
      </c>
      <c r="J278" s="78">
        <v>-5.0419845166076431</v>
      </c>
      <c r="K278" s="79">
        <v>0.34856436477382097</v>
      </c>
      <c r="L278" s="79"/>
      <c r="M278" s="79"/>
      <c r="N278" s="79">
        <v>0</v>
      </c>
      <c r="O278" s="180">
        <v>3.9734568271499994E-2</v>
      </c>
      <c r="P278" s="81">
        <v>1.912154392276227</v>
      </c>
      <c r="Q278" s="79">
        <v>0.14383208012512033</v>
      </c>
      <c r="R278" s="79"/>
      <c r="S278" s="180">
        <v>6.7338353981250005E-3</v>
      </c>
      <c r="T278" s="82">
        <v>0.32405367652189609</v>
      </c>
      <c r="U278" s="78">
        <v>5.9007335229138311</v>
      </c>
      <c r="V278" s="102"/>
      <c r="W278" s="102"/>
      <c r="X278" s="1" t="s">
        <v>413</v>
      </c>
    </row>
    <row r="279" spans="1:24" s="1" customFormat="1" ht="11.25" customHeight="1" x14ac:dyDescent="0.2">
      <c r="A279" s="201">
        <v>45198</v>
      </c>
      <c r="B279" s="95">
        <v>55</v>
      </c>
      <c r="C279" s="95" t="s">
        <v>635</v>
      </c>
      <c r="D279" s="96">
        <v>2.1360000000000001</v>
      </c>
      <c r="E279" s="96">
        <v>0.35730806250000002</v>
      </c>
      <c r="F279" s="96">
        <v>-0.58378785777957187</v>
      </c>
      <c r="G279" s="96">
        <v>1.883678</v>
      </c>
      <c r="H279" s="96">
        <v>-20.812529866338355</v>
      </c>
      <c r="I279" s="101">
        <v>-25.943905523397799</v>
      </c>
      <c r="J279" s="78">
        <v>-1.7484335415791623</v>
      </c>
      <c r="K279" s="79">
        <v>0.88187172284644189</v>
      </c>
      <c r="L279" s="79"/>
      <c r="M279" s="79"/>
      <c r="N279" s="79">
        <v>0</v>
      </c>
      <c r="O279" s="180">
        <v>0.10333480772399999</v>
      </c>
      <c r="P279" s="81">
        <v>4.8377718971910104</v>
      </c>
      <c r="Q279" s="79">
        <v>0.16727905547752808</v>
      </c>
      <c r="R279" s="79"/>
      <c r="S279" s="180">
        <v>8.0501506481250006E-3</v>
      </c>
      <c r="T279" s="82">
        <v>0.37687971199087078</v>
      </c>
      <c r="U279" s="78">
        <v>12.83638185678776</v>
      </c>
      <c r="V279" s="102"/>
      <c r="W279" s="102"/>
      <c r="X279" s="1" t="s">
        <v>413</v>
      </c>
    </row>
    <row r="280" spans="1:24" s="1" customFormat="1" ht="11.25" customHeight="1" x14ac:dyDescent="0.2">
      <c r="A280" s="201">
        <v>45198</v>
      </c>
      <c r="B280" s="83">
        <v>56</v>
      </c>
      <c r="C280" s="83" t="s">
        <v>636</v>
      </c>
      <c r="D280" s="84">
        <v>1.181</v>
      </c>
      <c r="E280" s="84">
        <v>0.30254300000000001</v>
      </c>
      <c r="F280" s="84">
        <v>-1.8946054746039609</v>
      </c>
      <c r="G280" s="84">
        <v>0.98592374999999999</v>
      </c>
      <c r="H280" s="84">
        <v>-20.308125666024978</v>
      </c>
      <c r="I280" s="101">
        <v>-25.428404430677528</v>
      </c>
      <c r="J280" s="78">
        <v>-3.0592511584035513</v>
      </c>
      <c r="K280" s="79">
        <v>0.83482112616426751</v>
      </c>
      <c r="L280" s="79"/>
      <c r="M280" s="79"/>
      <c r="N280" s="79">
        <v>0</v>
      </c>
      <c r="O280" s="180">
        <v>5.4085805077499993E-2</v>
      </c>
      <c r="P280" s="81">
        <v>4.5796617339119381</v>
      </c>
      <c r="Q280" s="79">
        <v>0.25617527519051653</v>
      </c>
      <c r="R280" s="79"/>
      <c r="S280" s="180">
        <v>6.8162937900000005E-3</v>
      </c>
      <c r="T280" s="82">
        <v>0.57716289500423379</v>
      </c>
      <c r="U280" s="78">
        <v>7.9347819715235586</v>
      </c>
      <c r="V280" s="102"/>
      <c r="W280" s="102"/>
      <c r="X280" s="1" t="s">
        <v>413</v>
      </c>
    </row>
    <row r="281" spans="1:24" s="1" customFormat="1" ht="11.25" customHeight="1" x14ac:dyDescent="0.2">
      <c r="A281" s="201">
        <v>45198</v>
      </c>
      <c r="B281" s="95">
        <v>57</v>
      </c>
      <c r="C281" s="95" t="s">
        <v>637</v>
      </c>
      <c r="D281" s="96">
        <v>1.901</v>
      </c>
      <c r="E281" s="96">
        <v>0.33231253124999999</v>
      </c>
      <c r="F281" s="96">
        <v>-0.73734818496051791</v>
      </c>
      <c r="G281" s="96">
        <v>1.3181616249999999</v>
      </c>
      <c r="H281" s="96">
        <v>-20.589060029404873</v>
      </c>
      <c r="I281" s="101">
        <v>-25.715519350051782</v>
      </c>
      <c r="J281" s="78">
        <v>-1.9019938687601083</v>
      </c>
      <c r="K281" s="79">
        <v>0.69340432667017349</v>
      </c>
      <c r="L281" s="79"/>
      <c r="M281" s="79"/>
      <c r="N281" s="79">
        <v>0</v>
      </c>
      <c r="O281" s="180">
        <v>7.2311710424249984E-2</v>
      </c>
      <c r="P281" s="81">
        <v>3.8038774552472372</v>
      </c>
      <c r="Q281" s="79">
        <v>0.17480932732772225</v>
      </c>
      <c r="R281" s="79"/>
      <c r="S281" s="180">
        <v>7.4870013290625004E-3</v>
      </c>
      <c r="T281" s="82">
        <v>0.39384541446935828</v>
      </c>
      <c r="U281" s="78">
        <v>9.6583007329724406</v>
      </c>
      <c r="V281" s="102"/>
      <c r="W281" s="102"/>
      <c r="X281" s="1" t="s">
        <v>413</v>
      </c>
    </row>
    <row r="282" spans="1:24" s="1" customFormat="1" ht="11.25" customHeight="1" x14ac:dyDescent="0.2">
      <c r="A282" s="201">
        <v>45198</v>
      </c>
      <c r="B282" s="83">
        <v>58</v>
      </c>
      <c r="C282" s="83" t="s">
        <v>638</v>
      </c>
      <c r="D282" s="84">
        <v>1.9730000000000001</v>
      </c>
      <c r="E282" s="84">
        <v>0.31614840625000001</v>
      </c>
      <c r="F282" s="84">
        <v>-1.1549375834599696</v>
      </c>
      <c r="G282" s="84">
        <v>1.142978625</v>
      </c>
      <c r="H282" s="84">
        <v>-20.532123459542323</v>
      </c>
      <c r="I282" s="101">
        <v>-25.657330175652255</v>
      </c>
      <c r="J282" s="78">
        <v>-2.31958326725956</v>
      </c>
      <c r="K282" s="79">
        <v>0.57930999746578815</v>
      </c>
      <c r="L282" s="79"/>
      <c r="M282" s="79"/>
      <c r="N282" s="79">
        <v>0</v>
      </c>
      <c r="O282" s="180">
        <v>6.2701521410249997E-2</v>
      </c>
      <c r="P282" s="81">
        <v>3.17797878409782</v>
      </c>
      <c r="Q282" s="79">
        <v>0.16023740813482007</v>
      </c>
      <c r="R282" s="79"/>
      <c r="S282" s="180">
        <v>7.1228235928125008E-3</v>
      </c>
      <c r="T282" s="82">
        <v>0.3610148805277496</v>
      </c>
      <c r="U282" s="78">
        <v>8.8029024716435273</v>
      </c>
      <c r="V282" s="102"/>
      <c r="W282" s="102"/>
      <c r="X282" s="1" t="s">
        <v>413</v>
      </c>
    </row>
    <row r="283" spans="1:24" s="1" customFormat="1" ht="11.25" customHeight="1" x14ac:dyDescent="0.2">
      <c r="A283" s="201">
        <v>45198</v>
      </c>
      <c r="B283" s="95">
        <v>59</v>
      </c>
      <c r="C283" s="95" t="s">
        <v>639</v>
      </c>
      <c r="D283" s="96">
        <v>2.0110000000000001</v>
      </c>
      <c r="E283" s="96">
        <v>0.37386831250000002</v>
      </c>
      <c r="F283" s="96">
        <v>3.1259366781055675E-2</v>
      </c>
      <c r="G283" s="96">
        <v>1.756772875</v>
      </c>
      <c r="H283" s="96">
        <v>-20.86484295845187</v>
      </c>
      <c r="I283" s="101">
        <v>-25.997369503537811</v>
      </c>
      <c r="J283" s="78">
        <v>-1.1333863170185348</v>
      </c>
      <c r="K283" s="79">
        <v>0.87358173794132266</v>
      </c>
      <c r="L283" s="79"/>
      <c r="M283" s="79"/>
      <c r="N283" s="79">
        <v>0</v>
      </c>
      <c r="O283" s="180">
        <v>9.6373046376749996E-2</v>
      </c>
      <c r="P283" s="81">
        <v>4.7922946979985079</v>
      </c>
      <c r="Q283" s="79">
        <v>0.1859116422178021</v>
      </c>
      <c r="R283" s="79"/>
      <c r="S283" s="180">
        <v>8.4232530806250018E-3</v>
      </c>
      <c r="T283" s="82">
        <v>0.4188589299167082</v>
      </c>
      <c r="U283" s="78">
        <v>11.441309605005856</v>
      </c>
      <c r="V283" s="102"/>
      <c r="W283" s="102"/>
      <c r="X283" s="1" t="s">
        <v>413</v>
      </c>
    </row>
    <row r="284" spans="1:24" s="1" customFormat="1" ht="11.25" customHeight="1" x14ac:dyDescent="0.2">
      <c r="A284" s="201">
        <v>45198</v>
      </c>
      <c r="B284" s="83">
        <v>60</v>
      </c>
      <c r="C284" s="83" t="s">
        <v>640</v>
      </c>
      <c r="D284" s="84">
        <v>2.0019999999999998</v>
      </c>
      <c r="E284" s="84">
        <v>0.27781668749999999</v>
      </c>
      <c r="F284" s="84">
        <v>-1.7171713415423673</v>
      </c>
      <c r="G284" s="84">
        <v>0.78917843750000005</v>
      </c>
      <c r="H284" s="84">
        <v>-19.87704831908043</v>
      </c>
      <c r="I284" s="101">
        <v>-24.987843382100202</v>
      </c>
      <c r="J284" s="78">
        <v>-2.8818170253419577</v>
      </c>
      <c r="K284" s="79">
        <v>0.3941950237262738</v>
      </c>
      <c r="L284" s="79"/>
      <c r="M284" s="79"/>
      <c r="N284" s="79">
        <v>0</v>
      </c>
      <c r="O284" s="180">
        <v>4.3292750724375002E-2</v>
      </c>
      <c r="P284" s="81">
        <v>2.1624750611575925</v>
      </c>
      <c r="Q284" s="79">
        <v>0.1387695741758242</v>
      </c>
      <c r="R284" s="79"/>
      <c r="S284" s="180">
        <v>6.2592099693750004E-3</v>
      </c>
      <c r="T284" s="82">
        <v>0.31264785061813194</v>
      </c>
      <c r="U284" s="78">
        <v>6.9166477776264639</v>
      </c>
      <c r="V284" s="102"/>
      <c r="W284" s="102"/>
      <c r="X284" s="1" t="s">
        <v>413</v>
      </c>
    </row>
    <row r="285" spans="1:24" s="1" customFormat="1" ht="11.25" customHeight="1" x14ac:dyDescent="0.2">
      <c r="A285" s="201">
        <v>45198</v>
      </c>
      <c r="B285" s="95">
        <v>61</v>
      </c>
      <c r="C285" s="95" t="s">
        <v>641</v>
      </c>
      <c r="D285" s="96">
        <v>1.865</v>
      </c>
      <c r="E285" s="96">
        <v>0.2929735</v>
      </c>
      <c r="F285" s="96">
        <v>-0.70147412131216225</v>
      </c>
      <c r="G285" s="96">
        <v>0.94376499999999997</v>
      </c>
      <c r="H285" s="96">
        <v>-20.361408245243204</v>
      </c>
      <c r="I285" s="101">
        <v>-25.482859226638556</v>
      </c>
      <c r="J285" s="78">
        <v>-1.8661198051117527</v>
      </c>
      <c r="K285" s="79">
        <v>0.50604021447721181</v>
      </c>
      <c r="L285" s="79"/>
      <c r="M285" s="79"/>
      <c r="N285" s="79">
        <v>0</v>
      </c>
      <c r="O285" s="180">
        <v>5.1773060369999999E-2</v>
      </c>
      <c r="P285" s="81">
        <v>2.7760354085790886</v>
      </c>
      <c r="Q285" s="79">
        <v>0.15709034852546916</v>
      </c>
      <c r="R285" s="79"/>
      <c r="S285" s="180">
        <v>6.6006929550000001E-3</v>
      </c>
      <c r="T285" s="82">
        <v>0.35392455522788208</v>
      </c>
      <c r="U285" s="78">
        <v>7.843579563988369</v>
      </c>
      <c r="V285" s="102"/>
      <c r="W285" s="102"/>
      <c r="X285" s="1" t="s">
        <v>413</v>
      </c>
    </row>
    <row r="286" spans="1:24" s="1" customFormat="1" ht="11.25" customHeight="1" x14ac:dyDescent="0.2">
      <c r="A286" s="201">
        <v>45198</v>
      </c>
      <c r="B286" s="83">
        <v>62</v>
      </c>
      <c r="C286" s="83" t="s">
        <v>642</v>
      </c>
      <c r="D286" s="84">
        <v>2.0489999999999999</v>
      </c>
      <c r="E286" s="84">
        <v>0.24694579687500001</v>
      </c>
      <c r="F286" s="84">
        <v>-3.4089777276052891</v>
      </c>
      <c r="G286" s="84">
        <v>0.29415021875000003</v>
      </c>
      <c r="H286" s="84">
        <v>-19.770559866859127</v>
      </c>
      <c r="I286" s="101">
        <v>-24.87901218393003</v>
      </c>
      <c r="J286" s="78">
        <v>-4.5736234114048795</v>
      </c>
      <c r="K286" s="79">
        <v>0.14355793984870671</v>
      </c>
      <c r="L286" s="79"/>
      <c r="M286" s="79"/>
      <c r="N286" s="79">
        <v>0</v>
      </c>
      <c r="O286" s="180">
        <v>1.6136492700187501E-2</v>
      </c>
      <c r="P286" s="81">
        <v>0.78753014642203523</v>
      </c>
      <c r="Q286" s="79">
        <v>0.12052015464860909</v>
      </c>
      <c r="R286" s="79"/>
      <c r="S286" s="180">
        <v>5.5636888035937504E-3</v>
      </c>
      <c r="T286" s="82">
        <v>0.27153190842331631</v>
      </c>
      <c r="U286" s="78">
        <v>2.9003226581911745</v>
      </c>
      <c r="V286" s="102"/>
      <c r="W286" s="102"/>
      <c r="X286" s="1" t="s">
        <v>413</v>
      </c>
    </row>
    <row r="287" spans="1:24" s="1" customFormat="1" ht="11.25" customHeight="1" x14ac:dyDescent="0.2">
      <c r="A287" s="201">
        <v>45198</v>
      </c>
      <c r="B287" s="95">
        <v>65</v>
      </c>
      <c r="C287" s="95" t="s">
        <v>643</v>
      </c>
      <c r="D287" s="96">
        <v>1.9410000000000001</v>
      </c>
      <c r="E287" s="96">
        <v>0.3837914375</v>
      </c>
      <c r="F287" s="96">
        <v>0.12830427601562278</v>
      </c>
      <c r="G287" s="96">
        <v>2.262092</v>
      </c>
      <c r="H287" s="96">
        <v>-20.729333749440062</v>
      </c>
      <c r="I287" s="101">
        <v>-25.858879091927744</v>
      </c>
      <c r="J287" s="78">
        <v>-1.0363414077839677</v>
      </c>
      <c r="K287" s="79">
        <v>1.165426069036579</v>
      </c>
      <c r="L287" s="79"/>
      <c r="M287" s="79"/>
      <c r="N287" s="79">
        <v>0</v>
      </c>
      <c r="O287" s="180">
        <v>0.124093842936</v>
      </c>
      <c r="P287" s="81">
        <v>6.3932943295208657</v>
      </c>
      <c r="Q287" s="79">
        <v>0.19772871586810922</v>
      </c>
      <c r="R287" s="79"/>
      <c r="S287" s="180">
        <v>8.646821086875001E-3</v>
      </c>
      <c r="T287" s="82">
        <v>0.44548279685085013</v>
      </c>
      <c r="U287" s="78">
        <v>14.35138320652452</v>
      </c>
      <c r="V287" s="102"/>
      <c r="W287" s="102"/>
      <c r="X287" s="1" t="s">
        <v>413</v>
      </c>
    </row>
    <row r="288" spans="1:24" s="1" customFormat="1" ht="11.25" customHeight="1" x14ac:dyDescent="0.2">
      <c r="A288" s="201">
        <v>45198</v>
      </c>
      <c r="B288" s="83">
        <v>66</v>
      </c>
      <c r="C288" s="83" t="s">
        <v>644</v>
      </c>
      <c r="D288" s="84">
        <v>1.9950000000000001</v>
      </c>
      <c r="E288" s="84">
        <v>0.24853609374999999</v>
      </c>
      <c r="F288" s="84">
        <v>-3.6487918341236991</v>
      </c>
      <c r="G288" s="84">
        <v>0.39082725000000001</v>
      </c>
      <c r="H288" s="84">
        <v>-19.71268444525359</v>
      </c>
      <c r="I288" s="101">
        <v>-24.81986350304917</v>
      </c>
      <c r="J288" s="78">
        <v>-4.8134375179232896</v>
      </c>
      <c r="K288" s="79">
        <v>0.19590338345864661</v>
      </c>
      <c r="L288" s="79"/>
      <c r="M288" s="79"/>
      <c r="N288" s="79">
        <v>0</v>
      </c>
      <c r="O288" s="180">
        <v>2.1440001280499998E-2</v>
      </c>
      <c r="P288" s="81">
        <v>1.0746867809774434</v>
      </c>
      <c r="Q288" s="79">
        <v>0.12457949561403507</v>
      </c>
      <c r="R288" s="79"/>
      <c r="S288" s="180">
        <v>5.5995181921874998E-3</v>
      </c>
      <c r="T288" s="82">
        <v>0.28067760361842103</v>
      </c>
      <c r="U288" s="78">
        <v>3.8289010848135629</v>
      </c>
      <c r="V288" s="102"/>
      <c r="W288" s="102"/>
      <c r="X288" s="1" t="s">
        <v>413</v>
      </c>
    </row>
    <row r="289" spans="1:29" s="1" customFormat="1" ht="11.25" customHeight="1" x14ac:dyDescent="0.2">
      <c r="A289" s="201">
        <v>45198</v>
      </c>
      <c r="B289" s="95">
        <v>67</v>
      </c>
      <c r="C289" s="95" t="s">
        <v>645</v>
      </c>
      <c r="D289" s="96">
        <v>2.0449999999999999</v>
      </c>
      <c r="E289" s="96">
        <v>0.26808975000000002</v>
      </c>
      <c r="F289" s="96">
        <v>-3.6160712963978492</v>
      </c>
      <c r="G289" s="96">
        <v>0.45814396875000002</v>
      </c>
      <c r="H289" s="96">
        <v>-20.105916466310326</v>
      </c>
      <c r="I289" s="101">
        <v>-25.221746628569154</v>
      </c>
      <c r="J289" s="78">
        <v>-4.7807169801974396</v>
      </c>
      <c r="K289" s="79">
        <v>0.2240312805623472</v>
      </c>
      <c r="L289" s="79"/>
      <c r="M289" s="79"/>
      <c r="N289" s="79">
        <v>0</v>
      </c>
      <c r="O289" s="180">
        <v>2.5132861837687499E-2</v>
      </c>
      <c r="P289" s="81">
        <v>1.2289907989089242</v>
      </c>
      <c r="Q289" s="79">
        <v>0.13109523227383865</v>
      </c>
      <c r="R289" s="79"/>
      <c r="S289" s="180">
        <v>6.0400620675000009E-3</v>
      </c>
      <c r="T289" s="82">
        <v>0.29535755831295851</v>
      </c>
      <c r="U289" s="78">
        <v>4.161027081645547</v>
      </c>
      <c r="V289" s="102"/>
      <c r="W289" s="102"/>
      <c r="X289" s="1" t="s">
        <v>413</v>
      </c>
    </row>
    <row r="290" spans="1:29" s="1" customFormat="1" ht="11.25" customHeight="1" x14ac:dyDescent="0.2">
      <c r="A290" s="201">
        <v>45198</v>
      </c>
      <c r="B290" s="83">
        <v>68</v>
      </c>
      <c r="C290" s="83" t="s">
        <v>646</v>
      </c>
      <c r="D290" s="84">
        <v>2.0840000000000001</v>
      </c>
      <c r="E290" s="84">
        <v>0.33582050000000002</v>
      </c>
      <c r="F290" s="84">
        <v>-0.20500273452483952</v>
      </c>
      <c r="G290" s="84">
        <v>1.1440386250000001</v>
      </c>
      <c r="H290" s="84">
        <v>-20.386929064721514</v>
      </c>
      <c r="I290" s="101">
        <v>-25.508941504145387</v>
      </c>
      <c r="J290" s="78">
        <v>-1.36964841832443</v>
      </c>
      <c r="K290" s="79">
        <v>0.54896287188099813</v>
      </c>
      <c r="L290" s="79"/>
      <c r="M290" s="79"/>
      <c r="N290" s="79">
        <v>0</v>
      </c>
      <c r="O290" s="180">
        <v>6.2759670890250002E-2</v>
      </c>
      <c r="P290" s="81">
        <v>3.0115005225647793</v>
      </c>
      <c r="Q290" s="79">
        <v>0.16114227447216892</v>
      </c>
      <c r="R290" s="79"/>
      <c r="S290" s="180">
        <v>7.5660358650000009E-3</v>
      </c>
      <c r="T290" s="82">
        <v>0.36305354438579657</v>
      </c>
      <c r="U290" s="78">
        <v>8.2949211462996413</v>
      </c>
      <c r="V290" s="102"/>
      <c r="W290" s="102"/>
      <c r="X290" s="1" t="s">
        <v>413</v>
      </c>
    </row>
    <row r="291" spans="1:29" s="1" customFormat="1" ht="11.25" customHeight="1" x14ac:dyDescent="0.2">
      <c r="A291" s="201">
        <v>45198</v>
      </c>
      <c r="B291" s="95">
        <v>69</v>
      </c>
      <c r="C291" s="95" t="s">
        <v>647</v>
      </c>
      <c r="D291" s="96">
        <v>2.1779999999999999</v>
      </c>
      <c r="E291" s="96">
        <v>0.78276837499999996</v>
      </c>
      <c r="F291" s="96">
        <v>3.4256490011144169</v>
      </c>
      <c r="G291" s="96">
        <v>5.8643495000000003</v>
      </c>
      <c r="H291" s="96">
        <v>-21.679726668056798</v>
      </c>
      <c r="I291" s="101">
        <v>-26.830180654754049</v>
      </c>
      <c r="J291" s="78">
        <v>2.2610033173148265</v>
      </c>
      <c r="K291" s="79">
        <v>2.6925387970615247</v>
      </c>
      <c r="L291" s="79"/>
      <c r="M291" s="79"/>
      <c r="N291" s="79">
        <v>0</v>
      </c>
      <c r="O291" s="180">
        <v>0.32170648487100001</v>
      </c>
      <c r="P291" s="81">
        <v>14.77072933292011</v>
      </c>
      <c r="Q291" s="79">
        <v>0.35939778466483013</v>
      </c>
      <c r="R291" s="79"/>
      <c r="S291" s="180">
        <v>1.763577148875E-2</v>
      </c>
      <c r="T291" s="82">
        <v>0.80972320884986226</v>
      </c>
      <c r="U291" s="78">
        <v>18.241701820428958</v>
      </c>
      <c r="V291" s="102"/>
      <c r="W291" s="102"/>
    </row>
    <row r="292" spans="1:29" s="1" customFormat="1" ht="11.25" customHeight="1" x14ac:dyDescent="0.2">
      <c r="A292" s="201">
        <v>45198</v>
      </c>
      <c r="B292" s="83">
        <v>70</v>
      </c>
      <c r="C292" s="83" t="s">
        <v>648</v>
      </c>
      <c r="D292" s="84">
        <v>1.984</v>
      </c>
      <c r="E292" s="84">
        <v>0.38462337499999999</v>
      </c>
      <c r="F292" s="84">
        <v>-0.28920366793416807</v>
      </c>
      <c r="G292" s="84">
        <v>1.740238</v>
      </c>
      <c r="H292" s="84">
        <v>-20.412039066954346</v>
      </c>
      <c r="I292" s="101">
        <v>-25.534603926427344</v>
      </c>
      <c r="J292" s="78">
        <v>-1.4538493517337585</v>
      </c>
      <c r="K292" s="79">
        <v>0.87713608870967741</v>
      </c>
      <c r="L292" s="79"/>
      <c r="M292" s="79"/>
      <c r="N292" s="79">
        <v>0</v>
      </c>
      <c r="O292" s="180">
        <v>9.5465976203999992E-2</v>
      </c>
      <c r="P292" s="81">
        <v>4.8117931554435476</v>
      </c>
      <c r="Q292" s="79">
        <v>0.19386258820564517</v>
      </c>
      <c r="R292" s="79"/>
      <c r="S292" s="180">
        <v>8.6655646387499997E-3</v>
      </c>
      <c r="T292" s="82">
        <v>0.43677241122731852</v>
      </c>
      <c r="U292" s="78">
        <v>11.016705798616128</v>
      </c>
      <c r="V292" s="102"/>
      <c r="W292" s="102"/>
      <c r="X292" s="1" t="s">
        <v>413</v>
      </c>
    </row>
    <row r="293" spans="1:29" s="90" customFormat="1" ht="11.25" customHeight="1" x14ac:dyDescent="0.2">
      <c r="A293" s="201">
        <v>45198</v>
      </c>
      <c r="B293" s="95">
        <v>71</v>
      </c>
      <c r="C293" s="95" t="s">
        <v>649</v>
      </c>
      <c r="D293" s="96">
        <v>1.8080000000000001</v>
      </c>
      <c r="E293" s="96">
        <v>0.31697975</v>
      </c>
      <c r="F293" s="96">
        <v>-2.0281735362006614</v>
      </c>
      <c r="G293" s="96">
        <v>1.2914775000000001</v>
      </c>
      <c r="H293" s="96">
        <v>-20.841627423397462</v>
      </c>
      <c r="I293" s="101">
        <v>-25.973643226712205</v>
      </c>
      <c r="J293" s="78">
        <v>-3.1928192200002519</v>
      </c>
      <c r="K293" s="79">
        <v>0.71431277654867253</v>
      </c>
      <c r="L293" s="79"/>
      <c r="M293" s="79"/>
      <c r="N293" s="79">
        <v>0</v>
      </c>
      <c r="O293" s="180">
        <v>7.0847872694999994E-2</v>
      </c>
      <c r="P293" s="81">
        <v>3.9185770295907076</v>
      </c>
      <c r="Q293" s="79">
        <v>0.17532065818584069</v>
      </c>
      <c r="R293" s="79"/>
      <c r="S293" s="180">
        <v>7.1415537675000003E-3</v>
      </c>
      <c r="T293" s="82">
        <v>0.39499744289269911</v>
      </c>
      <c r="U293" s="78">
        <v>9.9205123984946582</v>
      </c>
      <c r="V293" s="102"/>
      <c r="W293" s="102"/>
      <c r="X293" s="1" t="s">
        <v>413</v>
      </c>
    </row>
    <row r="294" spans="1:29" s="1" customFormat="1" ht="11.25" customHeight="1" x14ac:dyDescent="0.2">
      <c r="A294" s="201">
        <v>45198</v>
      </c>
      <c r="B294" s="83">
        <v>72</v>
      </c>
      <c r="C294" s="83" t="s">
        <v>650</v>
      </c>
      <c r="D294" s="84">
        <v>2.1659999999999999</v>
      </c>
      <c r="E294" s="84">
        <v>0.34710584374999998</v>
      </c>
      <c r="F294" s="84">
        <v>2.4248142662643968</v>
      </c>
      <c r="G294" s="84">
        <v>1.3603713749999999</v>
      </c>
      <c r="H294" s="84">
        <v>-20.165805877499793</v>
      </c>
      <c r="I294" s="101">
        <v>-25.282953606804789</v>
      </c>
      <c r="J294" s="78">
        <v>1.2601685824648063</v>
      </c>
      <c r="K294" s="79">
        <v>0.62805695983379506</v>
      </c>
      <c r="L294" s="79"/>
      <c r="M294" s="79"/>
      <c r="N294" s="79">
        <v>0</v>
      </c>
      <c r="O294" s="180">
        <v>7.4627252889749987E-2</v>
      </c>
      <c r="P294" s="81">
        <v>3.4453948702562318</v>
      </c>
      <c r="Q294" s="79">
        <v>0.16025200542474607</v>
      </c>
      <c r="R294" s="79"/>
      <c r="S294" s="180">
        <v>7.8202946596874993E-3</v>
      </c>
      <c r="T294" s="82">
        <v>0.36104776822195289</v>
      </c>
      <c r="U294" s="78">
        <v>9.5427673939759341</v>
      </c>
      <c r="V294" s="102"/>
      <c r="W294" s="102"/>
      <c r="X294" s="1" t="s">
        <v>413</v>
      </c>
    </row>
    <row r="295" spans="1:29" s="1" customFormat="1" ht="11.25" customHeight="1" x14ac:dyDescent="0.2">
      <c r="A295" s="201">
        <v>45198</v>
      </c>
      <c r="B295" s="95">
        <v>73</v>
      </c>
      <c r="C295" s="95" t="s">
        <v>651</v>
      </c>
      <c r="D295" s="96">
        <v>2.1800000000000002</v>
      </c>
      <c r="E295" s="96">
        <v>0.30455118749999999</v>
      </c>
      <c r="F295" s="96">
        <v>-1.603300476013203</v>
      </c>
      <c r="G295" s="96">
        <v>0.84336218750000003</v>
      </c>
      <c r="H295" s="96">
        <v>-20.165763464424717</v>
      </c>
      <c r="I295" s="101">
        <v>-25.282910260642062</v>
      </c>
      <c r="J295" s="78">
        <v>-2.7679461598127935</v>
      </c>
      <c r="K295" s="79">
        <v>0.38686338876146786</v>
      </c>
      <c r="L295" s="79"/>
      <c r="M295" s="79"/>
      <c r="N295" s="79">
        <v>0</v>
      </c>
      <c r="O295" s="180">
        <v>4.6265162881875002E-2</v>
      </c>
      <c r="P295" s="81">
        <v>2.1222551780676606</v>
      </c>
      <c r="Q295" s="79">
        <v>0.13970237958715595</v>
      </c>
      <c r="R295" s="79"/>
      <c r="S295" s="180">
        <v>6.8615382543749997E-3</v>
      </c>
      <c r="T295" s="82">
        <v>0.31474946120986236</v>
      </c>
      <c r="U295" s="78">
        <v>6.7426808926374164</v>
      </c>
      <c r="V295" s="102"/>
      <c r="W295" s="102"/>
      <c r="X295" s="1" t="s">
        <v>413</v>
      </c>
    </row>
    <row r="296" spans="1:29" s="1" customFormat="1" ht="11.25" customHeight="1" x14ac:dyDescent="0.2">
      <c r="B296" s="110"/>
      <c r="C296" s="110"/>
      <c r="D296" s="85"/>
      <c r="E296" s="85"/>
      <c r="F296" s="85"/>
      <c r="K296" s="5"/>
      <c r="L296" s="5"/>
      <c r="M296" s="5"/>
    </row>
    <row r="297" spans="1:29" s="90" customFormat="1" ht="11.25" customHeight="1" x14ac:dyDescent="0.25">
      <c r="B297" s="90" t="s">
        <v>712</v>
      </c>
      <c r="I297" s="100">
        <v>0.20283717214873526</v>
      </c>
      <c r="J297" s="100">
        <v>0.6177263881247993</v>
      </c>
      <c r="K297" s="87"/>
      <c r="N297" s="87"/>
      <c r="O297" s="88"/>
      <c r="P297" s="100">
        <v>0.73938611735153859</v>
      </c>
      <c r="Q297" s="87"/>
      <c r="R297" s="87"/>
      <c r="S297" s="88"/>
      <c r="T297" s="100">
        <v>0.10017351488166808</v>
      </c>
      <c r="U297" s="100">
        <v>0.51116892179889506</v>
      </c>
      <c r="W297" s="209"/>
      <c r="X297" s="209"/>
      <c r="Y297" s="209"/>
      <c r="Z297" s="209"/>
      <c r="AA297" s="209"/>
      <c r="AB297" s="209"/>
      <c r="AC297" s="209"/>
    </row>
    <row r="298" spans="1:29" s="207" customFormat="1" x14ac:dyDescent="0.25"/>
    <row r="299" spans="1:29" x14ac:dyDescent="0.25">
      <c r="A299" s="206"/>
      <c r="B299" s="75"/>
      <c r="C299" s="75" t="s">
        <v>40</v>
      </c>
      <c r="D299" s="75" t="s">
        <v>54</v>
      </c>
      <c r="E299" s="75" t="s">
        <v>80</v>
      </c>
      <c r="F299" s="75" t="s">
        <v>41</v>
      </c>
      <c r="G299" s="75" t="s">
        <v>81</v>
      </c>
      <c r="H299" s="99" t="s">
        <v>42</v>
      </c>
      <c r="I299" s="76" t="s">
        <v>715</v>
      </c>
      <c r="J299" s="77" t="s">
        <v>714</v>
      </c>
      <c r="K299" s="77" t="s">
        <v>45</v>
      </c>
      <c r="L299" s="77" t="s">
        <v>46</v>
      </c>
      <c r="M299" s="77" t="s">
        <v>47</v>
      </c>
      <c r="N299" s="178" t="s">
        <v>38</v>
      </c>
      <c r="O299" s="77" t="s">
        <v>38</v>
      </c>
      <c r="P299" s="77" t="s">
        <v>48</v>
      </c>
      <c r="Q299" s="77" t="s">
        <v>49</v>
      </c>
      <c r="R299" s="77" t="s">
        <v>39</v>
      </c>
      <c r="S299" s="77" t="s">
        <v>39</v>
      </c>
      <c r="T299" s="77" t="s">
        <v>50</v>
      </c>
      <c r="U299" s="77" t="s">
        <v>51</v>
      </c>
    </row>
    <row r="300" spans="1:29" x14ac:dyDescent="0.25">
      <c r="A300" s="206">
        <v>45202</v>
      </c>
      <c r="B300" s="83">
        <v>40</v>
      </c>
      <c r="C300" s="115" t="s">
        <v>683</v>
      </c>
      <c r="D300" s="84">
        <v>2.35</v>
      </c>
      <c r="E300" s="84">
        <v>0.23304620312499999</v>
      </c>
      <c r="F300" s="84">
        <v>3.5249198141360516</v>
      </c>
      <c r="G300" s="112">
        <v>1.975873875</v>
      </c>
      <c r="H300" s="112">
        <v>-12.769889562150746</v>
      </c>
      <c r="I300" s="166" t="s">
        <v>682</v>
      </c>
      <c r="J300" s="78">
        <v>1.9680570334855281</v>
      </c>
      <c r="K300" s="79">
        <v>0.84079739361702122</v>
      </c>
      <c r="L300" s="79"/>
      <c r="M300" s="79"/>
      <c r="N300" s="79">
        <v>0</v>
      </c>
      <c r="O300" s="180">
        <v>0.108023000620125</v>
      </c>
      <c r="P300" s="81">
        <v>4.5967234306436167</v>
      </c>
      <c r="Q300" s="79">
        <v>9.9168597074468082E-2</v>
      </c>
      <c r="R300" s="79"/>
      <c r="S300" s="180">
        <v>5.165935184671875E-3</v>
      </c>
      <c r="T300" s="82">
        <v>0.21982702913497337</v>
      </c>
      <c r="U300" s="78">
        <v>20.910638008127915</v>
      </c>
      <c r="X300" s="1" t="s">
        <v>413</v>
      </c>
      <c r="Y300" t="s">
        <v>716</v>
      </c>
    </row>
    <row r="301" spans="1:29" x14ac:dyDescent="0.25">
      <c r="A301" s="206">
        <v>45202</v>
      </c>
      <c r="B301" s="95">
        <v>41</v>
      </c>
      <c r="C301" s="95" t="s">
        <v>684</v>
      </c>
      <c r="D301" s="96">
        <v>2.077</v>
      </c>
      <c r="E301" s="96">
        <v>0.15970389062500001</v>
      </c>
      <c r="F301" s="96">
        <v>-8.0924833005003869</v>
      </c>
      <c r="G301" s="96">
        <v>1.237875625</v>
      </c>
      <c r="H301" s="96">
        <v>-18.391589616018848</v>
      </c>
      <c r="I301" s="101">
        <v>-23.313646907982097</v>
      </c>
      <c r="J301" s="78">
        <v>-9.6900069920521386</v>
      </c>
      <c r="K301" s="79">
        <v>0.59599211603273961</v>
      </c>
      <c r="L301" s="79"/>
      <c r="M301" s="79"/>
      <c r="N301" s="79">
        <v>0</v>
      </c>
      <c r="O301" s="180">
        <v>6.7675898294374995E-2</v>
      </c>
      <c r="P301" s="81">
        <v>3.25834849756259</v>
      </c>
      <c r="Q301" s="79">
        <v>7.6891618018777086E-2</v>
      </c>
      <c r="R301" s="79"/>
      <c r="S301" s="180">
        <v>3.540156143484375E-3</v>
      </c>
      <c r="T301" s="82">
        <v>0.17044564966222317</v>
      </c>
      <c r="U301" s="78">
        <v>19.116642190749655</v>
      </c>
      <c r="X301" s="1" t="s">
        <v>413</v>
      </c>
    </row>
    <row r="302" spans="1:29" x14ac:dyDescent="0.25">
      <c r="A302" s="206">
        <v>45202</v>
      </c>
      <c r="B302" s="83">
        <v>42</v>
      </c>
      <c r="C302" s="83" t="s">
        <v>685</v>
      </c>
      <c r="D302" s="84">
        <v>1.75</v>
      </c>
      <c r="E302" s="84">
        <v>0.16625704687500001</v>
      </c>
      <c r="F302" s="84">
        <v>-2.2536818349960797E-2</v>
      </c>
      <c r="G302" s="84">
        <v>1.197529375</v>
      </c>
      <c r="H302" s="84">
        <v>-19.903485288864225</v>
      </c>
      <c r="I302" s="101">
        <v>-24.829624699144155</v>
      </c>
      <c r="J302" s="78">
        <v>-1.5918156972141855</v>
      </c>
      <c r="K302" s="79">
        <v>0.68430250000000004</v>
      </c>
      <c r="L302" s="79"/>
      <c r="M302" s="79"/>
      <c r="N302" s="79">
        <v>0</v>
      </c>
      <c r="O302" s="180">
        <v>6.5470128460624999E-2</v>
      </c>
      <c r="P302" s="81">
        <v>3.7411501977499997</v>
      </c>
      <c r="Q302" s="79">
        <v>9.5004026785714291E-2</v>
      </c>
      <c r="R302" s="79"/>
      <c r="S302" s="180">
        <v>3.6854199580781252E-3</v>
      </c>
      <c r="T302" s="82">
        <v>0.21059542617589286</v>
      </c>
      <c r="U302" s="78">
        <v>17.764631766624067</v>
      </c>
      <c r="X302" s="1" t="s">
        <v>413</v>
      </c>
    </row>
    <row r="303" spans="1:29" x14ac:dyDescent="0.25">
      <c r="A303" s="206">
        <v>45202</v>
      </c>
      <c r="B303" s="95">
        <v>43</v>
      </c>
      <c r="C303" s="95" t="s">
        <v>686</v>
      </c>
      <c r="D303" s="96">
        <v>1.8240000000000001</v>
      </c>
      <c r="E303" s="96">
        <v>0.19479439062500001</v>
      </c>
      <c r="F303" s="96">
        <v>3.1636925108307068</v>
      </c>
      <c r="G303" s="96">
        <v>1.4321513749999999</v>
      </c>
      <c r="H303" s="96">
        <v>-20.292408711180045</v>
      </c>
      <c r="I303" s="101">
        <v>-25.219598214700227</v>
      </c>
      <c r="J303" s="78">
        <v>1.6055654346186143</v>
      </c>
      <c r="K303" s="79">
        <v>0.78517070997807004</v>
      </c>
      <c r="L303" s="79"/>
      <c r="M303" s="79"/>
      <c r="N303" s="79">
        <v>0</v>
      </c>
      <c r="O303" s="180">
        <v>7.8297147822624993E-2</v>
      </c>
      <c r="P303" s="81">
        <v>4.2926067885211072</v>
      </c>
      <c r="Q303" s="79">
        <v>0.10679517029879386</v>
      </c>
      <c r="R303" s="79"/>
      <c r="S303" s="180">
        <v>4.3180072569843752E-3</v>
      </c>
      <c r="T303" s="82">
        <v>0.23673285400133637</v>
      </c>
      <c r="U303" s="78">
        <v>18.132704083806107</v>
      </c>
      <c r="X303" s="1" t="s">
        <v>413</v>
      </c>
    </row>
    <row r="304" spans="1:29" x14ac:dyDescent="0.25">
      <c r="A304" s="206">
        <v>45202</v>
      </c>
      <c r="B304" s="83">
        <v>44</v>
      </c>
      <c r="C304" s="83" t="s">
        <v>687</v>
      </c>
      <c r="D304" s="84">
        <v>1.9279999999999999</v>
      </c>
      <c r="E304" s="84">
        <v>0.19752984374999999</v>
      </c>
      <c r="F304" s="84">
        <v>3.1557817670917476</v>
      </c>
      <c r="G304" s="84">
        <v>1.8771538750000001</v>
      </c>
      <c r="H304" s="84">
        <v>-20.618909681200286</v>
      </c>
      <c r="I304" s="101">
        <v>-25.546980737339524</v>
      </c>
      <c r="J304" s="78">
        <v>1.5976270032765689</v>
      </c>
      <c r="K304" s="79">
        <v>0.97362752852697099</v>
      </c>
      <c r="L304" s="79"/>
      <c r="M304" s="79"/>
      <c r="N304" s="79">
        <v>0</v>
      </c>
      <c r="O304" s="180">
        <v>0.102625879500125</v>
      </c>
      <c r="P304" s="81">
        <v>5.3229190612098032</v>
      </c>
      <c r="Q304" s="79">
        <v>0.10245323845954357</v>
      </c>
      <c r="R304" s="79"/>
      <c r="S304" s="180">
        <v>4.3786440464062496E-3</v>
      </c>
      <c r="T304" s="82">
        <v>0.2271080936932702</v>
      </c>
      <c r="U304" s="78">
        <v>23.437821940414334</v>
      </c>
      <c r="X304" s="1" t="s">
        <v>413</v>
      </c>
    </row>
    <row r="305" spans="1:25" x14ac:dyDescent="0.25">
      <c r="A305" s="206">
        <v>45202</v>
      </c>
      <c r="B305" s="95">
        <v>45</v>
      </c>
      <c r="C305" s="95" t="s">
        <v>688</v>
      </c>
      <c r="D305" s="96">
        <v>1.946</v>
      </c>
      <c r="E305" s="96">
        <v>0.1302796953125</v>
      </c>
      <c r="F305" s="96">
        <v>-0.67551626316253444</v>
      </c>
      <c r="G305" s="96">
        <v>1.0506891249999999</v>
      </c>
      <c r="H305" s="96">
        <v>-20.305566561687542</v>
      </c>
      <c r="I305" s="101">
        <v>-25.232791591404094</v>
      </c>
      <c r="J305" s="78">
        <v>-2.2470805700836034</v>
      </c>
      <c r="K305" s="79">
        <v>0.53992246916752307</v>
      </c>
      <c r="L305" s="79"/>
      <c r="M305" s="79"/>
      <c r="N305" s="79">
        <v>0</v>
      </c>
      <c r="O305" s="180">
        <v>5.744222515287499E-2</v>
      </c>
      <c r="P305" s="81">
        <v>2.9518101311857654</v>
      </c>
      <c r="Q305" s="79">
        <v>6.6947428218139773E-2</v>
      </c>
      <c r="R305" s="79"/>
      <c r="S305" s="180">
        <v>2.8879100059921873E-3</v>
      </c>
      <c r="T305" s="82">
        <v>0.14840236413115043</v>
      </c>
      <c r="U305" s="78">
        <v>19.890586975939993</v>
      </c>
      <c r="X305" s="1" t="s">
        <v>413</v>
      </c>
    </row>
    <row r="306" spans="1:25" x14ac:dyDescent="0.25">
      <c r="A306" s="206">
        <v>45202</v>
      </c>
      <c r="B306" s="83">
        <v>46</v>
      </c>
      <c r="C306" s="83" t="s">
        <v>689</v>
      </c>
      <c r="D306" s="84">
        <v>2.105</v>
      </c>
      <c r="E306" s="84">
        <v>0.18307667187500001</v>
      </c>
      <c r="F306" s="84">
        <v>5.4151901645771439</v>
      </c>
      <c r="G306" s="84">
        <v>1.6387566250000001</v>
      </c>
      <c r="H306" s="84">
        <v>-20.47942885858722</v>
      </c>
      <c r="I306" s="101">
        <v>-25.407123316505402</v>
      </c>
      <c r="J306" s="78">
        <v>3.8649433301531642</v>
      </c>
      <c r="K306" s="79">
        <v>0.77850671021377682</v>
      </c>
      <c r="L306" s="79"/>
      <c r="M306" s="79"/>
      <c r="N306" s="79">
        <v>0</v>
      </c>
      <c r="O306" s="180">
        <v>8.9592463445374998E-2</v>
      </c>
      <c r="P306" s="81">
        <v>4.2561740354097388</v>
      </c>
      <c r="Q306" s="79">
        <v>8.6972290676959621E-2</v>
      </c>
      <c r="R306" s="79"/>
      <c r="S306" s="180">
        <v>4.0582605854531254E-3</v>
      </c>
      <c r="T306" s="82">
        <v>0.19279147674361641</v>
      </c>
      <c r="U306" s="78">
        <v>22.076567425591165</v>
      </c>
      <c r="X306" s="1" t="s">
        <v>413</v>
      </c>
    </row>
    <row r="307" spans="1:25" x14ac:dyDescent="0.25">
      <c r="A307" s="206">
        <v>45202</v>
      </c>
      <c r="B307" s="95">
        <v>47</v>
      </c>
      <c r="C307" s="95" t="s">
        <v>690</v>
      </c>
      <c r="D307" s="96">
        <v>2.4580000000000002</v>
      </c>
      <c r="E307" s="96">
        <v>0.22947221875000001</v>
      </c>
      <c r="F307" s="96">
        <v>5.1563810962662604</v>
      </c>
      <c r="G307" s="96">
        <v>2.1636245000000001</v>
      </c>
      <c r="H307" s="96">
        <v>-20.579064937209893</v>
      </c>
      <c r="I307" s="101">
        <v>-25.507028412540357</v>
      </c>
      <c r="J307" s="78">
        <v>3.6052284301031929</v>
      </c>
      <c r="K307" s="79">
        <v>0.88023779495524812</v>
      </c>
      <c r="L307" s="79"/>
      <c r="M307" s="79"/>
      <c r="N307" s="79">
        <v>0</v>
      </c>
      <c r="O307" s="180">
        <v>0.1182875150395</v>
      </c>
      <c r="P307" s="81">
        <v>4.8123480487998371</v>
      </c>
      <c r="Q307" s="79">
        <v>9.3357289971521554E-2</v>
      </c>
      <c r="R307" s="79"/>
      <c r="S307" s="180">
        <v>5.08671067303125E-3</v>
      </c>
      <c r="T307" s="82">
        <v>0.20694510467987184</v>
      </c>
      <c r="U307" s="78">
        <v>23.254225105948599</v>
      </c>
      <c r="X307" s="1" t="s">
        <v>413</v>
      </c>
    </row>
    <row r="308" spans="1:25" x14ac:dyDescent="0.25">
      <c r="A308" s="206">
        <v>45202</v>
      </c>
      <c r="B308" s="83">
        <v>48</v>
      </c>
      <c r="C308" s="83" t="s">
        <v>691</v>
      </c>
      <c r="D308" s="84">
        <v>1.968</v>
      </c>
      <c r="E308" s="84">
        <v>7.0526492187499998E-2</v>
      </c>
      <c r="F308" s="84">
        <v>0.3363356759624736</v>
      </c>
      <c r="G308" s="84">
        <v>0.46609062499999998</v>
      </c>
      <c r="H308" s="84">
        <v>-19.352388458950646</v>
      </c>
      <c r="I308" s="101">
        <v>-24.27703990778981</v>
      </c>
      <c r="J308" s="78">
        <v>-1.2316871491716577</v>
      </c>
      <c r="K308" s="79">
        <v>0.23683466717479673</v>
      </c>
      <c r="L308" s="79"/>
      <c r="M308" s="79"/>
      <c r="N308" s="79">
        <v>0</v>
      </c>
      <c r="O308" s="180">
        <v>2.5481640559374998E-2</v>
      </c>
      <c r="P308" s="81">
        <v>1.2947988089113314</v>
      </c>
      <c r="Q308" s="79">
        <v>3.5836632209095526E-2</v>
      </c>
      <c r="R308" s="79"/>
      <c r="S308" s="180">
        <v>1.5633607523203124E-3</v>
      </c>
      <c r="T308" s="82">
        <v>7.9439062617902054E-2</v>
      </c>
      <c r="U308" s="78">
        <v>16.299270991391843</v>
      </c>
      <c r="X308" s="1" t="s">
        <v>413</v>
      </c>
    </row>
    <row r="309" spans="1:25" x14ac:dyDescent="0.25">
      <c r="A309" s="206">
        <v>45202</v>
      </c>
      <c r="B309" s="95">
        <v>49</v>
      </c>
      <c r="C309" s="95" t="s">
        <v>692</v>
      </c>
      <c r="D309" s="96">
        <v>1.73</v>
      </c>
      <c r="E309" s="96">
        <v>4.9124945312500001E-2</v>
      </c>
      <c r="F309" s="96">
        <v>-10.643344618181949</v>
      </c>
      <c r="G309" s="96">
        <v>0.81434481250000001</v>
      </c>
      <c r="H309" s="96">
        <v>-9.8842340751203288</v>
      </c>
      <c r="I309" s="166">
        <v>-14.783321507123151</v>
      </c>
      <c r="J309" s="78">
        <v>-12.249796324345587</v>
      </c>
      <c r="K309" s="79">
        <v>0.47071954479768785</v>
      </c>
      <c r="L309" s="79"/>
      <c r="M309" s="79"/>
      <c r="N309" s="79">
        <v>0</v>
      </c>
      <c r="O309" s="180">
        <v>4.4521045244187499E-2</v>
      </c>
      <c r="P309" s="81">
        <v>2.5734708233634391</v>
      </c>
      <c r="Q309" s="79">
        <v>2.8395922145953757E-2</v>
      </c>
      <c r="R309" s="79"/>
      <c r="S309" s="180">
        <v>1.0889526627421875E-3</v>
      </c>
      <c r="T309" s="82">
        <v>6.2945240620935691E-2</v>
      </c>
      <c r="U309" s="78">
        <v>40.884279700529071</v>
      </c>
      <c r="X309" s="1" t="s">
        <v>413</v>
      </c>
      <c r="Y309" t="s">
        <v>713</v>
      </c>
    </row>
    <row r="310" spans="1:25" x14ac:dyDescent="0.25">
      <c r="A310" s="206">
        <v>45202</v>
      </c>
      <c r="B310" s="83">
        <v>52</v>
      </c>
      <c r="C310" s="83" t="s">
        <v>693</v>
      </c>
      <c r="D310" s="84">
        <v>2.093</v>
      </c>
      <c r="E310" s="84">
        <v>0.160024265625</v>
      </c>
      <c r="F310" s="84">
        <v>2.476968910708699</v>
      </c>
      <c r="G310" s="84">
        <v>1.1934307500000001</v>
      </c>
      <c r="H310" s="84">
        <v>-20.129198980375751</v>
      </c>
      <c r="I310" s="101">
        <v>-25.055947817622762</v>
      </c>
      <c r="J310" s="78">
        <v>0.91643830189617947</v>
      </c>
      <c r="K310" s="79">
        <v>0.57020102723363597</v>
      </c>
      <c r="L310" s="79"/>
      <c r="M310" s="79"/>
      <c r="N310" s="79">
        <v>0</v>
      </c>
      <c r="O310" s="180">
        <v>6.5246052533249999E-2</v>
      </c>
      <c r="P310" s="81">
        <v>3.1173460359890113</v>
      </c>
      <c r="Q310" s="79">
        <v>7.6456887541806018E-2</v>
      </c>
      <c r="R310" s="79"/>
      <c r="S310" s="180">
        <v>3.5472578961093749E-3</v>
      </c>
      <c r="T310" s="82">
        <v>0.16948198261392142</v>
      </c>
      <c r="U310" s="78">
        <v>18.393377206887532</v>
      </c>
      <c r="X310" s="1" t="s">
        <v>413</v>
      </c>
    </row>
    <row r="311" spans="1:25" x14ac:dyDescent="0.25">
      <c r="A311" s="206">
        <v>45202</v>
      </c>
      <c r="B311" s="83">
        <v>53</v>
      </c>
      <c r="C311" s="83" t="s">
        <v>694</v>
      </c>
      <c r="D311" s="84">
        <v>2.109</v>
      </c>
      <c r="E311" s="84">
        <v>0.18526848437499999</v>
      </c>
      <c r="F311" s="84">
        <v>-15.563728843609791</v>
      </c>
      <c r="G311" s="84">
        <v>1.31219325</v>
      </c>
      <c r="H311" s="84">
        <v>-20.470823201524261</v>
      </c>
      <c r="I311" s="101">
        <v>-25.398494424168373</v>
      </c>
      <c r="J311" s="78">
        <v>-17.187401894562427</v>
      </c>
      <c r="K311" s="79">
        <v>0.62218741109530584</v>
      </c>
      <c r="L311" s="79"/>
      <c r="M311" s="79"/>
      <c r="N311" s="79">
        <v>0</v>
      </c>
      <c r="O311" s="180">
        <v>7.1738917170749997E-2</v>
      </c>
      <c r="P311" s="81">
        <v>3.401560795199146</v>
      </c>
      <c r="Q311" s="79">
        <v>8.7846602358937875E-2</v>
      </c>
      <c r="R311" s="79"/>
      <c r="S311" s="180">
        <v>4.1068464931406246E-3</v>
      </c>
      <c r="T311" s="82">
        <v>0.19472956344905759</v>
      </c>
      <c r="U311" s="78">
        <v>17.468127257877896</v>
      </c>
      <c r="X311" s="1" t="s">
        <v>413</v>
      </c>
    </row>
    <row r="312" spans="1:25" x14ac:dyDescent="0.25">
      <c r="A312" s="206">
        <v>45202</v>
      </c>
      <c r="B312" s="83">
        <v>54</v>
      </c>
      <c r="C312" s="83" t="s">
        <v>695</v>
      </c>
      <c r="D312" s="84">
        <v>1.8680000000000001</v>
      </c>
      <c r="E312" s="84">
        <v>0.14634668749999999</v>
      </c>
      <c r="F312" s="84">
        <v>-2.1484695190262526</v>
      </c>
      <c r="G312" s="84">
        <v>0.75530462499999995</v>
      </c>
      <c r="H312" s="84">
        <v>-19.400564092553271</v>
      </c>
      <c r="I312" s="101">
        <v>-24.325345615603162</v>
      </c>
      <c r="J312" s="78">
        <v>-3.7251891623428444</v>
      </c>
      <c r="K312" s="79">
        <v>0.40433866434689503</v>
      </c>
      <c r="L312" s="79"/>
      <c r="M312" s="79"/>
      <c r="N312" s="79">
        <v>0</v>
      </c>
      <c r="O312" s="180">
        <v>4.1293259153374992E-2</v>
      </c>
      <c r="P312" s="81">
        <v>2.2105599118509094</v>
      </c>
      <c r="Q312" s="79">
        <v>7.8344051124196998E-2</v>
      </c>
      <c r="R312" s="79"/>
      <c r="S312" s="180">
        <v>3.2440670218124995E-3</v>
      </c>
      <c r="T312" s="82">
        <v>0.17366525812700745</v>
      </c>
      <c r="U312" s="78">
        <v>12.728855130219827</v>
      </c>
      <c r="X312" s="1" t="s">
        <v>413</v>
      </c>
    </row>
    <row r="313" spans="1:25" x14ac:dyDescent="0.25">
      <c r="A313" s="206">
        <v>45202</v>
      </c>
      <c r="B313" s="95">
        <v>55</v>
      </c>
      <c r="C313" s="95" t="s">
        <v>696</v>
      </c>
      <c r="D313" s="96">
        <v>1.913</v>
      </c>
      <c r="E313" s="96">
        <v>0.10427975</v>
      </c>
      <c r="F313" s="96">
        <v>-9.0797686222348073</v>
      </c>
      <c r="G313" s="96">
        <v>0.22501803125</v>
      </c>
      <c r="H313" s="96">
        <v>-18.431056396842845</v>
      </c>
      <c r="I313" s="101">
        <v>-23.353220249114319</v>
      </c>
      <c r="J313" s="78">
        <v>-10.68074781241263</v>
      </c>
      <c r="K313" s="79">
        <v>0.11762573510193414</v>
      </c>
      <c r="L313" s="79"/>
      <c r="M313" s="79"/>
      <c r="N313" s="79">
        <v>0</v>
      </c>
      <c r="O313" s="180">
        <v>1.230196078646875E-2</v>
      </c>
      <c r="P313" s="81">
        <v>0.64307165637578412</v>
      </c>
      <c r="Q313" s="79">
        <v>5.4511108207004708E-2</v>
      </c>
      <c r="R313" s="79"/>
      <c r="S313" s="180">
        <v>2.31156921825E-3</v>
      </c>
      <c r="T313" s="82">
        <v>0.12083477356246732</v>
      </c>
      <c r="U313" s="78">
        <v>5.3219088960624292</v>
      </c>
      <c r="X313" s="1" t="s">
        <v>413</v>
      </c>
    </row>
    <row r="314" spans="1:25" x14ac:dyDescent="0.25">
      <c r="A314" s="206">
        <v>45202</v>
      </c>
      <c r="B314" s="83">
        <v>56</v>
      </c>
      <c r="C314" s="83" t="s">
        <v>697</v>
      </c>
      <c r="D314" s="84">
        <v>1.9179999999999999</v>
      </c>
      <c r="E314" s="84">
        <v>0.25004192187500002</v>
      </c>
      <c r="F314" s="84">
        <v>-11.138436438634326</v>
      </c>
      <c r="G314" s="84">
        <v>1.3254364999999999</v>
      </c>
      <c r="H314" s="84">
        <v>-20.564567551785188</v>
      </c>
      <c r="I314" s="101">
        <v>-25.492491884175006</v>
      </c>
      <c r="J314" s="78">
        <v>-12.746620966169546</v>
      </c>
      <c r="K314" s="79">
        <v>0.69105135557872777</v>
      </c>
      <c r="L314" s="79"/>
      <c r="M314" s="79"/>
      <c r="N314" s="79">
        <v>0</v>
      </c>
      <c r="O314" s="180">
        <v>7.2462938891499989E-2</v>
      </c>
      <c r="P314" s="81">
        <v>3.7780468660844626</v>
      </c>
      <c r="Q314" s="79">
        <v>0.13036596552398333</v>
      </c>
      <c r="R314" s="79"/>
      <c r="S314" s="180">
        <v>5.5426792822031255E-3</v>
      </c>
      <c r="T314" s="82">
        <v>0.28898223577701382</v>
      </c>
      <c r="U314" s="78">
        <v>13.073630134828429</v>
      </c>
      <c r="X314" s="1" t="s">
        <v>413</v>
      </c>
    </row>
    <row r="315" spans="1:25" x14ac:dyDescent="0.25">
      <c r="A315" s="206">
        <v>45202</v>
      </c>
      <c r="B315" s="95">
        <v>57</v>
      </c>
      <c r="C315" s="95" t="s">
        <v>698</v>
      </c>
      <c r="D315" s="96">
        <v>2.0430000000000001</v>
      </c>
      <c r="E315" s="96">
        <v>0.20814445312499999</v>
      </c>
      <c r="F315" s="96">
        <v>-15.227154977377033</v>
      </c>
      <c r="G315" s="96">
        <v>0.74630993749999996</v>
      </c>
      <c r="H315" s="96">
        <v>-20.08240659654243</v>
      </c>
      <c r="I315" s="101">
        <v>-25.009029094353092</v>
      </c>
      <c r="J315" s="78">
        <v>-16.849650019797853</v>
      </c>
      <c r="K315" s="79">
        <v>0.36530099730788052</v>
      </c>
      <c r="L315" s="79"/>
      <c r="M315" s="79"/>
      <c r="N315" s="79">
        <v>0</v>
      </c>
      <c r="O315" s="180">
        <v>4.0801510593062494E-2</v>
      </c>
      <c r="P315" s="81">
        <v>1.9971370823819132</v>
      </c>
      <c r="Q315" s="79">
        <v>0.10188176853891336</v>
      </c>
      <c r="R315" s="79"/>
      <c r="S315" s="180">
        <v>4.6139380924218746E-3</v>
      </c>
      <c r="T315" s="82">
        <v>0.22584131632020921</v>
      </c>
      <c r="U315" s="78">
        <v>8.8430988400292172</v>
      </c>
      <c r="X315" s="1" t="s">
        <v>413</v>
      </c>
    </row>
    <row r="316" spans="1:25" x14ac:dyDescent="0.25">
      <c r="A316" s="206">
        <v>45202</v>
      </c>
      <c r="B316" s="83">
        <v>58</v>
      </c>
      <c r="C316" s="83" t="s">
        <v>699</v>
      </c>
      <c r="D316" s="84">
        <v>2.359</v>
      </c>
      <c r="E316" s="84">
        <v>0.37248334374999997</v>
      </c>
      <c r="F316" s="84">
        <v>-13.599674809037676</v>
      </c>
      <c r="G316" s="84">
        <v>0.77179156250000003</v>
      </c>
      <c r="H316" s="84">
        <v>-20.181468667428671</v>
      </c>
      <c r="I316" s="101">
        <v>-25.108358632830726</v>
      </c>
      <c r="J316" s="78">
        <v>-15.216473670869309</v>
      </c>
      <c r="K316" s="79">
        <v>0.32716895400593471</v>
      </c>
      <c r="L316" s="79"/>
      <c r="M316" s="79"/>
      <c r="N316" s="79">
        <v>0</v>
      </c>
      <c r="O316" s="180">
        <v>4.2194616513437498E-2</v>
      </c>
      <c r="P316" s="81">
        <v>1.7886653884458457</v>
      </c>
      <c r="Q316" s="79">
        <v>0.15789883160237389</v>
      </c>
      <c r="R316" s="79"/>
      <c r="S316" s="180">
        <v>8.2568382809062486E-3</v>
      </c>
      <c r="T316" s="82">
        <v>0.35001434001298215</v>
      </c>
      <c r="U316" s="78">
        <v>5.1102631634449702</v>
      </c>
      <c r="X316" s="1" t="s">
        <v>413</v>
      </c>
    </row>
    <row r="317" spans="1:25" x14ac:dyDescent="0.25">
      <c r="A317" s="206">
        <v>45202</v>
      </c>
      <c r="B317" s="95">
        <v>59</v>
      </c>
      <c r="C317" s="95" t="s">
        <v>700</v>
      </c>
      <c r="D317" s="96">
        <v>1.8660000000000001</v>
      </c>
      <c r="E317" s="96">
        <v>0.28066068750000001</v>
      </c>
      <c r="F317" s="96">
        <v>-4.631247837485919</v>
      </c>
      <c r="G317" s="96">
        <v>1.4237081250000001</v>
      </c>
      <c r="H317" s="96">
        <v>-20.46494416690506</v>
      </c>
      <c r="I317" s="101">
        <v>-25.392599516155702</v>
      </c>
      <c r="J317" s="78">
        <v>-6.2166572049171194</v>
      </c>
      <c r="K317" s="79">
        <v>0.76297327170418006</v>
      </c>
      <c r="L317" s="79"/>
      <c r="M317" s="79"/>
      <c r="N317" s="79">
        <v>0</v>
      </c>
      <c r="O317" s="180">
        <v>7.7835546901874997E-2</v>
      </c>
      <c r="P317" s="81">
        <v>4.1712511737339222</v>
      </c>
      <c r="Q317" s="79">
        <v>0.15040765675241158</v>
      </c>
      <c r="R317" s="79"/>
      <c r="S317" s="180">
        <v>6.2214054598124999E-3</v>
      </c>
      <c r="T317" s="82">
        <v>0.33340865272307069</v>
      </c>
      <c r="U317" s="78">
        <v>12.510926575137702</v>
      </c>
      <c r="X317" s="1" t="s">
        <v>413</v>
      </c>
    </row>
    <row r="318" spans="1:25" x14ac:dyDescent="0.25">
      <c r="A318" s="206">
        <v>45202</v>
      </c>
      <c r="B318" s="83">
        <v>60</v>
      </c>
      <c r="C318" s="83" t="s">
        <v>701</v>
      </c>
      <c r="D318" s="84">
        <v>6.931</v>
      </c>
      <c r="E318" s="84">
        <v>0.37844543749999998</v>
      </c>
      <c r="F318" s="84">
        <v>-8.3084737423818602</v>
      </c>
      <c r="G318" s="84">
        <v>1.761195125</v>
      </c>
      <c r="H318" s="84">
        <v>-21.129830483862023</v>
      </c>
      <c r="I318" s="101">
        <v>-26.059281026168449</v>
      </c>
      <c r="J318" s="78">
        <v>-9.9067534004801967</v>
      </c>
      <c r="K318" s="79">
        <v>0.25410404342807674</v>
      </c>
      <c r="L318" s="79"/>
      <c r="M318" s="79"/>
      <c r="N318" s="79">
        <v>0</v>
      </c>
      <c r="O318" s="180">
        <v>9.628629867887499E-2</v>
      </c>
      <c r="P318" s="81">
        <v>1.3892122158256384</v>
      </c>
      <c r="Q318" s="79">
        <v>5.4601852185831766E-2</v>
      </c>
      <c r="R318" s="79"/>
      <c r="S318" s="180">
        <v>8.3890000130624996E-3</v>
      </c>
      <c r="T318" s="82">
        <v>0.12103592574033328</v>
      </c>
      <c r="U318" s="78">
        <v>11.477684888419089</v>
      </c>
      <c r="V318" s="102">
        <f t="shared" ref="V318" si="15">O318*27.38</f>
        <v>2.6363188578275971</v>
      </c>
      <c r="W318" s="102">
        <f t="shared" ref="W318" si="16">IF(S318&lt;0,0,S318*27.38)</f>
        <v>0.22969082035765123</v>
      </c>
      <c r="X318" s="1" t="s">
        <v>413</v>
      </c>
    </row>
    <row r="319" spans="1:25" x14ac:dyDescent="0.25">
      <c r="A319" s="206">
        <v>45202</v>
      </c>
      <c r="B319" s="95">
        <v>61</v>
      </c>
      <c r="C319" s="95" t="s">
        <v>702</v>
      </c>
      <c r="D319" s="96">
        <v>7.5750000000000002</v>
      </c>
      <c r="E319" s="96">
        <v>0.54319187499999999</v>
      </c>
      <c r="F319" s="96">
        <v>-6.7104121319905286</v>
      </c>
      <c r="G319" s="96">
        <v>3.0498462499999999</v>
      </c>
      <c r="H319" s="96">
        <v>-21.279895722067902</v>
      </c>
      <c r="I319" s="101">
        <v>-26.209751440517483</v>
      </c>
      <c r="J319" s="78">
        <v>-8.3030985744524965</v>
      </c>
      <c r="K319" s="79">
        <v>0.40261996699669966</v>
      </c>
      <c r="L319" s="79"/>
      <c r="M319" s="79"/>
      <c r="N319" s="79">
        <v>0</v>
      </c>
      <c r="O319" s="180">
        <v>0.16673814433374998</v>
      </c>
      <c r="P319" s="81">
        <v>2.2011636215676567</v>
      </c>
      <c r="Q319" s="79">
        <v>7.1708498349834976E-2</v>
      </c>
      <c r="R319" s="79"/>
      <c r="S319" s="180">
        <v>1.2040934293125E-2</v>
      </c>
      <c r="T319" s="82">
        <v>0.1589562282920792</v>
      </c>
      <c r="U319" s="78">
        <v>13.847608522284878</v>
      </c>
      <c r="V319" s="102">
        <f t="shared" ref="V319:V328" si="17">O319*27.38</f>
        <v>4.5652903918580741</v>
      </c>
      <c r="W319" s="102">
        <f t="shared" ref="W319:W328" si="18">IF(S319&lt;0,0,S319*27.38)</f>
        <v>0.32968078094576247</v>
      </c>
    </row>
    <row r="320" spans="1:25" x14ac:dyDescent="0.25">
      <c r="A320" s="206">
        <v>45202</v>
      </c>
      <c r="B320" s="83">
        <v>62</v>
      </c>
      <c r="C320" s="83" t="s">
        <v>703</v>
      </c>
      <c r="D320" s="84">
        <v>7.1719999999999997</v>
      </c>
      <c r="E320" s="84">
        <v>0.46110590624999997</v>
      </c>
      <c r="F320" s="84">
        <v>-13.252976270599181</v>
      </c>
      <c r="G320" s="84">
        <v>2.6096747499999999</v>
      </c>
      <c r="H320" s="84">
        <v>-21.32879309150427</v>
      </c>
      <c r="I320" s="101">
        <v>-26.258780832851329</v>
      </c>
      <c r="J320" s="78">
        <v>-14.868561687546279</v>
      </c>
      <c r="K320" s="79">
        <v>0.36386987590630226</v>
      </c>
      <c r="L320" s="79"/>
      <c r="M320" s="79"/>
      <c r="N320" s="79">
        <v>0</v>
      </c>
      <c r="O320" s="180">
        <v>0.14267352825724999</v>
      </c>
      <c r="P320" s="81">
        <v>1.9893129985673452</v>
      </c>
      <c r="Q320" s="79">
        <v>6.4292513420245403E-2</v>
      </c>
      <c r="R320" s="79"/>
      <c r="S320" s="180">
        <v>1.022133462384375E-2</v>
      </c>
      <c r="T320" s="82">
        <v>0.14251721449865798</v>
      </c>
      <c r="U320" s="78">
        <v>13.958404993847797</v>
      </c>
      <c r="V320" s="102">
        <f t="shared" si="17"/>
        <v>3.9064012036835045</v>
      </c>
      <c r="W320" s="102">
        <f t="shared" si="18"/>
        <v>0.27986014200084186</v>
      </c>
      <c r="X320" s="1" t="s">
        <v>413</v>
      </c>
    </row>
    <row r="321" spans="1:24" x14ac:dyDescent="0.25">
      <c r="A321" s="206">
        <v>45202</v>
      </c>
      <c r="B321" s="95">
        <v>65</v>
      </c>
      <c r="C321" s="95" t="s">
        <v>704</v>
      </c>
      <c r="D321" s="96">
        <v>6.8520000000000003</v>
      </c>
      <c r="E321" s="96">
        <v>0.37515956249999999</v>
      </c>
      <c r="F321" s="96">
        <v>-8.5382728354397308</v>
      </c>
      <c r="G321" s="96">
        <v>1.8077939999999999</v>
      </c>
      <c r="H321" s="96">
        <v>-21.222000177293996</v>
      </c>
      <c r="I321" s="101">
        <v>-26.151699577772686</v>
      </c>
      <c r="J321" s="78">
        <v>-10.137356790363771</v>
      </c>
      <c r="K321" s="79">
        <v>0.26383450087565674</v>
      </c>
      <c r="L321" s="79"/>
      <c r="M321" s="79"/>
      <c r="N321" s="79">
        <v>0</v>
      </c>
      <c r="O321" s="180">
        <v>9.8833905773999989E-2</v>
      </c>
      <c r="P321" s="81">
        <v>1.4424095997373028</v>
      </c>
      <c r="Q321" s="79">
        <v>5.4751833406304726E-2</v>
      </c>
      <c r="R321" s="79"/>
      <c r="S321" s="180">
        <v>8.3161620219374989E-3</v>
      </c>
      <c r="T321" s="82">
        <v>0.12136838911175565</v>
      </c>
      <c r="U321" s="78">
        <v>11.884557505407244</v>
      </c>
      <c r="V321" s="102">
        <f t="shared" si="17"/>
        <v>2.7060723400921196</v>
      </c>
      <c r="W321" s="102">
        <f t="shared" si="18"/>
        <v>0.2276965161606487</v>
      </c>
      <c r="X321" s="1" t="s">
        <v>413</v>
      </c>
    </row>
    <row r="322" spans="1:24" x14ac:dyDescent="0.25">
      <c r="A322" s="206">
        <v>45202</v>
      </c>
      <c r="B322" s="83">
        <v>66</v>
      </c>
      <c r="C322" s="83" t="s">
        <v>705</v>
      </c>
      <c r="D322" s="84">
        <v>7.1520000000000001</v>
      </c>
      <c r="E322" s="84">
        <v>0.46997746875000002</v>
      </c>
      <c r="F322" s="84">
        <v>-4.9588265693694122</v>
      </c>
      <c r="G322" s="84">
        <v>2.9268632499999998</v>
      </c>
      <c r="H322" s="84">
        <v>-21.353913110156228</v>
      </c>
      <c r="I322" s="101">
        <v>-26.283968675553648</v>
      </c>
      <c r="J322" s="78">
        <v>-6.5453824623622054</v>
      </c>
      <c r="K322" s="79">
        <v>0.40923703159955255</v>
      </c>
      <c r="L322" s="79"/>
      <c r="M322" s="79"/>
      <c r="N322" s="79">
        <v>0</v>
      </c>
      <c r="O322" s="180">
        <v>0.16001454074074997</v>
      </c>
      <c r="P322" s="81">
        <v>2.2373397754579134</v>
      </c>
      <c r="Q322" s="79">
        <v>6.5712733326342282E-2</v>
      </c>
      <c r="R322" s="79"/>
      <c r="S322" s="180">
        <v>1.041799054978125E-2</v>
      </c>
      <c r="T322" s="82">
        <v>0.14566541596450294</v>
      </c>
      <c r="U322" s="78">
        <v>15.359443836710895</v>
      </c>
      <c r="V322" s="102">
        <f t="shared" si="17"/>
        <v>4.3811981254817338</v>
      </c>
      <c r="W322" s="102">
        <f t="shared" si="18"/>
        <v>0.28524458125301061</v>
      </c>
      <c r="X322" s="1" t="s">
        <v>413</v>
      </c>
    </row>
    <row r="323" spans="1:24" x14ac:dyDescent="0.25">
      <c r="A323" s="206">
        <v>45202</v>
      </c>
      <c r="B323" s="95">
        <v>67</v>
      </c>
      <c r="C323" s="95" t="s">
        <v>706</v>
      </c>
      <c r="D323" s="96">
        <v>7.1040000000000001</v>
      </c>
      <c r="E323" s="96">
        <v>0.39689540625000003</v>
      </c>
      <c r="F323" s="96">
        <v>-7.3181810927475111</v>
      </c>
      <c r="G323" s="96">
        <v>2.4651842500000001</v>
      </c>
      <c r="H323" s="96">
        <v>-21.35432260520238</v>
      </c>
      <c r="I323" s="101">
        <v>-26.284379276236425</v>
      </c>
      <c r="J323" s="78">
        <v>-8.9129947265721281</v>
      </c>
      <c r="K323" s="79">
        <v>0.34701354870495499</v>
      </c>
      <c r="L323" s="79"/>
      <c r="M323" s="79"/>
      <c r="N323" s="79">
        <v>0</v>
      </c>
      <c r="O323" s="180">
        <v>0.13477408813174999</v>
      </c>
      <c r="P323" s="81">
        <v>1.8971577721248589</v>
      </c>
      <c r="Q323" s="79">
        <v>5.5869285789695952E-2</v>
      </c>
      <c r="R323" s="79"/>
      <c r="S323" s="180">
        <v>8.7979804703437504E-3</v>
      </c>
      <c r="T323" s="82">
        <v>0.12384544581001901</v>
      </c>
      <c r="U323" s="78">
        <v>15.318752819018721</v>
      </c>
      <c r="V323" s="102">
        <f t="shared" si="17"/>
        <v>3.6901145330473146</v>
      </c>
      <c r="W323" s="102">
        <f t="shared" si="18"/>
        <v>0.24088870527801187</v>
      </c>
      <c r="X323" s="1" t="s">
        <v>413</v>
      </c>
    </row>
    <row r="324" spans="1:24" x14ac:dyDescent="0.25">
      <c r="A324" s="206">
        <v>45202</v>
      </c>
      <c r="B324" s="83">
        <v>68</v>
      </c>
      <c r="C324" s="83" t="s">
        <v>707</v>
      </c>
      <c r="D324" s="84">
        <v>8.5679999999999996</v>
      </c>
      <c r="E324" s="84">
        <v>0.75260174999999996</v>
      </c>
      <c r="F324" s="84">
        <v>2.391775623055592</v>
      </c>
      <c r="G324" s="84">
        <v>3.7175832500000001</v>
      </c>
      <c r="H324" s="84">
        <v>-20.879912692329807</v>
      </c>
      <c r="I324" s="101">
        <v>-25.808688456599096</v>
      </c>
      <c r="J324" s="78">
        <v>0.83094683773628697</v>
      </c>
      <c r="K324" s="79">
        <v>0.43389160247432307</v>
      </c>
      <c r="L324" s="79"/>
      <c r="M324" s="79"/>
      <c r="N324" s="79">
        <v>0</v>
      </c>
      <c r="O324" s="180">
        <v>0.20324399386074998</v>
      </c>
      <c r="P324" s="81">
        <v>2.3721287798873716</v>
      </c>
      <c r="Q324" s="79">
        <v>8.7838672969187667E-2</v>
      </c>
      <c r="R324" s="79"/>
      <c r="S324" s="180">
        <v>1.6682922992249997E-2</v>
      </c>
      <c r="T324" s="82">
        <v>0.19471198637079828</v>
      </c>
      <c r="U324" s="78">
        <v>12.182756819962927</v>
      </c>
      <c r="V324" s="102">
        <f t="shared" si="17"/>
        <v>5.5648205519073342</v>
      </c>
      <c r="W324" s="102">
        <f t="shared" si="18"/>
        <v>0.4567784315278049</v>
      </c>
    </row>
    <row r="325" spans="1:24" x14ac:dyDescent="0.25">
      <c r="A325" s="206">
        <v>45202</v>
      </c>
      <c r="B325" s="204">
        <v>69</v>
      </c>
      <c r="C325" s="204" t="s">
        <v>708</v>
      </c>
      <c r="D325" s="205">
        <v>6.125</v>
      </c>
      <c r="E325" s="205">
        <v>0.15788465625000001</v>
      </c>
      <c r="F325" s="205">
        <v>12.777068851835161</v>
      </c>
      <c r="G325" s="205">
        <v>0.30143193750000002</v>
      </c>
      <c r="H325" s="205">
        <v>-23.733696886268842</v>
      </c>
      <c r="I325" s="101">
        <v>-28.670177867861764</v>
      </c>
      <c r="J325" s="78">
        <v>11.252588592816585</v>
      </c>
      <c r="K325" s="79">
        <v>4.9213377551020412E-2</v>
      </c>
      <c r="L325" s="79"/>
      <c r="M325" s="79"/>
      <c r="N325" s="79">
        <v>0</v>
      </c>
      <c r="O325" s="180">
        <v>1.64795854550625E-2</v>
      </c>
      <c r="P325" s="81">
        <v>0.26905445640918368</v>
      </c>
      <c r="Q325" s="79">
        <v>2.577708673469388E-2</v>
      </c>
      <c r="R325" s="79"/>
      <c r="S325" s="180">
        <v>3.4998291750937501E-3</v>
      </c>
      <c r="T325" s="82">
        <v>5.7140068164795922E-2</v>
      </c>
      <c r="U325" s="78">
        <v>4.7086828043888911</v>
      </c>
      <c r="V325" s="102">
        <f t="shared" si="17"/>
        <v>0.45121104975961124</v>
      </c>
      <c r="W325" s="102">
        <f t="shared" si="18"/>
        <v>9.5825322814066874E-2</v>
      </c>
      <c r="X325" s="1" t="s">
        <v>413</v>
      </c>
    </row>
    <row r="326" spans="1:24" x14ac:dyDescent="0.25">
      <c r="A326" s="206">
        <v>45202</v>
      </c>
      <c r="B326" s="83">
        <v>70</v>
      </c>
      <c r="C326" s="83" t="s">
        <v>709</v>
      </c>
      <c r="D326" s="84">
        <v>6.1980000000000004</v>
      </c>
      <c r="E326" s="84">
        <v>0.14525096874999999</v>
      </c>
      <c r="F326" s="84">
        <v>-36.651578711114688</v>
      </c>
      <c r="G326" s="84">
        <v>0.22343489062499999</v>
      </c>
      <c r="H326" s="84">
        <v>-24.941273485837996</v>
      </c>
      <c r="I326" s="101">
        <v>-29.881014924249754</v>
      </c>
      <c r="J326" s="78">
        <v>-38.349059236603594</v>
      </c>
      <c r="K326" s="79">
        <v>3.6049514460309774E-2</v>
      </c>
      <c r="L326" s="79"/>
      <c r="M326" s="79"/>
      <c r="N326" s="79">
        <v>0</v>
      </c>
      <c r="O326" s="180">
        <v>1.2215408905359375E-2</v>
      </c>
      <c r="P326" s="81">
        <v>0.19708630050595957</v>
      </c>
      <c r="Q326" s="79">
        <v>2.3435135325911582E-2</v>
      </c>
      <c r="R326" s="79"/>
      <c r="S326" s="180">
        <v>3.2197782242812498E-3</v>
      </c>
      <c r="T326" s="82">
        <v>5.1948664476948202E-2</v>
      </c>
      <c r="U326" s="78">
        <v>3.7938665505715745</v>
      </c>
      <c r="V326" s="102">
        <f t="shared" si="17"/>
        <v>0.33445789582873969</v>
      </c>
      <c r="W326" s="102">
        <f t="shared" si="18"/>
        <v>8.8157527780820616E-2</v>
      </c>
      <c r="X326" s="1" t="s">
        <v>413</v>
      </c>
    </row>
    <row r="327" spans="1:24" x14ac:dyDescent="0.25">
      <c r="A327" s="206">
        <v>45202</v>
      </c>
      <c r="B327" s="95">
        <v>71</v>
      </c>
      <c r="C327" s="95" t="s">
        <v>710</v>
      </c>
      <c r="D327" s="96">
        <v>5.9119999999999999</v>
      </c>
      <c r="E327" s="96">
        <v>0.17427089062500001</v>
      </c>
      <c r="F327" s="96">
        <v>-28.396347347331876</v>
      </c>
      <c r="G327" s="96">
        <v>0.37071465625</v>
      </c>
      <c r="H327" s="96">
        <v>-23.393783165360521</v>
      </c>
      <c r="I327" s="101">
        <v>-28.32934637990699</v>
      </c>
      <c r="J327" s="78">
        <v>-30.064934563047537</v>
      </c>
      <c r="K327" s="79">
        <v>6.2705456063937751E-2</v>
      </c>
      <c r="L327" s="79"/>
      <c r="M327" s="79"/>
      <c r="N327" s="79">
        <v>0</v>
      </c>
      <c r="O327" s="180">
        <v>2.026734097184375E-2</v>
      </c>
      <c r="P327" s="81">
        <v>0.34281699884715405</v>
      </c>
      <c r="Q327" s="79">
        <v>2.9477484882442492E-2</v>
      </c>
      <c r="R327" s="79"/>
      <c r="S327" s="180">
        <v>3.8630628324843748E-3</v>
      </c>
      <c r="T327" s="82">
        <v>6.5342740738910263E-2</v>
      </c>
      <c r="U327" s="78">
        <v>5.2464435218128767</v>
      </c>
      <c r="V327" s="102">
        <f t="shared" si="17"/>
        <v>0.5549197958090818</v>
      </c>
      <c r="W327" s="102">
        <f t="shared" si="18"/>
        <v>0.10577066035342218</v>
      </c>
      <c r="X327" s="1" t="s">
        <v>413</v>
      </c>
    </row>
    <row r="328" spans="1:24" x14ac:dyDescent="0.25">
      <c r="A328" s="206">
        <v>45202</v>
      </c>
      <c r="B328" s="83">
        <v>72</v>
      </c>
      <c r="C328" s="83" t="s">
        <v>711</v>
      </c>
      <c r="D328" s="84">
        <v>6.5670000000000002</v>
      </c>
      <c r="E328" s="84">
        <v>0.25975090625000002</v>
      </c>
      <c r="F328" s="84">
        <v>-7.5085353541317623</v>
      </c>
      <c r="G328" s="84">
        <v>0.87367143749999998</v>
      </c>
      <c r="H328" s="84">
        <v>-22.320208176284183</v>
      </c>
      <c r="I328" s="101">
        <v>-27.252872738360146</v>
      </c>
      <c r="J328" s="78">
        <v>-9.1040152278712245</v>
      </c>
      <c r="K328" s="79">
        <v>0.13303965851987209</v>
      </c>
      <c r="L328" s="79"/>
      <c r="M328" s="79"/>
      <c r="N328" s="79">
        <v>0</v>
      </c>
      <c r="O328" s="180">
        <v>4.7764491159562494E-2</v>
      </c>
      <c r="P328" s="81">
        <v>0.72734111709399263</v>
      </c>
      <c r="Q328" s="79">
        <v>3.955396775544389E-2</v>
      </c>
      <c r="R328" s="79"/>
      <c r="S328" s="180">
        <v>5.7578983388437499E-3</v>
      </c>
      <c r="T328" s="82">
        <v>8.7679280323492453E-2</v>
      </c>
      <c r="U328" s="78">
        <v>8.2954731655012406</v>
      </c>
      <c r="V328" s="102">
        <f t="shared" si="17"/>
        <v>1.3077917679488211</v>
      </c>
      <c r="W328" s="102">
        <f t="shared" si="18"/>
        <v>0.15765125651754186</v>
      </c>
      <c r="X328" s="1" t="s">
        <v>413</v>
      </c>
    </row>
    <row r="329" spans="1:24" x14ac:dyDescent="0.25">
      <c r="B329" s="110"/>
      <c r="C329" s="110"/>
      <c r="D329" s="85"/>
      <c r="E329" s="85"/>
      <c r="F329" s="85"/>
      <c r="G329" s="1"/>
      <c r="H329" s="1"/>
      <c r="I329" s="1"/>
      <c r="J329" s="1"/>
      <c r="K329" s="5"/>
      <c r="L329" s="5"/>
      <c r="M329" s="5"/>
      <c r="N329" s="1"/>
      <c r="O329" s="1"/>
      <c r="P329" s="1"/>
      <c r="Q329" s="1"/>
      <c r="R329" s="1"/>
      <c r="S329" s="1"/>
      <c r="T329" s="1"/>
      <c r="U329" s="1"/>
    </row>
    <row r="330" spans="1:24" s="209" customFormat="1" x14ac:dyDescent="0.25">
      <c r="B330" s="90" t="s">
        <v>712</v>
      </c>
      <c r="C330" s="90"/>
      <c r="D330" s="90"/>
      <c r="E330" s="90"/>
      <c r="F330" s="90"/>
      <c r="G330" s="90"/>
      <c r="H330" s="90"/>
      <c r="I330" s="100">
        <v>0.11261262096156384</v>
      </c>
      <c r="J330" s="100">
        <v>0.64330421791721615</v>
      </c>
      <c r="K330" s="87"/>
      <c r="L330" s="90"/>
      <c r="M330" s="90"/>
      <c r="N330" s="87"/>
      <c r="O330" s="88"/>
      <c r="P330" s="100">
        <v>0.34758825204197796</v>
      </c>
      <c r="Q330" s="87"/>
      <c r="R330" s="87"/>
      <c r="S330" s="88"/>
      <c r="T330" s="100">
        <v>9.4849961636048266E-2</v>
      </c>
      <c r="U330" s="100">
        <v>0.64756279506490777</v>
      </c>
    </row>
    <row r="331" spans="1:24" s="207" customFormat="1" x14ac:dyDescent="0.25"/>
  </sheetData>
  <sortState xmlns:xlrd2="http://schemas.microsoft.com/office/spreadsheetml/2017/richdata2" ref="F6:O33">
    <sortCondition ref="F6:F3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Calibration-run 10</vt:lpstr>
      <vt:lpstr>Calibration-run 9</vt:lpstr>
      <vt:lpstr>Calibration-run 8</vt:lpstr>
      <vt:lpstr>Calibration-run 7</vt:lpstr>
      <vt:lpstr>Calibration-run 6</vt:lpstr>
      <vt:lpstr>Calibration-run 5</vt:lpstr>
      <vt:lpstr>Calibration-run 4</vt:lpstr>
      <vt:lpstr>Calibration-run 3</vt:lpstr>
      <vt:lpstr>Calibration-run 2</vt:lpstr>
      <vt:lpstr>Calibration-run 1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Hucke, Nicole (huck4481@vandals.uidaho.edu)</cp:lastModifiedBy>
  <dcterms:created xsi:type="dcterms:W3CDTF">2015-03-05T19:28:43Z</dcterms:created>
  <dcterms:modified xsi:type="dcterms:W3CDTF">2026-06-28T02:51:47Z</dcterms:modified>
</cp:coreProperties>
</file>