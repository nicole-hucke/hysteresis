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b2026fbd76ae98/Email attachments/Documents/"/>
    </mc:Choice>
  </mc:AlternateContent>
  <xr:revisionPtr revIDLastSave="638" documentId="13_ncr:1_{8EBA554B-A2F5-4465-9258-944EB7982C79}" xr6:coauthVersionLast="47" xr6:coauthVersionMax="47" xr10:uidLastSave="{3335B569-AD53-4613-8344-FE5B3AFC8854}"/>
  <bookViews>
    <workbookView xWindow="4035" yWindow="3270" windowWidth="13020" windowHeight="12330" firstSheet="1" activeTab="6" xr2:uid="{DD9BA0C8-338F-42F1-8480-D8414553FA7F}"/>
  </bookViews>
  <sheets>
    <sheet name="Calculations summer 2021" sheetId="1" r:id="rId1"/>
    <sheet name="Abs." sheetId="2" r:id="rId2"/>
    <sheet name="Sheet1" sheetId="3" r:id="rId3"/>
    <sheet name="Calculations Winter 2022" sheetId="7" r:id="rId4"/>
    <sheet name="Abs winter 2022" sheetId="8" r:id="rId5"/>
    <sheet name="Calculations summer 2022" sheetId="4" r:id="rId6"/>
    <sheet name="Abs summer 2022" sheetId="5" r:id="rId7"/>
    <sheet name="SRP sed extraction summer 2022" sheetId="6" r:id="rId8"/>
    <sheet name="Stds ret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3" i="5" l="1"/>
  <c r="M90" i="5"/>
  <c r="M87" i="5"/>
  <c r="AF128" i="5" l="1"/>
  <c r="AF110" i="5"/>
  <c r="Z86" i="5" l="1"/>
  <c r="Z87" i="5"/>
  <c r="Z88" i="5"/>
  <c r="Z89" i="5"/>
  <c r="Z90" i="5"/>
  <c r="Z91" i="5"/>
  <c r="Z92" i="5"/>
  <c r="Z93" i="5"/>
  <c r="Z94" i="5"/>
  <c r="Z95" i="5"/>
  <c r="Z96" i="5"/>
  <c r="Z97" i="5"/>
  <c r="Z98" i="5"/>
  <c r="Z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85" i="5"/>
  <c r="AK96" i="5"/>
  <c r="AJ100" i="5"/>
  <c r="AJ104" i="5"/>
  <c r="AM93" i="5"/>
  <c r="AM94" i="5"/>
  <c r="AM95" i="5"/>
  <c r="AM96" i="5"/>
  <c r="AM97" i="5"/>
  <c r="AM98" i="5"/>
  <c r="AL99" i="5"/>
  <c r="AL100" i="5"/>
  <c r="AL101" i="5"/>
  <c r="AL102" i="5"/>
  <c r="AL103" i="5"/>
  <c r="AL104" i="5"/>
  <c r="AL105" i="5"/>
  <c r="AM92" i="5"/>
  <c r="AI105" i="5"/>
  <c r="AJ105" i="5" s="1"/>
  <c r="AI104" i="5"/>
  <c r="AI103" i="5"/>
  <c r="AJ103" i="5" s="1"/>
  <c r="AI102" i="5"/>
  <c r="AJ102" i="5" s="1"/>
  <c r="AI101" i="5"/>
  <c r="AJ101" i="5" s="1"/>
  <c r="AI100" i="5"/>
  <c r="AI99" i="5"/>
  <c r="AJ99" i="5" s="1"/>
  <c r="AJ98" i="5"/>
  <c r="AK98" i="5" s="1"/>
  <c r="AJ97" i="5"/>
  <c r="AK97" i="5" s="1"/>
  <c r="AJ96" i="5"/>
  <c r="AJ95" i="5"/>
  <c r="AK95" i="5" s="1"/>
  <c r="AJ94" i="5"/>
  <c r="AK94" i="5" s="1"/>
  <c r="AJ93" i="5"/>
  <c r="AK93" i="5" s="1"/>
  <c r="AJ92" i="5"/>
  <c r="AK92" i="5" s="1"/>
  <c r="AG91" i="5"/>
  <c r="AD79" i="5" l="1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V77" i="5" l="1"/>
  <c r="X77" i="5" s="1"/>
  <c r="V76" i="5"/>
  <c r="X76" i="5" s="1"/>
  <c r="V75" i="5" l="1"/>
  <c r="X75" i="5" s="1"/>
  <c r="V74" i="5"/>
  <c r="X74" i="5" s="1"/>
  <c r="V73" i="5"/>
  <c r="X73" i="5" s="1"/>
  <c r="V72" i="5"/>
  <c r="X72" i="5" s="1"/>
  <c r="V71" i="5"/>
  <c r="X71" i="5" s="1"/>
  <c r="V70" i="5"/>
  <c r="X70" i="5" s="1"/>
  <c r="V69" i="5"/>
  <c r="X69" i="5" s="1"/>
  <c r="V67" i="5"/>
  <c r="X67" i="5" s="1"/>
  <c r="V68" i="5"/>
  <c r="X68" i="5" s="1"/>
  <c r="V66" i="5"/>
  <c r="X66" i="5" s="1"/>
  <c r="V79" i="5"/>
  <c r="X79" i="5" s="1"/>
  <c r="V78" i="5"/>
  <c r="X78" i="5" s="1"/>
  <c r="D94" i="9" l="1"/>
  <c r="D83" i="9"/>
  <c r="D84" i="9"/>
  <c r="D85" i="9"/>
  <c r="D86" i="9"/>
  <c r="D87" i="9"/>
  <c r="D88" i="9"/>
  <c r="D89" i="9"/>
  <c r="D90" i="9"/>
  <c r="D91" i="9"/>
  <c r="D92" i="9"/>
  <c r="D93" i="9"/>
  <c r="D82" i="9"/>
  <c r="C91" i="9"/>
  <c r="C92" i="9"/>
  <c r="C93" i="9"/>
  <c r="C90" i="9"/>
  <c r="C83" i="9"/>
  <c r="C84" i="9"/>
  <c r="C85" i="9"/>
  <c r="C86" i="9"/>
  <c r="C87" i="9"/>
  <c r="C88" i="9"/>
  <c r="C89" i="9"/>
  <c r="C82" i="9"/>
  <c r="D68" i="9"/>
  <c r="D69" i="9"/>
  <c r="D70" i="9"/>
  <c r="D71" i="9"/>
  <c r="D72" i="9"/>
  <c r="D73" i="9"/>
  <c r="D74" i="9"/>
  <c r="D75" i="9"/>
  <c r="D76" i="9"/>
  <c r="D77" i="9"/>
  <c r="D78" i="9"/>
  <c r="D67" i="9"/>
  <c r="C78" i="9"/>
  <c r="C76" i="9"/>
  <c r="C77" i="9"/>
  <c r="C75" i="9"/>
  <c r="C68" i="9"/>
  <c r="C69" i="9"/>
  <c r="C70" i="9"/>
  <c r="C71" i="9"/>
  <c r="C72" i="9"/>
  <c r="C73" i="9"/>
  <c r="C74" i="9"/>
  <c r="C67" i="9"/>
  <c r="D52" i="9"/>
  <c r="D53" i="9"/>
  <c r="D54" i="9"/>
  <c r="D55" i="9"/>
  <c r="D56" i="9"/>
  <c r="D57" i="9"/>
  <c r="D58" i="9"/>
  <c r="D59" i="9"/>
  <c r="D60" i="9"/>
  <c r="D61" i="9"/>
  <c r="D62" i="9"/>
  <c r="D51" i="9"/>
  <c r="C62" i="9"/>
  <c r="C60" i="9"/>
  <c r="C61" i="9"/>
  <c r="C59" i="9"/>
  <c r="C52" i="9"/>
  <c r="C53" i="9"/>
  <c r="C54" i="9"/>
  <c r="C55" i="9"/>
  <c r="C56" i="9"/>
  <c r="C57" i="9"/>
  <c r="C58" i="9"/>
  <c r="C51" i="9"/>
  <c r="D37" i="9"/>
  <c r="D38" i="9"/>
  <c r="D39" i="9"/>
  <c r="D40" i="9"/>
  <c r="D41" i="9"/>
  <c r="D42" i="9"/>
  <c r="D43" i="9"/>
  <c r="D44" i="9"/>
  <c r="D45" i="9"/>
  <c r="D46" i="9"/>
  <c r="D47" i="9"/>
  <c r="D36" i="9"/>
  <c r="C45" i="9"/>
  <c r="C46" i="9"/>
  <c r="C47" i="9"/>
  <c r="C44" i="9"/>
  <c r="C37" i="9"/>
  <c r="C38" i="9"/>
  <c r="C39" i="9"/>
  <c r="C40" i="9"/>
  <c r="C41" i="9"/>
  <c r="C42" i="9"/>
  <c r="C43" i="9"/>
  <c r="C36" i="9"/>
  <c r="H11" i="9"/>
  <c r="H12" i="9"/>
  <c r="G13" i="9"/>
  <c r="H13" i="9" s="1"/>
  <c r="G11" i="9"/>
  <c r="G14" i="9"/>
  <c r="H14" i="9" s="1"/>
  <c r="G12" i="9"/>
  <c r="G10" i="9"/>
  <c r="H10" i="9" s="1"/>
  <c r="G9" i="9"/>
  <c r="H9" i="9" s="1"/>
  <c r="G8" i="9"/>
  <c r="H8" i="9" s="1"/>
  <c r="G7" i="9"/>
  <c r="H7" i="9" s="1"/>
  <c r="G6" i="9"/>
  <c r="H6" i="9" s="1"/>
  <c r="G5" i="9"/>
  <c r="H5" i="9" s="1"/>
  <c r="G4" i="9"/>
  <c r="H4" i="9" s="1"/>
  <c r="G3" i="9"/>
  <c r="H3" i="9" s="1"/>
  <c r="U33" i="5"/>
  <c r="U34" i="5"/>
  <c r="U35" i="5"/>
  <c r="U36" i="5"/>
  <c r="U37" i="5"/>
  <c r="U38" i="5"/>
  <c r="U39" i="5"/>
  <c r="U40" i="5"/>
  <c r="U41" i="5"/>
  <c r="U32" i="5"/>
  <c r="U23" i="5"/>
  <c r="U24" i="5"/>
  <c r="U25" i="5"/>
  <c r="U26" i="5"/>
  <c r="U27" i="5"/>
  <c r="U28" i="5"/>
  <c r="U29" i="5"/>
  <c r="U30" i="5"/>
  <c r="U31" i="5"/>
  <c r="U22" i="5"/>
  <c r="U13" i="5"/>
  <c r="U14" i="5"/>
  <c r="U15" i="5"/>
  <c r="U16" i="5"/>
  <c r="U17" i="5"/>
  <c r="U18" i="5"/>
  <c r="U19" i="5"/>
  <c r="U20" i="5"/>
  <c r="U21" i="5"/>
  <c r="U12" i="5"/>
  <c r="U3" i="5"/>
  <c r="U4" i="5"/>
  <c r="U5" i="5"/>
  <c r="U6" i="5"/>
  <c r="U7" i="5"/>
  <c r="U8" i="5"/>
  <c r="U9" i="5"/>
  <c r="U10" i="5"/>
  <c r="U11" i="5"/>
  <c r="U2" i="5"/>
  <c r="Y2" i="8"/>
  <c r="D59" i="6"/>
  <c r="D58" i="6"/>
  <c r="D57" i="6"/>
  <c r="D56" i="6"/>
  <c r="E56" i="6" s="1"/>
  <c r="H56" i="6" s="1"/>
  <c r="J56" i="6" s="1"/>
  <c r="E57" i="6"/>
  <c r="H57" i="6" s="1"/>
  <c r="J57" i="6" s="1"/>
  <c r="E58" i="6"/>
  <c r="H58" i="6" s="1"/>
  <c r="J58" i="6" s="1"/>
  <c r="D55" i="6"/>
  <c r="E55" i="6" s="1"/>
  <c r="H55" i="6" s="1"/>
  <c r="J55" i="6" s="1"/>
  <c r="G56" i="6"/>
  <c r="G57" i="6"/>
  <c r="G58" i="6"/>
  <c r="G59" i="6"/>
  <c r="G55" i="6"/>
  <c r="E59" i="6"/>
  <c r="H59" i="6" s="1"/>
  <c r="Y12" i="8" l="1"/>
  <c r="Y13" i="8"/>
  <c r="Y14" i="8"/>
  <c r="Y15" i="8"/>
  <c r="Y16" i="8"/>
  <c r="Y17" i="8"/>
  <c r="Y18" i="8"/>
  <c r="Y19" i="8"/>
  <c r="Y11" i="8"/>
  <c r="Y48" i="8"/>
  <c r="Y49" i="8"/>
  <c r="Y50" i="8"/>
  <c r="Y51" i="8"/>
  <c r="Y52" i="8"/>
  <c r="Y53" i="8"/>
  <c r="Y54" i="8"/>
  <c r="Y55" i="8"/>
  <c r="Y47" i="8"/>
  <c r="Y39" i="8"/>
  <c r="Y40" i="8"/>
  <c r="Y41" i="8"/>
  <c r="Y42" i="8"/>
  <c r="Y43" i="8"/>
  <c r="Y44" i="8"/>
  <c r="Y45" i="8"/>
  <c r="Y46" i="8"/>
  <c r="Y38" i="8"/>
  <c r="Y30" i="8"/>
  <c r="Y31" i="8"/>
  <c r="Y32" i="8"/>
  <c r="Y33" i="8"/>
  <c r="Y34" i="8"/>
  <c r="Y35" i="8"/>
  <c r="Y36" i="8"/>
  <c r="Y37" i="8"/>
  <c r="Y29" i="8"/>
  <c r="Y21" i="8"/>
  <c r="Y22" i="8"/>
  <c r="Y23" i="8"/>
  <c r="Y24" i="8"/>
  <c r="Y25" i="8"/>
  <c r="Y26" i="8"/>
  <c r="Y27" i="8"/>
  <c r="Y28" i="8"/>
  <c r="Y20" i="8"/>
  <c r="Y3" i="8"/>
  <c r="Y4" i="8"/>
  <c r="Y5" i="8"/>
  <c r="Y6" i="8"/>
  <c r="Y7" i="8"/>
  <c r="Y8" i="8"/>
  <c r="Y9" i="8"/>
  <c r="Y10" i="8"/>
  <c r="U12" i="2"/>
  <c r="X48" i="8"/>
  <c r="X49" i="8"/>
  <c r="X50" i="8"/>
  <c r="X51" i="8"/>
  <c r="X52" i="8"/>
  <c r="X53" i="8"/>
  <c r="X54" i="8"/>
  <c r="X55" i="8"/>
  <c r="X47" i="8"/>
  <c r="X39" i="8"/>
  <c r="X40" i="8"/>
  <c r="X41" i="8"/>
  <c r="X42" i="8"/>
  <c r="X43" i="8"/>
  <c r="X44" i="8"/>
  <c r="X45" i="8"/>
  <c r="X46" i="8"/>
  <c r="X38" i="8"/>
  <c r="X30" i="8"/>
  <c r="X31" i="8"/>
  <c r="X32" i="8"/>
  <c r="X33" i="8"/>
  <c r="X34" i="8"/>
  <c r="X35" i="8"/>
  <c r="X36" i="8"/>
  <c r="X37" i="8"/>
  <c r="X29" i="8"/>
  <c r="X21" i="8"/>
  <c r="X22" i="8"/>
  <c r="X23" i="8"/>
  <c r="X24" i="8"/>
  <c r="X25" i="8"/>
  <c r="X26" i="8"/>
  <c r="X27" i="8"/>
  <c r="X28" i="8"/>
  <c r="X20" i="8"/>
  <c r="X12" i="8"/>
  <c r="X13" i="8"/>
  <c r="X14" i="8"/>
  <c r="X15" i="8"/>
  <c r="X16" i="8"/>
  <c r="X17" i="8"/>
  <c r="X18" i="8"/>
  <c r="X19" i="8"/>
  <c r="X11" i="8"/>
  <c r="X3" i="8"/>
  <c r="X4" i="8"/>
  <c r="X5" i="8"/>
  <c r="X6" i="8"/>
  <c r="X7" i="8"/>
  <c r="X8" i="8"/>
  <c r="X9" i="8"/>
  <c r="X10" i="8"/>
  <c r="X2" i="8"/>
  <c r="F19" i="8"/>
  <c r="F3" i="8"/>
  <c r="F73" i="8"/>
  <c r="F72" i="8"/>
  <c r="F71" i="8"/>
  <c r="F70" i="8"/>
  <c r="F69" i="8"/>
  <c r="F68" i="8"/>
  <c r="F67" i="8"/>
  <c r="F66" i="8"/>
  <c r="F65" i="8"/>
  <c r="F64" i="8"/>
  <c r="F62" i="8"/>
  <c r="F63" i="8"/>
  <c r="F61" i="8"/>
  <c r="F57" i="8"/>
  <c r="F58" i="8"/>
  <c r="F59" i="8"/>
  <c r="F60" i="8"/>
  <c r="F56" i="8"/>
  <c r="F53" i="8"/>
  <c r="F54" i="8"/>
  <c r="F55" i="8"/>
  <c r="F52" i="8"/>
  <c r="F48" i="8"/>
  <c r="F49" i="8"/>
  <c r="F50" i="8"/>
  <c r="F51" i="8"/>
  <c r="F47" i="8"/>
  <c r="F44" i="8"/>
  <c r="F45" i="8"/>
  <c r="F46" i="8"/>
  <c r="F43" i="8"/>
  <c r="F39" i="8"/>
  <c r="F40" i="8"/>
  <c r="F41" i="8"/>
  <c r="F42" i="8"/>
  <c r="F38" i="8"/>
  <c r="F35" i="8"/>
  <c r="F36" i="8"/>
  <c r="F37" i="8"/>
  <c r="F34" i="8"/>
  <c r="F30" i="8"/>
  <c r="F31" i="8"/>
  <c r="F32" i="8"/>
  <c r="F33" i="8"/>
  <c r="F29" i="8"/>
  <c r="F26" i="8"/>
  <c r="F27" i="8"/>
  <c r="F28" i="8"/>
  <c r="F25" i="8"/>
  <c r="F21" i="8"/>
  <c r="F22" i="8"/>
  <c r="F23" i="8"/>
  <c r="F24" i="8"/>
  <c r="F20" i="8"/>
  <c r="F18" i="8"/>
  <c r="F17" i="8"/>
  <c r="F16" i="8"/>
  <c r="F12" i="8"/>
  <c r="F13" i="8"/>
  <c r="F14" i="8"/>
  <c r="F15" i="8"/>
  <c r="F11" i="8"/>
  <c r="F8" i="8"/>
  <c r="F9" i="8"/>
  <c r="F10" i="8"/>
  <c r="F7" i="8"/>
  <c r="F8" i="5"/>
  <c r="H8" i="5" s="1"/>
  <c r="I8" i="5" s="1"/>
  <c r="F4" i="8"/>
  <c r="F5" i="8"/>
  <c r="F6" i="8"/>
  <c r="F2" i="8"/>
  <c r="F2" i="5"/>
  <c r="H2" i="5" s="1"/>
  <c r="I2" i="5" s="1"/>
  <c r="K3" i="5" l="1"/>
  <c r="K4" i="5"/>
  <c r="K5" i="5"/>
  <c r="K6" i="5"/>
  <c r="K7" i="5"/>
  <c r="K8" i="5"/>
  <c r="L8" i="5" s="1"/>
  <c r="M8" i="5" s="1"/>
  <c r="O8" i="5" s="1"/>
  <c r="P8" i="5" s="1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2" i="5"/>
  <c r="L2" i="5" s="1"/>
  <c r="M2" i="5" s="1"/>
  <c r="O2" i="5" s="1"/>
  <c r="P2" i="5" s="1"/>
  <c r="G92" i="4"/>
  <c r="D92" i="4"/>
  <c r="G91" i="4"/>
  <c r="D91" i="4"/>
  <c r="G94" i="4"/>
  <c r="D94" i="4"/>
  <c r="G93" i="4"/>
  <c r="D93" i="4"/>
  <c r="G90" i="4"/>
  <c r="D90" i="4"/>
  <c r="G89" i="4"/>
  <c r="D89" i="4"/>
  <c r="G88" i="4"/>
  <c r="D88" i="4"/>
  <c r="G87" i="4"/>
  <c r="D87" i="4"/>
  <c r="G86" i="4"/>
  <c r="D86" i="4"/>
  <c r="G85" i="4"/>
  <c r="D85" i="4"/>
  <c r="G84" i="4"/>
  <c r="D84" i="4"/>
  <c r="G83" i="4"/>
  <c r="D83" i="4"/>
  <c r="G71" i="4"/>
  <c r="D71" i="4"/>
  <c r="G70" i="4"/>
  <c r="D70" i="4"/>
  <c r="G61" i="4"/>
  <c r="D61" i="4"/>
  <c r="G60" i="4"/>
  <c r="D60" i="4"/>
  <c r="G51" i="4"/>
  <c r="D51" i="4"/>
  <c r="G50" i="4"/>
  <c r="D50" i="4"/>
  <c r="G41" i="4"/>
  <c r="D41" i="4"/>
  <c r="G40" i="4"/>
  <c r="D40" i="4"/>
  <c r="G31" i="4"/>
  <c r="D31" i="4"/>
  <c r="G30" i="4"/>
  <c r="D30" i="4"/>
  <c r="G21" i="4"/>
  <c r="D21" i="4"/>
  <c r="G20" i="4"/>
  <c r="D20" i="4"/>
  <c r="F59" i="5"/>
  <c r="H59" i="5" s="1"/>
  <c r="I59" i="5" s="1"/>
  <c r="L59" i="5" s="1"/>
  <c r="F60" i="5"/>
  <c r="H60" i="5" s="1"/>
  <c r="I60" i="5" s="1"/>
  <c r="L60" i="5" s="1"/>
  <c r="F61" i="5"/>
  <c r="H61" i="5" s="1"/>
  <c r="I61" i="5" s="1"/>
  <c r="L61" i="5" s="1"/>
  <c r="F58" i="5"/>
  <c r="H58" i="5" s="1"/>
  <c r="I58" i="5" s="1"/>
  <c r="L58" i="5" s="1"/>
  <c r="F49" i="5"/>
  <c r="H49" i="5" s="1"/>
  <c r="I49" i="5" s="1"/>
  <c r="F50" i="5"/>
  <c r="H50" i="5" s="1"/>
  <c r="I50" i="5" s="1"/>
  <c r="F51" i="5"/>
  <c r="H51" i="5" s="1"/>
  <c r="I51" i="5" s="1"/>
  <c r="F48" i="5"/>
  <c r="H48" i="5" s="1"/>
  <c r="I48" i="5" s="1"/>
  <c r="F39" i="5"/>
  <c r="F40" i="5"/>
  <c r="F41" i="5"/>
  <c r="F38" i="5"/>
  <c r="F29" i="5"/>
  <c r="F30" i="5"/>
  <c r="F31" i="5"/>
  <c r="F28" i="5"/>
  <c r="F19" i="5"/>
  <c r="F20" i="5"/>
  <c r="F21" i="5"/>
  <c r="F18" i="5"/>
  <c r="F9" i="5"/>
  <c r="F10" i="5"/>
  <c r="F11" i="5"/>
  <c r="F53" i="5"/>
  <c r="H53" i="5" s="1"/>
  <c r="I53" i="5" s="1"/>
  <c r="F54" i="5"/>
  <c r="H54" i="5" s="1"/>
  <c r="I54" i="5" s="1"/>
  <c r="F55" i="5"/>
  <c r="H55" i="5" s="1"/>
  <c r="I55" i="5" s="1"/>
  <c r="L55" i="5" s="1"/>
  <c r="F56" i="5"/>
  <c r="H56" i="5" s="1"/>
  <c r="I56" i="5" s="1"/>
  <c r="F57" i="5"/>
  <c r="H57" i="5" s="1"/>
  <c r="I57" i="5" s="1"/>
  <c r="F52" i="5"/>
  <c r="H52" i="5" s="1"/>
  <c r="I52" i="5" s="1"/>
  <c r="F43" i="5"/>
  <c r="H43" i="5" s="1"/>
  <c r="I43" i="5" s="1"/>
  <c r="L43" i="5" s="1"/>
  <c r="F44" i="5"/>
  <c r="H44" i="5" s="1"/>
  <c r="I44" i="5" s="1"/>
  <c r="F45" i="5"/>
  <c r="H45" i="5" s="1"/>
  <c r="I45" i="5" s="1"/>
  <c r="F46" i="5"/>
  <c r="H46" i="5" s="1"/>
  <c r="I46" i="5" s="1"/>
  <c r="F47" i="5"/>
  <c r="H47" i="5" s="1"/>
  <c r="I47" i="5" s="1"/>
  <c r="L47" i="5" s="1"/>
  <c r="F42" i="5"/>
  <c r="H42" i="5" s="1"/>
  <c r="I42" i="5" s="1"/>
  <c r="F33" i="5"/>
  <c r="F34" i="5"/>
  <c r="F35" i="5"/>
  <c r="F36" i="5"/>
  <c r="F37" i="5"/>
  <c r="F32" i="5"/>
  <c r="F23" i="5"/>
  <c r="F24" i="5"/>
  <c r="F25" i="5"/>
  <c r="F26" i="5"/>
  <c r="F27" i="5"/>
  <c r="F22" i="5"/>
  <c r="F16" i="5"/>
  <c r="F17" i="5"/>
  <c r="F6" i="5"/>
  <c r="F7" i="5"/>
  <c r="F13" i="5"/>
  <c r="F14" i="5"/>
  <c r="F15" i="5"/>
  <c r="F12" i="5"/>
  <c r="F3" i="5"/>
  <c r="F4" i="5"/>
  <c r="F5" i="5"/>
  <c r="L44" i="5" l="1"/>
  <c r="L56" i="5"/>
  <c r="L51" i="5"/>
  <c r="L45" i="5"/>
  <c r="L57" i="5"/>
  <c r="L53" i="5"/>
  <c r="L48" i="5"/>
  <c r="L52" i="5"/>
  <c r="L49" i="5"/>
  <c r="L42" i="5"/>
  <c r="L50" i="5"/>
  <c r="L46" i="5"/>
  <c r="L54" i="5"/>
  <c r="H3" i="5"/>
  <c r="I3" i="5" s="1"/>
  <c r="L3" i="5" s="1"/>
  <c r="M3" i="5" s="1"/>
  <c r="O3" i="5" s="1"/>
  <c r="P3" i="5" s="1"/>
  <c r="H37" i="5"/>
  <c r="I37" i="5" s="1"/>
  <c r="L37" i="5" s="1"/>
  <c r="M37" i="5" s="1"/>
  <c r="O37" i="5" s="1"/>
  <c r="P37" i="5" s="1"/>
  <c r="H18" i="5"/>
  <c r="I18" i="5" s="1"/>
  <c r="L18" i="5" s="1"/>
  <c r="M18" i="5" s="1"/>
  <c r="O18" i="5" s="1"/>
  <c r="P18" i="5" s="1"/>
  <c r="H28" i="5"/>
  <c r="I28" i="5" s="1"/>
  <c r="L28" i="5" s="1"/>
  <c r="M28" i="5" s="1"/>
  <c r="O28" i="5" s="1"/>
  <c r="P28" i="5" s="1"/>
  <c r="H38" i="5"/>
  <c r="I38" i="5" s="1"/>
  <c r="L38" i="5" s="1"/>
  <c r="M38" i="5" s="1"/>
  <c r="O38" i="5" s="1"/>
  <c r="P38" i="5" s="1"/>
  <c r="H13" i="5"/>
  <c r="I13" i="5" s="1"/>
  <c r="L13" i="5" s="1"/>
  <c r="M13" i="5" s="1"/>
  <c r="O13" i="5" s="1"/>
  <c r="P13" i="5" s="1"/>
  <c r="H11" i="5"/>
  <c r="I11" i="5" s="1"/>
  <c r="L11" i="5" s="1"/>
  <c r="M11" i="5" s="1"/>
  <c r="O11" i="5" s="1"/>
  <c r="P11" i="5" s="1"/>
  <c r="H21" i="5"/>
  <c r="I21" i="5" s="1"/>
  <c r="L21" i="5" s="1"/>
  <c r="M21" i="5" s="1"/>
  <c r="O21" i="5" s="1"/>
  <c r="P21" i="5" s="1"/>
  <c r="H31" i="5"/>
  <c r="I31" i="5" s="1"/>
  <c r="L31" i="5" s="1"/>
  <c r="M31" i="5" s="1"/>
  <c r="O31" i="5" s="1"/>
  <c r="P31" i="5" s="1"/>
  <c r="H41" i="5"/>
  <c r="I41" i="5" s="1"/>
  <c r="L41" i="5" s="1"/>
  <c r="M41" i="5" s="1"/>
  <c r="O41" i="5" s="1"/>
  <c r="P41" i="5" s="1"/>
  <c r="H16" i="5"/>
  <c r="I16" i="5" s="1"/>
  <c r="L16" i="5" s="1"/>
  <c r="M16" i="5" s="1"/>
  <c r="O16" i="5" s="1"/>
  <c r="P16" i="5" s="1"/>
  <c r="H25" i="5"/>
  <c r="I25" i="5" s="1"/>
  <c r="L25" i="5" s="1"/>
  <c r="M25" i="5" s="1"/>
  <c r="O25" i="5" s="1"/>
  <c r="P25" i="5" s="1"/>
  <c r="H33" i="5"/>
  <c r="I33" i="5" s="1"/>
  <c r="L33" i="5" s="1"/>
  <c r="M33" i="5" s="1"/>
  <c r="O33" i="5" s="1"/>
  <c r="P33" i="5" s="1"/>
  <c r="H12" i="5"/>
  <c r="I12" i="5" s="1"/>
  <c r="L12" i="5" s="1"/>
  <c r="M12" i="5" s="1"/>
  <c r="O12" i="5" s="1"/>
  <c r="P12" i="5" s="1"/>
  <c r="H22" i="5"/>
  <c r="I22" i="5" s="1"/>
  <c r="L22" i="5" s="1"/>
  <c r="M22" i="5" s="1"/>
  <c r="O22" i="5" s="1"/>
  <c r="P22" i="5" s="1"/>
  <c r="H36" i="5"/>
  <c r="I36" i="5" s="1"/>
  <c r="L36" i="5" s="1"/>
  <c r="M36" i="5" s="1"/>
  <c r="O36" i="5" s="1"/>
  <c r="P36" i="5" s="1"/>
  <c r="H5" i="5"/>
  <c r="I5" i="5" s="1"/>
  <c r="L5" i="5" s="1"/>
  <c r="M5" i="5" s="1"/>
  <c r="O5" i="5" s="1"/>
  <c r="P5" i="5" s="1"/>
  <c r="H15" i="5"/>
  <c r="I15" i="5" s="1"/>
  <c r="L15" i="5" s="1"/>
  <c r="M15" i="5" s="1"/>
  <c r="O15" i="5" s="1"/>
  <c r="P15" i="5" s="1"/>
  <c r="H6" i="5"/>
  <c r="I6" i="5" s="1"/>
  <c r="L6" i="5" s="1"/>
  <c r="M6" i="5" s="1"/>
  <c r="O6" i="5" s="1"/>
  <c r="P6" i="5" s="1"/>
  <c r="H27" i="5"/>
  <c r="I27" i="5" s="1"/>
  <c r="L27" i="5" s="1"/>
  <c r="M27" i="5" s="1"/>
  <c r="O27" i="5" s="1"/>
  <c r="P27" i="5" s="1"/>
  <c r="H23" i="5"/>
  <c r="I23" i="5" s="1"/>
  <c r="L23" i="5" s="1"/>
  <c r="M23" i="5" s="1"/>
  <c r="O23" i="5" s="1"/>
  <c r="P23" i="5" s="1"/>
  <c r="H35" i="5"/>
  <c r="I35" i="5" s="1"/>
  <c r="L35" i="5" s="1"/>
  <c r="M35" i="5" s="1"/>
  <c r="O35" i="5" s="1"/>
  <c r="P35" i="5" s="1"/>
  <c r="H10" i="5"/>
  <c r="I10" i="5" s="1"/>
  <c r="L10" i="5" s="1"/>
  <c r="M10" i="5" s="1"/>
  <c r="O10" i="5" s="1"/>
  <c r="P10" i="5" s="1"/>
  <c r="H20" i="5"/>
  <c r="I20" i="5" s="1"/>
  <c r="L20" i="5" s="1"/>
  <c r="M20" i="5" s="1"/>
  <c r="O20" i="5" s="1"/>
  <c r="P20" i="5" s="1"/>
  <c r="H30" i="5"/>
  <c r="I30" i="5" s="1"/>
  <c r="L30" i="5" s="1"/>
  <c r="M30" i="5" s="1"/>
  <c r="O30" i="5" s="1"/>
  <c r="P30" i="5" s="1"/>
  <c r="H40" i="5"/>
  <c r="I40" i="5" s="1"/>
  <c r="L40" i="5" s="1"/>
  <c r="M40" i="5" s="1"/>
  <c r="O40" i="5" s="1"/>
  <c r="P40" i="5" s="1"/>
  <c r="H7" i="5"/>
  <c r="I7" i="5" s="1"/>
  <c r="L7" i="5" s="1"/>
  <c r="M7" i="5" s="1"/>
  <c r="O7" i="5" s="1"/>
  <c r="P7" i="5" s="1"/>
  <c r="H24" i="5"/>
  <c r="I24" i="5" s="1"/>
  <c r="L24" i="5" s="1"/>
  <c r="M24" i="5" s="1"/>
  <c r="O24" i="5" s="1"/>
  <c r="P24" i="5" s="1"/>
  <c r="H4" i="5"/>
  <c r="I4" i="5" s="1"/>
  <c r="L4" i="5" s="1"/>
  <c r="M4" i="5" s="1"/>
  <c r="O4" i="5" s="1"/>
  <c r="P4" i="5" s="1"/>
  <c r="H14" i="5"/>
  <c r="I14" i="5" s="1"/>
  <c r="L14" i="5" s="1"/>
  <c r="M14" i="5" s="1"/>
  <c r="O14" i="5" s="1"/>
  <c r="P14" i="5" s="1"/>
  <c r="H17" i="5"/>
  <c r="I17" i="5" s="1"/>
  <c r="L17" i="5" s="1"/>
  <c r="M17" i="5" s="1"/>
  <c r="O17" i="5" s="1"/>
  <c r="P17" i="5" s="1"/>
  <c r="H26" i="5"/>
  <c r="I26" i="5" s="1"/>
  <c r="L26" i="5" s="1"/>
  <c r="M26" i="5" s="1"/>
  <c r="O26" i="5" s="1"/>
  <c r="P26" i="5" s="1"/>
  <c r="H32" i="5"/>
  <c r="I32" i="5" s="1"/>
  <c r="L32" i="5" s="1"/>
  <c r="M32" i="5" s="1"/>
  <c r="O32" i="5" s="1"/>
  <c r="P32" i="5" s="1"/>
  <c r="H34" i="5"/>
  <c r="I34" i="5" s="1"/>
  <c r="L34" i="5" s="1"/>
  <c r="M34" i="5" s="1"/>
  <c r="O34" i="5" s="1"/>
  <c r="P34" i="5" s="1"/>
  <c r="H9" i="5"/>
  <c r="I9" i="5" s="1"/>
  <c r="L9" i="5" s="1"/>
  <c r="M9" i="5" s="1"/>
  <c r="O9" i="5" s="1"/>
  <c r="P9" i="5" s="1"/>
  <c r="H19" i="5"/>
  <c r="I19" i="5" s="1"/>
  <c r="L19" i="5" s="1"/>
  <c r="M19" i="5" s="1"/>
  <c r="O19" i="5" s="1"/>
  <c r="P19" i="5" s="1"/>
  <c r="H29" i="5"/>
  <c r="I29" i="5" s="1"/>
  <c r="L29" i="5" s="1"/>
  <c r="M29" i="5" s="1"/>
  <c r="O29" i="5" s="1"/>
  <c r="P29" i="5" s="1"/>
  <c r="H39" i="5"/>
  <c r="I39" i="5" s="1"/>
  <c r="L39" i="5" s="1"/>
  <c r="M39" i="5" s="1"/>
  <c r="O39" i="5" s="1"/>
  <c r="P39" i="5" s="1"/>
  <c r="U3" i="8"/>
  <c r="W3" i="8" s="1"/>
  <c r="U4" i="8"/>
  <c r="W4" i="8" s="1"/>
  <c r="U5" i="8"/>
  <c r="W5" i="8" s="1"/>
  <c r="U6" i="8"/>
  <c r="W6" i="8" s="1"/>
  <c r="U7" i="8"/>
  <c r="W7" i="8" s="1"/>
  <c r="U8" i="8"/>
  <c r="W8" i="8" s="1"/>
  <c r="U9" i="8"/>
  <c r="W9" i="8" s="1"/>
  <c r="U10" i="8"/>
  <c r="W10" i="8" s="1"/>
  <c r="U11" i="8"/>
  <c r="W11" i="8" s="1"/>
  <c r="U12" i="8"/>
  <c r="W12" i="8" s="1"/>
  <c r="U13" i="8"/>
  <c r="W13" i="8" s="1"/>
  <c r="U14" i="8"/>
  <c r="W14" i="8" s="1"/>
  <c r="U15" i="8"/>
  <c r="W15" i="8" s="1"/>
  <c r="U16" i="8"/>
  <c r="W16" i="8" s="1"/>
  <c r="U17" i="8"/>
  <c r="W17" i="8" s="1"/>
  <c r="U18" i="8"/>
  <c r="W18" i="8" s="1"/>
  <c r="U19" i="8"/>
  <c r="W19" i="8" s="1"/>
  <c r="U20" i="8"/>
  <c r="W20" i="8" s="1"/>
  <c r="U21" i="8"/>
  <c r="W21" i="8" s="1"/>
  <c r="U22" i="8"/>
  <c r="W22" i="8" s="1"/>
  <c r="U23" i="8"/>
  <c r="W23" i="8" s="1"/>
  <c r="U24" i="8"/>
  <c r="W24" i="8" s="1"/>
  <c r="U25" i="8"/>
  <c r="W25" i="8" s="1"/>
  <c r="U26" i="8"/>
  <c r="W26" i="8" s="1"/>
  <c r="U27" i="8"/>
  <c r="W27" i="8" s="1"/>
  <c r="U28" i="8"/>
  <c r="W28" i="8" s="1"/>
  <c r="U29" i="8"/>
  <c r="W29" i="8" s="1"/>
  <c r="U30" i="8"/>
  <c r="W30" i="8" s="1"/>
  <c r="U31" i="8"/>
  <c r="W31" i="8" s="1"/>
  <c r="U32" i="8"/>
  <c r="W32" i="8" s="1"/>
  <c r="U33" i="8"/>
  <c r="W33" i="8" s="1"/>
  <c r="U34" i="8"/>
  <c r="W34" i="8" s="1"/>
  <c r="U35" i="8"/>
  <c r="W35" i="8" s="1"/>
  <c r="U36" i="8"/>
  <c r="W36" i="8" s="1"/>
  <c r="U37" i="8"/>
  <c r="W37" i="8" s="1"/>
  <c r="U38" i="8"/>
  <c r="W38" i="8" s="1"/>
  <c r="U39" i="8"/>
  <c r="W39" i="8" s="1"/>
  <c r="U40" i="8"/>
  <c r="W40" i="8" s="1"/>
  <c r="U41" i="8"/>
  <c r="W41" i="8" s="1"/>
  <c r="U42" i="8"/>
  <c r="W42" i="8" s="1"/>
  <c r="U43" i="8"/>
  <c r="W43" i="8" s="1"/>
  <c r="U44" i="8"/>
  <c r="W44" i="8" s="1"/>
  <c r="U45" i="8"/>
  <c r="W45" i="8" s="1"/>
  <c r="U46" i="8"/>
  <c r="W46" i="8" s="1"/>
  <c r="U47" i="8"/>
  <c r="W47" i="8" s="1"/>
  <c r="U48" i="8"/>
  <c r="W48" i="8" s="1"/>
  <c r="U49" i="8"/>
  <c r="W49" i="8" s="1"/>
  <c r="U50" i="8"/>
  <c r="W50" i="8" s="1"/>
  <c r="U51" i="8"/>
  <c r="W51" i="8" s="1"/>
  <c r="U52" i="8"/>
  <c r="W52" i="8" s="1"/>
  <c r="U53" i="8"/>
  <c r="W53" i="8" s="1"/>
  <c r="U54" i="8"/>
  <c r="W54" i="8" s="1"/>
  <c r="U55" i="8"/>
  <c r="W55" i="8" s="1"/>
  <c r="U2" i="8"/>
  <c r="W2" i="8" s="1"/>
  <c r="P2" i="2" l="1"/>
  <c r="M3" i="8"/>
  <c r="M4" i="8"/>
  <c r="E4" i="8" s="1"/>
  <c r="M5" i="8"/>
  <c r="E5" i="8" s="1"/>
  <c r="M6" i="8"/>
  <c r="E6" i="8" s="1"/>
  <c r="M7" i="8"/>
  <c r="M8" i="8"/>
  <c r="E8" i="8" s="1"/>
  <c r="M9" i="8"/>
  <c r="E9" i="8" s="1"/>
  <c r="M10" i="8"/>
  <c r="E10" i="8" s="1"/>
  <c r="M11" i="8"/>
  <c r="E11" i="8" s="1"/>
  <c r="M12" i="8"/>
  <c r="E12" i="8" s="1"/>
  <c r="M13" i="8"/>
  <c r="E13" i="8" s="1"/>
  <c r="M14" i="8"/>
  <c r="E14" i="8" s="1"/>
  <c r="M15" i="8"/>
  <c r="E15" i="8" s="1"/>
  <c r="M16" i="8"/>
  <c r="E16" i="8" s="1"/>
  <c r="M17" i="8"/>
  <c r="E17" i="8" s="1"/>
  <c r="M18" i="8"/>
  <c r="E18" i="8" s="1"/>
  <c r="M19" i="8"/>
  <c r="M20" i="8"/>
  <c r="E20" i="8" s="1"/>
  <c r="M21" i="8"/>
  <c r="E21" i="8" s="1"/>
  <c r="M22" i="8"/>
  <c r="E22" i="8" s="1"/>
  <c r="M23" i="8"/>
  <c r="E23" i="8" s="1"/>
  <c r="M24" i="8"/>
  <c r="E24" i="8" s="1"/>
  <c r="M25" i="8"/>
  <c r="E25" i="8" s="1"/>
  <c r="M26" i="8"/>
  <c r="E26" i="8" s="1"/>
  <c r="M27" i="8"/>
  <c r="E27" i="8" s="1"/>
  <c r="M28" i="8"/>
  <c r="E28" i="8" s="1"/>
  <c r="M29" i="8"/>
  <c r="E29" i="8" s="1"/>
  <c r="M30" i="8"/>
  <c r="E30" i="8" s="1"/>
  <c r="M31" i="8"/>
  <c r="E31" i="8" s="1"/>
  <c r="M32" i="8"/>
  <c r="E32" i="8" s="1"/>
  <c r="M33" i="8"/>
  <c r="E33" i="8" s="1"/>
  <c r="M34" i="8"/>
  <c r="E34" i="8" s="1"/>
  <c r="M35" i="8"/>
  <c r="E35" i="8" s="1"/>
  <c r="M36" i="8"/>
  <c r="E36" i="8" s="1"/>
  <c r="M37" i="8"/>
  <c r="E37" i="8" s="1"/>
  <c r="M38" i="8"/>
  <c r="E38" i="8" s="1"/>
  <c r="M39" i="8"/>
  <c r="E39" i="8" s="1"/>
  <c r="M40" i="8"/>
  <c r="E40" i="8" s="1"/>
  <c r="M41" i="8"/>
  <c r="E41" i="8" s="1"/>
  <c r="M42" i="8"/>
  <c r="E42" i="8" s="1"/>
  <c r="M43" i="8"/>
  <c r="E43" i="8" s="1"/>
  <c r="M44" i="8"/>
  <c r="E44" i="8" s="1"/>
  <c r="M45" i="8"/>
  <c r="E45" i="8" s="1"/>
  <c r="M46" i="8"/>
  <c r="E46" i="8" s="1"/>
  <c r="M47" i="8"/>
  <c r="E47" i="8" s="1"/>
  <c r="M48" i="8"/>
  <c r="E48" i="8" s="1"/>
  <c r="M49" i="8"/>
  <c r="E49" i="8" s="1"/>
  <c r="M50" i="8"/>
  <c r="E50" i="8" s="1"/>
  <c r="M51" i="8"/>
  <c r="E51" i="8" s="1"/>
  <c r="M52" i="8"/>
  <c r="E52" i="8" s="1"/>
  <c r="M53" i="8"/>
  <c r="E53" i="8" s="1"/>
  <c r="M54" i="8"/>
  <c r="E54" i="8" s="1"/>
  <c r="M55" i="8"/>
  <c r="E55" i="8" s="1"/>
  <c r="M56" i="8"/>
  <c r="E56" i="8" s="1"/>
  <c r="M57" i="8"/>
  <c r="E57" i="8" s="1"/>
  <c r="M58" i="8"/>
  <c r="E58" i="8" s="1"/>
  <c r="M59" i="8"/>
  <c r="E59" i="8" s="1"/>
  <c r="M60" i="8"/>
  <c r="E60" i="8" s="1"/>
  <c r="M61" i="8"/>
  <c r="E61" i="8" s="1"/>
  <c r="M62" i="8"/>
  <c r="E62" i="8" s="1"/>
  <c r="M63" i="8"/>
  <c r="E63" i="8" s="1"/>
  <c r="M64" i="8"/>
  <c r="E64" i="8" s="1"/>
  <c r="M65" i="8"/>
  <c r="E65" i="8" s="1"/>
  <c r="M66" i="8"/>
  <c r="E66" i="8" s="1"/>
  <c r="M67" i="8"/>
  <c r="E67" i="8" s="1"/>
  <c r="M68" i="8"/>
  <c r="E68" i="8" s="1"/>
  <c r="M69" i="8"/>
  <c r="E69" i="8" s="1"/>
  <c r="M70" i="8"/>
  <c r="E70" i="8" s="1"/>
  <c r="M71" i="8"/>
  <c r="E71" i="8" s="1"/>
  <c r="M72" i="8"/>
  <c r="E72" i="8" s="1"/>
  <c r="M73" i="8"/>
  <c r="E73" i="8" s="1"/>
  <c r="AM7" i="2"/>
  <c r="E19" i="8" l="1"/>
  <c r="G19" i="8"/>
  <c r="E3" i="8"/>
  <c r="G3" i="8"/>
  <c r="G71" i="8"/>
  <c r="I71" i="8" s="1"/>
  <c r="J71" i="8" s="1"/>
  <c r="G67" i="8"/>
  <c r="I67" i="8" s="1"/>
  <c r="J67" i="8" s="1"/>
  <c r="G63" i="8"/>
  <c r="I63" i="8" s="1"/>
  <c r="J63" i="8" s="1"/>
  <c r="G59" i="8"/>
  <c r="I59" i="8" s="1"/>
  <c r="J59" i="8" s="1"/>
  <c r="G55" i="8"/>
  <c r="I55" i="8" s="1"/>
  <c r="J55" i="8" s="1"/>
  <c r="G51" i="8"/>
  <c r="I51" i="8" s="1"/>
  <c r="J51" i="8" s="1"/>
  <c r="G47" i="8"/>
  <c r="I47" i="8" s="1"/>
  <c r="J47" i="8" s="1"/>
  <c r="G43" i="8"/>
  <c r="I43" i="8" s="1"/>
  <c r="J43" i="8" s="1"/>
  <c r="G39" i="8"/>
  <c r="G35" i="8"/>
  <c r="I35" i="8" s="1"/>
  <c r="J35" i="8" s="1"/>
  <c r="G31" i="8"/>
  <c r="I31" i="8" s="1"/>
  <c r="J31" i="8" s="1"/>
  <c r="G27" i="8"/>
  <c r="I27" i="8" s="1"/>
  <c r="J27" i="8" s="1"/>
  <c r="G23" i="8"/>
  <c r="I23" i="8" s="1"/>
  <c r="J23" i="8" s="1"/>
  <c r="G15" i="8"/>
  <c r="I15" i="8" s="1"/>
  <c r="J15" i="8" s="1"/>
  <c r="G11" i="8"/>
  <c r="I11" i="8" s="1"/>
  <c r="J11" i="8" s="1"/>
  <c r="G17" i="8"/>
  <c r="I17" i="8" s="1"/>
  <c r="J17" i="8" s="1"/>
  <c r="G13" i="8"/>
  <c r="G9" i="8"/>
  <c r="I9" i="8" s="1"/>
  <c r="J9" i="8" s="1"/>
  <c r="G4" i="8"/>
  <c r="I4" i="8" s="1"/>
  <c r="J4" i="8" s="1"/>
  <c r="K4" i="8" s="1"/>
  <c r="O4" i="8" s="1"/>
  <c r="G6" i="8"/>
  <c r="I6" i="8" s="1"/>
  <c r="J6" i="8" s="1"/>
  <c r="I13" i="8"/>
  <c r="J13" i="8" s="1"/>
  <c r="G70" i="8"/>
  <c r="I70" i="8" s="1"/>
  <c r="J70" i="8" s="1"/>
  <c r="G66" i="8"/>
  <c r="I66" i="8" s="1"/>
  <c r="J66" i="8" s="1"/>
  <c r="G62" i="8"/>
  <c r="I62" i="8" s="1"/>
  <c r="J62" i="8" s="1"/>
  <c r="G58" i="8"/>
  <c r="I58" i="8" s="1"/>
  <c r="J58" i="8" s="1"/>
  <c r="G54" i="8"/>
  <c r="I54" i="8" s="1"/>
  <c r="J54" i="8" s="1"/>
  <c r="G50" i="8"/>
  <c r="I50" i="8" s="1"/>
  <c r="J50" i="8" s="1"/>
  <c r="G46" i="8"/>
  <c r="I46" i="8" s="1"/>
  <c r="J46" i="8" s="1"/>
  <c r="G42" i="8"/>
  <c r="I42" i="8" s="1"/>
  <c r="J42" i="8" s="1"/>
  <c r="G38" i="8"/>
  <c r="I38" i="8" s="1"/>
  <c r="J38" i="8" s="1"/>
  <c r="G34" i="8"/>
  <c r="I34" i="8" s="1"/>
  <c r="J34" i="8" s="1"/>
  <c r="G30" i="8"/>
  <c r="I30" i="8" s="1"/>
  <c r="J30" i="8" s="1"/>
  <c r="G26" i="8"/>
  <c r="I26" i="8" s="1"/>
  <c r="J26" i="8" s="1"/>
  <c r="G22" i="8"/>
  <c r="I22" i="8" s="1"/>
  <c r="J22" i="8" s="1"/>
  <c r="G18" i="8"/>
  <c r="I18" i="8" s="1"/>
  <c r="J18" i="8" s="1"/>
  <c r="G14" i="8"/>
  <c r="I14" i="8" s="1"/>
  <c r="J14" i="8" s="1"/>
  <c r="G10" i="8"/>
  <c r="I10" i="8" s="1"/>
  <c r="J10" i="8" s="1"/>
  <c r="G5" i="8"/>
  <c r="I5" i="8" s="1"/>
  <c r="J5" i="8" s="1"/>
  <c r="G73" i="8"/>
  <c r="I73" i="8" s="1"/>
  <c r="J73" i="8" s="1"/>
  <c r="G69" i="8"/>
  <c r="I69" i="8" s="1"/>
  <c r="J69" i="8" s="1"/>
  <c r="G65" i="8"/>
  <c r="I65" i="8" s="1"/>
  <c r="J65" i="8" s="1"/>
  <c r="G61" i="8"/>
  <c r="I61" i="8" s="1"/>
  <c r="J61" i="8" s="1"/>
  <c r="G57" i="8"/>
  <c r="I57" i="8" s="1"/>
  <c r="J57" i="8" s="1"/>
  <c r="K57" i="8" s="1"/>
  <c r="R57" i="8" s="1"/>
  <c r="G53" i="8"/>
  <c r="I53" i="8" s="1"/>
  <c r="J53" i="8" s="1"/>
  <c r="G49" i="8"/>
  <c r="I49" i="8" s="1"/>
  <c r="J49" i="8" s="1"/>
  <c r="G45" i="8"/>
  <c r="I45" i="8" s="1"/>
  <c r="J45" i="8" s="1"/>
  <c r="G41" i="8"/>
  <c r="I41" i="8" s="1"/>
  <c r="J41" i="8" s="1"/>
  <c r="G37" i="8"/>
  <c r="I37" i="8" s="1"/>
  <c r="J37" i="8" s="1"/>
  <c r="G33" i="8"/>
  <c r="I33" i="8" s="1"/>
  <c r="J33" i="8" s="1"/>
  <c r="G29" i="8"/>
  <c r="I29" i="8" s="1"/>
  <c r="J29" i="8" s="1"/>
  <c r="G25" i="8"/>
  <c r="I25" i="8" s="1"/>
  <c r="J25" i="8" s="1"/>
  <c r="K25" i="8" s="1"/>
  <c r="G21" i="8"/>
  <c r="I21" i="8" s="1"/>
  <c r="J21" i="8" s="1"/>
  <c r="I39" i="8"/>
  <c r="J39" i="8" s="1"/>
  <c r="E7" i="8"/>
  <c r="G7" i="8"/>
  <c r="G72" i="8"/>
  <c r="I72" i="8" s="1"/>
  <c r="J72" i="8" s="1"/>
  <c r="G68" i="8"/>
  <c r="I68" i="8" s="1"/>
  <c r="J68" i="8" s="1"/>
  <c r="K68" i="8" s="1"/>
  <c r="R68" i="8" s="1"/>
  <c r="G64" i="8"/>
  <c r="I64" i="8" s="1"/>
  <c r="J64" i="8" s="1"/>
  <c r="G60" i="8"/>
  <c r="I60" i="8" s="1"/>
  <c r="J60" i="8" s="1"/>
  <c r="G56" i="8"/>
  <c r="I56" i="8" s="1"/>
  <c r="J56" i="8" s="1"/>
  <c r="G52" i="8"/>
  <c r="I52" i="8" s="1"/>
  <c r="J52" i="8" s="1"/>
  <c r="G48" i="8"/>
  <c r="I48" i="8" s="1"/>
  <c r="J48" i="8" s="1"/>
  <c r="G44" i="8"/>
  <c r="I44" i="8" s="1"/>
  <c r="J44" i="8" s="1"/>
  <c r="G40" i="8"/>
  <c r="I40" i="8" s="1"/>
  <c r="J40" i="8" s="1"/>
  <c r="G36" i="8"/>
  <c r="I36" i="8" s="1"/>
  <c r="J36" i="8" s="1"/>
  <c r="G32" i="8"/>
  <c r="I32" i="8" s="1"/>
  <c r="J32" i="8" s="1"/>
  <c r="G28" i="8"/>
  <c r="I28" i="8" s="1"/>
  <c r="J28" i="8" s="1"/>
  <c r="G24" i="8"/>
  <c r="I24" i="8" s="1"/>
  <c r="J24" i="8" s="1"/>
  <c r="G20" i="8"/>
  <c r="I20" i="8" s="1"/>
  <c r="J20" i="8" s="1"/>
  <c r="G16" i="8"/>
  <c r="I16" i="8" s="1"/>
  <c r="J16" i="8" s="1"/>
  <c r="G12" i="8"/>
  <c r="I12" i="8" s="1"/>
  <c r="J12" i="8" s="1"/>
  <c r="G8" i="8"/>
  <c r="I8" i="8" s="1"/>
  <c r="J8" i="8" s="1"/>
  <c r="K8" i="8" s="1"/>
  <c r="I3" i="8" l="1"/>
  <c r="J3" i="8" s="1"/>
  <c r="R25" i="8"/>
  <c r="S25" i="8" s="1"/>
  <c r="O25" i="8"/>
  <c r="I19" i="8"/>
  <c r="J19" i="8" s="1"/>
  <c r="K19" i="8" s="1"/>
  <c r="R8" i="8"/>
  <c r="S8" i="8" s="1"/>
  <c r="O8" i="8"/>
  <c r="Q8" i="8" s="1"/>
  <c r="K56" i="8"/>
  <c r="R56" i="8" s="1"/>
  <c r="N56" i="8"/>
  <c r="N12" i="8"/>
  <c r="K12" i="8"/>
  <c r="K44" i="8"/>
  <c r="N44" i="8"/>
  <c r="N67" i="8"/>
  <c r="K67" i="8"/>
  <c r="R67" i="8" s="1"/>
  <c r="N58" i="8"/>
  <c r="K58" i="8"/>
  <c r="R58" i="8" s="1"/>
  <c r="N41" i="8"/>
  <c r="K41" i="8"/>
  <c r="N27" i="8"/>
  <c r="K27" i="8"/>
  <c r="N59" i="8"/>
  <c r="K59" i="8"/>
  <c r="R59" i="8" s="1"/>
  <c r="K36" i="8"/>
  <c r="N36" i="8"/>
  <c r="N53" i="8"/>
  <c r="K53" i="8"/>
  <c r="N31" i="8"/>
  <c r="K31" i="8"/>
  <c r="N63" i="8"/>
  <c r="K63" i="8"/>
  <c r="R63" i="8" s="1"/>
  <c r="N28" i="8"/>
  <c r="K28" i="8"/>
  <c r="N60" i="8"/>
  <c r="K60" i="8"/>
  <c r="R60" i="8" s="1"/>
  <c r="N9" i="8"/>
  <c r="K9" i="8"/>
  <c r="K13" i="8"/>
  <c r="N13" i="8"/>
  <c r="N11" i="8"/>
  <c r="K11" i="8"/>
  <c r="N43" i="8"/>
  <c r="K43" i="8"/>
  <c r="N20" i="8"/>
  <c r="K20" i="8"/>
  <c r="N21" i="8"/>
  <c r="K21" i="8"/>
  <c r="N15" i="8"/>
  <c r="K15" i="8"/>
  <c r="N47" i="8"/>
  <c r="K47" i="8"/>
  <c r="N40" i="8"/>
  <c r="K40" i="8"/>
  <c r="N5" i="8"/>
  <c r="K5" i="8"/>
  <c r="N52" i="8"/>
  <c r="K52" i="8"/>
  <c r="N29" i="8"/>
  <c r="K29" i="8"/>
  <c r="N61" i="8"/>
  <c r="K61" i="8"/>
  <c r="R61" i="8" s="1"/>
  <c r="N24" i="8"/>
  <c r="K24" i="8"/>
  <c r="N14" i="8"/>
  <c r="K14" i="8"/>
  <c r="N46" i="8"/>
  <c r="K46" i="8"/>
  <c r="N32" i="8"/>
  <c r="K32" i="8"/>
  <c r="N35" i="8"/>
  <c r="K35" i="8"/>
  <c r="N71" i="8"/>
  <c r="K71" i="8"/>
  <c r="R71" i="8" s="1"/>
  <c r="N16" i="8"/>
  <c r="K16" i="8"/>
  <c r="N64" i="8"/>
  <c r="K64" i="8"/>
  <c r="R64" i="8" s="1"/>
  <c r="N23" i="8"/>
  <c r="K23" i="8"/>
  <c r="N55" i="8"/>
  <c r="K55" i="8"/>
  <c r="N33" i="8"/>
  <c r="K33" i="8"/>
  <c r="N49" i="8"/>
  <c r="K49" i="8"/>
  <c r="N65" i="8"/>
  <c r="K65" i="8"/>
  <c r="R65" i="8" s="1"/>
  <c r="N72" i="8"/>
  <c r="K72" i="8"/>
  <c r="R72" i="8" s="1"/>
  <c r="N18" i="8"/>
  <c r="K18" i="8"/>
  <c r="N34" i="8"/>
  <c r="K34" i="8"/>
  <c r="N50" i="8"/>
  <c r="K50" i="8"/>
  <c r="N66" i="8"/>
  <c r="K66" i="8"/>
  <c r="R66" i="8" s="1"/>
  <c r="N37" i="8"/>
  <c r="K37" i="8"/>
  <c r="N69" i="8"/>
  <c r="K69" i="8"/>
  <c r="R69" i="8" s="1"/>
  <c r="N3" i="8"/>
  <c r="K3" i="8"/>
  <c r="N4" i="8"/>
  <c r="R4" i="8"/>
  <c r="S4" i="8" s="1"/>
  <c r="N51" i="8"/>
  <c r="K51" i="8"/>
  <c r="N45" i="8"/>
  <c r="K45" i="8"/>
  <c r="N30" i="8"/>
  <c r="K30" i="8"/>
  <c r="N62" i="8"/>
  <c r="K62" i="8"/>
  <c r="R62" i="8" s="1"/>
  <c r="N10" i="8"/>
  <c r="K10" i="8"/>
  <c r="N39" i="8"/>
  <c r="K39" i="8"/>
  <c r="N48" i="8"/>
  <c r="K48" i="8"/>
  <c r="N26" i="8"/>
  <c r="K26" i="8"/>
  <c r="N68" i="8"/>
  <c r="N57" i="8"/>
  <c r="N22" i="8"/>
  <c r="K22" i="8"/>
  <c r="N38" i="8"/>
  <c r="K38" i="8"/>
  <c r="N54" i="8"/>
  <c r="K54" i="8"/>
  <c r="N70" i="8"/>
  <c r="K70" i="8"/>
  <c r="R70" i="8" s="1"/>
  <c r="N17" i="8"/>
  <c r="K17" i="8"/>
  <c r="N73" i="8"/>
  <c r="K73" i="8"/>
  <c r="R73" i="8" s="1"/>
  <c r="N42" i="8"/>
  <c r="K42" i="8"/>
  <c r="N25" i="8"/>
  <c r="N8" i="8"/>
  <c r="N6" i="8"/>
  <c r="K6" i="8"/>
  <c r="I7" i="8"/>
  <c r="J7" i="8" s="1"/>
  <c r="M2" i="8"/>
  <c r="H16" i="1"/>
  <c r="E9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16" i="7"/>
  <c r="G69" i="4"/>
  <c r="G72" i="4"/>
  <c r="G73" i="4"/>
  <c r="G74" i="4"/>
  <c r="G75" i="4"/>
  <c r="G76" i="4"/>
  <c r="G77" i="4"/>
  <c r="G78" i="4"/>
  <c r="D29" i="4"/>
  <c r="G29" i="4"/>
  <c r="G14" i="4"/>
  <c r="H14" i="4" s="1"/>
  <c r="G13" i="4"/>
  <c r="H13" i="4" s="1"/>
  <c r="G12" i="4"/>
  <c r="H12" i="4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G2" i="7"/>
  <c r="H2" i="7" s="1"/>
  <c r="N19" i="8" l="1"/>
  <c r="R19" i="8"/>
  <c r="S19" i="8" s="1"/>
  <c r="O19" i="8"/>
  <c r="R51" i="8"/>
  <c r="S51" i="8" s="1"/>
  <c r="O51" i="8"/>
  <c r="R50" i="8"/>
  <c r="S50" i="8" s="1"/>
  <c r="O50" i="8"/>
  <c r="R16" i="8"/>
  <c r="S16" i="8" s="1"/>
  <c r="O16" i="8"/>
  <c r="R11" i="8"/>
  <c r="S11" i="8" s="1"/>
  <c r="O11" i="8"/>
  <c r="R36" i="8"/>
  <c r="S36" i="8" s="1"/>
  <c r="O36" i="8"/>
  <c r="R44" i="8"/>
  <c r="S44" i="8" s="1"/>
  <c r="O44" i="8"/>
  <c r="R13" i="8"/>
  <c r="S13" i="8" s="1"/>
  <c r="O13" i="8"/>
  <c r="R38" i="8"/>
  <c r="S38" i="8" s="1"/>
  <c r="O38" i="8"/>
  <c r="R48" i="8"/>
  <c r="S48" i="8" s="1"/>
  <c r="O48" i="8"/>
  <c r="R10" i="8"/>
  <c r="S10" i="8" s="1"/>
  <c r="O10" i="8"/>
  <c r="R30" i="8"/>
  <c r="S30" i="8" s="1"/>
  <c r="O30" i="8"/>
  <c r="R3" i="8"/>
  <c r="S3" i="8" s="1"/>
  <c r="O3" i="8"/>
  <c r="R37" i="8"/>
  <c r="S37" i="8" s="1"/>
  <c r="O37" i="8"/>
  <c r="R18" i="8"/>
  <c r="S18" i="8" s="1"/>
  <c r="O18" i="8"/>
  <c r="R33" i="8"/>
  <c r="S33" i="8" s="1"/>
  <c r="O33" i="8"/>
  <c r="R23" i="8"/>
  <c r="S23" i="8" s="1"/>
  <c r="O23" i="8"/>
  <c r="R35" i="8"/>
  <c r="S35" i="8" s="1"/>
  <c r="O35" i="8"/>
  <c r="R46" i="8"/>
  <c r="S46" i="8" s="1"/>
  <c r="O46" i="8"/>
  <c r="R24" i="8"/>
  <c r="S24" i="8" s="1"/>
  <c r="O24" i="8"/>
  <c r="R29" i="8"/>
  <c r="S29" i="8" s="1"/>
  <c r="O29" i="8"/>
  <c r="R52" i="8"/>
  <c r="S52" i="8" s="1"/>
  <c r="O52" i="8"/>
  <c r="R40" i="8"/>
  <c r="S40" i="8" s="1"/>
  <c r="O40" i="8"/>
  <c r="R15" i="8"/>
  <c r="S15" i="8" s="1"/>
  <c r="O15" i="8"/>
  <c r="Q15" i="8" s="1"/>
  <c r="R20" i="8"/>
  <c r="S20" i="8" s="1"/>
  <c r="O20" i="8"/>
  <c r="R9" i="8"/>
  <c r="S9" i="8" s="1"/>
  <c r="O9" i="8"/>
  <c r="R28" i="8"/>
  <c r="S28" i="8" s="1"/>
  <c r="O28" i="8"/>
  <c r="R31" i="8"/>
  <c r="S31" i="8" s="1"/>
  <c r="O31" i="8"/>
  <c r="R27" i="8"/>
  <c r="S27" i="8" s="1"/>
  <c r="O27" i="8"/>
  <c r="R6" i="8"/>
  <c r="S6" i="8" s="1"/>
  <c r="O6" i="8"/>
  <c r="Q6" i="8" s="1"/>
  <c r="R42" i="8"/>
  <c r="S42" i="8" s="1"/>
  <c r="O42" i="8"/>
  <c r="R17" i="8"/>
  <c r="S17" i="8" s="1"/>
  <c r="O17" i="8"/>
  <c r="R54" i="8"/>
  <c r="S54" i="8" s="1"/>
  <c r="O54" i="8"/>
  <c r="R22" i="8"/>
  <c r="S22" i="8" s="1"/>
  <c r="O22" i="8"/>
  <c r="R26" i="8"/>
  <c r="S26" i="8" s="1"/>
  <c r="O26" i="8"/>
  <c r="R39" i="8"/>
  <c r="S39" i="8" s="1"/>
  <c r="O39" i="8"/>
  <c r="R45" i="8"/>
  <c r="S45" i="8" s="1"/>
  <c r="O45" i="8"/>
  <c r="R34" i="8"/>
  <c r="S34" i="8" s="1"/>
  <c r="O34" i="8"/>
  <c r="R49" i="8"/>
  <c r="S49" i="8" s="1"/>
  <c r="O49" i="8"/>
  <c r="R55" i="8"/>
  <c r="S55" i="8" s="1"/>
  <c r="O55" i="8"/>
  <c r="R32" i="8"/>
  <c r="S32" i="8" s="1"/>
  <c r="O32" i="8"/>
  <c r="R14" i="8"/>
  <c r="S14" i="8" s="1"/>
  <c r="O14" i="8"/>
  <c r="R5" i="8"/>
  <c r="S5" i="8" s="1"/>
  <c r="O5" i="8"/>
  <c r="R47" i="8"/>
  <c r="S47" i="8" s="1"/>
  <c r="O47" i="8"/>
  <c r="R21" i="8"/>
  <c r="S21" i="8" s="1"/>
  <c r="O21" i="8"/>
  <c r="R43" i="8"/>
  <c r="S43" i="8" s="1"/>
  <c r="O43" i="8"/>
  <c r="R53" i="8"/>
  <c r="S53" i="8" s="1"/>
  <c r="O53" i="8"/>
  <c r="R41" i="8"/>
  <c r="S41" i="8" s="1"/>
  <c r="O41" i="8"/>
  <c r="R12" i="8"/>
  <c r="S12" i="8" s="1"/>
  <c r="O12" i="8"/>
  <c r="N7" i="8"/>
  <c r="K7" i="8"/>
  <c r="E2" i="8"/>
  <c r="G2" i="8"/>
  <c r="F46" i="6"/>
  <c r="E47" i="6"/>
  <c r="E48" i="6"/>
  <c r="E49" i="6"/>
  <c r="E50" i="6"/>
  <c r="E46" i="6"/>
  <c r="D47" i="6"/>
  <c r="D48" i="6"/>
  <c r="D49" i="6"/>
  <c r="D50" i="6"/>
  <c r="R7" i="8" l="1"/>
  <c r="S7" i="8" s="1"/>
  <c r="O7" i="8"/>
  <c r="Q7" i="8" s="1"/>
  <c r="I2" i="8"/>
  <c r="J2" i="8" s="1"/>
  <c r="N2" i="8" s="1"/>
  <c r="Q35" i="8"/>
  <c r="Q14" i="8"/>
  <c r="Q24" i="8"/>
  <c r="Q30" i="8"/>
  <c r="Q40" i="8"/>
  <c r="Q41" i="8"/>
  <c r="Q22" i="8"/>
  <c r="Q42" i="8"/>
  <c r="Q11" i="8"/>
  <c r="Q31" i="8"/>
  <c r="Q55" i="8"/>
  <c r="Q16" i="8"/>
  <c r="Q32" i="8"/>
  <c r="Q48" i="8"/>
  <c r="Q13" i="8"/>
  <c r="Q33" i="8"/>
  <c r="Q46" i="8"/>
  <c r="Q19" i="8"/>
  <c r="Q49" i="8"/>
  <c r="Q10" i="8"/>
  <c r="Q26" i="8"/>
  <c r="Q4" i="8"/>
  <c r="Q20" i="8"/>
  <c r="Q36" i="8"/>
  <c r="Q52" i="8"/>
  <c r="Q17" i="8"/>
  <c r="Q37" i="8"/>
  <c r="Q54" i="8"/>
  <c r="Q9" i="8"/>
  <c r="Q34" i="8"/>
  <c r="Q50" i="8"/>
  <c r="Q51" i="8"/>
  <c r="Q23" i="8"/>
  <c r="Q43" i="8"/>
  <c r="Q5" i="8"/>
  <c r="Q21" i="8"/>
  <c r="Q53" i="8"/>
  <c r="Q12" i="8"/>
  <c r="Q25" i="8"/>
  <c r="Q39" i="8"/>
  <c r="Q18" i="8"/>
  <c r="Q38" i="8"/>
  <c r="Q3" i="8"/>
  <c r="Q27" i="8"/>
  <c r="Q47" i="8"/>
  <c r="Q28" i="8"/>
  <c r="Q44" i="8"/>
  <c r="Q29" i="8"/>
  <c r="Q45" i="8"/>
  <c r="D46" i="6"/>
  <c r="C47" i="6"/>
  <c r="C48" i="6"/>
  <c r="C49" i="6"/>
  <c r="C50" i="6"/>
  <c r="C46" i="6"/>
  <c r="H30" i="6"/>
  <c r="I30" i="6" s="1"/>
  <c r="J30" i="6" s="1"/>
  <c r="K30" i="6" s="1"/>
  <c r="H31" i="6"/>
  <c r="H32" i="6"/>
  <c r="I32" i="6" s="1"/>
  <c r="J32" i="6" s="1"/>
  <c r="K32" i="6" s="1"/>
  <c r="H33" i="6"/>
  <c r="I33" i="6" s="1"/>
  <c r="J33" i="6" s="1"/>
  <c r="K33" i="6" s="1"/>
  <c r="H29" i="6"/>
  <c r="I29" i="6" s="1"/>
  <c r="J29" i="6" s="1"/>
  <c r="K29" i="6" s="1"/>
  <c r="G4" i="4"/>
  <c r="G5" i="4"/>
  <c r="G6" i="4"/>
  <c r="G7" i="4"/>
  <c r="G8" i="4"/>
  <c r="G9" i="4"/>
  <c r="G10" i="4"/>
  <c r="G11" i="4"/>
  <c r="G3" i="4"/>
  <c r="H3" i="4" s="1"/>
  <c r="C4" i="6"/>
  <c r="C5" i="6"/>
  <c r="C6" i="6"/>
  <c r="D6" i="6" s="1"/>
  <c r="E6" i="6" s="1"/>
  <c r="F6" i="6" s="1"/>
  <c r="C2" i="6"/>
  <c r="C3" i="6"/>
  <c r="D3" i="6" s="1"/>
  <c r="E3" i="6" s="1"/>
  <c r="F3" i="6" s="1"/>
  <c r="D42" i="6"/>
  <c r="D41" i="6"/>
  <c r="D40" i="6"/>
  <c r="D39" i="6"/>
  <c r="D38" i="6"/>
  <c r="I31" i="6"/>
  <c r="J31" i="6" s="1"/>
  <c r="K31" i="6" s="1"/>
  <c r="H28" i="6"/>
  <c r="I28" i="6" s="1"/>
  <c r="J28" i="6" s="1"/>
  <c r="K28" i="6" s="1"/>
  <c r="D5" i="6"/>
  <c r="E5" i="6" s="1"/>
  <c r="F5" i="6" s="1"/>
  <c r="D4" i="6"/>
  <c r="E4" i="6" s="1"/>
  <c r="F4" i="6" s="1"/>
  <c r="D2" i="6"/>
  <c r="E2" i="6" s="1"/>
  <c r="F2" i="6" s="1"/>
  <c r="C1" i="6"/>
  <c r="D1" i="6" s="1"/>
  <c r="E1" i="6" s="1"/>
  <c r="F1" i="6" s="1"/>
  <c r="G22" i="4"/>
  <c r="G23" i="4"/>
  <c r="G24" i="4"/>
  <c r="G25" i="4"/>
  <c r="G26" i="4"/>
  <c r="G27" i="4"/>
  <c r="G28" i="4"/>
  <c r="G32" i="4"/>
  <c r="G33" i="4"/>
  <c r="G34" i="4"/>
  <c r="G35" i="4"/>
  <c r="G36" i="4"/>
  <c r="G37" i="4"/>
  <c r="G38" i="4"/>
  <c r="G39" i="4"/>
  <c r="G42" i="4"/>
  <c r="G43" i="4"/>
  <c r="G44" i="4"/>
  <c r="G45" i="4"/>
  <c r="G46" i="4"/>
  <c r="G47" i="4"/>
  <c r="G48" i="4"/>
  <c r="G49" i="4"/>
  <c r="G52" i="4"/>
  <c r="G53" i="4"/>
  <c r="G54" i="4"/>
  <c r="G55" i="4"/>
  <c r="G56" i="4"/>
  <c r="G57" i="4"/>
  <c r="G58" i="4"/>
  <c r="G59" i="4"/>
  <c r="G62" i="4"/>
  <c r="G63" i="4"/>
  <c r="G64" i="4"/>
  <c r="G65" i="4"/>
  <c r="G66" i="4"/>
  <c r="G67" i="4"/>
  <c r="G68" i="4"/>
  <c r="G19" i="4"/>
  <c r="K2" i="8" l="1"/>
  <c r="D22" i="4"/>
  <c r="D23" i="4"/>
  <c r="D24" i="4"/>
  <c r="D25" i="4"/>
  <c r="D26" i="4"/>
  <c r="D27" i="4"/>
  <c r="D28" i="4"/>
  <c r="D32" i="4"/>
  <c r="D33" i="4"/>
  <c r="D34" i="4"/>
  <c r="D35" i="4"/>
  <c r="D36" i="4"/>
  <c r="D37" i="4"/>
  <c r="D38" i="4"/>
  <c r="D39" i="4"/>
  <c r="D42" i="4"/>
  <c r="D43" i="4"/>
  <c r="D44" i="4"/>
  <c r="D45" i="4"/>
  <c r="D46" i="4"/>
  <c r="D47" i="4"/>
  <c r="D48" i="4"/>
  <c r="D52" i="4"/>
  <c r="D54" i="4"/>
  <c r="D55" i="4"/>
  <c r="D56" i="4"/>
  <c r="D57" i="4"/>
  <c r="D58" i="4"/>
  <c r="D59" i="4"/>
  <c r="D62" i="4"/>
  <c r="D63" i="4"/>
  <c r="D64" i="4"/>
  <c r="D65" i="4"/>
  <c r="D66" i="4"/>
  <c r="D67" i="4"/>
  <c r="D68" i="4"/>
  <c r="D69" i="4"/>
  <c r="D72" i="4"/>
  <c r="D73" i="4"/>
  <c r="D74" i="4"/>
  <c r="D75" i="4"/>
  <c r="D76" i="4"/>
  <c r="D77" i="4"/>
  <c r="D78" i="4"/>
  <c r="D19" i="4"/>
  <c r="H11" i="4"/>
  <c r="H10" i="4"/>
  <c r="H9" i="4"/>
  <c r="H8" i="4"/>
  <c r="H7" i="4"/>
  <c r="H6" i="4"/>
  <c r="H5" i="4"/>
  <c r="H4" i="4"/>
  <c r="G2" i="4"/>
  <c r="H2" i="4" s="1"/>
  <c r="V50" i="2"/>
  <c r="V49" i="2"/>
  <c r="V48" i="2"/>
  <c r="V47" i="2"/>
  <c r="U22" i="2"/>
  <c r="U3" i="2"/>
  <c r="U2" i="2"/>
  <c r="U33" i="2"/>
  <c r="U23" i="2"/>
  <c r="U13" i="2"/>
  <c r="U32" i="2"/>
  <c r="F28" i="2"/>
  <c r="H28" i="2"/>
  <c r="I28" i="2" s="1"/>
  <c r="L28" i="2" s="1"/>
  <c r="M28" i="2" s="1"/>
  <c r="O28" i="2" s="1"/>
  <c r="P28" i="2" s="1"/>
  <c r="K28" i="2"/>
  <c r="R28" i="2"/>
  <c r="T28" i="2"/>
  <c r="R38" i="2"/>
  <c r="T38" i="2" s="1"/>
  <c r="R34" i="2"/>
  <c r="T34" i="2" s="1"/>
  <c r="R35" i="2"/>
  <c r="T35" i="2" s="1"/>
  <c r="R24" i="2"/>
  <c r="T24" i="2" s="1"/>
  <c r="R25" i="2"/>
  <c r="T25" i="2" s="1"/>
  <c r="R18" i="2"/>
  <c r="T18" i="2" s="1"/>
  <c r="R14" i="2"/>
  <c r="T14" i="2" s="1"/>
  <c r="R15" i="2"/>
  <c r="T15" i="2" s="1"/>
  <c r="R8" i="2"/>
  <c r="T8" i="2" s="1"/>
  <c r="R4" i="2"/>
  <c r="T4" i="2" s="1"/>
  <c r="R5" i="2"/>
  <c r="T5" i="2" s="1"/>
  <c r="K38" i="2"/>
  <c r="K34" i="2"/>
  <c r="K35" i="2"/>
  <c r="K24" i="2"/>
  <c r="K25" i="2"/>
  <c r="K18" i="2"/>
  <c r="K14" i="2"/>
  <c r="K15" i="2"/>
  <c r="K8" i="2"/>
  <c r="K4" i="2"/>
  <c r="K5" i="2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H12" i="2"/>
  <c r="H13" i="2"/>
  <c r="I13" i="2" s="1"/>
  <c r="H14" i="2"/>
  <c r="I14" i="2" s="1"/>
  <c r="L14" i="2" s="1"/>
  <c r="M14" i="2" s="1"/>
  <c r="O14" i="2" s="1"/>
  <c r="P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H25" i="2"/>
  <c r="I25" i="2" s="1"/>
  <c r="H26" i="2"/>
  <c r="H27" i="2"/>
  <c r="H29" i="2"/>
  <c r="H30" i="2"/>
  <c r="I30" i="2" s="1"/>
  <c r="H31" i="2"/>
  <c r="I31" i="2" s="1"/>
  <c r="H32" i="2"/>
  <c r="I32" i="2" s="1"/>
  <c r="H33" i="2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H42" i="2"/>
  <c r="I42" i="2" s="1"/>
  <c r="H43" i="2"/>
  <c r="I43" i="2" s="1"/>
  <c r="H44" i="2"/>
  <c r="I44" i="2" s="1"/>
  <c r="H45" i="2"/>
  <c r="H46" i="2"/>
  <c r="I46" i="2" s="1"/>
  <c r="H47" i="2"/>
  <c r="I47" i="2" s="1"/>
  <c r="H48" i="2"/>
  <c r="I48" i="2" s="1"/>
  <c r="H49" i="2"/>
  <c r="H50" i="2"/>
  <c r="I50" i="2" s="1"/>
  <c r="H51" i="2"/>
  <c r="I51" i="2" s="1"/>
  <c r="H52" i="2"/>
  <c r="I52" i="2" s="1"/>
  <c r="H53" i="2"/>
  <c r="H54" i="2"/>
  <c r="I54" i="2" s="1"/>
  <c r="H55" i="2"/>
  <c r="I55" i="2" s="1"/>
  <c r="H56" i="2"/>
  <c r="I56" i="2" s="1"/>
  <c r="H57" i="2"/>
  <c r="H58" i="2"/>
  <c r="I58" i="2" s="1"/>
  <c r="H59" i="2"/>
  <c r="I59" i="2" s="1"/>
  <c r="H60" i="2"/>
  <c r="I60" i="2" s="1"/>
  <c r="H61" i="2"/>
  <c r="I61" i="2" s="1"/>
  <c r="H4" i="2"/>
  <c r="I4" i="2" s="1"/>
  <c r="F58" i="2"/>
  <c r="F55" i="2"/>
  <c r="F54" i="2"/>
  <c r="F48" i="2"/>
  <c r="F45" i="2"/>
  <c r="F44" i="2"/>
  <c r="F38" i="2"/>
  <c r="F35" i="2"/>
  <c r="F34" i="2"/>
  <c r="F25" i="2"/>
  <c r="F24" i="2"/>
  <c r="F18" i="2"/>
  <c r="F15" i="2"/>
  <c r="F14" i="2"/>
  <c r="F8" i="2"/>
  <c r="F5" i="2"/>
  <c r="F4" i="2"/>
  <c r="I45" i="2"/>
  <c r="I24" i="2"/>
  <c r="D80" i="2"/>
  <c r="D81" i="2"/>
  <c r="D82" i="2"/>
  <c r="D83" i="2"/>
  <c r="D84" i="2"/>
  <c r="D85" i="2"/>
  <c r="D86" i="2"/>
  <c r="D79" i="2"/>
  <c r="G65" i="1"/>
  <c r="G55" i="1"/>
  <c r="G45" i="1"/>
  <c r="G35" i="1"/>
  <c r="G62" i="1"/>
  <c r="G52" i="1"/>
  <c r="G42" i="1"/>
  <c r="G32" i="1"/>
  <c r="G61" i="1"/>
  <c r="G51" i="1"/>
  <c r="G31" i="1"/>
  <c r="G41" i="1"/>
  <c r="D65" i="1"/>
  <c r="D62" i="1"/>
  <c r="D61" i="1"/>
  <c r="D55" i="1"/>
  <c r="D52" i="1"/>
  <c r="D51" i="1"/>
  <c r="D45" i="1"/>
  <c r="D42" i="1"/>
  <c r="D31" i="1"/>
  <c r="D32" i="1"/>
  <c r="D33" i="1"/>
  <c r="D34" i="1"/>
  <c r="D35" i="1"/>
  <c r="D41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F79" i="1"/>
  <c r="F80" i="1"/>
  <c r="F81" i="1"/>
  <c r="F82" i="1"/>
  <c r="F83" i="1"/>
  <c r="F84" i="1"/>
  <c r="F85" i="1"/>
  <c r="F86" i="1"/>
  <c r="F87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G22" i="1"/>
  <c r="H22" i="1" s="1"/>
  <c r="G18" i="1"/>
  <c r="H18" i="1" s="1"/>
  <c r="G19" i="1"/>
  <c r="H19" i="1" s="1"/>
  <c r="G23" i="1"/>
  <c r="H23" i="1" s="1"/>
  <c r="M17" i="1"/>
  <c r="L14" i="1"/>
  <c r="G9" i="1"/>
  <c r="H9" i="1" s="1"/>
  <c r="G5" i="1"/>
  <c r="H5" i="1" s="1"/>
  <c r="G6" i="1"/>
  <c r="H6" i="1" s="1"/>
  <c r="R3" i="2"/>
  <c r="T3" i="2" s="1"/>
  <c r="R6" i="2"/>
  <c r="T6" i="2" s="1"/>
  <c r="R7" i="2"/>
  <c r="T7" i="2" s="1"/>
  <c r="R9" i="2"/>
  <c r="T9" i="2" s="1"/>
  <c r="R10" i="2"/>
  <c r="T10" i="2" s="1"/>
  <c r="R11" i="2"/>
  <c r="T11" i="2" s="1"/>
  <c r="R12" i="2"/>
  <c r="T12" i="2" s="1"/>
  <c r="R13" i="2"/>
  <c r="T13" i="2" s="1"/>
  <c r="R16" i="2"/>
  <c r="T16" i="2" s="1"/>
  <c r="R17" i="2"/>
  <c r="T17" i="2" s="1"/>
  <c r="R19" i="2"/>
  <c r="T19" i="2" s="1"/>
  <c r="R20" i="2"/>
  <c r="T20" i="2" s="1"/>
  <c r="R21" i="2"/>
  <c r="T21" i="2" s="1"/>
  <c r="R22" i="2"/>
  <c r="T22" i="2" s="1"/>
  <c r="R23" i="2"/>
  <c r="T23" i="2" s="1"/>
  <c r="R26" i="2"/>
  <c r="T26" i="2" s="1"/>
  <c r="R27" i="2"/>
  <c r="T27" i="2" s="1"/>
  <c r="R29" i="2"/>
  <c r="T29" i="2" s="1"/>
  <c r="R30" i="2"/>
  <c r="T30" i="2" s="1"/>
  <c r="R31" i="2"/>
  <c r="T31" i="2" s="1"/>
  <c r="R32" i="2"/>
  <c r="T32" i="2" s="1"/>
  <c r="R33" i="2"/>
  <c r="T33" i="2" s="1"/>
  <c r="R36" i="2"/>
  <c r="T36" i="2" s="1"/>
  <c r="R37" i="2"/>
  <c r="T37" i="2" s="1"/>
  <c r="R39" i="2"/>
  <c r="T39" i="2" s="1"/>
  <c r="R40" i="2"/>
  <c r="T40" i="2" s="1"/>
  <c r="R41" i="2"/>
  <c r="T41" i="2" s="1"/>
  <c r="R2" i="2"/>
  <c r="T2" i="2" s="1"/>
  <c r="H3" i="2"/>
  <c r="I3" i="2" s="1"/>
  <c r="I11" i="2"/>
  <c r="I12" i="2"/>
  <c r="I26" i="2"/>
  <c r="I27" i="2"/>
  <c r="I29" i="2"/>
  <c r="I33" i="2"/>
  <c r="I37" i="2"/>
  <c r="I41" i="2"/>
  <c r="I49" i="2"/>
  <c r="I53" i="2"/>
  <c r="I57" i="2"/>
  <c r="H2" i="2"/>
  <c r="I2" i="2" s="1"/>
  <c r="K3" i="2"/>
  <c r="K6" i="2"/>
  <c r="K7" i="2"/>
  <c r="K9" i="2"/>
  <c r="K10" i="2"/>
  <c r="K11" i="2"/>
  <c r="K12" i="2"/>
  <c r="K13" i="2"/>
  <c r="K16" i="2"/>
  <c r="K17" i="2"/>
  <c r="K19" i="2"/>
  <c r="K20" i="2"/>
  <c r="K21" i="2"/>
  <c r="K22" i="2"/>
  <c r="K23" i="2"/>
  <c r="K26" i="2"/>
  <c r="K27" i="2"/>
  <c r="K29" i="2"/>
  <c r="K30" i="2"/>
  <c r="K31" i="2"/>
  <c r="K32" i="2"/>
  <c r="K33" i="2"/>
  <c r="K36" i="2"/>
  <c r="K37" i="2"/>
  <c r="K39" i="2"/>
  <c r="K40" i="2"/>
  <c r="K41" i="2"/>
  <c r="K2" i="2"/>
  <c r="F2" i="2"/>
  <c r="F3" i="2"/>
  <c r="F6" i="2"/>
  <c r="F7" i="2"/>
  <c r="F9" i="2"/>
  <c r="F10" i="2"/>
  <c r="F11" i="2"/>
  <c r="F12" i="2"/>
  <c r="F13" i="2"/>
  <c r="F16" i="2"/>
  <c r="F17" i="2"/>
  <c r="F19" i="2"/>
  <c r="F20" i="2"/>
  <c r="F21" i="2"/>
  <c r="F22" i="2"/>
  <c r="F23" i="2"/>
  <c r="F26" i="2"/>
  <c r="F27" i="2"/>
  <c r="F29" i="2"/>
  <c r="F30" i="2"/>
  <c r="F31" i="2"/>
  <c r="F32" i="2"/>
  <c r="F33" i="2"/>
  <c r="F36" i="2"/>
  <c r="F37" i="2"/>
  <c r="F39" i="2"/>
  <c r="F40" i="2"/>
  <c r="F41" i="2"/>
  <c r="F42" i="2"/>
  <c r="F43" i="2"/>
  <c r="F46" i="2"/>
  <c r="F47" i="2"/>
  <c r="F49" i="2"/>
  <c r="F50" i="2"/>
  <c r="F51" i="2"/>
  <c r="F52" i="2"/>
  <c r="F53" i="2"/>
  <c r="F56" i="2"/>
  <c r="F57" i="2"/>
  <c r="F59" i="2"/>
  <c r="F60" i="2"/>
  <c r="F61" i="2"/>
  <c r="C67" i="2"/>
  <c r="C68" i="2"/>
  <c r="C69" i="2"/>
  <c r="C70" i="2"/>
  <c r="C71" i="2"/>
  <c r="C72" i="2"/>
  <c r="C66" i="2"/>
  <c r="R2" i="8" l="1"/>
  <c r="S2" i="8" s="1"/>
  <c r="O2" i="8"/>
  <c r="Q2" i="8" s="1"/>
  <c r="L34" i="2"/>
  <c r="M34" i="2" s="1"/>
  <c r="O34" i="2" s="1"/>
  <c r="L25" i="2"/>
  <c r="M25" i="2" s="1"/>
  <c r="O25" i="2" s="1"/>
  <c r="L35" i="2"/>
  <c r="M35" i="2" s="1"/>
  <c r="O35" i="2" s="1"/>
  <c r="P35" i="2" s="1"/>
  <c r="P25" i="2"/>
  <c r="L5" i="2"/>
  <c r="M5" i="2" s="1"/>
  <c r="O5" i="2" s="1"/>
  <c r="P5" i="2" s="1"/>
  <c r="L24" i="2"/>
  <c r="M24" i="2" s="1"/>
  <c r="O24" i="2" s="1"/>
  <c r="P24" i="2" s="1"/>
  <c r="L8" i="2"/>
  <c r="M8" i="2" s="1"/>
  <c r="O8" i="2" s="1"/>
  <c r="P8" i="2" s="1"/>
  <c r="L38" i="2"/>
  <c r="M38" i="2" s="1"/>
  <c r="O38" i="2" s="1"/>
  <c r="P38" i="2" s="1"/>
  <c r="L15" i="2"/>
  <c r="M15" i="2" s="1"/>
  <c r="O15" i="2" s="1"/>
  <c r="P15" i="2" s="1"/>
  <c r="L4" i="2"/>
  <c r="M4" i="2" s="1"/>
  <c r="O4" i="2" s="1"/>
  <c r="P4" i="2" s="1"/>
  <c r="L23" i="2"/>
  <c r="M23" i="2" s="1"/>
  <c r="O23" i="2" s="1"/>
  <c r="P23" i="2" s="1"/>
  <c r="P34" i="2"/>
  <c r="L18" i="2"/>
  <c r="M18" i="2" s="1"/>
  <c r="O18" i="2" s="1"/>
  <c r="P18" i="2" s="1"/>
  <c r="L33" i="2"/>
  <c r="M33" i="2" s="1"/>
  <c r="O33" i="2" s="1"/>
  <c r="P33" i="2" s="1"/>
  <c r="L21" i="2"/>
  <c r="M21" i="2" s="1"/>
  <c r="O21" i="2" s="1"/>
  <c r="P21" i="2" s="1"/>
  <c r="L20" i="2"/>
  <c r="M20" i="2" s="1"/>
  <c r="O20" i="2" s="1"/>
  <c r="P20" i="2" s="1"/>
  <c r="L19" i="2"/>
  <c r="M19" i="2" s="1"/>
  <c r="O19" i="2" s="1"/>
  <c r="P19" i="2" s="1"/>
  <c r="L7" i="2"/>
  <c r="M7" i="2" s="1"/>
  <c r="O7" i="2" s="1"/>
  <c r="P7" i="2" s="1"/>
  <c r="L39" i="2"/>
  <c r="M39" i="2" s="1"/>
  <c r="O39" i="2" s="1"/>
  <c r="P39" i="2" s="1"/>
  <c r="L40" i="2"/>
  <c r="M40" i="2" s="1"/>
  <c r="O40" i="2" s="1"/>
  <c r="P40" i="2" s="1"/>
  <c r="L29" i="2"/>
  <c r="M29" i="2" s="1"/>
  <c r="O29" i="2" s="1"/>
  <c r="P29" i="2" s="1"/>
  <c r="L22" i="2"/>
  <c r="M22" i="2" s="1"/>
  <c r="O22" i="2" s="1"/>
  <c r="P22" i="2" s="1"/>
  <c r="L17" i="2"/>
  <c r="M17" i="2" s="1"/>
  <c r="O17" i="2" s="1"/>
  <c r="P17" i="2" s="1"/>
  <c r="L11" i="2"/>
  <c r="M11" i="2" s="1"/>
  <c r="O11" i="2" s="1"/>
  <c r="P11" i="2" s="1"/>
  <c r="L6" i="2"/>
  <c r="M6" i="2" s="1"/>
  <c r="O6" i="2" s="1"/>
  <c r="P6" i="2" s="1"/>
  <c r="L3" i="2"/>
  <c r="M3" i="2" s="1"/>
  <c r="O3" i="2" s="1"/>
  <c r="P3" i="2" s="1"/>
  <c r="L9" i="2"/>
  <c r="M9" i="2" s="1"/>
  <c r="O9" i="2" s="1"/>
  <c r="P9" i="2" s="1"/>
  <c r="L36" i="2"/>
  <c r="M36" i="2" s="1"/>
  <c r="O36" i="2" s="1"/>
  <c r="P36" i="2" s="1"/>
  <c r="L30" i="2"/>
  <c r="M30" i="2" s="1"/>
  <c r="O30" i="2" s="1"/>
  <c r="P30" i="2" s="1"/>
  <c r="L41" i="2"/>
  <c r="M41" i="2" s="1"/>
  <c r="O41" i="2" s="1"/>
  <c r="P41" i="2" s="1"/>
  <c r="L12" i="2"/>
  <c r="M12" i="2" s="1"/>
  <c r="O12" i="2" s="1"/>
  <c r="P12" i="2" s="1"/>
  <c r="L32" i="2"/>
  <c r="M32" i="2" s="1"/>
  <c r="O32" i="2" s="1"/>
  <c r="P32" i="2" s="1"/>
  <c r="L27" i="2"/>
  <c r="M27" i="2" s="1"/>
  <c r="O27" i="2" s="1"/>
  <c r="P27" i="2" s="1"/>
  <c r="L16" i="2"/>
  <c r="M16" i="2" s="1"/>
  <c r="O16" i="2" s="1"/>
  <c r="P16" i="2" s="1"/>
  <c r="L10" i="2"/>
  <c r="M10" i="2" s="1"/>
  <c r="O10" i="2" s="1"/>
  <c r="P10" i="2" s="1"/>
  <c r="L37" i="2"/>
  <c r="M37" i="2" s="1"/>
  <c r="O37" i="2" s="1"/>
  <c r="P37" i="2" s="1"/>
  <c r="L31" i="2"/>
  <c r="M31" i="2" s="1"/>
  <c r="O31" i="2" s="1"/>
  <c r="P31" i="2" s="1"/>
  <c r="L26" i="2"/>
  <c r="M26" i="2" s="1"/>
  <c r="O26" i="2" s="1"/>
  <c r="P26" i="2" s="1"/>
  <c r="L13" i="2"/>
  <c r="M13" i="2" s="1"/>
  <c r="O13" i="2" s="1"/>
  <c r="P13" i="2" s="1"/>
  <c r="L2" i="2"/>
  <c r="M2" i="2" s="1"/>
  <c r="O2" i="2" s="1"/>
  <c r="G88" i="1" l="1"/>
  <c r="F88" i="1"/>
  <c r="D88" i="1"/>
  <c r="G87" i="1"/>
  <c r="D87" i="1"/>
  <c r="G86" i="1"/>
  <c r="D86" i="1"/>
  <c r="D29" i="1"/>
  <c r="F29" i="1"/>
  <c r="G29" i="1"/>
  <c r="D30" i="1"/>
  <c r="F30" i="1"/>
  <c r="G30" i="1"/>
  <c r="G33" i="1"/>
  <c r="G34" i="1"/>
  <c r="D36" i="1"/>
  <c r="G36" i="1"/>
  <c r="D37" i="1"/>
  <c r="G37" i="1"/>
  <c r="D38" i="1"/>
  <c r="G38" i="1"/>
  <c r="D39" i="1"/>
  <c r="G39" i="1"/>
  <c r="D40" i="1"/>
  <c r="G40" i="1"/>
  <c r="D43" i="1"/>
  <c r="G43" i="1"/>
  <c r="D44" i="1"/>
  <c r="G44" i="1"/>
  <c r="D46" i="1"/>
  <c r="G46" i="1"/>
  <c r="D47" i="1"/>
  <c r="G47" i="1"/>
  <c r="D48" i="1"/>
  <c r="G48" i="1"/>
  <c r="D49" i="1"/>
  <c r="G49" i="1"/>
  <c r="D50" i="1"/>
  <c r="G50" i="1"/>
  <c r="D53" i="1"/>
  <c r="G53" i="1"/>
  <c r="D54" i="1"/>
  <c r="G54" i="1"/>
  <c r="D56" i="1"/>
  <c r="G56" i="1"/>
  <c r="D57" i="1"/>
  <c r="G57" i="1"/>
  <c r="D58" i="1"/>
  <c r="G58" i="1"/>
  <c r="D59" i="1"/>
  <c r="G59" i="1"/>
  <c r="D60" i="1"/>
  <c r="G60" i="1"/>
  <c r="D63" i="1"/>
  <c r="G63" i="1"/>
  <c r="D64" i="1"/>
  <c r="G64" i="1"/>
  <c r="D66" i="1"/>
  <c r="G66" i="1"/>
  <c r="D67" i="1"/>
  <c r="G67" i="1"/>
  <c r="D68" i="1"/>
  <c r="G68" i="1"/>
  <c r="D69" i="1"/>
  <c r="G69" i="1"/>
  <c r="D70" i="1"/>
  <c r="G70" i="1"/>
  <c r="G17" i="1"/>
  <c r="H17" i="1" s="1"/>
  <c r="G20" i="1"/>
  <c r="H20" i="1" s="1"/>
  <c r="G21" i="1"/>
  <c r="H21" i="1" s="1"/>
  <c r="G24" i="1"/>
  <c r="H24" i="1" s="1"/>
  <c r="G25" i="1"/>
  <c r="H25" i="1" s="1"/>
  <c r="G16" i="1"/>
  <c r="G3" i="1"/>
  <c r="H3" i="1" s="1"/>
  <c r="G4" i="1"/>
  <c r="H4" i="1" s="1"/>
  <c r="G7" i="1"/>
  <c r="H7" i="1" s="1"/>
  <c r="G8" i="1"/>
  <c r="H8" i="1" s="1"/>
  <c r="G10" i="1"/>
  <c r="H10" i="1" s="1"/>
  <c r="G11" i="1"/>
  <c r="H11" i="1" s="1"/>
  <c r="G12" i="1"/>
  <c r="H12" i="1" s="1"/>
</calcChain>
</file>

<file path=xl/sharedStrings.xml><?xml version="1.0" encoding="utf-8"?>
<sst xmlns="http://schemas.openxmlformats.org/spreadsheetml/2006/main" count="753" uniqueCount="172">
  <si>
    <t>mg/L P</t>
  </si>
  <si>
    <t>ug/L P</t>
  </si>
  <si>
    <t>Desired Concentration of Standard</t>
  </si>
  <si>
    <t>CaCl2 needed (mL)</t>
  </si>
  <si>
    <t>stock needed (mL)</t>
  </si>
  <si>
    <t>Math</t>
  </si>
  <si>
    <t>stock needed (uL)</t>
  </si>
  <si>
    <t>Goal Stock (mL)</t>
  </si>
  <si>
    <t>Actual stock (g)</t>
  </si>
  <si>
    <t>Goal CaCL2 (mL)</t>
  </si>
  <si>
    <t>Actual CaCl2 (g)</t>
  </si>
  <si>
    <t>Actual Concentration (mg/L P)</t>
  </si>
  <si>
    <t>Standard #</t>
  </si>
  <si>
    <t>Concentration of std. (mg/L P)</t>
  </si>
  <si>
    <t>Sediment Mass (g)</t>
  </si>
  <si>
    <t>Ratio Needed</t>
  </si>
  <si>
    <t>Sample ID</t>
  </si>
  <si>
    <t>Actual Ratio</t>
  </si>
  <si>
    <t>Goal Std. (mL)</t>
  </si>
  <si>
    <t>SSL 7/16</t>
  </si>
  <si>
    <t>SSU 7/16</t>
  </si>
  <si>
    <t>SSL 7/27</t>
  </si>
  <si>
    <t>SSU 7/27</t>
  </si>
  <si>
    <t>Actual Std. (mL)</t>
  </si>
  <si>
    <t>Std. Used</t>
  </si>
  <si>
    <t>Stds</t>
  </si>
  <si>
    <t>What I want</t>
  </si>
  <si>
    <t>What I get</t>
  </si>
  <si>
    <t>What I weigh</t>
  </si>
  <si>
    <t>**I made this table to double check my calculations and so it would be easy to change volumes of CaCl2 used if needed</t>
  </si>
  <si>
    <t>Treatment</t>
  </si>
  <si>
    <t>BLANK 1</t>
  </si>
  <si>
    <t>BLANK 2</t>
  </si>
  <si>
    <t>Absorbance (880 nm)</t>
  </si>
  <si>
    <t>30 mins</t>
  </si>
  <si>
    <t>adjusted</t>
  </si>
  <si>
    <t>C: SRP (mg/L)</t>
  </si>
  <si>
    <t>S': P retained on solid phase  (mg/L)</t>
  </si>
  <si>
    <t>S': P retained on solid phase  (ug/L)</t>
  </si>
  <si>
    <t>Vol of CaCl2 (mL)</t>
  </si>
  <si>
    <t>Vol of CaCl2 (L)</t>
  </si>
  <si>
    <t>per 12 mL (ug)</t>
  </si>
  <si>
    <t>S': P retained on solid phase  (ug/g = mg/kg)</t>
  </si>
  <si>
    <t>So: initial P sorbed on solid phase (mg/kg)</t>
  </si>
  <si>
    <t>C/S (kg/L)</t>
  </si>
  <si>
    <t>Slope</t>
  </si>
  <si>
    <t>Smax (mg/kg)</t>
  </si>
  <si>
    <t>k (L/mg)</t>
  </si>
  <si>
    <t xml:space="preserve">Y-interecept </t>
  </si>
  <si>
    <t>S: (mg/kg)</t>
  </si>
  <si>
    <t>Ambient SRP (mg/L)</t>
  </si>
  <si>
    <t>EPCo (mg/L)</t>
  </si>
  <si>
    <t>Sample</t>
  </si>
  <si>
    <t>number</t>
  </si>
  <si>
    <t>std</t>
  </si>
  <si>
    <t>abs</t>
  </si>
  <si>
    <t>adj</t>
  </si>
  <si>
    <t>Best R^2</t>
  </si>
  <si>
    <t>** made 10/17/22</t>
  </si>
  <si>
    <t>SSUT 7/12/22</t>
  </si>
  <si>
    <t>SSUT 8/4/22</t>
  </si>
  <si>
    <t>SSLT 7/12/22</t>
  </si>
  <si>
    <t>SSLT 8/4/22</t>
  </si>
  <si>
    <t>So: initial P sorbed on solid phase (mg SRP/kg)</t>
  </si>
  <si>
    <t>date</t>
  </si>
  <si>
    <t>ID</t>
  </si>
  <si>
    <t>Abs</t>
  </si>
  <si>
    <t xml:space="preserve">SSUT </t>
  </si>
  <si>
    <t>SSUT</t>
  </si>
  <si>
    <t>SSLT</t>
  </si>
  <si>
    <t>BLANK</t>
  </si>
  <si>
    <t>redo 11/29/30</t>
  </si>
  <si>
    <t xml:space="preserve">SSLT </t>
  </si>
  <si>
    <t xml:space="preserve">20 mins </t>
  </si>
  <si>
    <t>20 mins</t>
  </si>
  <si>
    <t>40 mins</t>
  </si>
  <si>
    <t>35ish mins</t>
  </si>
  <si>
    <t xml:space="preserve">35ish mins </t>
  </si>
  <si>
    <t>SRP (mg/L)</t>
  </si>
  <si>
    <t>*so ideal time would be between 20 and 30 mins</t>
  </si>
  <si>
    <t>SSLM 3/13/22</t>
  </si>
  <si>
    <t>SSLM 3/18/22</t>
  </si>
  <si>
    <t>SSLM 4/1/22</t>
  </si>
  <si>
    <t>SSUM 3/13/22</t>
  </si>
  <si>
    <t>SSUM 3/18/22</t>
  </si>
  <si>
    <t>SSUM 4/1/22</t>
  </si>
  <si>
    <t>SSUM 4/1/23</t>
  </si>
  <si>
    <t>SSUM 4/1/24</t>
  </si>
  <si>
    <t>SSUM 4/1/25</t>
  </si>
  <si>
    <t>SSUM 4/1/26</t>
  </si>
  <si>
    <t>SSUM 4/1/27</t>
  </si>
  <si>
    <t>SSUM 4/1/28</t>
  </si>
  <si>
    <t>SSUM 4/1/29</t>
  </si>
  <si>
    <t>SSUM 4/1/30</t>
  </si>
  <si>
    <t>SSUM 4/1/31</t>
  </si>
  <si>
    <t xml:space="preserve">okay so something was wrong with treatment 5. if I remove it altogether then my R2 is basically 1 </t>
  </si>
  <si>
    <t>stds- Known P in solution (mg/L)</t>
  </si>
  <si>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= S'+So(mg/kg)</t>
    </r>
  </si>
  <si>
    <r>
      <rPr>
        <b/>
        <sz val="11"/>
        <color theme="1"/>
        <rFont val="Calibri"/>
        <family val="2"/>
        <scheme val="minor"/>
      </rPr>
      <t>So</t>
    </r>
    <r>
      <rPr>
        <sz val="11"/>
        <color theme="1"/>
        <rFont val="Calibri"/>
        <family val="2"/>
        <scheme val="minor"/>
      </rPr>
      <t>: initial P sorbed on solid phase (ug/g=mg/kg)</t>
    </r>
  </si>
  <si>
    <r>
      <rPr>
        <b/>
        <sz val="11"/>
        <color theme="1"/>
        <rFont val="Calibri"/>
        <family val="2"/>
        <scheme val="minor"/>
      </rPr>
      <t>S'</t>
    </r>
    <r>
      <rPr>
        <sz val="11"/>
        <color theme="1"/>
        <rFont val="Calibri"/>
        <family val="2"/>
        <scheme val="minor"/>
      </rPr>
      <t>: P retained on solid phase  (ug/g = mg/kg)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</si>
  <si>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: SRP (mg/L)</t>
    </r>
  </si>
  <si>
    <t>P per 12 mL (ug)</t>
  </si>
  <si>
    <t>redo 11/29/22</t>
  </si>
  <si>
    <t>Total mass in solution of P (mg)</t>
  </si>
  <si>
    <t>S': P retained on solid phase  (mg) using eqn</t>
  </si>
  <si>
    <t>S': P retained on solid phase  (ug)</t>
  </si>
  <si>
    <t>S' by mass P in soltion (ug/g)</t>
  </si>
  <si>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= S'+So(mg/kg) using mass</t>
    </r>
  </si>
  <si>
    <t>stds P mass in soltn (mg)</t>
  </si>
  <si>
    <r>
      <rPr>
        <b/>
        <sz val="11"/>
        <color theme="1"/>
        <rFont val="Calibri"/>
        <family val="2"/>
        <scheme val="minor"/>
      </rPr>
      <t>Smax</t>
    </r>
    <r>
      <rPr>
        <sz val="11"/>
        <color theme="1"/>
        <rFont val="Calibri"/>
        <family val="2"/>
        <scheme val="minor"/>
      </rPr>
      <t xml:space="preserve"> (mg/kg)</t>
    </r>
  </si>
  <si>
    <r>
      <rPr>
        <b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(L/mg)</t>
    </r>
  </si>
  <si>
    <r>
      <rPr>
        <b/>
        <sz val="11"/>
        <color theme="1"/>
        <rFont val="Calibri"/>
        <family val="2"/>
        <scheme val="minor"/>
      </rPr>
      <t>EPCo</t>
    </r>
    <r>
      <rPr>
        <sz val="11"/>
        <color theme="1"/>
        <rFont val="Calibri"/>
        <family val="2"/>
        <scheme val="minor"/>
      </rPr>
      <t xml:space="preserve"> (mg/L) using linear eqn</t>
    </r>
  </si>
  <si>
    <r>
      <rPr>
        <b/>
        <sz val="11"/>
        <color theme="1"/>
        <rFont val="Calibri"/>
        <family val="2"/>
        <scheme val="minor"/>
      </rPr>
      <t>EPCo</t>
    </r>
    <r>
      <rPr>
        <sz val="11"/>
        <color theme="1"/>
        <rFont val="Calibri"/>
        <family val="2"/>
        <scheme val="minor"/>
      </rPr>
      <t xml:space="preserve"> (mg/L) using log eqn</t>
    </r>
  </si>
  <si>
    <t>Stds Known P amount (mg/L)</t>
  </si>
  <si>
    <t>[c]</t>
  </si>
  <si>
    <t>SRP (ug/L)</t>
  </si>
  <si>
    <t>Vol of Mgcl2 (L)</t>
  </si>
  <si>
    <t>Per 50 mL (ug)</t>
  </si>
  <si>
    <t>Vol of Mgcl2 (mL)</t>
  </si>
  <si>
    <t>sed wt (g)</t>
  </si>
  <si>
    <t>ug SRP/g of sed</t>
  </si>
  <si>
    <t>30 mins split up</t>
  </si>
  <si>
    <t xml:space="preserve">30 mins all </t>
  </si>
  <si>
    <t>50 mins</t>
  </si>
  <si>
    <t>40 mins split up</t>
  </si>
  <si>
    <t xml:space="preserve">40 mins all </t>
  </si>
  <si>
    <t>60 mins</t>
  </si>
  <si>
    <t>60 mins split up</t>
  </si>
  <si>
    <t xml:space="preserve">60 mins all </t>
  </si>
  <si>
    <t>50 mins split up</t>
  </si>
  <si>
    <t xml:space="preserve">50 mins all </t>
  </si>
  <si>
    <t>SSLM 7/16/22</t>
  </si>
  <si>
    <t>SSLM 7/27/22</t>
  </si>
  <si>
    <t>SSUM 7/16/22</t>
  </si>
  <si>
    <t>SSUM 7/27/22</t>
  </si>
  <si>
    <t>Source or Sink?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</si>
  <si>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</si>
  <si>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</si>
  <si>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</si>
  <si>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</si>
  <si>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</si>
  <si>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</si>
  <si>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</si>
  <si>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</si>
  <si>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</si>
  <si>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</si>
  <si>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</si>
  <si>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</si>
  <si>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</si>
  <si>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</si>
  <si>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Summer 2021</t>
  </si>
  <si>
    <t>Spring 2022</t>
  </si>
  <si>
    <t>Summer 2022</t>
  </si>
  <si>
    <t>sslm</t>
  </si>
  <si>
    <t>ssum</t>
  </si>
  <si>
    <t>Date taken</t>
  </si>
  <si>
    <t>LM 7/16/21</t>
  </si>
  <si>
    <t>LM 7/27/21</t>
  </si>
  <si>
    <t>UM 7/27/21</t>
  </si>
  <si>
    <t>LM 3/13/22</t>
  </si>
  <si>
    <t>UM 3/13/22</t>
  </si>
  <si>
    <t>LM 3/18/22</t>
  </si>
  <si>
    <t>UM 3/18/22</t>
  </si>
  <si>
    <t>LM 4/1/22</t>
  </si>
  <si>
    <t>UM 4/1/22</t>
  </si>
  <si>
    <t>LT 7/12/22</t>
  </si>
  <si>
    <t>UT 7/12/22</t>
  </si>
  <si>
    <t>LT 8/4/22</t>
  </si>
  <si>
    <t>UT 8/4/22</t>
  </si>
  <si>
    <t>UM 7/16/21</t>
  </si>
  <si>
    <r>
      <t>EPC</t>
    </r>
    <r>
      <rPr>
        <sz val="8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g·L</t>
    </r>
    <r>
      <rPr>
        <sz val="11"/>
        <color theme="1"/>
        <rFont val="Calibri"/>
        <family val="2"/>
      </rPr>
      <t>¯</t>
    </r>
    <r>
      <rPr>
        <sz val="11"/>
        <color theme="1"/>
        <rFont val="Times New Roman"/>
        <family val="1"/>
      </rPr>
      <t>¹</t>
    </r>
    <r>
      <rPr>
        <sz val="11"/>
        <color theme="1"/>
        <rFont val="Calibri"/>
        <family val="2"/>
        <scheme val="minor"/>
      </rPr>
      <t>)</t>
    </r>
  </si>
  <si>
    <r>
      <t>Ambient SRP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Times New Roman"/>
        <family val="1"/>
      </rPr>
      <t>·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</rPr>
      <t>¯</t>
    </r>
    <r>
      <rPr>
        <sz val="11"/>
        <color theme="1"/>
        <rFont val="Times New Roman"/>
        <family val="1"/>
      </rPr>
      <t>¹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</si>
</sst>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 style="medium">
        <color theme="6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83">
    <xf numFmtId="0" fontId="0" fillId="0" borderId="0" xfId="0"/>
    <xf numFmtId="0" fontId="1" fillId="2" borderId="1" xfId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5" borderId="1" xfId="4" applyBorder="1"/>
    <xf numFmtId="0" fontId="1" fillId="7" borderId="1" xfId="6" applyBorder="1"/>
    <xf numFmtId="0" fontId="0" fillId="0" borderId="1" xfId="0" applyBorder="1" applyAlignment="1"/>
    <xf numFmtId="0" fontId="1" fillId="6" borderId="1" xfId="5" applyBorder="1"/>
    <xf numFmtId="0" fontId="1" fillId="3" borderId="1" xfId="2" applyBorder="1"/>
    <xf numFmtId="0" fontId="1" fillId="4" borderId="1" xfId="3" applyBorder="1"/>
    <xf numFmtId="0" fontId="1" fillId="2" borderId="0" xfId="1"/>
    <xf numFmtId="0" fontId="1" fillId="7" borderId="0" xfId="6"/>
    <xf numFmtId="0" fontId="1" fillId="5" borderId="0" xfId="4"/>
    <xf numFmtId="0" fontId="0" fillId="0" borderId="1" xfId="0" applyFill="1" applyBorder="1"/>
    <xf numFmtId="0" fontId="1" fillId="8" borderId="1" xfId="7" applyBorder="1"/>
    <xf numFmtId="0" fontId="0" fillId="0" borderId="2" xfId="0" applyBorder="1" applyAlignment="1">
      <alignment wrapText="1"/>
    </xf>
    <xf numFmtId="0" fontId="1" fillId="5" borderId="2" xfId="4" applyBorder="1"/>
    <xf numFmtId="0" fontId="1" fillId="6" borderId="2" xfId="5" applyBorder="1"/>
    <xf numFmtId="0" fontId="1" fillId="3" borderId="2" xfId="2" applyBorder="1"/>
    <xf numFmtId="0" fontId="1" fillId="4" borderId="2" xfId="3" applyBorder="1"/>
    <xf numFmtId="0" fontId="1" fillId="7" borderId="2" xfId="6" applyBorder="1"/>
    <xf numFmtId="0" fontId="1" fillId="8" borderId="2" xfId="7" applyBorder="1"/>
    <xf numFmtId="0" fontId="0" fillId="0" borderId="4" xfId="0" applyFill="1" applyBorder="1" applyAlignment="1">
      <alignment wrapText="1"/>
    </xf>
    <xf numFmtId="0" fontId="1" fillId="2" borderId="1" xfId="1" applyBorder="1" applyAlignment="1">
      <alignment wrapText="1"/>
    </xf>
    <xf numFmtId="0" fontId="1" fillId="2" borderId="4" xfId="1" applyBorder="1" applyAlignment="1">
      <alignment wrapText="1"/>
    </xf>
    <xf numFmtId="14" fontId="0" fillId="0" borderId="0" xfId="0" applyNumberFormat="1"/>
    <xf numFmtId="0" fontId="0" fillId="0" borderId="1" xfId="0" applyBorder="1" applyAlignment="1"/>
    <xf numFmtId="0" fontId="0" fillId="0" borderId="1" xfId="0" applyBorder="1" applyAlignment="1">
      <alignment wrapText="1"/>
    </xf>
    <xf numFmtId="164" fontId="0" fillId="0" borderId="0" xfId="0" applyNumberFormat="1"/>
    <xf numFmtId="0" fontId="0" fillId="12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3" fillId="18" borderId="5" xfId="0" applyFont="1" applyFill="1" applyBorder="1" applyAlignment="1">
      <alignment vertical="center" wrapText="1"/>
    </xf>
    <xf numFmtId="165" fontId="3" fillId="19" borderId="5" xfId="0" applyNumberFormat="1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0" fillId="13" borderId="0" xfId="0" applyFill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" borderId="1" xfId="1" applyFont="1" applyBorder="1" applyAlignment="1">
      <alignment wrapText="1"/>
    </xf>
    <xf numFmtId="0" fontId="0" fillId="2" borderId="1" xfId="1" applyFont="1" applyBorder="1"/>
    <xf numFmtId="0" fontId="0" fillId="0" borderId="1" xfId="0" applyBorder="1" applyAlignment="1">
      <alignment wrapText="1"/>
    </xf>
    <xf numFmtId="0" fontId="0" fillId="2" borderId="4" xfId="1" applyFont="1" applyBorder="1" applyAlignment="1">
      <alignment wrapText="1"/>
    </xf>
    <xf numFmtId="0" fontId="0" fillId="11" borderId="4" xfId="0" applyFill="1" applyBorder="1" applyAlignment="1">
      <alignment wrapText="1"/>
    </xf>
    <xf numFmtId="0" fontId="1" fillId="0" borderId="1" xfId="1" applyFill="1" applyBorder="1"/>
    <xf numFmtId="0" fontId="0" fillId="0" borderId="0" xfId="0" applyFill="1"/>
    <xf numFmtId="0" fontId="0" fillId="0" borderId="1" xfId="0" applyBorder="1" applyAlignment="1"/>
    <xf numFmtId="0" fontId="0" fillId="0" borderId="0" xfId="0" applyAlignment="1">
      <alignment wrapText="1"/>
    </xf>
    <xf numFmtId="166" fontId="0" fillId="0" borderId="0" xfId="0" applyNumberFormat="1"/>
    <xf numFmtId="0" fontId="0" fillId="0" borderId="6" xfId="0" applyFont="1" applyBorder="1"/>
    <xf numFmtId="0" fontId="0" fillId="0" borderId="0" xfId="0" applyBorder="1"/>
    <xf numFmtId="16" fontId="0" fillId="0" borderId="0" xfId="0" applyNumberFormat="1"/>
    <xf numFmtId="166" fontId="0" fillId="23" borderId="6" xfId="0" applyNumberFormat="1" applyFont="1" applyFill="1" applyBorder="1"/>
    <xf numFmtId="166" fontId="0" fillId="0" borderId="6" xfId="0" applyNumberFormat="1" applyFont="1" applyBorder="1"/>
    <xf numFmtId="166" fontId="0" fillId="0" borderId="7" xfId="0" applyNumberFormat="1" applyFont="1" applyBorder="1"/>
    <xf numFmtId="0" fontId="0" fillId="0" borderId="0" xfId="0" applyFill="1" applyBorder="1" applyAlignment="1"/>
    <xf numFmtId="0" fontId="0" fillId="0" borderId="9" xfId="0" applyFill="1" applyBorder="1" applyAlignment="1"/>
    <xf numFmtId="0" fontId="5" fillId="0" borderId="10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8" xfId="0" applyFont="1" applyBorder="1" applyAlignment="1">
      <alignment wrapText="1"/>
    </xf>
    <xf numFmtId="0" fontId="0" fillId="23" borderId="6" xfId="0" applyFont="1" applyFill="1" applyBorder="1" applyAlignment="1">
      <alignment wrapText="1"/>
    </xf>
    <xf numFmtId="164" fontId="0" fillId="23" borderId="6" xfId="0" applyNumberFormat="1" applyFont="1" applyFill="1" applyBorder="1"/>
    <xf numFmtId="164" fontId="0" fillId="0" borderId="6" xfId="0" applyNumberFormat="1" applyFont="1" applyBorder="1"/>
    <xf numFmtId="164" fontId="0" fillId="0" borderId="7" xfId="0" applyNumberFormat="1" applyFont="1" applyBorder="1"/>
    <xf numFmtId="2" fontId="0" fillId="0" borderId="0" xfId="0" applyNumberFormat="1"/>
    <xf numFmtId="2" fontId="0" fillId="0" borderId="0" xfId="0" applyNumberFormat="1" applyBorder="1" applyAlignment="1">
      <alignment wrapText="1"/>
    </xf>
    <xf numFmtId="2" fontId="0" fillId="0" borderId="0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8">
    <cellStyle name="20% - Accent1" xfId="1" builtinId="30"/>
    <cellStyle name="20% - Accent2" xfId="2" builtinId="34"/>
    <cellStyle name="20% - Accent4" xfId="4" builtinId="42"/>
    <cellStyle name="20% - Accent6" xfId="6" builtinId="50"/>
    <cellStyle name="40% - Accent2" xfId="3" builtinId="35"/>
    <cellStyle name="40% - Accent4" xfId="5" builtinId="43"/>
    <cellStyle name="40% - Accent6" xfId="7" builtinId="51"/>
    <cellStyle name="Normal" xfId="0" builtinId="0"/>
  </cellStyles>
  <dxfs count="6"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 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38400172267055"/>
                  <c:y val="-0.21461641266187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22230746499892"/>
                  <c:y val="-0.13722553794913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Abs.!$A$66:$A$72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0.26991902429271225</c:v>
                </c:pt>
                <c:pt idx="3">
                  <c:v>0.5098980203959208</c:v>
                </c:pt>
                <c:pt idx="4">
                  <c:v>1.0592585190366743</c:v>
                </c:pt>
                <c:pt idx="5">
                  <c:v>5.0179928028788492</c:v>
                </c:pt>
                <c:pt idx="6">
                  <c:v>10.150713644076257</c:v>
                </c:pt>
              </c:numCache>
            </c:numRef>
          </c:xVal>
          <c:yVal>
            <c:numRef>
              <c:f>Abs.!$C$66:$C$72</c:f>
              <c:numCache>
                <c:formatCode>General</c:formatCode>
                <c:ptCount val="7"/>
                <c:pt idx="0">
                  <c:v>0</c:v>
                </c:pt>
                <c:pt idx="1">
                  <c:v>6.0000000000000053E-3</c:v>
                </c:pt>
                <c:pt idx="2">
                  <c:v>0.11300000000000002</c:v>
                </c:pt>
                <c:pt idx="3">
                  <c:v>0.217</c:v>
                </c:pt>
                <c:pt idx="4">
                  <c:v>0.46400000000000008</c:v>
                </c:pt>
                <c:pt idx="5">
                  <c:v>1.7049999999999998</c:v>
                </c:pt>
                <c:pt idx="6">
                  <c:v>3.0630000000000002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E-4F75-884B-81C602C3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90880"/>
        <c:axId val="472388256"/>
      </c:scatterChart>
      <c:valAx>
        <c:axId val="47239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8256"/>
        <c:crosses val="autoZero"/>
        <c:crossBetween val="midCat"/>
      </c:valAx>
      <c:valAx>
        <c:axId val="47238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 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38400172267055"/>
                  <c:y val="-0.21461641266187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1827895144548655"/>
                  <c:y val="0.130158905021852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Abs.!$C$66:$C$72</c:f>
              <c:numCache>
                <c:formatCode>General</c:formatCode>
                <c:ptCount val="7"/>
                <c:pt idx="0">
                  <c:v>0</c:v>
                </c:pt>
                <c:pt idx="1">
                  <c:v>6.0000000000000053E-3</c:v>
                </c:pt>
                <c:pt idx="2">
                  <c:v>0.11300000000000002</c:v>
                </c:pt>
                <c:pt idx="3">
                  <c:v>0.217</c:v>
                </c:pt>
                <c:pt idx="4">
                  <c:v>0.46400000000000008</c:v>
                </c:pt>
                <c:pt idx="5">
                  <c:v>1.7049999999999998</c:v>
                </c:pt>
                <c:pt idx="6">
                  <c:v>3.0630000000000002</c:v>
                </c:pt>
              </c:numCache>
            </c:numRef>
          </c:xVal>
          <c:yVal>
            <c:numRef>
              <c:f>Abs.!$A$66:$A$72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0.26991902429271225</c:v>
                </c:pt>
                <c:pt idx="3">
                  <c:v>0.5098980203959208</c:v>
                </c:pt>
                <c:pt idx="4">
                  <c:v>1.0592585190366743</c:v>
                </c:pt>
                <c:pt idx="5">
                  <c:v>5.0179928028788492</c:v>
                </c:pt>
                <c:pt idx="6">
                  <c:v>10.150713644076257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9B-4195-A4BA-98A3AEFDB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90880"/>
        <c:axId val="472388256"/>
      </c:scatterChart>
      <c:valAx>
        <c:axId val="47239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8256"/>
        <c:crosses val="autoZero"/>
        <c:crossBetween val="midCat"/>
      </c:valAx>
      <c:valAx>
        <c:axId val="47238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SSL 7/16/21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351924759405076E-2"/>
                  <c:y val="0.328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Abs.!$F$2:$F$11</c:f>
              <c:numCache>
                <c:formatCode>General</c:formatCode>
                <c:ptCount val="10"/>
                <c:pt idx="0">
                  <c:v>0.11535339999999997</c:v>
                </c:pt>
                <c:pt idx="1">
                  <c:v>0.11535339999999997</c:v>
                </c:pt>
                <c:pt idx="2">
                  <c:v>0.18843709999999997</c:v>
                </c:pt>
                <c:pt idx="3">
                  <c:v>0.20871680000000001</c:v>
                </c:pt>
                <c:pt idx="4">
                  <c:v>0.19096359999999998</c:v>
                </c:pt>
                <c:pt idx="5">
                  <c:v>0.30930999999999997</c:v>
                </c:pt>
                <c:pt idx="6">
                  <c:v>0.44756659999999998</c:v>
                </c:pt>
                <c:pt idx="7">
                  <c:v>0.71694760000000002</c:v>
                </c:pt>
                <c:pt idx="8">
                  <c:v>3.9813357999999996</c:v>
                </c:pt>
                <c:pt idx="9">
                  <c:v>7.2720231999999996</c:v>
                </c:pt>
              </c:numCache>
            </c:numRef>
          </c:xVal>
          <c:yVal>
            <c:numRef>
              <c:f>Abs.!$P$2:$P$11</c:f>
              <c:numCache>
                <c:formatCode>General</c:formatCode>
                <c:ptCount val="10"/>
                <c:pt idx="0">
                  <c:v>3.8221989046320098E-2</c:v>
                </c:pt>
                <c:pt idx="1">
                  <c:v>3.6992683731681991E-2</c:v>
                </c:pt>
                <c:pt idx="2">
                  <c:v>5.7660284286301183E-2</c:v>
                </c:pt>
                <c:pt idx="3">
                  <c:v>5.3273290177094819E-2</c:v>
                </c:pt>
                <c:pt idx="4">
                  <c:v>3.6551618363226242E-2</c:v>
                </c:pt>
                <c:pt idx="5">
                  <c:v>4.4637779083259048E-2</c:v>
                </c:pt>
                <c:pt idx="6">
                  <c:v>5.0070526540785899E-2</c:v>
                </c:pt>
                <c:pt idx="7">
                  <c:v>7.1433711252172544E-2</c:v>
                </c:pt>
                <c:pt idx="8">
                  <c:v>0.24488651839678016</c:v>
                </c:pt>
                <c:pt idx="9">
                  <c:v>0.28520733636926987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3-4F96-AC8A-544D66302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02376"/>
        <c:axId val="694300408"/>
      </c:scatterChart>
      <c:valAx>
        <c:axId val="694302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0408"/>
        <c:crosses val="autoZero"/>
        <c:crossBetween val="midCat"/>
      </c:valAx>
      <c:valAx>
        <c:axId val="694300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SSU 7/16/21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351924759405076E-2"/>
                  <c:y val="0.328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Abs.!$F$12:$F$21</c:f>
              <c:numCache>
                <c:formatCode>General</c:formatCode>
                <c:ptCount val="10"/>
                <c:pt idx="0">
                  <c:v>0.1317904</c:v>
                </c:pt>
                <c:pt idx="1">
                  <c:v>0.1317904</c:v>
                </c:pt>
                <c:pt idx="2">
                  <c:v>0.19970359999999998</c:v>
                </c:pt>
                <c:pt idx="3">
                  <c:v>0.20421019999999998</c:v>
                </c:pt>
                <c:pt idx="4">
                  <c:v>0.1745266</c:v>
                </c:pt>
                <c:pt idx="5">
                  <c:v>0.24684940000000002</c:v>
                </c:pt>
                <c:pt idx="6">
                  <c:v>0.45432649999999997</c:v>
                </c:pt>
                <c:pt idx="7">
                  <c:v>0.424369</c:v>
                </c:pt>
                <c:pt idx="8">
                  <c:v>3.1989345999999994</c:v>
                </c:pt>
                <c:pt idx="9">
                  <c:v>6.4797598000000001</c:v>
                </c:pt>
              </c:numCache>
            </c:numRef>
          </c:xVal>
          <c:yVal>
            <c:numRef>
              <c:f>Abs.!$P$12:$P$21</c:f>
              <c:numCache>
                <c:formatCode>General</c:formatCode>
                <c:ptCount val="10"/>
                <c:pt idx="0">
                  <c:v>3.63541495377699E-2</c:v>
                </c:pt>
                <c:pt idx="1">
                  <c:v>3.7925681006745954E-2</c:v>
                </c:pt>
                <c:pt idx="2">
                  <c:v>5.5092386458973609E-2</c:v>
                </c:pt>
                <c:pt idx="3">
                  <c:v>4.5894445949266394E-2</c:v>
                </c:pt>
                <c:pt idx="4">
                  <c:v>2.9874699329901718E-2</c:v>
                </c:pt>
                <c:pt idx="5">
                  <c:v>3.1258983536958697E-2</c:v>
                </c:pt>
                <c:pt idx="6">
                  <c:v>4.8598635802568714E-2</c:v>
                </c:pt>
                <c:pt idx="7">
                  <c:v>3.3300125908693738E-2</c:v>
                </c:pt>
                <c:pt idx="8">
                  <c:v>0.13961406303910351</c:v>
                </c:pt>
                <c:pt idx="9">
                  <c:v>0.18694119969806255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E-4E3C-97B4-69BC4C02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02376"/>
        <c:axId val="694300408"/>
      </c:scatterChart>
      <c:valAx>
        <c:axId val="694302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0408"/>
        <c:crosses val="autoZero"/>
        <c:crossBetween val="midCat"/>
      </c:valAx>
      <c:valAx>
        <c:axId val="694300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SSL 7/27/21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351924759405076E-2"/>
                  <c:y val="0.328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Abs.!$F$22:$F$31</c:f>
              <c:numCache>
                <c:formatCode>General</c:formatCode>
                <c:ptCount val="10"/>
                <c:pt idx="0">
                  <c:v>0.12521560000000001</c:v>
                </c:pt>
                <c:pt idx="1">
                  <c:v>0.1317904</c:v>
                </c:pt>
                <c:pt idx="2">
                  <c:v>0.20195689999999999</c:v>
                </c:pt>
                <c:pt idx="3">
                  <c:v>0.21547669999999999</c:v>
                </c:pt>
                <c:pt idx="4">
                  <c:v>0.177814</c:v>
                </c:pt>
                <c:pt idx="5">
                  <c:v>0.26657379999999997</c:v>
                </c:pt>
                <c:pt idx="6">
                  <c:v>0.59177779999999991</c:v>
                </c:pt>
                <c:pt idx="7">
                  <c:v>0.57558940000000003</c:v>
                </c:pt>
                <c:pt idx="8">
                  <c:v>3.6788949999999998</c:v>
                </c:pt>
                <c:pt idx="9">
                  <c:v>6.4961967999999999</c:v>
                </c:pt>
              </c:numCache>
            </c:numRef>
          </c:xVal>
          <c:yVal>
            <c:numRef>
              <c:f>Abs.!$P$22:$P$31</c:f>
              <c:numCache>
                <c:formatCode>General</c:formatCode>
                <c:ptCount val="10"/>
                <c:pt idx="0">
                  <c:v>3.7823720555464901E-2</c:v>
                </c:pt>
                <c:pt idx="1">
                  <c:v>4.1052125773537944E-2</c:v>
                </c:pt>
                <c:pt idx="2">
                  <c:v>6.0552273067947547E-2</c:v>
                </c:pt>
                <c:pt idx="3">
                  <c:v>5.3070363852934371E-2</c:v>
                </c:pt>
                <c:pt idx="4">
                  <c:v>3.2107476993607116E-2</c:v>
                </c:pt>
                <c:pt idx="5">
                  <c:v>3.5737173435803342E-2</c:v>
                </c:pt>
                <c:pt idx="6">
                  <c:v>7.82861568547977E-2</c:v>
                </c:pt>
                <c:pt idx="7">
                  <c:v>5.0981996383222428E-2</c:v>
                </c:pt>
                <c:pt idx="8">
                  <c:v>0.19614018163694316</c:v>
                </c:pt>
                <c:pt idx="9">
                  <c:v>0.20774874911936703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C5-4AAF-A108-1B9D9DCB9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02376"/>
        <c:axId val="694300408"/>
      </c:scatterChart>
      <c:valAx>
        <c:axId val="694302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0408"/>
        <c:crosses val="autoZero"/>
        <c:crossBetween val="midCat"/>
      </c:valAx>
      <c:valAx>
        <c:axId val="694300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SSU 7/27/21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351924759405076E-2"/>
                  <c:y val="0.328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Abs.!$F$32:$F$41</c:f>
              <c:numCache>
                <c:formatCode>General</c:formatCode>
                <c:ptCount val="10"/>
                <c:pt idx="0">
                  <c:v>0.12192820000000001</c:v>
                </c:pt>
                <c:pt idx="1">
                  <c:v>0.11864080000000002</c:v>
                </c:pt>
                <c:pt idx="2">
                  <c:v>0.17717060000000001</c:v>
                </c:pt>
                <c:pt idx="3">
                  <c:v>0.1929437</c:v>
                </c:pt>
                <c:pt idx="4">
                  <c:v>0.1350778</c:v>
                </c:pt>
                <c:pt idx="5">
                  <c:v>0.20411319999999997</c:v>
                </c:pt>
                <c:pt idx="6">
                  <c:v>0.52643209999999985</c:v>
                </c:pt>
                <c:pt idx="7">
                  <c:v>0.51641619999999999</c:v>
                </c:pt>
                <c:pt idx="8">
                  <c:v>3.5572611999999992</c:v>
                </c:pt>
                <c:pt idx="9">
                  <c:v>6.7197400000000007</c:v>
                </c:pt>
              </c:numCache>
            </c:numRef>
          </c:xVal>
          <c:yVal>
            <c:numRef>
              <c:f>Abs.!$P$32:$P$41</c:f>
              <c:numCache>
                <c:formatCode>General</c:formatCode>
                <c:ptCount val="10"/>
                <c:pt idx="0">
                  <c:v>3.2310163112356918E-2</c:v>
                </c:pt>
                <c:pt idx="1">
                  <c:v>3.1231172460284763E-2</c:v>
                </c:pt>
                <c:pt idx="2">
                  <c:v>4.3228853940539769E-2</c:v>
                </c:pt>
                <c:pt idx="3">
                  <c:v>4.0209478588343908E-2</c:v>
                </c:pt>
                <c:pt idx="4">
                  <c:v>2.1273767027764696E-2</c:v>
                </c:pt>
                <c:pt idx="5">
                  <c:v>2.4166754086816917E-2</c:v>
                </c:pt>
                <c:pt idx="6">
                  <c:v>6.0000753205521326E-2</c:v>
                </c:pt>
                <c:pt idx="7">
                  <c:v>4.20318737639526E-2</c:v>
                </c:pt>
                <c:pt idx="8">
                  <c:v>0.17651362989250335</c:v>
                </c:pt>
                <c:pt idx="9">
                  <c:v>0.22361525271310839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F7-4ADD-864F-8F894BE8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02376"/>
        <c:axId val="694300408"/>
      </c:scatterChart>
      <c:valAx>
        <c:axId val="694302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0408"/>
        <c:crosses val="autoZero"/>
        <c:crossBetween val="midCat"/>
      </c:valAx>
      <c:valAx>
        <c:axId val="694300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0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EPCo for SSL</a:t>
            </a:r>
            <a:r>
              <a:rPr lang="en-US" baseline="0"/>
              <a:t> 7/16/21</a:t>
            </a:r>
            <a:endParaRPr lang="en-US"/>
          </a:p>
        </c:rich>
      </c:tx>
      <c:layout>
        <c:manualLayout>
          <c:xMode val="edge"/>
          <c:yMode val="edge"/>
          <c:x val="0.3337637795275590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4963762245768663E-2"/>
                  <c:y val="0.181584041994750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Abs.!$F$2:$F$10</c:f>
              <c:numCache>
                <c:formatCode>General</c:formatCode>
                <c:ptCount val="9"/>
                <c:pt idx="0">
                  <c:v>0.11535339999999997</c:v>
                </c:pt>
                <c:pt idx="1">
                  <c:v>0.11535339999999997</c:v>
                </c:pt>
                <c:pt idx="2">
                  <c:v>0.18843709999999997</c:v>
                </c:pt>
                <c:pt idx="3">
                  <c:v>0.20871680000000001</c:v>
                </c:pt>
                <c:pt idx="4">
                  <c:v>0.19096359999999998</c:v>
                </c:pt>
                <c:pt idx="5">
                  <c:v>0.30930999999999997</c:v>
                </c:pt>
                <c:pt idx="6">
                  <c:v>0.44756659999999998</c:v>
                </c:pt>
                <c:pt idx="7">
                  <c:v>0.71694760000000002</c:v>
                </c:pt>
                <c:pt idx="8">
                  <c:v>3.9813357999999996</c:v>
                </c:pt>
              </c:numCache>
            </c:numRef>
          </c:xVal>
          <c:yVal>
            <c:numRef>
              <c:f>Abs.!$O$2:$O$10</c:f>
              <c:numCache>
                <c:formatCode>General</c:formatCode>
                <c:ptCount val="9"/>
                <c:pt idx="0">
                  <c:v>3.0179852717818161</c:v>
                </c:pt>
                <c:pt idx="1">
                  <c:v>3.1182760579548536</c:v>
                </c:pt>
                <c:pt idx="2">
                  <c:v>3.2680570748550486</c:v>
                </c:pt>
                <c:pt idx="3">
                  <c:v>3.9178507523407875</c:v>
                </c:pt>
                <c:pt idx="4">
                  <c:v>5.2244909678780225</c:v>
                </c:pt>
                <c:pt idx="5">
                  <c:v>6.9293322013864165</c:v>
                </c:pt>
                <c:pt idx="6">
                  <c:v>8.9387236548316729</c:v>
                </c:pt>
                <c:pt idx="7">
                  <c:v>10.036544195065817</c:v>
                </c:pt>
                <c:pt idx="8">
                  <c:v>16.257880695372521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F-4067-B3A2-F483C9C8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18576"/>
        <c:axId val="807615296"/>
      </c:scatterChart>
      <c:valAx>
        <c:axId val="80761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5296"/>
        <c:crosses val="autoZero"/>
        <c:crossBetween val="midCat"/>
      </c:valAx>
      <c:valAx>
        <c:axId val="807615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EPCo for SSU</a:t>
            </a:r>
            <a:r>
              <a:rPr lang="en-US" baseline="0"/>
              <a:t> 7/16/21</a:t>
            </a:r>
            <a:endParaRPr lang="en-US"/>
          </a:p>
        </c:rich>
      </c:tx>
      <c:layout>
        <c:manualLayout>
          <c:xMode val="edge"/>
          <c:yMode val="edge"/>
          <c:x val="0.3337637795275590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2838103320917222E-2"/>
                  <c:y val="0.21949329555562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Abs.!$F$12:$F$21</c:f>
              <c:numCache>
                <c:formatCode>General</c:formatCode>
                <c:ptCount val="10"/>
                <c:pt idx="0">
                  <c:v>0.1317904</c:v>
                </c:pt>
                <c:pt idx="1">
                  <c:v>0.1317904</c:v>
                </c:pt>
                <c:pt idx="2">
                  <c:v>0.19970359999999998</c:v>
                </c:pt>
                <c:pt idx="3">
                  <c:v>0.20421019999999998</c:v>
                </c:pt>
                <c:pt idx="4">
                  <c:v>0.1745266</c:v>
                </c:pt>
                <c:pt idx="5">
                  <c:v>0.24684940000000002</c:v>
                </c:pt>
                <c:pt idx="6">
                  <c:v>0.45432649999999997</c:v>
                </c:pt>
                <c:pt idx="7">
                  <c:v>0.424369</c:v>
                </c:pt>
                <c:pt idx="8">
                  <c:v>3.1989345999999994</c:v>
                </c:pt>
                <c:pt idx="9">
                  <c:v>6.4797598000000001</c:v>
                </c:pt>
              </c:numCache>
            </c:numRef>
          </c:xVal>
          <c:yVal>
            <c:numRef>
              <c:f>Abs.!$O$12:$O$21</c:f>
              <c:numCache>
                <c:formatCode>General</c:formatCode>
                <c:ptCount val="10"/>
                <c:pt idx="0">
                  <c:v>3.6251817653739158</c:v>
                </c:pt>
                <c:pt idx="1">
                  <c:v>3.474964628230619</c:v>
                </c:pt>
                <c:pt idx="2">
                  <c:v>3.6248856300446515</c:v>
                </c:pt>
                <c:pt idx="3">
                  <c:v>4.4495623768013743</c:v>
                </c:pt>
                <c:pt idx="4">
                  <c:v>5.8419533556716186</c:v>
                </c:pt>
                <c:pt idx="5">
                  <c:v>7.8969106499621304</c:v>
                </c:pt>
                <c:pt idx="6">
                  <c:v>9.3485443057639532</c:v>
                </c:pt>
                <c:pt idx="7">
                  <c:v>12.743765629102592</c:v>
                </c:pt>
                <c:pt idx="8">
                  <c:v>22.912696116465234</c:v>
                </c:pt>
                <c:pt idx="9">
                  <c:v>34.662021055100546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78-463E-86B9-06C8CB4A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18576"/>
        <c:axId val="807615296"/>
      </c:scatterChart>
      <c:valAx>
        <c:axId val="80761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5296"/>
        <c:crosses val="autoZero"/>
        <c:crossBetween val="midCat"/>
      </c:valAx>
      <c:valAx>
        <c:axId val="807615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EPCo for SSL</a:t>
            </a:r>
            <a:r>
              <a:rPr lang="en-US" baseline="0"/>
              <a:t> 7/27/21</a:t>
            </a:r>
            <a:endParaRPr lang="en-US"/>
          </a:p>
        </c:rich>
      </c:tx>
      <c:layout>
        <c:manualLayout>
          <c:xMode val="edge"/>
          <c:yMode val="edge"/>
          <c:x val="0.3337637795275590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2578740157480314E-3"/>
                  <c:y val="0.18289406532516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Abs.!$F$22:$F$30</c:f>
              <c:numCache>
                <c:formatCode>General</c:formatCode>
                <c:ptCount val="9"/>
                <c:pt idx="0">
                  <c:v>0.12521560000000001</c:v>
                </c:pt>
                <c:pt idx="1">
                  <c:v>0.1317904</c:v>
                </c:pt>
                <c:pt idx="2">
                  <c:v>0.20195689999999999</c:v>
                </c:pt>
                <c:pt idx="3">
                  <c:v>0.21547669999999999</c:v>
                </c:pt>
                <c:pt idx="4">
                  <c:v>0.177814</c:v>
                </c:pt>
                <c:pt idx="5">
                  <c:v>0.26657379999999997</c:v>
                </c:pt>
                <c:pt idx="6">
                  <c:v>0.59177779999999991</c:v>
                </c:pt>
                <c:pt idx="7">
                  <c:v>0.57558940000000003</c:v>
                </c:pt>
                <c:pt idx="8">
                  <c:v>3.6788949999999998</c:v>
                </c:pt>
              </c:numCache>
            </c:numRef>
          </c:xVal>
          <c:yVal>
            <c:numRef>
              <c:f>Abs.!$O$22:$O$30</c:f>
              <c:numCache>
                <c:formatCode>General</c:formatCode>
                <c:ptCount val="9"/>
                <c:pt idx="0">
                  <c:v>3.3105045765231687</c:v>
                </c:pt>
                <c:pt idx="1">
                  <c:v>3.2103185283757369</c:v>
                </c:pt>
                <c:pt idx="2">
                  <c:v>3.3352488646194671</c:v>
                </c:pt>
                <c:pt idx="3">
                  <c:v>4.0602077008010911</c:v>
                </c:pt>
                <c:pt idx="4">
                  <c:v>5.5380869706892373</c:v>
                </c:pt>
                <c:pt idx="5">
                  <c:v>7.4592860702557022</c:v>
                </c:pt>
                <c:pt idx="6">
                  <c:v>7.5591627405801471</c:v>
                </c:pt>
                <c:pt idx="7">
                  <c:v>11.290052191628567</c:v>
                </c:pt>
                <c:pt idx="8">
                  <c:v>18.756457597299772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2A-4563-966A-ED7AF4DA6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18576"/>
        <c:axId val="807615296"/>
      </c:scatterChart>
      <c:valAx>
        <c:axId val="80761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5296"/>
        <c:crosses val="autoZero"/>
        <c:crossBetween val="midCat"/>
      </c:valAx>
      <c:valAx>
        <c:axId val="807615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EPCo for SSU</a:t>
            </a:r>
            <a:r>
              <a:rPr lang="en-US" baseline="0"/>
              <a:t> 7/27/21</a:t>
            </a:r>
            <a:endParaRPr lang="en-US"/>
          </a:p>
        </c:rich>
      </c:tx>
      <c:layout>
        <c:manualLayout>
          <c:xMode val="edge"/>
          <c:yMode val="edge"/>
          <c:x val="0.3337637795275590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137904636920385E-2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Abs.!$F$32:$F$41</c:f>
              <c:numCache>
                <c:formatCode>General</c:formatCode>
                <c:ptCount val="10"/>
                <c:pt idx="0">
                  <c:v>0.12192820000000001</c:v>
                </c:pt>
                <c:pt idx="1">
                  <c:v>0.11864080000000002</c:v>
                </c:pt>
                <c:pt idx="2">
                  <c:v>0.17717060000000001</c:v>
                </c:pt>
                <c:pt idx="3">
                  <c:v>0.1929437</c:v>
                </c:pt>
                <c:pt idx="4">
                  <c:v>0.1350778</c:v>
                </c:pt>
                <c:pt idx="5">
                  <c:v>0.20411319999999997</c:v>
                </c:pt>
                <c:pt idx="6">
                  <c:v>0.52643209999999985</c:v>
                </c:pt>
                <c:pt idx="7">
                  <c:v>0.51641619999999999</c:v>
                </c:pt>
                <c:pt idx="8">
                  <c:v>3.5572611999999992</c:v>
                </c:pt>
                <c:pt idx="9">
                  <c:v>6.7197400000000007</c:v>
                </c:pt>
              </c:numCache>
            </c:numRef>
          </c:xVal>
          <c:yVal>
            <c:numRef>
              <c:f>Abs.!$O$32:$O$41</c:f>
              <c:numCache>
                <c:formatCode>General</c:formatCode>
                <c:ptCount val="10"/>
                <c:pt idx="0">
                  <c:v>3.7736794944674532</c:v>
                </c:pt>
                <c:pt idx="1">
                  <c:v>3.7987943024191626</c:v>
                </c:pt>
                <c:pt idx="2">
                  <c:v>4.0984338896352384</c:v>
                </c:pt>
                <c:pt idx="3">
                  <c:v>4.7984631179955493</c:v>
                </c:pt>
                <c:pt idx="4">
                  <c:v>6.3495007641903776</c:v>
                </c:pt>
                <c:pt idx="5">
                  <c:v>8.4460328957186981</c:v>
                </c:pt>
                <c:pt idx="6">
                  <c:v>8.773758192614773</c:v>
                </c:pt>
                <c:pt idx="7">
                  <c:v>12.286299747190647</c:v>
                </c:pt>
                <c:pt idx="8">
                  <c:v>20.15289811991498</c:v>
                </c:pt>
                <c:pt idx="9">
                  <c:v>30.050454602134067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19-40FA-BB8C-5943FF3F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18576"/>
        <c:axId val="807615296"/>
      </c:scatterChart>
      <c:valAx>
        <c:axId val="80761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5296"/>
        <c:crosses val="autoZero"/>
        <c:crossBetween val="midCat"/>
      </c:valAx>
      <c:valAx>
        <c:axId val="807615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Curve 880 nm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Abs.!$C$78</c:f>
              <c:strCache>
                <c:ptCount val="1"/>
                <c:pt idx="0">
                  <c:v>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227909011373578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Abs.!$B$79:$B$88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4.9198979121183241E-2</c:v>
                </c:pt>
                <c:pt idx="3">
                  <c:v>9.7536998778867484E-2</c:v>
                </c:pt>
                <c:pt idx="4">
                  <c:v>0.26991902429271225</c:v>
                </c:pt>
                <c:pt idx="5">
                  <c:v>0.5098980203959208</c:v>
                </c:pt>
                <c:pt idx="6">
                  <c:v>0.74181313851740782</c:v>
                </c:pt>
                <c:pt idx="7">
                  <c:v>1.0592585190366743</c:v>
                </c:pt>
                <c:pt idx="8">
                  <c:v>5.0179928028788492</c:v>
                </c:pt>
                <c:pt idx="9">
                  <c:v>10.150713644076257</c:v>
                </c:pt>
              </c:numCache>
            </c:numRef>
          </c:xVal>
          <c:yVal>
            <c:numRef>
              <c:f>Abs.!$C$79:$C$88</c:f>
              <c:numCache>
                <c:formatCode>General</c:formatCode>
                <c:ptCount val="10"/>
                <c:pt idx="0">
                  <c:v>7.6999999999999999E-2</c:v>
                </c:pt>
                <c:pt idx="1">
                  <c:v>8.5000000000000006E-2</c:v>
                </c:pt>
                <c:pt idx="2">
                  <c:v>9.8000000000000004E-2</c:v>
                </c:pt>
                <c:pt idx="3">
                  <c:v>0.13300000000000001</c:v>
                </c:pt>
                <c:pt idx="4">
                  <c:v>0.19600000000000001</c:v>
                </c:pt>
                <c:pt idx="5">
                  <c:v>0.29899999999999999</c:v>
                </c:pt>
                <c:pt idx="6">
                  <c:v>0.44</c:v>
                </c:pt>
                <c:pt idx="7">
                  <c:v>0.53</c:v>
                </c:pt>
                <c:pt idx="8">
                  <c:v>1.7949999999999999</c:v>
                </c:pt>
                <c:pt idx="9">
                  <c:v>3.153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A-42F1-A3D4-DFD1D83A1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458384"/>
        <c:axId val="689457728"/>
      </c:scatterChart>
      <c:valAx>
        <c:axId val="6894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57728"/>
        <c:crosses val="autoZero"/>
        <c:crossBetween val="midCat"/>
      </c:valAx>
      <c:valAx>
        <c:axId val="68945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5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Curve 880 nm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Abs.!$D$78</c:f>
              <c:strCache>
                <c:ptCount val="1"/>
                <c:pt idx="0">
                  <c:v>adj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227909011373578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Abs.!$D$79:$D$86</c:f>
              <c:numCache>
                <c:formatCode>General</c:formatCode>
                <c:ptCount val="8"/>
                <c:pt idx="0">
                  <c:v>0</c:v>
                </c:pt>
                <c:pt idx="1">
                  <c:v>8.0000000000000071E-3</c:v>
                </c:pt>
                <c:pt idx="2">
                  <c:v>2.1000000000000005E-2</c:v>
                </c:pt>
                <c:pt idx="3">
                  <c:v>5.6000000000000008E-2</c:v>
                </c:pt>
                <c:pt idx="4">
                  <c:v>0.11900000000000001</c:v>
                </c:pt>
                <c:pt idx="5">
                  <c:v>0.22199999999999998</c:v>
                </c:pt>
                <c:pt idx="6">
                  <c:v>0.36299999999999999</c:v>
                </c:pt>
                <c:pt idx="7">
                  <c:v>0.45300000000000001</c:v>
                </c:pt>
              </c:numCache>
            </c:numRef>
          </c:xVal>
          <c:yVal>
            <c:numRef>
              <c:f>Abs.!$B$79:$B$86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4.9198979121183241E-2</c:v>
                </c:pt>
                <c:pt idx="3">
                  <c:v>9.7536998778867484E-2</c:v>
                </c:pt>
                <c:pt idx="4">
                  <c:v>0.26991902429271225</c:v>
                </c:pt>
                <c:pt idx="5">
                  <c:v>0.5098980203959208</c:v>
                </c:pt>
                <c:pt idx="6">
                  <c:v>0.74181313851740782</c:v>
                </c:pt>
                <c:pt idx="7">
                  <c:v>1.0592585190366743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EF-4407-8A83-16EDD5333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458384"/>
        <c:axId val="689457728"/>
      </c:scatterChart>
      <c:valAx>
        <c:axId val="6894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57728"/>
        <c:crosses val="autoZero"/>
        <c:crossBetween val="midCat"/>
      </c:valAx>
      <c:valAx>
        <c:axId val="68945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5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588582677165349E-2"/>
                  <c:y val="-0.15531131525226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4.9198979121183241E-2</c:v>
                </c:pt>
                <c:pt idx="3">
                  <c:v>9.7536998778867484E-2</c:v>
                </c:pt>
                <c:pt idx="4">
                  <c:v>0.26991902429271225</c:v>
                </c:pt>
                <c:pt idx="5">
                  <c:v>0.5098980203959208</c:v>
                </c:pt>
                <c:pt idx="6">
                  <c:v>0.74181313851740782</c:v>
                </c:pt>
                <c:pt idx="7">
                  <c:v>1.0592585190366743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7.8E-2</c:v>
                </c:pt>
                <c:pt idx="1">
                  <c:v>8.4000000000000005E-2</c:v>
                </c:pt>
                <c:pt idx="2">
                  <c:v>9.6000000000000002E-2</c:v>
                </c:pt>
                <c:pt idx="3">
                  <c:v>0.13100000000000001</c:v>
                </c:pt>
                <c:pt idx="4">
                  <c:v>0.19500000000000001</c:v>
                </c:pt>
                <c:pt idx="5">
                  <c:v>0.29799999999999999</c:v>
                </c:pt>
                <c:pt idx="6">
                  <c:v>0.439</c:v>
                </c:pt>
                <c:pt idx="7">
                  <c:v>0.52900000000000003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C-4073-9269-FFC33C814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167056"/>
        <c:axId val="646169024"/>
      </c:scatterChart>
      <c:valAx>
        <c:axId val="6461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69024"/>
        <c:crosses val="autoZero"/>
        <c:crossBetween val="midCat"/>
      </c:valAx>
      <c:valAx>
        <c:axId val="6461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6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curve 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42826066975091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2022'!$B$110:$B$118</c:f>
              <c:numCache>
                <c:formatCode>General</c:formatCode>
                <c:ptCount val="9"/>
                <c:pt idx="0">
                  <c:v>0</c:v>
                </c:pt>
                <c:pt idx="1">
                  <c:v>9.5211012193945465E-3</c:v>
                </c:pt>
                <c:pt idx="2">
                  <c:v>5.1120825771294634E-2</c:v>
                </c:pt>
                <c:pt idx="3">
                  <c:v>0.10075445577894952</c:v>
                </c:pt>
                <c:pt idx="4">
                  <c:v>0.2501079890571089</c:v>
                </c:pt>
                <c:pt idx="5">
                  <c:v>0.50013056152112167</c:v>
                </c:pt>
                <c:pt idx="6">
                  <c:v>0.73114266371542469</c:v>
                </c:pt>
                <c:pt idx="7">
                  <c:v>0.99703925737765642</c:v>
                </c:pt>
                <c:pt idx="8">
                  <c:v>5.0023313128621867</c:v>
                </c:pt>
              </c:numCache>
            </c:numRef>
          </c:xVal>
          <c:yVal>
            <c:numRef>
              <c:f>'Abs winter 2022'!$C$110:$C$118</c:f>
              <c:numCache>
                <c:formatCode>General</c:formatCode>
                <c:ptCount val="9"/>
                <c:pt idx="0">
                  <c:v>9.1999999999999998E-2</c:v>
                </c:pt>
                <c:pt idx="1">
                  <c:v>9.5000000000000001E-2</c:v>
                </c:pt>
                <c:pt idx="2">
                  <c:v>0.113</c:v>
                </c:pt>
                <c:pt idx="3">
                  <c:v>0.127</c:v>
                </c:pt>
                <c:pt idx="5">
                  <c:v>0.27900000000000003</c:v>
                </c:pt>
                <c:pt idx="6">
                  <c:v>0.38800000000000001</c:v>
                </c:pt>
                <c:pt idx="7">
                  <c:v>0.496</c:v>
                </c:pt>
                <c:pt idx="8">
                  <c:v>1.6870000000000001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9-4004-9ADF-253A437AF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491904"/>
        <c:axId val="730500760"/>
      </c:scatterChart>
      <c:valAx>
        <c:axId val="73049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0760"/>
        <c:crosses val="autoZero"/>
        <c:crossBetween val="midCat"/>
      </c:valAx>
      <c:valAx>
        <c:axId val="730500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9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curve 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55096237970252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2022'!$C$110:$C$118</c:f>
              <c:numCache>
                <c:formatCode>General</c:formatCode>
                <c:ptCount val="9"/>
                <c:pt idx="0">
                  <c:v>9.1999999999999998E-2</c:v>
                </c:pt>
                <c:pt idx="1">
                  <c:v>9.5000000000000001E-2</c:v>
                </c:pt>
                <c:pt idx="2">
                  <c:v>0.113</c:v>
                </c:pt>
                <c:pt idx="3">
                  <c:v>0.127</c:v>
                </c:pt>
                <c:pt idx="5">
                  <c:v>0.27900000000000003</c:v>
                </c:pt>
                <c:pt idx="6">
                  <c:v>0.38800000000000001</c:v>
                </c:pt>
                <c:pt idx="7">
                  <c:v>0.496</c:v>
                </c:pt>
                <c:pt idx="8">
                  <c:v>1.6870000000000001</c:v>
                </c:pt>
              </c:numCache>
            </c:numRef>
          </c:xVal>
          <c:yVal>
            <c:numRef>
              <c:f>'Abs winter 2022'!$B$110:$B$119</c:f>
              <c:numCache>
                <c:formatCode>General</c:formatCode>
                <c:ptCount val="10"/>
                <c:pt idx="0">
                  <c:v>0</c:v>
                </c:pt>
                <c:pt idx="1">
                  <c:v>9.5211012193945465E-3</c:v>
                </c:pt>
                <c:pt idx="2">
                  <c:v>5.1120825771294634E-2</c:v>
                </c:pt>
                <c:pt idx="3">
                  <c:v>0.10075445577894952</c:v>
                </c:pt>
                <c:pt idx="4">
                  <c:v>0.2501079890571089</c:v>
                </c:pt>
                <c:pt idx="5">
                  <c:v>0.50013056152112167</c:v>
                </c:pt>
                <c:pt idx="6">
                  <c:v>0.73114266371542469</c:v>
                </c:pt>
                <c:pt idx="7">
                  <c:v>0.99703925737765642</c:v>
                </c:pt>
                <c:pt idx="8">
                  <c:v>5.0023313128621867</c:v>
                </c:pt>
                <c:pt idx="9">
                  <c:v>10.016661112962346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0-422D-9476-39E9892DD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491904"/>
        <c:axId val="730500760"/>
      </c:scatterChart>
      <c:valAx>
        <c:axId val="73049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0760"/>
        <c:crosses val="autoZero"/>
        <c:crossBetween val="midCat"/>
      </c:valAx>
      <c:valAx>
        <c:axId val="730500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9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SSLM</a:t>
            </a:r>
            <a:r>
              <a:rPr lang="en-US" baseline="0"/>
              <a:t> 3/13/22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622314683399054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2022'!$F$2:$F$9</c:f>
              <c:numCache>
                <c:formatCode>General</c:formatCode>
                <c:ptCount val="8"/>
                <c:pt idx="0">
                  <c:v>5.7027999999999995E-2</c:v>
                </c:pt>
                <c:pt idx="1">
                  <c:v>5.5313599999999991E-2</c:v>
                </c:pt>
                <c:pt idx="2">
                  <c:v>6.7314399999999996E-2</c:v>
                </c:pt>
                <c:pt idx="3">
                  <c:v>6.9028800000000001E-2</c:v>
                </c:pt>
                <c:pt idx="4">
                  <c:v>0.16503519999999999</c:v>
                </c:pt>
                <c:pt idx="5">
                  <c:v>0.36320614400000006</c:v>
                </c:pt>
                <c:pt idx="6">
                  <c:v>0.31068178400000007</c:v>
                </c:pt>
                <c:pt idx="7">
                  <c:v>2.4633829685000004</c:v>
                </c:pt>
              </c:numCache>
            </c:numRef>
          </c:xVal>
          <c:yVal>
            <c:numRef>
              <c:f>'Abs winter 2022'!$S$2:$S$9</c:f>
              <c:numCache>
                <c:formatCode>General</c:formatCode>
                <c:ptCount val="8"/>
                <c:pt idx="0">
                  <c:v>2.1379780230926331E-2</c:v>
                </c:pt>
                <c:pt idx="1">
                  <c:v>1.8846884959694648E-2</c:v>
                </c:pt>
                <c:pt idx="2">
                  <c:v>1.8198920427132649E-2</c:v>
                </c:pt>
                <c:pt idx="3">
                  <c:v>1.4075761294123195E-2</c:v>
                </c:pt>
                <c:pt idx="4">
                  <c:v>1.2807145692063678E-2</c:v>
                </c:pt>
                <c:pt idx="5">
                  <c:v>2.6672319598229712E-2</c:v>
                </c:pt>
                <c:pt idx="6">
                  <c:v>1.3854699485577935E-2</c:v>
                </c:pt>
                <c:pt idx="7">
                  <c:v>3.6065542491955448E-2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4-4EA6-B0FF-0D192FE7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</a:t>
                </a:r>
                <a:r>
                  <a:rPr lang="en-US" baseline="0"/>
                  <a:t> (kg/L)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SSLM 3/18/22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651141133779184E-3"/>
                  <c:y val="0.27273148148148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2022'!$F$11:$F$17</c:f>
              <c:numCache>
                <c:formatCode>General</c:formatCode>
                <c:ptCount val="7"/>
                <c:pt idx="0">
                  <c:v>1.7596799999999996E-2</c:v>
                </c:pt>
                <c:pt idx="1">
                  <c:v>2.274000000000001E-2</c:v>
                </c:pt>
                <c:pt idx="2">
                  <c:v>2.6168799999999992E-2</c:v>
                </c:pt>
                <c:pt idx="3">
                  <c:v>2.9597599999999974E-2</c:v>
                </c:pt>
                <c:pt idx="4">
                  <c:v>0.21475279999999997</c:v>
                </c:pt>
                <c:pt idx="5">
                  <c:v>0.27364102400000007</c:v>
                </c:pt>
                <c:pt idx="6">
                  <c:v>0.36887992850000006</c:v>
                </c:pt>
              </c:numCache>
            </c:numRef>
          </c:xVal>
          <c:yVal>
            <c:numRef>
              <c:f>'Abs winter 2022'!$S$11:$S$17</c:f>
              <c:numCache>
                <c:formatCode>General</c:formatCode>
                <c:ptCount val="7"/>
                <c:pt idx="0">
                  <c:v>6.1092393943116561E-3</c:v>
                </c:pt>
                <c:pt idx="1">
                  <c:v>7.583398874792713E-3</c:v>
                </c:pt>
                <c:pt idx="2">
                  <c:v>6.6093835008487097E-3</c:v>
                </c:pt>
                <c:pt idx="3">
                  <c:v>5.7797479572691849E-3</c:v>
                </c:pt>
                <c:pt idx="4">
                  <c:v>2.0110633987123261E-2</c:v>
                </c:pt>
                <c:pt idx="5">
                  <c:v>1.6924247434272562E-2</c:v>
                </c:pt>
                <c:pt idx="6">
                  <c:v>1.8534046532871051E-2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D-4A22-9D74-2F23E9B1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C/S</a:t>
                </a:r>
                <a:r>
                  <a:rPr lang="en-US" baseline="0"/>
                  <a:t> (kg/L)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SSLM 4/1/22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43160115710606"/>
                  <c:y val="2.65605861767279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2022'!$F$20:$F$26</c:f>
              <c:numCache>
                <c:formatCode>General</c:formatCode>
                <c:ptCount val="7"/>
                <c:pt idx="0">
                  <c:v>2.1025600000000005E-2</c:v>
                </c:pt>
                <c:pt idx="1">
                  <c:v>2.4454400000000015E-2</c:v>
                </c:pt>
                <c:pt idx="2">
                  <c:v>2.9597599999999974E-2</c:v>
                </c:pt>
                <c:pt idx="3">
                  <c:v>3.8169599999999998E-2</c:v>
                </c:pt>
                <c:pt idx="4">
                  <c:v>0.19760880000000003</c:v>
                </c:pt>
                <c:pt idx="5">
                  <c:v>0.31440770600000006</c:v>
                </c:pt>
                <c:pt idx="6">
                  <c:v>0.42418726400000006</c:v>
                </c:pt>
              </c:numCache>
            </c:numRef>
          </c:xVal>
          <c:yVal>
            <c:numRef>
              <c:f>'Abs winter 2022'!$S$20:$S$26</c:f>
              <c:numCache>
                <c:formatCode>General</c:formatCode>
                <c:ptCount val="7"/>
                <c:pt idx="0">
                  <c:v>1.2491409148465409E-2</c:v>
                </c:pt>
                <c:pt idx="1">
                  <c:v>1.3202642312962424E-2</c:v>
                </c:pt>
                <c:pt idx="2">
                  <c:v>1.0690520303173048E-2</c:v>
                </c:pt>
                <c:pt idx="3">
                  <c:v>9.9552021665611674E-3</c:v>
                </c:pt>
                <c:pt idx="4">
                  <c:v>1.9912967163066109E-2</c:v>
                </c:pt>
                <c:pt idx="5">
                  <c:v>2.3855443564986561E-2</c:v>
                </c:pt>
                <c:pt idx="6">
                  <c:v>2.3826137471745241E-2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C-4E4B-8ED6-33A2A023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</a:t>
                </a:r>
                <a:r>
                  <a:rPr lang="en-US" baseline="0"/>
                  <a:t> (kg/L)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SSUM 3/13/22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411505579346439E-2"/>
                  <c:y val="-5.3321668124817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2022'!$F$29:$F$35</c:f>
              <c:numCache>
                <c:formatCode>General</c:formatCode>
                <c:ptCount val="7"/>
                <c:pt idx="0">
                  <c:v>2.7883199999999997E-2</c:v>
                </c:pt>
                <c:pt idx="1">
                  <c:v>2.274000000000001E-2</c:v>
                </c:pt>
                <c:pt idx="2">
                  <c:v>3.6455199999999993E-2</c:v>
                </c:pt>
                <c:pt idx="3">
                  <c:v>4.3312799999999985E-2</c:v>
                </c:pt>
                <c:pt idx="4">
                  <c:v>0.20103759999999998</c:v>
                </c:pt>
                <c:pt idx="5">
                  <c:v>0.2681191685</c:v>
                </c:pt>
                <c:pt idx="6">
                  <c:v>0.35754129649999999</c:v>
                </c:pt>
              </c:numCache>
            </c:numRef>
          </c:xVal>
          <c:yVal>
            <c:numRef>
              <c:f>'Abs winter 2022'!$S$29:$S$35</c:f>
              <c:numCache>
                <c:formatCode>General</c:formatCode>
                <c:ptCount val="7"/>
                <c:pt idx="0">
                  <c:v>2.3657989367970419E-2</c:v>
                </c:pt>
                <c:pt idx="1">
                  <c:v>1.4756734641690339E-2</c:v>
                </c:pt>
                <c:pt idx="2">
                  <c:v>1.624692646693025E-2</c:v>
                </c:pt>
                <c:pt idx="3">
                  <c:v>1.3056065939276074E-2</c:v>
                </c:pt>
                <c:pt idx="4">
                  <c:v>1.9933281423718092E-2</c:v>
                </c:pt>
                <c:pt idx="5">
                  <c:v>1.8689158646517701E-2</c:v>
                </c:pt>
                <c:pt idx="6">
                  <c:v>1.8119880717171608E-2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5-41B3-8B52-A7CF5ADE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</a:t>
                </a:r>
                <a:r>
                  <a:rPr lang="en-US" baseline="0"/>
                  <a:t>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SSUM 3/18/22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023696644228973"/>
                  <c:y val="-6.0616433362496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174979302083884E-2"/>
                  <c:y val="-5.38775882181393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2022'!$F$38:$F$44</c:f>
              <c:numCache>
                <c:formatCode>General</c:formatCode>
                <c:ptCount val="7"/>
                <c:pt idx="0">
                  <c:v>5.1884800000000009E-2</c:v>
                </c:pt>
                <c:pt idx="1">
                  <c:v>3.9884000000000003E-2</c:v>
                </c:pt>
                <c:pt idx="2">
                  <c:v>4.5027199999999989E-2</c:v>
                </c:pt>
                <c:pt idx="3">
                  <c:v>4.6741599999999994E-2</c:v>
                </c:pt>
                <c:pt idx="4">
                  <c:v>0.11531759999999996</c:v>
                </c:pt>
                <c:pt idx="5">
                  <c:v>0.19534840850000001</c:v>
                </c:pt>
                <c:pt idx="6">
                  <c:v>0.23882020850000002</c:v>
                </c:pt>
              </c:numCache>
            </c:numRef>
          </c:xVal>
          <c:yVal>
            <c:numRef>
              <c:f>'Abs winter 2022'!$S$38:$S$44</c:f>
              <c:numCache>
                <c:formatCode>General</c:formatCode>
                <c:ptCount val="7"/>
                <c:pt idx="0">
                  <c:v>5.9132531103644824E-2</c:v>
                </c:pt>
                <c:pt idx="1">
                  <c:v>2.8279600648674574E-2</c:v>
                </c:pt>
                <c:pt idx="2">
                  <c:v>1.9374438089001265E-2</c:v>
                </c:pt>
                <c:pt idx="3">
                  <c:v>1.3274750855533599E-2</c:v>
                </c:pt>
                <c:pt idx="4">
                  <c:v>9.6396801896097752E-3</c:v>
                </c:pt>
                <c:pt idx="5">
                  <c:v>1.2285853042383336E-2</c:v>
                </c:pt>
                <c:pt idx="6">
                  <c:v>1.0908508167060531E-2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2-4DF9-945C-4D4D8B6A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Smax for SSUM 4/1/22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225940507436568E-2"/>
                  <c:y val="-7.09095217264508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2022'!$F$47:$F$53</c:f>
              <c:numCache>
                <c:formatCode>General</c:formatCode>
                <c:ptCount val="7"/>
                <c:pt idx="0">
                  <c:v>4.1598400000000008E-2</c:v>
                </c:pt>
                <c:pt idx="1">
                  <c:v>4.8455999999999999E-2</c:v>
                </c:pt>
                <c:pt idx="2">
                  <c:v>4.5027199999999989E-2</c:v>
                </c:pt>
                <c:pt idx="3">
                  <c:v>5.7027999999999995E-2</c:v>
                </c:pt>
                <c:pt idx="4">
                  <c:v>0.17875039999999998</c:v>
                </c:pt>
                <c:pt idx="5">
                  <c:v>0.24429440000000002</c:v>
                </c:pt>
                <c:pt idx="6">
                  <c:v>0.40502143400000012</c:v>
                </c:pt>
              </c:numCache>
            </c:numRef>
          </c:xVal>
          <c:yVal>
            <c:numRef>
              <c:f>'Abs winter 2022'!$S$47:$S$53</c:f>
              <c:numCache>
                <c:formatCode>General</c:formatCode>
                <c:ptCount val="7"/>
                <c:pt idx="0">
                  <c:v>2.7898976971883295E-2</c:v>
                </c:pt>
                <c:pt idx="1">
                  <c:v>2.9818165339069492E-2</c:v>
                </c:pt>
                <c:pt idx="2">
                  <c:v>1.6531461177194891E-2</c:v>
                </c:pt>
                <c:pt idx="3">
                  <c:v>1.504731493512476E-2</c:v>
                </c:pt>
                <c:pt idx="4">
                  <c:v>1.5090121076327572E-2</c:v>
                </c:pt>
                <c:pt idx="5">
                  <c:v>1.5754435009190521E-2</c:v>
                </c:pt>
                <c:pt idx="6">
                  <c:v>2.210556230227646E-2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7-4EB6-87DA-F6E4C352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8344"/>
        <c:axId val="648218672"/>
      </c:scatterChart>
      <c:valAx>
        <c:axId val="6482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672"/>
        <c:crosses val="autoZero"/>
        <c:crossBetween val="midCat"/>
      </c:valAx>
      <c:valAx>
        <c:axId val="64821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SSLM 3/13/22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484236610288266E-2"/>
                  <c:y val="0.355529473855765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9260980427003652"/>
                  <c:y val="-6.94495333124306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2022'!$F$2:$F$9</c:f>
              <c:numCache>
                <c:formatCode>General</c:formatCode>
                <c:ptCount val="8"/>
                <c:pt idx="0">
                  <c:v>5.7027999999999995E-2</c:v>
                </c:pt>
                <c:pt idx="1">
                  <c:v>5.5313599999999991E-2</c:v>
                </c:pt>
                <c:pt idx="2">
                  <c:v>6.7314399999999996E-2</c:v>
                </c:pt>
                <c:pt idx="3">
                  <c:v>6.9028800000000001E-2</c:v>
                </c:pt>
                <c:pt idx="4">
                  <c:v>0.16503519999999999</c:v>
                </c:pt>
                <c:pt idx="5">
                  <c:v>0.36320614400000006</c:v>
                </c:pt>
                <c:pt idx="6">
                  <c:v>0.31068178400000007</c:v>
                </c:pt>
                <c:pt idx="7">
                  <c:v>2.4633829685000004</c:v>
                </c:pt>
              </c:numCache>
            </c:numRef>
          </c:xVal>
          <c:yVal>
            <c:numRef>
              <c:f>'Abs winter 2022'!$Q$2:$Q$9</c:f>
              <c:numCache>
                <c:formatCode>General</c:formatCode>
                <c:ptCount val="8"/>
                <c:pt idx="0">
                  <c:v>2.6673800845486575</c:v>
                </c:pt>
                <c:pt idx="1">
                  <c:v>2.9348934913271822</c:v>
                </c:pt>
                <c:pt idx="2">
                  <c:v>3.698812809777519</c:v>
                </c:pt>
                <c:pt idx="3">
                  <c:v>4.9040899854433011</c:v>
                </c:pt>
                <c:pt idx="4">
                  <c:v>12.886181196663427</c:v>
                </c:pt>
                <c:pt idx="5">
                  <c:v>13.617343728293758</c:v>
                </c:pt>
                <c:pt idx="6">
                  <c:v>22.4242889081358</c:v>
                </c:pt>
                <c:pt idx="7">
                  <c:v>68.302950636316282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0-4FAC-A3C2-AE3BB73B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SSLM 3/18/22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9.608618972339239E-2"/>
                  <c:y val="0.19724812706299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088684715604603"/>
                  <c:y val="-0.101078733230261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2022'!$F$11:$F$18</c:f>
              <c:numCache>
                <c:formatCode>General</c:formatCode>
                <c:ptCount val="8"/>
                <c:pt idx="0">
                  <c:v>1.7596799999999996E-2</c:v>
                </c:pt>
                <c:pt idx="1">
                  <c:v>2.274000000000001E-2</c:v>
                </c:pt>
                <c:pt idx="2">
                  <c:v>2.6168799999999992E-2</c:v>
                </c:pt>
                <c:pt idx="3">
                  <c:v>2.9597599999999974E-2</c:v>
                </c:pt>
                <c:pt idx="4">
                  <c:v>0.21475279999999997</c:v>
                </c:pt>
                <c:pt idx="5">
                  <c:v>0.27364102400000007</c:v>
                </c:pt>
                <c:pt idx="6">
                  <c:v>0.36887992850000006</c:v>
                </c:pt>
                <c:pt idx="7">
                  <c:v>2.7783555140000002</c:v>
                </c:pt>
              </c:numCache>
            </c:numRef>
          </c:xVal>
          <c:yVal>
            <c:numRef>
              <c:f>'Abs winter 2022'!$Q$11:$Q$18</c:f>
              <c:numCache>
                <c:formatCode>General</c:formatCode>
                <c:ptCount val="8"/>
                <c:pt idx="0">
                  <c:v>2.8803585625379924</c:v>
                </c:pt>
                <c:pt idx="1">
                  <c:v>2.9986554018130285</c:v>
                </c:pt>
                <c:pt idx="2">
                  <c:v>3.9593405340512713</c:v>
                </c:pt>
                <c:pt idx="3">
                  <c:v>5.1209153442020066</c:v>
                </c:pt>
                <c:pt idx="4">
                  <c:v>10.678569364720431</c:v>
                </c:pt>
                <c:pt idx="5">
                  <c:v>16.16857854759683</c:v>
                </c:pt>
                <c:pt idx="6">
                  <c:v>19.902827363995943</c:v>
                </c:pt>
                <c:pt idx="7">
                  <c:v>62.009732198963249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09-446B-AA80-3D61A8803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SSLM 4/1/22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164586928799452E-2"/>
                  <c:y val="0.40638478409117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0494605894899634"/>
                  <c:y val="-2.21224603879178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2022'!$F$20:$F$26</c:f>
              <c:numCache>
                <c:formatCode>General</c:formatCode>
                <c:ptCount val="7"/>
                <c:pt idx="0">
                  <c:v>2.1025600000000005E-2</c:v>
                </c:pt>
                <c:pt idx="1">
                  <c:v>2.4454400000000015E-2</c:v>
                </c:pt>
                <c:pt idx="2">
                  <c:v>2.9597599999999974E-2</c:v>
                </c:pt>
                <c:pt idx="3">
                  <c:v>3.8169599999999998E-2</c:v>
                </c:pt>
                <c:pt idx="4">
                  <c:v>0.19760880000000003</c:v>
                </c:pt>
                <c:pt idx="5">
                  <c:v>0.31440770600000006</c:v>
                </c:pt>
                <c:pt idx="6">
                  <c:v>0.42418726400000006</c:v>
                </c:pt>
              </c:numCache>
            </c:numRef>
          </c:xVal>
          <c:yVal>
            <c:numRef>
              <c:f>'Abs winter 2022'!$Q$20:$Q$26</c:f>
              <c:numCache>
                <c:formatCode>General</c:formatCode>
                <c:ptCount val="7"/>
                <c:pt idx="0">
                  <c:v>1.683204813012072</c:v>
                </c:pt>
                <c:pt idx="1">
                  <c:v>1.852235288991398</c:v>
                </c:pt>
                <c:pt idx="2">
                  <c:v>2.7685836760644031</c:v>
                </c:pt>
                <c:pt idx="3">
                  <c:v>3.8341360990346365</c:v>
                </c:pt>
                <c:pt idx="4">
                  <c:v>9.923624057720442</c:v>
                </c:pt>
                <c:pt idx="5">
                  <c:v>13.179704881340662</c:v>
                </c:pt>
                <c:pt idx="6">
                  <c:v>17.803442312167974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6-4DA0-A34F-44A8AD401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SSUM 3/13/22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75934565186584"/>
          <c:y val="0.13222380661207128"/>
          <c:w val="0.8300694446399618"/>
          <c:h val="0.718244763004243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1124990389329826"/>
                  <c:y val="3.6806430674001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54509271746381E-2"/>
                  <c:y val="0.32727674618915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2022'!$F$29:$F$35</c:f>
              <c:numCache>
                <c:formatCode>General</c:formatCode>
                <c:ptCount val="7"/>
                <c:pt idx="0">
                  <c:v>2.7883199999999997E-2</c:v>
                </c:pt>
                <c:pt idx="1">
                  <c:v>2.274000000000001E-2</c:v>
                </c:pt>
                <c:pt idx="2">
                  <c:v>3.6455199999999993E-2</c:v>
                </c:pt>
                <c:pt idx="3">
                  <c:v>4.3312799999999985E-2</c:v>
                </c:pt>
                <c:pt idx="4">
                  <c:v>0.20103759999999998</c:v>
                </c:pt>
                <c:pt idx="5">
                  <c:v>0.2681191685</c:v>
                </c:pt>
                <c:pt idx="6">
                  <c:v>0.35754129649999999</c:v>
                </c:pt>
              </c:numCache>
            </c:numRef>
          </c:xVal>
          <c:yVal>
            <c:numRef>
              <c:f>'Abs winter 2022'!$Q$29:$Q$35</c:f>
              <c:numCache>
                <c:formatCode>General</c:formatCode>
                <c:ptCount val="7"/>
                <c:pt idx="0">
                  <c:v>1.1785955081098276</c:v>
                </c:pt>
                <c:pt idx="1">
                  <c:v>1.5409913203802934</c:v>
                </c:pt>
                <c:pt idx="2">
                  <c:v>2.2438213205557744</c:v>
                </c:pt>
                <c:pt idx="3">
                  <c:v>3.3174464805438606</c:v>
                </c:pt>
                <c:pt idx="4">
                  <c:v>10.085524592092026</c:v>
                </c:pt>
                <c:pt idx="5">
                  <c:v>14.346240704097074</c:v>
                </c:pt>
                <c:pt idx="6">
                  <c:v>19.731989524697589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E8-4560-AA91-27251FF9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SSUM 3/18/22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09707705577867"/>
          <c:y val="0.12205274456498888"/>
          <c:w val="0.80764792355861981"/>
          <c:h val="0.718244763004243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1970542832537745"/>
                  <c:y val="2.4762932165022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33918218579342E-2"/>
                  <c:y val="0.41701354393037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2022'!$F$38:$F$44</c:f>
              <c:numCache>
                <c:formatCode>General</c:formatCode>
                <c:ptCount val="7"/>
                <c:pt idx="0">
                  <c:v>5.1884800000000009E-2</c:v>
                </c:pt>
                <c:pt idx="1">
                  <c:v>3.9884000000000003E-2</c:v>
                </c:pt>
                <c:pt idx="2">
                  <c:v>4.5027199999999989E-2</c:v>
                </c:pt>
                <c:pt idx="3">
                  <c:v>4.6741599999999994E-2</c:v>
                </c:pt>
                <c:pt idx="4">
                  <c:v>0.11531759999999996</c:v>
                </c:pt>
                <c:pt idx="5">
                  <c:v>0.19534840850000001</c:v>
                </c:pt>
                <c:pt idx="6">
                  <c:v>0.23882020850000002</c:v>
                </c:pt>
              </c:numCache>
            </c:numRef>
          </c:xVal>
          <c:yVal>
            <c:numRef>
              <c:f>'Abs winter 2022'!$Q$38:$Q$44</c:f>
              <c:numCache>
                <c:formatCode>General</c:formatCode>
                <c:ptCount val="7"/>
                <c:pt idx="0">
                  <c:v>0.87743242224924689</c:v>
                </c:pt>
                <c:pt idx="1">
                  <c:v>1.4103452342022131</c:v>
                </c:pt>
                <c:pt idx="2">
                  <c:v>2.324051917952739</c:v>
                </c:pt>
                <c:pt idx="3">
                  <c:v>3.5210905657423837</c:v>
                </c:pt>
                <c:pt idx="4">
                  <c:v>11.962803509217679</c:v>
                </c:pt>
                <c:pt idx="5">
                  <c:v>15.900272274631108</c:v>
                </c:pt>
                <c:pt idx="6">
                  <c:v>21.893021927704517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48-4C10-A322-3BB6CE20F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SSUM 4/1/22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372633475102"/>
          <c:y val="0.17799358582394212"/>
          <c:w val="0.84198802794466898"/>
          <c:h val="0.718244763004243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1970542832537745"/>
                  <c:y val="2.4762932165022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61961973710797"/>
                  <c:y val="0.379563212950404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2022'!$F$47:$F$53</c:f>
              <c:numCache>
                <c:formatCode>General</c:formatCode>
                <c:ptCount val="7"/>
                <c:pt idx="0">
                  <c:v>4.1598400000000008E-2</c:v>
                </c:pt>
                <c:pt idx="1">
                  <c:v>4.8455999999999999E-2</c:v>
                </c:pt>
                <c:pt idx="2">
                  <c:v>4.5027199999999989E-2</c:v>
                </c:pt>
                <c:pt idx="3">
                  <c:v>5.7027999999999995E-2</c:v>
                </c:pt>
                <c:pt idx="4">
                  <c:v>0.17875039999999998</c:v>
                </c:pt>
                <c:pt idx="5">
                  <c:v>0.24429440000000002</c:v>
                </c:pt>
                <c:pt idx="6">
                  <c:v>0.40502143400000012</c:v>
                </c:pt>
              </c:numCache>
            </c:numRef>
          </c:xVal>
          <c:yVal>
            <c:numRef>
              <c:f>'Abs winter 2022'!$Q$47:$Q$53</c:f>
              <c:numCache>
                <c:formatCode>General</c:formatCode>
                <c:ptCount val="7"/>
                <c:pt idx="0">
                  <c:v>1.4910367517032272</c:v>
                </c:pt>
                <c:pt idx="1">
                  <c:v>1.6250496785766404</c:v>
                </c:pt>
                <c:pt idx="2">
                  <c:v>2.7237277768352923</c:v>
                </c:pt>
                <c:pt idx="3">
                  <c:v>3.7899120371887909</c:v>
                </c:pt>
                <c:pt idx="4">
                  <c:v>11.845524571728738</c:v>
                </c:pt>
                <c:pt idx="5">
                  <c:v>15.506389144230702</c:v>
                </c:pt>
                <c:pt idx="6">
                  <c:v>18.322150256195496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36-4E63-88F7-BA370F10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61000"/>
        <c:axId val="601465264"/>
      </c:scatterChart>
      <c:valAx>
        <c:axId val="601461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5264"/>
        <c:crosses val="autoZero"/>
        <c:crossBetween val="midCat"/>
      </c:valAx>
      <c:valAx>
        <c:axId val="60146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6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213910761154855E-2"/>
                  <c:y val="0.46973826188393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057786526684163"/>
                  <c:y val="-5.79104695246427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winter 2022'!$D$125:$D$133</c:f>
              <c:numCache>
                <c:formatCode>General</c:formatCode>
                <c:ptCount val="9"/>
                <c:pt idx="0">
                  <c:v>0</c:v>
                </c:pt>
                <c:pt idx="1">
                  <c:v>9.5211012193945465E-3</c:v>
                </c:pt>
                <c:pt idx="2">
                  <c:v>5.1120825771294634E-2</c:v>
                </c:pt>
                <c:pt idx="3">
                  <c:v>8.9009880096690724E-2</c:v>
                </c:pt>
                <c:pt idx="4">
                  <c:v>0.53282257008416201</c:v>
                </c:pt>
                <c:pt idx="6">
                  <c:v>0.87665584429887344</c:v>
                </c:pt>
                <c:pt idx="7">
                  <c:v>4.9815876124854475</c:v>
                </c:pt>
                <c:pt idx="8">
                  <c:v>10.004960476205715</c:v>
                </c:pt>
              </c:numCache>
            </c:numRef>
          </c:xVal>
          <c:yVal>
            <c:numRef>
              <c:f>'Abs winter 2022'!$E$125:$E$133</c:f>
              <c:numCache>
                <c:formatCode>General</c:formatCode>
                <c:ptCount val="9"/>
                <c:pt idx="0">
                  <c:v>9.1999999999999998E-2</c:v>
                </c:pt>
                <c:pt idx="1">
                  <c:v>9.5000000000000001E-2</c:v>
                </c:pt>
                <c:pt idx="2">
                  <c:v>0.106</c:v>
                </c:pt>
                <c:pt idx="3">
                  <c:v>0.14199999999999999</c:v>
                </c:pt>
                <c:pt idx="4">
                  <c:v>0.39600000000000002</c:v>
                </c:pt>
                <c:pt idx="5">
                  <c:v>0.38800000000000001</c:v>
                </c:pt>
                <c:pt idx="6">
                  <c:v>0.59899999999999998</c:v>
                </c:pt>
                <c:pt idx="7">
                  <c:v>1.954</c:v>
                </c:pt>
                <c:pt idx="8">
                  <c:v>3.2149999999999999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A-4A2F-8B21-498E4964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02240"/>
        <c:axId val="730304864"/>
      </c:scatterChart>
      <c:valAx>
        <c:axId val="7303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04864"/>
        <c:crosses val="autoZero"/>
        <c:crossBetween val="midCat"/>
      </c:valAx>
      <c:valAx>
        <c:axId val="73030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0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7123546315604E-2"/>
          <c:y val="0.15319444444444447"/>
          <c:w val="0.8958652599255132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605697509155229E-4"/>
                  <c:y val="-7.9120370370370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2022'!$C$64:$C$74</c:f>
              <c:numCache>
                <c:formatCode>General</c:formatCode>
                <c:ptCount val="11"/>
                <c:pt idx="0">
                  <c:v>0</c:v>
                </c:pt>
                <c:pt idx="1">
                  <c:v>9.5211012193945465E-3</c:v>
                </c:pt>
                <c:pt idx="2">
                  <c:v>5.1120825771294634E-2</c:v>
                </c:pt>
                <c:pt idx="3">
                  <c:v>8.9009880096690724E-2</c:v>
                </c:pt>
                <c:pt idx="4">
                  <c:v>0.2501079890571089</c:v>
                </c:pt>
                <c:pt idx="5">
                  <c:v>0.53282257008416201</c:v>
                </c:pt>
                <c:pt idx="6">
                  <c:v>0.87665584429887344</c:v>
                </c:pt>
                <c:pt idx="7">
                  <c:v>2.4900249002490025</c:v>
                </c:pt>
                <c:pt idx="8">
                  <c:v>4.9815876124854475</c:v>
                </c:pt>
                <c:pt idx="9">
                  <c:v>7.456328078435452</c:v>
                </c:pt>
                <c:pt idx="10">
                  <c:v>10.004960476205715</c:v>
                </c:pt>
              </c:numCache>
            </c:numRef>
          </c:xVal>
          <c:yVal>
            <c:numRef>
              <c:f>'Abs summer 2022'!$E$64:$E$74</c:f>
              <c:numCache>
                <c:formatCode>General</c:formatCode>
                <c:ptCount val="11"/>
                <c:pt idx="0">
                  <c:v>9.1999999999999998E-2</c:v>
                </c:pt>
                <c:pt idx="1">
                  <c:v>9.5000000000000001E-2</c:v>
                </c:pt>
                <c:pt idx="2">
                  <c:v>0.106</c:v>
                </c:pt>
                <c:pt idx="3">
                  <c:v>0.14199999999999999</c:v>
                </c:pt>
                <c:pt idx="5">
                  <c:v>0.39600000000000002</c:v>
                </c:pt>
                <c:pt idx="6">
                  <c:v>0.59899999999999998</c:v>
                </c:pt>
                <c:pt idx="7">
                  <c:v>1.2609999999999999</c:v>
                </c:pt>
                <c:pt idx="8">
                  <c:v>1.954</c:v>
                </c:pt>
                <c:pt idx="9">
                  <c:v>2.62</c:v>
                </c:pt>
                <c:pt idx="10">
                  <c:v>3.2149999999999999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F-4299-9B7E-706C0142A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61720"/>
        <c:axId val="504262704"/>
      </c:scatterChart>
      <c:valAx>
        <c:axId val="504261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62704"/>
        <c:crosses val="autoZero"/>
        <c:crossBetween val="midCat"/>
      </c:valAx>
      <c:valAx>
        <c:axId val="50426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6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1138598653536E-2"/>
          <c:y val="0.15319454698004956"/>
          <c:w val="0.8958652599255132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243181558826888"/>
                  <c:y val="-8.94911052785068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605697509155229E-4"/>
                  <c:y val="-7.91203703703703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2022'!$E$64:$E$74</c:f>
              <c:numCache>
                <c:formatCode>General</c:formatCode>
                <c:ptCount val="11"/>
                <c:pt idx="0">
                  <c:v>9.1999999999999998E-2</c:v>
                </c:pt>
                <c:pt idx="1">
                  <c:v>9.5000000000000001E-2</c:v>
                </c:pt>
                <c:pt idx="2">
                  <c:v>0.106</c:v>
                </c:pt>
                <c:pt idx="3">
                  <c:v>0.14199999999999999</c:v>
                </c:pt>
                <c:pt idx="5">
                  <c:v>0.39600000000000002</c:v>
                </c:pt>
                <c:pt idx="6">
                  <c:v>0.59899999999999998</c:v>
                </c:pt>
                <c:pt idx="7">
                  <c:v>1.2609999999999999</c:v>
                </c:pt>
                <c:pt idx="8">
                  <c:v>1.954</c:v>
                </c:pt>
                <c:pt idx="9">
                  <c:v>2.62</c:v>
                </c:pt>
                <c:pt idx="10">
                  <c:v>3.2149999999999999</c:v>
                </c:pt>
              </c:numCache>
            </c:numRef>
          </c:xVal>
          <c:yVal>
            <c:numRef>
              <c:f>'Abs summer 2022'!$C$64:$C$74</c:f>
              <c:numCache>
                <c:formatCode>General</c:formatCode>
                <c:ptCount val="11"/>
                <c:pt idx="0">
                  <c:v>0</c:v>
                </c:pt>
                <c:pt idx="1">
                  <c:v>9.5211012193945465E-3</c:v>
                </c:pt>
                <c:pt idx="2">
                  <c:v>5.1120825771294634E-2</c:v>
                </c:pt>
                <c:pt idx="3">
                  <c:v>8.9009880096690724E-2</c:v>
                </c:pt>
                <c:pt idx="4">
                  <c:v>0.2501079890571089</c:v>
                </c:pt>
                <c:pt idx="5">
                  <c:v>0.53282257008416201</c:v>
                </c:pt>
                <c:pt idx="6">
                  <c:v>0.87665584429887344</c:v>
                </c:pt>
                <c:pt idx="7">
                  <c:v>2.4900249002490025</c:v>
                </c:pt>
                <c:pt idx="8">
                  <c:v>4.9815876124854475</c:v>
                </c:pt>
                <c:pt idx="9">
                  <c:v>7.456328078435452</c:v>
                </c:pt>
                <c:pt idx="10">
                  <c:v>10.004960476205715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5B-4F7A-9F79-CFDB6DC4B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61720"/>
        <c:axId val="504262704"/>
      </c:scatterChart>
      <c:valAx>
        <c:axId val="504261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62704"/>
        <c:crosses val="autoZero"/>
        <c:crossBetween val="midCat"/>
      </c:valAx>
      <c:valAx>
        <c:axId val="50426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6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SSUT 7/12/22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988706772483858"/>
                  <c:y val="2.56436559077643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2022'!$F$2:$F$8</c:f>
              <c:numCache>
                <c:formatCode>General</c:formatCode>
                <c:ptCount val="7"/>
                <c:pt idx="0">
                  <c:v>3.6455199999999993E-2</c:v>
                </c:pt>
                <c:pt idx="1">
                  <c:v>3.8169599999999998E-2</c:v>
                </c:pt>
                <c:pt idx="2">
                  <c:v>3.3026399999999984E-2</c:v>
                </c:pt>
                <c:pt idx="3">
                  <c:v>5.3599199999999986E-2</c:v>
                </c:pt>
                <c:pt idx="4">
                  <c:v>0.27818559999999998</c:v>
                </c:pt>
                <c:pt idx="5">
                  <c:v>0.46334079999999994</c:v>
                </c:pt>
                <c:pt idx="6">
                  <c:v>1.831823354</c:v>
                </c:pt>
              </c:numCache>
            </c:numRef>
          </c:xVal>
          <c:yVal>
            <c:numRef>
              <c:f>'Abs summer 2022'!$P$2:$P$8</c:f>
              <c:numCache>
                <c:formatCode>General</c:formatCode>
                <c:ptCount val="7"/>
                <c:pt idx="0">
                  <c:v>3.5764632980630977E-2</c:v>
                </c:pt>
                <c:pt idx="1">
                  <c:v>3.0137638717112735E-2</c:v>
                </c:pt>
                <c:pt idx="2">
                  <c:v>1.3799149210207678E-2</c:v>
                </c:pt>
                <c:pt idx="3">
                  <c:v>1.8974899918330134E-2</c:v>
                </c:pt>
                <c:pt idx="4">
                  <c:v>3.2582268000149614E-2</c:v>
                </c:pt>
                <c:pt idx="5">
                  <c:v>3.7570506588879692E-2</c:v>
                </c:pt>
                <c:pt idx="6">
                  <c:v>9.9251503933810561E-2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5-4EA9-9449-2674544A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464"/>
        <c:axId val="710073024"/>
      </c:scatterChart>
      <c:valAx>
        <c:axId val="71006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3024"/>
        <c:crosses val="autoZero"/>
        <c:crossBetween val="midCat"/>
      </c:valAx>
      <c:valAx>
        <c:axId val="7100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SSUT 8/4/22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8097222222222226"/>
          <c:w val="0.81865507436570428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2022'!$F$12:$F$22</c:f>
              <c:numCache>
                <c:formatCode>General</c:formatCode>
                <c:ptCount val="11"/>
                <c:pt idx="0">
                  <c:v>2.1025600000000005E-2</c:v>
                </c:pt>
                <c:pt idx="1">
                  <c:v>2.4454400000000015E-2</c:v>
                </c:pt>
                <c:pt idx="2">
                  <c:v>3.4740799999999988E-2</c:v>
                </c:pt>
                <c:pt idx="3">
                  <c:v>5.0170400000000004E-2</c:v>
                </c:pt>
                <c:pt idx="4">
                  <c:v>0.27989999999999998</c:v>
                </c:pt>
                <c:pt idx="5">
                  <c:v>0.51134400000000002</c:v>
                </c:pt>
                <c:pt idx="6">
                  <c:v>1.9575656379649997</c:v>
                </c:pt>
                <c:pt idx="7">
                  <c:v>3.5734785484999998</c:v>
                </c:pt>
                <c:pt idx="8">
                  <c:v>5.5362125360000007</c:v>
                </c:pt>
                <c:pt idx="9">
                  <c:v>7.4114537059999996</c:v>
                </c:pt>
                <c:pt idx="10">
                  <c:v>2.7883199999999997E-2</c:v>
                </c:pt>
              </c:numCache>
            </c:numRef>
          </c:xVal>
          <c:yVal>
            <c:numRef>
              <c:f>'Abs summer 2022'!$P$12:$P$22</c:f>
              <c:numCache>
                <c:formatCode>General</c:formatCode>
                <c:ptCount val="11"/>
                <c:pt idx="0">
                  <c:v>6.2089767137575975E-2</c:v>
                </c:pt>
                <c:pt idx="1">
                  <c:v>4.8300491927631702E-2</c:v>
                </c:pt>
                <c:pt idx="2">
                  <c:v>2.6954383069958749E-2</c:v>
                </c:pt>
                <c:pt idx="3">
                  <c:v>2.7318358473544319E-2</c:v>
                </c:pt>
                <c:pt idx="4">
                  <c:v>3.8567550916255196E-2</c:v>
                </c:pt>
                <c:pt idx="5">
                  <c:v>5.0855064637958233E-2</c:v>
                </c:pt>
                <c:pt idx="6">
                  <c:v>0.13772181070221995</c:v>
                </c:pt>
                <c:pt idx="7">
                  <c:v>9.8965137535815539E-2</c:v>
                </c:pt>
                <c:pt idx="8">
                  <c:v>0.10461432565215312</c:v>
                </c:pt>
                <c:pt idx="9">
                  <c:v>0.11072346260866191</c:v>
                </c:pt>
                <c:pt idx="10">
                  <c:v>6.6322790080580313E-2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D-4031-8E77-DE07E9B28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464"/>
        <c:axId val="710073024"/>
      </c:scatterChart>
      <c:valAx>
        <c:axId val="71006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3024"/>
        <c:crosses val="autoZero"/>
        <c:crossBetween val="midCat"/>
      </c:valAx>
      <c:valAx>
        <c:axId val="7100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SSLT 7/12/22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90048118985127"/>
          <c:y val="0.18097222222222226"/>
          <c:w val="0.81865507436570428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2022'!$F$22:$F$28</c:f>
              <c:numCache>
                <c:formatCode>General</c:formatCode>
                <c:ptCount val="7"/>
                <c:pt idx="0">
                  <c:v>2.7883199999999997E-2</c:v>
                </c:pt>
                <c:pt idx="1">
                  <c:v>1.9311200000000001E-2</c:v>
                </c:pt>
                <c:pt idx="2">
                  <c:v>2.4454400000000015E-2</c:v>
                </c:pt>
                <c:pt idx="3">
                  <c:v>6.5599999999999992E-2</c:v>
                </c:pt>
                <c:pt idx="4">
                  <c:v>0.22503919999999999</c:v>
                </c:pt>
                <c:pt idx="5">
                  <c:v>0.38962159999999996</c:v>
                </c:pt>
                <c:pt idx="6">
                  <c:v>1.7684552165</c:v>
                </c:pt>
              </c:numCache>
            </c:numRef>
          </c:xVal>
          <c:yVal>
            <c:numRef>
              <c:f>'Abs summer 2022'!$P$22:$P$28</c:f>
              <c:numCache>
                <c:formatCode>General</c:formatCode>
                <c:ptCount val="7"/>
                <c:pt idx="0">
                  <c:v>6.6322790080580313E-2</c:v>
                </c:pt>
                <c:pt idx="1">
                  <c:v>2.248151555831901E-2</c:v>
                </c:pt>
                <c:pt idx="2">
                  <c:v>1.3814695558672988E-2</c:v>
                </c:pt>
                <c:pt idx="3">
                  <c:v>3.794008568489201E-2</c:v>
                </c:pt>
                <c:pt idx="4">
                  <c:v>2.5481387649588828E-2</c:v>
                </c:pt>
                <c:pt idx="5">
                  <c:v>2.920804440917333E-2</c:v>
                </c:pt>
                <c:pt idx="6">
                  <c:v>9.2136231580934688E-2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4-4927-B019-3C33D1A9E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464"/>
        <c:axId val="710073024"/>
      </c:scatterChart>
      <c:valAx>
        <c:axId val="71006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3024"/>
        <c:crosses val="autoZero"/>
        <c:crossBetween val="midCat"/>
      </c:valAx>
      <c:valAx>
        <c:axId val="7100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SSLT 8/4/22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8097222222222226"/>
          <c:w val="0.81865507436570428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2022'!$F$32:$F$41</c:f>
              <c:numCache>
                <c:formatCode>General</c:formatCode>
                <c:ptCount val="10"/>
                <c:pt idx="0">
                  <c:v>1.7596799999999996E-2</c:v>
                </c:pt>
                <c:pt idx="1">
                  <c:v>1.2453599999999981E-2</c:v>
                </c:pt>
                <c:pt idx="2">
                  <c:v>1.7596799999999996E-2</c:v>
                </c:pt>
                <c:pt idx="3">
                  <c:v>4.6741599999999994E-2</c:v>
                </c:pt>
                <c:pt idx="4">
                  <c:v>0.19589440000000002</c:v>
                </c:pt>
                <c:pt idx="5">
                  <c:v>0.43762479999999998</c:v>
                </c:pt>
                <c:pt idx="6">
                  <c:v>1.8369196159999999</c:v>
                </c:pt>
                <c:pt idx="7">
                  <c:v>3.4015181060000002</c:v>
                </c:pt>
                <c:pt idx="8">
                  <c:v>5.46939785</c:v>
                </c:pt>
                <c:pt idx="9">
                  <c:v>7.546091594</c:v>
                </c:pt>
              </c:numCache>
            </c:numRef>
          </c:xVal>
          <c:yVal>
            <c:numRef>
              <c:f>'Abs summer 2022'!$P$32:$P$41</c:f>
              <c:numCache>
                <c:formatCode>General</c:formatCode>
                <c:ptCount val="10"/>
                <c:pt idx="0">
                  <c:v>-0.28042113990685807</c:v>
                </c:pt>
                <c:pt idx="1">
                  <c:v>4.0949156153632052E-2</c:v>
                </c:pt>
                <c:pt idx="2">
                  <c:v>1.4955485530531741E-2</c:v>
                </c:pt>
                <c:pt idx="3">
                  <c:v>3.258200665887398E-2</c:v>
                </c:pt>
                <c:pt idx="4">
                  <c:v>2.0147202483485258E-2</c:v>
                </c:pt>
                <c:pt idx="5">
                  <c:v>3.7807680023223912E-2</c:v>
                </c:pt>
                <c:pt idx="6">
                  <c:v>0.10983085259915122</c:v>
                </c:pt>
                <c:pt idx="7">
                  <c:v>8.4665453645759434E-2</c:v>
                </c:pt>
                <c:pt idx="8">
                  <c:v>0.10760015957848451</c:v>
                </c:pt>
                <c:pt idx="9">
                  <c:v>0.1217542585830043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4-4C62-A3D6-5B3B1BDE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464"/>
        <c:axId val="710073024"/>
      </c:scatterChart>
      <c:valAx>
        <c:axId val="71006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73024"/>
        <c:crosses val="autoZero"/>
        <c:crossBetween val="midCat"/>
      </c:valAx>
      <c:valAx>
        <c:axId val="7100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C/S (kg/L)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SSUT (7/12/22)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613517060367455E-2"/>
                  <c:y val="0.453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9534470691163603"/>
                  <c:y val="-0.14248942840478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2022'!$F$2:$F$8</c:f>
              <c:numCache>
                <c:formatCode>General</c:formatCode>
                <c:ptCount val="7"/>
                <c:pt idx="0">
                  <c:v>3.6455199999999993E-2</c:v>
                </c:pt>
                <c:pt idx="1">
                  <c:v>3.8169599999999998E-2</c:v>
                </c:pt>
                <c:pt idx="2">
                  <c:v>3.3026399999999984E-2</c:v>
                </c:pt>
                <c:pt idx="3">
                  <c:v>5.3599199999999986E-2</c:v>
                </c:pt>
                <c:pt idx="4">
                  <c:v>0.27818559999999998</c:v>
                </c:pt>
                <c:pt idx="5">
                  <c:v>0.46334079999999994</c:v>
                </c:pt>
                <c:pt idx="6">
                  <c:v>1.831823354</c:v>
                </c:pt>
              </c:numCache>
            </c:numRef>
          </c:xVal>
          <c:yVal>
            <c:numRef>
              <c:f>'Abs summer 2022'!$O$2:$O$8</c:f>
              <c:numCache>
                <c:formatCode>General</c:formatCode>
                <c:ptCount val="7"/>
                <c:pt idx="0">
                  <c:v>1.0193086566760801</c:v>
                </c:pt>
                <c:pt idx="1">
                  <c:v>1.2665093094478752</c:v>
                </c:pt>
                <c:pt idx="2">
                  <c:v>2.393364945685875</c:v>
                </c:pt>
                <c:pt idx="3">
                  <c:v>2.8247421715369407</c:v>
                </c:pt>
                <c:pt idx="4">
                  <c:v>8.5379446267743724</c:v>
                </c:pt>
                <c:pt idx="5">
                  <c:v>12.332567273318105</c:v>
                </c:pt>
                <c:pt idx="6">
                  <c:v>18.456378809348998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0-44FC-AA91-2E095E0C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58264"/>
        <c:axId val="710061216"/>
      </c:scatterChart>
      <c:valAx>
        <c:axId val="710058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1216"/>
        <c:crosses val="autoZero"/>
        <c:crossBetween val="midCat"/>
      </c:valAx>
      <c:valAx>
        <c:axId val="71006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SSUT (8/4/22)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613517060367455E-2"/>
                  <c:y val="0.453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9534470691163603"/>
                  <c:y val="-0.14248942840478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2022'!$F$12:$F$18</c:f>
              <c:numCache>
                <c:formatCode>General</c:formatCode>
                <c:ptCount val="7"/>
                <c:pt idx="0">
                  <c:v>2.1025600000000005E-2</c:v>
                </c:pt>
                <c:pt idx="1">
                  <c:v>2.4454400000000015E-2</c:v>
                </c:pt>
                <c:pt idx="2">
                  <c:v>3.4740799999999988E-2</c:v>
                </c:pt>
                <c:pt idx="3">
                  <c:v>5.0170400000000004E-2</c:v>
                </c:pt>
                <c:pt idx="4">
                  <c:v>0.27989999999999998</c:v>
                </c:pt>
                <c:pt idx="5">
                  <c:v>0.51134400000000002</c:v>
                </c:pt>
                <c:pt idx="6">
                  <c:v>1.9575656379649997</c:v>
                </c:pt>
              </c:numCache>
            </c:numRef>
          </c:xVal>
          <c:yVal>
            <c:numRef>
              <c:f>'Abs summer 2022'!$O$12:$O$18</c:f>
              <c:numCache>
                <c:formatCode>General</c:formatCode>
                <c:ptCount val="7"/>
                <c:pt idx="0">
                  <c:v>0.33863228949485891</c:v>
                </c:pt>
                <c:pt idx="1">
                  <c:v>0.50629712087901457</c:v>
                </c:pt>
                <c:pt idx="2">
                  <c:v>1.2888738692268336</c:v>
                </c:pt>
                <c:pt idx="3">
                  <c:v>1.8365085899500913</c:v>
                </c:pt>
                <c:pt idx="4">
                  <c:v>7.2573962657823206</c:v>
                </c:pt>
                <c:pt idx="5">
                  <c:v>10.054927737095682</c:v>
                </c:pt>
                <c:pt idx="6">
                  <c:v>14.21391156552261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5-47B8-A349-8CFB3226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58264"/>
        <c:axId val="710061216"/>
      </c:scatterChart>
      <c:valAx>
        <c:axId val="710058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1216"/>
        <c:crosses val="autoZero"/>
        <c:crossBetween val="midCat"/>
      </c:valAx>
      <c:valAx>
        <c:axId val="71006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SSLT (7/12/22)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613517060367455E-2"/>
                  <c:y val="0.4532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9534470691163603"/>
                  <c:y val="-0.14248942840478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2022'!$F$22:$F$28</c:f>
              <c:numCache>
                <c:formatCode>General</c:formatCode>
                <c:ptCount val="7"/>
                <c:pt idx="0">
                  <c:v>2.7883199999999997E-2</c:v>
                </c:pt>
                <c:pt idx="1">
                  <c:v>1.9311200000000001E-2</c:v>
                </c:pt>
                <c:pt idx="2">
                  <c:v>2.4454400000000015E-2</c:v>
                </c:pt>
                <c:pt idx="3">
                  <c:v>6.5599999999999992E-2</c:v>
                </c:pt>
                <c:pt idx="4">
                  <c:v>0.22503919999999999</c:v>
                </c:pt>
                <c:pt idx="5">
                  <c:v>0.38962159999999996</c:v>
                </c:pt>
                <c:pt idx="6">
                  <c:v>1.7684552165</c:v>
                </c:pt>
              </c:numCache>
            </c:numRef>
          </c:xVal>
          <c:yVal>
            <c:numRef>
              <c:f>'Abs summer 2022'!$O$22:$O$28</c:f>
              <c:numCache>
                <c:formatCode>General</c:formatCode>
                <c:ptCount val="7"/>
                <c:pt idx="0">
                  <c:v>0.42041657122872389</c:v>
                </c:pt>
                <c:pt idx="1">
                  <c:v>0.85898123504641255</c:v>
                </c:pt>
                <c:pt idx="2">
                  <c:v>1.7701729217367608</c:v>
                </c:pt>
                <c:pt idx="3">
                  <c:v>1.7290419569643287</c:v>
                </c:pt>
                <c:pt idx="4">
                  <c:v>8.8315127533343443</c:v>
                </c:pt>
                <c:pt idx="5">
                  <c:v>13.339530525968115</c:v>
                </c:pt>
                <c:pt idx="6">
                  <c:v>19.193917378165683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33-495C-9FC5-9835D466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58264"/>
        <c:axId val="710061216"/>
      </c:scatterChart>
      <c:valAx>
        <c:axId val="710058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1216"/>
        <c:crosses val="autoZero"/>
        <c:crossBetween val="midCat"/>
      </c:valAx>
      <c:valAx>
        <c:axId val="71006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SSLT (8/4/22)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769956968424517E-2"/>
                  <c:y val="0.402419844239911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3239413823272094"/>
                  <c:y val="-2.95621901428988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'Abs summer 2022'!$F$32:$F$38</c:f>
              <c:numCache>
                <c:formatCode>General</c:formatCode>
                <c:ptCount val="7"/>
                <c:pt idx="0">
                  <c:v>1.7596799999999996E-2</c:v>
                </c:pt>
                <c:pt idx="1">
                  <c:v>1.2453599999999981E-2</c:v>
                </c:pt>
                <c:pt idx="2">
                  <c:v>1.7596799999999996E-2</c:v>
                </c:pt>
                <c:pt idx="3">
                  <c:v>4.6741599999999994E-2</c:v>
                </c:pt>
                <c:pt idx="4">
                  <c:v>0.19589440000000002</c:v>
                </c:pt>
                <c:pt idx="5">
                  <c:v>0.43762479999999998</c:v>
                </c:pt>
                <c:pt idx="6">
                  <c:v>1.8369196159999999</c:v>
                </c:pt>
              </c:numCache>
            </c:numRef>
          </c:xVal>
          <c:yVal>
            <c:numRef>
              <c:f>'Abs summer 2022'!$O$32:$O$38</c:f>
              <c:numCache>
                <c:formatCode>General</c:formatCode>
                <c:ptCount val="7"/>
                <c:pt idx="0">
                  <c:v>-6.2751331821291279E-2</c:v>
                </c:pt>
                <c:pt idx="1">
                  <c:v>0.30412348311347043</c:v>
                </c:pt>
                <c:pt idx="2">
                  <c:v>1.1766117498543254</c:v>
                </c:pt>
                <c:pt idx="3">
                  <c:v>1.4345832191790291</c:v>
                </c:pt>
                <c:pt idx="4">
                  <c:v>9.7231563618112951</c:v>
                </c:pt>
                <c:pt idx="5">
                  <c:v>11.575023903375786</c:v>
                </c:pt>
                <c:pt idx="6">
                  <c:v>16.72498731029787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F8-4AE9-B0F1-D82CDD1D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58264"/>
        <c:axId val="710061216"/>
      </c:scatterChart>
      <c:valAx>
        <c:axId val="710058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61216"/>
        <c:crosses val="autoZero"/>
        <c:crossBetween val="midCat"/>
      </c:valAx>
      <c:valAx>
        <c:axId val="71006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Changes in EPC</a:t>
            </a:r>
            <a:r>
              <a:rPr lang="en-US" sz="1050"/>
              <a:t>o</a:t>
            </a:r>
            <a:r>
              <a:rPr lang="en-US"/>
              <a:t> in Relation to SRP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Lower Reach EPCo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'Abs summer 2022'!$AH$66:$AH$72</c:f>
              <c:numCache>
                <c:formatCode>m/d/yyyy</c:formatCode>
                <c:ptCount val="7"/>
                <c:pt idx="0">
                  <c:v>44393</c:v>
                </c:pt>
                <c:pt idx="1">
                  <c:v>44404</c:v>
                </c:pt>
                <c:pt idx="2">
                  <c:v>44633</c:v>
                </c:pt>
                <c:pt idx="3">
                  <c:v>44638</c:v>
                </c:pt>
                <c:pt idx="4">
                  <c:v>44652</c:v>
                </c:pt>
                <c:pt idx="5">
                  <c:v>44754</c:v>
                </c:pt>
                <c:pt idx="6">
                  <c:v>44777</c:v>
                </c:pt>
              </c:numCache>
            </c:numRef>
          </c:xVal>
          <c:yVal>
            <c:numRef>
              <c:f>'Abs summer 2022'!$AI$66:$AI$72</c:f>
              <c:numCache>
                <c:formatCode>0.0000</c:formatCode>
                <c:ptCount val="7"/>
                <c:pt idx="0">
                  <c:v>5.7392631004356787</c:v>
                </c:pt>
                <c:pt idx="1">
                  <c:v>6.9169053799692888</c:v>
                </c:pt>
                <c:pt idx="2">
                  <c:v>5.9721987458001822</c:v>
                </c:pt>
                <c:pt idx="3">
                  <c:v>1.1460635716630296</c:v>
                </c:pt>
                <c:pt idx="4">
                  <c:v>1.505676863684632</c:v>
                </c:pt>
                <c:pt idx="5">
                  <c:v>2.2132942453939166</c:v>
                </c:pt>
                <c:pt idx="6">
                  <c:v>1.4201575865529128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3-4869-953B-31AD1E10CD3C}"/>
            </c:ext>
          </c:extLst>
        </c:ser>
        <c:ser>
          <c:idx val="1"/>
          <c:order val="1"/>
          <c:tx>
            <c:v>Upper Reach EPCo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'Abs summer 2022'!$AH$66:$AH$72</c:f>
              <c:numCache>
                <c:formatCode>m/d/yyyy</c:formatCode>
                <c:ptCount val="7"/>
                <c:pt idx="0">
                  <c:v>44393</c:v>
                </c:pt>
                <c:pt idx="1">
                  <c:v>44404</c:v>
                </c:pt>
                <c:pt idx="2">
                  <c:v>44633</c:v>
                </c:pt>
                <c:pt idx="3">
                  <c:v>44638</c:v>
                </c:pt>
                <c:pt idx="4">
                  <c:v>44652</c:v>
                </c:pt>
                <c:pt idx="5">
                  <c:v>44754</c:v>
                </c:pt>
                <c:pt idx="6">
                  <c:v>44777</c:v>
                </c:pt>
              </c:numCache>
            </c:numRef>
          </c:xVal>
          <c:yVal>
            <c:numRef>
              <c:f>'Abs summer 2022'!$AI$73:$AI$79</c:f>
              <c:numCache>
                <c:formatCode>0.0000</c:formatCode>
                <c:ptCount val="7"/>
                <c:pt idx="0">
                  <c:v>9.4689383349236902</c:v>
                </c:pt>
                <c:pt idx="1">
                  <c:v>6.6899675590988998</c:v>
                </c:pt>
                <c:pt idx="2">
                  <c:v>2.2901807219182326</c:v>
                </c:pt>
                <c:pt idx="3">
                  <c:v>3.7883516717964194</c:v>
                </c:pt>
                <c:pt idx="4">
                  <c:v>3.465808169249613</c:v>
                </c:pt>
                <c:pt idx="5">
                  <c:v>2.614060113257104</c:v>
                </c:pt>
                <c:pt idx="6">
                  <c:v>2.2474635685743891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E3-4869-953B-31AD1E10C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03336"/>
        <c:axId val="521801696"/>
      </c:scatterChart>
      <c:scatterChart>
        <c:scatterStyle val="smoothMarker"/>
        <c:varyColors val="0"/>
        <c:ser>
          <c:idx val="2"/>
          <c:order val="2"/>
          <c:tx>
            <c:v>Upper Reach SRP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'Abs summer 2022'!$AH$66:$AH$72</c:f>
              <c:numCache>
                <c:formatCode>m/d/yyyy</c:formatCode>
                <c:ptCount val="7"/>
                <c:pt idx="0">
                  <c:v>44393</c:v>
                </c:pt>
                <c:pt idx="1">
                  <c:v>44404</c:v>
                </c:pt>
                <c:pt idx="2">
                  <c:v>44633</c:v>
                </c:pt>
                <c:pt idx="3">
                  <c:v>44638</c:v>
                </c:pt>
                <c:pt idx="4">
                  <c:v>44652</c:v>
                </c:pt>
                <c:pt idx="5">
                  <c:v>44754</c:v>
                </c:pt>
                <c:pt idx="6">
                  <c:v>44777</c:v>
                </c:pt>
              </c:numCache>
            </c:numRef>
          </c:xVal>
          <c:yVal>
            <c:numRef>
              <c:f>'Abs summer 2022'!$AJ$73:$AJ$79</c:f>
              <c:numCache>
                <c:formatCode>General</c:formatCode>
                <c:ptCount val="7"/>
                <c:pt idx="0">
                  <c:v>2.1999999999999997</c:v>
                </c:pt>
                <c:pt idx="1">
                  <c:v>2.8000000000000003</c:v>
                </c:pt>
                <c:pt idx="2" formatCode="0.000">
                  <c:v>4.5183999999999997</c:v>
                </c:pt>
                <c:pt idx="3" formatCode="0.000">
                  <c:v>6.5766000000000009</c:v>
                </c:pt>
                <c:pt idx="4" formatCode="0.000">
                  <c:v>3.2732999999999999</c:v>
                </c:pt>
                <c:pt idx="5" formatCode="0.000">
                  <c:v>2.1769500000000002</c:v>
                </c:pt>
                <c:pt idx="6" formatCode="0.000">
                  <c:v>2.8633100000000002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E3-4869-953B-31AD1E10CD3C}"/>
            </c:ext>
          </c:extLst>
        </c:ser>
        <c:ser>
          <c:idx val="3"/>
          <c:order val="3"/>
          <c:tx>
            <c:v>Lower Reach SRP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'Abs summer 2022'!$AH$66:$AH$72</c:f>
              <c:numCache>
                <c:formatCode>m/d/yyyy</c:formatCode>
                <c:ptCount val="7"/>
                <c:pt idx="0">
                  <c:v>44393</c:v>
                </c:pt>
                <c:pt idx="1">
                  <c:v>44404</c:v>
                </c:pt>
                <c:pt idx="2">
                  <c:v>44633</c:v>
                </c:pt>
                <c:pt idx="3">
                  <c:v>44638</c:v>
                </c:pt>
                <c:pt idx="4">
                  <c:v>44652</c:v>
                </c:pt>
                <c:pt idx="5">
                  <c:v>44754</c:v>
                </c:pt>
                <c:pt idx="6">
                  <c:v>44777</c:v>
                </c:pt>
              </c:numCache>
            </c:numRef>
          </c:xVal>
          <c:yVal>
            <c:numRef>
              <c:f>'Abs summer 2022'!$AJ$66:$AJ$72</c:f>
              <c:numCache>
                <c:formatCode>General</c:formatCode>
                <c:ptCount val="7"/>
                <c:pt idx="0">
                  <c:v>2.5</c:v>
                </c:pt>
                <c:pt idx="1">
                  <c:v>2.8000000000000003</c:v>
                </c:pt>
                <c:pt idx="2" formatCode="0.000">
                  <c:v>4.0895000000000001</c:v>
                </c:pt>
                <c:pt idx="3" formatCode="0.000">
                  <c:v>4.3743999999999996</c:v>
                </c:pt>
                <c:pt idx="4" formatCode="0.000">
                  <c:v>4.1542000000000003</c:v>
                </c:pt>
                <c:pt idx="5" formatCode="0.000">
                  <c:v>1.66218</c:v>
                </c:pt>
                <c:pt idx="6" formatCode="0.000">
                  <c:v>2.8633099999999994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E3-4869-953B-31AD1E10C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556360"/>
        <c:axId val="838564560"/>
      </c:scatterChart>
      <c:valAx>
        <c:axId val="521803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 Date</a:t>
                </a:r>
              </a:p>
            </c:rich>
          </c:tx>
          <c:layout>
            <c:manualLayout>
              <c:xMode val="edge"/>
              <c:yMode val="edge"/>
              <c:x val="0.43962205315907921"/>
              <c:y val="0.91266973994727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01696"/>
        <c:crosses val="autoZero"/>
        <c:crossBetween val="midCat"/>
      </c:valAx>
      <c:valAx>
        <c:axId val="52180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EPC</a:t>
                </a:r>
                <a:r>
                  <a:rPr lang="en-US" sz="800"/>
                  <a:t>o</a:t>
                </a:r>
                <a:r>
                  <a:rPr lang="en-US"/>
                  <a:t>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03336"/>
        <c:crossesAt val="44350"/>
        <c:crossBetween val="midCat"/>
      </c:valAx>
      <c:valAx>
        <c:axId val="838564560"/>
        <c:scaling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 (</a:t>
                </a: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µg/L)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56360"/>
        <c:crosses val="max"/>
        <c:crossBetween val="midCat"/>
      </c:valAx>
      <c:valAx>
        <c:axId val="8385563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856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3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540244969378828E-2"/>
                  <c:y val="-9.30092592592592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2163470619850454"/>
                  <c:y val="-3.63310115081768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sed extraction summer 2022'!$A$10:$A$14</c:f>
              <c:numCache>
                <c:formatCode>General</c:formatCode>
                <c:ptCount val="5"/>
                <c:pt idx="0">
                  <c:v>9.9999999999999994E-12</c:v>
                </c:pt>
                <c:pt idx="1">
                  <c:v>0.10393036665434158</c:v>
                </c:pt>
                <c:pt idx="2">
                  <c:v>0.23587734378123373</c:v>
                </c:pt>
                <c:pt idx="3">
                  <c:v>0.50769741234224408</c:v>
                </c:pt>
                <c:pt idx="4">
                  <c:v>2.5124224222226657</c:v>
                </c:pt>
              </c:numCache>
            </c:numRef>
          </c:xVal>
          <c:yVal>
            <c:numRef>
              <c:f>'SRP sed extraction summer 2022'!$C$10:$C$14</c:f>
              <c:numCache>
                <c:formatCode>General</c:formatCode>
                <c:ptCount val="5"/>
                <c:pt idx="0">
                  <c:v>0.105</c:v>
                </c:pt>
                <c:pt idx="1">
                  <c:v>0.14799999999999999</c:v>
                </c:pt>
                <c:pt idx="2">
                  <c:v>0.23400000000000001</c:v>
                </c:pt>
                <c:pt idx="3">
                  <c:v>0.41599999999999998</c:v>
                </c:pt>
                <c:pt idx="4">
                  <c:v>1.226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6-442C-8C99-22400BEAD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86600"/>
        <c:axId val="578682664"/>
      </c:scatterChart>
      <c:valAx>
        <c:axId val="57868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82664"/>
        <c:crosses val="autoZero"/>
        <c:crossBetween val="midCat"/>
      </c:valAx>
      <c:valAx>
        <c:axId val="57868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86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 20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645669291338582E-3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6555839895013126"/>
                  <c:y val="-5.67592592592592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sed extraction summer 2022'!$A$28:$A$33</c:f>
              <c:numCache>
                <c:formatCode>General</c:formatCode>
                <c:ptCount val="6"/>
                <c:pt idx="0">
                  <c:v>0</c:v>
                </c:pt>
                <c:pt idx="1">
                  <c:v>9.926978501633027E-2</c:v>
                </c:pt>
                <c:pt idx="2">
                  <c:v>0.27559095129094335</c:v>
                </c:pt>
                <c:pt idx="3">
                  <c:v>0.45292422559803597</c:v>
                </c:pt>
                <c:pt idx="4">
                  <c:v>2.3919394465775667</c:v>
                </c:pt>
                <c:pt idx="5">
                  <c:v>5.2063038360072245</c:v>
                </c:pt>
              </c:numCache>
            </c:numRef>
          </c:xVal>
          <c:yVal>
            <c:numRef>
              <c:f>'SRP sed extraction summer 2022'!$B$28:$B$33</c:f>
              <c:numCache>
                <c:formatCode>General</c:formatCode>
                <c:ptCount val="6"/>
                <c:pt idx="0">
                  <c:v>9.5000000000000001E-2</c:v>
                </c:pt>
                <c:pt idx="1">
                  <c:v>0.14099999999999999</c:v>
                </c:pt>
                <c:pt idx="2">
                  <c:v>0.252</c:v>
                </c:pt>
                <c:pt idx="3">
                  <c:v>0.34799999999999998</c:v>
                </c:pt>
                <c:pt idx="4">
                  <c:v>1.1579999999999999</c:v>
                </c:pt>
                <c:pt idx="5">
                  <c:v>1.6559999999999999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2-45A5-BC84-EAD9650F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44312"/>
        <c:axId val="593744640"/>
      </c:scatterChart>
      <c:valAx>
        <c:axId val="593744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44640"/>
        <c:crosses val="autoZero"/>
        <c:crossBetween val="midCat"/>
      </c:valAx>
      <c:valAx>
        <c:axId val="593744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44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 20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645669291338582E-3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2389326334208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sed extraction summer 2022'!$B$28:$B$31</c:f>
              <c:numCache>
                <c:formatCode>General</c:formatCode>
                <c:ptCount val="4"/>
                <c:pt idx="0">
                  <c:v>9.5000000000000001E-2</c:v>
                </c:pt>
                <c:pt idx="1">
                  <c:v>0.14099999999999999</c:v>
                </c:pt>
                <c:pt idx="2">
                  <c:v>0.252</c:v>
                </c:pt>
                <c:pt idx="3">
                  <c:v>0.34799999999999998</c:v>
                </c:pt>
              </c:numCache>
            </c:numRef>
          </c:xVal>
          <c:yVal>
            <c:numRef>
              <c:f>'SRP sed extraction summer 2022'!$A$28:$A$31</c:f>
              <c:numCache>
                <c:formatCode>General</c:formatCode>
                <c:ptCount val="4"/>
                <c:pt idx="0">
                  <c:v>0</c:v>
                </c:pt>
                <c:pt idx="1">
                  <c:v>9.926978501633027E-2</c:v>
                </c:pt>
                <c:pt idx="2">
                  <c:v>0.27559095129094335</c:v>
                </c:pt>
                <c:pt idx="3">
                  <c:v>0.45292422559803597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25-480B-B120-B190742E1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44312"/>
        <c:axId val="593744640"/>
      </c:scatterChart>
      <c:valAx>
        <c:axId val="593744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44640"/>
        <c:crosses val="autoZero"/>
        <c:crossBetween val="midCat"/>
      </c:valAx>
      <c:valAx>
        <c:axId val="593744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44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nm- 30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170734908136482"/>
                  <c:y val="0.173491542723826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'Stds retry'!$A$19:$A$27</c:f>
              <c:numCache>
                <c:formatCode>General</c:formatCode>
                <c:ptCount val="9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</c:numCache>
            </c:numRef>
          </c:xVal>
          <c:yVal>
            <c:numRef>
              <c:f>'Stds retry'!$B$19:$B$27</c:f>
              <c:numCache>
                <c:formatCode>General</c:formatCode>
                <c:ptCount val="9"/>
                <c:pt idx="0">
                  <c:v>9.2999999999999999E-2</c:v>
                </c:pt>
                <c:pt idx="1">
                  <c:v>0.10100000000000001</c:v>
                </c:pt>
                <c:pt idx="2">
                  <c:v>0.108</c:v>
                </c:pt>
                <c:pt idx="3">
                  <c:v>0.13200000000000001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0.40600000000000003</c:v>
                </c:pt>
                <c:pt idx="7">
                  <c:v>0.52100000000000002</c:v>
                </c:pt>
                <c:pt idx="8">
                  <c:v>1.099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D-4DB5-86CB-38BE549A3A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653762029746279E-2"/>
                  <c:y val="0.41625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retry'!$A$27:$A$30</c:f>
              <c:numCache>
                <c:formatCode>General</c:formatCode>
                <c:ptCount val="4"/>
                <c:pt idx="0">
                  <c:v>2.479075065952514</c:v>
                </c:pt>
                <c:pt idx="1">
                  <c:v>4.9285124721232378</c:v>
                </c:pt>
                <c:pt idx="2">
                  <c:v>7.3007715159580311</c:v>
                </c:pt>
                <c:pt idx="3">
                  <c:v>9.7365197293043515</c:v>
                </c:pt>
              </c:numCache>
            </c:numRef>
          </c:xVal>
          <c:yVal>
            <c:numRef>
              <c:f>'Stds retry'!$B$27:$B$30</c:f>
              <c:numCache>
                <c:formatCode>General</c:formatCode>
                <c:ptCount val="4"/>
                <c:pt idx="0">
                  <c:v>1.099</c:v>
                </c:pt>
                <c:pt idx="1">
                  <c:v>1.5349999999999999</c:v>
                </c:pt>
                <c:pt idx="2">
                  <c:v>1.9319999999999999</c:v>
                </c:pt>
                <c:pt idx="3">
                  <c:v>2.282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4D-4DB5-86CB-38BE549A3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r>
                  <a:rPr lang="en-US" baseline="0"/>
                  <a:t> </a:t>
                </a: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nm- 40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'Stds retry'!$A$19:$A$30</c:f>
              <c:numCache>
                <c:formatCode>General</c:formatCode>
                <c:ptCount val="12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  <c:pt idx="9">
                  <c:v>4.9285124721232378</c:v>
                </c:pt>
                <c:pt idx="10">
                  <c:v>7.3007715159580311</c:v>
                </c:pt>
                <c:pt idx="11">
                  <c:v>9.7365197293043515</c:v>
                </c:pt>
              </c:numCache>
            </c:numRef>
          </c:xVal>
          <c:yVal>
            <c:numRef>
              <c:f>'Stds retry'!$C$19:$C$30</c:f>
              <c:numCache>
                <c:formatCode>General</c:formatCode>
                <c:ptCount val="12"/>
                <c:pt idx="0">
                  <c:v>9.2999999999999999E-2</c:v>
                </c:pt>
                <c:pt idx="1">
                  <c:v>0.1</c:v>
                </c:pt>
                <c:pt idx="2">
                  <c:v>0.109</c:v>
                </c:pt>
                <c:pt idx="3">
                  <c:v>0.13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0.40400000000000003</c:v>
                </c:pt>
                <c:pt idx="7">
                  <c:v>0.52</c:v>
                </c:pt>
                <c:pt idx="8">
                  <c:v>1.1020000000000001</c:v>
                </c:pt>
                <c:pt idx="9">
                  <c:v>1.577</c:v>
                </c:pt>
                <c:pt idx="10">
                  <c:v>2.02</c:v>
                </c:pt>
                <c:pt idx="11">
                  <c:v>2.431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E5-4C89-9A90-40F891E46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r>
                  <a:rPr lang="en-US" baseline="0"/>
                  <a:t> </a:t>
                </a: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nm- 30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'Stds retry'!$B$19:$B$27</c:f>
              <c:numCache>
                <c:formatCode>General</c:formatCode>
                <c:ptCount val="9"/>
                <c:pt idx="0">
                  <c:v>9.2999999999999999E-2</c:v>
                </c:pt>
                <c:pt idx="1">
                  <c:v>0.10100000000000001</c:v>
                </c:pt>
                <c:pt idx="2">
                  <c:v>0.108</c:v>
                </c:pt>
                <c:pt idx="3">
                  <c:v>0.13200000000000001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0.40600000000000003</c:v>
                </c:pt>
                <c:pt idx="7">
                  <c:v>0.52100000000000002</c:v>
                </c:pt>
                <c:pt idx="8">
                  <c:v>1.099</c:v>
                </c:pt>
              </c:numCache>
            </c:numRef>
          </c:xVal>
          <c:yVal>
            <c:numRef>
              <c:f>'Stds retry'!$A$19:$A$27</c:f>
              <c:numCache>
                <c:formatCode>General</c:formatCode>
                <c:ptCount val="9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DD-462D-9BC4-FF5E4183A56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28854582832318"/>
                  <c:y val="0.31001851512746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retry'!$B$27:$B$30</c:f>
              <c:numCache>
                <c:formatCode>General</c:formatCode>
                <c:ptCount val="4"/>
                <c:pt idx="0">
                  <c:v>1.099</c:v>
                </c:pt>
                <c:pt idx="1">
                  <c:v>1.5349999999999999</c:v>
                </c:pt>
                <c:pt idx="2">
                  <c:v>1.9319999999999999</c:v>
                </c:pt>
                <c:pt idx="3">
                  <c:v>2.282</c:v>
                </c:pt>
              </c:numCache>
            </c:numRef>
          </c:xVal>
          <c:yVal>
            <c:numRef>
              <c:f>'Stds retry'!$A$27:$A$30</c:f>
              <c:numCache>
                <c:formatCode>General</c:formatCode>
                <c:ptCount val="4"/>
                <c:pt idx="0">
                  <c:v>2.479075065952514</c:v>
                </c:pt>
                <c:pt idx="1">
                  <c:v>4.9285124721232378</c:v>
                </c:pt>
                <c:pt idx="2">
                  <c:v>7.3007715159580311</c:v>
                </c:pt>
                <c:pt idx="3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DD-462D-9BC4-FF5E4183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nm- 30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424511591223512"/>
                  <c:y val="0.126401757919794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retry'!$B$19:$B$30</c:f>
              <c:numCache>
                <c:formatCode>General</c:formatCode>
                <c:ptCount val="12"/>
                <c:pt idx="0">
                  <c:v>9.2999999999999999E-2</c:v>
                </c:pt>
                <c:pt idx="1">
                  <c:v>0.10100000000000001</c:v>
                </c:pt>
                <c:pt idx="2">
                  <c:v>0.108</c:v>
                </c:pt>
                <c:pt idx="3">
                  <c:v>0.13200000000000001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0.40600000000000003</c:v>
                </c:pt>
                <c:pt idx="7">
                  <c:v>0.52100000000000002</c:v>
                </c:pt>
                <c:pt idx="8">
                  <c:v>1.099</c:v>
                </c:pt>
                <c:pt idx="9">
                  <c:v>1.5349999999999999</c:v>
                </c:pt>
                <c:pt idx="10">
                  <c:v>1.9319999999999999</c:v>
                </c:pt>
                <c:pt idx="11">
                  <c:v>2.282</c:v>
                </c:pt>
              </c:numCache>
            </c:numRef>
          </c:xVal>
          <c:yVal>
            <c:numRef>
              <c:f>'Stds retry'!$A$19:$A$30</c:f>
              <c:numCache>
                <c:formatCode>General</c:formatCode>
                <c:ptCount val="12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  <c:pt idx="9">
                  <c:v>4.9285124721232378</c:v>
                </c:pt>
                <c:pt idx="10">
                  <c:v>7.3007715159580311</c:v>
                </c:pt>
                <c:pt idx="11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D6-4D01-9316-0F2EEB52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nm- 40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'Stds retry'!$C$19:$C$27</c:f>
              <c:numCache>
                <c:formatCode>General</c:formatCode>
                <c:ptCount val="9"/>
                <c:pt idx="0">
                  <c:v>9.2999999999999999E-2</c:v>
                </c:pt>
                <c:pt idx="1">
                  <c:v>0.1</c:v>
                </c:pt>
                <c:pt idx="2">
                  <c:v>0.109</c:v>
                </c:pt>
                <c:pt idx="3">
                  <c:v>0.13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0.40400000000000003</c:v>
                </c:pt>
                <c:pt idx="7">
                  <c:v>0.52</c:v>
                </c:pt>
                <c:pt idx="8">
                  <c:v>1.1020000000000001</c:v>
                </c:pt>
              </c:numCache>
            </c:numRef>
          </c:xVal>
          <c:yVal>
            <c:numRef>
              <c:f>'Stds retry'!$A$19:$A$27</c:f>
              <c:numCache>
                <c:formatCode>General</c:formatCode>
                <c:ptCount val="9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CA-49CD-AA80-CBC5FD199C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28854582832318"/>
                  <c:y val="0.31001851512746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retry'!$C$27:$C$30</c:f>
              <c:numCache>
                <c:formatCode>General</c:formatCode>
                <c:ptCount val="4"/>
                <c:pt idx="0">
                  <c:v>1.1020000000000001</c:v>
                </c:pt>
                <c:pt idx="1">
                  <c:v>1.577</c:v>
                </c:pt>
                <c:pt idx="2">
                  <c:v>2.02</c:v>
                </c:pt>
                <c:pt idx="3">
                  <c:v>2.431</c:v>
                </c:pt>
              </c:numCache>
            </c:numRef>
          </c:xVal>
          <c:yVal>
            <c:numRef>
              <c:f>'Stds retry'!$A$27:$A$30</c:f>
              <c:numCache>
                <c:formatCode>General</c:formatCode>
                <c:ptCount val="4"/>
                <c:pt idx="0">
                  <c:v>2.479075065952514</c:v>
                </c:pt>
                <c:pt idx="1">
                  <c:v>4.9285124721232378</c:v>
                </c:pt>
                <c:pt idx="2">
                  <c:v>7.3007715159580311</c:v>
                </c:pt>
                <c:pt idx="3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CA-49CD-AA80-CBC5FD19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nm- 40 mins</a:t>
            </a:r>
          </a:p>
        </c:rich>
      </c:tx>
      <c:layout>
        <c:manualLayout>
          <c:xMode val="edge"/>
          <c:yMode val="edge"/>
          <c:x val="0.33411323584551933"/>
          <c:y val="3.6175710594315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511759305948824"/>
                  <c:y val="0.10298968442898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retry'!$C$19:$C$30</c:f>
              <c:numCache>
                <c:formatCode>General</c:formatCode>
                <c:ptCount val="12"/>
                <c:pt idx="0">
                  <c:v>9.2999999999999999E-2</c:v>
                </c:pt>
                <c:pt idx="1">
                  <c:v>0.1</c:v>
                </c:pt>
                <c:pt idx="2">
                  <c:v>0.109</c:v>
                </c:pt>
                <c:pt idx="3">
                  <c:v>0.13</c:v>
                </c:pt>
                <c:pt idx="4">
                  <c:v>0.19400000000000001</c:v>
                </c:pt>
                <c:pt idx="5">
                  <c:v>0.29699999999999999</c:v>
                </c:pt>
                <c:pt idx="6">
                  <c:v>0.40400000000000003</c:v>
                </c:pt>
                <c:pt idx="7">
                  <c:v>0.52</c:v>
                </c:pt>
                <c:pt idx="8">
                  <c:v>1.1020000000000001</c:v>
                </c:pt>
                <c:pt idx="9">
                  <c:v>1.577</c:v>
                </c:pt>
                <c:pt idx="10">
                  <c:v>2.02</c:v>
                </c:pt>
                <c:pt idx="11">
                  <c:v>2.431</c:v>
                </c:pt>
              </c:numCache>
            </c:numRef>
          </c:xVal>
          <c:yVal>
            <c:numRef>
              <c:f>'Stds retry'!$A$19:$A$30</c:f>
              <c:numCache>
                <c:formatCode>General</c:formatCode>
                <c:ptCount val="12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  <c:pt idx="9">
                  <c:v>4.9285124721232378</c:v>
                </c:pt>
                <c:pt idx="10">
                  <c:v>7.3007715159580311</c:v>
                </c:pt>
                <c:pt idx="11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33-4650-AD51-26A28D48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nm- 50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'Stds retry'!$D$19:$D$27</c:f>
              <c:numCache>
                <c:formatCode>General</c:formatCode>
                <c:ptCount val="9"/>
                <c:pt idx="0">
                  <c:v>9.2999999999999999E-2</c:v>
                </c:pt>
                <c:pt idx="1">
                  <c:v>0.1</c:v>
                </c:pt>
                <c:pt idx="2">
                  <c:v>0.109</c:v>
                </c:pt>
                <c:pt idx="3">
                  <c:v>0.129</c:v>
                </c:pt>
                <c:pt idx="4">
                  <c:v>0.193</c:v>
                </c:pt>
                <c:pt idx="5">
                  <c:v>0.29799999999999999</c:v>
                </c:pt>
                <c:pt idx="6">
                  <c:v>0.40400000000000003</c:v>
                </c:pt>
                <c:pt idx="7">
                  <c:v>0.52</c:v>
                </c:pt>
                <c:pt idx="8">
                  <c:v>1.1060000000000001</c:v>
                </c:pt>
              </c:numCache>
            </c:numRef>
          </c:xVal>
          <c:yVal>
            <c:numRef>
              <c:f>'Stds retry'!$A$19:$A$27</c:f>
              <c:numCache>
                <c:formatCode>General</c:formatCode>
                <c:ptCount val="9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16-445C-936A-32261DE90C0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28854582832318"/>
                  <c:y val="0.31001851512746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retry'!$D$27:$D$30</c:f>
              <c:numCache>
                <c:formatCode>General</c:formatCode>
                <c:ptCount val="4"/>
                <c:pt idx="0">
                  <c:v>1.1060000000000001</c:v>
                </c:pt>
                <c:pt idx="1">
                  <c:v>1.617</c:v>
                </c:pt>
                <c:pt idx="2">
                  <c:v>2.1019999999999999</c:v>
                </c:pt>
                <c:pt idx="3">
                  <c:v>2.5750000000000002</c:v>
                </c:pt>
              </c:numCache>
            </c:numRef>
          </c:xVal>
          <c:yVal>
            <c:numRef>
              <c:f>'Stds retry'!$A$27:$A$30</c:f>
              <c:numCache>
                <c:formatCode>General</c:formatCode>
                <c:ptCount val="4"/>
                <c:pt idx="0">
                  <c:v>2.479075065952514</c:v>
                </c:pt>
                <c:pt idx="1">
                  <c:v>4.9285124721232378</c:v>
                </c:pt>
                <c:pt idx="2">
                  <c:v>7.3007715159580311</c:v>
                </c:pt>
                <c:pt idx="3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16-445C-936A-32261DE90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nm- 50 mins</a:t>
            </a:r>
          </a:p>
        </c:rich>
      </c:tx>
      <c:layout>
        <c:manualLayout>
          <c:xMode val="edge"/>
          <c:yMode val="edge"/>
          <c:x val="0.33411323584551933"/>
          <c:y val="3.6175710594315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511759305948824"/>
                  <c:y val="0.10298968442898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retry'!$D$19:$D$30</c:f>
              <c:numCache>
                <c:formatCode>General</c:formatCode>
                <c:ptCount val="12"/>
                <c:pt idx="0">
                  <c:v>9.2999999999999999E-2</c:v>
                </c:pt>
                <c:pt idx="1">
                  <c:v>0.1</c:v>
                </c:pt>
                <c:pt idx="2">
                  <c:v>0.109</c:v>
                </c:pt>
                <c:pt idx="3">
                  <c:v>0.129</c:v>
                </c:pt>
                <c:pt idx="4">
                  <c:v>0.193</c:v>
                </c:pt>
                <c:pt idx="5">
                  <c:v>0.29799999999999999</c:v>
                </c:pt>
                <c:pt idx="6">
                  <c:v>0.40400000000000003</c:v>
                </c:pt>
                <c:pt idx="7">
                  <c:v>0.52</c:v>
                </c:pt>
                <c:pt idx="8">
                  <c:v>1.1060000000000001</c:v>
                </c:pt>
                <c:pt idx="9">
                  <c:v>1.617</c:v>
                </c:pt>
                <c:pt idx="10">
                  <c:v>2.1019999999999999</c:v>
                </c:pt>
                <c:pt idx="11">
                  <c:v>2.5750000000000002</c:v>
                </c:pt>
              </c:numCache>
            </c:numRef>
          </c:xVal>
          <c:yVal>
            <c:numRef>
              <c:f>'Stds retry'!$A$19:$A$30</c:f>
              <c:numCache>
                <c:formatCode>General</c:formatCode>
                <c:ptCount val="12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  <c:pt idx="9">
                  <c:v>4.9285124721232378</c:v>
                </c:pt>
                <c:pt idx="10">
                  <c:v>7.3007715159580311</c:v>
                </c:pt>
                <c:pt idx="11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A8-4088-BC49-F985B22E4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nm- 60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'Stds retry'!$E$19:$E$27</c:f>
              <c:numCache>
                <c:formatCode>General</c:formatCode>
                <c:ptCount val="9"/>
                <c:pt idx="0">
                  <c:v>9.2999999999999999E-2</c:v>
                </c:pt>
                <c:pt idx="1">
                  <c:v>0.1</c:v>
                </c:pt>
                <c:pt idx="2">
                  <c:v>0.108</c:v>
                </c:pt>
                <c:pt idx="3">
                  <c:v>0.13</c:v>
                </c:pt>
                <c:pt idx="4">
                  <c:v>0.193</c:v>
                </c:pt>
                <c:pt idx="5">
                  <c:v>0.29699999999999999</c:v>
                </c:pt>
                <c:pt idx="6">
                  <c:v>0.40500000000000003</c:v>
                </c:pt>
                <c:pt idx="7">
                  <c:v>0.52</c:v>
                </c:pt>
                <c:pt idx="8">
                  <c:v>1.107</c:v>
                </c:pt>
              </c:numCache>
            </c:numRef>
          </c:xVal>
          <c:yVal>
            <c:numRef>
              <c:f>'Stds retry'!$A$19:$A$27</c:f>
              <c:numCache>
                <c:formatCode>General</c:formatCode>
                <c:ptCount val="9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02-4824-AB12-3F08D17DC43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28854582832318"/>
                  <c:y val="0.31001851512746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retry'!$E$27:$E$30</c:f>
              <c:numCache>
                <c:formatCode>General</c:formatCode>
                <c:ptCount val="4"/>
                <c:pt idx="0">
                  <c:v>1.107</c:v>
                </c:pt>
                <c:pt idx="1">
                  <c:v>1.639</c:v>
                </c:pt>
                <c:pt idx="2">
                  <c:v>2.153</c:v>
                </c:pt>
                <c:pt idx="3">
                  <c:v>2.66</c:v>
                </c:pt>
              </c:numCache>
            </c:numRef>
          </c:xVal>
          <c:yVal>
            <c:numRef>
              <c:f>'Stds retry'!$A$27:$A$30</c:f>
              <c:numCache>
                <c:formatCode>General</c:formatCode>
                <c:ptCount val="4"/>
                <c:pt idx="0">
                  <c:v>2.479075065952514</c:v>
                </c:pt>
                <c:pt idx="1">
                  <c:v>4.9285124721232378</c:v>
                </c:pt>
                <c:pt idx="2">
                  <c:v>7.3007715159580311</c:v>
                </c:pt>
                <c:pt idx="3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02-4824-AB12-3F08D17D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nm- 60 mins</a:t>
            </a:r>
          </a:p>
        </c:rich>
      </c:tx>
      <c:layout>
        <c:manualLayout>
          <c:xMode val="edge"/>
          <c:yMode val="edge"/>
          <c:x val="0.33411323584551933"/>
          <c:y val="3.6175710594315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84316615595464E-2"/>
                  <c:y val="-0.1310504791552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511759305948824"/>
                  <c:y val="0.10298968442898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retry'!$E$19:$E$30</c:f>
              <c:numCache>
                <c:formatCode>General</c:formatCode>
                <c:ptCount val="12"/>
                <c:pt idx="0">
                  <c:v>9.2999999999999999E-2</c:v>
                </c:pt>
                <c:pt idx="1">
                  <c:v>0.1</c:v>
                </c:pt>
                <c:pt idx="2">
                  <c:v>0.108</c:v>
                </c:pt>
                <c:pt idx="3">
                  <c:v>0.13</c:v>
                </c:pt>
                <c:pt idx="4">
                  <c:v>0.193</c:v>
                </c:pt>
                <c:pt idx="5">
                  <c:v>0.29699999999999999</c:v>
                </c:pt>
                <c:pt idx="6">
                  <c:v>0.40500000000000003</c:v>
                </c:pt>
                <c:pt idx="7">
                  <c:v>0.52</c:v>
                </c:pt>
                <c:pt idx="8">
                  <c:v>1.107</c:v>
                </c:pt>
                <c:pt idx="9">
                  <c:v>1.639</c:v>
                </c:pt>
                <c:pt idx="10">
                  <c:v>2.153</c:v>
                </c:pt>
                <c:pt idx="11">
                  <c:v>2.66</c:v>
                </c:pt>
              </c:numCache>
            </c:numRef>
          </c:xVal>
          <c:yVal>
            <c:numRef>
              <c:f>'Stds retry'!$A$19:$A$30</c:f>
              <c:numCache>
                <c:formatCode>General</c:formatCode>
                <c:ptCount val="12"/>
                <c:pt idx="0">
                  <c:v>0</c:v>
                </c:pt>
                <c:pt idx="1">
                  <c:v>1.3594534996931234E-2</c:v>
                </c:pt>
                <c:pt idx="2">
                  <c:v>4.6830871198114778E-2</c:v>
                </c:pt>
                <c:pt idx="3">
                  <c:v>9.024291221314211E-2</c:v>
                </c:pt>
                <c:pt idx="4">
                  <c:v>0.25167607215568205</c:v>
                </c:pt>
                <c:pt idx="5">
                  <c:v>0.50021250661577199</c:v>
                </c:pt>
                <c:pt idx="6">
                  <c:v>0.74653748708834466</c:v>
                </c:pt>
                <c:pt idx="7">
                  <c:v>0.9938478467463614</c:v>
                </c:pt>
                <c:pt idx="8">
                  <c:v>2.479075065952514</c:v>
                </c:pt>
                <c:pt idx="9">
                  <c:v>4.9285124721232378</c:v>
                </c:pt>
                <c:pt idx="10">
                  <c:v>7.3007715159580311</c:v>
                </c:pt>
                <c:pt idx="11">
                  <c:v>9.7365197293043515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87-4E27-9B6E-8F1A54BE8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01880"/>
        <c:axId val="577893976"/>
      </c:scatterChart>
      <c:valAx>
        <c:axId val="578601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3976"/>
        <c:crosses val="autoZero"/>
        <c:crossBetween val="midCat"/>
      </c:valAx>
      <c:valAx>
        <c:axId val="57789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0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10" Type="http://schemas.openxmlformats.org/officeDocument/2006/relationships/chart" Target="../charts/chart52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451536</xdr:colOff>
      <xdr:row>61</xdr:row>
      <xdr:rowOff>182593</xdr:rowOff>
    </xdr:from>
    <xdr:to>
      <xdr:col>7</xdr:col>
      <xdr:colOff>1154207</xdr:colOff>
      <xdr:row>74</xdr:row>
      <xdr:rowOff>120680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03CCB-FC15-4F8E-8CEA-4EA286417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1262344</xdr:colOff>
      <xdr:row>62</xdr:row>
      <xdr:rowOff>2801</xdr:rowOff>
    </xdr:from>
    <xdr:to>
      <xdr:col>10</xdr:col>
      <xdr:colOff>995643</xdr:colOff>
      <xdr:row>74</xdr:row>
      <xdr:rowOff>150438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DA2D8-0D8E-4A5E-806A-02A24207F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1000125</xdr:colOff>
      <xdr:row>61</xdr:row>
      <xdr:rowOff>180975</xdr:rowOff>
    </xdr:from>
    <xdr:to>
      <xdr:col>14</xdr:col>
      <xdr:colOff>1143000</xdr:colOff>
      <xdr:row>76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41B759-32C9-48E0-9153-6CB01D8D2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62</xdr:row>
      <xdr:rowOff>19050</xdr:rowOff>
    </xdr:from>
    <xdr:to>
      <xdr:col>22</xdr:col>
      <xdr:colOff>190500</xdr:colOff>
      <xdr:row>76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5374AE-9C40-49BA-A03F-0585EC548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923925</xdr:colOff>
      <xdr:row>77</xdr:row>
      <xdr:rowOff>38100</xdr:rowOff>
    </xdr:from>
    <xdr:to>
      <xdr:col>14</xdr:col>
      <xdr:colOff>1066800</xdr:colOff>
      <xdr:row>91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9D3811-5A17-4D90-B20C-74CE6F953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1200150</xdr:colOff>
      <xdr:row>77</xdr:row>
      <xdr:rowOff>0</xdr:rowOff>
    </xdr:from>
    <xdr:to>
      <xdr:col>22</xdr:col>
      <xdr:colOff>85725</xdr:colOff>
      <xdr:row>91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24CEFE-FBA6-4A2A-8627-00335751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295274</xdr:colOff>
      <xdr:row>1</xdr:row>
      <xdr:rowOff>47625</xdr:rowOff>
    </xdr:from>
    <xdr:to>
      <xdr:col>29</xdr:col>
      <xdr:colOff>342899</xdr:colOff>
      <xdr:row>19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99B40F-F13D-4CB9-B3CE-DBC8ECD4A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447675</xdr:colOff>
      <xdr:row>1</xdr:row>
      <xdr:rowOff>38099</xdr:rowOff>
    </xdr:from>
    <xdr:to>
      <xdr:col>37</xdr:col>
      <xdr:colOff>342900</xdr:colOff>
      <xdr:row>19</xdr:row>
      <xdr:rowOff>28574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EC12B7-E0B7-4484-95D9-7A83C7056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304800</xdr:colOff>
      <xdr:row>20</xdr:row>
      <xdr:rowOff>57150</xdr:rowOff>
    </xdr:from>
    <xdr:to>
      <xdr:col>29</xdr:col>
      <xdr:colOff>495300</xdr:colOff>
      <xdr:row>40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1B79CF-FB4A-485C-9FD1-72B0E5879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600075</xdr:colOff>
      <xdr:row>19</xdr:row>
      <xdr:rowOff>180975</xdr:rowOff>
    </xdr:from>
    <xdr:to>
      <xdr:col>38</xdr:col>
      <xdr:colOff>201083</xdr:colOff>
      <xdr:row>40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9C22AD-2207-43C3-94D6-242CB0001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100541</xdr:colOff>
      <xdr:row>76</xdr:row>
      <xdr:rowOff>83608</xdr:rowOff>
    </xdr:from>
    <xdr:to>
      <xdr:col>8</xdr:col>
      <xdr:colOff>1169457</xdr:colOff>
      <xdr:row>90</xdr:row>
      <xdr:rowOff>159808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6DF47-AC21-4CCC-9EF0-EDDAB7950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1121834</xdr:colOff>
      <xdr:row>76</xdr:row>
      <xdr:rowOff>105833</xdr:rowOff>
    </xdr:from>
    <xdr:to>
      <xdr:col>11</xdr:col>
      <xdr:colOff>1248833</xdr:colOff>
      <xdr:row>90</xdr:row>
      <xdr:rowOff>182033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A50E35-660E-4CA1-9985-70D62818B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119062</xdr:rowOff>
    </xdr:from>
    <xdr:to>
      <xdr:col>12</xdr:col>
      <xdr:colOff>447675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90BCC-44D3-44D6-AFAD-787F6578C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100012</xdr:colOff>
      <xdr:row>107</xdr:row>
      <xdr:rowOff>157162</xdr:rowOff>
    </xdr:from>
    <xdr:to>
      <xdr:col>14</xdr:col>
      <xdr:colOff>638175</xdr:colOff>
      <xdr:row>122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A9085-96B7-46CD-9445-B9BF1E34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762000</xdr:colOff>
      <xdr:row>108</xdr:row>
      <xdr:rowOff>0</xdr:rowOff>
    </xdr:from>
    <xdr:to>
      <xdr:col>20</xdr:col>
      <xdr:colOff>580159</xdr:colOff>
      <xdr:row>122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9F513-AB4F-4E5B-8577-A3746BBB1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609600</xdr:colOff>
      <xdr:row>75</xdr:row>
      <xdr:rowOff>157162</xdr:rowOff>
    </xdr:from>
    <xdr:to>
      <xdr:col>6</xdr:col>
      <xdr:colOff>0</xdr:colOff>
      <xdr:row>90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9BD7BD-105D-32E6-D4B1-79F168B96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75</xdr:row>
      <xdr:rowOff>180975</xdr:rowOff>
    </xdr:from>
    <xdr:to>
      <xdr:col>11</xdr:col>
      <xdr:colOff>961159</xdr:colOff>
      <xdr:row>90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0F1762-96FE-435D-A98E-C7560258A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485775</xdr:colOff>
      <xdr:row>76</xdr:row>
      <xdr:rowOff>0</xdr:rowOff>
    </xdr:from>
    <xdr:to>
      <xdr:col>16</xdr:col>
      <xdr:colOff>710045</xdr:colOff>
      <xdr:row>90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51A9D1-7157-40C1-9532-C65F57AD9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638175</xdr:colOff>
      <xdr:row>91</xdr:row>
      <xdr:rowOff>57150</xdr:rowOff>
    </xdr:from>
    <xdr:to>
      <xdr:col>6</xdr:col>
      <xdr:colOff>0</xdr:colOff>
      <xdr:row>105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A8FCF2-348B-450F-A2A5-9747AE43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133350</xdr:colOff>
      <xdr:row>91</xdr:row>
      <xdr:rowOff>76200</xdr:rowOff>
    </xdr:from>
    <xdr:to>
      <xdr:col>12</xdr:col>
      <xdr:colOff>238125</xdr:colOff>
      <xdr:row>105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E72AB1-324D-4270-93A0-8F2D11BA2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476250</xdr:colOff>
      <xdr:row>91</xdr:row>
      <xdr:rowOff>57150</xdr:rowOff>
    </xdr:from>
    <xdr:to>
      <xdr:col>16</xdr:col>
      <xdr:colOff>770659</xdr:colOff>
      <xdr:row>105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6D5CBB-3E9A-4FC5-9CBF-C6172A7CA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203489</xdr:colOff>
      <xdr:row>2</xdr:row>
      <xdr:rowOff>155862</xdr:rowOff>
    </xdr:from>
    <xdr:to>
      <xdr:col>31</xdr:col>
      <xdr:colOff>129886</xdr:colOff>
      <xdr:row>15</xdr:row>
      <xdr:rowOff>176643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1A31A1-A847-62E2-6B9C-65064C12B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3</xdr:row>
      <xdr:rowOff>0</xdr:rowOff>
    </xdr:from>
    <xdr:to>
      <xdr:col>37</xdr:col>
      <xdr:colOff>142875</xdr:colOff>
      <xdr:row>16</xdr:row>
      <xdr:rowOff>20781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C8A23A8-83DC-4BB8-ABDE-41375CDEE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259773</xdr:colOff>
      <xdr:row>2</xdr:row>
      <xdr:rowOff>147204</xdr:rowOff>
    </xdr:from>
    <xdr:to>
      <xdr:col>42</xdr:col>
      <xdr:colOff>402648</xdr:colOff>
      <xdr:row>15</xdr:row>
      <xdr:rowOff>167985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1EDAE6-8EA9-4B77-9F9E-A2C609E16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190500</xdr:colOff>
      <xdr:row>16</xdr:row>
      <xdr:rowOff>95250</xdr:rowOff>
    </xdr:from>
    <xdr:to>
      <xdr:col>31</xdr:col>
      <xdr:colOff>116897</xdr:colOff>
      <xdr:row>29</xdr:row>
      <xdr:rowOff>116031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821C25-099D-4C68-B0EC-32A6D738D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497416</xdr:colOff>
      <xdr:row>17</xdr:row>
      <xdr:rowOff>0</xdr:rowOff>
    </xdr:from>
    <xdr:to>
      <xdr:col>37</xdr:col>
      <xdr:colOff>142875</xdr:colOff>
      <xdr:row>30</xdr:row>
      <xdr:rowOff>20781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F5196E2-905A-466A-9139-945F251AD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259773</xdr:colOff>
      <xdr:row>16</xdr:row>
      <xdr:rowOff>181841</xdr:rowOff>
    </xdr:from>
    <xdr:to>
      <xdr:col>42</xdr:col>
      <xdr:colOff>402648</xdr:colOff>
      <xdr:row>30</xdr:row>
      <xdr:rowOff>12122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B4FA96-9412-4D2E-87C9-132B0B36C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264584</xdr:colOff>
      <xdr:row>123</xdr:row>
      <xdr:rowOff>35983</xdr:rowOff>
    </xdr:from>
    <xdr:to>
      <xdr:col>9</xdr:col>
      <xdr:colOff>349250</xdr:colOff>
      <xdr:row>137</xdr:row>
      <xdr:rowOff>112183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3180F-2AD5-3A17-2D77-5F1B4635A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321693</xdr:colOff>
      <xdr:row>63</xdr:row>
      <xdr:rowOff>39807</xdr:rowOff>
    </xdr:from>
    <xdr:to>
      <xdr:col>10</xdr:col>
      <xdr:colOff>80333</xdr:colOff>
      <xdr:row>76</xdr:row>
      <xdr:rowOff>123196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2DEC7-87AD-442D-803D-417456E67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107830</xdr:colOff>
      <xdr:row>63</xdr:row>
      <xdr:rowOff>62902</xdr:rowOff>
    </xdr:from>
    <xdr:to>
      <xdr:col>17</xdr:col>
      <xdr:colOff>179716</xdr:colOff>
      <xdr:row>78</xdr:row>
      <xdr:rowOff>116816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3659E-05F4-4489-A1C1-F4719AADE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171628</xdr:colOff>
      <xdr:row>42</xdr:row>
      <xdr:rowOff>138022</xdr:rowOff>
    </xdr:from>
    <xdr:to>
      <xdr:col>17</xdr:col>
      <xdr:colOff>17072</xdr:colOff>
      <xdr:row>57</xdr:row>
      <xdr:rowOff>59665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0B420C-7EBC-B426-E13F-062701BE7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50721</xdr:colOff>
      <xdr:row>42</xdr:row>
      <xdr:rowOff>133190</xdr:rowOff>
    </xdr:from>
    <xdr:to>
      <xdr:col>24</xdr:col>
      <xdr:colOff>183711</xdr:colOff>
      <xdr:row>57</xdr:row>
      <xdr:rowOff>54833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8656A8-4751-406D-AF8E-061FBB9A7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224645</xdr:colOff>
      <xdr:row>42</xdr:row>
      <xdr:rowOff>143773</xdr:rowOff>
    </xdr:from>
    <xdr:to>
      <xdr:col>31</xdr:col>
      <xdr:colOff>519381</xdr:colOff>
      <xdr:row>57</xdr:row>
      <xdr:rowOff>65416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C1D5D2-BF74-42B3-BB18-14A4AF9DD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548136</xdr:colOff>
      <xdr:row>42</xdr:row>
      <xdr:rowOff>152761</xdr:rowOff>
    </xdr:from>
    <xdr:to>
      <xdr:col>39</xdr:col>
      <xdr:colOff>231834</xdr:colOff>
      <xdr:row>57</xdr:row>
      <xdr:rowOff>74404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11B007-90AD-4D76-A7D8-33FBFC27C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441205</xdr:colOff>
      <xdr:row>4</xdr:row>
      <xdr:rowOff>3234</xdr:rowOff>
    </xdr:from>
    <xdr:to>
      <xdr:col>30</xdr:col>
      <xdr:colOff>124903</xdr:colOff>
      <xdr:row>18</xdr:row>
      <xdr:rowOff>104595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C29403-EB48-4146-261B-0B869B40A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10583</xdr:colOff>
      <xdr:row>3</xdr:row>
      <xdr:rowOff>95250</xdr:rowOff>
    </xdr:from>
    <xdr:to>
      <xdr:col>38</xdr:col>
      <xdr:colOff>305319</xdr:colOff>
      <xdr:row>18</xdr:row>
      <xdr:rowOff>6111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F6E5AC-C12C-4500-9317-957DB7937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20</xdr:row>
      <xdr:rowOff>0</xdr:rowOff>
    </xdr:from>
    <xdr:to>
      <xdr:col>30</xdr:col>
      <xdr:colOff>294736</xdr:colOff>
      <xdr:row>34</xdr:row>
      <xdr:rowOff>101360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DB6270-9794-4CA3-B254-E1250B4BF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20</xdr:row>
      <xdr:rowOff>0</xdr:rowOff>
    </xdr:from>
    <xdr:to>
      <xdr:col>38</xdr:col>
      <xdr:colOff>294736</xdr:colOff>
      <xdr:row>34</xdr:row>
      <xdr:rowOff>101360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AF3D95-1600-42E7-A8C7-C4D944AF2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486833</xdr:colOff>
      <xdr:row>64</xdr:row>
      <xdr:rowOff>99482</xdr:rowOff>
    </xdr:from>
    <xdr:to>
      <xdr:col>47</xdr:col>
      <xdr:colOff>539750</xdr:colOff>
      <xdr:row>81</xdr:row>
      <xdr:rowOff>179916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87F297C-6A30-B8A4-3746-7261D870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423862</xdr:colOff>
      <xdr:row>7</xdr:row>
      <xdr:rowOff>100012</xdr:rowOff>
    </xdr:from>
    <xdr:to>
      <xdr:col>10</xdr:col>
      <xdr:colOff>538162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26D39-75F1-4FB7-8FD2-CFDAF9661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21</xdr:row>
      <xdr:rowOff>61912</xdr:rowOff>
    </xdr:from>
    <xdr:to>
      <xdr:col>19</xdr:col>
      <xdr:colOff>66675</xdr:colOff>
      <xdr:row>35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A1B4B-1127-49EB-BEB5-E12A45BE9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238125</xdr:colOff>
      <xdr:row>20</xdr:row>
      <xdr:rowOff>171450</xdr:rowOff>
    </xdr:from>
    <xdr:to>
      <xdr:col>25</xdr:col>
      <xdr:colOff>542925</xdr:colOff>
      <xdr:row>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57DB06-A062-4FB1-979D-C8B9A5FD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33</xdr:row>
      <xdr:rowOff>133350</xdr:rowOff>
    </xdr:from>
    <xdr:to>
      <xdr:col>7</xdr:col>
      <xdr:colOff>514350</xdr:colOff>
      <xdr:row>46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F03EB-EAB4-3DA5-3746-7A5D72D80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676275</xdr:colOff>
      <xdr:row>48</xdr:row>
      <xdr:rowOff>161925</xdr:rowOff>
    </xdr:from>
    <xdr:to>
      <xdr:col>7</xdr:col>
      <xdr:colOff>895350</xdr:colOff>
      <xdr:row>61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198D0-255A-4084-AC6A-75ED255F0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33</xdr:row>
      <xdr:rowOff>123825</xdr:rowOff>
    </xdr:from>
    <xdr:to>
      <xdr:col>11</xdr:col>
      <xdr:colOff>238125</xdr:colOff>
      <xdr:row>46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95918-F4F5-4B31-987E-90CB49096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161925</xdr:colOff>
      <xdr:row>33</xdr:row>
      <xdr:rowOff>142875</xdr:rowOff>
    </xdr:from>
    <xdr:to>
      <xdr:col>17</xdr:col>
      <xdr:colOff>371475</xdr:colOff>
      <xdr:row>46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3CFF8A-A858-412C-9368-E8428A2FE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314325</xdr:colOff>
      <xdr:row>48</xdr:row>
      <xdr:rowOff>152400</xdr:rowOff>
    </xdr:from>
    <xdr:to>
      <xdr:col>12</xdr:col>
      <xdr:colOff>485775</xdr:colOff>
      <xdr:row>61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31AAC-1503-4206-89E1-9EFFCD0B0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133350</xdr:colOff>
      <xdr:row>48</xdr:row>
      <xdr:rowOff>114300</xdr:rowOff>
    </xdr:from>
    <xdr:to>
      <xdr:col>18</xdr:col>
      <xdr:colOff>342900</xdr:colOff>
      <xdr:row>61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4D47CD-4FDA-403A-8F41-185CA6D61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657225</xdr:colOff>
      <xdr:row>64</xdr:row>
      <xdr:rowOff>152400</xdr:rowOff>
    </xdr:from>
    <xdr:to>
      <xdr:col>7</xdr:col>
      <xdr:colOff>876300</xdr:colOff>
      <xdr:row>77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A638B3-D61D-47F8-87BC-FA42316E6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1028700</xdr:colOff>
      <xdr:row>64</xdr:row>
      <xdr:rowOff>114300</xdr:rowOff>
    </xdr:from>
    <xdr:to>
      <xdr:col>13</xdr:col>
      <xdr:colOff>590550</xdr:colOff>
      <xdr:row>77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30BF69-A49F-4360-AF42-B4A2CF5AC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533400</xdr:colOff>
      <xdr:row>81</xdr:row>
      <xdr:rowOff>19050</xdr:rowOff>
    </xdr:from>
    <xdr:to>
      <xdr:col>7</xdr:col>
      <xdr:colOff>752475</xdr:colOff>
      <xdr:row>94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6C6DA7-B5EA-46E6-B78A-4E7EED76B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590550</xdr:colOff>
      <xdr:row>81</xdr:row>
      <xdr:rowOff>38100</xdr:rowOff>
    </xdr:from>
    <xdr:to>
      <xdr:col>13</xdr:col>
      <xdr:colOff>152400</xdr:colOff>
      <xdr:row>94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ECB2867-C8C1-4DA6-8D68-2DC12B02B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B9D7C-DF81-4518-B79D-5B037BECBDCB}" name="Table1" displayName="Table1" ref="U46:W50" totalsRowShown="0">
  <autoFilter ref="U46:W50" xr:uid="{0C0B9D7C-DF81-4518-B79D-5B037BECBDCB}"/>
  <tableColumns count="3">
    <tableColumn id="1" xr3:uid="{0C3C5151-DF51-4A37-8FBF-D53FA43A6591}" name="Sample"/>
    <tableColumn id="2" xr3:uid="{AD322423-2966-4376-A4F7-598859AAD803}" name="EPCo (mg/L)" dataDxfId="5"/>
    <tableColumn id="3" xr3:uid="{E1F1D4D2-78BB-481A-BCFE-32E411460E74}" name="Ambient SRP (mg/L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2A11F-701D-4DA2-BDFD-1601E04AA5BF}" name="Table2" displayName="Table2" ref="AA65:AD79" headerRowDxfId="4" headerRowBorderDxfId="3" tableBorderDxfId="2">
  <autoFilter ref="AA65:AD79" xr:uid="{6EA2A11F-701D-4DA2-BDFD-1601E04AA5BF}">
    <filterColumn colId="0" hiddenButton="1"/>
    <filterColumn colId="1" hiddenButton="1"/>
    <filterColumn colId="2" hiddenButton="1"/>
    <filterColumn colId="3" hiddenButton="1"/>
  </autoFilter>
  <tableColumns count="4">
    <tableColumn id="1" xr3:uid="{AB02E9E0-2A30-42AD-8E63-DD4BC4CF1225}" name="Sample ID" totalsRowLabel="Total"/>
    <tableColumn id="2" xr3:uid="{7D0E8F7B-E541-4D60-9841-D95A4EE5DDA9}" name="EPCo (µg·L¯¹)" dataDxfId="1"/>
    <tableColumn id="3" xr3:uid="{02F4172A-8856-4D2C-988B-7278AEC83942}" name="Ambient SRP (µg·L¯¹)" dataDxfId="0"/>
    <tableColumn id="4" xr3:uid="{1DE0334C-8FFA-46F8-8ADB-92389A9D9CFF}" name="Source or Sink?" totalsRowFunction="count">
      <calculatedColumnFormula>IF(AB66&gt;=AC66,"Source","Sink")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8B8B-20E6-47E8-939A-A15FB28E006F}">
  <dimension ref="A1:M88"/>
  <sheetViews>
    <sheetView topLeftCell="A49" zoomScale="120" zoomScaleNormal="120" workbookViewId="0">
      <selection activeCell="H16" sqref="H16:H25"/>
    </sheetView>
  </sheetViews>
  <sheetFormatPr defaultRowHeight="15" x14ac:dyDescent="0.25"/>
  <cols>
    <col min="1" max="1" width="11.140625" customWidth="1"/>
    <col min="2" max="2" width="17.28515625" customWidth="1"/>
    <col min="3" max="3" width="17.7109375" customWidth="1"/>
    <col min="4" max="4" width="15.28515625" customWidth="1"/>
    <col min="5" max="5" width="15" customWidth="1"/>
    <col min="6" max="6" width="27.140625" customWidth="1"/>
    <col min="7" max="7" width="15.5703125" customWidth="1"/>
    <col min="8" max="8" width="12.42578125" customWidth="1"/>
    <col min="12" max="12" width="12.7109375" customWidth="1"/>
  </cols>
  <sheetData>
    <row r="1" spans="1:12" x14ac:dyDescent="0.25">
      <c r="A1" s="81" t="s">
        <v>12</v>
      </c>
      <c r="B1" s="82" t="s">
        <v>4</v>
      </c>
      <c r="C1" s="82" t="s">
        <v>6</v>
      </c>
      <c r="D1" s="82" t="s">
        <v>3</v>
      </c>
      <c r="E1" s="82" t="s">
        <v>2</v>
      </c>
      <c r="F1" s="82"/>
      <c r="G1" s="81" t="s">
        <v>5</v>
      </c>
      <c r="H1" s="81"/>
      <c r="L1" s="12" t="s">
        <v>28</v>
      </c>
    </row>
    <row r="2" spans="1:12" x14ac:dyDescent="0.25">
      <c r="A2" s="81"/>
      <c r="B2" s="82"/>
      <c r="C2" s="82"/>
      <c r="D2" s="82"/>
      <c r="E2" s="3" t="s">
        <v>1</v>
      </c>
      <c r="F2" s="3" t="s">
        <v>0</v>
      </c>
      <c r="G2" s="81" t="s">
        <v>0</v>
      </c>
      <c r="H2" s="81"/>
      <c r="L2" s="10" t="s">
        <v>26</v>
      </c>
    </row>
    <row r="3" spans="1:12" x14ac:dyDescent="0.25">
      <c r="A3" s="3">
        <v>1</v>
      </c>
      <c r="B3" s="3">
        <v>0</v>
      </c>
      <c r="C3" s="3">
        <v>0</v>
      </c>
      <c r="D3" s="3">
        <v>100</v>
      </c>
      <c r="E3" s="3">
        <v>0</v>
      </c>
      <c r="F3" s="1">
        <v>0</v>
      </c>
      <c r="G3" s="3">
        <f>B3*(100/1000)</f>
        <v>0</v>
      </c>
      <c r="H3" s="1">
        <f>G3/(B3+D3)*1000</f>
        <v>0</v>
      </c>
      <c r="L3" s="11" t="s">
        <v>27</v>
      </c>
    </row>
    <row r="4" spans="1:12" x14ac:dyDescent="0.25">
      <c r="A4" s="3">
        <v>2</v>
      </c>
      <c r="B4" s="3">
        <v>0.01</v>
      </c>
      <c r="C4" s="3">
        <v>10</v>
      </c>
      <c r="D4" s="3">
        <v>99.99</v>
      </c>
      <c r="E4" s="3">
        <v>10</v>
      </c>
      <c r="F4" s="1">
        <v>0.01</v>
      </c>
      <c r="G4" s="3">
        <f>B4/10</f>
        <v>1E-3</v>
      </c>
      <c r="H4" s="1">
        <f t="shared" ref="H4:H12" si="0">G4/(B4+D4)*1000</f>
        <v>0.01</v>
      </c>
    </row>
    <row r="5" spans="1:12" x14ac:dyDescent="0.25">
      <c r="A5" s="3">
        <v>8</v>
      </c>
      <c r="B5" s="3">
        <v>3.252E-2</v>
      </c>
      <c r="C5" s="3">
        <v>32.520000000000003</v>
      </c>
      <c r="D5" s="3">
        <v>65</v>
      </c>
      <c r="E5" s="3">
        <v>50</v>
      </c>
      <c r="F5" s="1">
        <v>0.05</v>
      </c>
      <c r="G5" s="3">
        <f>B5/10</f>
        <v>3.2520000000000001E-3</v>
      </c>
      <c r="H5" s="1">
        <f t="shared" si="0"/>
        <v>5.0005750968899865E-2</v>
      </c>
    </row>
    <row r="6" spans="1:12" x14ac:dyDescent="0.25">
      <c r="A6" s="3">
        <v>9</v>
      </c>
      <c r="B6" s="3">
        <v>6.5070000000000003E-2</v>
      </c>
      <c r="C6" s="3">
        <v>65.069999999999993</v>
      </c>
      <c r="D6" s="3">
        <v>65</v>
      </c>
      <c r="E6" s="3">
        <v>100</v>
      </c>
      <c r="F6" s="1">
        <v>0.1</v>
      </c>
      <c r="G6" s="3">
        <f>B6/10</f>
        <v>6.5070000000000006E-3</v>
      </c>
      <c r="H6" s="1">
        <f t="shared" si="0"/>
        <v>0.10000757703019454</v>
      </c>
    </row>
    <row r="7" spans="1:12" x14ac:dyDescent="0.25">
      <c r="A7" s="3">
        <v>3</v>
      </c>
      <c r="B7" s="3">
        <v>0.25</v>
      </c>
      <c r="C7" s="3">
        <v>250</v>
      </c>
      <c r="D7" s="3">
        <v>99.75</v>
      </c>
      <c r="E7" s="3">
        <v>250</v>
      </c>
      <c r="F7" s="1">
        <v>0.25</v>
      </c>
      <c r="G7" s="3">
        <f t="shared" ref="G7:G12" si="1">B7*(100/1000)</f>
        <v>2.5000000000000001E-2</v>
      </c>
      <c r="H7" s="1">
        <f t="shared" si="0"/>
        <v>0.25</v>
      </c>
      <c r="I7" t="s">
        <v>29</v>
      </c>
    </row>
    <row r="8" spans="1:12" x14ac:dyDescent="0.25">
      <c r="A8" s="3">
        <v>4</v>
      </c>
      <c r="B8" s="3">
        <v>0.5</v>
      </c>
      <c r="C8" s="3">
        <v>500</v>
      </c>
      <c r="D8" s="3">
        <v>99.5</v>
      </c>
      <c r="E8" s="3">
        <v>500</v>
      </c>
      <c r="F8" s="1">
        <v>0.5</v>
      </c>
      <c r="G8" s="3">
        <f t="shared" si="1"/>
        <v>0.05</v>
      </c>
      <c r="H8" s="1">
        <f t="shared" si="0"/>
        <v>0.5</v>
      </c>
    </row>
    <row r="9" spans="1:12" x14ac:dyDescent="0.25">
      <c r="A9" s="3">
        <v>10</v>
      </c>
      <c r="B9" s="3">
        <v>0.49118400000000001</v>
      </c>
      <c r="C9" s="3">
        <v>491.12</v>
      </c>
      <c r="D9" s="3">
        <v>65</v>
      </c>
      <c r="E9" s="3">
        <v>750</v>
      </c>
      <c r="F9" s="1">
        <v>0.75</v>
      </c>
      <c r="G9" s="3">
        <f t="shared" si="1"/>
        <v>4.9118400000000007E-2</v>
      </c>
      <c r="H9" s="1">
        <f t="shared" si="0"/>
        <v>0.75000018323076889</v>
      </c>
    </row>
    <row r="10" spans="1:12" x14ac:dyDescent="0.25">
      <c r="A10" s="3">
        <v>5</v>
      </c>
      <c r="B10" s="3">
        <v>1</v>
      </c>
      <c r="C10" s="3">
        <v>1000</v>
      </c>
      <c r="D10" s="3">
        <v>99</v>
      </c>
      <c r="E10" s="3">
        <v>1000</v>
      </c>
      <c r="F10" s="1">
        <v>1</v>
      </c>
      <c r="G10" s="3">
        <f t="shared" si="1"/>
        <v>0.1</v>
      </c>
      <c r="H10" s="1">
        <f t="shared" si="0"/>
        <v>1</v>
      </c>
    </row>
    <row r="11" spans="1:12" x14ac:dyDescent="0.25">
      <c r="A11" s="3">
        <v>6</v>
      </c>
      <c r="B11" s="3">
        <v>5</v>
      </c>
      <c r="C11" s="3">
        <v>5000</v>
      </c>
      <c r="D11" s="3">
        <v>95</v>
      </c>
      <c r="E11" s="3">
        <v>5000</v>
      </c>
      <c r="F11" s="1">
        <v>5</v>
      </c>
      <c r="G11" s="3">
        <f t="shared" si="1"/>
        <v>0.5</v>
      </c>
      <c r="H11" s="1">
        <f t="shared" si="0"/>
        <v>5</v>
      </c>
    </row>
    <row r="12" spans="1:12" x14ac:dyDescent="0.25">
      <c r="A12" s="3">
        <v>7</v>
      </c>
      <c r="B12" s="3">
        <v>10</v>
      </c>
      <c r="C12" s="3">
        <v>10000</v>
      </c>
      <c r="D12" s="3">
        <v>90</v>
      </c>
      <c r="E12" s="3">
        <v>10000</v>
      </c>
      <c r="F12" s="1">
        <v>10</v>
      </c>
      <c r="G12" s="3">
        <f t="shared" si="1"/>
        <v>1</v>
      </c>
      <c r="H12" s="1">
        <f t="shared" si="0"/>
        <v>10</v>
      </c>
    </row>
    <row r="14" spans="1:12" x14ac:dyDescent="0.25">
      <c r="L14">
        <f>65-0.491184</f>
        <v>64.508815999999996</v>
      </c>
    </row>
    <row r="15" spans="1:12" x14ac:dyDescent="0.25">
      <c r="A15" s="6" t="s">
        <v>12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13</v>
      </c>
      <c r="G15" s="79" t="s">
        <v>11</v>
      </c>
      <c r="H15" s="80"/>
    </row>
    <row r="16" spans="1:12" x14ac:dyDescent="0.25">
      <c r="A16" s="3">
        <v>1</v>
      </c>
      <c r="B16" s="3">
        <v>0</v>
      </c>
      <c r="C16" s="4">
        <v>0</v>
      </c>
      <c r="D16" s="3">
        <v>100</v>
      </c>
      <c r="E16" s="4">
        <v>74.66</v>
      </c>
      <c r="F16" s="1">
        <v>0</v>
      </c>
      <c r="G16" s="3">
        <f>C16*(100/1000)</f>
        <v>0</v>
      </c>
      <c r="H16" s="5">
        <f>G16/(C16+E16)*1000</f>
        <v>0</v>
      </c>
    </row>
    <row r="17" spans="1:13" x14ac:dyDescent="0.25">
      <c r="A17" s="3">
        <v>2</v>
      </c>
      <c r="B17" s="3">
        <v>0.01</v>
      </c>
      <c r="C17" s="4">
        <v>0.01</v>
      </c>
      <c r="D17" s="3">
        <v>99.99</v>
      </c>
      <c r="E17" s="4">
        <v>99.99</v>
      </c>
      <c r="F17" s="1">
        <v>0.01</v>
      </c>
      <c r="G17" s="3">
        <f t="shared" ref="G17:G25" si="2">C17*(100/1000)</f>
        <v>1E-3</v>
      </c>
      <c r="H17" s="5">
        <f t="shared" ref="H17:H25" si="3">G17/(C17+E17)*1000</f>
        <v>0.01</v>
      </c>
      <c r="L17">
        <v>0.1</v>
      </c>
      <c r="M17">
        <f>(L17*M20)/L20</f>
        <v>6.5065065065065056E-2</v>
      </c>
    </row>
    <row r="18" spans="1:13" x14ac:dyDescent="0.25">
      <c r="A18" s="3">
        <v>8</v>
      </c>
      <c r="B18" s="3">
        <v>3.252E-2</v>
      </c>
      <c r="C18" s="4">
        <v>3.2000000000000001E-2</v>
      </c>
      <c r="D18" s="3">
        <v>65</v>
      </c>
      <c r="E18" s="4">
        <v>65.010000000000005</v>
      </c>
      <c r="F18" s="1">
        <v>0.05</v>
      </c>
      <c r="G18" s="3">
        <f t="shared" si="2"/>
        <v>3.2000000000000002E-3</v>
      </c>
      <c r="H18" s="5">
        <f t="shared" si="3"/>
        <v>4.9198979121183241E-2</v>
      </c>
    </row>
    <row r="19" spans="1:13" x14ac:dyDescent="0.25">
      <c r="A19" s="3">
        <v>9</v>
      </c>
      <c r="B19" s="3">
        <v>6.5070000000000003E-2</v>
      </c>
      <c r="C19" s="4">
        <v>6.3500000000000001E-2</v>
      </c>
      <c r="D19" s="3">
        <v>65</v>
      </c>
      <c r="E19" s="4">
        <v>65.040000000000006</v>
      </c>
      <c r="F19" s="1">
        <v>0.1</v>
      </c>
      <c r="G19" s="3">
        <f t="shared" si="2"/>
        <v>6.3500000000000006E-3</v>
      </c>
      <c r="H19" s="5">
        <f t="shared" si="3"/>
        <v>9.7536998778867484E-2</v>
      </c>
    </row>
    <row r="20" spans="1:13" x14ac:dyDescent="0.25">
      <c r="A20" s="3">
        <v>3</v>
      </c>
      <c r="B20" s="3">
        <v>0.25</v>
      </c>
      <c r="C20" s="4">
        <v>0.27</v>
      </c>
      <c r="D20" s="3">
        <v>99.75</v>
      </c>
      <c r="E20" s="4">
        <v>99.76</v>
      </c>
      <c r="F20" s="1">
        <v>0.25</v>
      </c>
      <c r="G20" s="3">
        <f t="shared" si="2"/>
        <v>2.7000000000000003E-2</v>
      </c>
      <c r="H20" s="5">
        <f t="shared" si="3"/>
        <v>0.26991902429271225</v>
      </c>
      <c r="L20">
        <v>99.9</v>
      </c>
      <c r="M20">
        <v>65</v>
      </c>
    </row>
    <row r="21" spans="1:13" x14ac:dyDescent="0.25">
      <c r="A21" s="3">
        <v>4</v>
      </c>
      <c r="B21" s="3">
        <v>0.5</v>
      </c>
      <c r="C21" s="4">
        <v>0.51</v>
      </c>
      <c r="D21" s="3">
        <v>99.5</v>
      </c>
      <c r="E21" s="4">
        <v>99.51</v>
      </c>
      <c r="F21" s="1">
        <v>0.5</v>
      </c>
      <c r="G21" s="3">
        <f t="shared" si="2"/>
        <v>5.1000000000000004E-2</v>
      </c>
      <c r="H21" s="5">
        <f t="shared" si="3"/>
        <v>0.5098980203959208</v>
      </c>
    </row>
    <row r="22" spans="1:13" x14ac:dyDescent="0.25">
      <c r="A22" s="3">
        <v>10</v>
      </c>
      <c r="B22" s="3">
        <v>0.49118400000000001</v>
      </c>
      <c r="C22" s="4">
        <v>0.48780000000000001</v>
      </c>
      <c r="D22" s="3">
        <v>65</v>
      </c>
      <c r="E22" s="4">
        <v>65.27</v>
      </c>
      <c r="F22" s="1">
        <v>0.75</v>
      </c>
      <c r="G22" s="3">
        <f t="shared" si="2"/>
        <v>4.8780000000000004E-2</v>
      </c>
      <c r="H22" s="5">
        <f t="shared" si="3"/>
        <v>0.74181313851740782</v>
      </c>
    </row>
    <row r="23" spans="1:13" x14ac:dyDescent="0.25">
      <c r="A23" s="3">
        <v>5</v>
      </c>
      <c r="B23" s="3">
        <v>1</v>
      </c>
      <c r="C23" s="4">
        <v>1.06</v>
      </c>
      <c r="D23" s="3">
        <v>99</v>
      </c>
      <c r="E23" s="4">
        <v>99.01</v>
      </c>
      <c r="F23" s="1">
        <v>1</v>
      </c>
      <c r="G23" s="3">
        <f t="shared" si="2"/>
        <v>0.10600000000000001</v>
      </c>
      <c r="H23" s="5">
        <f t="shared" si="3"/>
        <v>1.0592585190366743</v>
      </c>
    </row>
    <row r="24" spans="1:13" x14ac:dyDescent="0.25">
      <c r="A24" s="3">
        <v>6</v>
      </c>
      <c r="B24" s="3">
        <v>5</v>
      </c>
      <c r="C24" s="4">
        <v>5.0199999999999996</v>
      </c>
      <c r="D24" s="3">
        <v>95</v>
      </c>
      <c r="E24" s="4">
        <v>95.02</v>
      </c>
      <c r="F24" s="1">
        <v>5</v>
      </c>
      <c r="G24" s="3">
        <f t="shared" si="2"/>
        <v>0.502</v>
      </c>
      <c r="H24" s="5">
        <f t="shared" si="3"/>
        <v>5.0179928028788492</v>
      </c>
    </row>
    <row r="25" spans="1:13" x14ac:dyDescent="0.25">
      <c r="A25" s="3">
        <v>7</v>
      </c>
      <c r="B25" s="3">
        <v>10</v>
      </c>
      <c r="C25" s="4">
        <v>10.17</v>
      </c>
      <c r="D25" s="3">
        <v>90</v>
      </c>
      <c r="E25" s="4">
        <v>90.02</v>
      </c>
      <c r="F25" s="1">
        <v>10</v>
      </c>
      <c r="G25" s="3">
        <f t="shared" si="2"/>
        <v>1.0170000000000001</v>
      </c>
      <c r="H25" s="5">
        <f t="shared" si="3"/>
        <v>10.150713644076257</v>
      </c>
    </row>
    <row r="28" spans="1:13" x14ac:dyDescent="0.25">
      <c r="A28" s="3" t="s">
        <v>16</v>
      </c>
      <c r="B28" s="3" t="s">
        <v>30</v>
      </c>
      <c r="C28" s="3" t="s">
        <v>14</v>
      </c>
      <c r="D28" s="3" t="s">
        <v>18</v>
      </c>
      <c r="E28" s="3" t="s">
        <v>23</v>
      </c>
      <c r="F28" s="3" t="s">
        <v>15</v>
      </c>
      <c r="G28" s="3" t="s">
        <v>17</v>
      </c>
    </row>
    <row r="29" spans="1:13" x14ac:dyDescent="0.25">
      <c r="A29" s="3" t="s">
        <v>19</v>
      </c>
      <c r="B29" s="3">
        <v>1</v>
      </c>
      <c r="C29" s="4">
        <v>0.51373000000000002</v>
      </c>
      <c r="D29" s="3">
        <f>C29*25</f>
        <v>12.843250000000001</v>
      </c>
      <c r="E29" s="4">
        <v>12.85749</v>
      </c>
      <c r="F29" s="1">
        <f>1/25</f>
        <v>0.04</v>
      </c>
      <c r="G29" s="5">
        <f>C29/E29</f>
        <v>3.9955698973905482E-2</v>
      </c>
    </row>
    <row r="30" spans="1:13" x14ac:dyDescent="0.25">
      <c r="A30" s="3" t="s">
        <v>19</v>
      </c>
      <c r="B30" s="3">
        <v>2</v>
      </c>
      <c r="C30" s="4">
        <v>0.54849999999999999</v>
      </c>
      <c r="D30" s="3">
        <f t="shared" ref="D30:D85" si="4">C30*25</f>
        <v>13.7125</v>
      </c>
      <c r="E30" s="4">
        <v>13.747439999999999</v>
      </c>
      <c r="F30" s="1">
        <f t="shared" ref="F30:F87" si="5">1/25</f>
        <v>0.04</v>
      </c>
      <c r="G30" s="5">
        <f t="shared" ref="G30:G85" si="6">C30/E30</f>
        <v>3.9898337435915344E-2</v>
      </c>
    </row>
    <row r="31" spans="1:13" x14ac:dyDescent="0.25">
      <c r="A31" s="3" t="s">
        <v>19</v>
      </c>
      <c r="B31" s="3">
        <v>8</v>
      </c>
      <c r="C31" s="4">
        <v>0.52500999999999998</v>
      </c>
      <c r="D31" s="3">
        <f t="shared" si="4"/>
        <v>13.125249999999999</v>
      </c>
      <c r="E31" s="4">
        <v>13.13</v>
      </c>
      <c r="F31" s="1">
        <f t="shared" si="5"/>
        <v>0.04</v>
      </c>
      <c r="G31" s="5">
        <f t="shared" si="6"/>
        <v>3.9985529322162983E-2</v>
      </c>
    </row>
    <row r="32" spans="1:13" x14ac:dyDescent="0.25">
      <c r="A32" s="3" t="s">
        <v>19</v>
      </c>
      <c r="B32" s="3">
        <v>9</v>
      </c>
      <c r="C32" s="4">
        <v>0.51966000000000001</v>
      </c>
      <c r="D32" s="3">
        <f t="shared" si="4"/>
        <v>12.9915</v>
      </c>
      <c r="E32" s="4">
        <v>12.99</v>
      </c>
      <c r="F32" s="1">
        <f t="shared" si="5"/>
        <v>0.04</v>
      </c>
      <c r="G32" s="5">
        <f t="shared" si="6"/>
        <v>4.0004618937644343E-2</v>
      </c>
    </row>
    <row r="33" spans="1:7" x14ac:dyDescent="0.25">
      <c r="A33" s="3" t="s">
        <v>19</v>
      </c>
      <c r="B33" s="3">
        <v>3</v>
      </c>
      <c r="C33" s="4">
        <v>0.58821000000000001</v>
      </c>
      <c r="D33" s="3">
        <f t="shared" si="4"/>
        <v>14.705249999999999</v>
      </c>
      <c r="E33" s="4">
        <v>14.748430000000001</v>
      </c>
      <c r="F33" s="1">
        <f t="shared" si="5"/>
        <v>0.04</v>
      </c>
      <c r="G33" s="5">
        <f t="shared" si="6"/>
        <v>3.9882889229565448E-2</v>
      </c>
    </row>
    <row r="34" spans="1:7" x14ac:dyDescent="0.25">
      <c r="A34" s="3" t="s">
        <v>19</v>
      </c>
      <c r="B34" s="3">
        <v>4</v>
      </c>
      <c r="C34" s="4">
        <v>0.50490000000000002</v>
      </c>
      <c r="D34" s="3">
        <f t="shared" si="4"/>
        <v>12.6225</v>
      </c>
      <c r="E34" s="4">
        <v>12.659079999999999</v>
      </c>
      <c r="F34" s="1">
        <f t="shared" si="5"/>
        <v>0.04</v>
      </c>
      <c r="G34" s="5">
        <f t="shared" si="6"/>
        <v>3.9884414981183468E-2</v>
      </c>
    </row>
    <row r="35" spans="1:7" x14ac:dyDescent="0.25">
      <c r="A35" s="3" t="s">
        <v>19</v>
      </c>
      <c r="B35" s="3">
        <v>10</v>
      </c>
      <c r="C35" s="4">
        <v>0.51997000000000004</v>
      </c>
      <c r="D35" s="3">
        <f t="shared" si="4"/>
        <v>12.999250000000002</v>
      </c>
      <c r="E35" s="4">
        <v>12.99</v>
      </c>
      <c r="F35" s="1">
        <f t="shared" si="5"/>
        <v>0.04</v>
      </c>
      <c r="G35" s="5">
        <f t="shared" si="6"/>
        <v>4.002848344880678E-2</v>
      </c>
    </row>
    <row r="36" spans="1:7" x14ac:dyDescent="0.25">
      <c r="A36" s="3" t="s">
        <v>19</v>
      </c>
      <c r="B36" s="3">
        <v>5</v>
      </c>
      <c r="C36" s="4">
        <v>0.53242</v>
      </c>
      <c r="D36" s="3">
        <f t="shared" si="4"/>
        <v>13.310499999999999</v>
      </c>
      <c r="E36" s="4">
        <v>13.393380000000001</v>
      </c>
      <c r="F36" s="1">
        <f t="shared" si="5"/>
        <v>0.04</v>
      </c>
      <c r="G36" s="5">
        <f t="shared" si="6"/>
        <v>3.9752474730053201E-2</v>
      </c>
    </row>
    <row r="37" spans="1:7" x14ac:dyDescent="0.25">
      <c r="A37" s="3" t="s">
        <v>19</v>
      </c>
      <c r="B37" s="3">
        <v>6</v>
      </c>
      <c r="C37" s="4">
        <v>0.51666999999999996</v>
      </c>
      <c r="D37" s="3">
        <f t="shared" si="4"/>
        <v>12.916749999999999</v>
      </c>
      <c r="E37" s="4">
        <v>12.98028</v>
      </c>
      <c r="F37" s="1">
        <f t="shared" si="5"/>
        <v>0.04</v>
      </c>
      <c r="G37" s="5">
        <f t="shared" si="6"/>
        <v>3.9804226102980823E-2</v>
      </c>
    </row>
    <row r="38" spans="1:7" x14ac:dyDescent="0.25">
      <c r="A38" s="3" t="s">
        <v>19</v>
      </c>
      <c r="B38" s="3">
        <v>7</v>
      </c>
      <c r="C38" s="4">
        <v>0.54822000000000004</v>
      </c>
      <c r="D38" s="3">
        <f t="shared" si="4"/>
        <v>13.705500000000001</v>
      </c>
      <c r="E38" s="4">
        <v>13.9405</v>
      </c>
      <c r="F38" s="1">
        <f t="shared" si="5"/>
        <v>0.04</v>
      </c>
      <c r="G38" s="5">
        <f t="shared" si="6"/>
        <v>3.9325705677701661E-2</v>
      </c>
    </row>
    <row r="39" spans="1:7" x14ac:dyDescent="0.25">
      <c r="A39" s="13" t="s">
        <v>20</v>
      </c>
      <c r="B39" s="3">
        <v>1</v>
      </c>
      <c r="C39" s="4">
        <v>0.52003999999999995</v>
      </c>
      <c r="D39" s="3">
        <f t="shared" si="4"/>
        <v>13.000999999999999</v>
      </c>
      <c r="E39" s="4">
        <v>13.019819999999999</v>
      </c>
      <c r="F39" s="1">
        <f t="shared" si="5"/>
        <v>0.04</v>
      </c>
      <c r="G39" s="5">
        <f t="shared" si="6"/>
        <v>3.9942180460252136E-2</v>
      </c>
    </row>
    <row r="40" spans="1:7" x14ac:dyDescent="0.25">
      <c r="A40" s="13" t="s">
        <v>20</v>
      </c>
      <c r="B40" s="3">
        <v>2</v>
      </c>
      <c r="C40" s="4">
        <v>0.56325000000000003</v>
      </c>
      <c r="D40" s="3">
        <f t="shared" si="4"/>
        <v>14.081250000000001</v>
      </c>
      <c r="E40" s="4">
        <v>14.21668</v>
      </c>
      <c r="F40" s="1">
        <f t="shared" si="5"/>
        <v>0.04</v>
      </c>
      <c r="G40" s="5">
        <f t="shared" si="6"/>
        <v>3.9618954636384866E-2</v>
      </c>
    </row>
    <row r="41" spans="1:7" x14ac:dyDescent="0.25">
      <c r="A41" s="13" t="s">
        <v>20</v>
      </c>
      <c r="B41" s="3">
        <v>8</v>
      </c>
      <c r="C41" s="4">
        <v>0.51266999999999996</v>
      </c>
      <c r="D41" s="3">
        <f t="shared" si="4"/>
        <v>12.816749999999999</v>
      </c>
      <c r="E41" s="4">
        <v>12.81</v>
      </c>
      <c r="F41" s="1">
        <f t="shared" si="5"/>
        <v>0.04</v>
      </c>
      <c r="G41" s="5">
        <f t="shared" si="6"/>
        <v>4.0021077283372362E-2</v>
      </c>
    </row>
    <row r="42" spans="1:7" x14ac:dyDescent="0.25">
      <c r="A42" s="13" t="s">
        <v>20</v>
      </c>
      <c r="B42" s="3">
        <v>9</v>
      </c>
      <c r="C42" s="4">
        <v>0.50900999999999996</v>
      </c>
      <c r="D42" s="3">
        <f t="shared" si="4"/>
        <v>12.725249999999999</v>
      </c>
      <c r="E42" s="4">
        <v>12.72</v>
      </c>
      <c r="F42" s="1">
        <f t="shared" si="5"/>
        <v>0.04</v>
      </c>
      <c r="G42" s="5">
        <f t="shared" si="6"/>
        <v>4.0016509433962261E-2</v>
      </c>
    </row>
    <row r="43" spans="1:7" x14ac:dyDescent="0.25">
      <c r="A43" s="13" t="s">
        <v>20</v>
      </c>
      <c r="B43" s="3">
        <v>3</v>
      </c>
      <c r="C43" s="4">
        <v>0.54025000000000001</v>
      </c>
      <c r="D43" s="3">
        <f t="shared" si="4"/>
        <v>13.50625</v>
      </c>
      <c r="E43" s="4">
        <v>13.60389</v>
      </c>
      <c r="F43" s="1">
        <f t="shared" si="5"/>
        <v>0.04</v>
      </c>
      <c r="G43" s="5">
        <f t="shared" si="6"/>
        <v>3.971290564684072E-2</v>
      </c>
    </row>
    <row r="44" spans="1:7" x14ac:dyDescent="0.25">
      <c r="A44" s="13" t="s">
        <v>20</v>
      </c>
      <c r="B44" s="3">
        <v>4</v>
      </c>
      <c r="C44" s="4">
        <v>0.5706</v>
      </c>
      <c r="D44" s="3">
        <f t="shared" si="4"/>
        <v>14.265000000000001</v>
      </c>
      <c r="E44" s="4">
        <v>14.33615</v>
      </c>
      <c r="F44" s="1">
        <f t="shared" si="5"/>
        <v>0.04</v>
      </c>
      <c r="G44" s="5">
        <f t="shared" si="6"/>
        <v>3.9801480871782174E-2</v>
      </c>
    </row>
    <row r="45" spans="1:7" x14ac:dyDescent="0.25">
      <c r="A45" s="13" t="s">
        <v>20</v>
      </c>
      <c r="B45" s="3">
        <v>10</v>
      </c>
      <c r="C45" s="4">
        <v>0.53773000000000004</v>
      </c>
      <c r="D45" s="3">
        <f t="shared" si="4"/>
        <v>13.443250000000001</v>
      </c>
      <c r="E45" s="4">
        <v>13.44</v>
      </c>
      <c r="F45" s="1">
        <f t="shared" si="5"/>
        <v>0.04</v>
      </c>
      <c r="G45" s="5">
        <f t="shared" si="6"/>
        <v>4.0009672619047622E-2</v>
      </c>
    </row>
    <row r="46" spans="1:7" x14ac:dyDescent="0.25">
      <c r="A46" s="13" t="s">
        <v>20</v>
      </c>
      <c r="B46" s="3">
        <v>5</v>
      </c>
      <c r="C46" s="4">
        <v>0.52754000000000001</v>
      </c>
      <c r="D46" s="3">
        <f t="shared" si="4"/>
        <v>13.188499999999999</v>
      </c>
      <c r="E46" s="4">
        <v>13.25112</v>
      </c>
      <c r="F46" s="1">
        <f t="shared" si="5"/>
        <v>0.04</v>
      </c>
      <c r="G46" s="5">
        <f t="shared" si="6"/>
        <v>3.9810974468573221E-2</v>
      </c>
    </row>
    <row r="47" spans="1:7" x14ac:dyDescent="0.25">
      <c r="A47" s="13" t="s">
        <v>20</v>
      </c>
      <c r="B47" s="3">
        <v>6</v>
      </c>
      <c r="C47" s="4">
        <v>0.52102000000000004</v>
      </c>
      <c r="D47" s="3">
        <f t="shared" si="4"/>
        <v>13.025500000000001</v>
      </c>
      <c r="E47" s="4">
        <v>13.221209999999999</v>
      </c>
      <c r="F47" s="1">
        <f t="shared" si="5"/>
        <v>0.04</v>
      </c>
      <c r="G47" s="5">
        <f t="shared" si="6"/>
        <v>3.9407890805758329E-2</v>
      </c>
    </row>
    <row r="48" spans="1:7" x14ac:dyDescent="0.25">
      <c r="A48" s="13" t="s">
        <v>20</v>
      </c>
      <c r="B48" s="3">
        <v>7</v>
      </c>
      <c r="C48" s="4">
        <v>0.52475000000000005</v>
      </c>
      <c r="D48" s="3">
        <f t="shared" si="4"/>
        <v>13.118750000000002</v>
      </c>
      <c r="E48" s="4">
        <v>14.53411</v>
      </c>
      <c r="F48" s="1">
        <f t="shared" si="5"/>
        <v>0.04</v>
      </c>
      <c r="G48" s="5">
        <f t="shared" si="6"/>
        <v>3.6104721926557601E-2</v>
      </c>
    </row>
    <row r="49" spans="1:7" x14ac:dyDescent="0.25">
      <c r="A49" s="13" t="s">
        <v>21</v>
      </c>
      <c r="B49" s="3">
        <v>1</v>
      </c>
      <c r="C49" s="4">
        <v>0.56867000000000001</v>
      </c>
      <c r="D49" s="3">
        <f t="shared" si="4"/>
        <v>14.216750000000001</v>
      </c>
      <c r="E49" s="4">
        <v>14.2432</v>
      </c>
      <c r="F49" s="1">
        <f t="shared" si="5"/>
        <v>0.04</v>
      </c>
      <c r="G49" s="5">
        <f t="shared" si="6"/>
        <v>3.9925718939564141E-2</v>
      </c>
    </row>
    <row r="50" spans="1:7" x14ac:dyDescent="0.25">
      <c r="A50" s="13" t="s">
        <v>21</v>
      </c>
      <c r="B50" s="3">
        <v>2</v>
      </c>
      <c r="C50" s="4">
        <v>0.52769999999999995</v>
      </c>
      <c r="D50" s="3">
        <f t="shared" si="4"/>
        <v>13.192499999999999</v>
      </c>
      <c r="E50" s="4">
        <v>13.27666</v>
      </c>
      <c r="F50" s="1">
        <f t="shared" si="5"/>
        <v>0.04</v>
      </c>
      <c r="G50" s="5">
        <f t="shared" si="6"/>
        <v>3.9746442252795507E-2</v>
      </c>
    </row>
    <row r="51" spans="1:7" x14ac:dyDescent="0.25">
      <c r="A51" s="13" t="s">
        <v>21</v>
      </c>
      <c r="B51" s="3">
        <v>8</v>
      </c>
      <c r="C51" s="4">
        <v>0.5383</v>
      </c>
      <c r="D51" s="3">
        <f t="shared" si="4"/>
        <v>13.4575</v>
      </c>
      <c r="E51" s="4">
        <v>13.45</v>
      </c>
      <c r="F51" s="1">
        <f t="shared" si="5"/>
        <v>0.04</v>
      </c>
      <c r="G51" s="5">
        <f t="shared" si="6"/>
        <v>4.0022304832713754E-2</v>
      </c>
    </row>
    <row r="52" spans="1:7" x14ac:dyDescent="0.25">
      <c r="A52" s="13" t="s">
        <v>21</v>
      </c>
      <c r="B52" s="3">
        <v>9</v>
      </c>
      <c r="C52" s="4">
        <v>0.53686999999999996</v>
      </c>
      <c r="D52" s="3">
        <f t="shared" si="4"/>
        <v>13.421749999999999</v>
      </c>
      <c r="E52" s="4">
        <v>13.42</v>
      </c>
      <c r="F52" s="1">
        <f t="shared" si="5"/>
        <v>0.04</v>
      </c>
      <c r="G52" s="5">
        <f t="shared" si="6"/>
        <v>4.0005216095380026E-2</v>
      </c>
    </row>
    <row r="53" spans="1:7" x14ac:dyDescent="0.25">
      <c r="A53" s="13" t="s">
        <v>21</v>
      </c>
      <c r="B53" s="3">
        <v>3</v>
      </c>
      <c r="C53" s="4">
        <v>0.52976000000000001</v>
      </c>
      <c r="D53" s="3">
        <f t="shared" si="4"/>
        <v>13.244</v>
      </c>
      <c r="E53" s="4">
        <v>13.25977</v>
      </c>
      <c r="F53" s="1">
        <f t="shared" si="5"/>
        <v>0.04</v>
      </c>
      <c r="G53" s="5">
        <f t="shared" si="6"/>
        <v>3.9952427530794275E-2</v>
      </c>
    </row>
    <row r="54" spans="1:7" x14ac:dyDescent="0.25">
      <c r="A54" s="13" t="s">
        <v>21</v>
      </c>
      <c r="B54" s="3">
        <v>4</v>
      </c>
      <c r="C54" s="4">
        <v>0.54500999999999999</v>
      </c>
      <c r="D54" s="3">
        <f t="shared" si="4"/>
        <v>13.625249999999999</v>
      </c>
      <c r="E54" s="4">
        <v>13.62194</v>
      </c>
      <c r="F54" s="1">
        <f t="shared" si="5"/>
        <v>0.04</v>
      </c>
      <c r="G54" s="5">
        <f t="shared" si="6"/>
        <v>4.0009719614093144E-2</v>
      </c>
    </row>
    <row r="55" spans="1:7" x14ac:dyDescent="0.25">
      <c r="A55" s="13" t="s">
        <v>21</v>
      </c>
      <c r="B55" s="3">
        <v>10</v>
      </c>
      <c r="C55" s="4">
        <v>0.56455</v>
      </c>
      <c r="D55" s="3">
        <f t="shared" si="4"/>
        <v>14.11375</v>
      </c>
      <c r="E55" s="4">
        <v>14.11</v>
      </c>
      <c r="F55" s="1">
        <f t="shared" si="5"/>
        <v>0.04</v>
      </c>
      <c r="G55" s="5">
        <f t="shared" si="6"/>
        <v>4.0010630758327427E-2</v>
      </c>
    </row>
    <row r="56" spans="1:7" x14ac:dyDescent="0.25">
      <c r="A56" s="13" t="s">
        <v>21</v>
      </c>
      <c r="B56" s="3">
        <v>5</v>
      </c>
      <c r="C56" s="4">
        <v>0.52336000000000005</v>
      </c>
      <c r="D56" s="3">
        <f t="shared" si="4"/>
        <v>13.084000000000001</v>
      </c>
      <c r="E56" s="4">
        <v>13.091670000000001</v>
      </c>
      <c r="F56" s="1">
        <f t="shared" si="5"/>
        <v>0.04</v>
      </c>
      <c r="G56" s="5">
        <f t="shared" si="6"/>
        <v>3.9976565251033672E-2</v>
      </c>
    </row>
    <row r="57" spans="1:7" x14ac:dyDescent="0.25">
      <c r="A57" s="13" t="s">
        <v>21</v>
      </c>
      <c r="B57" s="3">
        <v>6</v>
      </c>
      <c r="C57" s="4">
        <v>0.55698999999999999</v>
      </c>
      <c r="D57" s="3">
        <f t="shared" si="4"/>
        <v>13.92475</v>
      </c>
      <c r="E57" s="4">
        <v>13.966200000000001</v>
      </c>
      <c r="F57" s="1">
        <f t="shared" si="5"/>
        <v>0.04</v>
      </c>
      <c r="G57" s="5">
        <f t="shared" si="6"/>
        <v>3.9881284816199104E-2</v>
      </c>
    </row>
    <row r="58" spans="1:7" x14ac:dyDescent="0.25">
      <c r="A58" s="13" t="s">
        <v>21</v>
      </c>
      <c r="B58" s="3">
        <v>7</v>
      </c>
      <c r="C58" s="4">
        <v>0.53673999999999999</v>
      </c>
      <c r="D58" s="3">
        <f t="shared" si="4"/>
        <v>13.4185</v>
      </c>
      <c r="E58" s="4">
        <v>13.43486</v>
      </c>
      <c r="F58" s="1">
        <f t="shared" si="5"/>
        <v>0.04</v>
      </c>
      <c r="G58" s="5">
        <f t="shared" si="6"/>
        <v>3.9951290895476395E-2</v>
      </c>
    </row>
    <row r="59" spans="1:7" x14ac:dyDescent="0.25">
      <c r="A59" s="13" t="s">
        <v>22</v>
      </c>
      <c r="B59" s="3">
        <v>1</v>
      </c>
      <c r="C59" s="4">
        <v>0.52285000000000004</v>
      </c>
      <c r="D59" s="3">
        <f t="shared" si="4"/>
        <v>13.071250000000001</v>
      </c>
      <c r="E59" s="4">
        <v>13.09027</v>
      </c>
      <c r="F59" s="1">
        <f t="shared" si="5"/>
        <v>0.04</v>
      </c>
      <c r="G59" s="5">
        <f t="shared" si="6"/>
        <v>3.9941880495971437E-2</v>
      </c>
    </row>
    <row r="60" spans="1:7" x14ac:dyDescent="0.25">
      <c r="A60" s="13" t="s">
        <v>22</v>
      </c>
      <c r="B60" s="3">
        <v>2</v>
      </c>
      <c r="C60" s="4">
        <v>0.55479000000000001</v>
      </c>
      <c r="D60" s="3">
        <f t="shared" si="4"/>
        <v>13.86975</v>
      </c>
      <c r="E60" s="4">
        <v>13.90081</v>
      </c>
      <c r="F60" s="1">
        <f t="shared" si="5"/>
        <v>0.04</v>
      </c>
      <c r="G60" s="5">
        <f t="shared" si="6"/>
        <v>3.9910623913282754E-2</v>
      </c>
    </row>
    <row r="61" spans="1:7" x14ac:dyDescent="0.25">
      <c r="A61" s="13" t="s">
        <v>22</v>
      </c>
      <c r="B61" s="3">
        <v>8</v>
      </c>
      <c r="C61" s="4">
        <v>0.58620000000000005</v>
      </c>
      <c r="D61" s="3">
        <f t="shared" si="4"/>
        <v>14.655000000000001</v>
      </c>
      <c r="E61" s="4">
        <v>14.65</v>
      </c>
      <c r="F61" s="1">
        <f t="shared" si="5"/>
        <v>0.04</v>
      </c>
      <c r="G61" s="5">
        <f t="shared" si="6"/>
        <v>4.0013651877133107E-2</v>
      </c>
    </row>
    <row r="62" spans="1:7" x14ac:dyDescent="0.25">
      <c r="A62" s="13" t="s">
        <v>22</v>
      </c>
      <c r="B62" s="3">
        <v>9</v>
      </c>
      <c r="C62" s="4">
        <v>0.51285000000000003</v>
      </c>
      <c r="D62" s="3">
        <f t="shared" si="4"/>
        <v>12.821250000000001</v>
      </c>
      <c r="E62" s="4">
        <v>12.82</v>
      </c>
      <c r="F62" s="1">
        <f t="shared" si="5"/>
        <v>0.04</v>
      </c>
      <c r="G62" s="5">
        <f t="shared" si="6"/>
        <v>4.0003900156006245E-2</v>
      </c>
    </row>
    <row r="63" spans="1:7" x14ac:dyDescent="0.25">
      <c r="A63" s="13" t="s">
        <v>22</v>
      </c>
      <c r="B63" s="3">
        <v>3</v>
      </c>
      <c r="C63" s="4">
        <v>0.51495999999999997</v>
      </c>
      <c r="D63" s="3">
        <f t="shared" si="4"/>
        <v>12.873999999999999</v>
      </c>
      <c r="E63" s="4">
        <v>12.87852</v>
      </c>
      <c r="F63" s="1">
        <f t="shared" si="5"/>
        <v>0.04</v>
      </c>
      <c r="G63" s="5">
        <f t="shared" si="6"/>
        <v>3.9985961119755997E-2</v>
      </c>
    </row>
    <row r="64" spans="1:7" x14ac:dyDescent="0.25">
      <c r="A64" s="13" t="s">
        <v>22</v>
      </c>
      <c r="B64" s="3">
        <v>4</v>
      </c>
      <c r="C64" s="4">
        <v>0.52007000000000003</v>
      </c>
      <c r="D64" s="3">
        <f t="shared" si="4"/>
        <v>13.001750000000001</v>
      </c>
      <c r="E64" s="4">
        <v>13.063560000000001</v>
      </c>
      <c r="F64" s="1">
        <f t="shared" si="5"/>
        <v>0.04</v>
      </c>
      <c r="G64" s="5">
        <f t="shared" si="6"/>
        <v>3.9810740716925558E-2</v>
      </c>
    </row>
    <row r="65" spans="1:7" x14ac:dyDescent="0.25">
      <c r="A65" s="13" t="s">
        <v>22</v>
      </c>
      <c r="B65" s="3">
        <v>10</v>
      </c>
      <c r="C65" s="4">
        <v>0.54037999999999997</v>
      </c>
      <c r="D65" s="3">
        <f t="shared" si="4"/>
        <v>13.509499999999999</v>
      </c>
      <c r="E65" s="4">
        <v>13.51</v>
      </c>
      <c r="F65" s="1">
        <f t="shared" si="5"/>
        <v>0.04</v>
      </c>
      <c r="G65" s="5">
        <f t="shared" si="6"/>
        <v>3.9998519615099926E-2</v>
      </c>
    </row>
    <row r="66" spans="1:7" x14ac:dyDescent="0.25">
      <c r="A66" s="13" t="s">
        <v>22</v>
      </c>
      <c r="B66" s="3">
        <v>5</v>
      </c>
      <c r="C66" s="4">
        <v>0.55252000000000001</v>
      </c>
      <c r="D66" s="3">
        <f t="shared" si="4"/>
        <v>13.813000000000001</v>
      </c>
      <c r="E66" s="4">
        <v>13.91464</v>
      </c>
      <c r="F66" s="1">
        <f t="shared" si="5"/>
        <v>0.04</v>
      </c>
      <c r="G66" s="5">
        <f t="shared" si="6"/>
        <v>3.9707818527823929E-2</v>
      </c>
    </row>
    <row r="67" spans="1:7" x14ac:dyDescent="0.25">
      <c r="A67" s="13" t="s">
        <v>22</v>
      </c>
      <c r="B67" s="3">
        <v>6</v>
      </c>
      <c r="C67" s="4">
        <v>0.51468000000000003</v>
      </c>
      <c r="D67" s="3">
        <f t="shared" si="4"/>
        <v>12.867000000000001</v>
      </c>
      <c r="E67" s="4">
        <v>13.566179999999999</v>
      </c>
      <c r="F67" s="1">
        <f t="shared" si="5"/>
        <v>0.04</v>
      </c>
      <c r="G67" s="5">
        <f t="shared" si="6"/>
        <v>3.7938461674546557E-2</v>
      </c>
    </row>
    <row r="68" spans="1:7" x14ac:dyDescent="0.25">
      <c r="A68" s="13" t="s">
        <v>22</v>
      </c>
      <c r="B68" s="3">
        <v>7</v>
      </c>
      <c r="C68" s="4">
        <v>0.56911</v>
      </c>
      <c r="D68" s="3">
        <f t="shared" si="4"/>
        <v>14.22775</v>
      </c>
      <c r="E68" s="4">
        <v>14.242279999999999</v>
      </c>
      <c r="F68" s="1">
        <f t="shared" si="5"/>
        <v>0.04</v>
      </c>
      <c r="G68" s="5">
        <f t="shared" si="6"/>
        <v>3.9959191927135262E-2</v>
      </c>
    </row>
    <row r="69" spans="1:7" x14ac:dyDescent="0.25">
      <c r="A69" s="13" t="s">
        <v>31</v>
      </c>
      <c r="B69" s="3">
        <v>1</v>
      </c>
      <c r="C69" s="4">
        <v>0</v>
      </c>
      <c r="D69" s="3">
        <f t="shared" si="4"/>
        <v>0</v>
      </c>
      <c r="E69" s="4">
        <v>10.43807</v>
      </c>
      <c r="F69" s="1">
        <f t="shared" si="5"/>
        <v>0.04</v>
      </c>
      <c r="G69" s="5">
        <f t="shared" si="6"/>
        <v>0</v>
      </c>
    </row>
    <row r="70" spans="1:7" x14ac:dyDescent="0.25">
      <c r="A70" s="13" t="s">
        <v>31</v>
      </c>
      <c r="B70" s="3">
        <v>2</v>
      </c>
      <c r="C70" s="4">
        <v>0</v>
      </c>
      <c r="D70" s="3">
        <f t="shared" si="4"/>
        <v>0</v>
      </c>
      <c r="E70" s="4">
        <v>10.640040000000001</v>
      </c>
      <c r="F70" s="1">
        <f t="shared" si="5"/>
        <v>0.04</v>
      </c>
      <c r="G70" s="5">
        <f t="shared" si="6"/>
        <v>0</v>
      </c>
    </row>
    <row r="71" spans="1:7" x14ac:dyDescent="0.25">
      <c r="A71" s="13" t="s">
        <v>31</v>
      </c>
      <c r="B71" s="3">
        <v>8</v>
      </c>
      <c r="C71" s="4">
        <v>0</v>
      </c>
      <c r="D71" s="3">
        <f t="shared" si="4"/>
        <v>0</v>
      </c>
      <c r="E71" s="4">
        <v>5</v>
      </c>
      <c r="F71" s="1">
        <f t="shared" si="5"/>
        <v>0.04</v>
      </c>
      <c r="G71" s="5">
        <f t="shared" si="6"/>
        <v>0</v>
      </c>
    </row>
    <row r="72" spans="1:7" x14ac:dyDescent="0.25">
      <c r="A72" s="13" t="s">
        <v>31</v>
      </c>
      <c r="B72" s="3">
        <v>9</v>
      </c>
      <c r="C72" s="4">
        <v>0</v>
      </c>
      <c r="D72" s="3">
        <f t="shared" si="4"/>
        <v>0</v>
      </c>
      <c r="E72" s="4">
        <v>6.25</v>
      </c>
      <c r="F72" s="1">
        <f t="shared" si="5"/>
        <v>0.04</v>
      </c>
      <c r="G72" s="5">
        <f t="shared" si="6"/>
        <v>0</v>
      </c>
    </row>
    <row r="73" spans="1:7" x14ac:dyDescent="0.25">
      <c r="A73" s="13" t="s">
        <v>31</v>
      </c>
      <c r="B73" s="3">
        <v>3</v>
      </c>
      <c r="C73" s="4">
        <v>0</v>
      </c>
      <c r="D73" s="3">
        <f t="shared" si="4"/>
        <v>0</v>
      </c>
      <c r="E73" s="4">
        <v>11.093870000000001</v>
      </c>
      <c r="F73" s="1">
        <f t="shared" si="5"/>
        <v>0.04</v>
      </c>
      <c r="G73" s="5">
        <f t="shared" si="6"/>
        <v>0</v>
      </c>
    </row>
    <row r="74" spans="1:7" x14ac:dyDescent="0.25">
      <c r="A74" s="13" t="s">
        <v>31</v>
      </c>
      <c r="B74" s="3">
        <v>4</v>
      </c>
      <c r="C74" s="4">
        <v>0</v>
      </c>
      <c r="D74" s="3">
        <f t="shared" si="4"/>
        <v>0</v>
      </c>
      <c r="E74" s="4">
        <v>10.10158</v>
      </c>
      <c r="F74" s="1">
        <f t="shared" si="5"/>
        <v>0.04</v>
      </c>
      <c r="G74" s="5">
        <f t="shared" si="6"/>
        <v>0</v>
      </c>
    </row>
    <row r="75" spans="1:7" x14ac:dyDescent="0.25">
      <c r="A75" s="13" t="s">
        <v>31</v>
      </c>
      <c r="B75" s="3">
        <v>10</v>
      </c>
      <c r="C75" s="4">
        <v>0</v>
      </c>
      <c r="D75" s="3">
        <f t="shared" si="4"/>
        <v>0</v>
      </c>
      <c r="E75" s="4">
        <v>6.25</v>
      </c>
      <c r="F75" s="1">
        <f t="shared" si="5"/>
        <v>0.04</v>
      </c>
      <c r="G75" s="5">
        <f t="shared" si="6"/>
        <v>0</v>
      </c>
    </row>
    <row r="76" spans="1:7" x14ac:dyDescent="0.25">
      <c r="A76" s="13" t="s">
        <v>31</v>
      </c>
      <c r="B76" s="3">
        <v>5</v>
      </c>
      <c r="C76" s="4">
        <v>0</v>
      </c>
      <c r="D76" s="3">
        <f t="shared" si="4"/>
        <v>0</v>
      </c>
      <c r="E76" s="4">
        <v>10.71092</v>
      </c>
      <c r="F76" s="1">
        <f t="shared" si="5"/>
        <v>0.04</v>
      </c>
      <c r="G76" s="5">
        <f t="shared" si="6"/>
        <v>0</v>
      </c>
    </row>
    <row r="77" spans="1:7" x14ac:dyDescent="0.25">
      <c r="A77" s="13" t="s">
        <v>31</v>
      </c>
      <c r="B77" s="3">
        <v>6</v>
      </c>
      <c r="C77" s="4">
        <v>0</v>
      </c>
      <c r="D77" s="3">
        <f t="shared" si="4"/>
        <v>0</v>
      </c>
      <c r="E77" s="4">
        <v>10.31269</v>
      </c>
      <c r="F77" s="1">
        <f t="shared" si="5"/>
        <v>0.04</v>
      </c>
      <c r="G77" s="5">
        <f t="shared" si="6"/>
        <v>0</v>
      </c>
    </row>
    <row r="78" spans="1:7" x14ac:dyDescent="0.25">
      <c r="A78" s="13" t="s">
        <v>31</v>
      </c>
      <c r="B78" s="3">
        <v>7</v>
      </c>
      <c r="C78" s="4">
        <v>0</v>
      </c>
      <c r="D78" s="3">
        <f t="shared" si="4"/>
        <v>0</v>
      </c>
      <c r="E78" s="4">
        <v>10.51351</v>
      </c>
      <c r="F78" s="1">
        <f t="shared" si="5"/>
        <v>0.04</v>
      </c>
      <c r="G78" s="5">
        <f t="shared" si="6"/>
        <v>0</v>
      </c>
    </row>
    <row r="79" spans="1:7" x14ac:dyDescent="0.25">
      <c r="A79" s="13" t="s">
        <v>32</v>
      </c>
      <c r="B79" s="3">
        <v>1</v>
      </c>
      <c r="C79" s="4">
        <v>0</v>
      </c>
      <c r="D79" s="3">
        <f t="shared" si="4"/>
        <v>0</v>
      </c>
      <c r="E79" s="4">
        <v>10.347099999999999</v>
      </c>
      <c r="F79" s="1">
        <f t="shared" si="5"/>
        <v>0.04</v>
      </c>
      <c r="G79" s="5">
        <f t="shared" si="6"/>
        <v>0</v>
      </c>
    </row>
    <row r="80" spans="1:7" x14ac:dyDescent="0.25">
      <c r="A80" s="13" t="s">
        <v>32</v>
      </c>
      <c r="B80" s="3">
        <v>2</v>
      </c>
      <c r="C80" s="4">
        <v>0</v>
      </c>
      <c r="D80" s="3">
        <f t="shared" si="4"/>
        <v>0</v>
      </c>
      <c r="E80" s="4">
        <v>11.05768</v>
      </c>
      <c r="F80" s="1">
        <f t="shared" si="5"/>
        <v>0.04</v>
      </c>
      <c r="G80" s="5">
        <f t="shared" si="6"/>
        <v>0</v>
      </c>
    </row>
    <row r="81" spans="1:7" x14ac:dyDescent="0.25">
      <c r="A81" s="13" t="s">
        <v>32</v>
      </c>
      <c r="B81" s="3">
        <v>8</v>
      </c>
      <c r="C81" s="4">
        <v>0</v>
      </c>
      <c r="D81" s="3">
        <f t="shared" si="4"/>
        <v>0</v>
      </c>
      <c r="E81" s="4">
        <v>5.75</v>
      </c>
      <c r="F81" s="1">
        <f t="shared" si="5"/>
        <v>0.04</v>
      </c>
      <c r="G81" s="5">
        <f t="shared" si="6"/>
        <v>0</v>
      </c>
    </row>
    <row r="82" spans="1:7" x14ac:dyDescent="0.25">
      <c r="A82" s="13" t="s">
        <v>32</v>
      </c>
      <c r="B82" s="3">
        <v>9</v>
      </c>
      <c r="C82" s="4">
        <v>0</v>
      </c>
      <c r="D82" s="3">
        <f t="shared" si="4"/>
        <v>0</v>
      </c>
      <c r="E82" s="4">
        <v>7.25</v>
      </c>
      <c r="F82" s="1">
        <f t="shared" si="5"/>
        <v>0.04</v>
      </c>
      <c r="G82" s="5">
        <f t="shared" si="6"/>
        <v>0</v>
      </c>
    </row>
    <row r="83" spans="1:7" x14ac:dyDescent="0.25">
      <c r="A83" s="13" t="s">
        <v>32</v>
      </c>
      <c r="B83" s="3">
        <v>3</v>
      </c>
      <c r="C83" s="4">
        <v>0</v>
      </c>
      <c r="D83" s="3">
        <f t="shared" si="4"/>
        <v>0</v>
      </c>
      <c r="E83" s="4">
        <v>10.7948</v>
      </c>
      <c r="F83" s="1">
        <f t="shared" si="5"/>
        <v>0.04</v>
      </c>
      <c r="G83" s="5">
        <f t="shared" si="6"/>
        <v>0</v>
      </c>
    </row>
    <row r="84" spans="1:7" x14ac:dyDescent="0.25">
      <c r="A84" s="13" t="s">
        <v>32</v>
      </c>
      <c r="B84" s="3">
        <v>4</v>
      </c>
      <c r="C84" s="4">
        <v>0</v>
      </c>
      <c r="D84" s="3">
        <f t="shared" si="4"/>
        <v>0</v>
      </c>
      <c r="E84" s="4">
        <v>10.084239999999999</v>
      </c>
      <c r="F84" s="1">
        <f t="shared" si="5"/>
        <v>0.04</v>
      </c>
      <c r="G84" s="5">
        <f t="shared" si="6"/>
        <v>0</v>
      </c>
    </row>
    <row r="85" spans="1:7" x14ac:dyDescent="0.25">
      <c r="A85" s="13" t="s">
        <v>32</v>
      </c>
      <c r="B85" s="3">
        <v>10</v>
      </c>
      <c r="C85" s="4">
        <v>0</v>
      </c>
      <c r="D85" s="3">
        <f t="shared" si="4"/>
        <v>0</v>
      </c>
      <c r="E85" s="4">
        <v>6.15</v>
      </c>
      <c r="F85" s="1">
        <f t="shared" si="5"/>
        <v>0.04</v>
      </c>
      <c r="G85" s="5">
        <f t="shared" si="6"/>
        <v>0</v>
      </c>
    </row>
    <row r="86" spans="1:7" x14ac:dyDescent="0.25">
      <c r="A86" s="13" t="s">
        <v>32</v>
      </c>
      <c r="B86" s="3">
        <v>5</v>
      </c>
      <c r="C86" s="4">
        <v>0</v>
      </c>
      <c r="D86" s="3">
        <f>C86*25</f>
        <v>0</v>
      </c>
      <c r="E86" s="4">
        <v>10.00794</v>
      </c>
      <c r="F86" s="1">
        <f t="shared" si="5"/>
        <v>0.04</v>
      </c>
      <c r="G86" s="5">
        <f>C86/E86</f>
        <v>0</v>
      </c>
    </row>
    <row r="87" spans="1:7" x14ac:dyDescent="0.25">
      <c r="A87" s="13" t="s">
        <v>32</v>
      </c>
      <c r="B87" s="3">
        <v>6</v>
      </c>
      <c r="C87" s="4">
        <v>0</v>
      </c>
      <c r="D87" s="3">
        <f>C87*25</f>
        <v>0</v>
      </c>
      <c r="E87" s="4">
        <v>10.872909999999999</v>
      </c>
      <c r="F87" s="1">
        <f t="shared" si="5"/>
        <v>0.04</v>
      </c>
      <c r="G87" s="5">
        <f>C87/E87</f>
        <v>0</v>
      </c>
    </row>
    <row r="88" spans="1:7" x14ac:dyDescent="0.25">
      <c r="A88" s="13" t="s">
        <v>32</v>
      </c>
      <c r="B88" s="3">
        <v>7</v>
      </c>
      <c r="C88" s="4">
        <v>0</v>
      </c>
      <c r="D88" s="3">
        <f>C88*25</f>
        <v>0</v>
      </c>
      <c r="E88" s="4">
        <v>10.10557</v>
      </c>
      <c r="F88" s="1">
        <f>1/25</f>
        <v>0.04</v>
      </c>
      <c r="G88" s="5">
        <f>C88/E88</f>
        <v>0</v>
      </c>
    </row>
  </sheetData>
  <mergeCells count="8">
    <mergeCell ref="G15:H15"/>
    <mergeCell ref="A1:A2"/>
    <mergeCell ref="B1:B2"/>
    <mergeCell ref="D1:D2"/>
    <mergeCell ref="G1:H1"/>
    <mergeCell ref="E1:F1"/>
    <mergeCell ref="C1:C2"/>
    <mergeCell ref="G2:H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C4C5-EDF0-4B3B-A287-0849633C92BF}">
  <dimension ref="A1:AM88"/>
  <sheetViews>
    <sheetView zoomScaleNormal="100" workbookViewId="0">
      <pane ySplit="1" topLeftCell="A19" activePane="bottomLeft" state="frozen"/>
      <selection pane="bottomLeft" activeCell="U32" sqref="U32:V32"/>
    </sheetView>
  </sheetViews>
  <sheetFormatPr defaultRowHeight="15" x14ac:dyDescent="0.25"/>
  <cols>
    <col min="1" max="1" width="13.28515625" bestFit="1" customWidth="1"/>
    <col min="3" max="3" width="19.85546875" bestFit="1" customWidth="1"/>
    <col min="4" max="4" width="9" customWidth="1"/>
    <col min="5" max="5" width="16.28515625" bestFit="1" customWidth="1"/>
    <col min="6" max="6" width="12.7109375" bestFit="1" customWidth="1"/>
    <col min="7" max="7" width="17.5703125" bestFit="1" customWidth="1"/>
    <col min="8" max="8" width="22.140625" bestFit="1" customWidth="1"/>
    <col min="9" max="13" width="22.140625" customWidth="1"/>
    <col min="14" max="14" width="23.7109375" bestFit="1" customWidth="1"/>
    <col min="15" max="15" width="18.42578125" bestFit="1" customWidth="1"/>
    <col min="19" max="19" width="12" customWidth="1"/>
    <col min="21" max="21" width="9.7109375" customWidth="1"/>
    <col min="22" max="22" width="13.85546875" customWidth="1"/>
    <col min="23" max="23" width="20.85546875" customWidth="1"/>
    <col min="39" max="39" width="7.140625" bestFit="1" customWidth="1"/>
  </cols>
  <sheetData>
    <row r="1" spans="1:39" ht="36" customHeight="1" x14ac:dyDescent="0.25">
      <c r="A1" s="3" t="s">
        <v>16</v>
      </c>
      <c r="B1" s="3" t="s">
        <v>24</v>
      </c>
      <c r="C1" s="15" t="s">
        <v>33</v>
      </c>
      <c r="D1" s="3" t="s">
        <v>25</v>
      </c>
      <c r="E1" s="15" t="s">
        <v>96</v>
      </c>
      <c r="F1" s="1" t="s">
        <v>36</v>
      </c>
      <c r="G1" s="3" t="s">
        <v>14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3" t="s">
        <v>42</v>
      </c>
      <c r="N1" s="22" t="s">
        <v>63</v>
      </c>
      <c r="O1" s="22" t="s">
        <v>49</v>
      </c>
      <c r="P1" s="22" t="s">
        <v>44</v>
      </c>
      <c r="Q1" s="22" t="s">
        <v>45</v>
      </c>
      <c r="R1" s="24" t="s">
        <v>46</v>
      </c>
      <c r="S1" s="22" t="s">
        <v>48</v>
      </c>
      <c r="T1" s="24" t="s">
        <v>47</v>
      </c>
      <c r="U1" s="22" t="s">
        <v>51</v>
      </c>
      <c r="V1" s="24" t="s">
        <v>50</v>
      </c>
    </row>
    <row r="2" spans="1:39" x14ac:dyDescent="0.25">
      <c r="A2" s="4" t="s">
        <v>19</v>
      </c>
      <c r="B2" s="4">
        <v>1</v>
      </c>
      <c r="C2" s="16">
        <v>9.0999999999999998E-2</v>
      </c>
      <c r="D2" s="3">
        <v>0.09</v>
      </c>
      <c r="E2" s="3">
        <v>0</v>
      </c>
      <c r="F2" s="3">
        <f>3.2874*C2-0.1838</f>
        <v>0.11535339999999997</v>
      </c>
      <c r="G2" s="3">
        <v>0.51373000000000002</v>
      </c>
      <c r="H2" s="3">
        <f t="shared" ref="H2:H33" si="0">(C2-D2)</f>
        <v>1.0000000000000009E-3</v>
      </c>
      <c r="I2" s="3">
        <f>H2*1000</f>
        <v>1.0000000000000009</v>
      </c>
      <c r="J2" s="3">
        <v>12.85749</v>
      </c>
      <c r="K2" s="3">
        <f>J2/1000</f>
        <v>1.2857490000000001E-2</v>
      </c>
      <c r="L2" s="3">
        <f>I2*K2</f>
        <v>1.2857490000000013E-2</v>
      </c>
      <c r="M2" s="3">
        <f>(L2/G2)</f>
        <v>2.5027718840636155E-2</v>
      </c>
      <c r="N2" s="3">
        <v>2.99295755294118</v>
      </c>
      <c r="O2" s="3">
        <f>M2+N2</f>
        <v>3.0179852717818161</v>
      </c>
      <c r="P2">
        <f>F2/O2</f>
        <v>3.8221989046320098E-2</v>
      </c>
      <c r="Q2">
        <v>3.7600000000000001E-2</v>
      </c>
      <c r="R2">
        <f>1/Q2</f>
        <v>26.595744680851062</v>
      </c>
      <c r="S2">
        <v>4.1000000000000002E-2</v>
      </c>
      <c r="T2">
        <f>1/(S2*R2)</f>
        <v>0.91707317073170724</v>
      </c>
      <c r="U2">
        <f>EXP((0-12.611)/4.8931)</f>
        <v>7.5978662672861991E-2</v>
      </c>
      <c r="V2">
        <v>2.5000000000000001E-2</v>
      </c>
    </row>
    <row r="3" spans="1:39" x14ac:dyDescent="0.25">
      <c r="A3" s="4" t="s">
        <v>19</v>
      </c>
      <c r="B3" s="4">
        <v>2</v>
      </c>
      <c r="C3" s="16">
        <v>9.0999999999999998E-2</v>
      </c>
      <c r="D3" s="3">
        <v>9.6000000000000002E-2</v>
      </c>
      <c r="E3" s="3">
        <v>0.01</v>
      </c>
      <c r="F3" s="3">
        <f>3.2874*C3-0.1838</f>
        <v>0.11535339999999997</v>
      </c>
      <c r="G3" s="3">
        <v>0.54849999999999999</v>
      </c>
      <c r="H3" s="3">
        <f t="shared" si="0"/>
        <v>-5.0000000000000044E-3</v>
      </c>
      <c r="I3" s="3">
        <f t="shared" ref="I3:I61" si="1">H3*1000</f>
        <v>-5.0000000000000044</v>
      </c>
      <c r="J3" s="3">
        <v>13.747439999999999</v>
      </c>
      <c r="K3" s="3">
        <f t="shared" ref="K3:K41" si="2">J3/1000</f>
        <v>1.374744E-2</v>
      </c>
      <c r="L3" s="3">
        <f t="shared" ref="L3:L41" si="3">I3*K3</f>
        <v>-6.8737200000000054E-2</v>
      </c>
      <c r="M3" s="3">
        <f>ABS(L3/G3)</f>
        <v>0.12531850501367375</v>
      </c>
      <c r="N3" s="3">
        <v>2.99295755294118</v>
      </c>
      <c r="O3" s="3">
        <f t="shared" ref="O3:O41" si="4">M3+N3</f>
        <v>3.1182760579548536</v>
      </c>
      <c r="P3">
        <f t="shared" ref="P3:P41" si="5">F3/O3</f>
        <v>3.6992683731681991E-2</v>
      </c>
      <c r="Q3">
        <v>3.7600000000000001E-2</v>
      </c>
      <c r="R3">
        <f t="shared" ref="R3:R41" si="6">1/Q3</f>
        <v>26.595744680851062</v>
      </c>
      <c r="S3">
        <v>4.1000000000000002E-2</v>
      </c>
      <c r="T3">
        <f t="shared" ref="T3:T41" si="7">1/(S3*R3)</f>
        <v>0.91707317073170724</v>
      </c>
      <c r="U3">
        <f>EXP((0-11.137)/3.897)</f>
        <v>5.7392631004356785E-2</v>
      </c>
      <c r="V3" t="s">
        <v>57</v>
      </c>
    </row>
    <row r="4" spans="1:39" x14ac:dyDescent="0.25">
      <c r="A4" s="4" t="s">
        <v>19</v>
      </c>
      <c r="B4" s="4">
        <v>8</v>
      </c>
      <c r="C4" s="16">
        <v>8.6999999999999994E-2</v>
      </c>
      <c r="D4" s="3">
        <v>9.8000000000000004E-2</v>
      </c>
      <c r="E4" s="3">
        <v>4.9198979121183241E-2</v>
      </c>
      <c r="F4" s="3">
        <f>2.2533*C4-0.0076</f>
        <v>0.18843709999999997</v>
      </c>
      <c r="G4" s="3">
        <v>0.52500999999999998</v>
      </c>
      <c r="H4" s="3">
        <f t="shared" si="0"/>
        <v>-1.100000000000001E-2</v>
      </c>
      <c r="I4" s="3">
        <f t="shared" si="1"/>
        <v>-11.000000000000011</v>
      </c>
      <c r="J4" s="3">
        <v>13.13</v>
      </c>
      <c r="K4" s="3">
        <f t="shared" si="2"/>
        <v>1.3130000000000001E-2</v>
      </c>
      <c r="L4" s="3">
        <f t="shared" si="3"/>
        <v>-0.14443000000000014</v>
      </c>
      <c r="M4" s="3">
        <f>ABS(L4/G4)</f>
        <v>0.27509952191386861</v>
      </c>
      <c r="N4" s="3">
        <v>2.99295755294118</v>
      </c>
      <c r="O4" s="3">
        <f t="shared" si="4"/>
        <v>3.2680570748550486</v>
      </c>
      <c r="P4">
        <f t="shared" si="5"/>
        <v>5.7660284286301183E-2</v>
      </c>
      <c r="Q4">
        <v>3.7600000000000001E-2</v>
      </c>
      <c r="R4">
        <f t="shared" si="6"/>
        <v>26.595744680851062</v>
      </c>
      <c r="S4">
        <v>4.1000000000000002E-2</v>
      </c>
      <c r="T4">
        <f t="shared" si="7"/>
        <v>0.91707317073170724</v>
      </c>
    </row>
    <row r="5" spans="1:39" x14ac:dyDescent="0.25">
      <c r="A5" s="4" t="s">
        <v>19</v>
      </c>
      <c r="B5" s="4">
        <v>9</v>
      </c>
      <c r="C5" s="16">
        <v>9.6000000000000002E-2</v>
      </c>
      <c r="D5" s="3">
        <v>0.13300000000000001</v>
      </c>
      <c r="E5" s="3">
        <v>9.7536998778867484E-2</v>
      </c>
      <c r="F5" s="3">
        <f>2.2533*C5-0.0076</f>
        <v>0.20871680000000001</v>
      </c>
      <c r="G5" s="3">
        <v>0.51966000000000001</v>
      </c>
      <c r="H5" s="3">
        <f t="shared" si="0"/>
        <v>-3.7000000000000005E-2</v>
      </c>
      <c r="I5" s="3">
        <f t="shared" si="1"/>
        <v>-37.000000000000007</v>
      </c>
      <c r="J5" s="3">
        <v>12.99</v>
      </c>
      <c r="K5" s="3">
        <f t="shared" si="2"/>
        <v>1.299E-2</v>
      </c>
      <c r="L5" s="3">
        <f t="shared" si="3"/>
        <v>-0.48063000000000011</v>
      </c>
      <c r="M5" s="3">
        <f>ABS(L5/G5)</f>
        <v>0.92489319939960768</v>
      </c>
      <c r="N5" s="3">
        <v>2.99295755294118</v>
      </c>
      <c r="O5" s="3">
        <f t="shared" si="4"/>
        <v>3.9178507523407875</v>
      </c>
      <c r="P5">
        <f t="shared" si="5"/>
        <v>5.3273290177094819E-2</v>
      </c>
      <c r="Q5">
        <v>3.7600000000000001E-2</v>
      </c>
      <c r="R5">
        <f t="shared" si="6"/>
        <v>26.595744680851062</v>
      </c>
      <c r="S5">
        <v>4.1000000000000002E-2</v>
      </c>
      <c r="T5">
        <f t="shared" si="7"/>
        <v>0.91707317073170724</v>
      </c>
    </row>
    <row r="6" spans="1:39" x14ac:dyDescent="0.25">
      <c r="A6" s="4" t="s">
        <v>19</v>
      </c>
      <c r="B6" s="4">
        <v>3</v>
      </c>
      <c r="C6" s="16">
        <v>0.114</v>
      </c>
      <c r="D6" s="3">
        <v>0.20300000000000001</v>
      </c>
      <c r="E6" s="3">
        <v>0.26991902429271225</v>
      </c>
      <c r="F6" s="3">
        <f>3.2874*C6-0.1838</f>
        <v>0.19096359999999998</v>
      </c>
      <c r="G6" s="3">
        <v>0.58821000000000001</v>
      </c>
      <c r="H6" s="3">
        <f t="shared" si="0"/>
        <v>-8.900000000000001E-2</v>
      </c>
      <c r="I6" s="3">
        <f t="shared" si="1"/>
        <v>-89.000000000000014</v>
      </c>
      <c r="J6" s="3">
        <v>14.748430000000001</v>
      </c>
      <c r="K6" s="3">
        <f t="shared" si="2"/>
        <v>1.4748430000000002E-2</v>
      </c>
      <c r="L6" s="3">
        <f t="shared" si="3"/>
        <v>-1.3126102700000004</v>
      </c>
      <c r="M6" s="3">
        <f t="shared" ref="M6:M41" si="8">ABS(L6/G6)</f>
        <v>2.2315334149368429</v>
      </c>
      <c r="N6" s="3">
        <v>2.99295755294118</v>
      </c>
      <c r="O6" s="3">
        <f t="shared" si="4"/>
        <v>5.2244909678780225</v>
      </c>
      <c r="P6">
        <f t="shared" si="5"/>
        <v>3.6551618363226242E-2</v>
      </c>
      <c r="Q6">
        <v>3.7600000000000001E-2</v>
      </c>
      <c r="R6">
        <f t="shared" si="6"/>
        <v>26.595744680851062</v>
      </c>
      <c r="S6">
        <v>4.1000000000000002E-2</v>
      </c>
      <c r="T6">
        <f t="shared" si="7"/>
        <v>0.91707317073170724</v>
      </c>
    </row>
    <row r="7" spans="1:39" x14ac:dyDescent="0.25">
      <c r="A7" s="4" t="s">
        <v>19</v>
      </c>
      <c r="B7" s="4">
        <v>4</v>
      </c>
      <c r="C7" s="16">
        <v>0.15</v>
      </c>
      <c r="D7" s="3">
        <v>0.307</v>
      </c>
      <c r="E7" s="3">
        <v>0.5098980203959208</v>
      </c>
      <c r="F7" s="3">
        <f>3.2874*C7-0.1838</f>
        <v>0.30930999999999997</v>
      </c>
      <c r="G7" s="3">
        <v>0.50490000000000002</v>
      </c>
      <c r="H7" s="3">
        <f t="shared" si="0"/>
        <v>-0.157</v>
      </c>
      <c r="I7" s="3">
        <f t="shared" si="1"/>
        <v>-157</v>
      </c>
      <c r="J7" s="3">
        <v>12.659079999999999</v>
      </c>
      <c r="K7" s="3">
        <f t="shared" si="2"/>
        <v>1.265908E-2</v>
      </c>
      <c r="L7" s="3">
        <f t="shared" si="3"/>
        <v>-1.98747556</v>
      </c>
      <c r="M7" s="3">
        <f t="shared" si="8"/>
        <v>3.9363746484452364</v>
      </c>
      <c r="N7" s="3">
        <v>2.99295755294118</v>
      </c>
      <c r="O7" s="3">
        <f t="shared" si="4"/>
        <v>6.9293322013864165</v>
      </c>
      <c r="P7">
        <f t="shared" si="5"/>
        <v>4.4637779083259048E-2</v>
      </c>
      <c r="Q7">
        <v>3.7600000000000001E-2</v>
      </c>
      <c r="R7">
        <f t="shared" si="6"/>
        <v>26.595744680851062</v>
      </c>
      <c r="S7">
        <v>4.1000000000000002E-2</v>
      </c>
      <c r="T7">
        <f t="shared" si="7"/>
        <v>0.91707317073170724</v>
      </c>
      <c r="AM7" t="e">
        <f>(3.8976*LN(0))+11.137</f>
        <v>#NUM!</v>
      </c>
    </row>
    <row r="8" spans="1:39" x14ac:dyDescent="0.25">
      <c r="A8" s="4" t="s">
        <v>19</v>
      </c>
      <c r="B8" s="4">
        <v>10</v>
      </c>
      <c r="C8" s="16">
        <v>0.20200000000000001</v>
      </c>
      <c r="D8" s="3">
        <v>0.44</v>
      </c>
      <c r="E8" s="3">
        <v>0.74181313851740782</v>
      </c>
      <c r="F8" s="3">
        <f>2.2533*C8-0.0076</f>
        <v>0.44756659999999998</v>
      </c>
      <c r="G8" s="3">
        <v>0.51997000000000004</v>
      </c>
      <c r="H8" s="3">
        <f t="shared" si="0"/>
        <v>-0.23799999999999999</v>
      </c>
      <c r="I8" s="3">
        <f t="shared" si="1"/>
        <v>-238</v>
      </c>
      <c r="J8" s="3">
        <v>12.99</v>
      </c>
      <c r="K8" s="3">
        <f t="shared" si="2"/>
        <v>1.299E-2</v>
      </c>
      <c r="L8" s="3">
        <f t="shared" si="3"/>
        <v>-3.0916199999999998</v>
      </c>
      <c r="M8" s="3">
        <f t="shared" si="8"/>
        <v>5.9457661018904933</v>
      </c>
      <c r="N8" s="3">
        <v>2.99295755294118</v>
      </c>
      <c r="O8" s="3">
        <f t="shared" si="4"/>
        <v>8.9387236548316729</v>
      </c>
      <c r="P8">
        <f t="shared" si="5"/>
        <v>5.0070526540785899E-2</v>
      </c>
      <c r="Q8">
        <v>3.7600000000000001E-2</v>
      </c>
      <c r="R8">
        <f t="shared" si="6"/>
        <v>26.595744680851062</v>
      </c>
      <c r="S8">
        <v>4.1000000000000002E-2</v>
      </c>
      <c r="T8">
        <f t="shared" si="7"/>
        <v>0.91707317073170724</v>
      </c>
    </row>
    <row r="9" spans="1:39" x14ac:dyDescent="0.25">
      <c r="A9" s="4" t="s">
        <v>19</v>
      </c>
      <c r="B9" s="4">
        <v>5</v>
      </c>
      <c r="C9" s="16">
        <v>0.27400000000000002</v>
      </c>
      <c r="D9" s="3">
        <v>0.55400000000000005</v>
      </c>
      <c r="E9" s="3">
        <v>1.0592585190366743</v>
      </c>
      <c r="F9" s="3">
        <f>3.2874*C9-0.1838</f>
        <v>0.71694760000000002</v>
      </c>
      <c r="G9" s="3">
        <v>0.53242</v>
      </c>
      <c r="H9" s="3">
        <f t="shared" si="0"/>
        <v>-0.28000000000000003</v>
      </c>
      <c r="I9" s="3">
        <f t="shared" si="1"/>
        <v>-280</v>
      </c>
      <c r="J9" s="3">
        <v>13.393380000000001</v>
      </c>
      <c r="K9" s="3">
        <f t="shared" si="2"/>
        <v>1.339338E-2</v>
      </c>
      <c r="L9" s="3">
        <f t="shared" si="3"/>
        <v>-3.7501463999999998</v>
      </c>
      <c r="M9" s="3">
        <f t="shared" si="8"/>
        <v>7.0435866421246383</v>
      </c>
      <c r="N9" s="3">
        <v>2.9929575529411787</v>
      </c>
      <c r="O9" s="3">
        <f t="shared" si="4"/>
        <v>10.036544195065817</v>
      </c>
      <c r="P9">
        <f t="shared" si="5"/>
        <v>7.1433711252172544E-2</v>
      </c>
      <c r="Q9">
        <v>3.7600000000000001E-2</v>
      </c>
      <c r="R9">
        <f t="shared" si="6"/>
        <v>26.595744680851062</v>
      </c>
      <c r="S9">
        <v>4.1000000000000002E-2</v>
      </c>
      <c r="T9">
        <f t="shared" si="7"/>
        <v>0.91707317073170724</v>
      </c>
    </row>
    <row r="10" spans="1:39" x14ac:dyDescent="0.25">
      <c r="A10" s="4" t="s">
        <v>19</v>
      </c>
      <c r="B10" s="4">
        <v>6</v>
      </c>
      <c r="C10" s="16">
        <v>1.2669999999999999</v>
      </c>
      <c r="D10" s="3">
        <v>1.7949999999999999</v>
      </c>
      <c r="E10" s="3">
        <v>5.0179928028788492</v>
      </c>
      <c r="F10" s="3">
        <f>3.2874*C10-0.1838</f>
        <v>3.9813357999999996</v>
      </c>
      <c r="G10" s="3">
        <v>0.51666999999999996</v>
      </c>
      <c r="H10" s="3">
        <f t="shared" si="0"/>
        <v>-0.52800000000000002</v>
      </c>
      <c r="I10" s="3">
        <f t="shared" si="1"/>
        <v>-528</v>
      </c>
      <c r="J10" s="3">
        <v>12.98028</v>
      </c>
      <c r="K10" s="3">
        <f t="shared" si="2"/>
        <v>1.298028E-2</v>
      </c>
      <c r="L10" s="3">
        <f t="shared" si="3"/>
        <v>-6.8535878400000003</v>
      </c>
      <c r="M10" s="3">
        <f t="shared" si="8"/>
        <v>13.264923142431341</v>
      </c>
      <c r="N10" s="3">
        <v>2.9929575529411787</v>
      </c>
      <c r="O10" s="3">
        <f t="shared" si="4"/>
        <v>16.257880695372521</v>
      </c>
      <c r="P10">
        <f t="shared" si="5"/>
        <v>0.24488651839678016</v>
      </c>
      <c r="Q10">
        <v>3.7600000000000001E-2</v>
      </c>
      <c r="R10">
        <f t="shared" si="6"/>
        <v>26.595744680851062</v>
      </c>
      <c r="S10">
        <v>4.1000000000000002E-2</v>
      </c>
      <c r="T10">
        <f t="shared" si="7"/>
        <v>0.91707317073170724</v>
      </c>
    </row>
    <row r="11" spans="1:39" x14ac:dyDescent="0.25">
      <c r="A11" s="4" t="s">
        <v>19</v>
      </c>
      <c r="B11" s="4">
        <v>7</v>
      </c>
      <c r="C11" s="16">
        <v>2.2679999999999998</v>
      </c>
      <c r="D11" s="3">
        <v>3.153</v>
      </c>
      <c r="E11" s="3">
        <v>10.150713644076257</v>
      </c>
      <c r="F11" s="3">
        <f>3.2874*C11-0.1838</f>
        <v>7.2720231999999996</v>
      </c>
      <c r="G11" s="3">
        <v>0.54822000000000004</v>
      </c>
      <c r="H11" s="3">
        <f t="shared" si="0"/>
        <v>-0.88500000000000023</v>
      </c>
      <c r="I11" s="3">
        <f t="shared" si="1"/>
        <v>-885.00000000000023</v>
      </c>
      <c r="J11" s="3">
        <v>13.9405</v>
      </c>
      <c r="K11" s="3">
        <f t="shared" si="2"/>
        <v>1.39405E-2</v>
      </c>
      <c r="L11" s="3">
        <f t="shared" si="3"/>
        <v>-12.337342500000004</v>
      </c>
      <c r="M11" s="3">
        <f t="shared" si="8"/>
        <v>22.504364123891872</v>
      </c>
      <c r="N11" s="3">
        <v>2.9929575529411787</v>
      </c>
      <c r="O11" s="3">
        <f t="shared" si="4"/>
        <v>25.49732167683305</v>
      </c>
      <c r="P11">
        <f t="shared" si="5"/>
        <v>0.28520733636926987</v>
      </c>
      <c r="Q11">
        <v>3.7600000000000001E-2</v>
      </c>
      <c r="R11">
        <f t="shared" si="6"/>
        <v>26.595744680851062</v>
      </c>
      <c r="S11">
        <v>4.1000000000000002E-2</v>
      </c>
      <c r="T11">
        <f t="shared" si="7"/>
        <v>0.91707317073170724</v>
      </c>
    </row>
    <row r="12" spans="1:39" x14ac:dyDescent="0.25">
      <c r="A12" s="7" t="s">
        <v>20</v>
      </c>
      <c r="B12" s="7">
        <v>1</v>
      </c>
      <c r="C12" s="17">
        <v>9.6000000000000002E-2</v>
      </c>
      <c r="D12" s="3">
        <v>0.09</v>
      </c>
      <c r="E12" s="3">
        <v>0</v>
      </c>
      <c r="F12" s="3">
        <f>3.2874*C12-0.1838</f>
        <v>0.1317904</v>
      </c>
      <c r="G12" s="3">
        <v>0.52003999999999995</v>
      </c>
      <c r="H12" s="3">
        <f t="shared" si="0"/>
        <v>6.0000000000000053E-3</v>
      </c>
      <c r="I12" s="3">
        <f t="shared" si="1"/>
        <v>6.0000000000000053</v>
      </c>
      <c r="J12" s="3">
        <v>13.019819999999999</v>
      </c>
      <c r="K12" s="3">
        <f t="shared" si="2"/>
        <v>1.301982E-2</v>
      </c>
      <c r="L12" s="3">
        <f t="shared" si="3"/>
        <v>7.8118920000000064E-2</v>
      </c>
      <c r="M12" s="3">
        <f t="shared" si="8"/>
        <v>0.15021713714329682</v>
      </c>
      <c r="N12" s="3">
        <v>3.474964628230619</v>
      </c>
      <c r="O12" s="3">
        <f t="shared" si="4"/>
        <v>3.6251817653739158</v>
      </c>
      <c r="P12">
        <f t="shared" si="5"/>
        <v>3.63541495377699E-2</v>
      </c>
      <c r="Q12">
        <v>2.5100000000000001E-2</v>
      </c>
      <c r="R12">
        <f t="shared" si="6"/>
        <v>39.840637450199203</v>
      </c>
      <c r="S12">
        <v>3.5200000000000002E-2</v>
      </c>
      <c r="T12">
        <f t="shared" si="7"/>
        <v>0.71306818181818177</v>
      </c>
      <c r="U12">
        <f>EXP((0-17.578)/7.4573)</f>
        <v>9.4689383349236905E-2</v>
      </c>
      <c r="V12">
        <v>2.1999999999999999E-2</v>
      </c>
    </row>
    <row r="13" spans="1:39" x14ac:dyDescent="0.25">
      <c r="A13" s="7" t="s">
        <v>20</v>
      </c>
      <c r="B13" s="7">
        <v>2</v>
      </c>
      <c r="C13" s="17">
        <v>9.6000000000000002E-2</v>
      </c>
      <c r="D13" s="3">
        <v>9.6000000000000002E-2</v>
      </c>
      <c r="E13" s="3">
        <v>0.01</v>
      </c>
      <c r="F13" s="3">
        <f>3.2874*C13-0.1838</f>
        <v>0.1317904</v>
      </c>
      <c r="G13" s="3">
        <v>0.56325000000000003</v>
      </c>
      <c r="H13" s="3">
        <f t="shared" si="0"/>
        <v>0</v>
      </c>
      <c r="I13" s="3">
        <f t="shared" si="1"/>
        <v>0</v>
      </c>
      <c r="J13" s="3">
        <v>14.21668</v>
      </c>
      <c r="K13" s="3">
        <f t="shared" si="2"/>
        <v>1.4216680000000001E-2</v>
      </c>
      <c r="L13" s="3">
        <f t="shared" si="3"/>
        <v>0</v>
      </c>
      <c r="M13" s="3">
        <f t="shared" si="8"/>
        <v>0</v>
      </c>
      <c r="N13" s="3">
        <v>3.474964628230619</v>
      </c>
      <c r="O13" s="3">
        <f t="shared" si="4"/>
        <v>3.474964628230619</v>
      </c>
      <c r="P13">
        <f t="shared" si="5"/>
        <v>3.7925681006745954E-2</v>
      </c>
      <c r="Q13">
        <v>2.5100000000000001E-2</v>
      </c>
      <c r="R13">
        <f t="shared" si="6"/>
        <v>39.840637450199203</v>
      </c>
      <c r="S13">
        <v>3.5200000000000002E-2</v>
      </c>
      <c r="T13">
        <f t="shared" si="7"/>
        <v>0.71306818181818177</v>
      </c>
      <c r="U13">
        <f>EXP((0-17.578)/7.4573)</f>
        <v>9.4689383349236905E-2</v>
      </c>
      <c r="V13" t="s">
        <v>57</v>
      </c>
    </row>
    <row r="14" spans="1:39" x14ac:dyDescent="0.25">
      <c r="A14" s="7" t="s">
        <v>20</v>
      </c>
      <c r="B14" s="7">
        <v>8</v>
      </c>
      <c r="C14" s="17">
        <v>9.1999999999999998E-2</v>
      </c>
      <c r="D14" s="3">
        <v>9.8000000000000004E-2</v>
      </c>
      <c r="E14" s="3">
        <v>4.9198979121183241E-2</v>
      </c>
      <c r="F14" s="3">
        <f>2.2533*C14-0.0076</f>
        <v>0.19970359999999998</v>
      </c>
      <c r="G14" s="3">
        <v>0.51266999999999996</v>
      </c>
      <c r="H14" s="3">
        <f t="shared" si="0"/>
        <v>-6.0000000000000053E-3</v>
      </c>
      <c r="I14" s="3">
        <f t="shared" si="1"/>
        <v>-6.0000000000000053</v>
      </c>
      <c r="J14" s="3">
        <v>12.81</v>
      </c>
      <c r="K14" s="3">
        <f t="shared" si="2"/>
        <v>1.281E-2</v>
      </c>
      <c r="L14" s="3">
        <f t="shared" si="3"/>
        <v>-7.6860000000000067E-2</v>
      </c>
      <c r="M14" s="3">
        <f t="shared" si="8"/>
        <v>0.14992100181403256</v>
      </c>
      <c r="N14" s="3">
        <v>3.474964628230619</v>
      </c>
      <c r="O14" s="3">
        <f t="shared" si="4"/>
        <v>3.6248856300446515</v>
      </c>
      <c r="P14">
        <f t="shared" si="5"/>
        <v>5.5092386458973609E-2</v>
      </c>
      <c r="Q14">
        <v>2.5100000000000001E-2</v>
      </c>
      <c r="R14">
        <f t="shared" si="6"/>
        <v>39.840637450199203</v>
      </c>
      <c r="S14">
        <v>3.5200000000000002E-2</v>
      </c>
      <c r="T14">
        <f t="shared" si="7"/>
        <v>0.71306818181818177</v>
      </c>
    </row>
    <row r="15" spans="1:39" x14ac:dyDescent="0.25">
      <c r="A15" s="7" t="s">
        <v>20</v>
      </c>
      <c r="B15" s="7">
        <v>9</v>
      </c>
      <c r="C15" s="17">
        <v>9.4E-2</v>
      </c>
      <c r="D15" s="3">
        <v>0.13300000000000001</v>
      </c>
      <c r="E15" s="3">
        <v>9.7536998778867484E-2</v>
      </c>
      <c r="F15" s="3">
        <f>2.2533*C15-0.0076</f>
        <v>0.20421019999999998</v>
      </c>
      <c r="G15" s="3">
        <v>0.50900999999999996</v>
      </c>
      <c r="H15" s="3">
        <f t="shared" si="0"/>
        <v>-3.9000000000000007E-2</v>
      </c>
      <c r="I15" s="3">
        <f t="shared" si="1"/>
        <v>-39.000000000000007</v>
      </c>
      <c r="J15" s="3">
        <v>12.72</v>
      </c>
      <c r="K15" s="3">
        <f t="shared" si="2"/>
        <v>1.272E-2</v>
      </c>
      <c r="L15" s="3">
        <f t="shared" si="3"/>
        <v>-0.49608000000000013</v>
      </c>
      <c r="M15" s="3">
        <f t="shared" si="8"/>
        <v>0.97459774857075532</v>
      </c>
      <c r="N15" s="3">
        <v>3.474964628230619</v>
      </c>
      <c r="O15" s="3">
        <f t="shared" si="4"/>
        <v>4.4495623768013743</v>
      </c>
      <c r="P15">
        <f t="shared" si="5"/>
        <v>4.5894445949266394E-2</v>
      </c>
      <c r="Q15">
        <v>2.5100000000000001E-2</v>
      </c>
      <c r="R15">
        <f t="shared" si="6"/>
        <v>39.840637450199203</v>
      </c>
      <c r="S15">
        <v>3.5200000000000002E-2</v>
      </c>
      <c r="T15">
        <f t="shared" si="7"/>
        <v>0.71306818181818177</v>
      </c>
    </row>
    <row r="16" spans="1:39" x14ac:dyDescent="0.25">
      <c r="A16" s="7" t="s">
        <v>20</v>
      </c>
      <c r="B16" s="7">
        <v>3</v>
      </c>
      <c r="C16" s="17">
        <v>0.109</v>
      </c>
      <c r="D16" s="3">
        <v>0.20300000000000001</v>
      </c>
      <c r="E16" s="3">
        <v>0.26991902429271225</v>
      </c>
      <c r="F16" s="3">
        <f>3.2874*C16-0.1838</f>
        <v>0.1745266</v>
      </c>
      <c r="G16" s="3">
        <v>0.54025000000000001</v>
      </c>
      <c r="H16" s="3">
        <f t="shared" si="0"/>
        <v>-9.4000000000000014E-2</v>
      </c>
      <c r="I16" s="3">
        <f t="shared" si="1"/>
        <v>-94.000000000000014</v>
      </c>
      <c r="J16" s="3">
        <v>13.60389</v>
      </c>
      <c r="K16" s="3">
        <f t="shared" si="2"/>
        <v>1.360389E-2</v>
      </c>
      <c r="L16" s="3">
        <f t="shared" si="3"/>
        <v>-1.2787656600000001</v>
      </c>
      <c r="M16" s="3">
        <f t="shared" si="8"/>
        <v>2.366988727441</v>
      </c>
      <c r="N16" s="3">
        <v>3.474964628230619</v>
      </c>
      <c r="O16" s="3">
        <f t="shared" si="4"/>
        <v>5.8419533556716186</v>
      </c>
      <c r="P16">
        <f t="shared" si="5"/>
        <v>2.9874699329901718E-2</v>
      </c>
      <c r="Q16">
        <v>2.5100000000000001E-2</v>
      </c>
      <c r="R16">
        <f t="shared" si="6"/>
        <v>39.840637450199203</v>
      </c>
      <c r="S16">
        <v>3.5200000000000002E-2</v>
      </c>
      <c r="T16">
        <f t="shared" si="7"/>
        <v>0.71306818181818177</v>
      </c>
    </row>
    <row r="17" spans="1:22" x14ac:dyDescent="0.25">
      <c r="A17" s="7" t="s">
        <v>20</v>
      </c>
      <c r="B17" s="7">
        <v>4</v>
      </c>
      <c r="C17" s="17">
        <v>0.13100000000000001</v>
      </c>
      <c r="D17" s="3">
        <v>0.307</v>
      </c>
      <c r="E17" s="3">
        <v>0.5098980203959208</v>
      </c>
      <c r="F17" s="3">
        <f>3.2874*C17-0.1838</f>
        <v>0.24684940000000002</v>
      </c>
      <c r="G17" s="3">
        <v>0.5706</v>
      </c>
      <c r="H17" s="3">
        <f t="shared" si="0"/>
        <v>-0.17599999999999999</v>
      </c>
      <c r="I17" s="3">
        <f t="shared" si="1"/>
        <v>-176</v>
      </c>
      <c r="J17" s="3">
        <v>14.33615</v>
      </c>
      <c r="K17" s="3">
        <f t="shared" si="2"/>
        <v>1.4336150000000001E-2</v>
      </c>
      <c r="L17" s="3">
        <f t="shared" si="3"/>
        <v>-2.5231623999999999</v>
      </c>
      <c r="M17" s="3">
        <f t="shared" si="8"/>
        <v>4.421946021731511</v>
      </c>
      <c r="N17" s="3">
        <v>3.474964628230619</v>
      </c>
      <c r="O17" s="3">
        <f t="shared" si="4"/>
        <v>7.8969106499621304</v>
      </c>
      <c r="P17">
        <f t="shared" si="5"/>
        <v>3.1258983536958697E-2</v>
      </c>
      <c r="Q17">
        <v>2.5100000000000001E-2</v>
      </c>
      <c r="R17">
        <f t="shared" si="6"/>
        <v>39.840637450199203</v>
      </c>
      <c r="S17">
        <v>3.5200000000000002E-2</v>
      </c>
      <c r="T17">
        <f t="shared" si="7"/>
        <v>0.71306818181818177</v>
      </c>
    </row>
    <row r="18" spans="1:22" x14ac:dyDescent="0.25">
      <c r="A18" s="7" t="s">
        <v>20</v>
      </c>
      <c r="B18" s="7">
        <v>10</v>
      </c>
      <c r="C18" s="17">
        <v>0.20499999999999999</v>
      </c>
      <c r="D18" s="3">
        <v>0.44</v>
      </c>
      <c r="E18" s="3">
        <v>0.74181313851740782</v>
      </c>
      <c r="F18" s="3">
        <f>2.2533*C18-0.0076</f>
        <v>0.45432649999999997</v>
      </c>
      <c r="G18" s="3">
        <v>0.53773000000000004</v>
      </c>
      <c r="H18" s="3">
        <f t="shared" si="0"/>
        <v>-0.23500000000000001</v>
      </c>
      <c r="I18" s="3">
        <f t="shared" si="1"/>
        <v>-235.00000000000003</v>
      </c>
      <c r="J18" s="3">
        <v>13.44</v>
      </c>
      <c r="K18" s="3">
        <f t="shared" si="2"/>
        <v>1.3439999999999999E-2</v>
      </c>
      <c r="L18" s="3">
        <f t="shared" si="3"/>
        <v>-3.1584000000000003</v>
      </c>
      <c r="M18" s="3">
        <f t="shared" si="8"/>
        <v>5.8735796775333347</v>
      </c>
      <c r="N18" s="3">
        <v>3.474964628230619</v>
      </c>
      <c r="O18" s="3">
        <f t="shared" si="4"/>
        <v>9.3485443057639532</v>
      </c>
      <c r="P18">
        <f t="shared" si="5"/>
        <v>4.8598635802568714E-2</v>
      </c>
      <c r="Q18">
        <v>2.5100000000000001E-2</v>
      </c>
      <c r="R18">
        <f t="shared" si="6"/>
        <v>39.840637450199203</v>
      </c>
      <c r="S18">
        <v>3.5200000000000002E-2</v>
      </c>
      <c r="T18">
        <f t="shared" si="7"/>
        <v>0.71306818181818177</v>
      </c>
    </row>
    <row r="19" spans="1:22" x14ac:dyDescent="0.25">
      <c r="A19" s="7" t="s">
        <v>20</v>
      </c>
      <c r="B19" s="7">
        <v>5</v>
      </c>
      <c r="C19" s="17">
        <v>0.185</v>
      </c>
      <c r="D19" s="3">
        <v>0.55400000000000005</v>
      </c>
      <c r="E19" s="3">
        <v>1.0592585190366743</v>
      </c>
      <c r="F19" s="3">
        <f>3.2874*C19-0.1838</f>
        <v>0.424369</v>
      </c>
      <c r="G19" s="3">
        <v>0.52754000000000001</v>
      </c>
      <c r="H19" s="3">
        <f t="shared" si="0"/>
        <v>-0.36900000000000005</v>
      </c>
      <c r="I19" s="3">
        <f t="shared" si="1"/>
        <v>-369.00000000000006</v>
      </c>
      <c r="J19" s="3">
        <v>13.25112</v>
      </c>
      <c r="K19" s="3">
        <f t="shared" si="2"/>
        <v>1.325112E-2</v>
      </c>
      <c r="L19" s="3">
        <f t="shared" si="3"/>
        <v>-4.8896632800000006</v>
      </c>
      <c r="M19" s="3">
        <f t="shared" si="8"/>
        <v>9.2688010008719726</v>
      </c>
      <c r="N19" s="3">
        <v>3.474964628230619</v>
      </c>
      <c r="O19" s="3">
        <f t="shared" si="4"/>
        <v>12.743765629102592</v>
      </c>
      <c r="P19">
        <f t="shared" si="5"/>
        <v>3.3300125908693738E-2</v>
      </c>
      <c r="Q19">
        <v>2.5100000000000001E-2</v>
      </c>
      <c r="R19">
        <f t="shared" si="6"/>
        <v>39.840637450199203</v>
      </c>
      <c r="S19">
        <v>3.5200000000000002E-2</v>
      </c>
      <c r="T19">
        <f t="shared" si="7"/>
        <v>0.71306818181818177</v>
      </c>
    </row>
    <row r="20" spans="1:22" x14ac:dyDescent="0.25">
      <c r="A20" s="7" t="s">
        <v>20</v>
      </c>
      <c r="B20" s="7">
        <v>6</v>
      </c>
      <c r="C20" s="17">
        <v>1.0289999999999999</v>
      </c>
      <c r="D20" s="3">
        <v>1.7949999999999999</v>
      </c>
      <c r="E20" s="3">
        <v>5.0179928028788492</v>
      </c>
      <c r="F20" s="3">
        <f>3.2874*C20-0.1838</f>
        <v>3.1989345999999994</v>
      </c>
      <c r="G20" s="3">
        <v>0.52102000000000004</v>
      </c>
      <c r="H20" s="3">
        <f t="shared" si="0"/>
        <v>-0.76600000000000001</v>
      </c>
      <c r="I20" s="3">
        <f t="shared" si="1"/>
        <v>-766</v>
      </c>
      <c r="J20" s="3">
        <v>13.221209999999999</v>
      </c>
      <c r="K20" s="3">
        <f t="shared" si="2"/>
        <v>1.3221209999999999E-2</v>
      </c>
      <c r="L20" s="3">
        <f t="shared" si="3"/>
        <v>-10.127446859999999</v>
      </c>
      <c r="M20" s="3">
        <f t="shared" si="8"/>
        <v>19.437731488234615</v>
      </c>
      <c r="N20" s="3">
        <v>3.474964628230619</v>
      </c>
      <c r="O20" s="3">
        <f t="shared" si="4"/>
        <v>22.912696116465234</v>
      </c>
      <c r="P20">
        <f t="shared" si="5"/>
        <v>0.13961406303910351</v>
      </c>
      <c r="Q20">
        <v>2.5100000000000001E-2</v>
      </c>
      <c r="R20">
        <f t="shared" si="6"/>
        <v>39.840637450199203</v>
      </c>
      <c r="S20">
        <v>3.5200000000000002E-2</v>
      </c>
      <c r="T20">
        <f t="shared" si="7"/>
        <v>0.71306818181818177</v>
      </c>
    </row>
    <row r="21" spans="1:22" x14ac:dyDescent="0.25">
      <c r="A21" s="7" t="s">
        <v>20</v>
      </c>
      <c r="B21" s="7">
        <v>7</v>
      </c>
      <c r="C21" s="17">
        <v>2.0270000000000001</v>
      </c>
      <c r="D21" s="3">
        <v>3.153</v>
      </c>
      <c r="E21" s="3">
        <v>10.150713644076257</v>
      </c>
      <c r="F21" s="3">
        <f>3.2874*C21-0.1838</f>
        <v>6.4797598000000001</v>
      </c>
      <c r="G21" s="3">
        <v>0.52475000000000005</v>
      </c>
      <c r="H21" s="3">
        <f t="shared" si="0"/>
        <v>-1.1259999999999999</v>
      </c>
      <c r="I21" s="3">
        <f t="shared" si="1"/>
        <v>-1126</v>
      </c>
      <c r="J21" s="3">
        <v>14.53411</v>
      </c>
      <c r="K21" s="3">
        <f t="shared" si="2"/>
        <v>1.4534109999999999E-2</v>
      </c>
      <c r="L21" s="3">
        <f t="shared" si="3"/>
        <v>-16.365407859999998</v>
      </c>
      <c r="M21" s="3">
        <f t="shared" si="8"/>
        <v>31.18705642686993</v>
      </c>
      <c r="N21" s="3">
        <v>3.474964628230619</v>
      </c>
      <c r="O21" s="3">
        <f t="shared" si="4"/>
        <v>34.662021055100546</v>
      </c>
      <c r="P21">
        <f t="shared" si="5"/>
        <v>0.18694119969806255</v>
      </c>
      <c r="Q21">
        <v>2.5100000000000001E-2</v>
      </c>
      <c r="R21">
        <f t="shared" si="6"/>
        <v>39.840637450199203</v>
      </c>
      <c r="S21">
        <v>3.5200000000000002E-2</v>
      </c>
      <c r="T21">
        <f t="shared" si="7"/>
        <v>0.71306818181818177</v>
      </c>
    </row>
    <row r="22" spans="1:22" x14ac:dyDescent="0.25">
      <c r="A22" s="8" t="s">
        <v>21</v>
      </c>
      <c r="B22" s="8">
        <v>1</v>
      </c>
      <c r="C22" s="18">
        <v>9.4E-2</v>
      </c>
      <c r="D22" s="3">
        <v>0.09</v>
      </c>
      <c r="E22" s="3">
        <v>0</v>
      </c>
      <c r="F22" s="3">
        <f>3.2874*C22-0.1838</f>
        <v>0.12521560000000001</v>
      </c>
      <c r="G22" s="3">
        <v>0.56867000000000001</v>
      </c>
      <c r="H22" s="3">
        <f t="shared" si="0"/>
        <v>4.0000000000000036E-3</v>
      </c>
      <c r="I22" s="3">
        <f t="shared" si="1"/>
        <v>4.0000000000000036</v>
      </c>
      <c r="J22" s="3">
        <v>14.2432</v>
      </c>
      <c r="K22" s="3">
        <f t="shared" si="2"/>
        <v>1.4243199999999999E-2</v>
      </c>
      <c r="L22" s="3">
        <f t="shared" si="3"/>
        <v>5.6972800000000046E-2</v>
      </c>
      <c r="M22" s="3">
        <f t="shared" si="8"/>
        <v>0.1001860481474318</v>
      </c>
      <c r="N22" s="3">
        <v>3.2103185283757369</v>
      </c>
      <c r="O22" s="3">
        <f t="shared" si="4"/>
        <v>3.3105045765231687</v>
      </c>
      <c r="P22">
        <f t="shared" si="5"/>
        <v>3.7823720555464901E-2</v>
      </c>
      <c r="Q22">
        <v>2.9399999999999999E-2</v>
      </c>
      <c r="R22">
        <f t="shared" si="6"/>
        <v>34.013605442176875</v>
      </c>
      <c r="S22">
        <v>4.2799999999999998E-2</v>
      </c>
      <c r="T22">
        <f t="shared" si="7"/>
        <v>0.68691588785046731</v>
      </c>
      <c r="U22">
        <f>EXP((0-14.685)/6.2332)</f>
        <v>9.4805036146444838E-2</v>
      </c>
      <c r="V22">
        <v>2.8000000000000001E-2</v>
      </c>
    </row>
    <row r="23" spans="1:22" x14ac:dyDescent="0.25">
      <c r="A23" s="8" t="s">
        <v>21</v>
      </c>
      <c r="B23" s="8">
        <v>2</v>
      </c>
      <c r="C23" s="18">
        <v>9.6000000000000002E-2</v>
      </c>
      <c r="D23" s="3">
        <v>9.6000000000000002E-2</v>
      </c>
      <c r="E23" s="3">
        <v>0.01</v>
      </c>
      <c r="F23" s="3">
        <f>3.2874*C23-0.1838</f>
        <v>0.1317904</v>
      </c>
      <c r="G23" s="3">
        <v>0.52769999999999995</v>
      </c>
      <c r="H23" s="3">
        <f t="shared" si="0"/>
        <v>0</v>
      </c>
      <c r="I23" s="3">
        <f t="shared" si="1"/>
        <v>0</v>
      </c>
      <c r="J23" s="3">
        <v>13.27666</v>
      </c>
      <c r="K23" s="3">
        <f t="shared" si="2"/>
        <v>1.3276659999999999E-2</v>
      </c>
      <c r="L23" s="3">
        <f t="shared" si="3"/>
        <v>0</v>
      </c>
      <c r="M23" s="3">
        <f t="shared" si="8"/>
        <v>0</v>
      </c>
      <c r="N23" s="3">
        <v>3.2103185283757369</v>
      </c>
      <c r="O23" s="3">
        <f t="shared" si="4"/>
        <v>3.2103185283757369</v>
      </c>
      <c r="P23">
        <f t="shared" si="5"/>
        <v>4.1052125773537944E-2</v>
      </c>
      <c r="Q23">
        <v>2.9399999999999999E-2</v>
      </c>
      <c r="R23">
        <f t="shared" si="6"/>
        <v>34.013605442176875</v>
      </c>
      <c r="S23">
        <v>4.2799999999999998E-2</v>
      </c>
      <c r="T23">
        <f t="shared" si="7"/>
        <v>0.68691588785046731</v>
      </c>
      <c r="U23">
        <f>EXP((0-12.33)/4.6159)</f>
        <v>6.9169053799692889E-2</v>
      </c>
      <c r="V23" t="s">
        <v>57</v>
      </c>
    </row>
    <row r="24" spans="1:22" x14ac:dyDescent="0.25">
      <c r="A24" s="8" t="s">
        <v>21</v>
      </c>
      <c r="B24" s="8">
        <v>8</v>
      </c>
      <c r="C24" s="18">
        <v>9.2999999999999999E-2</v>
      </c>
      <c r="D24" s="3">
        <v>9.8000000000000004E-2</v>
      </c>
      <c r="E24" s="3">
        <v>4.9198979121183241E-2</v>
      </c>
      <c r="F24" s="3">
        <f>2.2533*C24-0.0076</f>
        <v>0.20195689999999999</v>
      </c>
      <c r="G24" s="3">
        <v>0.5383</v>
      </c>
      <c r="H24" s="3">
        <f t="shared" si="0"/>
        <v>-5.0000000000000044E-3</v>
      </c>
      <c r="I24" s="3">
        <f t="shared" si="1"/>
        <v>-5.0000000000000044</v>
      </c>
      <c r="J24" s="3">
        <v>13.45</v>
      </c>
      <c r="K24" s="3">
        <f t="shared" si="2"/>
        <v>1.345E-2</v>
      </c>
      <c r="L24" s="3">
        <f t="shared" si="3"/>
        <v>-6.725000000000006E-2</v>
      </c>
      <c r="M24" s="3">
        <f t="shared" si="8"/>
        <v>0.12493033624373037</v>
      </c>
      <c r="N24" s="3">
        <v>3.2103185283757369</v>
      </c>
      <c r="O24" s="3">
        <f t="shared" si="4"/>
        <v>3.3352488646194671</v>
      </c>
      <c r="P24">
        <f t="shared" si="5"/>
        <v>6.0552273067947547E-2</v>
      </c>
      <c r="Q24">
        <v>2.9399999999999999E-2</v>
      </c>
      <c r="R24">
        <f t="shared" si="6"/>
        <v>34.013605442176875</v>
      </c>
      <c r="S24">
        <v>4.2799999999999998E-2</v>
      </c>
      <c r="T24">
        <f t="shared" si="7"/>
        <v>0.68691588785046731</v>
      </c>
    </row>
    <row r="25" spans="1:22" x14ac:dyDescent="0.25">
      <c r="A25" s="8" t="s">
        <v>21</v>
      </c>
      <c r="B25" s="8">
        <v>9</v>
      </c>
      <c r="C25" s="18">
        <v>9.9000000000000005E-2</v>
      </c>
      <c r="D25" s="3">
        <v>0.13300000000000001</v>
      </c>
      <c r="E25" s="3">
        <v>9.7536998778867484E-2</v>
      </c>
      <c r="F25" s="3">
        <f>2.2533*C25-0.0076</f>
        <v>0.21547669999999999</v>
      </c>
      <c r="G25" s="3">
        <v>0.53686999999999996</v>
      </c>
      <c r="H25" s="3">
        <f t="shared" si="0"/>
        <v>-3.4000000000000002E-2</v>
      </c>
      <c r="I25" s="3">
        <f t="shared" si="1"/>
        <v>-34</v>
      </c>
      <c r="J25" s="3">
        <v>13.42</v>
      </c>
      <c r="K25" s="3">
        <f t="shared" si="2"/>
        <v>1.342E-2</v>
      </c>
      <c r="L25" s="3">
        <f t="shared" si="3"/>
        <v>-0.45627999999999996</v>
      </c>
      <c r="M25" s="3">
        <f t="shared" si="8"/>
        <v>0.84988917242535433</v>
      </c>
      <c r="N25" s="3">
        <v>3.2103185283757369</v>
      </c>
      <c r="O25" s="3">
        <f t="shared" si="4"/>
        <v>4.0602077008010911</v>
      </c>
      <c r="P25">
        <f t="shared" si="5"/>
        <v>5.3070363852934371E-2</v>
      </c>
      <c r="Q25">
        <v>2.9399999999999999E-2</v>
      </c>
      <c r="R25">
        <f t="shared" si="6"/>
        <v>34.013605442176875</v>
      </c>
      <c r="S25">
        <v>4.2799999999999998E-2</v>
      </c>
      <c r="T25">
        <f t="shared" si="7"/>
        <v>0.68691588785046731</v>
      </c>
    </row>
    <row r="26" spans="1:22" x14ac:dyDescent="0.25">
      <c r="A26" s="8" t="s">
        <v>21</v>
      </c>
      <c r="B26" s="8">
        <v>3</v>
      </c>
      <c r="C26" s="18">
        <v>0.11</v>
      </c>
      <c r="D26" s="3">
        <v>0.20300000000000001</v>
      </c>
      <c r="E26" s="3">
        <v>0.26991902429271225</v>
      </c>
      <c r="F26" s="3">
        <f>3.2874*C26-0.1838</f>
        <v>0.177814</v>
      </c>
      <c r="G26" s="3">
        <v>0.52976000000000001</v>
      </c>
      <c r="H26" s="3">
        <f t="shared" si="0"/>
        <v>-9.3000000000000013E-2</v>
      </c>
      <c r="I26" s="3">
        <f t="shared" si="1"/>
        <v>-93.000000000000014</v>
      </c>
      <c r="J26" s="3">
        <v>13.25977</v>
      </c>
      <c r="K26" s="3">
        <f t="shared" si="2"/>
        <v>1.3259769999999999E-2</v>
      </c>
      <c r="L26" s="3">
        <f t="shared" si="3"/>
        <v>-1.23315861</v>
      </c>
      <c r="M26" s="3">
        <f t="shared" si="8"/>
        <v>2.3277684423135003</v>
      </c>
      <c r="N26" s="3">
        <v>3.2103185283757369</v>
      </c>
      <c r="O26" s="3">
        <f t="shared" si="4"/>
        <v>5.5380869706892373</v>
      </c>
      <c r="P26">
        <f t="shared" si="5"/>
        <v>3.2107476993607116E-2</v>
      </c>
      <c r="Q26">
        <v>2.9399999999999999E-2</v>
      </c>
      <c r="R26">
        <f t="shared" si="6"/>
        <v>34.013605442176875</v>
      </c>
      <c r="S26">
        <v>4.2799999999999998E-2</v>
      </c>
      <c r="T26">
        <f t="shared" si="7"/>
        <v>0.68691588785046731</v>
      </c>
    </row>
    <row r="27" spans="1:22" x14ac:dyDescent="0.25">
      <c r="A27" s="8" t="s">
        <v>21</v>
      </c>
      <c r="B27" s="8">
        <v>4</v>
      </c>
      <c r="C27" s="18">
        <v>0.13700000000000001</v>
      </c>
      <c r="D27" s="3">
        <v>0.307</v>
      </c>
      <c r="E27" s="3">
        <v>0.5098980203959208</v>
      </c>
      <c r="F27" s="3">
        <f>3.2874*C27-0.1838</f>
        <v>0.26657379999999997</v>
      </c>
      <c r="G27" s="3">
        <v>0.54500999999999999</v>
      </c>
      <c r="H27" s="3">
        <f t="shared" si="0"/>
        <v>-0.16999999999999998</v>
      </c>
      <c r="I27" s="3">
        <f t="shared" si="1"/>
        <v>-169.99999999999997</v>
      </c>
      <c r="J27" s="3">
        <v>13.62194</v>
      </c>
      <c r="K27" s="3">
        <f t="shared" si="2"/>
        <v>1.3621940000000001E-2</v>
      </c>
      <c r="L27" s="3">
        <f t="shared" si="3"/>
        <v>-2.3157297999999997</v>
      </c>
      <c r="M27" s="3">
        <f t="shared" si="8"/>
        <v>4.2489675418799653</v>
      </c>
      <c r="N27" s="3">
        <v>3.2103185283757369</v>
      </c>
      <c r="O27" s="3">
        <f t="shared" si="4"/>
        <v>7.4592860702557022</v>
      </c>
      <c r="P27">
        <f t="shared" si="5"/>
        <v>3.5737173435803342E-2</v>
      </c>
      <c r="Q27">
        <v>2.9399999999999999E-2</v>
      </c>
      <c r="R27">
        <f t="shared" si="6"/>
        <v>34.013605442176875</v>
      </c>
      <c r="S27">
        <v>4.2799999999999998E-2</v>
      </c>
      <c r="T27">
        <f t="shared" si="7"/>
        <v>0.68691588785046731</v>
      </c>
    </row>
    <row r="28" spans="1:22" x14ac:dyDescent="0.25">
      <c r="A28" s="8" t="s">
        <v>21</v>
      </c>
      <c r="B28" s="8">
        <v>10</v>
      </c>
      <c r="C28" s="18">
        <v>0.26600000000000001</v>
      </c>
      <c r="D28" s="3">
        <v>0.44</v>
      </c>
      <c r="E28" s="3">
        <v>0.74181313851740782</v>
      </c>
      <c r="F28" s="3">
        <f>2.2533*C28-0.0076</f>
        <v>0.59177779999999991</v>
      </c>
      <c r="G28" s="3">
        <v>0.56455</v>
      </c>
      <c r="H28" s="3">
        <f t="shared" si="0"/>
        <v>-0.17399999999999999</v>
      </c>
      <c r="I28" s="3">
        <f t="shared" si="1"/>
        <v>-174</v>
      </c>
      <c r="J28" s="3">
        <v>14.11</v>
      </c>
      <c r="K28" s="3">
        <f t="shared" si="2"/>
        <v>1.4109999999999999E-2</v>
      </c>
      <c r="L28" s="3">
        <f t="shared" si="3"/>
        <v>-2.4551399999999997</v>
      </c>
      <c r="M28" s="3">
        <f t="shared" si="8"/>
        <v>4.3488442122044102</v>
      </c>
      <c r="N28" s="3">
        <v>3.2103185283757369</v>
      </c>
      <c r="O28" s="3">
        <f t="shared" si="4"/>
        <v>7.5591627405801471</v>
      </c>
      <c r="P28">
        <f t="shared" si="5"/>
        <v>7.82861568547977E-2</v>
      </c>
      <c r="Q28">
        <v>2.9399999999999999E-2</v>
      </c>
      <c r="R28">
        <f t="shared" si="6"/>
        <v>34.013605442176875</v>
      </c>
      <c r="S28">
        <v>4.2799999999999998E-2</v>
      </c>
      <c r="T28">
        <f t="shared" si="7"/>
        <v>0.68691588785046731</v>
      </c>
    </row>
    <row r="29" spans="1:22" x14ac:dyDescent="0.25">
      <c r="A29" s="8" t="s">
        <v>21</v>
      </c>
      <c r="B29" s="8">
        <v>5</v>
      </c>
      <c r="C29" s="18">
        <v>0.23100000000000001</v>
      </c>
      <c r="D29" s="3">
        <v>0.55400000000000005</v>
      </c>
      <c r="E29" s="3">
        <v>1.0592585190366743</v>
      </c>
      <c r="F29" s="3">
        <f>3.2874*C29-0.1838</f>
        <v>0.57558940000000003</v>
      </c>
      <c r="G29" s="3">
        <v>0.52336000000000005</v>
      </c>
      <c r="H29" s="3">
        <f t="shared" si="0"/>
        <v>-0.32300000000000006</v>
      </c>
      <c r="I29" s="3">
        <f t="shared" si="1"/>
        <v>-323.00000000000006</v>
      </c>
      <c r="J29" s="3">
        <v>13.091670000000001</v>
      </c>
      <c r="K29" s="3">
        <f t="shared" si="2"/>
        <v>1.3091670000000001E-2</v>
      </c>
      <c r="L29" s="3">
        <f t="shared" si="3"/>
        <v>-4.2286094100000016</v>
      </c>
      <c r="M29" s="3">
        <f t="shared" si="8"/>
        <v>8.0797336632528296</v>
      </c>
      <c r="N29" s="3">
        <v>3.2103185283757369</v>
      </c>
      <c r="O29" s="3">
        <f t="shared" si="4"/>
        <v>11.290052191628567</v>
      </c>
      <c r="P29">
        <f t="shared" si="5"/>
        <v>5.0981996383222428E-2</v>
      </c>
      <c r="Q29">
        <v>2.9399999999999999E-2</v>
      </c>
      <c r="R29">
        <f t="shared" si="6"/>
        <v>34.013605442176875</v>
      </c>
      <c r="S29">
        <v>4.2799999999999998E-2</v>
      </c>
      <c r="T29">
        <f t="shared" si="7"/>
        <v>0.68691588785046731</v>
      </c>
    </row>
    <row r="30" spans="1:22" x14ac:dyDescent="0.25">
      <c r="A30" s="8" t="s">
        <v>21</v>
      </c>
      <c r="B30" s="8">
        <v>6</v>
      </c>
      <c r="C30" s="18">
        <v>1.175</v>
      </c>
      <c r="D30" s="3">
        <v>1.7949999999999999</v>
      </c>
      <c r="E30" s="3">
        <v>5.0179928028788492</v>
      </c>
      <c r="F30" s="3">
        <f>3.2874*C30-0.1838</f>
        <v>3.6788949999999998</v>
      </c>
      <c r="G30" s="3">
        <v>0.55698999999999999</v>
      </c>
      <c r="H30" s="3">
        <f t="shared" si="0"/>
        <v>-0.61999999999999988</v>
      </c>
      <c r="I30" s="3">
        <f t="shared" si="1"/>
        <v>-619.99999999999989</v>
      </c>
      <c r="J30" s="3">
        <v>13.966200000000001</v>
      </c>
      <c r="K30" s="3">
        <f t="shared" si="2"/>
        <v>1.39662E-2</v>
      </c>
      <c r="L30" s="3">
        <f t="shared" si="3"/>
        <v>-8.659043999999998</v>
      </c>
      <c r="M30" s="3">
        <f t="shared" si="8"/>
        <v>15.546139068924035</v>
      </c>
      <c r="N30" s="3">
        <v>3.2103185283757369</v>
      </c>
      <c r="O30" s="3">
        <f t="shared" si="4"/>
        <v>18.756457597299772</v>
      </c>
      <c r="P30">
        <f t="shared" si="5"/>
        <v>0.19614018163694316</v>
      </c>
      <c r="Q30">
        <v>2.9399999999999999E-2</v>
      </c>
      <c r="R30">
        <f t="shared" si="6"/>
        <v>34.013605442176875</v>
      </c>
      <c r="S30">
        <v>4.2799999999999998E-2</v>
      </c>
      <c r="T30">
        <f t="shared" si="7"/>
        <v>0.68691588785046731</v>
      </c>
    </row>
    <row r="31" spans="1:22" x14ac:dyDescent="0.25">
      <c r="A31" s="8" t="s">
        <v>21</v>
      </c>
      <c r="B31" s="8">
        <v>7</v>
      </c>
      <c r="C31" s="18">
        <v>2.032</v>
      </c>
      <c r="D31" s="3">
        <v>3.153</v>
      </c>
      <c r="E31" s="3">
        <v>10.150713644076257</v>
      </c>
      <c r="F31" s="3">
        <f>3.2874*C31-0.1838</f>
        <v>6.4961967999999999</v>
      </c>
      <c r="G31" s="3">
        <v>0.53673999999999999</v>
      </c>
      <c r="H31" s="3">
        <f t="shared" si="0"/>
        <v>-1.121</v>
      </c>
      <c r="I31" s="3">
        <f t="shared" si="1"/>
        <v>-1121</v>
      </c>
      <c r="J31" s="3">
        <v>13.43486</v>
      </c>
      <c r="K31" s="3">
        <f t="shared" si="2"/>
        <v>1.343486E-2</v>
      </c>
      <c r="L31" s="3">
        <f t="shared" si="3"/>
        <v>-15.060478059999999</v>
      </c>
      <c r="M31" s="3">
        <f t="shared" si="8"/>
        <v>28.059168424190482</v>
      </c>
      <c r="N31" s="3">
        <v>3.2103185283757369</v>
      </c>
      <c r="O31" s="3">
        <f t="shared" si="4"/>
        <v>31.269486952566218</v>
      </c>
      <c r="P31">
        <f t="shared" si="5"/>
        <v>0.20774874911936703</v>
      </c>
      <c r="Q31">
        <v>2.9399999999999999E-2</v>
      </c>
      <c r="R31">
        <f t="shared" si="6"/>
        <v>34.013605442176875</v>
      </c>
      <c r="S31">
        <v>4.2799999999999998E-2</v>
      </c>
      <c r="T31">
        <f t="shared" si="7"/>
        <v>0.68691588785046731</v>
      </c>
    </row>
    <row r="32" spans="1:22" x14ac:dyDescent="0.25">
      <c r="A32" s="9" t="s">
        <v>22</v>
      </c>
      <c r="B32" s="9">
        <v>1</v>
      </c>
      <c r="C32" s="19">
        <v>9.2999999999999999E-2</v>
      </c>
      <c r="D32" s="3">
        <v>0.09</v>
      </c>
      <c r="E32" s="3">
        <v>0</v>
      </c>
      <c r="F32" s="3">
        <f>3.2874*C32-0.1838</f>
        <v>0.12192820000000001</v>
      </c>
      <c r="G32" s="3">
        <v>0.52285000000000004</v>
      </c>
      <c r="H32" s="3">
        <f t="shared" si="0"/>
        <v>3.0000000000000027E-3</v>
      </c>
      <c r="I32" s="3">
        <f t="shared" si="1"/>
        <v>3.0000000000000027</v>
      </c>
      <c r="J32" s="3">
        <v>13.09027</v>
      </c>
      <c r="K32" s="3">
        <f t="shared" si="2"/>
        <v>1.3090270000000001E-2</v>
      </c>
      <c r="L32" s="3">
        <f t="shared" si="3"/>
        <v>3.9270810000000038E-2</v>
      </c>
      <c r="M32" s="3">
        <f t="shared" si="8"/>
        <v>7.5109132638424086E-2</v>
      </c>
      <c r="N32" s="3">
        <v>3.6985703618290291</v>
      </c>
      <c r="O32" s="3">
        <f t="shared" si="4"/>
        <v>3.7736794944674532</v>
      </c>
      <c r="P32">
        <f t="shared" si="5"/>
        <v>3.2310163112356918E-2</v>
      </c>
      <c r="Q32">
        <v>3.1399999999999997E-2</v>
      </c>
      <c r="R32">
        <f t="shared" si="6"/>
        <v>31.847133757961785</v>
      </c>
      <c r="S32">
        <v>3.1E-2</v>
      </c>
      <c r="T32">
        <f t="shared" si="7"/>
        <v>1.0129032258064516</v>
      </c>
      <c r="U32">
        <f>EXP((0-15.654)/5.788)</f>
        <v>6.6899675590989E-2</v>
      </c>
      <c r="V32">
        <v>2.8000000000000001E-2</v>
      </c>
    </row>
    <row r="33" spans="1:23" x14ac:dyDescent="0.25">
      <c r="A33" s="9" t="s">
        <v>22</v>
      </c>
      <c r="B33" s="9">
        <v>2</v>
      </c>
      <c r="C33" s="19">
        <v>9.1999999999999998E-2</v>
      </c>
      <c r="D33" s="3">
        <v>9.6000000000000002E-2</v>
      </c>
      <c r="E33" s="3">
        <v>0.01</v>
      </c>
      <c r="F33" s="3">
        <f>3.2874*C33-0.1838</f>
        <v>0.11864080000000002</v>
      </c>
      <c r="G33" s="3">
        <v>0.55479000000000001</v>
      </c>
      <c r="H33" s="3">
        <f t="shared" si="0"/>
        <v>-4.0000000000000036E-3</v>
      </c>
      <c r="I33" s="3">
        <f t="shared" si="1"/>
        <v>-4.0000000000000036</v>
      </c>
      <c r="J33" s="3">
        <v>13.90081</v>
      </c>
      <c r="K33" s="3">
        <f t="shared" si="2"/>
        <v>1.390081E-2</v>
      </c>
      <c r="L33" s="3">
        <f t="shared" si="3"/>
        <v>-5.5603240000000047E-2</v>
      </c>
      <c r="M33" s="3">
        <f t="shared" si="8"/>
        <v>0.10022394059013329</v>
      </c>
      <c r="N33" s="3">
        <v>3.6985703618290291</v>
      </c>
      <c r="O33" s="3">
        <f t="shared" si="4"/>
        <v>3.7987943024191626</v>
      </c>
      <c r="P33">
        <f t="shared" si="5"/>
        <v>3.1231172460284763E-2</v>
      </c>
      <c r="Q33">
        <v>3.1399999999999997E-2</v>
      </c>
      <c r="R33">
        <f t="shared" si="6"/>
        <v>31.847133757961785</v>
      </c>
      <c r="S33">
        <v>3.1E-2</v>
      </c>
      <c r="T33">
        <f t="shared" si="7"/>
        <v>1.0129032258064516</v>
      </c>
      <c r="U33">
        <f>EXP((0-15.654)/5.788)</f>
        <v>6.6899675590989E-2</v>
      </c>
      <c r="V33" t="s">
        <v>57</v>
      </c>
    </row>
    <row r="34" spans="1:23" x14ac:dyDescent="0.25">
      <c r="A34" s="9" t="s">
        <v>22</v>
      </c>
      <c r="B34" s="9">
        <v>8</v>
      </c>
      <c r="C34" s="19">
        <v>8.2000000000000003E-2</v>
      </c>
      <c r="D34" s="3">
        <v>9.8000000000000004E-2</v>
      </c>
      <c r="E34" s="3">
        <v>4.9198979121183241E-2</v>
      </c>
      <c r="F34" s="3">
        <f>2.2533*C34-0.0076</f>
        <v>0.17717060000000001</v>
      </c>
      <c r="G34" s="3">
        <v>0.58620000000000005</v>
      </c>
      <c r="H34" s="3">
        <f t="shared" ref="H34:H61" si="9">(C34-D34)</f>
        <v>-1.6E-2</v>
      </c>
      <c r="I34" s="3">
        <f t="shared" si="1"/>
        <v>-16</v>
      </c>
      <c r="J34" s="3">
        <v>14.65</v>
      </c>
      <c r="K34" s="3">
        <f t="shared" si="2"/>
        <v>1.465E-2</v>
      </c>
      <c r="L34" s="3">
        <f t="shared" si="3"/>
        <v>-0.2344</v>
      </c>
      <c r="M34" s="3">
        <f t="shared" si="8"/>
        <v>0.39986352780620943</v>
      </c>
      <c r="N34" s="3">
        <v>3.6985703618290291</v>
      </c>
      <c r="O34" s="3">
        <f t="shared" si="4"/>
        <v>4.0984338896352384</v>
      </c>
      <c r="P34">
        <f t="shared" si="5"/>
        <v>4.3228853940539769E-2</v>
      </c>
      <c r="Q34">
        <v>3.1399999999999997E-2</v>
      </c>
      <c r="R34">
        <f t="shared" si="6"/>
        <v>31.847133757961785</v>
      </c>
      <c r="S34">
        <v>3.1E-2</v>
      </c>
      <c r="T34">
        <f t="shared" si="7"/>
        <v>1.0129032258064516</v>
      </c>
    </row>
    <row r="35" spans="1:23" x14ac:dyDescent="0.25">
      <c r="A35" s="9" t="s">
        <v>22</v>
      </c>
      <c r="B35" s="9">
        <v>9</v>
      </c>
      <c r="C35" s="19">
        <v>8.8999999999999996E-2</v>
      </c>
      <c r="D35" s="3">
        <v>0.13300000000000001</v>
      </c>
      <c r="E35" s="3">
        <v>9.7536998778867484E-2</v>
      </c>
      <c r="F35" s="3">
        <f>2.2533*C35-0.0076</f>
        <v>0.1929437</v>
      </c>
      <c r="G35" s="3">
        <v>0.51285000000000003</v>
      </c>
      <c r="H35" s="3">
        <f t="shared" si="9"/>
        <v>-4.4000000000000011E-2</v>
      </c>
      <c r="I35" s="3">
        <f t="shared" si="1"/>
        <v>-44.000000000000014</v>
      </c>
      <c r="J35" s="3">
        <v>12.82</v>
      </c>
      <c r="K35" s="3">
        <f t="shared" si="2"/>
        <v>1.282E-2</v>
      </c>
      <c r="L35" s="3">
        <f t="shared" si="3"/>
        <v>-0.56408000000000014</v>
      </c>
      <c r="M35" s="3">
        <f t="shared" si="8"/>
        <v>1.0998927561665206</v>
      </c>
      <c r="N35" s="3">
        <v>3.6985703618290291</v>
      </c>
      <c r="O35" s="3">
        <f t="shared" si="4"/>
        <v>4.7984631179955493</v>
      </c>
      <c r="P35">
        <f t="shared" si="5"/>
        <v>4.0209478588343908E-2</v>
      </c>
      <c r="Q35">
        <v>3.1399999999999997E-2</v>
      </c>
      <c r="R35">
        <f t="shared" si="6"/>
        <v>31.847133757961785</v>
      </c>
      <c r="S35">
        <v>3.1E-2</v>
      </c>
      <c r="T35">
        <f t="shared" si="7"/>
        <v>1.0129032258064516</v>
      </c>
    </row>
    <row r="36" spans="1:23" x14ac:dyDescent="0.25">
      <c r="A36" s="9" t="s">
        <v>22</v>
      </c>
      <c r="B36" s="9">
        <v>3</v>
      </c>
      <c r="C36" s="19">
        <v>9.7000000000000003E-2</v>
      </c>
      <c r="D36" s="3">
        <v>0.20300000000000001</v>
      </c>
      <c r="E36" s="3">
        <v>0.26991902429271225</v>
      </c>
      <c r="F36" s="3">
        <f>3.2874*C36-0.1838</f>
        <v>0.1350778</v>
      </c>
      <c r="G36" s="3">
        <v>0.51495999999999997</v>
      </c>
      <c r="H36" s="3">
        <f t="shared" si="9"/>
        <v>-0.10600000000000001</v>
      </c>
      <c r="I36" s="3">
        <f t="shared" si="1"/>
        <v>-106.00000000000001</v>
      </c>
      <c r="J36" s="3">
        <v>12.87852</v>
      </c>
      <c r="K36" s="3">
        <f t="shared" si="2"/>
        <v>1.2878519999999999E-2</v>
      </c>
      <c r="L36" s="3">
        <f t="shared" si="3"/>
        <v>-1.36512312</v>
      </c>
      <c r="M36" s="3">
        <f t="shared" si="8"/>
        <v>2.6509304023613485</v>
      </c>
      <c r="N36" s="3">
        <v>3.6985703618290291</v>
      </c>
      <c r="O36" s="3">
        <f t="shared" si="4"/>
        <v>6.3495007641903776</v>
      </c>
      <c r="P36">
        <f t="shared" si="5"/>
        <v>2.1273767027764696E-2</v>
      </c>
      <c r="Q36">
        <v>3.1399999999999997E-2</v>
      </c>
      <c r="R36">
        <f t="shared" si="6"/>
        <v>31.847133757961785</v>
      </c>
      <c r="S36">
        <v>3.1E-2</v>
      </c>
      <c r="T36">
        <f t="shared" si="7"/>
        <v>1.0129032258064516</v>
      </c>
    </row>
    <row r="37" spans="1:23" x14ac:dyDescent="0.25">
      <c r="A37" s="9" t="s">
        <v>22</v>
      </c>
      <c r="B37" s="9">
        <v>4</v>
      </c>
      <c r="C37" s="19">
        <v>0.11799999999999999</v>
      </c>
      <c r="D37" s="3">
        <v>0.307</v>
      </c>
      <c r="E37" s="3">
        <v>0.5098980203959208</v>
      </c>
      <c r="F37" s="3">
        <f>3.2874*C37-0.1838</f>
        <v>0.20411319999999997</v>
      </c>
      <c r="G37" s="3">
        <v>0.52007000000000003</v>
      </c>
      <c r="H37" s="3">
        <f t="shared" si="9"/>
        <v>-0.189</v>
      </c>
      <c r="I37" s="3">
        <f t="shared" si="1"/>
        <v>-189</v>
      </c>
      <c r="J37" s="3">
        <v>13.063560000000001</v>
      </c>
      <c r="K37" s="3">
        <f t="shared" si="2"/>
        <v>1.306356E-2</v>
      </c>
      <c r="L37" s="3">
        <f t="shared" si="3"/>
        <v>-2.46901284</v>
      </c>
      <c r="M37" s="3">
        <f t="shared" si="8"/>
        <v>4.7474625338896681</v>
      </c>
      <c r="N37" s="3">
        <v>3.6985703618290291</v>
      </c>
      <c r="O37" s="3">
        <f t="shared" si="4"/>
        <v>8.4460328957186981</v>
      </c>
      <c r="P37">
        <f t="shared" si="5"/>
        <v>2.4166754086816917E-2</v>
      </c>
      <c r="Q37">
        <v>3.1399999999999997E-2</v>
      </c>
      <c r="R37">
        <f t="shared" si="6"/>
        <v>31.847133757961785</v>
      </c>
      <c r="S37">
        <v>3.1E-2</v>
      </c>
      <c r="T37">
        <f t="shared" si="7"/>
        <v>1.0129032258064516</v>
      </c>
    </row>
    <row r="38" spans="1:23" x14ac:dyDescent="0.25">
      <c r="A38" s="9" t="s">
        <v>22</v>
      </c>
      <c r="B38" s="9">
        <v>10</v>
      </c>
      <c r="C38" s="19">
        <v>0.23699999999999999</v>
      </c>
      <c r="D38" s="3">
        <v>0.44</v>
      </c>
      <c r="E38" s="3">
        <v>0.74181313851740782</v>
      </c>
      <c r="F38" s="3">
        <f>2.2533*C38-0.0076</f>
        <v>0.52643209999999985</v>
      </c>
      <c r="G38" s="3">
        <v>0.54037999999999997</v>
      </c>
      <c r="H38" s="3">
        <f t="shared" si="9"/>
        <v>-0.20300000000000001</v>
      </c>
      <c r="I38" s="3">
        <f t="shared" si="1"/>
        <v>-203</v>
      </c>
      <c r="J38" s="3">
        <v>13.51</v>
      </c>
      <c r="K38" s="3">
        <f t="shared" si="2"/>
        <v>1.3509999999999999E-2</v>
      </c>
      <c r="L38" s="3">
        <f t="shared" si="3"/>
        <v>-2.7425299999999999</v>
      </c>
      <c r="M38" s="3">
        <f t="shared" si="8"/>
        <v>5.0751878307857439</v>
      </c>
      <c r="N38" s="3">
        <v>3.6985703618290291</v>
      </c>
      <c r="O38" s="3">
        <f t="shared" si="4"/>
        <v>8.773758192614773</v>
      </c>
      <c r="P38">
        <f t="shared" si="5"/>
        <v>6.0000753205521326E-2</v>
      </c>
      <c r="Q38">
        <v>3.1399999999999997E-2</v>
      </c>
      <c r="R38">
        <f t="shared" si="6"/>
        <v>31.847133757961785</v>
      </c>
      <c r="S38">
        <v>3.1E-2</v>
      </c>
      <c r="T38">
        <f t="shared" si="7"/>
        <v>1.0129032258064516</v>
      </c>
    </row>
    <row r="39" spans="1:23" x14ac:dyDescent="0.25">
      <c r="A39" s="9" t="s">
        <v>22</v>
      </c>
      <c r="B39" s="9">
        <v>5</v>
      </c>
      <c r="C39" s="19">
        <v>0.21299999999999999</v>
      </c>
      <c r="D39" s="3">
        <v>0.55400000000000005</v>
      </c>
      <c r="E39" s="3">
        <v>1.0592585190366743</v>
      </c>
      <c r="F39" s="3">
        <f>3.2874*C39-0.1838</f>
        <v>0.51641619999999999</v>
      </c>
      <c r="G39" s="3">
        <v>0.55252000000000001</v>
      </c>
      <c r="H39" s="3">
        <f t="shared" si="9"/>
        <v>-0.34100000000000008</v>
      </c>
      <c r="I39" s="3">
        <f t="shared" si="1"/>
        <v>-341.00000000000006</v>
      </c>
      <c r="J39" s="3">
        <v>13.91464</v>
      </c>
      <c r="K39" s="3">
        <f t="shared" si="2"/>
        <v>1.3914640000000001E-2</v>
      </c>
      <c r="L39" s="3">
        <f t="shared" si="3"/>
        <v>-4.7448922400000013</v>
      </c>
      <c r="M39" s="3">
        <f t="shared" si="8"/>
        <v>8.5877293853616177</v>
      </c>
      <c r="N39" s="3">
        <v>3.6985703618290291</v>
      </c>
      <c r="O39" s="3">
        <f t="shared" si="4"/>
        <v>12.286299747190647</v>
      </c>
      <c r="P39">
        <f t="shared" si="5"/>
        <v>4.20318737639526E-2</v>
      </c>
      <c r="Q39">
        <v>3.1399999999999997E-2</v>
      </c>
      <c r="R39">
        <f t="shared" si="6"/>
        <v>31.847133757961785</v>
      </c>
      <c r="S39">
        <v>3.1E-2</v>
      </c>
      <c r="T39">
        <f t="shared" si="7"/>
        <v>1.0129032258064516</v>
      </c>
    </row>
    <row r="40" spans="1:23" x14ac:dyDescent="0.25">
      <c r="A40" s="9" t="s">
        <v>22</v>
      </c>
      <c r="B40" s="9">
        <v>6</v>
      </c>
      <c r="C40" s="19">
        <v>1.1379999999999999</v>
      </c>
      <c r="D40" s="3">
        <v>1.7949999999999999</v>
      </c>
      <c r="E40" s="3">
        <v>5.0179928028788492</v>
      </c>
      <c r="F40" s="3">
        <f>3.2874*C40-0.1838</f>
        <v>3.5572611999999992</v>
      </c>
      <c r="G40" s="3">
        <v>0.54168000000000005</v>
      </c>
      <c r="H40" s="3">
        <f t="shared" si="9"/>
        <v>-0.65700000000000003</v>
      </c>
      <c r="I40" s="3">
        <f t="shared" si="1"/>
        <v>-657</v>
      </c>
      <c r="J40" s="3">
        <v>13.566179999999999</v>
      </c>
      <c r="K40" s="3">
        <f t="shared" si="2"/>
        <v>1.3566179999999999E-2</v>
      </c>
      <c r="L40" s="3">
        <f t="shared" si="3"/>
        <v>-8.9129802599999994</v>
      </c>
      <c r="M40" s="3">
        <f t="shared" si="8"/>
        <v>16.454327758085952</v>
      </c>
      <c r="N40" s="3">
        <v>3.6985703618290291</v>
      </c>
      <c r="O40" s="3">
        <f t="shared" si="4"/>
        <v>20.15289811991498</v>
      </c>
      <c r="P40">
        <f t="shared" si="5"/>
        <v>0.17651362989250335</v>
      </c>
      <c r="Q40">
        <v>3.1399999999999997E-2</v>
      </c>
      <c r="R40">
        <f t="shared" si="6"/>
        <v>31.847133757961785</v>
      </c>
      <c r="S40">
        <v>3.1E-2</v>
      </c>
      <c r="T40">
        <f t="shared" si="7"/>
        <v>1.0129032258064516</v>
      </c>
    </row>
    <row r="41" spans="1:23" x14ac:dyDescent="0.25">
      <c r="A41" s="9" t="s">
        <v>22</v>
      </c>
      <c r="B41" s="9">
        <v>7</v>
      </c>
      <c r="C41" s="19">
        <v>2.1</v>
      </c>
      <c r="D41" s="3">
        <v>3.153</v>
      </c>
      <c r="E41" s="3">
        <v>10.150713644076257</v>
      </c>
      <c r="F41" s="3">
        <f>3.2874*C41-0.1838</f>
        <v>6.7197400000000007</v>
      </c>
      <c r="G41" s="3">
        <v>0.56911</v>
      </c>
      <c r="H41" s="3">
        <f t="shared" si="9"/>
        <v>-1.0529999999999999</v>
      </c>
      <c r="I41" s="3">
        <f t="shared" si="1"/>
        <v>-1053</v>
      </c>
      <c r="J41" s="3">
        <v>14.242279999999999</v>
      </c>
      <c r="K41" s="3">
        <f t="shared" si="2"/>
        <v>1.424228E-2</v>
      </c>
      <c r="L41" s="3">
        <f t="shared" si="3"/>
        <v>-14.997120839999999</v>
      </c>
      <c r="M41" s="3">
        <f t="shared" si="8"/>
        <v>26.351884240305036</v>
      </c>
      <c r="N41" s="3">
        <v>3.6985703618290291</v>
      </c>
      <c r="O41" s="3">
        <f t="shared" si="4"/>
        <v>30.050454602134067</v>
      </c>
      <c r="P41">
        <f t="shared" si="5"/>
        <v>0.22361525271310839</v>
      </c>
      <c r="Q41">
        <v>3.1399999999999997E-2</v>
      </c>
      <c r="R41">
        <f t="shared" si="6"/>
        <v>31.847133757961785</v>
      </c>
      <c r="S41">
        <v>3.1E-2</v>
      </c>
      <c r="T41">
        <f t="shared" si="7"/>
        <v>1.0129032258064516</v>
      </c>
    </row>
    <row r="42" spans="1:23" ht="16.5" customHeight="1" x14ac:dyDescent="0.25">
      <c r="A42" s="5" t="s">
        <v>31</v>
      </c>
      <c r="B42" s="5">
        <v>1</v>
      </c>
      <c r="C42" s="20">
        <v>0.09</v>
      </c>
      <c r="D42" s="3">
        <v>0.09</v>
      </c>
      <c r="E42" s="3">
        <v>0</v>
      </c>
      <c r="F42" s="3">
        <f>3.2874*C42-0.1838</f>
        <v>0.11206599999999997</v>
      </c>
      <c r="G42" s="3"/>
      <c r="H42" s="3">
        <f t="shared" si="9"/>
        <v>0</v>
      </c>
      <c r="I42" s="3">
        <f t="shared" si="1"/>
        <v>0</v>
      </c>
      <c r="J42" s="3"/>
      <c r="K42" s="3"/>
      <c r="L42" s="3"/>
      <c r="M42" s="3"/>
      <c r="N42" s="3"/>
    </row>
    <row r="43" spans="1:23" hidden="1" x14ac:dyDescent="0.25">
      <c r="A43" s="5" t="s">
        <v>31</v>
      </c>
      <c r="B43" s="5">
        <v>2</v>
      </c>
      <c r="C43" s="20">
        <v>9.5000000000000001E-2</v>
      </c>
      <c r="D43" s="3">
        <v>9.6000000000000002E-2</v>
      </c>
      <c r="E43" s="3">
        <v>0.01</v>
      </c>
      <c r="F43" s="3">
        <f>3.2874*C43-0.1838</f>
        <v>0.12850300000000001</v>
      </c>
      <c r="G43" s="3"/>
      <c r="H43" s="3">
        <f t="shared" si="9"/>
        <v>-1.0000000000000009E-3</v>
      </c>
      <c r="I43" s="3">
        <f t="shared" si="1"/>
        <v>-1.0000000000000009</v>
      </c>
      <c r="J43" s="3"/>
      <c r="K43" s="3"/>
      <c r="L43" s="3"/>
      <c r="M43" s="3"/>
      <c r="N43" s="3"/>
    </row>
    <row r="44" spans="1:23" hidden="1" x14ac:dyDescent="0.25">
      <c r="A44" s="5" t="s">
        <v>31</v>
      </c>
      <c r="B44" s="5">
        <v>8</v>
      </c>
      <c r="C44" s="20">
        <v>9.5000000000000001E-2</v>
      </c>
      <c r="D44" s="3">
        <v>9.8000000000000004E-2</v>
      </c>
      <c r="E44" s="3">
        <v>4.9198979121183241E-2</v>
      </c>
      <c r="F44" s="3">
        <f>2.2533*C44-0.0076</f>
        <v>0.20646349999999999</v>
      </c>
      <c r="G44" s="3"/>
      <c r="H44" s="3">
        <f t="shared" si="9"/>
        <v>-3.0000000000000027E-3</v>
      </c>
      <c r="I44" s="3">
        <f t="shared" si="1"/>
        <v>-3.0000000000000027</v>
      </c>
      <c r="J44" s="3"/>
      <c r="K44" s="3"/>
      <c r="L44" s="3"/>
      <c r="M44" s="3"/>
      <c r="N44" s="3"/>
    </row>
    <row r="45" spans="1:23" hidden="1" x14ac:dyDescent="0.25">
      <c r="A45" s="5" t="s">
        <v>31</v>
      </c>
      <c r="B45" s="5">
        <v>9</v>
      </c>
      <c r="C45" s="20">
        <v>0.13600000000000001</v>
      </c>
      <c r="D45" s="3">
        <v>0.13300000000000001</v>
      </c>
      <c r="E45" s="3">
        <v>9.7536998778867484E-2</v>
      </c>
      <c r="F45" s="3">
        <f>2.2533*C45-0.0076</f>
        <v>0.29884880000000003</v>
      </c>
      <c r="G45" s="3"/>
      <c r="H45" s="3">
        <f t="shared" si="9"/>
        <v>3.0000000000000027E-3</v>
      </c>
      <c r="I45" s="3">
        <f t="shared" si="1"/>
        <v>3.0000000000000027</v>
      </c>
      <c r="J45" s="3"/>
      <c r="K45" s="3"/>
      <c r="L45" s="3"/>
      <c r="M45" s="3"/>
      <c r="N45" s="3"/>
    </row>
    <row r="46" spans="1:23" ht="1.5" customHeight="1" x14ac:dyDescent="0.25">
      <c r="A46" s="5" t="s">
        <v>31</v>
      </c>
      <c r="B46" s="5">
        <v>3</v>
      </c>
      <c r="C46" s="20">
        <v>0.19500000000000001</v>
      </c>
      <c r="D46" s="3">
        <v>0.20300000000000001</v>
      </c>
      <c r="E46" s="3">
        <v>0.26991902429271225</v>
      </c>
      <c r="F46" s="3">
        <f>3.2874*C46-0.1838</f>
        <v>0.45724300000000007</v>
      </c>
      <c r="G46" s="3"/>
      <c r="H46" s="3">
        <f t="shared" si="9"/>
        <v>-8.0000000000000071E-3</v>
      </c>
      <c r="I46" s="3">
        <f t="shared" si="1"/>
        <v>-8.0000000000000071</v>
      </c>
      <c r="J46" s="3"/>
      <c r="K46" s="3"/>
      <c r="L46" s="3"/>
      <c r="M46" s="3"/>
      <c r="N46" s="3"/>
      <c r="U46" t="s">
        <v>52</v>
      </c>
      <c r="V46" s="22" t="s">
        <v>51</v>
      </c>
      <c r="W46" t="s">
        <v>50</v>
      </c>
    </row>
    <row r="47" spans="1:23" hidden="1" x14ac:dyDescent="0.25">
      <c r="A47" s="5" t="s">
        <v>31</v>
      </c>
      <c r="B47" s="5">
        <v>4</v>
      </c>
      <c r="C47" s="20">
        <v>0.29899999999999999</v>
      </c>
      <c r="D47" s="3">
        <v>0.307</v>
      </c>
      <c r="E47" s="3">
        <v>0.5098980203959208</v>
      </c>
      <c r="F47" s="3">
        <f>3.2874*C47-0.1838</f>
        <v>0.79913259999999997</v>
      </c>
      <c r="G47" s="3"/>
      <c r="H47" s="3">
        <f t="shared" si="9"/>
        <v>-8.0000000000000071E-3</v>
      </c>
      <c r="I47" s="3">
        <f t="shared" si="1"/>
        <v>-8.0000000000000071</v>
      </c>
      <c r="J47" s="3"/>
      <c r="K47" s="3"/>
      <c r="L47" s="3"/>
      <c r="M47" s="3"/>
      <c r="N47" s="3"/>
      <c r="U47" t="s">
        <v>19</v>
      </c>
      <c r="V47" s="28">
        <f>EXP((0-11.137)/3.897)</f>
        <v>5.7392631004356785E-2</v>
      </c>
      <c r="W47">
        <v>2.5000000000000001E-2</v>
      </c>
    </row>
    <row r="48" spans="1:23" hidden="1" x14ac:dyDescent="0.25">
      <c r="A48" s="5" t="s">
        <v>31</v>
      </c>
      <c r="B48" s="5">
        <v>10</v>
      </c>
      <c r="C48" s="20">
        <v>0.434</v>
      </c>
      <c r="D48" s="3">
        <v>0.44</v>
      </c>
      <c r="E48" s="3">
        <v>0.74181313851740782</v>
      </c>
      <c r="F48" s="3">
        <f>2.2533*C48-0.0076</f>
        <v>0.97033219999999987</v>
      </c>
      <c r="G48" s="3"/>
      <c r="H48" s="3">
        <f t="shared" si="9"/>
        <v>-6.0000000000000053E-3</v>
      </c>
      <c r="I48" s="3">
        <f t="shared" si="1"/>
        <v>-6.0000000000000053</v>
      </c>
      <c r="J48" s="3"/>
      <c r="K48" s="3"/>
      <c r="L48" s="3"/>
      <c r="M48" s="3"/>
      <c r="N48" s="3"/>
      <c r="U48" t="s">
        <v>20</v>
      </c>
      <c r="V48" s="28">
        <f>EXP((0-17.578)/7.4573)</f>
        <v>9.4689383349236905E-2</v>
      </c>
      <c r="W48">
        <v>2.1999999999999999E-2</v>
      </c>
    </row>
    <row r="49" spans="1:23" hidden="1" x14ac:dyDescent="0.25">
      <c r="A49" s="5" t="s">
        <v>31</v>
      </c>
      <c r="B49" s="5">
        <v>5</v>
      </c>
      <c r="C49" s="20">
        <v>0.54200000000000004</v>
      </c>
      <c r="D49" s="3">
        <v>0.55400000000000005</v>
      </c>
      <c r="E49" s="3">
        <v>1.0592585190366743</v>
      </c>
      <c r="F49" s="3">
        <f>3.2874*C49-0.1838</f>
        <v>1.5979708000000001</v>
      </c>
      <c r="G49" s="3"/>
      <c r="H49" s="3">
        <f t="shared" si="9"/>
        <v>-1.2000000000000011E-2</v>
      </c>
      <c r="I49" s="3">
        <f t="shared" si="1"/>
        <v>-12.000000000000011</v>
      </c>
      <c r="J49" s="3"/>
      <c r="K49" s="3"/>
      <c r="L49" s="3"/>
      <c r="M49" s="3"/>
      <c r="N49" s="3"/>
      <c r="U49" t="s">
        <v>21</v>
      </c>
      <c r="V49" s="28">
        <f>EXP((0-12.33)/4.6159)</f>
        <v>6.9169053799692889E-2</v>
      </c>
      <c r="W49">
        <v>2.8000000000000001E-2</v>
      </c>
    </row>
    <row r="50" spans="1:23" hidden="1" x14ac:dyDescent="0.25">
      <c r="A50" s="5" t="s">
        <v>31</v>
      </c>
      <c r="B50" s="5">
        <v>6</v>
      </c>
      <c r="C50" s="20">
        <v>1.7649999999999999</v>
      </c>
      <c r="D50" s="3">
        <v>1.7949999999999999</v>
      </c>
      <c r="E50" s="3">
        <v>5.0179928028788492</v>
      </c>
      <c r="F50" s="3">
        <f>3.2874*C50-0.1838</f>
        <v>5.6184609999999999</v>
      </c>
      <c r="G50" s="3"/>
      <c r="H50" s="3">
        <f t="shared" si="9"/>
        <v>-3.0000000000000027E-2</v>
      </c>
      <c r="I50" s="3">
        <f t="shared" si="1"/>
        <v>-30.000000000000028</v>
      </c>
      <c r="J50" s="3"/>
      <c r="K50" s="3"/>
      <c r="L50" s="3"/>
      <c r="M50" s="3"/>
      <c r="N50" s="3"/>
      <c r="U50" t="s">
        <v>22</v>
      </c>
      <c r="V50" s="28">
        <f>EXP((0-15.654)/5.788)</f>
        <v>6.6899675590989E-2</v>
      </c>
      <c r="W50">
        <v>2.8000000000000001E-2</v>
      </c>
    </row>
    <row r="51" spans="1:23" hidden="1" x14ac:dyDescent="0.25">
      <c r="A51" s="5" t="s">
        <v>31</v>
      </c>
      <c r="B51" s="5">
        <v>7</v>
      </c>
      <c r="C51" s="20">
        <v>3.08</v>
      </c>
      <c r="D51" s="3">
        <v>3.153</v>
      </c>
      <c r="E51" s="3">
        <v>10.150713644076257</v>
      </c>
      <c r="F51" s="3">
        <f>3.2874*C51-0.1838</f>
        <v>9.9413920000000005</v>
      </c>
      <c r="G51" s="3"/>
      <c r="H51" s="3">
        <f t="shared" si="9"/>
        <v>-7.2999999999999954E-2</v>
      </c>
      <c r="I51" s="3">
        <f t="shared" si="1"/>
        <v>-72.999999999999957</v>
      </c>
      <c r="J51" s="3"/>
      <c r="K51" s="3"/>
      <c r="L51" s="3"/>
      <c r="M51" s="3"/>
      <c r="N51" s="3"/>
    </row>
    <row r="52" spans="1:23" hidden="1" x14ac:dyDescent="0.25">
      <c r="A52" s="14" t="s">
        <v>32</v>
      </c>
      <c r="B52" s="14">
        <v>1</v>
      </c>
      <c r="C52" s="21">
        <v>0.09</v>
      </c>
      <c r="D52" s="3">
        <v>0.09</v>
      </c>
      <c r="E52" s="3">
        <v>0</v>
      </c>
      <c r="F52" s="3">
        <f>3.2874*C52-0.1838</f>
        <v>0.11206599999999997</v>
      </c>
      <c r="G52" s="3"/>
      <c r="H52" s="3">
        <f t="shared" si="9"/>
        <v>0</v>
      </c>
      <c r="I52" s="3">
        <f t="shared" si="1"/>
        <v>0</v>
      </c>
      <c r="J52" s="3"/>
      <c r="K52" s="3"/>
      <c r="L52" s="3"/>
      <c r="M52" s="3"/>
      <c r="N52" s="3"/>
    </row>
    <row r="53" spans="1:23" ht="13.5" hidden="1" customHeight="1" x14ac:dyDescent="0.25">
      <c r="A53" s="14" t="s">
        <v>32</v>
      </c>
      <c r="B53" s="14">
        <v>2</v>
      </c>
      <c r="C53" s="21">
        <v>9.4E-2</v>
      </c>
      <c r="D53" s="3">
        <v>9.6000000000000002E-2</v>
      </c>
      <c r="E53" s="3">
        <v>0.01</v>
      </c>
      <c r="F53" s="3">
        <f>3.2874*C53-0.1838</f>
        <v>0.12521560000000001</v>
      </c>
      <c r="G53" s="3"/>
      <c r="H53" s="3">
        <f t="shared" si="9"/>
        <v>-2.0000000000000018E-3</v>
      </c>
      <c r="I53" s="3">
        <f t="shared" si="1"/>
        <v>-2.0000000000000018</v>
      </c>
      <c r="J53" s="3"/>
      <c r="K53" s="3"/>
      <c r="L53" s="3"/>
      <c r="M53" s="3"/>
      <c r="N53" s="3"/>
    </row>
    <row r="54" spans="1:23" hidden="1" x14ac:dyDescent="0.25">
      <c r="A54" s="14" t="s">
        <v>32</v>
      </c>
      <c r="B54" s="14">
        <v>8</v>
      </c>
      <c r="C54" s="21">
        <v>0.1</v>
      </c>
      <c r="D54" s="3">
        <v>9.8000000000000004E-2</v>
      </c>
      <c r="E54" s="3">
        <v>4.9198979121183241E-2</v>
      </c>
      <c r="F54" s="3">
        <f>2.2533*C54-0.0076</f>
        <v>0.21773000000000001</v>
      </c>
      <c r="G54" s="3"/>
      <c r="H54" s="3">
        <f t="shared" si="9"/>
        <v>2.0000000000000018E-3</v>
      </c>
      <c r="I54" s="3">
        <f t="shared" si="1"/>
        <v>2.0000000000000018</v>
      </c>
      <c r="J54" s="3"/>
      <c r="K54" s="3"/>
      <c r="L54" s="3"/>
      <c r="M54" s="3"/>
      <c r="N54" s="3"/>
    </row>
    <row r="55" spans="1:23" hidden="1" x14ac:dyDescent="0.25">
      <c r="A55" s="14" t="s">
        <v>32</v>
      </c>
      <c r="B55" s="14">
        <v>9</v>
      </c>
      <c r="C55" s="21">
        <v>0.13600000000000001</v>
      </c>
      <c r="D55" s="3">
        <v>0.13300000000000001</v>
      </c>
      <c r="E55" s="3">
        <v>9.7536998778867484E-2</v>
      </c>
      <c r="F55" s="3">
        <f>2.2533*C55-0.0076</f>
        <v>0.29884880000000003</v>
      </c>
      <c r="G55" s="3"/>
      <c r="H55" s="3">
        <f t="shared" si="9"/>
        <v>3.0000000000000027E-3</v>
      </c>
      <c r="I55" s="3">
        <f t="shared" si="1"/>
        <v>3.0000000000000027</v>
      </c>
      <c r="J55" s="3"/>
      <c r="K55" s="3"/>
      <c r="L55" s="3"/>
      <c r="M55" s="3"/>
      <c r="N55" s="3"/>
    </row>
    <row r="56" spans="1:23" hidden="1" x14ac:dyDescent="0.25">
      <c r="A56" s="14" t="s">
        <v>32</v>
      </c>
      <c r="B56" s="14">
        <v>3</v>
      </c>
      <c r="C56" s="21">
        <v>0.19</v>
      </c>
      <c r="D56" s="3">
        <v>0.20300000000000001</v>
      </c>
      <c r="E56" s="3">
        <v>0.26991902429271225</v>
      </c>
      <c r="F56" s="3">
        <f>3.2874*C56-0.1838</f>
        <v>0.44080600000000003</v>
      </c>
      <c r="G56" s="3"/>
      <c r="H56" s="3">
        <f t="shared" si="9"/>
        <v>-1.3000000000000012E-2</v>
      </c>
      <c r="I56" s="3">
        <f t="shared" si="1"/>
        <v>-13.000000000000011</v>
      </c>
      <c r="J56" s="3"/>
      <c r="K56" s="3"/>
      <c r="L56" s="3"/>
      <c r="M56" s="3"/>
      <c r="N56" s="3"/>
    </row>
    <row r="57" spans="1:23" hidden="1" x14ac:dyDescent="0.25">
      <c r="A57" s="14" t="s">
        <v>32</v>
      </c>
      <c r="B57" s="14">
        <v>4</v>
      </c>
      <c r="C57" s="21">
        <v>0.29899999999999999</v>
      </c>
      <c r="D57" s="3">
        <v>0.307</v>
      </c>
      <c r="E57" s="3">
        <v>0.5098980203959208</v>
      </c>
      <c r="F57" s="3">
        <f>3.2874*C57-0.1838</f>
        <v>0.79913259999999997</v>
      </c>
      <c r="G57" s="3"/>
      <c r="H57" s="3">
        <f t="shared" si="9"/>
        <v>-8.0000000000000071E-3</v>
      </c>
      <c r="I57" s="3">
        <f t="shared" si="1"/>
        <v>-8.0000000000000071</v>
      </c>
      <c r="J57" s="3"/>
      <c r="K57" s="3"/>
      <c r="L57" s="3"/>
      <c r="M57" s="3"/>
      <c r="N57" s="3"/>
    </row>
    <row r="58" spans="1:23" hidden="1" x14ac:dyDescent="0.25">
      <c r="A58" s="14" t="s">
        <v>32</v>
      </c>
      <c r="B58" s="14">
        <v>10</v>
      </c>
      <c r="C58" s="21">
        <v>0.44800000000000001</v>
      </c>
      <c r="D58" s="3">
        <v>0.44</v>
      </c>
      <c r="E58" s="3">
        <v>0.74181313851740782</v>
      </c>
      <c r="F58" s="3">
        <f>2.2533*C58-0.0076</f>
        <v>1.0018783999999998</v>
      </c>
      <c r="G58" s="3"/>
      <c r="H58" s="3">
        <f t="shared" si="9"/>
        <v>8.0000000000000071E-3</v>
      </c>
      <c r="I58" s="3">
        <f t="shared" si="1"/>
        <v>8.0000000000000071</v>
      </c>
      <c r="J58" s="3"/>
      <c r="K58" s="3"/>
      <c r="L58" s="3"/>
      <c r="M58" s="3"/>
      <c r="N58" s="3"/>
    </row>
    <row r="59" spans="1:23" hidden="1" x14ac:dyDescent="0.25">
      <c r="A59" s="14" t="s">
        <v>32</v>
      </c>
      <c r="B59" s="14">
        <v>5</v>
      </c>
      <c r="C59" s="21">
        <v>0.53700000000000003</v>
      </c>
      <c r="D59" s="3">
        <v>0.55400000000000005</v>
      </c>
      <c r="E59" s="3">
        <v>1.0592585190366743</v>
      </c>
      <c r="F59" s="3">
        <f>3.2874*C59-0.1838</f>
        <v>1.5815338000000001</v>
      </c>
      <c r="G59" s="3"/>
      <c r="H59" s="3">
        <f t="shared" si="9"/>
        <v>-1.7000000000000015E-2</v>
      </c>
      <c r="I59" s="3">
        <f t="shared" si="1"/>
        <v>-17.000000000000014</v>
      </c>
      <c r="J59" s="3"/>
      <c r="K59" s="3"/>
      <c r="L59" s="3"/>
      <c r="M59" s="3"/>
      <c r="N59" s="3"/>
    </row>
    <row r="60" spans="1:23" hidden="1" x14ac:dyDescent="0.25">
      <c r="A60" s="14" t="s">
        <v>32</v>
      </c>
      <c r="B60" s="14">
        <v>6</v>
      </c>
      <c r="C60" s="21">
        <v>1.774</v>
      </c>
      <c r="D60" s="3">
        <v>1.7949999999999999</v>
      </c>
      <c r="E60" s="3">
        <v>5.0179928028788492</v>
      </c>
      <c r="F60" s="3">
        <f>3.2874*C60-0.1838</f>
        <v>5.6480475999999999</v>
      </c>
      <c r="G60" s="3"/>
      <c r="H60" s="3">
        <f t="shared" si="9"/>
        <v>-2.0999999999999908E-2</v>
      </c>
      <c r="I60" s="3">
        <f t="shared" si="1"/>
        <v>-20.999999999999908</v>
      </c>
      <c r="J60" s="3"/>
      <c r="K60" s="3"/>
      <c r="L60" s="3"/>
      <c r="M60" s="3"/>
      <c r="N60" s="3"/>
    </row>
    <row r="61" spans="1:23" ht="9" customHeight="1" x14ac:dyDescent="0.25">
      <c r="A61" s="14" t="s">
        <v>32</v>
      </c>
      <c r="B61" s="14">
        <v>7</v>
      </c>
      <c r="C61" s="21">
        <v>3.08</v>
      </c>
      <c r="D61" s="3">
        <v>3.153</v>
      </c>
      <c r="E61" s="3">
        <v>10.150713644076257</v>
      </c>
      <c r="F61" s="3">
        <f>3.2874*C61-0.1838</f>
        <v>9.9413920000000005</v>
      </c>
      <c r="G61" s="3"/>
      <c r="H61" s="3">
        <f t="shared" si="9"/>
        <v>-7.2999999999999954E-2</v>
      </c>
      <c r="I61" s="3">
        <f t="shared" si="1"/>
        <v>-72.999999999999957</v>
      </c>
      <c r="J61" s="3"/>
      <c r="K61" s="3"/>
      <c r="L61" s="3"/>
      <c r="M61" s="3"/>
      <c r="N61" s="3"/>
    </row>
    <row r="65" spans="1:4" x14ac:dyDescent="0.25">
      <c r="A65" t="s">
        <v>34</v>
      </c>
      <c r="C65" t="s">
        <v>35</v>
      </c>
    </row>
    <row r="66" spans="1:4" x14ac:dyDescent="0.25">
      <c r="A66">
        <v>0</v>
      </c>
      <c r="B66">
        <v>0.09</v>
      </c>
      <c r="C66">
        <f>B66-0.09</f>
        <v>0</v>
      </c>
    </row>
    <row r="67" spans="1:4" x14ac:dyDescent="0.25">
      <c r="A67">
        <v>0.01</v>
      </c>
      <c r="B67">
        <v>9.6000000000000002E-2</v>
      </c>
      <c r="C67">
        <f t="shared" ref="C67:C72" si="10">B67-0.09</f>
        <v>6.0000000000000053E-3</v>
      </c>
    </row>
    <row r="68" spans="1:4" x14ac:dyDescent="0.25">
      <c r="A68">
        <v>0.26991902429271225</v>
      </c>
      <c r="B68">
        <v>0.20300000000000001</v>
      </c>
      <c r="C68">
        <f t="shared" si="10"/>
        <v>0.11300000000000002</v>
      </c>
    </row>
    <row r="69" spans="1:4" x14ac:dyDescent="0.25">
      <c r="A69">
        <v>0.5098980203959208</v>
      </c>
      <c r="B69">
        <v>0.307</v>
      </c>
      <c r="C69">
        <f t="shared" si="10"/>
        <v>0.217</v>
      </c>
    </row>
    <row r="70" spans="1:4" x14ac:dyDescent="0.25">
      <c r="A70">
        <v>1.0592585190366743</v>
      </c>
      <c r="B70">
        <v>0.55400000000000005</v>
      </c>
      <c r="C70">
        <f t="shared" si="10"/>
        <v>0.46400000000000008</v>
      </c>
    </row>
    <row r="71" spans="1:4" x14ac:dyDescent="0.25">
      <c r="A71">
        <v>5.0179928028788492</v>
      </c>
      <c r="B71">
        <v>1.7949999999999999</v>
      </c>
      <c r="C71">
        <f t="shared" si="10"/>
        <v>1.7049999999999998</v>
      </c>
    </row>
    <row r="72" spans="1:4" x14ac:dyDescent="0.25">
      <c r="A72">
        <v>10.150713644076257</v>
      </c>
      <c r="B72">
        <v>3.153</v>
      </c>
      <c r="C72">
        <f t="shared" si="10"/>
        <v>3.0630000000000002</v>
      </c>
    </row>
    <row r="77" spans="1:4" x14ac:dyDescent="0.25">
      <c r="A77" s="25">
        <v>44664</v>
      </c>
    </row>
    <row r="78" spans="1:4" x14ac:dyDescent="0.25">
      <c r="A78" t="s">
        <v>53</v>
      </c>
      <c r="B78" t="s">
        <v>54</v>
      </c>
      <c r="C78" t="s">
        <v>55</v>
      </c>
      <c r="D78" t="s">
        <v>56</v>
      </c>
    </row>
    <row r="79" spans="1:4" x14ac:dyDescent="0.25">
      <c r="A79">
        <v>1</v>
      </c>
      <c r="B79">
        <v>0</v>
      </c>
      <c r="C79">
        <v>7.6999999999999999E-2</v>
      </c>
      <c r="D79">
        <f>C79-C$79</f>
        <v>0</v>
      </c>
    </row>
    <row r="80" spans="1:4" x14ac:dyDescent="0.25">
      <c r="A80">
        <v>2</v>
      </c>
      <c r="B80">
        <v>0.01</v>
      </c>
      <c r="C80">
        <v>8.5000000000000006E-2</v>
      </c>
      <c r="D80">
        <f t="shared" ref="D80:D86" si="11">C80-C$79</f>
        <v>8.0000000000000071E-3</v>
      </c>
    </row>
    <row r="81" spans="1:4" x14ac:dyDescent="0.25">
      <c r="A81">
        <v>8</v>
      </c>
      <c r="B81">
        <v>4.9198979121183241E-2</v>
      </c>
      <c r="C81">
        <v>9.8000000000000004E-2</v>
      </c>
      <c r="D81">
        <f t="shared" si="11"/>
        <v>2.1000000000000005E-2</v>
      </c>
    </row>
    <row r="82" spans="1:4" x14ac:dyDescent="0.25">
      <c r="A82">
        <v>9</v>
      </c>
      <c r="B82">
        <v>9.7536998778867484E-2</v>
      </c>
      <c r="C82">
        <v>0.13300000000000001</v>
      </c>
      <c r="D82">
        <f t="shared" si="11"/>
        <v>5.6000000000000008E-2</v>
      </c>
    </row>
    <row r="83" spans="1:4" x14ac:dyDescent="0.25">
      <c r="A83">
        <v>3</v>
      </c>
      <c r="B83">
        <v>0.26991902429271225</v>
      </c>
      <c r="C83">
        <v>0.19600000000000001</v>
      </c>
      <c r="D83">
        <f t="shared" si="11"/>
        <v>0.11900000000000001</v>
      </c>
    </row>
    <row r="84" spans="1:4" x14ac:dyDescent="0.25">
      <c r="A84">
        <v>4</v>
      </c>
      <c r="B84">
        <v>0.5098980203959208</v>
      </c>
      <c r="C84">
        <v>0.29899999999999999</v>
      </c>
      <c r="D84">
        <f t="shared" si="11"/>
        <v>0.22199999999999998</v>
      </c>
    </row>
    <row r="85" spans="1:4" x14ac:dyDescent="0.25">
      <c r="A85">
        <v>10</v>
      </c>
      <c r="B85">
        <v>0.74181313851740782</v>
      </c>
      <c r="C85">
        <v>0.44</v>
      </c>
      <c r="D85">
        <f t="shared" si="11"/>
        <v>0.36299999999999999</v>
      </c>
    </row>
    <row r="86" spans="1:4" x14ac:dyDescent="0.25">
      <c r="A86">
        <v>5</v>
      </c>
      <c r="B86">
        <v>1.0592585190366743</v>
      </c>
      <c r="C86">
        <v>0.53</v>
      </c>
      <c r="D86">
        <f t="shared" si="11"/>
        <v>0.45300000000000001</v>
      </c>
    </row>
    <row r="87" spans="1:4" x14ac:dyDescent="0.25">
      <c r="B87">
        <v>5.0179928028788492</v>
      </c>
      <c r="C87">
        <v>1.7949999999999999</v>
      </c>
    </row>
    <row r="88" spans="1:4" x14ac:dyDescent="0.25">
      <c r="B88">
        <v>10.150713644076257</v>
      </c>
      <c r="C88">
        <v>3.153</v>
      </c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1AA7-8068-4AB8-8254-A1F173F65754}">
  <dimension ref="A1:C9"/>
  <sheetViews>
    <sheetView workbookViewId="0">
      <selection activeCell="C33" sqref="C33"/>
    </sheetView>
  </sheetViews>
  <sheetFormatPr defaultRowHeight="15" x14ac:dyDescent="0.25"/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>
        <v>1</v>
      </c>
      <c r="B2">
        <v>0</v>
      </c>
      <c r="C2">
        <v>7.8E-2</v>
      </c>
    </row>
    <row r="3" spans="1:3" x14ac:dyDescent="0.25">
      <c r="A3">
        <v>2</v>
      </c>
      <c r="B3">
        <v>0.01</v>
      </c>
      <c r="C3">
        <v>8.4000000000000005E-2</v>
      </c>
    </row>
    <row r="4" spans="1:3" x14ac:dyDescent="0.25">
      <c r="A4">
        <v>8</v>
      </c>
      <c r="B4">
        <v>4.9198979121183241E-2</v>
      </c>
      <c r="C4">
        <v>9.6000000000000002E-2</v>
      </c>
    </row>
    <row r="5" spans="1:3" x14ac:dyDescent="0.25">
      <c r="A5">
        <v>9</v>
      </c>
      <c r="B5">
        <v>9.7536998778867484E-2</v>
      </c>
      <c r="C5">
        <v>0.13100000000000001</v>
      </c>
    </row>
    <row r="6" spans="1:3" x14ac:dyDescent="0.25">
      <c r="A6">
        <v>3</v>
      </c>
      <c r="B6">
        <v>0.26991902429271225</v>
      </c>
      <c r="C6">
        <v>0.19500000000000001</v>
      </c>
    </row>
    <row r="7" spans="1:3" x14ac:dyDescent="0.25">
      <c r="A7">
        <v>4</v>
      </c>
      <c r="B7">
        <v>0.5098980203959208</v>
      </c>
      <c r="C7">
        <v>0.29799999999999999</v>
      </c>
    </row>
    <row r="8" spans="1:3" x14ac:dyDescent="0.25">
      <c r="A8">
        <v>10</v>
      </c>
      <c r="B8">
        <v>0.74181313851740782</v>
      </c>
      <c r="C8">
        <v>0.439</v>
      </c>
    </row>
    <row r="9" spans="1:3" x14ac:dyDescent="0.25">
      <c r="A9">
        <v>5</v>
      </c>
      <c r="B9">
        <v>1.0592585190366743</v>
      </c>
      <c r="C9">
        <v>0.52900000000000003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F2DD-0E62-4F7E-A0FC-4B13BD8624B7}">
  <dimension ref="A1:H96"/>
  <sheetViews>
    <sheetView zoomScale="166" zoomScaleNormal="166" workbookViewId="0">
      <selection sqref="A1:H11"/>
    </sheetView>
  </sheetViews>
  <sheetFormatPr defaultRowHeight="15" x14ac:dyDescent="0.25"/>
  <cols>
    <col min="1" max="1" width="13" customWidth="1"/>
    <col min="2" max="2" width="14.7109375" bestFit="1" customWidth="1"/>
    <col min="3" max="3" width="17.5703125" bestFit="1" customWidth="1"/>
    <col min="4" max="4" width="15.140625" bestFit="1" customWidth="1"/>
    <col min="5" max="5" width="14.85546875" bestFit="1" customWidth="1"/>
    <col min="6" max="6" width="28" bestFit="1" customWidth="1"/>
    <col min="7" max="7" width="11.5703125" bestFit="1" customWidth="1"/>
    <col min="8" max="8" width="19" customWidth="1"/>
  </cols>
  <sheetData>
    <row r="1" spans="1:8" x14ac:dyDescent="0.25">
      <c r="A1" s="41" t="s">
        <v>12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13</v>
      </c>
      <c r="G1" s="79" t="s">
        <v>11</v>
      </c>
      <c r="H1" s="80"/>
    </row>
    <row r="2" spans="1:8" x14ac:dyDescent="0.25">
      <c r="A2" s="3">
        <v>1</v>
      </c>
      <c r="B2" s="3">
        <v>0</v>
      </c>
      <c r="C2" s="4">
        <v>0</v>
      </c>
      <c r="D2" s="3">
        <v>150</v>
      </c>
      <c r="E2" s="4">
        <v>145</v>
      </c>
      <c r="F2" s="1">
        <v>0</v>
      </c>
      <c r="G2" s="3">
        <f>C2*(100/1000)</f>
        <v>0</v>
      </c>
      <c r="H2" s="5">
        <f>G2/(C2+E2)*1000</f>
        <v>0</v>
      </c>
    </row>
    <row r="3" spans="1:8" x14ac:dyDescent="0.25">
      <c r="A3" s="3">
        <v>2</v>
      </c>
      <c r="B3" s="3">
        <v>1.4999999999999999E-2</v>
      </c>
      <c r="C3" s="4">
        <v>1.5100000000000001E-2</v>
      </c>
      <c r="D3" s="3">
        <v>149.98500000000001</v>
      </c>
      <c r="E3" s="4">
        <v>158.58000000000001</v>
      </c>
      <c r="F3" s="1">
        <v>0.01</v>
      </c>
      <c r="G3" s="3">
        <f t="shared" ref="G3:G11" si="0">C3*(100/1000)</f>
        <v>1.5100000000000001E-3</v>
      </c>
      <c r="H3" s="5">
        <f t="shared" ref="H3:H11" si="1">G3/(C3+E3)*1000</f>
        <v>9.5211012193945465E-3</v>
      </c>
    </row>
    <row r="4" spans="1:8" x14ac:dyDescent="0.25">
      <c r="A4" s="3">
        <v>3</v>
      </c>
      <c r="B4" s="3">
        <v>7.4999999999999997E-2</v>
      </c>
      <c r="C4" s="4">
        <v>7.6700000000000004E-2</v>
      </c>
      <c r="D4" s="3">
        <v>149.92500000000001</v>
      </c>
      <c r="E4" s="4">
        <v>149.96</v>
      </c>
      <c r="F4" s="1">
        <v>0.05</v>
      </c>
      <c r="G4" s="3">
        <f t="shared" si="0"/>
        <v>7.6700000000000006E-3</v>
      </c>
      <c r="H4" s="5">
        <f t="shared" si="1"/>
        <v>5.1120825771294634E-2</v>
      </c>
    </row>
    <row r="5" spans="1:8" x14ac:dyDescent="0.25">
      <c r="A5" s="3">
        <v>4</v>
      </c>
      <c r="B5" s="3">
        <v>0.15</v>
      </c>
      <c r="C5" s="4">
        <v>0.15079999999999999</v>
      </c>
      <c r="D5" s="3">
        <v>149.85</v>
      </c>
      <c r="E5" s="4">
        <v>149.52000000000001</v>
      </c>
      <c r="F5" s="1">
        <v>0.1</v>
      </c>
      <c r="G5" s="3">
        <f t="shared" si="0"/>
        <v>1.508E-2</v>
      </c>
      <c r="H5" s="5">
        <f t="shared" si="1"/>
        <v>0.10075445577894952</v>
      </c>
    </row>
    <row r="6" spans="1:8" x14ac:dyDescent="0.25">
      <c r="A6" s="3">
        <v>5</v>
      </c>
      <c r="B6" s="3">
        <v>0.375</v>
      </c>
      <c r="C6" s="4">
        <v>0.37519999999999998</v>
      </c>
      <c r="D6" s="3">
        <v>149.625</v>
      </c>
      <c r="E6" s="4">
        <v>149.63999999999999</v>
      </c>
      <c r="F6" s="1">
        <v>0.25</v>
      </c>
      <c r="G6" s="3">
        <f t="shared" si="0"/>
        <v>3.7519999999999998E-2</v>
      </c>
      <c r="H6" s="5">
        <f t="shared" si="1"/>
        <v>0.2501079890571089</v>
      </c>
    </row>
    <row r="7" spans="1:8" x14ac:dyDescent="0.25">
      <c r="A7" s="3">
        <v>6</v>
      </c>
      <c r="B7" s="3">
        <v>0.75</v>
      </c>
      <c r="C7" s="4">
        <v>0.75080000000000002</v>
      </c>
      <c r="D7" s="3">
        <v>149.25</v>
      </c>
      <c r="E7" s="4">
        <v>149.37</v>
      </c>
      <c r="F7" s="1">
        <v>0.5</v>
      </c>
      <c r="G7" s="3">
        <f t="shared" si="0"/>
        <v>7.5080000000000008E-2</v>
      </c>
      <c r="H7" s="5">
        <f t="shared" si="1"/>
        <v>0.50013056152112167</v>
      </c>
    </row>
    <row r="8" spans="1:8" x14ac:dyDescent="0.25">
      <c r="A8" s="3">
        <v>7</v>
      </c>
      <c r="B8" s="3">
        <v>1.125</v>
      </c>
      <c r="C8" s="4">
        <v>1.1221000000000001</v>
      </c>
      <c r="D8" s="3">
        <v>148.875</v>
      </c>
      <c r="E8" s="4">
        <v>152.35</v>
      </c>
      <c r="F8" s="1">
        <v>0.75</v>
      </c>
      <c r="G8" s="3">
        <f t="shared" si="0"/>
        <v>0.11221000000000002</v>
      </c>
      <c r="H8" s="5">
        <f t="shared" si="1"/>
        <v>0.73114266371542469</v>
      </c>
    </row>
    <row r="9" spans="1:8" x14ac:dyDescent="0.25">
      <c r="A9" s="3">
        <v>8</v>
      </c>
      <c r="B9" s="3">
        <v>1.5</v>
      </c>
      <c r="C9" s="4">
        <v>1.4935</v>
      </c>
      <c r="D9" s="3">
        <v>148.5</v>
      </c>
      <c r="E9" s="4">
        <v>148.30000000000001</v>
      </c>
      <c r="F9" s="1">
        <v>1</v>
      </c>
      <c r="G9" s="3">
        <f t="shared" si="0"/>
        <v>0.14935000000000001</v>
      </c>
      <c r="H9" s="5">
        <f t="shared" si="1"/>
        <v>0.99703925737765642</v>
      </c>
    </row>
    <row r="10" spans="1:8" x14ac:dyDescent="0.25">
      <c r="A10" s="3">
        <v>9</v>
      </c>
      <c r="B10" s="3">
        <v>7.5</v>
      </c>
      <c r="C10" s="4">
        <v>7.51</v>
      </c>
      <c r="D10" s="3">
        <v>142.5</v>
      </c>
      <c r="E10" s="4">
        <v>142.62</v>
      </c>
      <c r="F10" s="1">
        <v>5</v>
      </c>
      <c r="G10" s="3">
        <f t="shared" si="0"/>
        <v>0.751</v>
      </c>
      <c r="H10" s="5">
        <f t="shared" si="1"/>
        <v>5.0023313128621867</v>
      </c>
    </row>
    <row r="11" spans="1:8" x14ac:dyDescent="0.25">
      <c r="A11" s="3">
        <v>10</v>
      </c>
      <c r="B11" s="3">
        <v>15</v>
      </c>
      <c r="C11" s="4">
        <v>15.03</v>
      </c>
      <c r="D11" s="3">
        <v>135</v>
      </c>
      <c r="E11" s="4">
        <v>135.02000000000001</v>
      </c>
      <c r="F11" s="1">
        <v>10</v>
      </c>
      <c r="G11" s="3">
        <f t="shared" si="0"/>
        <v>1.5030000000000001</v>
      </c>
      <c r="H11" s="5">
        <f t="shared" si="1"/>
        <v>10.016661112962346</v>
      </c>
    </row>
    <row r="15" spans="1:8" x14ac:dyDescent="0.25">
      <c r="A15" s="3" t="s">
        <v>16</v>
      </c>
      <c r="B15" s="3" t="s">
        <v>30</v>
      </c>
      <c r="C15" s="3" t="s">
        <v>14</v>
      </c>
      <c r="D15" s="3" t="s">
        <v>18</v>
      </c>
      <c r="E15" s="3" t="s">
        <v>23</v>
      </c>
      <c r="F15" s="3" t="s">
        <v>15</v>
      </c>
      <c r="G15" s="3" t="s">
        <v>17</v>
      </c>
    </row>
    <row r="16" spans="1:8" x14ac:dyDescent="0.25">
      <c r="A16" s="3" t="s">
        <v>80</v>
      </c>
      <c r="B16" s="3">
        <v>1</v>
      </c>
      <c r="C16" s="29">
        <v>0.52744999999999997</v>
      </c>
      <c r="D16" s="3">
        <f>C16*25</f>
        <v>13.186249999999999</v>
      </c>
      <c r="E16" s="29">
        <v>13.4</v>
      </c>
      <c r="F16" s="30">
        <v>0.4</v>
      </c>
      <c r="G16" s="3">
        <f>C16/E16</f>
        <v>3.936194029850746E-2</v>
      </c>
    </row>
    <row r="17" spans="1:7" x14ac:dyDescent="0.25">
      <c r="A17" s="3" t="s">
        <v>80</v>
      </c>
      <c r="B17" s="3">
        <v>2</v>
      </c>
      <c r="C17" s="29">
        <v>0.56479999999999997</v>
      </c>
      <c r="D17" s="3">
        <f t="shared" ref="D17:D80" si="2">C17*25</f>
        <v>14.12</v>
      </c>
      <c r="E17" s="29">
        <v>14.57</v>
      </c>
      <c r="F17" s="30">
        <v>0.4</v>
      </c>
      <c r="G17" s="3">
        <f t="shared" ref="G17:G80" si="3">C17/E17</f>
        <v>3.8764584763212075E-2</v>
      </c>
    </row>
    <row r="18" spans="1:7" x14ac:dyDescent="0.25">
      <c r="A18" s="3" t="s">
        <v>80</v>
      </c>
      <c r="B18" s="3">
        <v>3</v>
      </c>
      <c r="C18" s="29">
        <v>0.51563000000000003</v>
      </c>
      <c r="D18" s="3">
        <f t="shared" si="2"/>
        <v>12.890750000000001</v>
      </c>
      <c r="E18" s="29">
        <v>13.29</v>
      </c>
      <c r="F18" s="30">
        <v>0.4</v>
      </c>
      <c r="G18" s="3">
        <f t="shared" si="3"/>
        <v>3.8798344620015052E-2</v>
      </c>
    </row>
    <row r="19" spans="1:7" x14ac:dyDescent="0.25">
      <c r="A19" s="3" t="s">
        <v>80</v>
      </c>
      <c r="B19" s="3">
        <v>4</v>
      </c>
      <c r="C19" s="29">
        <v>0.55527000000000004</v>
      </c>
      <c r="D19" s="3">
        <f t="shared" si="2"/>
        <v>13.88175</v>
      </c>
      <c r="E19" s="29">
        <v>13.79</v>
      </c>
      <c r="F19" s="30">
        <v>0.4</v>
      </c>
      <c r="G19" s="3">
        <f t="shared" si="3"/>
        <v>4.0266134880348081E-2</v>
      </c>
    </row>
    <row r="20" spans="1:7" x14ac:dyDescent="0.25">
      <c r="A20" s="3" t="s">
        <v>80</v>
      </c>
      <c r="B20" s="3">
        <v>5</v>
      </c>
      <c r="C20" s="29">
        <v>0.53322000000000003</v>
      </c>
      <c r="D20" s="3">
        <f t="shared" si="2"/>
        <v>13.330500000000001</v>
      </c>
      <c r="E20" s="29">
        <v>13.6</v>
      </c>
      <c r="F20" s="30">
        <v>0.4</v>
      </c>
      <c r="G20" s="3">
        <f t="shared" si="3"/>
        <v>3.9207352941176471E-2</v>
      </c>
    </row>
    <row r="21" spans="1:7" x14ac:dyDescent="0.25">
      <c r="A21" s="3" t="s">
        <v>80</v>
      </c>
      <c r="B21" s="3">
        <v>6</v>
      </c>
      <c r="C21" s="29">
        <v>0.53302000000000005</v>
      </c>
      <c r="D21" s="3">
        <f t="shared" si="2"/>
        <v>13.325500000000002</v>
      </c>
      <c r="E21" s="29">
        <v>13.95</v>
      </c>
      <c r="F21" s="30">
        <v>0.4</v>
      </c>
      <c r="G21" s="3">
        <f t="shared" si="3"/>
        <v>3.8209318996415775E-2</v>
      </c>
    </row>
    <row r="22" spans="1:7" x14ac:dyDescent="0.25">
      <c r="A22" s="3" t="s">
        <v>80</v>
      </c>
      <c r="B22" s="3">
        <v>7</v>
      </c>
      <c r="C22" s="29">
        <v>0.50497999999999998</v>
      </c>
      <c r="D22" s="3">
        <f t="shared" si="2"/>
        <v>12.624499999999999</v>
      </c>
      <c r="E22" s="29">
        <v>13.04</v>
      </c>
      <c r="F22" s="30">
        <v>0.4</v>
      </c>
      <c r="G22" s="3">
        <f t="shared" si="3"/>
        <v>3.8725460122699389E-2</v>
      </c>
    </row>
    <row r="23" spans="1:7" x14ac:dyDescent="0.25">
      <c r="A23" s="3" t="s">
        <v>80</v>
      </c>
      <c r="B23" s="3">
        <v>8</v>
      </c>
      <c r="C23" s="29">
        <v>0.50722999999999996</v>
      </c>
      <c r="D23" s="3">
        <f t="shared" si="2"/>
        <v>12.68075</v>
      </c>
      <c r="E23" s="29">
        <v>13.53</v>
      </c>
      <c r="F23" s="30">
        <v>0.4</v>
      </c>
      <c r="G23" s="3">
        <f t="shared" si="3"/>
        <v>3.7489283074648924E-2</v>
      </c>
    </row>
    <row r="24" spans="1:7" x14ac:dyDescent="0.25">
      <c r="A24" s="3" t="s">
        <v>80</v>
      </c>
      <c r="B24" s="3">
        <v>9</v>
      </c>
      <c r="C24" s="29">
        <v>0.52253000000000005</v>
      </c>
      <c r="D24" s="3">
        <f t="shared" si="2"/>
        <v>13.063250000000002</v>
      </c>
      <c r="E24" s="29">
        <v>13.21</v>
      </c>
      <c r="F24" s="30">
        <v>0.4</v>
      </c>
      <c r="G24" s="3">
        <f t="shared" si="3"/>
        <v>3.9555639666919003E-2</v>
      </c>
    </row>
    <row r="25" spans="1:7" x14ac:dyDescent="0.25">
      <c r="A25" s="3" t="s">
        <v>80</v>
      </c>
      <c r="B25" s="3">
        <v>10</v>
      </c>
      <c r="C25" s="29">
        <v>0.53903999999999996</v>
      </c>
      <c r="D25" s="3">
        <f t="shared" si="2"/>
        <v>13.475999999999999</v>
      </c>
      <c r="E25" s="29">
        <v>14.17</v>
      </c>
      <c r="F25" s="30">
        <v>0.4</v>
      </c>
      <c r="G25" s="3">
        <f t="shared" si="3"/>
        <v>3.80409315455187E-2</v>
      </c>
    </row>
    <row r="26" spans="1:7" x14ac:dyDescent="0.25">
      <c r="A26" s="3" t="s">
        <v>81</v>
      </c>
      <c r="B26" s="3">
        <v>1</v>
      </c>
      <c r="C26" s="29">
        <v>0.51844000000000001</v>
      </c>
      <c r="D26" s="3">
        <f t="shared" si="2"/>
        <v>12.961</v>
      </c>
      <c r="E26" s="29">
        <v>13.29</v>
      </c>
      <c r="F26" s="30">
        <v>0.4</v>
      </c>
      <c r="G26" s="3">
        <f t="shared" si="3"/>
        <v>3.9009781790820167E-2</v>
      </c>
    </row>
    <row r="27" spans="1:7" x14ac:dyDescent="0.25">
      <c r="A27" s="3" t="s">
        <v>81</v>
      </c>
      <c r="B27" s="3">
        <v>2</v>
      </c>
      <c r="C27" s="29">
        <v>0.50763999999999998</v>
      </c>
      <c r="D27" s="3">
        <f t="shared" si="2"/>
        <v>12.690999999999999</v>
      </c>
      <c r="E27" s="29">
        <v>12.78</v>
      </c>
      <c r="F27" s="30">
        <v>0.4</v>
      </c>
      <c r="G27" s="3">
        <f t="shared" si="3"/>
        <v>3.9721439749608761E-2</v>
      </c>
    </row>
    <row r="28" spans="1:7" x14ac:dyDescent="0.25">
      <c r="A28" s="3" t="s">
        <v>81</v>
      </c>
      <c r="B28" s="3">
        <v>3</v>
      </c>
      <c r="C28" s="29">
        <v>0.54085000000000005</v>
      </c>
      <c r="D28" s="3">
        <f t="shared" si="2"/>
        <v>13.521250000000002</v>
      </c>
      <c r="E28" s="29">
        <v>13.61</v>
      </c>
      <c r="F28" s="30">
        <v>0.4</v>
      </c>
      <c r="G28" s="3">
        <f t="shared" si="3"/>
        <v>3.9739162380602502E-2</v>
      </c>
    </row>
    <row r="29" spans="1:7" x14ac:dyDescent="0.25">
      <c r="A29" s="3" t="s">
        <v>81</v>
      </c>
      <c r="B29" s="3">
        <v>4</v>
      </c>
      <c r="C29" s="29">
        <v>0.51773000000000002</v>
      </c>
      <c r="D29" s="3">
        <f t="shared" si="2"/>
        <v>12.943250000000001</v>
      </c>
      <c r="E29" s="29">
        <v>13.02</v>
      </c>
      <c r="F29" s="30">
        <v>0.4</v>
      </c>
      <c r="G29" s="3">
        <f t="shared" si="3"/>
        <v>3.9764208909370199E-2</v>
      </c>
    </row>
    <row r="30" spans="1:7" x14ac:dyDescent="0.25">
      <c r="A30" s="3" t="s">
        <v>81</v>
      </c>
      <c r="B30" s="3">
        <v>5</v>
      </c>
      <c r="C30" s="29">
        <v>0.51412000000000002</v>
      </c>
      <c r="D30" s="3">
        <f t="shared" si="2"/>
        <v>12.853</v>
      </c>
      <c r="E30" s="29">
        <v>13.31</v>
      </c>
      <c r="F30" s="30">
        <v>0.4</v>
      </c>
      <c r="G30" s="3">
        <f t="shared" si="3"/>
        <v>3.8626596543951917E-2</v>
      </c>
    </row>
    <row r="31" spans="1:7" x14ac:dyDescent="0.25">
      <c r="A31" s="3" t="s">
        <v>81</v>
      </c>
      <c r="B31" s="3">
        <v>6</v>
      </c>
      <c r="C31" s="29">
        <v>0.50922000000000001</v>
      </c>
      <c r="D31" s="3">
        <f t="shared" si="2"/>
        <v>12.730499999999999</v>
      </c>
      <c r="E31" s="29">
        <v>13.11</v>
      </c>
      <c r="F31" s="30">
        <v>0.4</v>
      </c>
      <c r="G31" s="3">
        <f t="shared" si="3"/>
        <v>3.88421052631579E-2</v>
      </c>
    </row>
    <row r="32" spans="1:7" x14ac:dyDescent="0.25">
      <c r="A32" s="3" t="s">
        <v>81</v>
      </c>
      <c r="B32" s="3">
        <v>7</v>
      </c>
      <c r="C32" s="29">
        <v>0.53102000000000005</v>
      </c>
      <c r="D32" s="3">
        <f t="shared" si="2"/>
        <v>13.275500000000001</v>
      </c>
      <c r="E32" s="29">
        <v>14.9</v>
      </c>
      <c r="F32" s="30">
        <v>0.4</v>
      </c>
      <c r="G32" s="3">
        <f t="shared" si="3"/>
        <v>3.5638926174496648E-2</v>
      </c>
    </row>
    <row r="33" spans="1:7" x14ac:dyDescent="0.25">
      <c r="A33" s="3" t="s">
        <v>81</v>
      </c>
      <c r="B33" s="3">
        <v>8</v>
      </c>
      <c r="C33" s="29">
        <v>0.51363000000000003</v>
      </c>
      <c r="D33" s="3">
        <f t="shared" si="2"/>
        <v>12.84075</v>
      </c>
      <c r="E33" s="29">
        <v>13.55</v>
      </c>
      <c r="F33" s="30">
        <v>0.4</v>
      </c>
      <c r="G33" s="3">
        <f t="shared" si="3"/>
        <v>3.790627306273063E-2</v>
      </c>
    </row>
    <row r="34" spans="1:7" x14ac:dyDescent="0.25">
      <c r="A34" s="3" t="s">
        <v>81</v>
      </c>
      <c r="B34" s="3">
        <v>9</v>
      </c>
      <c r="C34" s="29">
        <v>0.51773000000000002</v>
      </c>
      <c r="D34" s="3">
        <f t="shared" si="2"/>
        <v>12.943250000000001</v>
      </c>
      <c r="E34" s="29">
        <v>13.66</v>
      </c>
      <c r="F34" s="30">
        <v>0.4</v>
      </c>
      <c r="G34" s="3">
        <f t="shared" si="3"/>
        <v>3.7901171303074674E-2</v>
      </c>
    </row>
    <row r="35" spans="1:7" x14ac:dyDescent="0.25">
      <c r="A35" s="3" t="s">
        <v>81</v>
      </c>
      <c r="B35" s="3">
        <v>10</v>
      </c>
      <c r="C35" s="29">
        <v>0.52597000000000005</v>
      </c>
      <c r="D35" s="3">
        <f t="shared" si="2"/>
        <v>13.149250000000002</v>
      </c>
      <c r="E35" s="29">
        <v>13.7</v>
      </c>
      <c r="F35" s="30">
        <v>0.4</v>
      </c>
      <c r="G35" s="3">
        <f t="shared" si="3"/>
        <v>3.8391970802919714E-2</v>
      </c>
    </row>
    <row r="36" spans="1:7" x14ac:dyDescent="0.25">
      <c r="A36" s="3" t="s">
        <v>82</v>
      </c>
      <c r="B36" s="3">
        <v>1</v>
      </c>
      <c r="C36" s="29">
        <v>0.52546000000000004</v>
      </c>
      <c r="D36" s="3">
        <f t="shared" si="2"/>
        <v>13.136500000000002</v>
      </c>
      <c r="E36" s="29">
        <v>13.23</v>
      </c>
      <c r="F36" s="30">
        <v>0.4</v>
      </c>
      <c r="G36" s="3">
        <f t="shared" si="3"/>
        <v>3.9717309145880578E-2</v>
      </c>
    </row>
    <row r="37" spans="1:7" x14ac:dyDescent="0.25">
      <c r="A37" s="3" t="s">
        <v>82</v>
      </c>
      <c r="B37" s="3">
        <v>2</v>
      </c>
      <c r="C37" s="29">
        <v>0.56194</v>
      </c>
      <c r="D37" s="3">
        <f t="shared" si="2"/>
        <v>14.048500000000001</v>
      </c>
      <c r="E37" s="29">
        <v>13.56</v>
      </c>
      <c r="F37" s="30">
        <v>0.4</v>
      </c>
      <c r="G37" s="3">
        <f t="shared" si="3"/>
        <v>4.1441002949852507E-2</v>
      </c>
    </row>
    <row r="38" spans="1:7" x14ac:dyDescent="0.25">
      <c r="A38" s="3" t="s">
        <v>82</v>
      </c>
      <c r="B38" s="3">
        <v>3</v>
      </c>
      <c r="C38" s="29">
        <v>0.57330999999999999</v>
      </c>
      <c r="D38" s="3">
        <f t="shared" si="2"/>
        <v>14.332749999999999</v>
      </c>
      <c r="E38" s="29">
        <v>14.81</v>
      </c>
      <c r="F38" s="30">
        <v>0.4</v>
      </c>
      <c r="G38" s="3">
        <f t="shared" si="3"/>
        <v>3.8711006076975016E-2</v>
      </c>
    </row>
    <row r="39" spans="1:7" x14ac:dyDescent="0.25">
      <c r="A39" s="3" t="s">
        <v>82</v>
      </c>
      <c r="B39" s="3">
        <v>4</v>
      </c>
      <c r="C39" s="29">
        <v>0.53841000000000006</v>
      </c>
      <c r="D39" s="3">
        <f t="shared" si="2"/>
        <v>13.460250000000002</v>
      </c>
      <c r="E39" s="29">
        <v>13.95</v>
      </c>
      <c r="F39" s="30">
        <v>0.4</v>
      </c>
      <c r="G39" s="3">
        <f t="shared" si="3"/>
        <v>3.8595698924731192E-2</v>
      </c>
    </row>
    <row r="40" spans="1:7" x14ac:dyDescent="0.25">
      <c r="A40" s="3" t="s">
        <v>82</v>
      </c>
      <c r="B40" s="3">
        <v>5</v>
      </c>
      <c r="C40" s="29">
        <v>0.54920999999999998</v>
      </c>
      <c r="D40" s="3">
        <f t="shared" si="2"/>
        <v>13.73025</v>
      </c>
      <c r="E40" s="29">
        <v>13.26</v>
      </c>
      <c r="F40" s="30">
        <v>0.4</v>
      </c>
      <c r="G40" s="3">
        <f t="shared" si="3"/>
        <v>4.1418552036199097E-2</v>
      </c>
    </row>
    <row r="41" spans="1:7" x14ac:dyDescent="0.25">
      <c r="A41" s="3" t="s">
        <v>82</v>
      </c>
      <c r="B41" s="3">
        <v>6</v>
      </c>
      <c r="C41" s="29">
        <v>0.53198999999999996</v>
      </c>
      <c r="D41" s="3">
        <f t="shared" si="2"/>
        <v>13.29975</v>
      </c>
      <c r="E41" s="29">
        <v>13.56</v>
      </c>
      <c r="F41" s="30">
        <v>0.4</v>
      </c>
      <c r="G41" s="3">
        <f t="shared" si="3"/>
        <v>3.9232300884955745E-2</v>
      </c>
    </row>
    <row r="42" spans="1:7" x14ac:dyDescent="0.25">
      <c r="A42" s="3" t="s">
        <v>82</v>
      </c>
      <c r="B42" s="3">
        <v>7</v>
      </c>
      <c r="C42" s="29">
        <v>0.53578000000000003</v>
      </c>
      <c r="D42" s="3">
        <f t="shared" si="2"/>
        <v>13.394500000000001</v>
      </c>
      <c r="E42" s="29">
        <v>14.1</v>
      </c>
      <c r="F42" s="30">
        <v>0.4</v>
      </c>
      <c r="G42" s="3">
        <f t="shared" si="3"/>
        <v>3.7998581560283691E-2</v>
      </c>
    </row>
    <row r="43" spans="1:7" x14ac:dyDescent="0.25">
      <c r="A43" s="3" t="s">
        <v>82</v>
      </c>
      <c r="B43" s="3">
        <v>8</v>
      </c>
      <c r="C43" s="29">
        <v>0.53717999999999999</v>
      </c>
      <c r="D43" s="3">
        <f t="shared" si="2"/>
        <v>13.429499999999999</v>
      </c>
      <c r="E43" s="29">
        <v>14.62</v>
      </c>
      <c r="F43" s="30">
        <v>0.4</v>
      </c>
      <c r="G43" s="3">
        <f t="shared" si="3"/>
        <v>3.6742818057455544E-2</v>
      </c>
    </row>
    <row r="44" spans="1:7" x14ac:dyDescent="0.25">
      <c r="A44" s="3" t="s">
        <v>82</v>
      </c>
      <c r="B44" s="3">
        <v>9</v>
      </c>
      <c r="C44" s="29">
        <v>0.55991999999999997</v>
      </c>
      <c r="D44" s="3">
        <f t="shared" si="2"/>
        <v>13.997999999999999</v>
      </c>
      <c r="E44" s="29">
        <v>14.45</v>
      </c>
      <c r="F44" s="30">
        <v>0.4</v>
      </c>
      <c r="G44" s="3">
        <f t="shared" si="3"/>
        <v>3.8748788927335638E-2</v>
      </c>
    </row>
    <row r="45" spans="1:7" x14ac:dyDescent="0.25">
      <c r="A45" s="3" t="s">
        <v>82</v>
      </c>
      <c r="B45" s="3">
        <v>10</v>
      </c>
      <c r="C45" s="29">
        <v>0.52251000000000003</v>
      </c>
      <c r="D45" s="3">
        <f t="shared" si="2"/>
        <v>13.062750000000001</v>
      </c>
      <c r="E45" s="29">
        <v>14.54</v>
      </c>
      <c r="F45" s="30">
        <v>0.4</v>
      </c>
      <c r="G45" s="3">
        <f t="shared" si="3"/>
        <v>3.5936038514442922E-2</v>
      </c>
    </row>
    <row r="46" spans="1:7" x14ac:dyDescent="0.25">
      <c r="A46" s="3" t="s">
        <v>83</v>
      </c>
      <c r="B46" s="3">
        <v>1</v>
      </c>
      <c r="C46" s="29">
        <v>0.51290000000000002</v>
      </c>
      <c r="D46" s="3">
        <f t="shared" si="2"/>
        <v>12.8225</v>
      </c>
      <c r="E46" s="29">
        <v>12.94</v>
      </c>
      <c r="F46" s="30">
        <v>0.4</v>
      </c>
      <c r="G46" s="3">
        <f t="shared" si="3"/>
        <v>3.9636785162287483E-2</v>
      </c>
    </row>
    <row r="47" spans="1:7" x14ac:dyDescent="0.25">
      <c r="A47" s="3" t="s">
        <v>83</v>
      </c>
      <c r="B47" s="3">
        <v>2</v>
      </c>
      <c r="C47" s="29">
        <v>0.50383999999999995</v>
      </c>
      <c r="D47" s="3">
        <f t="shared" si="2"/>
        <v>12.595999999999998</v>
      </c>
      <c r="E47" s="29">
        <v>13</v>
      </c>
      <c r="F47" s="30">
        <v>0.4</v>
      </c>
      <c r="G47" s="3">
        <f t="shared" si="3"/>
        <v>3.8756923076923071E-2</v>
      </c>
    </row>
    <row r="48" spans="1:7" x14ac:dyDescent="0.25">
      <c r="A48" s="3" t="s">
        <v>83</v>
      </c>
      <c r="B48" s="3">
        <v>3</v>
      </c>
      <c r="C48" s="29">
        <v>0.50836999999999999</v>
      </c>
      <c r="D48" s="3">
        <f t="shared" si="2"/>
        <v>12.709249999999999</v>
      </c>
      <c r="E48" s="29">
        <v>12.54</v>
      </c>
      <c r="F48" s="30">
        <v>0.4</v>
      </c>
      <c r="G48" s="3">
        <f t="shared" si="3"/>
        <v>4.0539872408293466E-2</v>
      </c>
    </row>
    <row r="49" spans="1:7" x14ac:dyDescent="0.25">
      <c r="A49" s="3" t="s">
        <v>83</v>
      </c>
      <c r="B49" s="3">
        <v>4</v>
      </c>
      <c r="C49" s="29">
        <v>0.50183</v>
      </c>
      <c r="D49" s="3">
        <f t="shared" si="2"/>
        <v>12.54575</v>
      </c>
      <c r="E49" s="29">
        <v>12.54</v>
      </c>
      <c r="F49" s="30">
        <v>0.4</v>
      </c>
      <c r="G49" s="3">
        <f t="shared" si="3"/>
        <v>4.0018341307814995E-2</v>
      </c>
    </row>
    <row r="50" spans="1:7" x14ac:dyDescent="0.25">
      <c r="A50" s="3" t="s">
        <v>83</v>
      </c>
      <c r="B50" s="3">
        <v>5</v>
      </c>
      <c r="C50" s="29">
        <v>0.50961999999999996</v>
      </c>
      <c r="D50" s="3">
        <f t="shared" si="2"/>
        <v>12.740499999999999</v>
      </c>
      <c r="E50" s="29">
        <v>12.99</v>
      </c>
      <c r="F50" s="30">
        <v>0.4</v>
      </c>
      <c r="G50" s="3">
        <f t="shared" si="3"/>
        <v>3.9231716705157807E-2</v>
      </c>
    </row>
    <row r="51" spans="1:7" x14ac:dyDescent="0.25">
      <c r="A51" s="3" t="s">
        <v>83</v>
      </c>
      <c r="B51" s="3">
        <v>6</v>
      </c>
      <c r="C51" s="29">
        <v>0.50241000000000002</v>
      </c>
      <c r="D51" s="3">
        <f t="shared" si="2"/>
        <v>12.56025</v>
      </c>
      <c r="E51" s="29">
        <v>13.78</v>
      </c>
      <c r="F51" s="30">
        <v>0.4</v>
      </c>
      <c r="G51" s="3">
        <f t="shared" si="3"/>
        <v>3.6459361393323661E-2</v>
      </c>
    </row>
    <row r="52" spans="1:7" x14ac:dyDescent="0.25">
      <c r="A52" s="3" t="s">
        <v>83</v>
      </c>
      <c r="B52" s="3">
        <v>7</v>
      </c>
      <c r="C52" s="29">
        <v>0.50336000000000003</v>
      </c>
      <c r="D52" s="3">
        <f t="shared" si="2"/>
        <v>12.584000000000001</v>
      </c>
      <c r="E52" s="29">
        <v>13.55</v>
      </c>
      <c r="F52" s="30">
        <v>0.4</v>
      </c>
      <c r="G52" s="3">
        <f t="shared" si="3"/>
        <v>3.7148339483394834E-2</v>
      </c>
    </row>
    <row r="53" spans="1:7" x14ac:dyDescent="0.25">
      <c r="A53" s="3" t="s">
        <v>83</v>
      </c>
      <c r="B53" s="3">
        <v>8</v>
      </c>
      <c r="C53" s="29">
        <v>0.50551000000000001</v>
      </c>
      <c r="D53" s="3">
        <f t="shared" si="2"/>
        <v>12.63775</v>
      </c>
      <c r="E53" s="29">
        <v>14.11</v>
      </c>
      <c r="F53" s="30">
        <v>0.4</v>
      </c>
      <c r="G53" s="3">
        <f t="shared" si="3"/>
        <v>3.5826364280652022E-2</v>
      </c>
    </row>
    <row r="54" spans="1:7" x14ac:dyDescent="0.25">
      <c r="A54" s="3" t="s">
        <v>83</v>
      </c>
      <c r="B54" s="3">
        <v>9</v>
      </c>
      <c r="C54" s="29">
        <v>0.50882000000000005</v>
      </c>
      <c r="D54" s="3">
        <f t="shared" si="2"/>
        <v>12.720500000000001</v>
      </c>
      <c r="E54" s="29">
        <v>13.59</v>
      </c>
      <c r="F54" s="30">
        <v>0.4</v>
      </c>
      <c r="G54" s="3">
        <f t="shared" si="3"/>
        <v>3.744076526857984E-2</v>
      </c>
    </row>
    <row r="55" spans="1:7" x14ac:dyDescent="0.25">
      <c r="A55" s="3" t="s">
        <v>83</v>
      </c>
      <c r="B55" s="3">
        <v>10</v>
      </c>
      <c r="C55" s="29">
        <v>0.50888</v>
      </c>
      <c r="D55" s="3">
        <f t="shared" si="2"/>
        <v>12.722</v>
      </c>
      <c r="E55" s="29">
        <v>13.34</v>
      </c>
      <c r="F55" s="30">
        <v>0.4</v>
      </c>
      <c r="G55" s="3">
        <f t="shared" si="3"/>
        <v>3.8146926536731636E-2</v>
      </c>
    </row>
    <row r="56" spans="1:7" x14ac:dyDescent="0.25">
      <c r="A56" s="3" t="s">
        <v>84</v>
      </c>
      <c r="B56" s="3">
        <v>1</v>
      </c>
      <c r="C56" s="29">
        <v>0.53908999999999996</v>
      </c>
      <c r="D56" s="3">
        <f t="shared" si="2"/>
        <v>13.47725</v>
      </c>
      <c r="E56" s="29">
        <v>13.4</v>
      </c>
      <c r="F56" s="30">
        <v>0.4</v>
      </c>
      <c r="G56" s="3">
        <f t="shared" si="3"/>
        <v>4.0230597014925366E-2</v>
      </c>
    </row>
    <row r="57" spans="1:7" x14ac:dyDescent="0.25">
      <c r="A57" s="3" t="s">
        <v>84</v>
      </c>
      <c r="B57" s="3">
        <v>2</v>
      </c>
      <c r="C57" s="29">
        <v>0.52800000000000002</v>
      </c>
      <c r="D57" s="3">
        <f t="shared" si="2"/>
        <v>13.200000000000001</v>
      </c>
      <c r="E57" s="29">
        <v>13.16</v>
      </c>
      <c r="F57" s="30">
        <v>0.4</v>
      </c>
      <c r="G57" s="3">
        <f t="shared" si="3"/>
        <v>4.0121580547112463E-2</v>
      </c>
    </row>
    <row r="58" spans="1:7" x14ac:dyDescent="0.25">
      <c r="A58" s="3" t="s">
        <v>84</v>
      </c>
      <c r="B58" s="3">
        <v>3</v>
      </c>
      <c r="C58" s="29">
        <v>0.50671999999999995</v>
      </c>
      <c r="D58" s="3">
        <f t="shared" si="2"/>
        <v>12.667999999999999</v>
      </c>
      <c r="E58" s="29">
        <v>13.05</v>
      </c>
      <c r="F58" s="30">
        <v>0.4</v>
      </c>
      <c r="G58" s="3">
        <f t="shared" si="3"/>
        <v>3.8829118773946354E-2</v>
      </c>
    </row>
    <row r="59" spans="1:7" x14ac:dyDescent="0.25">
      <c r="A59" s="3" t="s">
        <v>84</v>
      </c>
      <c r="B59" s="3">
        <v>4</v>
      </c>
      <c r="C59" s="29">
        <v>0.52139000000000002</v>
      </c>
      <c r="D59" s="3">
        <f t="shared" si="2"/>
        <v>13.034750000000001</v>
      </c>
      <c r="E59" s="29">
        <v>13.07</v>
      </c>
      <c r="F59" s="30">
        <v>0.4</v>
      </c>
      <c r="G59" s="3">
        <f t="shared" si="3"/>
        <v>3.9892119357306813E-2</v>
      </c>
    </row>
    <row r="60" spans="1:7" x14ac:dyDescent="0.25">
      <c r="A60" s="3" t="s">
        <v>84</v>
      </c>
      <c r="B60" s="3">
        <v>5</v>
      </c>
      <c r="C60" s="29">
        <v>0.58350000000000002</v>
      </c>
      <c r="D60" s="3">
        <f t="shared" si="2"/>
        <v>14.5875</v>
      </c>
      <c r="E60" s="29">
        <v>14.86</v>
      </c>
      <c r="F60" s="30">
        <v>0.4</v>
      </c>
      <c r="G60" s="3">
        <f t="shared" si="3"/>
        <v>3.9266487213997309E-2</v>
      </c>
    </row>
    <row r="61" spans="1:7" x14ac:dyDescent="0.25">
      <c r="A61" s="3" t="s">
        <v>84</v>
      </c>
      <c r="B61" s="3">
        <v>6</v>
      </c>
      <c r="C61" s="29">
        <v>0.50087000000000004</v>
      </c>
      <c r="D61" s="3">
        <f t="shared" si="2"/>
        <v>12.521750000000001</v>
      </c>
      <c r="E61" s="29">
        <v>12.75</v>
      </c>
      <c r="F61" s="30">
        <v>0.4</v>
      </c>
      <c r="G61" s="3">
        <f t="shared" si="3"/>
        <v>3.9283921568627457E-2</v>
      </c>
    </row>
    <row r="62" spans="1:7" x14ac:dyDescent="0.25">
      <c r="A62" s="3" t="s">
        <v>84</v>
      </c>
      <c r="B62" s="3">
        <v>7</v>
      </c>
      <c r="C62" s="29">
        <v>0.53254999999999997</v>
      </c>
      <c r="D62" s="3">
        <f t="shared" si="2"/>
        <v>13.313749999999999</v>
      </c>
      <c r="E62" s="29">
        <v>13.65</v>
      </c>
      <c r="F62" s="30">
        <v>0.4</v>
      </c>
      <c r="G62" s="3">
        <f t="shared" si="3"/>
        <v>3.9014652014652013E-2</v>
      </c>
    </row>
    <row r="63" spans="1:7" x14ac:dyDescent="0.25">
      <c r="A63" s="3" t="s">
        <v>84</v>
      </c>
      <c r="B63" s="3">
        <v>8</v>
      </c>
      <c r="C63" s="29">
        <v>0.51544999999999996</v>
      </c>
      <c r="D63" s="3">
        <f t="shared" si="2"/>
        <v>12.886249999999999</v>
      </c>
      <c r="E63" s="29">
        <v>13.41</v>
      </c>
      <c r="F63" s="30">
        <v>0.4</v>
      </c>
      <c r="G63" s="3">
        <f t="shared" si="3"/>
        <v>3.8437733035048466E-2</v>
      </c>
    </row>
    <row r="64" spans="1:7" x14ac:dyDescent="0.25">
      <c r="A64" s="3" t="s">
        <v>84</v>
      </c>
      <c r="B64" s="3">
        <v>9</v>
      </c>
      <c r="C64" s="29">
        <v>0.54954000000000003</v>
      </c>
      <c r="D64" s="3">
        <f t="shared" si="2"/>
        <v>13.7385</v>
      </c>
      <c r="E64" s="29">
        <v>14.33</v>
      </c>
      <c r="F64" s="30">
        <v>0.4</v>
      </c>
      <c r="G64" s="3">
        <f t="shared" si="3"/>
        <v>3.8348918353105374E-2</v>
      </c>
    </row>
    <row r="65" spans="1:7" x14ac:dyDescent="0.25">
      <c r="A65" s="3" t="s">
        <v>84</v>
      </c>
      <c r="B65" s="3">
        <v>10</v>
      </c>
      <c r="C65" s="29">
        <v>0.53554000000000002</v>
      </c>
      <c r="D65" s="3">
        <f t="shared" si="2"/>
        <v>13.388500000000001</v>
      </c>
      <c r="E65" s="29">
        <v>14.25</v>
      </c>
      <c r="F65" s="30">
        <v>0.4</v>
      </c>
      <c r="G65" s="3">
        <f t="shared" si="3"/>
        <v>3.7581754385964915E-2</v>
      </c>
    </row>
    <row r="66" spans="1:7" x14ac:dyDescent="0.25">
      <c r="A66" s="3" t="s">
        <v>85</v>
      </c>
      <c r="B66" s="3">
        <v>1</v>
      </c>
      <c r="C66" s="29">
        <v>0.50149999999999995</v>
      </c>
      <c r="D66" s="3">
        <f t="shared" si="2"/>
        <v>12.537499999999998</v>
      </c>
      <c r="E66" s="29">
        <v>13.18</v>
      </c>
      <c r="F66" s="30">
        <v>0.4</v>
      </c>
      <c r="G66" s="3">
        <f t="shared" si="3"/>
        <v>3.8050075872534138E-2</v>
      </c>
    </row>
    <row r="67" spans="1:7" x14ac:dyDescent="0.25">
      <c r="A67" s="3" t="s">
        <v>86</v>
      </c>
      <c r="B67" s="3">
        <v>2</v>
      </c>
      <c r="C67" s="29">
        <v>0.50695999999999997</v>
      </c>
      <c r="D67" s="3">
        <f t="shared" si="2"/>
        <v>12.673999999999999</v>
      </c>
      <c r="E67" s="29">
        <v>12.49</v>
      </c>
      <c r="F67" s="30">
        <v>0.4</v>
      </c>
      <c r="G67" s="3">
        <f t="shared" si="3"/>
        <v>4.0589271417133706E-2</v>
      </c>
    </row>
    <row r="68" spans="1:7" x14ac:dyDescent="0.25">
      <c r="A68" s="3" t="s">
        <v>87</v>
      </c>
      <c r="B68" s="3">
        <v>3</v>
      </c>
      <c r="C68" s="29">
        <v>0.52878999999999998</v>
      </c>
      <c r="D68" s="3">
        <f t="shared" si="2"/>
        <v>13.219749999999999</v>
      </c>
      <c r="E68" s="29">
        <v>12.1</v>
      </c>
      <c r="F68" s="30">
        <v>0.4</v>
      </c>
      <c r="G68" s="3">
        <f t="shared" si="3"/>
        <v>4.3701652892561983E-2</v>
      </c>
    </row>
    <row r="69" spans="1:7" x14ac:dyDescent="0.25">
      <c r="A69" s="3" t="s">
        <v>88</v>
      </c>
      <c r="B69" s="3">
        <v>4</v>
      </c>
      <c r="C69" s="29">
        <v>0.50595000000000001</v>
      </c>
      <c r="D69" s="3">
        <f t="shared" si="2"/>
        <v>12.64875</v>
      </c>
      <c r="E69" s="29">
        <v>13.95</v>
      </c>
      <c r="F69" s="30">
        <v>0.4</v>
      </c>
      <c r="G69" s="3">
        <f t="shared" si="3"/>
        <v>3.6268817204301078E-2</v>
      </c>
    </row>
    <row r="70" spans="1:7" x14ac:dyDescent="0.25">
      <c r="A70" s="3" t="s">
        <v>89</v>
      </c>
      <c r="B70" s="3">
        <v>5</v>
      </c>
      <c r="C70" s="29">
        <v>0.50716000000000006</v>
      </c>
      <c r="D70" s="3">
        <f t="shared" si="2"/>
        <v>12.679000000000002</v>
      </c>
      <c r="E70" s="29">
        <v>13.56</v>
      </c>
      <c r="F70" s="30">
        <v>0.4</v>
      </c>
      <c r="G70" s="3">
        <f t="shared" si="3"/>
        <v>3.7401179941002956E-2</v>
      </c>
    </row>
    <row r="71" spans="1:7" x14ac:dyDescent="0.25">
      <c r="A71" s="3" t="s">
        <v>90</v>
      </c>
      <c r="B71" s="3">
        <v>6</v>
      </c>
      <c r="C71" s="29">
        <v>0.50248000000000004</v>
      </c>
      <c r="D71" s="3">
        <f t="shared" si="2"/>
        <v>12.562000000000001</v>
      </c>
      <c r="E71" s="29">
        <v>14.48</v>
      </c>
      <c r="F71" s="30">
        <v>0.4</v>
      </c>
      <c r="G71" s="3">
        <f t="shared" si="3"/>
        <v>3.4701657458563538E-2</v>
      </c>
    </row>
    <row r="72" spans="1:7" x14ac:dyDescent="0.25">
      <c r="A72" s="3" t="s">
        <v>91</v>
      </c>
      <c r="B72" s="3">
        <v>7</v>
      </c>
      <c r="C72" s="29">
        <v>0.50409999999999999</v>
      </c>
      <c r="D72" s="3">
        <f t="shared" si="2"/>
        <v>12.602499999999999</v>
      </c>
      <c r="E72" s="29">
        <v>13.38</v>
      </c>
      <c r="F72" s="30">
        <v>0.4</v>
      </c>
      <c r="G72" s="3">
        <f t="shared" si="3"/>
        <v>3.7675635276532136E-2</v>
      </c>
    </row>
    <row r="73" spans="1:7" x14ac:dyDescent="0.25">
      <c r="A73" s="3" t="s">
        <v>92</v>
      </c>
      <c r="B73" s="3">
        <v>8</v>
      </c>
      <c r="C73" s="29">
        <v>0.50934000000000001</v>
      </c>
      <c r="D73" s="3">
        <f t="shared" si="2"/>
        <v>12.733500000000001</v>
      </c>
      <c r="E73" s="29">
        <v>13.54</v>
      </c>
      <c r="F73" s="30">
        <v>0.4</v>
      </c>
      <c r="G73" s="3">
        <f t="shared" si="3"/>
        <v>3.7617429837518465E-2</v>
      </c>
    </row>
    <row r="74" spans="1:7" x14ac:dyDescent="0.25">
      <c r="A74" s="3" t="s">
        <v>93</v>
      </c>
      <c r="B74" s="3">
        <v>9</v>
      </c>
      <c r="C74" s="29">
        <v>0.50009999999999999</v>
      </c>
      <c r="D74" s="3">
        <f t="shared" si="2"/>
        <v>12.5025</v>
      </c>
      <c r="E74" s="29">
        <v>19.71</v>
      </c>
      <c r="F74" s="30">
        <v>0.4</v>
      </c>
      <c r="G74" s="3">
        <f t="shared" si="3"/>
        <v>2.5372907153729071E-2</v>
      </c>
    </row>
    <row r="75" spans="1:7" x14ac:dyDescent="0.25">
      <c r="A75" s="3" t="s">
        <v>94</v>
      </c>
      <c r="B75" s="3">
        <v>10</v>
      </c>
      <c r="C75" s="29">
        <v>0.50731999999999999</v>
      </c>
      <c r="D75" s="3">
        <f t="shared" si="2"/>
        <v>12.683</v>
      </c>
      <c r="E75" s="29">
        <v>13.71</v>
      </c>
      <c r="F75" s="30">
        <v>0.4</v>
      </c>
      <c r="G75" s="3">
        <f t="shared" si="3"/>
        <v>3.7003646973012394E-2</v>
      </c>
    </row>
    <row r="76" spans="1:7" x14ac:dyDescent="0.25">
      <c r="A76" s="3" t="s">
        <v>31</v>
      </c>
      <c r="B76" s="3">
        <v>1</v>
      </c>
      <c r="C76" s="29">
        <v>0</v>
      </c>
      <c r="D76" s="3">
        <f t="shared" si="2"/>
        <v>0</v>
      </c>
      <c r="E76" s="29">
        <v>7.07</v>
      </c>
      <c r="F76" s="30">
        <v>0.4</v>
      </c>
      <c r="G76" s="3">
        <f t="shared" si="3"/>
        <v>0</v>
      </c>
    </row>
    <row r="77" spans="1:7" x14ac:dyDescent="0.25">
      <c r="A77" s="3" t="s">
        <v>31</v>
      </c>
      <c r="B77" s="3">
        <v>2</v>
      </c>
      <c r="C77" s="29">
        <v>0</v>
      </c>
      <c r="D77" s="3">
        <f t="shared" si="2"/>
        <v>0</v>
      </c>
      <c r="E77" s="29">
        <v>9.86</v>
      </c>
      <c r="F77" s="30">
        <v>0.4</v>
      </c>
      <c r="G77" s="3">
        <f t="shared" si="3"/>
        <v>0</v>
      </c>
    </row>
    <row r="78" spans="1:7" x14ac:dyDescent="0.25">
      <c r="A78" s="3" t="s">
        <v>31</v>
      </c>
      <c r="B78" s="3">
        <v>3</v>
      </c>
      <c r="C78" s="29">
        <v>0</v>
      </c>
      <c r="D78" s="3">
        <f t="shared" si="2"/>
        <v>0</v>
      </c>
      <c r="E78" s="29">
        <v>7.42</v>
      </c>
      <c r="F78" s="30">
        <v>0.4</v>
      </c>
      <c r="G78" s="3">
        <f t="shared" si="3"/>
        <v>0</v>
      </c>
    </row>
    <row r="79" spans="1:7" x14ac:dyDescent="0.25">
      <c r="A79" s="3" t="s">
        <v>31</v>
      </c>
      <c r="B79" s="3">
        <v>4</v>
      </c>
      <c r="C79" s="29">
        <v>0</v>
      </c>
      <c r="D79" s="3">
        <f t="shared" si="2"/>
        <v>0</v>
      </c>
      <c r="E79" s="29">
        <v>21.94</v>
      </c>
      <c r="F79" s="30">
        <v>0.4</v>
      </c>
      <c r="G79" s="3">
        <f t="shared" si="3"/>
        <v>0</v>
      </c>
    </row>
    <row r="80" spans="1:7" x14ac:dyDescent="0.25">
      <c r="A80" s="3" t="s">
        <v>31</v>
      </c>
      <c r="B80" s="3">
        <v>5</v>
      </c>
      <c r="C80" s="29">
        <v>0</v>
      </c>
      <c r="D80" s="3">
        <f t="shared" si="2"/>
        <v>0</v>
      </c>
      <c r="E80" s="29">
        <v>7.09</v>
      </c>
      <c r="F80" s="30">
        <v>0.4</v>
      </c>
      <c r="G80" s="3">
        <f t="shared" si="3"/>
        <v>0</v>
      </c>
    </row>
    <row r="81" spans="1:7" x14ac:dyDescent="0.25">
      <c r="A81" s="3" t="s">
        <v>31</v>
      </c>
      <c r="B81" s="3">
        <v>6</v>
      </c>
      <c r="C81" s="29">
        <v>0</v>
      </c>
      <c r="D81" s="3">
        <f t="shared" ref="D81:D95" si="4">C81*25</f>
        <v>0</v>
      </c>
      <c r="E81" s="29">
        <v>39.24</v>
      </c>
      <c r="F81" s="30">
        <v>0.4</v>
      </c>
      <c r="G81" s="3">
        <f t="shared" ref="G81:G95" si="5">C81/E81</f>
        <v>0</v>
      </c>
    </row>
    <row r="82" spans="1:7" x14ac:dyDescent="0.25">
      <c r="A82" s="3" t="s">
        <v>31</v>
      </c>
      <c r="B82" s="3">
        <v>7</v>
      </c>
      <c r="C82" s="29">
        <v>0</v>
      </c>
      <c r="D82" s="3">
        <f t="shared" si="4"/>
        <v>0</v>
      </c>
      <c r="E82" s="29">
        <v>31.12</v>
      </c>
      <c r="F82" s="30">
        <v>0.4</v>
      </c>
      <c r="G82" s="3">
        <f t="shared" si="5"/>
        <v>0</v>
      </c>
    </row>
    <row r="83" spans="1:7" x14ac:dyDescent="0.25">
      <c r="A83" s="3" t="s">
        <v>31</v>
      </c>
      <c r="B83" s="3">
        <v>8</v>
      </c>
      <c r="C83" s="29">
        <v>0</v>
      </c>
      <c r="D83" s="3">
        <f t="shared" si="4"/>
        <v>0</v>
      </c>
      <c r="E83" s="29">
        <v>32.200000000000003</v>
      </c>
      <c r="F83" s="30">
        <v>0.4</v>
      </c>
      <c r="G83" s="3">
        <f t="shared" si="5"/>
        <v>0</v>
      </c>
    </row>
    <row r="84" spans="1:7" x14ac:dyDescent="0.25">
      <c r="A84" s="3" t="s">
        <v>31</v>
      </c>
      <c r="B84" s="3">
        <v>9</v>
      </c>
      <c r="C84" s="29">
        <v>0</v>
      </c>
      <c r="D84" s="3">
        <f t="shared" si="4"/>
        <v>0</v>
      </c>
      <c r="E84" s="29">
        <v>33.630000000000003</v>
      </c>
      <c r="F84" s="30">
        <v>0.4</v>
      </c>
      <c r="G84" s="3">
        <f t="shared" si="5"/>
        <v>0</v>
      </c>
    </row>
    <row r="85" spans="1:7" x14ac:dyDescent="0.25">
      <c r="A85" s="3" t="s">
        <v>31</v>
      </c>
      <c r="B85" s="3">
        <v>10</v>
      </c>
      <c r="C85" s="29">
        <v>0</v>
      </c>
      <c r="D85" s="3">
        <f t="shared" si="4"/>
        <v>0</v>
      </c>
      <c r="E85" s="29">
        <v>28.56</v>
      </c>
      <c r="F85" s="30">
        <v>0.4</v>
      </c>
      <c r="G85" s="3">
        <f t="shared" si="5"/>
        <v>0</v>
      </c>
    </row>
    <row r="86" spans="1:7" x14ac:dyDescent="0.25">
      <c r="A86" s="3" t="s">
        <v>32</v>
      </c>
      <c r="B86" s="3">
        <v>1</v>
      </c>
      <c r="C86" s="29">
        <v>0</v>
      </c>
      <c r="D86" s="3">
        <f t="shared" si="4"/>
        <v>0</v>
      </c>
      <c r="E86" s="29">
        <v>5.73</v>
      </c>
      <c r="F86" s="30">
        <v>0.4</v>
      </c>
      <c r="G86" s="3">
        <f t="shared" si="5"/>
        <v>0</v>
      </c>
    </row>
    <row r="87" spans="1:7" x14ac:dyDescent="0.25">
      <c r="A87" s="3" t="s">
        <v>32</v>
      </c>
      <c r="B87" s="3">
        <v>2</v>
      </c>
      <c r="C87" s="29">
        <v>0</v>
      </c>
      <c r="D87" s="3">
        <f t="shared" si="4"/>
        <v>0</v>
      </c>
      <c r="E87" s="29">
        <v>18.91</v>
      </c>
      <c r="F87" s="30">
        <v>0.4</v>
      </c>
      <c r="G87" s="3">
        <f t="shared" si="5"/>
        <v>0</v>
      </c>
    </row>
    <row r="88" spans="1:7" x14ac:dyDescent="0.25">
      <c r="A88" s="3" t="s">
        <v>32</v>
      </c>
      <c r="B88" s="3">
        <v>3</v>
      </c>
      <c r="C88" s="29">
        <v>0</v>
      </c>
      <c r="D88" s="3">
        <f t="shared" si="4"/>
        <v>0</v>
      </c>
      <c r="E88" s="29">
        <v>7.68</v>
      </c>
      <c r="F88" s="30">
        <v>0.4</v>
      </c>
      <c r="G88" s="3">
        <f t="shared" si="5"/>
        <v>0</v>
      </c>
    </row>
    <row r="89" spans="1:7" x14ac:dyDescent="0.25">
      <c r="A89" s="3" t="s">
        <v>32</v>
      </c>
      <c r="B89" s="3">
        <v>4</v>
      </c>
      <c r="C89" s="29">
        <v>0</v>
      </c>
      <c r="D89" s="3">
        <f t="shared" si="4"/>
        <v>0</v>
      </c>
      <c r="E89" s="29">
        <v>46.12</v>
      </c>
      <c r="F89" s="30">
        <v>0.4</v>
      </c>
      <c r="G89" s="3">
        <f t="shared" si="5"/>
        <v>0</v>
      </c>
    </row>
    <row r="90" spans="1:7" x14ac:dyDescent="0.25">
      <c r="A90" s="3" t="s">
        <v>32</v>
      </c>
      <c r="B90" s="3">
        <v>5</v>
      </c>
      <c r="C90" s="29">
        <v>0</v>
      </c>
      <c r="D90" s="3">
        <f t="shared" si="4"/>
        <v>0</v>
      </c>
      <c r="E90" s="29">
        <v>7.64</v>
      </c>
      <c r="F90" s="30">
        <v>0.4</v>
      </c>
      <c r="G90" s="3">
        <f t="shared" si="5"/>
        <v>0</v>
      </c>
    </row>
    <row r="91" spans="1:7" x14ac:dyDescent="0.25">
      <c r="A91" s="3" t="s">
        <v>32</v>
      </c>
      <c r="B91" s="3">
        <v>6</v>
      </c>
      <c r="C91" s="29">
        <v>0</v>
      </c>
      <c r="D91" s="3">
        <f t="shared" si="4"/>
        <v>0</v>
      </c>
      <c r="E91" s="29">
        <v>28.04</v>
      </c>
      <c r="F91" s="30">
        <v>0.4</v>
      </c>
      <c r="G91" s="3">
        <f t="shared" si="5"/>
        <v>0</v>
      </c>
    </row>
    <row r="92" spans="1:7" x14ac:dyDescent="0.25">
      <c r="A92" s="3" t="s">
        <v>32</v>
      </c>
      <c r="B92" s="3">
        <v>7</v>
      </c>
      <c r="C92" s="29">
        <v>0</v>
      </c>
      <c r="D92" s="3">
        <f t="shared" si="4"/>
        <v>0</v>
      </c>
      <c r="E92" s="29">
        <v>37.479999999999997</v>
      </c>
      <c r="F92" s="30">
        <v>0.4</v>
      </c>
      <c r="G92" s="3">
        <f t="shared" si="5"/>
        <v>0</v>
      </c>
    </row>
    <row r="93" spans="1:7" x14ac:dyDescent="0.25">
      <c r="A93" s="3" t="s">
        <v>32</v>
      </c>
      <c r="B93" s="3">
        <v>8</v>
      </c>
      <c r="C93" s="29">
        <v>0</v>
      </c>
      <c r="D93" s="3">
        <f t="shared" si="4"/>
        <v>0</v>
      </c>
      <c r="E93" s="29">
        <v>33.43</v>
      </c>
      <c r="F93" s="30">
        <v>0.4</v>
      </c>
      <c r="G93" s="3">
        <f t="shared" si="5"/>
        <v>0</v>
      </c>
    </row>
    <row r="94" spans="1:7" x14ac:dyDescent="0.25">
      <c r="A94" s="3" t="s">
        <v>32</v>
      </c>
      <c r="B94" s="3">
        <v>9</v>
      </c>
      <c r="C94" s="29">
        <v>0</v>
      </c>
      <c r="D94" s="3">
        <f t="shared" si="4"/>
        <v>0</v>
      </c>
      <c r="E94" s="29">
        <v>26.25</v>
      </c>
      <c r="F94" s="30">
        <v>0.4</v>
      </c>
      <c r="G94" s="3">
        <f t="shared" si="5"/>
        <v>0</v>
      </c>
    </row>
    <row r="95" spans="1:7" x14ac:dyDescent="0.25">
      <c r="A95" s="3" t="s">
        <v>32</v>
      </c>
      <c r="B95" s="3">
        <v>10</v>
      </c>
      <c r="C95" s="29">
        <v>0</v>
      </c>
      <c r="D95" s="3">
        <f t="shared" si="4"/>
        <v>0</v>
      </c>
      <c r="E95" s="29">
        <v>35.6</v>
      </c>
      <c r="F95" s="30">
        <v>0.4</v>
      </c>
      <c r="G95" s="3">
        <f t="shared" si="5"/>
        <v>0</v>
      </c>
    </row>
    <row r="96" spans="1:7" x14ac:dyDescent="0.25">
      <c r="E96">
        <f>24*4</f>
        <v>96</v>
      </c>
    </row>
  </sheetData>
  <mergeCells count="1">
    <mergeCell ref="G1:H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4F22-EB49-42F2-A3C1-A908892CBEA2}">
  <dimension ref="A1:Z133"/>
  <sheetViews>
    <sheetView topLeftCell="A39" zoomScale="90" zoomScaleNormal="90" workbookViewId="0">
      <selection activeCell="Y47" sqref="Y47:Z47"/>
    </sheetView>
  </sheetViews>
  <sheetFormatPr defaultRowHeight="15" x14ac:dyDescent="0.25"/>
  <cols>
    <col min="1" max="1" width="13.28515625" bestFit="1" customWidth="1"/>
    <col min="3" max="6" width="14.5703125" customWidth="1"/>
    <col min="7" max="7" width="17.42578125" customWidth="1"/>
    <col min="8" max="9" width="17.5703125" bestFit="1" customWidth="1"/>
    <col min="10" max="12" width="17.5703125" customWidth="1"/>
    <col min="13" max="13" width="15.85546875" customWidth="1"/>
    <col min="14" max="14" width="13" customWidth="1"/>
    <col min="15" max="15" width="15.42578125" customWidth="1"/>
    <col min="16" max="16" width="17.7109375" bestFit="1" customWidth="1"/>
    <col min="17" max="17" width="12.28515625" bestFit="1" customWidth="1"/>
    <col min="18" max="18" width="12.28515625" customWidth="1"/>
    <col min="19" max="19" width="14" bestFit="1" customWidth="1"/>
    <col min="20" max="20" width="17.7109375" bestFit="1" customWidth="1"/>
    <col min="21" max="21" width="15.5703125" customWidth="1"/>
    <col min="24" max="25" width="11.140625" customWidth="1"/>
    <col min="26" max="26" width="11.42578125" customWidth="1"/>
    <col min="27" max="27" width="12.28515625" customWidth="1"/>
  </cols>
  <sheetData>
    <row r="1" spans="1:26" ht="51.75" customHeight="1" x14ac:dyDescent="0.25">
      <c r="A1" s="3" t="s">
        <v>16</v>
      </c>
      <c r="B1" s="3" t="s">
        <v>24</v>
      </c>
      <c r="C1" s="15" t="s">
        <v>33</v>
      </c>
      <c r="D1" s="15" t="s">
        <v>96</v>
      </c>
      <c r="E1" s="15" t="s">
        <v>108</v>
      </c>
      <c r="F1" s="49" t="s">
        <v>100</v>
      </c>
      <c r="G1" s="48" t="s">
        <v>103</v>
      </c>
      <c r="H1" s="3" t="s">
        <v>14</v>
      </c>
      <c r="I1" s="43" t="s">
        <v>104</v>
      </c>
      <c r="J1" s="42" t="s">
        <v>105</v>
      </c>
      <c r="K1" s="50" t="s">
        <v>106</v>
      </c>
      <c r="L1" s="42" t="s">
        <v>39</v>
      </c>
      <c r="M1" s="42" t="s">
        <v>40</v>
      </c>
      <c r="N1" s="42" t="s">
        <v>101</v>
      </c>
      <c r="O1" s="48" t="s">
        <v>99</v>
      </c>
      <c r="P1" s="22" t="s">
        <v>98</v>
      </c>
      <c r="Q1" s="22" t="s">
        <v>97</v>
      </c>
      <c r="R1" s="22" t="s">
        <v>107</v>
      </c>
      <c r="S1" s="22" t="s">
        <v>44</v>
      </c>
      <c r="T1" s="22" t="s">
        <v>45</v>
      </c>
      <c r="U1" s="51" t="s">
        <v>109</v>
      </c>
      <c r="V1" s="22" t="s">
        <v>48</v>
      </c>
      <c r="W1" s="51" t="s">
        <v>110</v>
      </c>
      <c r="X1" s="52" t="s">
        <v>111</v>
      </c>
      <c r="Y1" s="52" t="s">
        <v>112</v>
      </c>
      <c r="Z1" s="24" t="s">
        <v>50</v>
      </c>
    </row>
    <row r="2" spans="1:26" x14ac:dyDescent="0.25">
      <c r="A2" s="29" t="s">
        <v>80</v>
      </c>
      <c r="B2" s="3">
        <v>1</v>
      </c>
      <c r="C2">
        <v>0.12</v>
      </c>
      <c r="D2">
        <v>0</v>
      </c>
      <c r="E2">
        <f>D2*M2</f>
        <v>0</v>
      </c>
      <c r="F2">
        <f>1.7144*C2-0.1487</f>
        <v>5.7027999999999995E-2</v>
      </c>
      <c r="G2">
        <f>F2*M2</f>
        <v>7.6417519999999993E-4</v>
      </c>
      <c r="H2">
        <v>0.52744999999999997</v>
      </c>
      <c r="I2">
        <f>E2-G2</f>
        <v>-7.6417519999999993E-4</v>
      </c>
      <c r="J2">
        <f>I2*1000</f>
        <v>-0.76417519999999994</v>
      </c>
      <c r="K2">
        <f>J2/H2</f>
        <v>-1.4488106929566784</v>
      </c>
      <c r="L2">
        <v>13.4</v>
      </c>
      <c r="M2">
        <f>L2/1000</f>
        <v>1.34E-2</v>
      </c>
      <c r="N2">
        <f>M2*J2</f>
        <v>-1.023994768E-2</v>
      </c>
      <c r="O2">
        <f>K2</f>
        <v>-1.4488106929566784</v>
      </c>
      <c r="P2">
        <v>4.1161907775053361</v>
      </c>
      <c r="Q2">
        <f>P2+O2</f>
        <v>2.6673800845486575</v>
      </c>
      <c r="R2">
        <f>K2+P2</f>
        <v>2.6673800845486575</v>
      </c>
      <c r="S2">
        <f>F2/R2</f>
        <v>2.1379780230926331E-2</v>
      </c>
      <c r="T2">
        <v>2.06E-2</v>
      </c>
      <c r="U2">
        <f>1/T2</f>
        <v>48.543689320388346</v>
      </c>
      <c r="V2">
        <v>8.3999999999999995E-3</v>
      </c>
      <c r="W2">
        <f>1/(V2*U2)</f>
        <v>2.452380952380953</v>
      </c>
      <c r="X2">
        <f>-4.7947/26.212</f>
        <v>-0.18292003662444681</v>
      </c>
      <c r="Y2">
        <f>EXP((0-44.452)/15.774)</f>
        <v>5.9721987458001821E-2</v>
      </c>
      <c r="Z2">
        <v>4.0895000000000001E-2</v>
      </c>
    </row>
    <row r="3" spans="1:26" x14ac:dyDescent="0.25">
      <c r="A3" s="29" t="s">
        <v>80</v>
      </c>
      <c r="B3" s="3">
        <v>2</v>
      </c>
      <c r="C3">
        <v>0.11899999999999999</v>
      </c>
      <c r="D3">
        <v>9.5211012193945465E-3</v>
      </c>
      <c r="E3">
        <f>D3*M3</f>
        <v>1.3872244476657855E-4</v>
      </c>
      <c r="F3">
        <f>1.7144*C3-0.1487</f>
        <v>5.5313599999999991E-2</v>
      </c>
      <c r="G3">
        <f>F3*M3</f>
        <v>8.0591915199999982E-4</v>
      </c>
      <c r="H3">
        <v>0.56479999999999997</v>
      </c>
      <c r="I3">
        <f t="shared" ref="I3:I66" si="0">E3-G3</f>
        <v>-6.6719670723342124E-4</v>
      </c>
      <c r="J3">
        <f t="shared" ref="J3:J66" si="1">I3*1000</f>
        <v>-0.66719670723342128</v>
      </c>
      <c r="K3">
        <f t="shared" ref="K3:K66" si="2">J3/H3</f>
        <v>-1.1812972861781539</v>
      </c>
      <c r="L3">
        <v>14.57</v>
      </c>
      <c r="M3">
        <f t="shared" ref="M3:M66" si="3">L3/1000</f>
        <v>1.457E-2</v>
      </c>
      <c r="N3">
        <f t="shared" ref="N3:N66" si="4">M3*J3</f>
        <v>-9.7210560243909481E-3</v>
      </c>
      <c r="O3">
        <f t="shared" ref="O3:O55" si="5">K3</f>
        <v>-1.1812972861781539</v>
      </c>
      <c r="P3">
        <v>4.1161907775053361</v>
      </c>
      <c r="Q3">
        <f t="shared" ref="Q3:Q55" si="6">P3+O3</f>
        <v>2.9348934913271822</v>
      </c>
      <c r="R3">
        <f t="shared" ref="R3:R66" si="7">K3+P3</f>
        <v>2.9348934913271822</v>
      </c>
      <c r="S3">
        <f t="shared" ref="S3:S55" si="8">F3/R3</f>
        <v>1.8846884959694648E-2</v>
      </c>
      <c r="T3">
        <v>2.06E-2</v>
      </c>
      <c r="U3">
        <f t="shared" ref="U3:U55" si="9">1/T3</f>
        <v>48.543689320388346</v>
      </c>
      <c r="V3">
        <v>8.3999999999999995E-3</v>
      </c>
      <c r="W3">
        <f t="shared" ref="W3:W55" si="10">1/(V3*U3)</f>
        <v>2.452380952380953</v>
      </c>
      <c r="X3">
        <f t="shared" ref="X3:X10" si="11">-4.7947/26.212</f>
        <v>-0.18292003662444681</v>
      </c>
      <c r="Y3">
        <f t="shared" ref="Y3:Y10" si="12">EXP((0-44.452)/15.774)</f>
        <v>5.9721987458001821E-2</v>
      </c>
    </row>
    <row r="4" spans="1:26" x14ac:dyDescent="0.25">
      <c r="A4" s="29" t="s">
        <v>80</v>
      </c>
      <c r="B4" s="3">
        <v>3</v>
      </c>
      <c r="C4">
        <v>0.126</v>
      </c>
      <c r="D4">
        <v>5.1120825771294634E-2</v>
      </c>
      <c r="E4">
        <f t="shared" ref="E4:E66" si="13">D4*M4</f>
        <v>6.7939577450050568E-4</v>
      </c>
      <c r="F4">
        <f t="shared" ref="F4:F6" si="14">1.7144*C4-0.1487</f>
        <v>6.7314399999999996E-2</v>
      </c>
      <c r="G4">
        <f t="shared" ref="G4:G66" si="15">F4*M4</f>
        <v>8.9460837599999999E-4</v>
      </c>
      <c r="H4">
        <v>0.51563000000000003</v>
      </c>
      <c r="I4">
        <f>E4-G4</f>
        <v>-2.1521260149949431E-4</v>
      </c>
      <c r="J4">
        <f>I4*1000</f>
        <v>-0.21521260149949431</v>
      </c>
      <c r="K4">
        <f>J4/H4</f>
        <v>-0.41737796772781705</v>
      </c>
      <c r="L4">
        <v>13.29</v>
      </c>
      <c r="M4">
        <f t="shared" si="3"/>
        <v>1.329E-2</v>
      </c>
      <c r="N4">
        <f t="shared" si="4"/>
        <v>-2.8601754739282794E-3</v>
      </c>
      <c r="O4">
        <f t="shared" si="5"/>
        <v>-0.41737796772781705</v>
      </c>
      <c r="P4">
        <v>4.1161907775053361</v>
      </c>
      <c r="Q4">
        <f t="shared" si="6"/>
        <v>3.698812809777519</v>
      </c>
      <c r="R4">
        <f t="shared" si="7"/>
        <v>3.698812809777519</v>
      </c>
      <c r="S4">
        <f t="shared" si="8"/>
        <v>1.8198920427132649E-2</v>
      </c>
      <c r="T4">
        <v>2.06E-2</v>
      </c>
      <c r="U4">
        <f t="shared" si="9"/>
        <v>48.543689320388346</v>
      </c>
      <c r="V4">
        <v>8.3999999999999995E-3</v>
      </c>
      <c r="W4">
        <f t="shared" si="10"/>
        <v>2.452380952380953</v>
      </c>
      <c r="X4">
        <f t="shared" si="11"/>
        <v>-0.18292003662444681</v>
      </c>
      <c r="Y4">
        <f t="shared" si="12"/>
        <v>5.9721987458001821E-2</v>
      </c>
    </row>
    <row r="5" spans="1:26" x14ac:dyDescent="0.25">
      <c r="A5" s="29" t="s">
        <v>80</v>
      </c>
      <c r="B5" s="3">
        <v>4</v>
      </c>
      <c r="C5">
        <v>0.127</v>
      </c>
      <c r="D5">
        <v>0.10075445577894952</v>
      </c>
      <c r="E5">
        <f t="shared" si="13"/>
        <v>1.3894039451917137E-3</v>
      </c>
      <c r="F5">
        <f t="shared" si="14"/>
        <v>6.9028800000000001E-2</v>
      </c>
      <c r="G5">
        <f t="shared" si="15"/>
        <v>9.5190715199999993E-4</v>
      </c>
      <c r="H5">
        <v>0.55527000000000004</v>
      </c>
      <c r="I5">
        <f t="shared" si="0"/>
        <v>4.3749679319171381E-4</v>
      </c>
      <c r="J5">
        <f t="shared" si="1"/>
        <v>0.43749679319171381</v>
      </c>
      <c r="K5">
        <f t="shared" si="2"/>
        <v>0.78789920793796486</v>
      </c>
      <c r="L5">
        <v>13.79</v>
      </c>
      <c r="M5">
        <f t="shared" si="3"/>
        <v>1.3789999999999998E-2</v>
      </c>
      <c r="N5">
        <f t="shared" si="4"/>
        <v>6.0330807781137329E-3</v>
      </c>
      <c r="O5">
        <f t="shared" si="5"/>
        <v>0.78789920793796486</v>
      </c>
      <c r="P5">
        <v>4.1161907775053361</v>
      </c>
      <c r="Q5">
        <f t="shared" si="6"/>
        <v>4.9040899854433011</v>
      </c>
      <c r="R5">
        <f t="shared" si="7"/>
        <v>4.9040899854433011</v>
      </c>
      <c r="S5">
        <f t="shared" si="8"/>
        <v>1.4075761294123195E-2</v>
      </c>
      <c r="T5">
        <v>2.06E-2</v>
      </c>
      <c r="U5">
        <f t="shared" si="9"/>
        <v>48.543689320388346</v>
      </c>
      <c r="V5">
        <v>8.3999999999999995E-3</v>
      </c>
      <c r="W5">
        <f t="shared" si="10"/>
        <v>2.452380952380953</v>
      </c>
      <c r="X5">
        <f t="shared" si="11"/>
        <v>-0.18292003662444681</v>
      </c>
      <c r="Y5">
        <f t="shared" si="12"/>
        <v>5.9721987458001821E-2</v>
      </c>
    </row>
    <row r="6" spans="1:26" x14ac:dyDescent="0.25">
      <c r="A6" s="29" t="s">
        <v>80</v>
      </c>
      <c r="B6" s="3">
        <v>6</v>
      </c>
      <c r="C6">
        <v>0.183</v>
      </c>
      <c r="D6">
        <v>0.50013056152112167</v>
      </c>
      <c r="E6">
        <f t="shared" si="13"/>
        <v>6.9768213332196466E-3</v>
      </c>
      <c r="F6">
        <f t="shared" si="14"/>
        <v>0.16503519999999999</v>
      </c>
      <c r="G6">
        <f t="shared" si="15"/>
        <v>2.3022410399999998E-3</v>
      </c>
      <c r="H6">
        <v>0.53302000000000005</v>
      </c>
      <c r="I6">
        <f t="shared" si="0"/>
        <v>4.6745802932196467E-3</v>
      </c>
      <c r="J6">
        <f t="shared" si="1"/>
        <v>4.6745802932196465</v>
      </c>
      <c r="K6">
        <f t="shared" si="2"/>
        <v>8.7699904191580913</v>
      </c>
      <c r="L6">
        <v>13.95</v>
      </c>
      <c r="M6">
        <f t="shared" si="3"/>
        <v>1.3949999999999999E-2</v>
      </c>
      <c r="N6">
        <f t="shared" si="4"/>
        <v>6.5210395090414069E-2</v>
      </c>
      <c r="O6">
        <f t="shared" si="5"/>
        <v>8.7699904191580913</v>
      </c>
      <c r="P6">
        <v>4.1161907775053361</v>
      </c>
      <c r="Q6">
        <f t="shared" si="6"/>
        <v>12.886181196663427</v>
      </c>
      <c r="R6">
        <f t="shared" si="7"/>
        <v>12.886181196663427</v>
      </c>
      <c r="S6">
        <f t="shared" si="8"/>
        <v>1.2807145692063678E-2</v>
      </c>
      <c r="T6">
        <v>2.06E-2</v>
      </c>
      <c r="U6">
        <f t="shared" si="9"/>
        <v>48.543689320388346</v>
      </c>
      <c r="V6">
        <v>8.3999999999999995E-3</v>
      </c>
      <c r="W6">
        <f t="shared" si="10"/>
        <v>2.452380952380953</v>
      </c>
      <c r="X6">
        <f t="shared" si="11"/>
        <v>-0.18292003662444681</v>
      </c>
      <c r="Y6">
        <f t="shared" si="12"/>
        <v>5.9721987458001821E-2</v>
      </c>
    </row>
    <row r="7" spans="1:26" x14ac:dyDescent="0.25">
      <c r="A7" s="29" t="s">
        <v>80</v>
      </c>
      <c r="B7" s="3">
        <v>7</v>
      </c>
      <c r="C7">
        <v>0.30399999999999999</v>
      </c>
      <c r="D7">
        <v>0.73114266371542469</v>
      </c>
      <c r="E7">
        <f t="shared" si="13"/>
        <v>9.5341003348491382E-3</v>
      </c>
      <c r="F7">
        <f>0.4965*(C7^2)+1.5879*C7-0.1654</f>
        <v>0.36320614400000006</v>
      </c>
      <c r="G7">
        <f t="shared" si="15"/>
        <v>4.736208117760001E-3</v>
      </c>
      <c r="H7">
        <v>0.50497999999999998</v>
      </c>
      <c r="I7">
        <f t="shared" si="0"/>
        <v>4.7978922170891372E-3</v>
      </c>
      <c r="J7">
        <f t="shared" si="1"/>
        <v>4.7978922170891369</v>
      </c>
      <c r="K7">
        <f t="shared" si="2"/>
        <v>9.5011529507884216</v>
      </c>
      <c r="L7">
        <v>13.04</v>
      </c>
      <c r="M7">
        <f t="shared" si="3"/>
        <v>1.304E-2</v>
      </c>
      <c r="N7">
        <f t="shared" si="4"/>
        <v>6.2564514510842342E-2</v>
      </c>
      <c r="O7">
        <f t="shared" si="5"/>
        <v>9.5011529507884216</v>
      </c>
      <c r="P7">
        <v>4.1161907775053361</v>
      </c>
      <c r="Q7">
        <f t="shared" si="6"/>
        <v>13.617343728293758</v>
      </c>
      <c r="R7">
        <f t="shared" si="7"/>
        <v>13.617343728293758</v>
      </c>
      <c r="S7">
        <f t="shared" si="8"/>
        <v>2.6672319598229712E-2</v>
      </c>
      <c r="T7">
        <v>2.06E-2</v>
      </c>
      <c r="U7">
        <f t="shared" si="9"/>
        <v>48.543689320388346</v>
      </c>
      <c r="V7">
        <v>8.3999999999999995E-3</v>
      </c>
      <c r="W7">
        <f t="shared" si="10"/>
        <v>2.452380952380953</v>
      </c>
      <c r="X7">
        <f t="shared" si="11"/>
        <v>-0.18292003662444681</v>
      </c>
      <c r="Y7">
        <f t="shared" si="12"/>
        <v>5.9721987458001821E-2</v>
      </c>
    </row>
    <row r="8" spans="1:26" x14ac:dyDescent="0.25">
      <c r="A8" s="29" t="s">
        <v>80</v>
      </c>
      <c r="B8" s="3">
        <v>8</v>
      </c>
      <c r="C8">
        <v>0.27600000000000002</v>
      </c>
      <c r="D8">
        <v>0.99703925737765642</v>
      </c>
      <c r="E8">
        <f t="shared" si="13"/>
        <v>1.348994115231969E-2</v>
      </c>
      <c r="F8">
        <f t="shared" ref="F8:F10" si="16">0.4965*(C8^2)+1.5879*C8-0.1654</f>
        <v>0.31068178400000007</v>
      </c>
      <c r="G8">
        <f t="shared" si="15"/>
        <v>4.2035245375200009E-3</v>
      </c>
      <c r="H8">
        <v>0.50722999999999996</v>
      </c>
      <c r="I8">
        <f t="shared" si="0"/>
        <v>9.2864166147996891E-3</v>
      </c>
      <c r="J8">
        <f t="shared" si="1"/>
        <v>9.2864166147996894</v>
      </c>
      <c r="K8">
        <f t="shared" si="2"/>
        <v>18.308098130630462</v>
      </c>
      <c r="L8">
        <v>13.53</v>
      </c>
      <c r="M8">
        <f t="shared" si="3"/>
        <v>1.3529999999999999E-2</v>
      </c>
      <c r="N8">
        <f t="shared" si="4"/>
        <v>0.12564521679823978</v>
      </c>
      <c r="O8">
        <f t="shared" si="5"/>
        <v>18.308098130630462</v>
      </c>
      <c r="P8">
        <v>4.1161907775053361</v>
      </c>
      <c r="Q8">
        <f t="shared" si="6"/>
        <v>22.4242889081358</v>
      </c>
      <c r="R8">
        <f t="shared" si="7"/>
        <v>22.4242889081358</v>
      </c>
      <c r="S8">
        <f t="shared" si="8"/>
        <v>1.3854699485577935E-2</v>
      </c>
      <c r="T8">
        <v>2.06E-2</v>
      </c>
      <c r="U8">
        <f t="shared" si="9"/>
        <v>48.543689320388346</v>
      </c>
      <c r="V8">
        <v>8.3999999999999995E-3</v>
      </c>
      <c r="W8">
        <f t="shared" si="10"/>
        <v>2.452380952380953</v>
      </c>
      <c r="X8">
        <f t="shared" si="11"/>
        <v>-0.18292003662444681</v>
      </c>
      <c r="Y8">
        <f t="shared" si="12"/>
        <v>5.9721987458001821E-2</v>
      </c>
    </row>
    <row r="9" spans="1:26" x14ac:dyDescent="0.25">
      <c r="A9" s="29" t="s">
        <v>80</v>
      </c>
      <c r="B9" s="3">
        <v>9</v>
      </c>
      <c r="C9">
        <v>1.2030000000000001</v>
      </c>
      <c r="D9">
        <v>5.0023313128621867</v>
      </c>
      <c r="E9">
        <f t="shared" si="13"/>
        <v>6.6080796642909487E-2</v>
      </c>
      <c r="F9">
        <f t="shared" si="16"/>
        <v>2.4633829685000004</v>
      </c>
      <c r="G9">
        <f t="shared" si="15"/>
        <v>3.2541289013885005E-2</v>
      </c>
      <c r="H9">
        <v>0.52253000000000005</v>
      </c>
      <c r="I9">
        <f t="shared" si="0"/>
        <v>3.3539507629024481E-2</v>
      </c>
      <c r="J9">
        <f t="shared" si="1"/>
        <v>33.539507629024484</v>
      </c>
      <c r="K9">
        <f t="shared" si="2"/>
        <v>64.186759858810944</v>
      </c>
      <c r="L9">
        <v>13.21</v>
      </c>
      <c r="M9">
        <f t="shared" si="3"/>
        <v>1.3210000000000001E-2</v>
      </c>
      <c r="N9">
        <f t="shared" si="4"/>
        <v>0.44305689577941348</v>
      </c>
      <c r="O9">
        <f t="shared" si="5"/>
        <v>64.186759858810944</v>
      </c>
      <c r="P9">
        <v>4.1161907775053361</v>
      </c>
      <c r="Q9">
        <f t="shared" si="6"/>
        <v>68.302950636316282</v>
      </c>
      <c r="R9">
        <f t="shared" si="7"/>
        <v>68.302950636316282</v>
      </c>
      <c r="S9">
        <f t="shared" si="8"/>
        <v>3.6065542491955448E-2</v>
      </c>
      <c r="T9">
        <v>2.06E-2</v>
      </c>
      <c r="U9">
        <f t="shared" si="9"/>
        <v>48.543689320388346</v>
      </c>
      <c r="V9">
        <v>8.3999999999999995E-3</v>
      </c>
      <c r="W9">
        <f t="shared" si="10"/>
        <v>2.452380952380953</v>
      </c>
      <c r="X9">
        <f t="shared" si="11"/>
        <v>-0.18292003662444681</v>
      </c>
      <c r="Y9">
        <f t="shared" si="12"/>
        <v>5.9721987458001821E-2</v>
      </c>
    </row>
    <row r="10" spans="1:26" x14ac:dyDescent="0.25">
      <c r="A10" s="29" t="s">
        <v>80</v>
      </c>
      <c r="B10" s="3">
        <v>10</v>
      </c>
      <c r="C10">
        <v>1.91</v>
      </c>
      <c r="D10">
        <v>10.016661112962346</v>
      </c>
      <c r="E10">
        <f t="shared" si="13"/>
        <v>0.14193608797067644</v>
      </c>
      <c r="F10">
        <f t="shared" si="16"/>
        <v>4.6787706499999997</v>
      </c>
      <c r="G10">
        <f t="shared" si="15"/>
        <v>6.6298180110499996E-2</v>
      </c>
      <c r="H10">
        <v>0.53903999999999996</v>
      </c>
      <c r="I10">
        <f t="shared" si="0"/>
        <v>7.5637907860176448E-2</v>
      </c>
      <c r="J10">
        <f t="shared" si="1"/>
        <v>75.637907860176455</v>
      </c>
      <c r="K10">
        <f t="shared" si="2"/>
        <v>140.31965690890559</v>
      </c>
      <c r="L10">
        <v>14.17</v>
      </c>
      <c r="M10">
        <f t="shared" si="3"/>
        <v>1.417E-2</v>
      </c>
      <c r="N10">
        <f t="shared" si="4"/>
        <v>1.0717891543787004</v>
      </c>
      <c r="O10">
        <f t="shared" si="5"/>
        <v>140.31965690890559</v>
      </c>
      <c r="P10">
        <v>4.1161907775053361</v>
      </c>
      <c r="Q10">
        <f t="shared" si="6"/>
        <v>144.43584768641091</v>
      </c>
      <c r="R10">
        <f t="shared" si="7"/>
        <v>144.43584768641091</v>
      </c>
      <c r="S10">
        <f t="shared" si="8"/>
        <v>3.2393417042549034E-2</v>
      </c>
      <c r="T10">
        <v>2.06E-2</v>
      </c>
      <c r="U10">
        <f t="shared" si="9"/>
        <v>48.543689320388346</v>
      </c>
      <c r="V10">
        <v>8.3999999999999995E-3</v>
      </c>
      <c r="W10">
        <f t="shared" si="10"/>
        <v>2.452380952380953</v>
      </c>
      <c r="X10">
        <f t="shared" si="11"/>
        <v>-0.18292003662444681</v>
      </c>
      <c r="Y10">
        <f t="shared" si="12"/>
        <v>5.9721987458001821E-2</v>
      </c>
    </row>
    <row r="11" spans="1:26" x14ac:dyDescent="0.25">
      <c r="A11" s="44" t="s">
        <v>81</v>
      </c>
      <c r="B11" s="3">
        <v>1</v>
      </c>
      <c r="C11">
        <v>9.7000000000000003E-2</v>
      </c>
      <c r="D11">
        <v>0</v>
      </c>
      <c r="E11">
        <f t="shared" si="13"/>
        <v>0</v>
      </c>
      <c r="F11">
        <f>1.7144*C11-0.1487</f>
        <v>1.7596799999999996E-2</v>
      </c>
      <c r="G11">
        <f t="shared" si="15"/>
        <v>2.3386147199999993E-4</v>
      </c>
      <c r="H11">
        <v>0.51844000000000001</v>
      </c>
      <c r="I11">
        <f t="shared" si="0"/>
        <v>-2.3386147199999993E-4</v>
      </c>
      <c r="J11">
        <f t="shared" si="1"/>
        <v>-0.23386147199999993</v>
      </c>
      <c r="K11">
        <f t="shared" si="2"/>
        <v>-0.45108686058174507</v>
      </c>
      <c r="L11">
        <v>13.29</v>
      </c>
      <c r="M11">
        <f t="shared" si="3"/>
        <v>1.329E-2</v>
      </c>
      <c r="N11">
        <f t="shared" si="4"/>
        <v>-3.108018962879999E-3</v>
      </c>
      <c r="O11">
        <f t="shared" si="5"/>
        <v>-0.45108686058174507</v>
      </c>
      <c r="P11">
        <v>3.3314454231197375</v>
      </c>
      <c r="Q11">
        <f t="shared" si="6"/>
        <v>2.8803585625379924</v>
      </c>
      <c r="R11">
        <f t="shared" si="7"/>
        <v>2.8803585625379924</v>
      </c>
      <c r="S11">
        <f t="shared" si="8"/>
        <v>6.1092393943116561E-3</v>
      </c>
      <c r="T11">
        <v>9.0499999999999997E-2</v>
      </c>
      <c r="U11">
        <f t="shared" si="9"/>
        <v>11.049723756906078</v>
      </c>
      <c r="V11">
        <v>-3.0000000000000001E-3</v>
      </c>
      <c r="W11">
        <f t="shared" si="10"/>
        <v>-30.166666666666668</v>
      </c>
      <c r="X11">
        <f>-2.4804/46.515</f>
        <v>-5.3324733956788134E-2</v>
      </c>
      <c r="Y11">
        <f>EXP((0-22.127)/4.9514)</f>
        <v>1.1460635716630297E-2</v>
      </c>
      <c r="Z11">
        <v>4.3743999999999998E-2</v>
      </c>
    </row>
    <row r="12" spans="1:26" x14ac:dyDescent="0.25">
      <c r="A12" s="44" t="s">
        <v>81</v>
      </c>
      <c r="B12" s="3">
        <v>2</v>
      </c>
      <c r="C12">
        <v>0.1</v>
      </c>
      <c r="D12">
        <v>9.5211012193945465E-3</v>
      </c>
      <c r="E12">
        <f t="shared" si="13"/>
        <v>1.216796735838623E-4</v>
      </c>
      <c r="F12">
        <f t="shared" ref="F12:F15" si="17">1.7144*C12-0.1487</f>
        <v>2.274000000000001E-2</v>
      </c>
      <c r="G12">
        <f t="shared" si="15"/>
        <v>2.9061720000000014E-4</v>
      </c>
      <c r="H12">
        <v>0.50763999999999998</v>
      </c>
      <c r="I12">
        <f t="shared" si="0"/>
        <v>-1.6893752641613784E-4</v>
      </c>
      <c r="J12">
        <f t="shared" si="1"/>
        <v>-0.16893752641613785</v>
      </c>
      <c r="K12">
        <f t="shared" si="2"/>
        <v>-0.33279002130670921</v>
      </c>
      <c r="L12">
        <v>12.78</v>
      </c>
      <c r="M12">
        <f t="shared" si="3"/>
        <v>1.278E-2</v>
      </c>
      <c r="N12">
        <f t="shared" si="4"/>
        <v>-2.1590215875982419E-3</v>
      </c>
      <c r="O12">
        <f t="shared" si="5"/>
        <v>-0.33279002130670921</v>
      </c>
      <c r="P12">
        <v>3.3314454231197375</v>
      </c>
      <c r="Q12">
        <f t="shared" si="6"/>
        <v>2.9986554018130285</v>
      </c>
      <c r="R12">
        <f t="shared" si="7"/>
        <v>2.9986554018130285</v>
      </c>
      <c r="S12">
        <f t="shared" si="8"/>
        <v>7.583398874792713E-3</v>
      </c>
      <c r="T12">
        <v>9.0499999999999997E-2</v>
      </c>
      <c r="U12">
        <f t="shared" si="9"/>
        <v>11.049723756906078</v>
      </c>
      <c r="V12">
        <v>-3.0000000000000001E-3</v>
      </c>
      <c r="W12">
        <f t="shared" si="10"/>
        <v>-30.166666666666668</v>
      </c>
      <c r="X12">
        <f t="shared" ref="X12:X19" si="18">-2.4804/46.515</f>
        <v>-5.3324733956788134E-2</v>
      </c>
      <c r="Y12">
        <f t="shared" ref="Y12:Y19" si="19">EXP((0-22.127)/4.9514)</f>
        <v>1.1460635716630297E-2</v>
      </c>
    </row>
    <row r="13" spans="1:26" x14ac:dyDescent="0.25">
      <c r="A13" s="44" t="s">
        <v>81</v>
      </c>
      <c r="B13" s="3">
        <v>3</v>
      </c>
      <c r="C13">
        <v>0.10199999999999999</v>
      </c>
      <c r="D13">
        <v>5.1120825771294634E-2</v>
      </c>
      <c r="E13">
        <f t="shared" si="13"/>
        <v>6.9575443874731987E-4</v>
      </c>
      <c r="F13">
        <f t="shared" si="17"/>
        <v>2.6168799999999992E-2</v>
      </c>
      <c r="G13">
        <f t="shared" si="15"/>
        <v>3.5615736799999984E-4</v>
      </c>
      <c r="H13">
        <v>0.54085000000000005</v>
      </c>
      <c r="I13">
        <f t="shared" si="0"/>
        <v>3.3959707074732002E-4</v>
      </c>
      <c r="J13">
        <f t="shared" si="1"/>
        <v>0.33959707074732004</v>
      </c>
      <c r="K13">
        <f t="shared" si="2"/>
        <v>0.62789511093153372</v>
      </c>
      <c r="L13">
        <v>13.61</v>
      </c>
      <c r="M13">
        <f t="shared" si="3"/>
        <v>1.3609999999999999E-2</v>
      </c>
      <c r="N13">
        <f t="shared" si="4"/>
        <v>4.6219161328710252E-3</v>
      </c>
      <c r="O13">
        <f t="shared" si="5"/>
        <v>0.62789511093153372</v>
      </c>
      <c r="P13">
        <v>3.3314454231197375</v>
      </c>
      <c r="Q13">
        <f t="shared" si="6"/>
        <v>3.9593405340512713</v>
      </c>
      <c r="R13">
        <f t="shared" si="7"/>
        <v>3.9593405340512713</v>
      </c>
      <c r="S13">
        <f t="shared" si="8"/>
        <v>6.6093835008487097E-3</v>
      </c>
      <c r="T13">
        <v>9.0499999999999997E-2</v>
      </c>
      <c r="U13">
        <f t="shared" si="9"/>
        <v>11.049723756906078</v>
      </c>
      <c r="V13">
        <v>-3.0000000000000001E-3</v>
      </c>
      <c r="W13">
        <f t="shared" si="10"/>
        <v>-30.166666666666668</v>
      </c>
      <c r="X13">
        <f t="shared" si="18"/>
        <v>-5.3324733956788134E-2</v>
      </c>
      <c r="Y13">
        <f t="shared" si="19"/>
        <v>1.1460635716630297E-2</v>
      </c>
    </row>
    <row r="14" spans="1:26" x14ac:dyDescent="0.25">
      <c r="A14" s="44" t="s">
        <v>81</v>
      </c>
      <c r="B14" s="3">
        <v>4</v>
      </c>
      <c r="C14">
        <v>0.104</v>
      </c>
      <c r="D14">
        <v>0.10075445577894952</v>
      </c>
      <c r="E14">
        <f t="shared" si="13"/>
        <v>1.3118230142419229E-3</v>
      </c>
      <c r="F14">
        <f t="shared" si="17"/>
        <v>2.9597599999999974E-2</v>
      </c>
      <c r="G14">
        <f t="shared" si="15"/>
        <v>3.8536075199999966E-4</v>
      </c>
      <c r="H14">
        <v>0.51773000000000002</v>
      </c>
      <c r="I14">
        <f t="shared" si="0"/>
        <v>9.2646226224192324E-4</v>
      </c>
      <c r="J14">
        <f t="shared" si="1"/>
        <v>0.92646226224192318</v>
      </c>
      <c r="K14">
        <f t="shared" si="2"/>
        <v>1.7894699210822691</v>
      </c>
      <c r="L14">
        <v>13.02</v>
      </c>
      <c r="M14">
        <f t="shared" si="3"/>
        <v>1.302E-2</v>
      </c>
      <c r="N14">
        <f t="shared" si="4"/>
        <v>1.206253865438984E-2</v>
      </c>
      <c r="O14">
        <f t="shared" si="5"/>
        <v>1.7894699210822691</v>
      </c>
      <c r="P14">
        <v>3.3314454231197375</v>
      </c>
      <c r="Q14">
        <f t="shared" si="6"/>
        <v>5.1209153442020066</v>
      </c>
      <c r="R14">
        <f t="shared" si="7"/>
        <v>5.1209153442020066</v>
      </c>
      <c r="S14">
        <f t="shared" si="8"/>
        <v>5.7797479572691849E-3</v>
      </c>
      <c r="T14">
        <v>9.0499999999999997E-2</v>
      </c>
      <c r="U14">
        <f t="shared" si="9"/>
        <v>11.049723756906078</v>
      </c>
      <c r="V14">
        <v>-3.0000000000000001E-3</v>
      </c>
      <c r="W14">
        <f t="shared" si="10"/>
        <v>-30.166666666666668</v>
      </c>
      <c r="X14">
        <f t="shared" si="18"/>
        <v>-5.3324733956788134E-2</v>
      </c>
      <c r="Y14">
        <f t="shared" si="19"/>
        <v>1.1460635716630297E-2</v>
      </c>
    </row>
    <row r="15" spans="1:26" x14ac:dyDescent="0.25">
      <c r="A15" s="44" t="s">
        <v>81</v>
      </c>
      <c r="B15" s="3">
        <v>6</v>
      </c>
      <c r="C15">
        <v>0.21199999999999999</v>
      </c>
      <c r="D15">
        <v>0.50013056152112167</v>
      </c>
      <c r="E15">
        <f t="shared" si="13"/>
        <v>6.5567116615419052E-3</v>
      </c>
      <c r="F15">
        <f t="shared" si="17"/>
        <v>0.21475279999999997</v>
      </c>
      <c r="G15">
        <f t="shared" si="15"/>
        <v>2.8154092079999997E-3</v>
      </c>
      <c r="H15">
        <v>0.50922000000000001</v>
      </c>
      <c r="I15">
        <f t="shared" si="0"/>
        <v>3.7413024535419056E-3</v>
      </c>
      <c r="J15">
        <f t="shared" si="1"/>
        <v>3.7413024535419055</v>
      </c>
      <c r="K15">
        <f t="shared" si="2"/>
        <v>7.3471239416006942</v>
      </c>
      <c r="L15">
        <v>13.11</v>
      </c>
      <c r="M15">
        <f t="shared" si="3"/>
        <v>1.311E-2</v>
      </c>
      <c r="N15">
        <f t="shared" si="4"/>
        <v>4.9048475165934378E-2</v>
      </c>
      <c r="O15">
        <f t="shared" si="5"/>
        <v>7.3471239416006942</v>
      </c>
      <c r="P15">
        <v>3.3314454231197375</v>
      </c>
      <c r="Q15">
        <f t="shared" si="6"/>
        <v>10.678569364720431</v>
      </c>
      <c r="R15">
        <f t="shared" si="7"/>
        <v>10.678569364720431</v>
      </c>
      <c r="S15">
        <f t="shared" si="8"/>
        <v>2.0110633987123261E-2</v>
      </c>
      <c r="T15">
        <v>9.0499999999999997E-2</v>
      </c>
      <c r="U15">
        <f t="shared" si="9"/>
        <v>11.049723756906078</v>
      </c>
      <c r="V15">
        <v>-3.0000000000000001E-3</v>
      </c>
      <c r="W15">
        <f t="shared" si="10"/>
        <v>-30.166666666666668</v>
      </c>
      <c r="X15">
        <f t="shared" si="18"/>
        <v>-5.3324733956788134E-2</v>
      </c>
      <c r="Y15">
        <f t="shared" si="19"/>
        <v>1.1460635716630297E-2</v>
      </c>
    </row>
    <row r="16" spans="1:26" x14ac:dyDescent="0.25">
      <c r="A16" s="44" t="s">
        <v>81</v>
      </c>
      <c r="B16" s="3">
        <v>7</v>
      </c>
      <c r="C16">
        <v>0.25600000000000001</v>
      </c>
      <c r="D16">
        <v>0.73114266371542469</v>
      </c>
      <c r="E16">
        <f t="shared" si="13"/>
        <v>1.0894025689359828E-2</v>
      </c>
      <c r="F16">
        <f>0.4965*(C16^2)+1.5879*C16-0.1654</f>
        <v>0.27364102400000007</v>
      </c>
      <c r="G16">
        <f t="shared" si="15"/>
        <v>4.0772512576000008E-3</v>
      </c>
      <c r="H16">
        <v>0.53102000000000005</v>
      </c>
      <c r="I16">
        <f t="shared" si="0"/>
        <v>6.8167744317598269E-3</v>
      </c>
      <c r="J16">
        <f t="shared" si="1"/>
        <v>6.8167744317598267</v>
      </c>
      <c r="K16">
        <f t="shared" si="2"/>
        <v>12.837133124477093</v>
      </c>
      <c r="L16">
        <v>14.9</v>
      </c>
      <c r="M16">
        <f t="shared" si="3"/>
        <v>1.49E-2</v>
      </c>
      <c r="N16">
        <f t="shared" si="4"/>
        <v>0.10156993903322142</v>
      </c>
      <c r="O16">
        <f t="shared" si="5"/>
        <v>12.837133124477093</v>
      </c>
      <c r="P16">
        <v>3.3314454231197375</v>
      </c>
      <c r="Q16">
        <f t="shared" si="6"/>
        <v>16.16857854759683</v>
      </c>
      <c r="R16">
        <f t="shared" si="7"/>
        <v>16.16857854759683</v>
      </c>
      <c r="S16">
        <f t="shared" si="8"/>
        <v>1.6924247434272562E-2</v>
      </c>
      <c r="T16">
        <v>9.0499999999999997E-2</v>
      </c>
      <c r="U16">
        <f t="shared" si="9"/>
        <v>11.049723756906078</v>
      </c>
      <c r="V16">
        <v>-3.0000000000000001E-3</v>
      </c>
      <c r="W16">
        <f t="shared" si="10"/>
        <v>-30.166666666666668</v>
      </c>
      <c r="X16">
        <f t="shared" si="18"/>
        <v>-5.3324733956788134E-2</v>
      </c>
      <c r="Y16">
        <f t="shared" si="19"/>
        <v>1.1460635716630297E-2</v>
      </c>
    </row>
    <row r="17" spans="1:26" x14ac:dyDescent="0.25">
      <c r="A17" s="44" t="s">
        <v>81</v>
      </c>
      <c r="B17" s="3">
        <v>8</v>
      </c>
      <c r="C17">
        <v>0.307</v>
      </c>
      <c r="D17">
        <v>0.99703925737765642</v>
      </c>
      <c r="E17">
        <f t="shared" si="13"/>
        <v>1.3509881937467246E-2</v>
      </c>
      <c r="F17">
        <f t="shared" ref="F17:F18" si="20">0.4965*(C17^2)+1.5879*C17-0.1654</f>
        <v>0.36887992850000006</v>
      </c>
      <c r="G17">
        <f t="shared" si="15"/>
        <v>4.9983230311750016E-3</v>
      </c>
      <c r="H17">
        <v>0.51363000000000003</v>
      </c>
      <c r="I17">
        <f t="shared" si="0"/>
        <v>8.511558906292245E-3</v>
      </c>
      <c r="J17">
        <f t="shared" si="1"/>
        <v>8.5115589062922457</v>
      </c>
      <c r="K17">
        <f t="shared" si="2"/>
        <v>16.571381940876204</v>
      </c>
      <c r="L17">
        <v>13.55</v>
      </c>
      <c r="M17">
        <f t="shared" si="3"/>
        <v>1.3550000000000001E-2</v>
      </c>
      <c r="N17">
        <f t="shared" si="4"/>
        <v>0.11533162318025994</v>
      </c>
      <c r="O17">
        <f t="shared" si="5"/>
        <v>16.571381940876204</v>
      </c>
      <c r="P17">
        <v>3.3314454231197375</v>
      </c>
      <c r="Q17">
        <f t="shared" si="6"/>
        <v>19.902827363995943</v>
      </c>
      <c r="R17">
        <f t="shared" si="7"/>
        <v>19.902827363995943</v>
      </c>
      <c r="S17">
        <f t="shared" si="8"/>
        <v>1.8534046532871051E-2</v>
      </c>
      <c r="T17">
        <v>9.0499999999999997E-2</v>
      </c>
      <c r="U17">
        <f t="shared" si="9"/>
        <v>11.049723756906078</v>
      </c>
      <c r="V17">
        <v>-3.0000000000000001E-3</v>
      </c>
      <c r="W17">
        <f t="shared" si="10"/>
        <v>-30.166666666666668</v>
      </c>
      <c r="X17">
        <f t="shared" si="18"/>
        <v>-5.3324733956788134E-2</v>
      </c>
      <c r="Y17">
        <f t="shared" si="19"/>
        <v>1.1460635716630297E-2</v>
      </c>
    </row>
    <row r="18" spans="1:26" x14ac:dyDescent="0.25">
      <c r="A18" s="44" t="s">
        <v>81</v>
      </c>
      <c r="B18" s="3">
        <v>9</v>
      </c>
      <c r="C18">
        <v>1.3140000000000001</v>
      </c>
      <c r="D18">
        <v>5.0023313128621867</v>
      </c>
      <c r="E18">
        <f t="shared" si="13"/>
        <v>6.8331845733697466E-2</v>
      </c>
      <c r="F18">
        <f t="shared" si="20"/>
        <v>2.7783555140000002</v>
      </c>
      <c r="G18">
        <f t="shared" si="15"/>
        <v>3.7952336321240003E-2</v>
      </c>
      <c r="H18">
        <v>0.51773000000000002</v>
      </c>
      <c r="I18">
        <f t="shared" si="0"/>
        <v>3.0379509412457463E-2</v>
      </c>
      <c r="J18">
        <f t="shared" si="1"/>
        <v>30.379509412457463</v>
      </c>
      <c r="K18">
        <f t="shared" si="2"/>
        <v>58.67828677584351</v>
      </c>
      <c r="L18">
        <v>13.66</v>
      </c>
      <c r="M18">
        <f t="shared" si="3"/>
        <v>1.366E-2</v>
      </c>
      <c r="N18">
        <f t="shared" si="4"/>
        <v>0.41498409857416896</v>
      </c>
      <c r="O18">
        <f t="shared" si="5"/>
        <v>58.67828677584351</v>
      </c>
      <c r="P18">
        <v>3.3314454231197375</v>
      </c>
      <c r="Q18">
        <f t="shared" si="6"/>
        <v>62.009732198963249</v>
      </c>
      <c r="R18">
        <f t="shared" si="7"/>
        <v>62.009732198963249</v>
      </c>
      <c r="S18">
        <f t="shared" si="8"/>
        <v>4.4805152602262845E-2</v>
      </c>
      <c r="T18">
        <v>9.0499999999999997E-2</v>
      </c>
      <c r="U18">
        <f t="shared" si="9"/>
        <v>11.049723756906078</v>
      </c>
      <c r="V18">
        <v>-3.0000000000000001E-3</v>
      </c>
      <c r="W18">
        <f t="shared" si="10"/>
        <v>-30.166666666666668</v>
      </c>
      <c r="X18">
        <f t="shared" si="18"/>
        <v>-5.3324733956788134E-2</v>
      </c>
      <c r="Y18">
        <f t="shared" si="19"/>
        <v>1.1460635716630297E-2</v>
      </c>
    </row>
    <row r="19" spans="1:26" x14ac:dyDescent="0.25">
      <c r="A19" s="44" t="s">
        <v>81</v>
      </c>
      <c r="B19" s="3">
        <v>10</v>
      </c>
      <c r="C19">
        <v>1.992</v>
      </c>
      <c r="D19">
        <v>10.016661112962346</v>
      </c>
      <c r="E19">
        <f>D19*M19</f>
        <v>0.13722825724758414</v>
      </c>
      <c r="F19">
        <f>0.4965*(C19^2)+1.5879*C19-0.1654</f>
        <v>4.9678405760000004</v>
      </c>
      <c r="G19">
        <f>F19*M19</f>
        <v>6.8059415891200001E-2</v>
      </c>
      <c r="H19">
        <v>0.52597000000000005</v>
      </c>
      <c r="I19">
        <f>E19-G19</f>
        <v>6.9168841356384139E-2</v>
      </c>
      <c r="J19">
        <f t="shared" si="1"/>
        <v>69.168841356384135</v>
      </c>
      <c r="K19">
        <f t="shared" si="2"/>
        <v>131.50719880674589</v>
      </c>
      <c r="L19">
        <v>13.7</v>
      </c>
      <c r="M19">
        <f t="shared" si="3"/>
        <v>1.3699999999999999E-2</v>
      </c>
      <c r="N19">
        <f t="shared" si="4"/>
        <v>0.94761312658246255</v>
      </c>
      <c r="O19">
        <f t="shared" si="5"/>
        <v>131.50719880674589</v>
      </c>
      <c r="P19">
        <v>3.3314454231197375</v>
      </c>
      <c r="Q19">
        <f t="shared" si="6"/>
        <v>134.83864422986562</v>
      </c>
      <c r="R19">
        <f t="shared" si="7"/>
        <v>134.83864422986562</v>
      </c>
      <c r="S19">
        <f t="shared" si="8"/>
        <v>3.6842854690314855E-2</v>
      </c>
      <c r="T19">
        <v>9.0499999999999997E-2</v>
      </c>
      <c r="U19">
        <f t="shared" si="9"/>
        <v>11.049723756906078</v>
      </c>
      <c r="V19">
        <v>-3.0000000000000001E-3</v>
      </c>
      <c r="W19">
        <f t="shared" si="10"/>
        <v>-30.166666666666668</v>
      </c>
      <c r="X19">
        <f t="shared" si="18"/>
        <v>-5.3324733956788134E-2</v>
      </c>
      <c r="Y19">
        <f t="shared" si="19"/>
        <v>1.1460635716630297E-2</v>
      </c>
    </row>
    <row r="20" spans="1:26" x14ac:dyDescent="0.25">
      <c r="A20" s="32" t="s">
        <v>82</v>
      </c>
      <c r="B20" s="3">
        <v>1</v>
      </c>
      <c r="C20">
        <v>9.9000000000000005E-2</v>
      </c>
      <c r="D20">
        <v>0</v>
      </c>
      <c r="E20">
        <f t="shared" si="13"/>
        <v>0</v>
      </c>
      <c r="F20">
        <f>1.7144*C20-0.1487</f>
        <v>2.1025600000000005E-2</v>
      </c>
      <c r="G20">
        <f t="shared" si="15"/>
        <v>2.7816868800000009E-4</v>
      </c>
      <c r="H20">
        <v>0.52546000000000004</v>
      </c>
      <c r="I20">
        <f t="shared" si="0"/>
        <v>-2.7816868800000009E-4</v>
      </c>
      <c r="J20">
        <f t="shared" si="1"/>
        <v>-0.27816868800000011</v>
      </c>
      <c r="K20">
        <f t="shared" si="2"/>
        <v>-0.52938128116317151</v>
      </c>
      <c r="L20">
        <v>13.23</v>
      </c>
      <c r="M20">
        <f t="shared" si="3"/>
        <v>1.323E-2</v>
      </c>
      <c r="N20">
        <f t="shared" si="4"/>
        <v>-3.6801717422400015E-3</v>
      </c>
      <c r="O20">
        <f t="shared" si="5"/>
        <v>-0.52938128116317151</v>
      </c>
      <c r="P20">
        <v>2.2125860941752435</v>
      </c>
      <c r="Q20">
        <f t="shared" si="6"/>
        <v>1.683204813012072</v>
      </c>
      <c r="R20">
        <f t="shared" si="7"/>
        <v>1.683204813012072</v>
      </c>
      <c r="S20">
        <f t="shared" si="8"/>
        <v>1.2491409148465409E-2</v>
      </c>
      <c r="T20">
        <v>0.115</v>
      </c>
      <c r="U20">
        <f t="shared" si="9"/>
        <v>8.695652173913043</v>
      </c>
      <c r="V20">
        <v>-3.8999999999999998E-3</v>
      </c>
      <c r="W20">
        <f t="shared" si="10"/>
        <v>-29.487179487179493</v>
      </c>
      <c r="X20">
        <f>-1.5018/38.752</f>
        <v>-3.875412881915772E-2</v>
      </c>
      <c r="Y20">
        <f>EXP((0-17.351)/4.1352)</f>
        <v>1.505676863684632E-2</v>
      </c>
      <c r="Z20">
        <v>4.1542000000000003E-2</v>
      </c>
    </row>
    <row r="21" spans="1:26" x14ac:dyDescent="0.25">
      <c r="A21" s="32" t="s">
        <v>82</v>
      </c>
      <c r="B21" s="3">
        <v>2</v>
      </c>
      <c r="C21">
        <v>0.10100000000000001</v>
      </c>
      <c r="D21">
        <v>9.5211012193945465E-3</v>
      </c>
      <c r="E21">
        <f t="shared" si="13"/>
        <v>1.2910613253499007E-4</v>
      </c>
      <c r="F21">
        <f t="shared" ref="F21:F24" si="21">1.7144*C21-0.1487</f>
        <v>2.4454400000000015E-2</v>
      </c>
      <c r="G21">
        <f t="shared" si="15"/>
        <v>3.3160166400000022E-4</v>
      </c>
      <c r="H21">
        <v>0.56194</v>
      </c>
      <c r="I21">
        <f t="shared" si="0"/>
        <v>-2.0249553146501015E-4</v>
      </c>
      <c r="J21">
        <f t="shared" si="1"/>
        <v>-0.20249553146501015</v>
      </c>
      <c r="K21">
        <f t="shared" si="2"/>
        <v>-0.36035080518384549</v>
      </c>
      <c r="L21">
        <v>13.56</v>
      </c>
      <c r="M21">
        <f t="shared" si="3"/>
        <v>1.3560000000000001E-2</v>
      </c>
      <c r="N21">
        <f t="shared" si="4"/>
        <v>-2.745839406665538E-3</v>
      </c>
      <c r="O21">
        <f t="shared" si="5"/>
        <v>-0.36035080518384549</v>
      </c>
      <c r="P21">
        <v>2.2125860941752435</v>
      </c>
      <c r="Q21">
        <f t="shared" si="6"/>
        <v>1.852235288991398</v>
      </c>
      <c r="R21">
        <f t="shared" si="7"/>
        <v>1.852235288991398</v>
      </c>
      <c r="S21">
        <f t="shared" si="8"/>
        <v>1.3202642312962424E-2</v>
      </c>
      <c r="T21">
        <v>0.115</v>
      </c>
      <c r="U21">
        <f t="shared" si="9"/>
        <v>8.695652173913043</v>
      </c>
      <c r="V21">
        <v>-3.8999999999999998E-3</v>
      </c>
      <c r="W21">
        <f t="shared" si="10"/>
        <v>-29.487179487179493</v>
      </c>
      <c r="X21">
        <f t="shared" ref="X21:X28" si="22">-1.5018/38.752</f>
        <v>-3.875412881915772E-2</v>
      </c>
      <c r="Y21">
        <f t="shared" ref="Y21:Y28" si="23">EXP((0-17.351)/4.1352)</f>
        <v>1.505676863684632E-2</v>
      </c>
    </row>
    <row r="22" spans="1:26" x14ac:dyDescent="0.25">
      <c r="A22" s="32" t="s">
        <v>82</v>
      </c>
      <c r="B22" s="3">
        <v>3</v>
      </c>
      <c r="C22">
        <v>0.104</v>
      </c>
      <c r="D22">
        <v>5.1120825771294634E-2</v>
      </c>
      <c r="E22">
        <f t="shared" si="13"/>
        <v>7.5709942967287357E-4</v>
      </c>
      <c r="F22">
        <f t="shared" si="21"/>
        <v>2.9597599999999974E-2</v>
      </c>
      <c r="G22">
        <f t="shared" si="15"/>
        <v>4.383404559999996E-4</v>
      </c>
      <c r="H22">
        <v>0.57330999999999999</v>
      </c>
      <c r="I22">
        <f t="shared" si="0"/>
        <v>3.1875897367287398E-4</v>
      </c>
      <c r="J22">
        <f t="shared" si="1"/>
        <v>0.31875897367287398</v>
      </c>
      <c r="K22">
        <f t="shared" si="2"/>
        <v>0.55599758188915938</v>
      </c>
      <c r="L22">
        <v>14.81</v>
      </c>
      <c r="M22">
        <f t="shared" si="3"/>
        <v>1.481E-2</v>
      </c>
      <c r="N22">
        <f t="shared" si="4"/>
        <v>4.7208204000952639E-3</v>
      </c>
      <c r="O22">
        <f t="shared" si="5"/>
        <v>0.55599758188915938</v>
      </c>
      <c r="P22">
        <v>2.2125860941752435</v>
      </c>
      <c r="Q22">
        <f t="shared" si="6"/>
        <v>2.7685836760644031</v>
      </c>
      <c r="R22">
        <f t="shared" si="7"/>
        <v>2.7685836760644031</v>
      </c>
      <c r="S22">
        <f t="shared" si="8"/>
        <v>1.0690520303173048E-2</v>
      </c>
      <c r="T22">
        <v>0.115</v>
      </c>
      <c r="U22">
        <f t="shared" si="9"/>
        <v>8.695652173913043</v>
      </c>
      <c r="V22">
        <v>-3.8999999999999998E-3</v>
      </c>
      <c r="W22">
        <f t="shared" si="10"/>
        <v>-29.487179487179493</v>
      </c>
      <c r="X22">
        <f t="shared" si="22"/>
        <v>-3.875412881915772E-2</v>
      </c>
      <c r="Y22">
        <f t="shared" si="23"/>
        <v>1.505676863684632E-2</v>
      </c>
    </row>
    <row r="23" spans="1:26" x14ac:dyDescent="0.25">
      <c r="A23" s="32" t="s">
        <v>82</v>
      </c>
      <c r="B23" s="3">
        <v>4</v>
      </c>
      <c r="C23">
        <v>0.109</v>
      </c>
      <c r="D23">
        <v>0.10075445577894952</v>
      </c>
      <c r="E23">
        <f t="shared" si="13"/>
        <v>1.4055246581163457E-3</v>
      </c>
      <c r="F23">
        <f t="shared" si="21"/>
        <v>3.8169599999999998E-2</v>
      </c>
      <c r="G23">
        <f t="shared" si="15"/>
        <v>5.3246591999999988E-4</v>
      </c>
      <c r="H23">
        <v>0.53841000000000006</v>
      </c>
      <c r="I23">
        <f t="shared" si="0"/>
        <v>8.7305873811634584E-4</v>
      </c>
      <c r="J23">
        <f t="shared" si="1"/>
        <v>0.87305873811634582</v>
      </c>
      <c r="K23">
        <f t="shared" si="2"/>
        <v>1.6215500048593929</v>
      </c>
      <c r="L23">
        <v>13.95</v>
      </c>
      <c r="M23">
        <f t="shared" si="3"/>
        <v>1.3949999999999999E-2</v>
      </c>
      <c r="N23">
        <f t="shared" si="4"/>
        <v>1.2179169396723023E-2</v>
      </c>
      <c r="O23">
        <f t="shared" si="5"/>
        <v>1.6215500048593929</v>
      </c>
      <c r="P23">
        <v>2.2125860941752435</v>
      </c>
      <c r="Q23">
        <f t="shared" si="6"/>
        <v>3.8341360990346365</v>
      </c>
      <c r="R23">
        <f t="shared" si="7"/>
        <v>3.8341360990346365</v>
      </c>
      <c r="S23">
        <f t="shared" si="8"/>
        <v>9.9552021665611674E-3</v>
      </c>
      <c r="T23">
        <v>0.115</v>
      </c>
      <c r="U23">
        <f t="shared" si="9"/>
        <v>8.695652173913043</v>
      </c>
      <c r="V23">
        <v>-3.8999999999999998E-3</v>
      </c>
      <c r="W23">
        <f t="shared" si="10"/>
        <v>-29.487179487179493</v>
      </c>
      <c r="X23">
        <f t="shared" si="22"/>
        <v>-3.875412881915772E-2</v>
      </c>
      <c r="Y23">
        <f t="shared" si="23"/>
        <v>1.505676863684632E-2</v>
      </c>
    </row>
    <row r="24" spans="1:26" x14ac:dyDescent="0.25">
      <c r="A24" s="32" t="s">
        <v>82</v>
      </c>
      <c r="B24" s="3">
        <v>6</v>
      </c>
      <c r="C24">
        <v>0.20200000000000001</v>
      </c>
      <c r="D24">
        <v>0.50013056152112167</v>
      </c>
      <c r="E24">
        <f t="shared" si="13"/>
        <v>6.7817704142264104E-3</v>
      </c>
      <c r="F24">
        <f t="shared" si="21"/>
        <v>0.19760880000000003</v>
      </c>
      <c r="G24">
        <f t="shared" si="15"/>
        <v>2.6795753280000004E-3</v>
      </c>
      <c r="H24">
        <v>0.53198999999999996</v>
      </c>
      <c r="I24">
        <f t="shared" si="0"/>
        <v>4.10219508622641E-3</v>
      </c>
      <c r="J24">
        <f t="shared" si="1"/>
        <v>4.10219508622641</v>
      </c>
      <c r="K24">
        <f t="shared" si="2"/>
        <v>7.7110379635451984</v>
      </c>
      <c r="L24">
        <v>13.56</v>
      </c>
      <c r="M24">
        <f t="shared" si="3"/>
        <v>1.3560000000000001E-2</v>
      </c>
      <c r="N24">
        <f t="shared" si="4"/>
        <v>5.5625765369230126E-2</v>
      </c>
      <c r="O24">
        <f t="shared" si="5"/>
        <v>7.7110379635451984</v>
      </c>
      <c r="P24">
        <v>2.2125860941752435</v>
      </c>
      <c r="Q24">
        <f t="shared" si="6"/>
        <v>9.923624057720442</v>
      </c>
      <c r="R24">
        <f t="shared" si="7"/>
        <v>9.923624057720442</v>
      </c>
      <c r="S24">
        <f t="shared" si="8"/>
        <v>1.9912967163066109E-2</v>
      </c>
      <c r="T24">
        <v>0.115</v>
      </c>
      <c r="U24">
        <f t="shared" si="9"/>
        <v>8.695652173913043</v>
      </c>
      <c r="V24">
        <v>-3.8999999999999998E-3</v>
      </c>
      <c r="W24">
        <f t="shared" si="10"/>
        <v>-29.487179487179493</v>
      </c>
      <c r="X24">
        <f t="shared" si="22"/>
        <v>-3.875412881915772E-2</v>
      </c>
      <c r="Y24">
        <f t="shared" si="23"/>
        <v>1.505676863684632E-2</v>
      </c>
    </row>
    <row r="25" spans="1:26" x14ac:dyDescent="0.25">
      <c r="A25" s="32" t="s">
        <v>82</v>
      </c>
      <c r="B25" s="3">
        <v>7</v>
      </c>
      <c r="C25">
        <v>0.27800000000000002</v>
      </c>
      <c r="D25">
        <v>0.73114266371542469</v>
      </c>
      <c r="E25">
        <f t="shared" si="13"/>
        <v>1.0309111558387488E-2</v>
      </c>
      <c r="F25">
        <f>0.4965*(C25^2)+1.5879*C25-0.1654</f>
        <v>0.31440770600000006</v>
      </c>
      <c r="G25">
        <f t="shared" si="15"/>
        <v>4.4331486546000005E-3</v>
      </c>
      <c r="H25">
        <v>0.53578000000000003</v>
      </c>
      <c r="I25">
        <f t="shared" si="0"/>
        <v>5.8759629037874878E-3</v>
      </c>
      <c r="J25">
        <f t="shared" si="1"/>
        <v>5.8759629037874879</v>
      </c>
      <c r="K25">
        <f t="shared" si="2"/>
        <v>10.967118787165418</v>
      </c>
      <c r="L25">
        <v>14.1</v>
      </c>
      <c r="M25">
        <f t="shared" si="3"/>
        <v>1.41E-2</v>
      </c>
      <c r="N25">
        <f t="shared" si="4"/>
        <v>8.2851076943403573E-2</v>
      </c>
      <c r="O25">
        <f t="shared" si="5"/>
        <v>10.967118787165418</v>
      </c>
      <c r="P25">
        <v>2.2125860941752435</v>
      </c>
      <c r="Q25">
        <f t="shared" si="6"/>
        <v>13.179704881340662</v>
      </c>
      <c r="R25">
        <f t="shared" si="7"/>
        <v>13.179704881340662</v>
      </c>
      <c r="S25">
        <f t="shared" si="8"/>
        <v>2.3855443564986561E-2</v>
      </c>
      <c r="T25">
        <v>0.115</v>
      </c>
      <c r="U25">
        <f t="shared" si="9"/>
        <v>8.695652173913043</v>
      </c>
      <c r="V25">
        <v>-3.8999999999999998E-3</v>
      </c>
      <c r="W25">
        <f t="shared" si="10"/>
        <v>-29.487179487179493</v>
      </c>
      <c r="X25">
        <f t="shared" si="22"/>
        <v>-3.875412881915772E-2</v>
      </c>
      <c r="Y25">
        <f t="shared" si="23"/>
        <v>1.505676863684632E-2</v>
      </c>
    </row>
    <row r="26" spans="1:26" x14ac:dyDescent="0.25">
      <c r="A26" s="32" t="s">
        <v>82</v>
      </c>
      <c r="B26" s="3">
        <v>8</v>
      </c>
      <c r="C26">
        <v>0.33600000000000002</v>
      </c>
      <c r="D26">
        <v>0.99703925737765642</v>
      </c>
      <c r="E26">
        <f t="shared" si="13"/>
        <v>1.4576713942861336E-2</v>
      </c>
      <c r="F26">
        <f t="shared" ref="F26:F28" si="24">0.4965*(C26^2)+1.5879*C26-0.1654</f>
        <v>0.42418726400000006</v>
      </c>
      <c r="G26">
        <f t="shared" si="15"/>
        <v>6.2016177996800006E-3</v>
      </c>
      <c r="H26">
        <v>0.53717999999999999</v>
      </c>
      <c r="I26">
        <f t="shared" si="0"/>
        <v>8.3750961431813351E-3</v>
      </c>
      <c r="J26">
        <f t="shared" si="1"/>
        <v>8.3750961431813344</v>
      </c>
      <c r="K26">
        <f t="shared" si="2"/>
        <v>15.59085621799273</v>
      </c>
      <c r="L26">
        <v>14.62</v>
      </c>
      <c r="M26">
        <f t="shared" si="3"/>
        <v>1.4619999999999999E-2</v>
      </c>
      <c r="N26">
        <f t="shared" si="4"/>
        <v>0.1224439056133111</v>
      </c>
      <c r="O26">
        <f t="shared" si="5"/>
        <v>15.59085621799273</v>
      </c>
      <c r="P26">
        <v>2.2125860941752435</v>
      </c>
      <c r="Q26">
        <f t="shared" si="6"/>
        <v>17.803442312167974</v>
      </c>
      <c r="R26">
        <f t="shared" si="7"/>
        <v>17.803442312167974</v>
      </c>
      <c r="S26">
        <f t="shared" si="8"/>
        <v>2.3826137471745241E-2</v>
      </c>
      <c r="T26">
        <v>0.115</v>
      </c>
      <c r="U26">
        <f t="shared" si="9"/>
        <v>8.695652173913043</v>
      </c>
      <c r="V26">
        <v>-3.8999999999999998E-3</v>
      </c>
      <c r="W26">
        <f t="shared" si="10"/>
        <v>-29.487179487179493</v>
      </c>
      <c r="X26">
        <f t="shared" si="22"/>
        <v>-3.875412881915772E-2</v>
      </c>
      <c r="Y26">
        <f t="shared" si="23"/>
        <v>1.505676863684632E-2</v>
      </c>
    </row>
    <row r="27" spans="1:26" x14ac:dyDescent="0.25">
      <c r="A27" s="32" t="s">
        <v>82</v>
      </c>
      <c r="B27" s="3">
        <v>9</v>
      </c>
      <c r="C27">
        <v>1.421</v>
      </c>
      <c r="D27">
        <v>5.0023313128621867</v>
      </c>
      <c r="E27">
        <f t="shared" si="13"/>
        <v>7.2283687470858587E-2</v>
      </c>
      <c r="F27">
        <f t="shared" si="24"/>
        <v>3.0935590565000002</v>
      </c>
      <c r="G27">
        <f t="shared" si="15"/>
        <v>4.4701928366425003E-2</v>
      </c>
      <c r="H27">
        <v>0.55991999999999997</v>
      </c>
      <c r="I27">
        <f t="shared" si="0"/>
        <v>2.7581759104433584E-2</v>
      </c>
      <c r="J27">
        <f t="shared" si="1"/>
        <v>27.581759104433583</v>
      </c>
      <c r="K27">
        <f t="shared" si="2"/>
        <v>49.260178426263728</v>
      </c>
      <c r="L27">
        <v>14.45</v>
      </c>
      <c r="M27">
        <f t="shared" si="3"/>
        <v>1.4449999999999999E-2</v>
      </c>
      <c r="N27">
        <f t="shared" si="4"/>
        <v>0.39855641905906525</v>
      </c>
      <c r="O27">
        <f t="shared" si="5"/>
        <v>49.260178426263728</v>
      </c>
      <c r="P27">
        <v>2.2125860941752435</v>
      </c>
      <c r="Q27">
        <f t="shared" si="6"/>
        <v>51.472764520438972</v>
      </c>
      <c r="R27">
        <f t="shared" si="7"/>
        <v>51.472764520438972</v>
      </c>
      <c r="S27">
        <f t="shared" si="8"/>
        <v>6.0100891905108374E-2</v>
      </c>
      <c r="T27">
        <v>0.115</v>
      </c>
      <c r="U27">
        <f t="shared" si="9"/>
        <v>8.695652173913043</v>
      </c>
      <c r="V27">
        <v>-3.8999999999999998E-3</v>
      </c>
      <c r="W27">
        <f t="shared" si="10"/>
        <v>-29.487179487179493</v>
      </c>
      <c r="X27">
        <f t="shared" si="22"/>
        <v>-3.875412881915772E-2</v>
      </c>
      <c r="Y27">
        <f t="shared" si="23"/>
        <v>1.505676863684632E-2</v>
      </c>
    </row>
    <row r="28" spans="1:26" x14ac:dyDescent="0.25">
      <c r="A28" s="32" t="s">
        <v>82</v>
      </c>
      <c r="B28" s="3">
        <v>10</v>
      </c>
      <c r="C28">
        <v>2.02</v>
      </c>
      <c r="D28">
        <v>10.016661112962346</v>
      </c>
      <c r="E28">
        <f t="shared" si="13"/>
        <v>0.14564225258247251</v>
      </c>
      <c r="F28">
        <f t="shared" si="24"/>
        <v>5.0680765999999995</v>
      </c>
      <c r="G28">
        <f t="shared" si="15"/>
        <v>7.3689833763999985E-2</v>
      </c>
      <c r="H28">
        <v>0.52251000000000003</v>
      </c>
      <c r="I28">
        <f t="shared" si="0"/>
        <v>7.195241881847253E-2</v>
      </c>
      <c r="J28">
        <f t="shared" si="1"/>
        <v>71.952418818472523</v>
      </c>
      <c r="K28">
        <f t="shared" si="2"/>
        <v>137.70534309098872</v>
      </c>
      <c r="L28">
        <v>14.54</v>
      </c>
      <c r="M28">
        <f t="shared" si="3"/>
        <v>1.4539999999999999E-2</v>
      </c>
      <c r="N28">
        <f t="shared" si="4"/>
        <v>1.0461881696205904</v>
      </c>
      <c r="O28">
        <f t="shared" si="5"/>
        <v>137.70534309098872</v>
      </c>
      <c r="P28">
        <v>2.2125860941752435</v>
      </c>
      <c r="Q28">
        <f t="shared" si="6"/>
        <v>139.91792918516396</v>
      </c>
      <c r="R28">
        <f t="shared" si="7"/>
        <v>139.91792918516396</v>
      </c>
      <c r="S28">
        <f t="shared" si="8"/>
        <v>3.622178107919987E-2</v>
      </c>
      <c r="T28">
        <v>0.115</v>
      </c>
      <c r="U28">
        <f t="shared" si="9"/>
        <v>8.695652173913043</v>
      </c>
      <c r="V28">
        <v>-3.8999999999999998E-3</v>
      </c>
      <c r="W28">
        <f t="shared" si="10"/>
        <v>-29.487179487179493</v>
      </c>
      <c r="X28">
        <f t="shared" si="22"/>
        <v>-3.875412881915772E-2</v>
      </c>
      <c r="Y28">
        <f t="shared" si="23"/>
        <v>1.505676863684632E-2</v>
      </c>
    </row>
    <row r="29" spans="1:26" x14ac:dyDescent="0.25">
      <c r="A29" s="30" t="s">
        <v>83</v>
      </c>
      <c r="B29" s="3">
        <v>1</v>
      </c>
      <c r="C29">
        <v>0.10299999999999999</v>
      </c>
      <c r="D29">
        <v>0</v>
      </c>
      <c r="E29">
        <f t="shared" si="13"/>
        <v>0</v>
      </c>
      <c r="F29">
        <f>1.7144*C29-0.1487</f>
        <v>2.7883199999999997E-2</v>
      </c>
      <c r="G29">
        <f t="shared" si="15"/>
        <v>3.6080860799999996E-4</v>
      </c>
      <c r="H29">
        <v>0.51290000000000002</v>
      </c>
      <c r="I29">
        <f t="shared" si="0"/>
        <v>-3.6080860799999996E-4</v>
      </c>
      <c r="J29">
        <f t="shared" si="1"/>
        <v>-0.36080860799999998</v>
      </c>
      <c r="K29">
        <f t="shared" si="2"/>
        <v>-0.70346774809904455</v>
      </c>
      <c r="L29">
        <v>12.94</v>
      </c>
      <c r="M29">
        <f t="shared" si="3"/>
        <v>1.294E-2</v>
      </c>
      <c r="N29">
        <f t="shared" si="4"/>
        <v>-4.6688633875200001E-3</v>
      </c>
      <c r="O29">
        <f t="shared" si="5"/>
        <v>-0.70346774809904455</v>
      </c>
      <c r="P29">
        <v>1.8820632562088722</v>
      </c>
      <c r="Q29">
        <f t="shared" si="6"/>
        <v>1.1785955081098276</v>
      </c>
      <c r="R29">
        <f t="shared" si="7"/>
        <v>1.1785955081098276</v>
      </c>
      <c r="S29">
        <f t="shared" si="8"/>
        <v>2.3657989367970419E-2</v>
      </c>
      <c r="T29">
        <v>9.9000000000000005E-2</v>
      </c>
      <c r="U29">
        <f t="shared" si="9"/>
        <v>10.1010101010101</v>
      </c>
      <c r="V29">
        <v>-4.3E-3</v>
      </c>
      <c r="W29">
        <f t="shared" si="10"/>
        <v>-23.02325581395349</v>
      </c>
      <c r="X29">
        <f>-0.2196/53.19</f>
        <v>-4.1285956006768187E-3</v>
      </c>
      <c r="Y29">
        <f>EXP((0-22.839)/6.0476)</f>
        <v>2.2901807219182328E-2</v>
      </c>
      <c r="Z29">
        <v>4.5184000000000002E-2</v>
      </c>
    </row>
    <row r="30" spans="1:26" x14ac:dyDescent="0.25">
      <c r="A30" s="30" t="s">
        <v>83</v>
      </c>
      <c r="B30" s="3">
        <v>2</v>
      </c>
      <c r="C30">
        <v>0.1</v>
      </c>
      <c r="D30">
        <v>9.5211012193945465E-3</v>
      </c>
      <c r="E30">
        <f t="shared" si="13"/>
        <v>1.2377431585212909E-4</v>
      </c>
      <c r="F30">
        <f t="shared" ref="F30:F33" si="25">1.7144*C30-0.1487</f>
        <v>2.274000000000001E-2</v>
      </c>
      <c r="G30">
        <f t="shared" si="15"/>
        <v>2.9562000000000013E-4</v>
      </c>
      <c r="H30">
        <v>0.50383999999999995</v>
      </c>
      <c r="I30">
        <f t="shared" si="0"/>
        <v>-1.7184568414787104E-4</v>
      </c>
      <c r="J30">
        <f t="shared" si="1"/>
        <v>-0.17184568414787105</v>
      </c>
      <c r="K30">
        <f t="shared" si="2"/>
        <v>-0.34107193582857864</v>
      </c>
      <c r="L30">
        <v>13</v>
      </c>
      <c r="M30">
        <f t="shared" si="3"/>
        <v>1.2999999999999999E-2</v>
      </c>
      <c r="N30">
        <f t="shared" si="4"/>
        <v>-2.2339938939223234E-3</v>
      </c>
      <c r="O30">
        <f t="shared" si="5"/>
        <v>-0.34107193582857864</v>
      </c>
      <c r="P30">
        <v>1.8820632562088722</v>
      </c>
      <c r="Q30">
        <f t="shared" si="6"/>
        <v>1.5409913203802934</v>
      </c>
      <c r="R30">
        <f t="shared" si="7"/>
        <v>1.5409913203802934</v>
      </c>
      <c r="S30">
        <f t="shared" si="8"/>
        <v>1.4756734641690339E-2</v>
      </c>
      <c r="T30">
        <v>9.9000000000000005E-2</v>
      </c>
      <c r="U30">
        <f t="shared" si="9"/>
        <v>10.1010101010101</v>
      </c>
      <c r="V30">
        <v>-4.3E-3</v>
      </c>
      <c r="W30">
        <f t="shared" si="10"/>
        <v>-23.02325581395349</v>
      </c>
      <c r="X30">
        <f t="shared" ref="X30:X37" si="26">-0.2196/53.19</f>
        <v>-4.1285956006768187E-3</v>
      </c>
      <c r="Y30">
        <f t="shared" ref="Y30:Y37" si="27">EXP((0-22.839)/6.0476)</f>
        <v>2.2901807219182328E-2</v>
      </c>
    </row>
    <row r="31" spans="1:26" x14ac:dyDescent="0.25">
      <c r="A31" s="30" t="s">
        <v>83</v>
      </c>
      <c r="B31" s="3">
        <v>3</v>
      </c>
      <c r="C31">
        <v>0.108</v>
      </c>
      <c r="D31">
        <v>5.1120825771294634E-2</v>
      </c>
      <c r="E31">
        <f t="shared" si="13"/>
        <v>6.4105515517203469E-4</v>
      </c>
      <c r="F31">
        <f t="shared" si="25"/>
        <v>3.6455199999999993E-2</v>
      </c>
      <c r="G31">
        <f t="shared" si="15"/>
        <v>4.5714820799999987E-4</v>
      </c>
      <c r="H31">
        <v>0.50836999999999999</v>
      </c>
      <c r="I31">
        <f t="shared" si="0"/>
        <v>1.8390694717203483E-4</v>
      </c>
      <c r="J31">
        <f t="shared" si="1"/>
        <v>0.18390694717203482</v>
      </c>
      <c r="K31">
        <f t="shared" si="2"/>
        <v>0.3617580643469025</v>
      </c>
      <c r="L31">
        <v>12.54</v>
      </c>
      <c r="M31">
        <f t="shared" si="3"/>
        <v>1.2539999999999999E-2</v>
      </c>
      <c r="N31">
        <f t="shared" si="4"/>
        <v>2.3061931175373165E-3</v>
      </c>
      <c r="O31">
        <f t="shared" si="5"/>
        <v>0.3617580643469025</v>
      </c>
      <c r="P31">
        <v>1.8820632562088722</v>
      </c>
      <c r="Q31">
        <f t="shared" si="6"/>
        <v>2.2438213205557744</v>
      </c>
      <c r="R31">
        <f t="shared" si="7"/>
        <v>2.2438213205557744</v>
      </c>
      <c r="S31">
        <f t="shared" si="8"/>
        <v>1.624692646693025E-2</v>
      </c>
      <c r="T31">
        <v>9.9000000000000005E-2</v>
      </c>
      <c r="U31">
        <f t="shared" si="9"/>
        <v>10.1010101010101</v>
      </c>
      <c r="V31">
        <v>-4.3E-3</v>
      </c>
      <c r="W31">
        <f t="shared" si="10"/>
        <v>-23.02325581395349</v>
      </c>
      <c r="X31">
        <f t="shared" si="26"/>
        <v>-4.1285956006768187E-3</v>
      </c>
      <c r="Y31">
        <f t="shared" si="27"/>
        <v>2.2901807219182328E-2</v>
      </c>
    </row>
    <row r="32" spans="1:26" x14ac:dyDescent="0.25">
      <c r="A32" s="30" t="s">
        <v>83</v>
      </c>
      <c r="B32" s="3">
        <v>4</v>
      </c>
      <c r="C32">
        <v>0.112</v>
      </c>
      <c r="D32">
        <v>0.10075445577894952</v>
      </c>
      <c r="E32">
        <f t="shared" si="13"/>
        <v>1.263460875468027E-3</v>
      </c>
      <c r="F32">
        <f t="shared" si="25"/>
        <v>4.3312799999999985E-2</v>
      </c>
      <c r="G32">
        <f t="shared" si="15"/>
        <v>5.4314251199999973E-4</v>
      </c>
      <c r="H32">
        <v>0.50183</v>
      </c>
      <c r="I32">
        <f t="shared" si="0"/>
        <v>7.2031836346802723E-4</v>
      </c>
      <c r="J32">
        <f t="shared" si="1"/>
        <v>0.72031836346802725</v>
      </c>
      <c r="K32">
        <f t="shared" si="2"/>
        <v>1.4353832243349884</v>
      </c>
      <c r="L32">
        <v>12.54</v>
      </c>
      <c r="M32">
        <f t="shared" si="3"/>
        <v>1.2539999999999999E-2</v>
      </c>
      <c r="N32">
        <f t="shared" si="4"/>
        <v>9.0327922778890603E-3</v>
      </c>
      <c r="O32">
        <f t="shared" si="5"/>
        <v>1.4353832243349884</v>
      </c>
      <c r="P32">
        <v>1.8820632562088722</v>
      </c>
      <c r="Q32">
        <f t="shared" si="6"/>
        <v>3.3174464805438606</v>
      </c>
      <c r="R32">
        <f t="shared" si="7"/>
        <v>3.3174464805438606</v>
      </c>
      <c r="S32">
        <f t="shared" si="8"/>
        <v>1.3056065939276074E-2</v>
      </c>
      <c r="T32">
        <v>9.9000000000000005E-2</v>
      </c>
      <c r="U32">
        <f t="shared" si="9"/>
        <v>10.1010101010101</v>
      </c>
      <c r="V32">
        <v>-4.3E-3</v>
      </c>
      <c r="W32">
        <f t="shared" si="10"/>
        <v>-23.02325581395349</v>
      </c>
      <c r="X32">
        <f t="shared" si="26"/>
        <v>-4.1285956006768187E-3</v>
      </c>
      <c r="Y32">
        <f t="shared" si="27"/>
        <v>2.2901807219182328E-2</v>
      </c>
    </row>
    <row r="33" spans="1:26" x14ac:dyDescent="0.25">
      <c r="A33" s="30" t="s">
        <v>83</v>
      </c>
      <c r="B33" s="3">
        <v>6</v>
      </c>
      <c r="C33">
        <v>0.20399999999999999</v>
      </c>
      <c r="D33">
        <v>0.50013056152112167</v>
      </c>
      <c r="E33">
        <f t="shared" si="13"/>
        <v>6.8917991377610557E-3</v>
      </c>
      <c r="F33">
        <f t="shared" si="25"/>
        <v>0.20103759999999998</v>
      </c>
      <c r="G33">
        <f t="shared" si="15"/>
        <v>2.7702981279999995E-3</v>
      </c>
      <c r="H33">
        <v>0.50241000000000002</v>
      </c>
      <c r="I33">
        <f t="shared" si="0"/>
        <v>4.1215010097610562E-3</v>
      </c>
      <c r="J33">
        <f t="shared" si="1"/>
        <v>4.1215010097610563</v>
      </c>
      <c r="K33">
        <f t="shared" si="2"/>
        <v>8.203461335883155</v>
      </c>
      <c r="L33">
        <v>13.78</v>
      </c>
      <c r="M33">
        <f t="shared" si="3"/>
        <v>1.3779999999999999E-2</v>
      </c>
      <c r="N33">
        <f t="shared" si="4"/>
        <v>5.6794283914507353E-2</v>
      </c>
      <c r="O33">
        <f t="shared" si="5"/>
        <v>8.203461335883155</v>
      </c>
      <c r="P33">
        <v>1.8820632562088722</v>
      </c>
      <c r="Q33">
        <f t="shared" si="6"/>
        <v>10.085524592092026</v>
      </c>
      <c r="R33">
        <f t="shared" si="7"/>
        <v>10.085524592092026</v>
      </c>
      <c r="S33">
        <f t="shared" si="8"/>
        <v>1.9933281423718092E-2</v>
      </c>
      <c r="T33">
        <v>9.9000000000000005E-2</v>
      </c>
      <c r="U33">
        <f t="shared" si="9"/>
        <v>10.1010101010101</v>
      </c>
      <c r="V33">
        <v>-4.3E-3</v>
      </c>
      <c r="W33">
        <f t="shared" si="10"/>
        <v>-23.02325581395349</v>
      </c>
      <c r="X33">
        <f t="shared" si="26"/>
        <v>-4.1285956006768187E-3</v>
      </c>
      <c r="Y33">
        <f t="shared" si="27"/>
        <v>2.2901807219182328E-2</v>
      </c>
    </row>
    <row r="34" spans="1:26" x14ac:dyDescent="0.25">
      <c r="A34" s="30" t="s">
        <v>83</v>
      </c>
      <c r="B34" s="3">
        <v>7</v>
      </c>
      <c r="C34">
        <v>0.253</v>
      </c>
      <c r="D34">
        <v>0.73114266371542469</v>
      </c>
      <c r="E34">
        <f t="shared" si="13"/>
        <v>9.9069830933440056E-3</v>
      </c>
      <c r="F34">
        <f>0.4965*(C34^2)+1.5879*C34-0.1654</f>
        <v>0.2681191685</v>
      </c>
      <c r="G34">
        <f t="shared" si="15"/>
        <v>3.6330147331750003E-3</v>
      </c>
      <c r="H34">
        <v>0.50336000000000003</v>
      </c>
      <c r="I34">
        <f t="shared" si="0"/>
        <v>6.2739683601690053E-3</v>
      </c>
      <c r="J34">
        <f t="shared" si="1"/>
        <v>6.2739683601690057</v>
      </c>
      <c r="K34">
        <f t="shared" si="2"/>
        <v>12.464177447888202</v>
      </c>
      <c r="L34">
        <v>13.55</v>
      </c>
      <c r="M34">
        <f t="shared" si="3"/>
        <v>1.3550000000000001E-2</v>
      </c>
      <c r="N34">
        <f t="shared" si="4"/>
        <v>8.5012271280290042E-2</v>
      </c>
      <c r="O34">
        <f t="shared" si="5"/>
        <v>12.464177447888202</v>
      </c>
      <c r="P34">
        <v>1.8820632562088722</v>
      </c>
      <c r="Q34">
        <f t="shared" si="6"/>
        <v>14.346240704097074</v>
      </c>
      <c r="R34">
        <f t="shared" si="7"/>
        <v>14.346240704097074</v>
      </c>
      <c r="S34">
        <f t="shared" si="8"/>
        <v>1.8689158646517701E-2</v>
      </c>
      <c r="T34">
        <v>9.9000000000000005E-2</v>
      </c>
      <c r="U34">
        <f t="shared" si="9"/>
        <v>10.1010101010101</v>
      </c>
      <c r="V34">
        <v>-4.3E-3</v>
      </c>
      <c r="W34">
        <f t="shared" si="10"/>
        <v>-23.02325581395349</v>
      </c>
      <c r="X34">
        <f t="shared" si="26"/>
        <v>-4.1285956006768187E-3</v>
      </c>
      <c r="Y34">
        <f t="shared" si="27"/>
        <v>2.2901807219182328E-2</v>
      </c>
    </row>
    <row r="35" spans="1:26" x14ac:dyDescent="0.25">
      <c r="A35" s="30" t="s">
        <v>83</v>
      </c>
      <c r="B35" s="3">
        <v>8</v>
      </c>
      <c r="C35">
        <v>0.30099999999999999</v>
      </c>
      <c r="D35">
        <v>0.99703925737765642</v>
      </c>
      <c r="E35">
        <f t="shared" si="13"/>
        <v>1.4068223921598731E-2</v>
      </c>
      <c r="F35">
        <f t="shared" ref="F35:F37" si="28">0.4965*(C35^2)+1.5879*C35-0.1654</f>
        <v>0.35754129649999999</v>
      </c>
      <c r="G35">
        <f t="shared" si="15"/>
        <v>5.044907693615E-3</v>
      </c>
      <c r="H35">
        <v>0.50551000000000001</v>
      </c>
      <c r="I35">
        <f t="shared" si="0"/>
        <v>9.0233162279837308E-3</v>
      </c>
      <c r="J35">
        <f t="shared" si="1"/>
        <v>9.0233162279837309</v>
      </c>
      <c r="K35">
        <f t="shared" si="2"/>
        <v>17.849926268488716</v>
      </c>
      <c r="L35">
        <v>14.11</v>
      </c>
      <c r="M35">
        <f t="shared" si="3"/>
        <v>1.4109999999999999E-2</v>
      </c>
      <c r="N35">
        <f t="shared" si="4"/>
        <v>0.12731899197685043</v>
      </c>
      <c r="O35">
        <f t="shared" si="5"/>
        <v>17.849926268488716</v>
      </c>
      <c r="P35">
        <v>1.8820632562088722</v>
      </c>
      <c r="Q35">
        <f t="shared" si="6"/>
        <v>19.731989524697589</v>
      </c>
      <c r="R35">
        <f t="shared" si="7"/>
        <v>19.731989524697589</v>
      </c>
      <c r="S35">
        <f t="shared" si="8"/>
        <v>1.8119880717171608E-2</v>
      </c>
      <c r="T35">
        <v>9.9000000000000005E-2</v>
      </c>
      <c r="U35">
        <f t="shared" si="9"/>
        <v>10.1010101010101</v>
      </c>
      <c r="V35">
        <v>-4.3E-3</v>
      </c>
      <c r="W35">
        <f t="shared" si="10"/>
        <v>-23.02325581395349</v>
      </c>
      <c r="X35">
        <f t="shared" si="26"/>
        <v>-4.1285956006768187E-3</v>
      </c>
      <c r="Y35">
        <f t="shared" si="27"/>
        <v>2.2901807219182328E-2</v>
      </c>
    </row>
    <row r="36" spans="1:26" x14ac:dyDescent="0.25">
      <c r="A36" s="30" t="s">
        <v>83</v>
      </c>
      <c r="B36" s="3">
        <v>9</v>
      </c>
      <c r="C36">
        <v>1.3069999999999999</v>
      </c>
      <c r="D36">
        <v>5.0023313128621867</v>
      </c>
      <c r="E36">
        <f t="shared" si="13"/>
        <v>6.7981682541797109E-2</v>
      </c>
      <c r="F36">
        <f t="shared" si="28"/>
        <v>2.7581309285</v>
      </c>
      <c r="G36">
        <f t="shared" si="15"/>
        <v>3.7482999318314995E-2</v>
      </c>
      <c r="H36">
        <v>0.50882000000000005</v>
      </c>
      <c r="I36">
        <f t="shared" si="0"/>
        <v>3.0498683223482113E-2</v>
      </c>
      <c r="J36">
        <f t="shared" si="1"/>
        <v>30.498683223482114</v>
      </c>
      <c r="K36">
        <f t="shared" si="2"/>
        <v>59.940024416261373</v>
      </c>
      <c r="L36">
        <v>13.59</v>
      </c>
      <c r="M36">
        <f t="shared" si="3"/>
        <v>1.359E-2</v>
      </c>
      <c r="N36">
        <f t="shared" si="4"/>
        <v>0.41447710500712193</v>
      </c>
      <c r="O36">
        <f t="shared" si="5"/>
        <v>59.940024416261373</v>
      </c>
      <c r="P36">
        <v>1.8820632562088722</v>
      </c>
      <c r="Q36">
        <f t="shared" si="6"/>
        <v>61.822087672470246</v>
      </c>
      <c r="R36">
        <f t="shared" si="7"/>
        <v>61.822087672470246</v>
      </c>
      <c r="S36">
        <f t="shared" si="8"/>
        <v>4.4614004999514317E-2</v>
      </c>
      <c r="T36">
        <v>9.9000000000000005E-2</v>
      </c>
      <c r="U36">
        <f t="shared" si="9"/>
        <v>10.1010101010101</v>
      </c>
      <c r="V36">
        <v>-4.3E-3</v>
      </c>
      <c r="W36">
        <f t="shared" si="10"/>
        <v>-23.02325581395349</v>
      </c>
      <c r="X36">
        <f t="shared" si="26"/>
        <v>-4.1285956006768187E-3</v>
      </c>
      <c r="Y36">
        <f t="shared" si="27"/>
        <v>2.2901807219182328E-2</v>
      </c>
    </row>
    <row r="37" spans="1:26" x14ac:dyDescent="0.25">
      <c r="A37" s="30" t="s">
        <v>83</v>
      </c>
      <c r="B37" s="3">
        <v>10</v>
      </c>
      <c r="C37">
        <v>2.0390000000000001</v>
      </c>
      <c r="D37">
        <v>10.016661112962346</v>
      </c>
      <c r="E37">
        <f t="shared" si="13"/>
        <v>0.1336222592469177</v>
      </c>
      <c r="F37">
        <f t="shared" si="28"/>
        <v>5.1365372765000004</v>
      </c>
      <c r="G37">
        <f t="shared" si="15"/>
        <v>6.8521407268509998E-2</v>
      </c>
      <c r="H37">
        <v>0.50888</v>
      </c>
      <c r="I37">
        <f t="shared" si="0"/>
        <v>6.5100851978407703E-2</v>
      </c>
      <c r="J37">
        <f t="shared" si="1"/>
        <v>65.100851978407704</v>
      </c>
      <c r="K37">
        <f t="shared" si="2"/>
        <v>127.92967296495776</v>
      </c>
      <c r="L37">
        <v>13.34</v>
      </c>
      <c r="M37">
        <f t="shared" si="3"/>
        <v>1.3339999999999999E-2</v>
      </c>
      <c r="N37">
        <f t="shared" si="4"/>
        <v>0.86844536539195871</v>
      </c>
      <c r="O37">
        <f t="shared" si="5"/>
        <v>127.92967296495776</v>
      </c>
      <c r="P37">
        <v>1.8820632562088722</v>
      </c>
      <c r="Q37">
        <f t="shared" si="6"/>
        <v>129.81173622116663</v>
      </c>
      <c r="R37">
        <f t="shared" si="7"/>
        <v>129.81173622116663</v>
      </c>
      <c r="S37">
        <f t="shared" si="8"/>
        <v>3.9569128539723324E-2</v>
      </c>
      <c r="T37">
        <v>9.9000000000000005E-2</v>
      </c>
      <c r="U37">
        <f t="shared" si="9"/>
        <v>10.1010101010101</v>
      </c>
      <c r="V37">
        <v>-4.3E-3</v>
      </c>
      <c r="W37">
        <f t="shared" si="10"/>
        <v>-23.02325581395349</v>
      </c>
      <c r="X37">
        <f t="shared" si="26"/>
        <v>-4.1285956006768187E-3</v>
      </c>
      <c r="Y37">
        <f t="shared" si="27"/>
        <v>2.2901807219182328E-2</v>
      </c>
    </row>
    <row r="38" spans="1:26" x14ac:dyDescent="0.25">
      <c r="A38" s="45" t="s">
        <v>84</v>
      </c>
      <c r="B38" s="3">
        <v>1</v>
      </c>
      <c r="C38">
        <v>0.11700000000000001</v>
      </c>
      <c r="D38">
        <v>0</v>
      </c>
      <c r="E38">
        <f t="shared" si="13"/>
        <v>0</v>
      </c>
      <c r="F38">
        <f>1.7144*C38-0.1487</f>
        <v>5.1884800000000009E-2</v>
      </c>
      <c r="G38">
        <f t="shared" si="15"/>
        <v>6.9525632000000013E-4</v>
      </c>
      <c r="H38">
        <v>0.53908999999999996</v>
      </c>
      <c r="I38">
        <f t="shared" si="0"/>
        <v>-6.9525632000000013E-4</v>
      </c>
      <c r="J38">
        <f t="shared" si="1"/>
        <v>-0.69525632000000015</v>
      </c>
      <c r="K38">
        <f t="shared" si="2"/>
        <v>-1.2896850618635112</v>
      </c>
      <c r="L38">
        <v>13.4</v>
      </c>
      <c r="M38">
        <f t="shared" si="3"/>
        <v>1.34E-2</v>
      </c>
      <c r="N38">
        <f t="shared" si="4"/>
        <v>-9.3164346880000026E-3</v>
      </c>
      <c r="O38">
        <f t="shared" si="5"/>
        <v>-1.2896850618635112</v>
      </c>
      <c r="P38">
        <v>2.1671174841127581</v>
      </c>
      <c r="Q38">
        <f t="shared" si="6"/>
        <v>0.87743242224924689</v>
      </c>
      <c r="R38">
        <f t="shared" si="7"/>
        <v>0.87743242224924689</v>
      </c>
      <c r="S38">
        <f t="shared" si="8"/>
        <v>5.9132531103644824E-2</v>
      </c>
      <c r="T38">
        <v>6.6199999999999995E-2</v>
      </c>
      <c r="U38">
        <f t="shared" si="9"/>
        <v>15.105740181268883</v>
      </c>
      <c r="V38">
        <v>-2.9999999999999997E-4</v>
      </c>
      <c r="W38">
        <f t="shared" si="10"/>
        <v>-220.66666666666669</v>
      </c>
      <c r="X38">
        <f>2.2025/100.01</f>
        <v>2.2022797720227978E-2</v>
      </c>
      <c r="Y38">
        <f>EXP((0-35.459)/10.833)</f>
        <v>3.7883516717964194E-2</v>
      </c>
      <c r="Z38">
        <v>6.5766000000000005E-2</v>
      </c>
    </row>
    <row r="39" spans="1:26" x14ac:dyDescent="0.25">
      <c r="A39" s="45" t="s">
        <v>84</v>
      </c>
      <c r="B39" s="3">
        <v>2</v>
      </c>
      <c r="C39">
        <v>0.11</v>
      </c>
      <c r="D39">
        <v>9.5211012193945465E-3</v>
      </c>
      <c r="E39">
        <f t="shared" si="13"/>
        <v>1.2529769204723223E-4</v>
      </c>
      <c r="F39">
        <f t="shared" ref="F39:F42" si="29">1.7144*C39-0.1487</f>
        <v>3.9884000000000003E-2</v>
      </c>
      <c r="G39">
        <f t="shared" si="15"/>
        <v>5.2487344E-4</v>
      </c>
      <c r="H39">
        <v>0.52800000000000002</v>
      </c>
      <c r="I39">
        <f t="shared" si="0"/>
        <v>-3.9957574795276775E-4</v>
      </c>
      <c r="J39">
        <f t="shared" si="1"/>
        <v>-0.39957574795276773</v>
      </c>
      <c r="K39">
        <f t="shared" si="2"/>
        <v>-0.75677224991054493</v>
      </c>
      <c r="L39">
        <v>13.16</v>
      </c>
      <c r="M39">
        <f t="shared" si="3"/>
        <v>1.316E-2</v>
      </c>
      <c r="N39">
        <f t="shared" si="4"/>
        <v>-5.2584168430584236E-3</v>
      </c>
      <c r="O39">
        <f t="shared" si="5"/>
        <v>-0.75677224991054493</v>
      </c>
      <c r="P39">
        <v>2.1671174841127581</v>
      </c>
      <c r="Q39">
        <f t="shared" si="6"/>
        <v>1.4103452342022131</v>
      </c>
      <c r="R39">
        <f t="shared" si="7"/>
        <v>1.4103452342022131</v>
      </c>
      <c r="S39">
        <f t="shared" si="8"/>
        <v>2.8279600648674574E-2</v>
      </c>
      <c r="T39">
        <v>6.6199999999999995E-2</v>
      </c>
      <c r="U39">
        <f t="shared" si="9"/>
        <v>15.105740181268883</v>
      </c>
      <c r="V39">
        <v>-2.9999999999999997E-4</v>
      </c>
      <c r="W39">
        <f t="shared" si="10"/>
        <v>-220.66666666666669</v>
      </c>
      <c r="X39">
        <f t="shared" ref="X39:X46" si="30">2.2025/100.01</f>
        <v>2.2022797720227978E-2</v>
      </c>
      <c r="Y39">
        <f t="shared" ref="Y39:Y46" si="31">EXP((0-35.459)/10.833)</f>
        <v>3.7883516717964194E-2</v>
      </c>
    </row>
    <row r="40" spans="1:26" x14ac:dyDescent="0.25">
      <c r="A40" s="45" t="s">
        <v>84</v>
      </c>
      <c r="B40" s="3">
        <v>3</v>
      </c>
      <c r="C40">
        <v>0.113</v>
      </c>
      <c r="D40">
        <v>5.1120825771294634E-2</v>
      </c>
      <c r="E40">
        <f t="shared" si="13"/>
        <v>6.6712677631539498E-4</v>
      </c>
      <c r="F40">
        <f t="shared" si="29"/>
        <v>4.5027199999999989E-2</v>
      </c>
      <c r="G40">
        <f t="shared" si="15"/>
        <v>5.8760495999999988E-4</v>
      </c>
      <c r="H40">
        <v>0.50671999999999995</v>
      </c>
      <c r="I40">
        <f t="shared" si="0"/>
        <v>7.9521816315395095E-5</v>
      </c>
      <c r="J40">
        <f t="shared" si="1"/>
        <v>7.9521816315395094E-2</v>
      </c>
      <c r="K40">
        <f t="shared" si="2"/>
        <v>0.15693443383998087</v>
      </c>
      <c r="L40">
        <v>13.05</v>
      </c>
      <c r="M40">
        <f t="shared" si="3"/>
        <v>1.3050000000000001E-2</v>
      </c>
      <c r="N40">
        <f t="shared" si="4"/>
        <v>1.0377597029159061E-3</v>
      </c>
      <c r="O40">
        <f t="shared" si="5"/>
        <v>0.15693443383998087</v>
      </c>
      <c r="P40">
        <v>2.1671174841127581</v>
      </c>
      <c r="Q40">
        <f t="shared" si="6"/>
        <v>2.324051917952739</v>
      </c>
      <c r="R40">
        <f t="shared" si="7"/>
        <v>2.324051917952739</v>
      </c>
      <c r="S40">
        <f t="shared" si="8"/>
        <v>1.9374438089001265E-2</v>
      </c>
      <c r="T40">
        <v>6.6199999999999995E-2</v>
      </c>
      <c r="U40">
        <f t="shared" si="9"/>
        <v>15.105740181268883</v>
      </c>
      <c r="V40">
        <v>-2.9999999999999997E-4</v>
      </c>
      <c r="W40">
        <f t="shared" si="10"/>
        <v>-220.66666666666669</v>
      </c>
      <c r="X40">
        <f t="shared" si="30"/>
        <v>2.2022797720227978E-2</v>
      </c>
      <c r="Y40">
        <f t="shared" si="31"/>
        <v>3.7883516717964194E-2</v>
      </c>
    </row>
    <row r="41" spans="1:26" x14ac:dyDescent="0.25">
      <c r="A41" s="45" t="s">
        <v>84</v>
      </c>
      <c r="B41" s="3">
        <v>4</v>
      </c>
      <c r="C41">
        <v>0.114</v>
      </c>
      <c r="D41">
        <v>0.10075445577894952</v>
      </c>
      <c r="E41">
        <f t="shared" si="13"/>
        <v>1.3168607370308704E-3</v>
      </c>
      <c r="F41">
        <f t="shared" si="29"/>
        <v>4.6741599999999994E-2</v>
      </c>
      <c r="G41">
        <f t="shared" si="15"/>
        <v>6.1091271199999989E-4</v>
      </c>
      <c r="H41">
        <v>0.52139000000000002</v>
      </c>
      <c r="I41">
        <f t="shared" si="0"/>
        <v>7.0594802503087047E-4</v>
      </c>
      <c r="J41">
        <f t="shared" si="1"/>
        <v>0.70594802503087051</v>
      </c>
      <c r="K41">
        <f t="shared" si="2"/>
        <v>1.3539730816296256</v>
      </c>
      <c r="L41">
        <v>13.07</v>
      </c>
      <c r="M41">
        <f t="shared" si="3"/>
        <v>1.307E-2</v>
      </c>
      <c r="N41">
        <f t="shared" si="4"/>
        <v>9.2267406871534771E-3</v>
      </c>
      <c r="O41">
        <f t="shared" si="5"/>
        <v>1.3539730816296256</v>
      </c>
      <c r="P41">
        <v>2.1671174841127581</v>
      </c>
      <c r="Q41">
        <f t="shared" si="6"/>
        <v>3.5210905657423837</v>
      </c>
      <c r="R41">
        <f t="shared" si="7"/>
        <v>3.5210905657423837</v>
      </c>
      <c r="S41">
        <f t="shared" si="8"/>
        <v>1.3274750855533599E-2</v>
      </c>
      <c r="T41">
        <v>6.6199999999999995E-2</v>
      </c>
      <c r="U41">
        <f t="shared" si="9"/>
        <v>15.105740181268883</v>
      </c>
      <c r="V41">
        <v>-2.9999999999999997E-4</v>
      </c>
      <c r="W41">
        <f t="shared" si="10"/>
        <v>-220.66666666666669</v>
      </c>
      <c r="X41">
        <f t="shared" si="30"/>
        <v>2.2022797720227978E-2</v>
      </c>
      <c r="Y41">
        <f t="shared" si="31"/>
        <v>3.7883516717964194E-2</v>
      </c>
    </row>
    <row r="42" spans="1:26" x14ac:dyDescent="0.25">
      <c r="A42" s="45" t="s">
        <v>84</v>
      </c>
      <c r="B42" s="3">
        <v>6</v>
      </c>
      <c r="C42">
        <v>0.154</v>
      </c>
      <c r="D42">
        <v>0.50013056152112167</v>
      </c>
      <c r="E42">
        <f t="shared" si="13"/>
        <v>6.3766646593943011E-3</v>
      </c>
      <c r="F42">
        <f t="shared" si="29"/>
        <v>0.11531759999999996</v>
      </c>
      <c r="G42">
        <f t="shared" si="15"/>
        <v>1.4702993999999995E-3</v>
      </c>
      <c r="H42">
        <v>0.50087000000000004</v>
      </c>
      <c r="I42">
        <f t="shared" si="0"/>
        <v>4.9063652593943014E-3</v>
      </c>
      <c r="J42">
        <f t="shared" si="1"/>
        <v>4.9063652593943017</v>
      </c>
      <c r="K42">
        <f t="shared" si="2"/>
        <v>9.7956860251049207</v>
      </c>
      <c r="L42">
        <v>12.75</v>
      </c>
      <c r="M42">
        <f t="shared" si="3"/>
        <v>1.2749999999999999E-2</v>
      </c>
      <c r="N42">
        <f t="shared" si="4"/>
        <v>6.2556157057277337E-2</v>
      </c>
      <c r="O42">
        <f t="shared" si="5"/>
        <v>9.7956860251049207</v>
      </c>
      <c r="P42">
        <v>2.1671174841127581</v>
      </c>
      <c r="Q42">
        <f t="shared" si="6"/>
        <v>11.962803509217679</v>
      </c>
      <c r="R42">
        <f t="shared" si="7"/>
        <v>11.962803509217679</v>
      </c>
      <c r="S42">
        <f t="shared" si="8"/>
        <v>9.6396801896097752E-3</v>
      </c>
      <c r="T42">
        <v>6.6199999999999995E-2</v>
      </c>
      <c r="U42">
        <f t="shared" si="9"/>
        <v>15.105740181268883</v>
      </c>
      <c r="V42">
        <v>-2.9999999999999997E-4</v>
      </c>
      <c r="W42">
        <f t="shared" si="10"/>
        <v>-220.66666666666669</v>
      </c>
      <c r="X42">
        <f t="shared" si="30"/>
        <v>2.2022797720227978E-2</v>
      </c>
      <c r="Y42">
        <f t="shared" si="31"/>
        <v>3.7883516717964194E-2</v>
      </c>
    </row>
    <row r="43" spans="1:26" x14ac:dyDescent="0.25">
      <c r="A43" s="45" t="s">
        <v>84</v>
      </c>
      <c r="B43" s="3">
        <v>7</v>
      </c>
      <c r="C43">
        <v>0.21299999999999999</v>
      </c>
      <c r="D43">
        <v>0.73114266371542469</v>
      </c>
      <c r="E43">
        <f t="shared" si="13"/>
        <v>9.9800973597155476E-3</v>
      </c>
      <c r="F43">
        <f>0.4965*(C43^2)+1.5879*C43-0.1654</f>
        <v>0.19534840850000001</v>
      </c>
      <c r="G43">
        <f t="shared" si="15"/>
        <v>2.6665057760250003E-3</v>
      </c>
      <c r="H43">
        <v>0.53254999999999997</v>
      </c>
      <c r="I43">
        <f t="shared" si="0"/>
        <v>7.3135915836905468E-3</v>
      </c>
      <c r="J43">
        <f t="shared" si="1"/>
        <v>7.3135915836905472</v>
      </c>
      <c r="K43">
        <f t="shared" si="2"/>
        <v>13.73315479051835</v>
      </c>
      <c r="L43">
        <v>13.65</v>
      </c>
      <c r="M43">
        <f t="shared" si="3"/>
        <v>1.3650000000000001E-2</v>
      </c>
      <c r="N43">
        <f t="shared" si="4"/>
        <v>9.9830525117375973E-2</v>
      </c>
      <c r="O43">
        <f t="shared" si="5"/>
        <v>13.73315479051835</v>
      </c>
      <c r="P43">
        <v>2.1671174841127581</v>
      </c>
      <c r="Q43">
        <f t="shared" si="6"/>
        <v>15.900272274631108</v>
      </c>
      <c r="R43">
        <f t="shared" si="7"/>
        <v>15.900272274631108</v>
      </c>
      <c r="S43">
        <f t="shared" si="8"/>
        <v>1.2285853042383336E-2</v>
      </c>
      <c r="T43">
        <v>6.6199999999999995E-2</v>
      </c>
      <c r="U43">
        <f t="shared" si="9"/>
        <v>15.105740181268883</v>
      </c>
      <c r="V43">
        <v>-2.9999999999999997E-4</v>
      </c>
      <c r="W43">
        <f t="shared" si="10"/>
        <v>-220.66666666666669</v>
      </c>
      <c r="X43">
        <f t="shared" si="30"/>
        <v>2.2022797720227978E-2</v>
      </c>
      <c r="Y43">
        <f t="shared" si="31"/>
        <v>3.7883516717964194E-2</v>
      </c>
    </row>
    <row r="44" spans="1:26" x14ac:dyDescent="0.25">
      <c r="A44" s="45" t="s">
        <v>84</v>
      </c>
      <c r="B44" s="3">
        <v>8</v>
      </c>
      <c r="C44">
        <v>0.23699999999999999</v>
      </c>
      <c r="D44">
        <v>0.99703925737765642</v>
      </c>
      <c r="E44">
        <f t="shared" si="13"/>
        <v>1.3370296441434372E-2</v>
      </c>
      <c r="F44">
        <f t="shared" ref="F44:F46" si="32">0.4965*(C44^2)+1.5879*C44-0.1654</f>
        <v>0.23882020850000002</v>
      </c>
      <c r="G44">
        <f t="shared" si="15"/>
        <v>3.2025789959850004E-3</v>
      </c>
      <c r="H44">
        <v>0.51544999999999996</v>
      </c>
      <c r="I44">
        <f t="shared" si="0"/>
        <v>1.0167717445449372E-2</v>
      </c>
      <c r="J44">
        <f t="shared" si="1"/>
        <v>10.167717445449371</v>
      </c>
      <c r="K44">
        <f t="shared" si="2"/>
        <v>19.725904443591759</v>
      </c>
      <c r="L44">
        <v>13.41</v>
      </c>
      <c r="M44">
        <f t="shared" si="3"/>
        <v>1.341E-2</v>
      </c>
      <c r="N44">
        <f t="shared" si="4"/>
        <v>0.13634909094347608</v>
      </c>
      <c r="O44">
        <f t="shared" si="5"/>
        <v>19.725904443591759</v>
      </c>
      <c r="P44">
        <v>2.1671174841127581</v>
      </c>
      <c r="Q44">
        <f t="shared" si="6"/>
        <v>21.893021927704517</v>
      </c>
      <c r="R44">
        <f t="shared" si="7"/>
        <v>21.893021927704517</v>
      </c>
      <c r="S44">
        <f t="shared" si="8"/>
        <v>1.0908508167060531E-2</v>
      </c>
      <c r="T44">
        <v>6.6199999999999995E-2</v>
      </c>
      <c r="U44">
        <f t="shared" si="9"/>
        <v>15.105740181268883</v>
      </c>
      <c r="V44">
        <v>-2.9999999999999997E-4</v>
      </c>
      <c r="W44">
        <f t="shared" si="10"/>
        <v>-220.66666666666669</v>
      </c>
      <c r="X44">
        <f t="shared" si="30"/>
        <v>2.2022797720227978E-2</v>
      </c>
      <c r="Y44">
        <f t="shared" si="31"/>
        <v>3.7883516717964194E-2</v>
      </c>
    </row>
    <row r="45" spans="1:26" x14ac:dyDescent="0.25">
      <c r="A45" s="45" t="s">
        <v>84</v>
      </c>
      <c r="B45" s="3">
        <v>9</v>
      </c>
      <c r="C45">
        <v>1.1339999999999999</v>
      </c>
      <c r="D45">
        <v>5.0023313128621867</v>
      </c>
      <c r="E45">
        <f t="shared" si="13"/>
        <v>7.1683407713315134E-2</v>
      </c>
      <c r="F45">
        <f t="shared" si="32"/>
        <v>2.2737557539999997</v>
      </c>
      <c r="G45">
        <f t="shared" si="15"/>
        <v>3.2582919954819996E-2</v>
      </c>
      <c r="H45">
        <v>0.54954000000000003</v>
      </c>
      <c r="I45">
        <f t="shared" si="0"/>
        <v>3.9100487758495138E-2</v>
      </c>
      <c r="J45">
        <f t="shared" si="1"/>
        <v>39.100487758495134</v>
      </c>
      <c r="K45">
        <f t="shared" si="2"/>
        <v>71.151304288123029</v>
      </c>
      <c r="L45">
        <v>14.33</v>
      </c>
      <c r="M45">
        <f t="shared" si="3"/>
        <v>1.4330000000000001E-2</v>
      </c>
      <c r="N45">
        <f t="shared" si="4"/>
        <v>0.56030998957923528</v>
      </c>
      <c r="O45">
        <f t="shared" si="5"/>
        <v>71.151304288123029</v>
      </c>
      <c r="P45">
        <v>2.1671174841127581</v>
      </c>
      <c r="Q45">
        <f t="shared" si="6"/>
        <v>73.31842177223578</v>
      </c>
      <c r="R45">
        <f t="shared" si="7"/>
        <v>73.31842177223578</v>
      </c>
      <c r="S45">
        <f t="shared" si="8"/>
        <v>3.1012066258919741E-2</v>
      </c>
      <c r="T45">
        <v>6.6199999999999995E-2</v>
      </c>
      <c r="U45">
        <f t="shared" si="9"/>
        <v>15.105740181268883</v>
      </c>
      <c r="V45">
        <v>-2.9999999999999997E-4</v>
      </c>
      <c r="W45">
        <f t="shared" si="10"/>
        <v>-220.66666666666669</v>
      </c>
      <c r="X45">
        <f t="shared" si="30"/>
        <v>2.2022797720227978E-2</v>
      </c>
      <c r="Y45">
        <f t="shared" si="31"/>
        <v>3.7883516717964194E-2</v>
      </c>
    </row>
    <row r="46" spans="1:26" x14ac:dyDescent="0.25">
      <c r="A46" s="45" t="s">
        <v>84</v>
      </c>
      <c r="B46" s="3">
        <v>10</v>
      </c>
      <c r="C46">
        <v>1.7030000000000001</v>
      </c>
      <c r="D46">
        <v>10.016661112962346</v>
      </c>
      <c r="E46">
        <f t="shared" si="13"/>
        <v>0.14273742085971344</v>
      </c>
      <c r="F46">
        <f t="shared" si="32"/>
        <v>3.9787474684999999</v>
      </c>
      <c r="G46">
        <f t="shared" si="15"/>
        <v>5.6697151426125005E-2</v>
      </c>
      <c r="H46">
        <v>0.53554000000000002</v>
      </c>
      <c r="I46">
        <f t="shared" si="0"/>
        <v>8.6040269433588445E-2</v>
      </c>
      <c r="J46">
        <f t="shared" si="1"/>
        <v>86.040269433588449</v>
      </c>
      <c r="K46">
        <f t="shared" si="2"/>
        <v>160.66077124694411</v>
      </c>
      <c r="L46">
        <v>14.25</v>
      </c>
      <c r="M46">
        <f t="shared" si="3"/>
        <v>1.4250000000000001E-2</v>
      </c>
      <c r="N46">
        <f t="shared" si="4"/>
        <v>1.2260738394286355</v>
      </c>
      <c r="O46">
        <f t="shared" si="5"/>
        <v>160.66077124694411</v>
      </c>
      <c r="P46">
        <v>2.1671174841127581</v>
      </c>
      <c r="Q46">
        <f t="shared" si="6"/>
        <v>162.82788873105687</v>
      </c>
      <c r="R46">
        <f t="shared" si="7"/>
        <v>162.82788873105687</v>
      </c>
      <c r="S46">
        <f t="shared" si="8"/>
        <v>2.4435294834975748E-2</v>
      </c>
      <c r="T46">
        <v>6.6199999999999995E-2</v>
      </c>
      <c r="U46">
        <f t="shared" si="9"/>
        <v>15.105740181268883</v>
      </c>
      <c r="V46">
        <v>-2.9999999999999997E-4</v>
      </c>
      <c r="W46">
        <f t="shared" si="10"/>
        <v>-220.66666666666669</v>
      </c>
      <c r="X46">
        <f t="shared" si="30"/>
        <v>2.2022797720227978E-2</v>
      </c>
      <c r="Y46">
        <f t="shared" si="31"/>
        <v>3.7883516717964194E-2</v>
      </c>
    </row>
    <row r="47" spans="1:26" x14ac:dyDescent="0.25">
      <c r="A47" s="46" t="s">
        <v>85</v>
      </c>
      <c r="B47" s="3">
        <v>1</v>
      </c>
      <c r="C47">
        <v>0.111</v>
      </c>
      <c r="D47">
        <v>0</v>
      </c>
      <c r="E47">
        <f t="shared" si="13"/>
        <v>0</v>
      </c>
      <c r="F47">
        <f>1.7144*C47-0.1487</f>
        <v>4.1598400000000008E-2</v>
      </c>
      <c r="G47">
        <f t="shared" si="15"/>
        <v>5.4826691200000009E-4</v>
      </c>
      <c r="H47">
        <v>0.50149999999999995</v>
      </c>
      <c r="I47">
        <f t="shared" si="0"/>
        <v>-5.4826691200000009E-4</v>
      </c>
      <c r="J47">
        <f t="shared" si="1"/>
        <v>-0.54826691200000011</v>
      </c>
      <c r="K47">
        <f t="shared" si="2"/>
        <v>-1.0932540618145568</v>
      </c>
      <c r="L47">
        <v>13.18</v>
      </c>
      <c r="M47">
        <f t="shared" si="3"/>
        <v>1.3179999999999999E-2</v>
      </c>
      <c r="N47">
        <f t="shared" si="4"/>
        <v>-7.2261579001600008E-3</v>
      </c>
      <c r="O47">
        <f t="shared" si="5"/>
        <v>-1.0932540618145568</v>
      </c>
      <c r="P47">
        <v>2.584290813517784</v>
      </c>
      <c r="Q47">
        <f t="shared" si="6"/>
        <v>1.4910367517032272</v>
      </c>
      <c r="R47">
        <f t="shared" si="7"/>
        <v>1.4910367517032272</v>
      </c>
      <c r="S47">
        <f t="shared" si="8"/>
        <v>2.7898976971883295E-2</v>
      </c>
      <c r="T47">
        <v>8.8499999999999995E-2</v>
      </c>
      <c r="U47">
        <f t="shared" si="9"/>
        <v>11.299435028248588</v>
      </c>
      <c r="V47">
        <v>-2.0000000000000001E-4</v>
      </c>
      <c r="W47">
        <f t="shared" si="10"/>
        <v>-442.5</v>
      </c>
      <c r="X47">
        <f>-0.7033/49.384</f>
        <v>-1.4241454722177225E-2</v>
      </c>
      <c r="Y47">
        <f>EXP((0-25.37)/7.5456)</f>
        <v>3.465808169249613E-2</v>
      </c>
      <c r="Z47">
        <v>3.2732999999999998E-2</v>
      </c>
    </row>
    <row r="48" spans="1:26" x14ac:dyDescent="0.25">
      <c r="A48" s="46" t="s">
        <v>86</v>
      </c>
      <c r="B48" s="3">
        <v>2</v>
      </c>
      <c r="C48">
        <v>0.115</v>
      </c>
      <c r="D48">
        <v>9.5211012193945465E-3</v>
      </c>
      <c r="E48">
        <f t="shared" si="13"/>
        <v>1.1891855423023788E-4</v>
      </c>
      <c r="F48">
        <f t="shared" ref="F48:F51" si="33">1.7144*C48-0.1487</f>
        <v>4.8455999999999999E-2</v>
      </c>
      <c r="G48">
        <f t="shared" si="15"/>
        <v>6.0521543999999996E-4</v>
      </c>
      <c r="H48">
        <v>0.50695999999999997</v>
      </c>
      <c r="I48">
        <f t="shared" si="0"/>
        <v>-4.8629688576976211E-4</v>
      </c>
      <c r="J48">
        <f t="shared" si="1"/>
        <v>-0.4862968857697621</v>
      </c>
      <c r="K48">
        <f t="shared" si="2"/>
        <v>-0.95924113494114349</v>
      </c>
      <c r="L48">
        <v>12.49</v>
      </c>
      <c r="M48">
        <f t="shared" si="3"/>
        <v>1.2489999999999999E-2</v>
      </c>
      <c r="N48">
        <f t="shared" si="4"/>
        <v>-6.0738481032643283E-3</v>
      </c>
      <c r="O48">
        <f t="shared" si="5"/>
        <v>-0.95924113494114349</v>
      </c>
      <c r="P48">
        <v>2.584290813517784</v>
      </c>
      <c r="Q48">
        <f t="shared" si="6"/>
        <v>1.6250496785766404</v>
      </c>
      <c r="R48">
        <f t="shared" si="7"/>
        <v>1.6250496785766404</v>
      </c>
      <c r="S48">
        <f>F48/R48</f>
        <v>2.9818165339069492E-2</v>
      </c>
      <c r="T48">
        <v>8.8499999999999995E-2</v>
      </c>
      <c r="U48">
        <f t="shared" si="9"/>
        <v>11.299435028248588</v>
      </c>
      <c r="V48">
        <v>-2.0000000000000001E-4</v>
      </c>
      <c r="W48">
        <f t="shared" si="10"/>
        <v>-442.5</v>
      </c>
      <c r="X48">
        <f t="shared" ref="X48:X55" si="34">-0.7033/49.384</f>
        <v>-1.4241454722177225E-2</v>
      </c>
      <c r="Y48">
        <f t="shared" ref="Y48:Y55" si="35">EXP((0-25.37)/7.5456)</f>
        <v>3.465808169249613E-2</v>
      </c>
    </row>
    <row r="49" spans="1:25" x14ac:dyDescent="0.25">
      <c r="A49" s="46" t="s">
        <v>87</v>
      </c>
      <c r="B49" s="3">
        <v>3</v>
      </c>
      <c r="C49">
        <v>0.113</v>
      </c>
      <c r="D49">
        <v>5.1120825771294634E-2</v>
      </c>
      <c r="E49">
        <f t="shared" si="13"/>
        <v>6.1856199183266505E-4</v>
      </c>
      <c r="F49">
        <f t="shared" si="33"/>
        <v>4.5027199999999989E-2</v>
      </c>
      <c r="G49">
        <f t="shared" si="15"/>
        <v>5.4482911999999988E-4</v>
      </c>
      <c r="H49">
        <v>0.52878999999999998</v>
      </c>
      <c r="I49">
        <f t="shared" si="0"/>
        <v>7.3732871832665162E-5</v>
      </c>
      <c r="J49">
        <f t="shared" si="1"/>
        <v>7.3732871832665164E-2</v>
      </c>
      <c r="K49">
        <f t="shared" si="2"/>
        <v>0.13943696331750821</v>
      </c>
      <c r="L49">
        <v>12.1</v>
      </c>
      <c r="M49">
        <f t="shared" si="3"/>
        <v>1.21E-2</v>
      </c>
      <c r="N49">
        <f t="shared" si="4"/>
        <v>8.9216774917524845E-4</v>
      </c>
      <c r="O49">
        <f t="shared" si="5"/>
        <v>0.13943696331750821</v>
      </c>
      <c r="P49">
        <v>2.584290813517784</v>
      </c>
      <c r="Q49">
        <f t="shared" si="6"/>
        <v>2.7237277768352923</v>
      </c>
      <c r="R49">
        <f t="shared" si="7"/>
        <v>2.7237277768352923</v>
      </c>
      <c r="S49">
        <f t="shared" si="8"/>
        <v>1.6531461177194891E-2</v>
      </c>
      <c r="T49">
        <v>8.8499999999999995E-2</v>
      </c>
      <c r="U49">
        <f t="shared" si="9"/>
        <v>11.299435028248588</v>
      </c>
      <c r="V49">
        <v>-2.0000000000000001E-4</v>
      </c>
      <c r="W49">
        <f t="shared" si="10"/>
        <v>-442.5</v>
      </c>
      <c r="X49">
        <f t="shared" si="34"/>
        <v>-1.4241454722177225E-2</v>
      </c>
      <c r="Y49">
        <f t="shared" si="35"/>
        <v>3.465808169249613E-2</v>
      </c>
    </row>
    <row r="50" spans="1:25" x14ac:dyDescent="0.25">
      <c r="A50" s="46" t="s">
        <v>88</v>
      </c>
      <c r="B50" s="3">
        <v>4</v>
      </c>
      <c r="C50">
        <v>0.12</v>
      </c>
      <c r="D50">
        <v>0.10075445577894952</v>
      </c>
      <c r="E50">
        <f t="shared" si="13"/>
        <v>1.4055246581163457E-3</v>
      </c>
      <c r="F50">
        <f t="shared" si="33"/>
        <v>5.7027999999999995E-2</v>
      </c>
      <c r="G50">
        <f t="shared" si="15"/>
        <v>7.9554059999999984E-4</v>
      </c>
      <c r="H50">
        <v>0.50595000000000001</v>
      </c>
      <c r="I50">
        <f t="shared" si="0"/>
        <v>6.0998405811634588E-4</v>
      </c>
      <c r="J50">
        <f t="shared" si="1"/>
        <v>0.60998405811634593</v>
      </c>
      <c r="K50">
        <f t="shared" si="2"/>
        <v>1.2056212236710069</v>
      </c>
      <c r="L50">
        <v>13.95</v>
      </c>
      <c r="M50">
        <f t="shared" si="3"/>
        <v>1.3949999999999999E-2</v>
      </c>
      <c r="N50">
        <f t="shared" si="4"/>
        <v>8.5092776107230251E-3</v>
      </c>
      <c r="O50">
        <f t="shared" si="5"/>
        <v>1.2056212236710069</v>
      </c>
      <c r="P50">
        <v>2.584290813517784</v>
      </c>
      <c r="Q50">
        <f t="shared" si="6"/>
        <v>3.7899120371887909</v>
      </c>
      <c r="R50">
        <f t="shared" si="7"/>
        <v>3.7899120371887909</v>
      </c>
      <c r="S50">
        <f t="shared" si="8"/>
        <v>1.504731493512476E-2</v>
      </c>
      <c r="T50">
        <v>8.8499999999999995E-2</v>
      </c>
      <c r="U50">
        <f t="shared" si="9"/>
        <v>11.299435028248588</v>
      </c>
      <c r="V50">
        <v>-2.0000000000000001E-4</v>
      </c>
      <c r="W50">
        <f t="shared" si="10"/>
        <v>-442.5</v>
      </c>
      <c r="X50">
        <f t="shared" si="34"/>
        <v>-1.4241454722177225E-2</v>
      </c>
      <c r="Y50">
        <f t="shared" si="35"/>
        <v>3.465808169249613E-2</v>
      </c>
    </row>
    <row r="51" spans="1:25" x14ac:dyDescent="0.25">
      <c r="A51" s="46" t="s">
        <v>90</v>
      </c>
      <c r="B51" s="3">
        <v>6</v>
      </c>
      <c r="C51">
        <v>0.191</v>
      </c>
      <c r="D51">
        <v>0.50013056152112167</v>
      </c>
      <c r="E51">
        <f t="shared" si="13"/>
        <v>7.2418905308258416E-3</v>
      </c>
      <c r="F51">
        <f t="shared" si="33"/>
        <v>0.17875039999999998</v>
      </c>
      <c r="G51">
        <f t="shared" si="15"/>
        <v>2.5883057919999998E-3</v>
      </c>
      <c r="H51">
        <v>0.50248000000000004</v>
      </c>
      <c r="I51">
        <f t="shared" si="0"/>
        <v>4.6535847388258413E-3</v>
      </c>
      <c r="J51">
        <f t="shared" si="1"/>
        <v>4.6535847388258409</v>
      </c>
      <c r="K51">
        <f t="shared" si="2"/>
        <v>9.2612337582109543</v>
      </c>
      <c r="L51">
        <v>14.48</v>
      </c>
      <c r="M51">
        <f t="shared" si="3"/>
        <v>1.448E-2</v>
      </c>
      <c r="N51">
        <f t="shared" si="4"/>
        <v>6.7383907018198172E-2</v>
      </c>
      <c r="O51">
        <f t="shared" si="5"/>
        <v>9.2612337582109543</v>
      </c>
      <c r="P51">
        <v>2.584290813517784</v>
      </c>
      <c r="Q51">
        <f t="shared" si="6"/>
        <v>11.845524571728738</v>
      </c>
      <c r="R51">
        <f t="shared" si="7"/>
        <v>11.845524571728738</v>
      </c>
      <c r="S51">
        <f t="shared" si="8"/>
        <v>1.5090121076327572E-2</v>
      </c>
      <c r="T51">
        <v>8.8499999999999995E-2</v>
      </c>
      <c r="U51">
        <f t="shared" si="9"/>
        <v>11.299435028248588</v>
      </c>
      <c r="V51">
        <v>-2.0000000000000001E-4</v>
      </c>
      <c r="W51">
        <f t="shared" si="10"/>
        <v>-442.5</v>
      </c>
      <c r="X51">
        <f t="shared" si="34"/>
        <v>-1.4241454722177225E-2</v>
      </c>
      <c r="Y51">
        <f t="shared" si="35"/>
        <v>3.465808169249613E-2</v>
      </c>
    </row>
    <row r="52" spans="1:25" x14ac:dyDescent="0.25">
      <c r="A52" s="46" t="s">
        <v>91</v>
      </c>
      <c r="B52" s="3">
        <v>7</v>
      </c>
      <c r="C52">
        <v>0.24</v>
      </c>
      <c r="D52">
        <v>0.73114266371542469</v>
      </c>
      <c r="E52">
        <f t="shared" si="13"/>
        <v>9.7826888405123831E-3</v>
      </c>
      <c r="F52">
        <f>0.4965*(C52^2)+1.5879*C52-0.1654</f>
        <v>0.24429440000000002</v>
      </c>
      <c r="G52">
        <f t="shared" si="15"/>
        <v>3.2686590720000007E-3</v>
      </c>
      <c r="H52">
        <v>0.50409999999999999</v>
      </c>
      <c r="I52">
        <f t="shared" si="0"/>
        <v>6.5140297685123824E-3</v>
      </c>
      <c r="J52">
        <f t="shared" si="1"/>
        <v>6.5140297685123825</v>
      </c>
      <c r="K52">
        <f t="shared" si="2"/>
        <v>12.922098330712918</v>
      </c>
      <c r="L52">
        <v>13.38</v>
      </c>
      <c r="M52">
        <f t="shared" si="3"/>
        <v>1.3380000000000001E-2</v>
      </c>
      <c r="N52">
        <f t="shared" si="4"/>
        <v>8.7157718302695683E-2</v>
      </c>
      <c r="O52">
        <f t="shared" si="5"/>
        <v>12.922098330712918</v>
      </c>
      <c r="P52">
        <v>2.584290813517784</v>
      </c>
      <c r="Q52">
        <f t="shared" si="6"/>
        <v>15.506389144230702</v>
      </c>
      <c r="R52">
        <f t="shared" si="7"/>
        <v>15.506389144230702</v>
      </c>
      <c r="S52">
        <f t="shared" si="8"/>
        <v>1.5754435009190521E-2</v>
      </c>
      <c r="T52">
        <v>8.8499999999999995E-2</v>
      </c>
      <c r="U52">
        <f t="shared" si="9"/>
        <v>11.299435028248588</v>
      </c>
      <c r="V52">
        <v>-2.0000000000000001E-4</v>
      </c>
      <c r="W52">
        <f t="shared" si="10"/>
        <v>-442.5</v>
      </c>
      <c r="X52">
        <f t="shared" si="34"/>
        <v>-1.4241454722177225E-2</v>
      </c>
      <c r="Y52">
        <f t="shared" si="35"/>
        <v>3.465808169249613E-2</v>
      </c>
    </row>
    <row r="53" spans="1:25" x14ac:dyDescent="0.25">
      <c r="A53" s="46" t="s">
        <v>92</v>
      </c>
      <c r="B53" s="3">
        <v>8</v>
      </c>
      <c r="C53">
        <v>0.32600000000000001</v>
      </c>
      <c r="D53">
        <v>0.99703925737765642</v>
      </c>
      <c r="E53">
        <f t="shared" si="13"/>
        <v>1.3499911544893467E-2</v>
      </c>
      <c r="F53">
        <f t="shared" ref="F53:F55" si="36">0.4965*(C53^2)+1.5879*C53-0.1654</f>
        <v>0.40502143400000012</v>
      </c>
      <c r="G53">
        <f t="shared" si="15"/>
        <v>5.4839902163600013E-3</v>
      </c>
      <c r="H53">
        <v>0.50934000000000001</v>
      </c>
      <c r="I53">
        <f t="shared" si="0"/>
        <v>8.0159213285334666E-3</v>
      </c>
      <c r="J53">
        <f t="shared" si="1"/>
        <v>8.0159213285334658</v>
      </c>
      <c r="K53">
        <f t="shared" si="2"/>
        <v>15.737859442677712</v>
      </c>
      <c r="L53">
        <v>13.54</v>
      </c>
      <c r="M53">
        <f t="shared" si="3"/>
        <v>1.354E-2</v>
      </c>
      <c r="N53">
        <f t="shared" si="4"/>
        <v>0.10853557478834312</v>
      </c>
      <c r="O53">
        <f t="shared" si="5"/>
        <v>15.737859442677712</v>
      </c>
      <c r="P53">
        <v>2.584290813517784</v>
      </c>
      <c r="Q53">
        <f t="shared" si="6"/>
        <v>18.322150256195496</v>
      </c>
      <c r="R53">
        <f t="shared" si="7"/>
        <v>18.322150256195496</v>
      </c>
      <c r="S53">
        <f t="shared" si="8"/>
        <v>2.210556230227646E-2</v>
      </c>
      <c r="T53">
        <v>8.8499999999999995E-2</v>
      </c>
      <c r="U53">
        <f t="shared" si="9"/>
        <v>11.299435028248588</v>
      </c>
      <c r="V53">
        <v>-2.0000000000000001E-4</v>
      </c>
      <c r="W53">
        <f t="shared" si="10"/>
        <v>-442.5</v>
      </c>
      <c r="X53">
        <f t="shared" si="34"/>
        <v>-1.4241454722177225E-2</v>
      </c>
      <c r="Y53">
        <f t="shared" si="35"/>
        <v>3.465808169249613E-2</v>
      </c>
    </row>
    <row r="54" spans="1:25" x14ac:dyDescent="0.25">
      <c r="A54" s="46" t="s">
        <v>93</v>
      </c>
      <c r="B54" s="3">
        <v>9</v>
      </c>
      <c r="C54">
        <v>1.373</v>
      </c>
      <c r="D54">
        <v>5.0023313128621867</v>
      </c>
      <c r="E54">
        <f t="shared" si="13"/>
        <v>9.8595950176513708E-2</v>
      </c>
      <c r="F54">
        <f t="shared" si="36"/>
        <v>2.9507532485000003</v>
      </c>
      <c r="G54">
        <f t="shared" si="15"/>
        <v>5.8159346527935009E-2</v>
      </c>
      <c r="H54">
        <v>0.50009999999999999</v>
      </c>
      <c r="I54">
        <f t="shared" si="0"/>
        <v>4.0436603648578699E-2</v>
      </c>
      <c r="J54">
        <f t="shared" si="1"/>
        <v>40.436603648578696</v>
      </c>
      <c r="K54">
        <f t="shared" si="2"/>
        <v>80.8570358899794</v>
      </c>
      <c r="L54">
        <v>19.71</v>
      </c>
      <c r="M54">
        <f t="shared" si="3"/>
        <v>1.9710000000000002E-2</v>
      </c>
      <c r="N54">
        <f t="shared" si="4"/>
        <v>0.7970054579134862</v>
      </c>
      <c r="O54">
        <f t="shared" si="5"/>
        <v>80.8570358899794</v>
      </c>
      <c r="P54">
        <v>2.584290813517784</v>
      </c>
      <c r="Q54">
        <f t="shared" si="6"/>
        <v>83.441326703497182</v>
      </c>
      <c r="R54">
        <f t="shared" si="7"/>
        <v>83.441326703497182</v>
      </c>
      <c r="S54">
        <f t="shared" si="8"/>
        <v>3.53632110738758E-2</v>
      </c>
      <c r="T54">
        <v>8.8499999999999995E-2</v>
      </c>
      <c r="U54">
        <f t="shared" si="9"/>
        <v>11.299435028248588</v>
      </c>
      <c r="V54">
        <v>-2.0000000000000001E-4</v>
      </c>
      <c r="W54">
        <f t="shared" si="10"/>
        <v>-442.5</v>
      </c>
      <c r="X54">
        <f t="shared" si="34"/>
        <v>-1.4241454722177225E-2</v>
      </c>
      <c r="Y54">
        <f t="shared" si="35"/>
        <v>3.465808169249613E-2</v>
      </c>
    </row>
    <row r="55" spans="1:25" x14ac:dyDescent="0.25">
      <c r="A55" s="46" t="s">
        <v>94</v>
      </c>
      <c r="B55" s="3">
        <v>10</v>
      </c>
      <c r="C55">
        <v>1.7929999999999999</v>
      </c>
      <c r="D55">
        <v>10.016661112962346</v>
      </c>
      <c r="E55">
        <f t="shared" si="13"/>
        <v>0.13732842385871377</v>
      </c>
      <c r="F55">
        <f t="shared" si="36"/>
        <v>4.2778772284999995</v>
      </c>
      <c r="G55">
        <f t="shared" si="15"/>
        <v>5.8649696802734998E-2</v>
      </c>
      <c r="H55">
        <v>0.50731999999999999</v>
      </c>
      <c r="I55">
        <f t="shared" si="0"/>
        <v>7.8678727055978781E-2</v>
      </c>
      <c r="J55">
        <f t="shared" si="1"/>
        <v>78.678727055978783</v>
      </c>
      <c r="K55">
        <f t="shared" si="2"/>
        <v>155.08698071430021</v>
      </c>
      <c r="L55">
        <v>13.71</v>
      </c>
      <c r="M55">
        <f t="shared" si="3"/>
        <v>1.3710000000000002E-2</v>
      </c>
      <c r="N55">
        <f t="shared" si="4"/>
        <v>1.0786853479374692</v>
      </c>
      <c r="O55">
        <f t="shared" si="5"/>
        <v>155.08698071430021</v>
      </c>
      <c r="P55">
        <v>2.584290813517784</v>
      </c>
      <c r="Q55">
        <f t="shared" si="6"/>
        <v>157.67127152781799</v>
      </c>
      <c r="R55">
        <f t="shared" si="7"/>
        <v>157.67127152781799</v>
      </c>
      <c r="S55">
        <f t="shared" si="8"/>
        <v>2.7131621296941542E-2</v>
      </c>
      <c r="T55">
        <v>8.8499999999999995E-2</v>
      </c>
      <c r="U55">
        <f t="shared" si="9"/>
        <v>11.299435028248588</v>
      </c>
      <c r="V55">
        <v>-2.0000000000000001E-4</v>
      </c>
      <c r="W55">
        <f t="shared" si="10"/>
        <v>-442.5</v>
      </c>
      <c r="X55">
        <f t="shared" si="34"/>
        <v>-1.4241454722177225E-2</v>
      </c>
      <c r="Y55">
        <f t="shared" si="35"/>
        <v>3.465808169249613E-2</v>
      </c>
    </row>
    <row r="56" spans="1:25" x14ac:dyDescent="0.25">
      <c r="A56" s="31" t="s">
        <v>31</v>
      </c>
      <c r="B56" s="3">
        <v>1</v>
      </c>
      <c r="C56">
        <v>9.1999999999999998E-2</v>
      </c>
      <c r="D56">
        <v>0</v>
      </c>
      <c r="E56">
        <f t="shared" si="13"/>
        <v>0</v>
      </c>
      <c r="F56">
        <f>1.7144*C56-0.1487</f>
        <v>9.0247999999999995E-3</v>
      </c>
      <c r="G56">
        <f t="shared" si="15"/>
        <v>6.3805335999999989E-5</v>
      </c>
      <c r="H56">
        <v>0</v>
      </c>
      <c r="I56">
        <f t="shared" si="0"/>
        <v>-6.3805335999999989E-5</v>
      </c>
      <c r="J56">
        <f t="shared" si="1"/>
        <v>-6.380533599999999E-2</v>
      </c>
      <c r="K56" t="e">
        <f t="shared" si="2"/>
        <v>#DIV/0!</v>
      </c>
      <c r="L56">
        <v>7.07</v>
      </c>
      <c r="M56">
        <f t="shared" si="3"/>
        <v>7.0699999999999999E-3</v>
      </c>
      <c r="N56">
        <f t="shared" si="4"/>
        <v>-4.5110372551999993E-4</v>
      </c>
      <c r="R56" t="e">
        <f t="shared" si="7"/>
        <v>#DIV/0!</v>
      </c>
    </row>
    <row r="57" spans="1:25" x14ac:dyDescent="0.25">
      <c r="A57" s="31" t="s">
        <v>31</v>
      </c>
      <c r="B57" s="3">
        <v>2</v>
      </c>
      <c r="C57">
        <v>9.7000000000000003E-2</v>
      </c>
      <c r="D57">
        <v>9.5211012193945465E-3</v>
      </c>
      <c r="E57">
        <f t="shared" si="13"/>
        <v>9.3878058023230221E-5</v>
      </c>
      <c r="F57">
        <f t="shared" ref="F57:F60" si="37">1.7144*C57-0.1487</f>
        <v>1.7596799999999996E-2</v>
      </c>
      <c r="G57">
        <f t="shared" si="15"/>
        <v>1.7350444799999994E-4</v>
      </c>
      <c r="H57">
        <v>0</v>
      </c>
      <c r="I57">
        <f t="shared" si="0"/>
        <v>-7.9626389976769721E-5</v>
      </c>
      <c r="J57">
        <f t="shared" si="1"/>
        <v>-7.9626389976769726E-2</v>
      </c>
      <c r="K57" t="e">
        <f t="shared" si="2"/>
        <v>#DIV/0!</v>
      </c>
      <c r="L57">
        <v>9.86</v>
      </c>
      <c r="M57">
        <f t="shared" si="3"/>
        <v>9.859999999999999E-3</v>
      </c>
      <c r="N57">
        <f t="shared" si="4"/>
        <v>-7.8511620517094944E-4</v>
      </c>
      <c r="R57" t="e">
        <f t="shared" si="7"/>
        <v>#DIV/0!</v>
      </c>
    </row>
    <row r="58" spans="1:25" x14ac:dyDescent="0.25">
      <c r="A58" s="31" t="s">
        <v>31</v>
      </c>
      <c r="B58" s="3">
        <v>3</v>
      </c>
      <c r="C58">
        <v>0.11700000000000001</v>
      </c>
      <c r="D58">
        <v>5.1120825771294634E-2</v>
      </c>
      <c r="E58">
        <f t="shared" si="13"/>
        <v>3.7931652722300618E-4</v>
      </c>
      <c r="F58">
        <f t="shared" si="37"/>
        <v>5.1884800000000009E-2</v>
      </c>
      <c r="G58">
        <f t="shared" si="15"/>
        <v>3.8498521600000002E-4</v>
      </c>
      <c r="H58">
        <v>0</v>
      </c>
      <c r="I58">
        <f t="shared" si="0"/>
        <v>-5.6686887769938419E-6</v>
      </c>
      <c r="J58">
        <f t="shared" si="1"/>
        <v>-5.6686887769938424E-3</v>
      </c>
      <c r="K58" t="e">
        <f t="shared" si="2"/>
        <v>#DIV/0!</v>
      </c>
      <c r="L58">
        <v>7.42</v>
      </c>
      <c r="M58">
        <f t="shared" si="3"/>
        <v>7.4199999999999995E-3</v>
      </c>
      <c r="N58">
        <f t="shared" si="4"/>
        <v>-4.2061670725294305E-5</v>
      </c>
      <c r="R58" t="e">
        <f t="shared" si="7"/>
        <v>#DIV/0!</v>
      </c>
    </row>
    <row r="59" spans="1:25" x14ac:dyDescent="0.25">
      <c r="A59" s="31" t="s">
        <v>31</v>
      </c>
      <c r="B59" s="3">
        <v>4</v>
      </c>
      <c r="C59">
        <v>0.128</v>
      </c>
      <c r="D59">
        <v>8.9009880096690724E-2</v>
      </c>
      <c r="E59">
        <f t="shared" si="13"/>
        <v>1.9528767693213947E-3</v>
      </c>
      <c r="F59">
        <f t="shared" si="37"/>
        <v>7.0743200000000006E-2</v>
      </c>
      <c r="G59">
        <f t="shared" si="15"/>
        <v>1.5521058080000003E-3</v>
      </c>
      <c r="H59">
        <v>0</v>
      </c>
      <c r="I59">
        <f t="shared" si="0"/>
        <v>4.007709613213944E-4</v>
      </c>
      <c r="J59">
        <f t="shared" si="1"/>
        <v>0.40077096132139439</v>
      </c>
      <c r="K59" t="e">
        <f t="shared" si="2"/>
        <v>#DIV/0!</v>
      </c>
      <c r="L59">
        <v>21.94</v>
      </c>
      <c r="M59">
        <f t="shared" si="3"/>
        <v>2.1940000000000001E-2</v>
      </c>
      <c r="N59">
        <f t="shared" si="4"/>
        <v>8.7929148913913936E-3</v>
      </c>
      <c r="R59" t="e">
        <f t="shared" si="7"/>
        <v>#DIV/0!</v>
      </c>
    </row>
    <row r="60" spans="1:25" x14ac:dyDescent="0.25">
      <c r="A60" s="31" t="s">
        <v>31</v>
      </c>
      <c r="B60" s="3">
        <v>6</v>
      </c>
      <c r="C60">
        <v>0.28100000000000003</v>
      </c>
      <c r="D60">
        <v>0.53282257008416201</v>
      </c>
      <c r="E60">
        <f t="shared" si="13"/>
        <v>2.0907957650102518E-2</v>
      </c>
      <c r="F60">
        <f t="shared" si="37"/>
        <v>0.33304640000000002</v>
      </c>
      <c r="G60">
        <f t="shared" si="15"/>
        <v>1.3068740736000003E-2</v>
      </c>
      <c r="H60">
        <v>0</v>
      </c>
      <c r="I60">
        <f t="shared" si="0"/>
        <v>7.8392169141025154E-3</v>
      </c>
      <c r="J60">
        <f t="shared" si="1"/>
        <v>7.8392169141025159</v>
      </c>
      <c r="K60" t="e">
        <f t="shared" si="2"/>
        <v>#DIV/0!</v>
      </c>
      <c r="L60">
        <v>39.24</v>
      </c>
      <c r="M60">
        <f t="shared" si="3"/>
        <v>3.9240000000000004E-2</v>
      </c>
      <c r="N60">
        <f t="shared" si="4"/>
        <v>0.30761087170938273</v>
      </c>
      <c r="R60" t="e">
        <f t="shared" si="7"/>
        <v>#DIV/0!</v>
      </c>
    </row>
    <row r="61" spans="1:25" x14ac:dyDescent="0.25">
      <c r="A61" s="31" t="s">
        <v>31</v>
      </c>
      <c r="B61" s="3">
        <v>7</v>
      </c>
      <c r="C61">
        <v>0.39200000000000002</v>
      </c>
      <c r="E61">
        <f t="shared" si="13"/>
        <v>0</v>
      </c>
      <c r="F61">
        <f>0.4965*(C61^2)+1.5879*C61-0.1654</f>
        <v>0.53335097600000003</v>
      </c>
      <c r="G61">
        <f t="shared" si="15"/>
        <v>1.6597882373120001E-2</v>
      </c>
      <c r="H61">
        <v>0</v>
      </c>
      <c r="I61">
        <f t="shared" si="0"/>
        <v>-1.6597882373120001E-2</v>
      </c>
      <c r="J61">
        <f t="shared" si="1"/>
        <v>-16.597882373120001</v>
      </c>
      <c r="K61" t="e">
        <f t="shared" si="2"/>
        <v>#DIV/0!</v>
      </c>
      <c r="L61">
        <v>31.12</v>
      </c>
      <c r="M61">
        <f t="shared" si="3"/>
        <v>3.1120000000000002E-2</v>
      </c>
      <c r="N61">
        <f t="shared" si="4"/>
        <v>-0.51652609945149441</v>
      </c>
      <c r="R61" t="e">
        <f t="shared" si="7"/>
        <v>#DIV/0!</v>
      </c>
    </row>
    <row r="62" spans="1:25" x14ac:dyDescent="0.25">
      <c r="A62" s="31" t="s">
        <v>31</v>
      </c>
      <c r="B62" s="3">
        <v>8</v>
      </c>
      <c r="C62">
        <v>0.498</v>
      </c>
      <c r="D62">
        <v>0.87665584429887344</v>
      </c>
      <c r="E62">
        <f t="shared" si="13"/>
        <v>2.8228318186423726E-2</v>
      </c>
      <c r="F62">
        <f t="shared" ref="F62:F63" si="38">0.4965*(C62^2)+1.5879*C62-0.1654</f>
        <v>0.74850818600000013</v>
      </c>
      <c r="G62">
        <f t="shared" si="15"/>
        <v>2.4101963589200005E-2</v>
      </c>
      <c r="H62">
        <v>0</v>
      </c>
      <c r="I62">
        <f t="shared" si="0"/>
        <v>4.1263545972237206E-3</v>
      </c>
      <c r="J62">
        <f t="shared" si="1"/>
        <v>4.1263545972237203</v>
      </c>
      <c r="K62" t="e">
        <f t="shared" si="2"/>
        <v>#DIV/0!</v>
      </c>
      <c r="L62">
        <v>32.200000000000003</v>
      </c>
      <c r="M62">
        <f t="shared" si="3"/>
        <v>3.2199999999999999E-2</v>
      </c>
      <c r="N62">
        <f t="shared" si="4"/>
        <v>0.13286861803060379</v>
      </c>
      <c r="R62" t="e">
        <f t="shared" si="7"/>
        <v>#DIV/0!</v>
      </c>
    </row>
    <row r="63" spans="1:25" x14ac:dyDescent="0.25">
      <c r="A63" s="31" t="s">
        <v>31</v>
      </c>
      <c r="B63" s="3">
        <v>9</v>
      </c>
      <c r="C63">
        <v>1.6220000000000001</v>
      </c>
      <c r="D63">
        <v>4.9815876124854475</v>
      </c>
      <c r="E63">
        <f t="shared" si="13"/>
        <v>0.1675307914078856</v>
      </c>
      <c r="F63">
        <f t="shared" si="38"/>
        <v>3.7164077060000005</v>
      </c>
      <c r="G63">
        <f t="shared" si="15"/>
        <v>0.12498279115278002</v>
      </c>
      <c r="H63">
        <v>0</v>
      </c>
      <c r="I63">
        <f t="shared" si="0"/>
        <v>4.2548000255105578E-2</v>
      </c>
      <c r="J63">
        <f t="shared" si="1"/>
        <v>42.548000255105578</v>
      </c>
      <c r="K63" t="e">
        <f t="shared" si="2"/>
        <v>#DIV/0!</v>
      </c>
      <c r="L63">
        <v>33.630000000000003</v>
      </c>
      <c r="M63">
        <f t="shared" si="3"/>
        <v>3.363E-2</v>
      </c>
      <c r="N63">
        <f t="shared" si="4"/>
        <v>1.4308892485792006</v>
      </c>
      <c r="R63" t="e">
        <f t="shared" si="7"/>
        <v>#DIV/0!</v>
      </c>
    </row>
    <row r="64" spans="1:25" x14ac:dyDescent="0.25">
      <c r="A64" s="31" t="s">
        <v>31</v>
      </c>
      <c r="B64" s="3">
        <v>10</v>
      </c>
      <c r="C64">
        <v>2.1139999999999999</v>
      </c>
      <c r="D64">
        <v>10.004960476205715</v>
      </c>
      <c r="E64">
        <f t="shared" si="13"/>
        <v>0.2857416712004352</v>
      </c>
      <c r="F64">
        <f>0.4965*(C64^2)+1.5879*C64-0.1654</f>
        <v>5.4102771139999994</v>
      </c>
      <c r="G64">
        <f t="shared" si="15"/>
        <v>0.15451751437583996</v>
      </c>
      <c r="H64">
        <v>0</v>
      </c>
      <c r="I64">
        <f t="shared" si="0"/>
        <v>0.13122415682459523</v>
      </c>
      <c r="J64">
        <f t="shared" si="1"/>
        <v>131.22415682459524</v>
      </c>
      <c r="K64" t="e">
        <f t="shared" si="2"/>
        <v>#DIV/0!</v>
      </c>
      <c r="L64">
        <v>28.56</v>
      </c>
      <c r="M64">
        <f t="shared" si="3"/>
        <v>2.8559999999999999E-2</v>
      </c>
      <c r="N64">
        <f t="shared" si="4"/>
        <v>3.7477619189104399</v>
      </c>
      <c r="R64" t="e">
        <f t="shared" si="7"/>
        <v>#DIV/0!</v>
      </c>
    </row>
    <row r="65" spans="1:18" x14ac:dyDescent="0.25">
      <c r="A65" s="47" t="s">
        <v>32</v>
      </c>
      <c r="B65" s="3">
        <v>1</v>
      </c>
      <c r="C65">
        <v>9.1999999999999998E-2</v>
      </c>
      <c r="D65">
        <v>0</v>
      </c>
      <c r="E65">
        <f t="shared" si="13"/>
        <v>0</v>
      </c>
      <c r="F65">
        <f>1.7144*C65-0.1487</f>
        <v>9.0247999999999995E-3</v>
      </c>
      <c r="G65">
        <f t="shared" si="15"/>
        <v>5.1712104000000007E-5</v>
      </c>
      <c r="H65">
        <v>0</v>
      </c>
      <c r="I65">
        <f t="shared" si="0"/>
        <v>-5.1712104000000007E-5</v>
      </c>
      <c r="J65">
        <f t="shared" si="1"/>
        <v>-5.1712104000000009E-2</v>
      </c>
      <c r="K65" t="e">
        <f t="shared" si="2"/>
        <v>#DIV/0!</v>
      </c>
      <c r="L65">
        <v>5.73</v>
      </c>
      <c r="M65">
        <f t="shared" si="3"/>
        <v>5.7300000000000007E-3</v>
      </c>
      <c r="N65">
        <f t="shared" si="4"/>
        <v>-2.9631035592000011E-4</v>
      </c>
      <c r="R65" t="e">
        <f t="shared" si="7"/>
        <v>#DIV/0!</v>
      </c>
    </row>
    <row r="66" spans="1:18" x14ac:dyDescent="0.25">
      <c r="A66" s="47" t="s">
        <v>32</v>
      </c>
      <c r="B66" s="3">
        <v>2</v>
      </c>
      <c r="C66">
        <v>9.6000000000000002E-2</v>
      </c>
      <c r="D66">
        <v>9.5211012193945465E-3</v>
      </c>
      <c r="E66">
        <f t="shared" si="13"/>
        <v>1.8004402405875087E-4</v>
      </c>
      <c r="F66">
        <f t="shared" ref="F66:F69" si="39">1.7144*C66-0.1487</f>
        <v>1.5882399999999991E-2</v>
      </c>
      <c r="G66">
        <f t="shared" si="15"/>
        <v>3.0033618399999981E-4</v>
      </c>
      <c r="H66">
        <v>0</v>
      </c>
      <c r="I66">
        <f t="shared" si="0"/>
        <v>-1.2029215994124894E-4</v>
      </c>
      <c r="J66">
        <f t="shared" si="1"/>
        <v>-0.12029215994124895</v>
      </c>
      <c r="K66" t="e">
        <f t="shared" si="2"/>
        <v>#DIV/0!</v>
      </c>
      <c r="L66">
        <v>18.91</v>
      </c>
      <c r="M66">
        <f t="shared" si="3"/>
        <v>1.891E-2</v>
      </c>
      <c r="N66">
        <f t="shared" si="4"/>
        <v>-2.2747247444890174E-3</v>
      </c>
      <c r="R66" t="e">
        <f t="shared" si="7"/>
        <v>#DIV/0!</v>
      </c>
    </row>
    <row r="67" spans="1:18" x14ac:dyDescent="0.25">
      <c r="A67" s="47" t="s">
        <v>32</v>
      </c>
      <c r="B67" s="3">
        <v>3</v>
      </c>
      <c r="C67">
        <v>0.111</v>
      </c>
      <c r="D67">
        <v>5.1120825771294634E-2</v>
      </c>
      <c r="E67">
        <f t="shared" ref="E67:E73" si="40">D67*M67</f>
        <v>3.9260794192354275E-4</v>
      </c>
      <c r="F67">
        <f t="shared" si="39"/>
        <v>4.1598400000000008E-2</v>
      </c>
      <c r="G67">
        <f t="shared" ref="G67:G73" si="41">F67*M67</f>
        <v>3.1947571200000003E-4</v>
      </c>
      <c r="H67">
        <v>0</v>
      </c>
      <c r="I67">
        <f t="shared" ref="I67:I73" si="42">E67-G67</f>
        <v>7.313222992354272E-5</v>
      </c>
      <c r="J67">
        <f t="shared" ref="J67:J73" si="43">I67*1000</f>
        <v>7.3132229923542721E-2</v>
      </c>
      <c r="K67" t="e">
        <f t="shared" ref="K67:K73" si="44">J67/H67</f>
        <v>#DIV/0!</v>
      </c>
      <c r="L67">
        <v>7.68</v>
      </c>
      <c r="M67">
        <f t="shared" ref="M67:M73" si="45">L67/1000</f>
        <v>7.6799999999999993E-3</v>
      </c>
      <c r="N67">
        <f t="shared" ref="N67:N73" si="46">M67*J67</f>
        <v>5.616555258128081E-4</v>
      </c>
      <c r="R67" t="e">
        <f t="shared" ref="R67:R73" si="47">K67+P67</f>
        <v>#DIV/0!</v>
      </c>
    </row>
    <row r="68" spans="1:18" x14ac:dyDescent="0.25">
      <c r="A68" s="47" t="s">
        <v>32</v>
      </c>
      <c r="B68" s="3">
        <v>4</v>
      </c>
      <c r="C68">
        <v>0.124</v>
      </c>
      <c r="D68">
        <v>8.9009880096690724E-2</v>
      </c>
      <c r="E68">
        <f t="shared" si="40"/>
        <v>4.1051356700593754E-3</v>
      </c>
      <c r="F68">
        <f t="shared" si="39"/>
        <v>6.3885599999999987E-2</v>
      </c>
      <c r="G68">
        <f t="shared" si="41"/>
        <v>2.9464038719999989E-3</v>
      </c>
      <c r="H68">
        <v>0</v>
      </c>
      <c r="I68">
        <f t="shared" si="42"/>
        <v>1.1587317980593765E-3</v>
      </c>
      <c r="J68">
        <f t="shared" si="43"/>
        <v>1.1587317980593765</v>
      </c>
      <c r="K68" t="e">
        <f t="shared" si="44"/>
        <v>#DIV/0!</v>
      </c>
      <c r="L68">
        <v>46.12</v>
      </c>
      <c r="M68">
        <f t="shared" si="45"/>
        <v>4.6119999999999994E-2</v>
      </c>
      <c r="N68">
        <f t="shared" si="46"/>
        <v>5.3440710526498438E-2</v>
      </c>
      <c r="R68" t="e">
        <f t="shared" si="47"/>
        <v>#DIV/0!</v>
      </c>
    </row>
    <row r="69" spans="1:18" x14ac:dyDescent="0.25">
      <c r="A69" s="47" t="s">
        <v>32</v>
      </c>
      <c r="B69" s="3">
        <v>6</v>
      </c>
      <c r="C69">
        <v>0.29599999999999999</v>
      </c>
      <c r="D69">
        <v>0.53282257008416201</v>
      </c>
      <c r="E69">
        <f t="shared" si="40"/>
        <v>1.4940344865159902E-2</v>
      </c>
      <c r="F69">
        <f t="shared" si="39"/>
        <v>0.35876239999999998</v>
      </c>
      <c r="G69">
        <f t="shared" si="41"/>
        <v>1.0059697695999998E-2</v>
      </c>
      <c r="H69">
        <v>0</v>
      </c>
      <c r="I69">
        <f t="shared" si="42"/>
        <v>4.8806471691599032E-3</v>
      </c>
      <c r="J69">
        <f t="shared" si="43"/>
        <v>4.8806471691599036</v>
      </c>
      <c r="K69" t="e">
        <f t="shared" si="44"/>
        <v>#DIV/0!</v>
      </c>
      <c r="L69">
        <v>28.04</v>
      </c>
      <c r="M69">
        <f t="shared" si="45"/>
        <v>2.8039999999999999E-2</v>
      </c>
      <c r="N69">
        <f t="shared" si="46"/>
        <v>0.13685334662324369</v>
      </c>
      <c r="R69" t="e">
        <f t="shared" si="47"/>
        <v>#DIV/0!</v>
      </c>
    </row>
    <row r="70" spans="1:18" x14ac:dyDescent="0.25">
      <c r="A70" s="47" t="s">
        <v>32</v>
      </c>
      <c r="B70" s="3">
        <v>7</v>
      </c>
      <c r="C70">
        <v>0.39100000000000001</v>
      </c>
      <c r="E70">
        <f t="shared" si="40"/>
        <v>0</v>
      </c>
      <c r="F70">
        <f>0.4965*(C70^2)+1.5879*C70-0.1654</f>
        <v>0.53137431650000011</v>
      </c>
      <c r="G70">
        <f t="shared" si="41"/>
        <v>1.9915909382420004E-2</v>
      </c>
      <c r="H70">
        <v>0</v>
      </c>
      <c r="I70">
        <f t="shared" si="42"/>
        <v>-1.9915909382420004E-2</v>
      </c>
      <c r="J70">
        <f t="shared" si="43"/>
        <v>-19.915909382420004</v>
      </c>
      <c r="K70" t="e">
        <f t="shared" si="44"/>
        <v>#DIV/0!</v>
      </c>
      <c r="L70">
        <v>37.479999999999997</v>
      </c>
      <c r="M70">
        <f t="shared" si="45"/>
        <v>3.7479999999999999E-2</v>
      </c>
      <c r="N70">
        <f t="shared" si="46"/>
        <v>-0.74644828365310179</v>
      </c>
      <c r="R70" t="e">
        <f t="shared" si="47"/>
        <v>#DIV/0!</v>
      </c>
    </row>
    <row r="71" spans="1:18" x14ac:dyDescent="0.25">
      <c r="A71" s="47" t="s">
        <v>32</v>
      </c>
      <c r="B71" s="3">
        <v>8</v>
      </c>
      <c r="C71">
        <v>0.48699999999999999</v>
      </c>
      <c r="D71">
        <v>0.87665584429887344</v>
      </c>
      <c r="E71">
        <f t="shared" si="40"/>
        <v>2.9306604874911341E-2</v>
      </c>
      <c r="F71">
        <f t="shared" ref="F71:F73" si="48">0.4965*(C71^2)+1.5879*C71-0.1654</f>
        <v>0.7256617085</v>
      </c>
      <c r="G71">
        <f t="shared" si="41"/>
        <v>2.4258870915155002E-2</v>
      </c>
      <c r="H71">
        <v>0</v>
      </c>
      <c r="I71">
        <f t="shared" si="42"/>
        <v>5.0477339597563391E-3</v>
      </c>
      <c r="J71">
        <f t="shared" si="43"/>
        <v>5.0477339597563393</v>
      </c>
      <c r="K71" t="e">
        <f t="shared" si="44"/>
        <v>#DIV/0!</v>
      </c>
      <c r="L71">
        <v>33.43</v>
      </c>
      <c r="M71">
        <f t="shared" si="45"/>
        <v>3.3430000000000001E-2</v>
      </c>
      <c r="N71">
        <f t="shared" si="46"/>
        <v>0.16874574627465444</v>
      </c>
      <c r="R71" t="e">
        <f t="shared" si="47"/>
        <v>#DIV/0!</v>
      </c>
    </row>
    <row r="72" spans="1:18" x14ac:dyDescent="0.25">
      <c r="A72" s="47" t="s">
        <v>32</v>
      </c>
      <c r="B72" s="3">
        <v>9</v>
      </c>
      <c r="C72">
        <v>1.613</v>
      </c>
      <c r="D72">
        <v>4.9815876124854475</v>
      </c>
      <c r="E72">
        <f t="shared" si="40"/>
        <v>0.13076667482774298</v>
      </c>
      <c r="F72">
        <f t="shared" si="48"/>
        <v>3.6876610085000001</v>
      </c>
      <c r="G72">
        <f t="shared" si="41"/>
        <v>9.6801101473124998E-2</v>
      </c>
      <c r="H72">
        <v>0</v>
      </c>
      <c r="I72">
        <f t="shared" si="42"/>
        <v>3.3965573354617987E-2</v>
      </c>
      <c r="J72">
        <f t="shared" si="43"/>
        <v>33.965573354617987</v>
      </c>
      <c r="K72" t="e">
        <f t="shared" si="44"/>
        <v>#DIV/0!</v>
      </c>
      <c r="L72">
        <v>26.25</v>
      </c>
      <c r="M72">
        <f t="shared" si="45"/>
        <v>2.6249999999999999E-2</v>
      </c>
      <c r="N72">
        <f t="shared" si="46"/>
        <v>0.89159630055872219</v>
      </c>
      <c r="R72" t="e">
        <f t="shared" si="47"/>
        <v>#DIV/0!</v>
      </c>
    </row>
    <row r="73" spans="1:18" x14ac:dyDescent="0.25">
      <c r="A73" s="47" t="s">
        <v>32</v>
      </c>
      <c r="B73" s="3">
        <v>10</v>
      </c>
      <c r="C73">
        <v>2.1059999999999999</v>
      </c>
      <c r="D73">
        <v>10.004960476205715</v>
      </c>
      <c r="E73">
        <f t="shared" si="40"/>
        <v>0.35617659295292348</v>
      </c>
      <c r="F73">
        <f t="shared" si="48"/>
        <v>5.3808120739999996</v>
      </c>
      <c r="G73">
        <f t="shared" si="41"/>
        <v>0.19155690983439999</v>
      </c>
      <c r="H73">
        <v>0</v>
      </c>
      <c r="I73">
        <f t="shared" si="42"/>
        <v>0.16461968311852349</v>
      </c>
      <c r="J73">
        <f t="shared" si="43"/>
        <v>164.61968311852348</v>
      </c>
      <c r="K73" t="e">
        <f t="shared" si="44"/>
        <v>#DIV/0!</v>
      </c>
      <c r="L73">
        <v>35.6</v>
      </c>
      <c r="M73">
        <f t="shared" si="45"/>
        <v>3.56E-2</v>
      </c>
      <c r="N73">
        <f t="shared" si="46"/>
        <v>5.8604607190194358</v>
      </c>
      <c r="R73" t="e">
        <f t="shared" si="47"/>
        <v>#DIV/0!</v>
      </c>
    </row>
    <row r="109" spans="1:10" x14ac:dyDescent="0.25">
      <c r="A109" t="s">
        <v>114</v>
      </c>
      <c r="B109">
        <v>1</v>
      </c>
      <c r="I109">
        <v>2</v>
      </c>
    </row>
    <row r="110" spans="1:10" x14ac:dyDescent="0.25">
      <c r="A110">
        <v>0</v>
      </c>
      <c r="B110">
        <v>0</v>
      </c>
      <c r="C110">
        <v>9.1999999999999998E-2</v>
      </c>
      <c r="F110">
        <v>9.1999999999999998E-2</v>
      </c>
      <c r="H110">
        <v>9.1999999999999998E-2</v>
      </c>
      <c r="I110">
        <v>9.1999999999999998E-2</v>
      </c>
      <c r="J110">
        <v>9.1999999999999998E-2</v>
      </c>
    </row>
    <row r="111" spans="1:10" x14ac:dyDescent="0.25">
      <c r="A111">
        <v>0.01</v>
      </c>
      <c r="B111">
        <v>9.5211012193945465E-3</v>
      </c>
      <c r="C111">
        <v>9.5000000000000001E-2</v>
      </c>
      <c r="F111">
        <v>9.6000000000000002E-2</v>
      </c>
      <c r="H111">
        <v>9.5000000000000001E-2</v>
      </c>
      <c r="I111">
        <v>9.5000000000000001E-2</v>
      </c>
      <c r="J111">
        <v>9.6000000000000002E-2</v>
      </c>
    </row>
    <row r="112" spans="1:10" x14ac:dyDescent="0.25">
      <c r="A112">
        <v>0.05</v>
      </c>
      <c r="B112">
        <v>5.1120825771294634E-2</v>
      </c>
      <c r="C112">
        <v>0.113</v>
      </c>
      <c r="F112">
        <v>0.111</v>
      </c>
      <c r="H112">
        <v>0.113</v>
      </c>
      <c r="I112">
        <v>0.106</v>
      </c>
      <c r="J112">
        <v>0.111</v>
      </c>
    </row>
    <row r="113" spans="1:10" x14ac:dyDescent="0.25">
      <c r="A113">
        <v>0.1</v>
      </c>
      <c r="B113">
        <v>0.10075445577894952</v>
      </c>
      <c r="C113">
        <v>0.127</v>
      </c>
      <c r="F113">
        <v>0.124</v>
      </c>
      <c r="H113">
        <v>0.127</v>
      </c>
      <c r="I113">
        <v>0.11899999999999999</v>
      </c>
      <c r="J113">
        <v>0.124</v>
      </c>
    </row>
    <row r="114" spans="1:10" x14ac:dyDescent="0.25">
      <c r="A114">
        <v>0.25</v>
      </c>
      <c r="B114">
        <v>0.2501079890571089</v>
      </c>
      <c r="H114">
        <v>0.27900000000000003</v>
      </c>
    </row>
    <row r="115" spans="1:10" x14ac:dyDescent="0.25">
      <c r="A115">
        <v>0.5</v>
      </c>
      <c r="B115">
        <v>0.50013056152112167</v>
      </c>
      <c r="C115">
        <v>0.27900000000000003</v>
      </c>
      <c r="F115">
        <v>0.29599999999999999</v>
      </c>
      <c r="H115">
        <v>0.38800000000000001</v>
      </c>
      <c r="I115">
        <v>0.29399999999999998</v>
      </c>
      <c r="J115">
        <v>0.39100000000000001</v>
      </c>
    </row>
    <row r="116" spans="1:10" x14ac:dyDescent="0.25">
      <c r="A116">
        <v>0.75</v>
      </c>
      <c r="B116">
        <v>0.73114266371542469</v>
      </c>
      <c r="C116">
        <v>0.38800000000000001</v>
      </c>
      <c r="F116">
        <v>0.39100000000000001</v>
      </c>
      <c r="H116">
        <v>0.496</v>
      </c>
      <c r="I116">
        <v>0.39</v>
      </c>
      <c r="J116">
        <v>0.48699999999999999</v>
      </c>
    </row>
    <row r="117" spans="1:10" x14ac:dyDescent="0.25">
      <c r="A117">
        <v>1</v>
      </c>
      <c r="B117">
        <v>0.99703925737765642</v>
      </c>
      <c r="C117">
        <v>0.496</v>
      </c>
      <c r="F117">
        <v>0.48699999999999999</v>
      </c>
      <c r="H117">
        <v>0.58899999999999997</v>
      </c>
      <c r="I117">
        <v>0.48099999999999998</v>
      </c>
      <c r="J117">
        <v>0.622</v>
      </c>
    </row>
    <row r="118" spans="1:10" x14ac:dyDescent="0.25">
      <c r="A118">
        <v>5</v>
      </c>
      <c r="B118">
        <v>5.0023313128621867</v>
      </c>
      <c r="C118">
        <v>1.6870000000000001</v>
      </c>
      <c r="F118">
        <v>1.6779999999999999</v>
      </c>
      <c r="H118">
        <v>1.6870000000000001</v>
      </c>
      <c r="I118">
        <v>1.6779999999999999</v>
      </c>
      <c r="J118">
        <v>1.623</v>
      </c>
    </row>
    <row r="119" spans="1:10" x14ac:dyDescent="0.25">
      <c r="A119">
        <v>10</v>
      </c>
      <c r="B119">
        <v>10.016661112962346</v>
      </c>
      <c r="C119">
        <v>2.2389999999999999</v>
      </c>
      <c r="F119">
        <v>2.234</v>
      </c>
      <c r="H119">
        <v>2.2389999999999999</v>
      </c>
      <c r="I119">
        <v>2.234</v>
      </c>
      <c r="J119">
        <v>2.1059999999999999</v>
      </c>
    </row>
    <row r="121" spans="1:10" x14ac:dyDescent="0.25">
      <c r="C121" t="s">
        <v>95</v>
      </c>
    </row>
    <row r="125" spans="1:10" x14ac:dyDescent="0.25">
      <c r="B125" s="3">
        <v>1</v>
      </c>
      <c r="C125" s="53">
        <v>0</v>
      </c>
      <c r="D125">
        <v>0</v>
      </c>
      <c r="E125">
        <v>9.1999999999999998E-2</v>
      </c>
    </row>
    <row r="126" spans="1:10" x14ac:dyDescent="0.25">
      <c r="B126" s="3">
        <v>1.1000000000000001</v>
      </c>
      <c r="C126" s="53">
        <v>0.01</v>
      </c>
      <c r="D126">
        <v>9.5211012193945465E-3</v>
      </c>
      <c r="E126">
        <v>9.5000000000000001E-2</v>
      </c>
    </row>
    <row r="127" spans="1:10" x14ac:dyDescent="0.25">
      <c r="B127" s="3">
        <v>1.2</v>
      </c>
      <c r="C127" s="53">
        <v>0.05</v>
      </c>
      <c r="D127">
        <v>5.1120825771294634E-2</v>
      </c>
      <c r="E127">
        <v>0.106</v>
      </c>
    </row>
    <row r="128" spans="1:10" x14ac:dyDescent="0.25">
      <c r="B128" s="3">
        <v>2</v>
      </c>
      <c r="C128" s="53">
        <v>0.1</v>
      </c>
      <c r="D128">
        <v>8.9009880096690724E-2</v>
      </c>
      <c r="E128">
        <v>0.14199999999999999</v>
      </c>
    </row>
    <row r="129" spans="2:5" x14ac:dyDescent="0.25">
      <c r="B129" s="3">
        <v>3</v>
      </c>
      <c r="C129" s="53">
        <v>0.5</v>
      </c>
      <c r="D129">
        <v>0.53282257008416201</v>
      </c>
      <c r="E129">
        <v>0.39600000000000002</v>
      </c>
    </row>
    <row r="130" spans="2:5" x14ac:dyDescent="0.25">
      <c r="B130" s="3"/>
      <c r="C130" s="53">
        <v>0.75</v>
      </c>
      <c r="E130">
        <v>0.38800000000000001</v>
      </c>
    </row>
    <row r="131" spans="2:5" x14ac:dyDescent="0.25">
      <c r="B131" s="3">
        <v>4</v>
      </c>
      <c r="C131" s="53">
        <v>1</v>
      </c>
      <c r="D131">
        <v>0.87665584429887344</v>
      </c>
      <c r="E131">
        <v>0.59899999999999998</v>
      </c>
    </row>
    <row r="132" spans="2:5" x14ac:dyDescent="0.25">
      <c r="B132" s="3">
        <v>6</v>
      </c>
      <c r="C132" s="53">
        <v>5</v>
      </c>
      <c r="D132">
        <v>4.9815876124854475</v>
      </c>
      <c r="E132">
        <v>1.954</v>
      </c>
    </row>
    <row r="133" spans="2:5" x14ac:dyDescent="0.25">
      <c r="B133" s="3">
        <v>8</v>
      </c>
      <c r="C133" s="53">
        <v>10</v>
      </c>
      <c r="D133">
        <v>10.004960476205715</v>
      </c>
      <c r="E133">
        <v>3.2149999999999999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2A13-358C-4F17-9686-58B405604DD1}">
  <dimension ref="A1:O94"/>
  <sheetViews>
    <sheetView zoomScale="130" zoomScaleNormal="130" workbookViewId="0">
      <selection activeCell="E30" sqref="E30"/>
    </sheetView>
  </sheetViews>
  <sheetFormatPr defaultRowHeight="15" x14ac:dyDescent="0.25"/>
  <cols>
    <col min="1" max="1" width="12.42578125" bestFit="1" customWidth="1"/>
    <col min="2" max="2" width="14.7109375" bestFit="1" customWidth="1"/>
    <col min="3" max="3" width="17.5703125" bestFit="1" customWidth="1"/>
    <col min="4" max="4" width="15.140625" bestFit="1" customWidth="1"/>
    <col min="5" max="5" width="15" bestFit="1" customWidth="1"/>
    <col min="6" max="6" width="28" bestFit="1" customWidth="1"/>
    <col min="7" max="7" width="11.5703125" bestFit="1" customWidth="1"/>
    <col min="8" max="8" width="20.7109375" customWidth="1"/>
  </cols>
  <sheetData>
    <row r="1" spans="1:15" x14ac:dyDescent="0.25">
      <c r="A1" s="26" t="s">
        <v>12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13</v>
      </c>
      <c r="G1" s="79" t="s">
        <v>11</v>
      </c>
      <c r="H1" s="80"/>
    </row>
    <row r="2" spans="1:15" x14ac:dyDescent="0.25">
      <c r="A2" s="3">
        <v>1</v>
      </c>
      <c r="B2" s="3">
        <v>0</v>
      </c>
      <c r="C2" s="4">
        <v>0</v>
      </c>
      <c r="D2" s="3">
        <v>100</v>
      </c>
      <c r="E2" s="4">
        <v>100</v>
      </c>
      <c r="F2" s="1">
        <v>0</v>
      </c>
      <c r="G2" s="3">
        <f>C2*(100/1000)</f>
        <v>0</v>
      </c>
      <c r="H2" s="5">
        <f>G2/(C2+E2)*1000</f>
        <v>0</v>
      </c>
      <c r="N2" t="s">
        <v>54</v>
      </c>
      <c r="O2" t="s">
        <v>55</v>
      </c>
    </row>
    <row r="3" spans="1:15" x14ac:dyDescent="0.25">
      <c r="A3" s="3">
        <v>2</v>
      </c>
      <c r="B3" s="3">
        <v>0.1</v>
      </c>
      <c r="C3" s="4">
        <v>8.8999999999999999E-3</v>
      </c>
      <c r="D3" s="3">
        <v>99.99</v>
      </c>
      <c r="E3" s="4">
        <v>99.98</v>
      </c>
      <c r="F3" s="1">
        <v>0.1</v>
      </c>
      <c r="G3" s="3">
        <f>C3*(1000/1000)</f>
        <v>8.8999999999999999E-3</v>
      </c>
      <c r="H3" s="5">
        <f>G3/(C3+E3)*1000</f>
        <v>8.9009880096690724E-2</v>
      </c>
      <c r="I3" t="s">
        <v>58</v>
      </c>
      <c r="M3" s="3">
        <v>1</v>
      </c>
      <c r="N3">
        <v>1E-3</v>
      </c>
      <c r="O3">
        <v>0.09</v>
      </c>
    </row>
    <row r="4" spans="1:15" x14ac:dyDescent="0.25">
      <c r="A4" s="3">
        <v>3</v>
      </c>
      <c r="B4" s="3">
        <v>0.5</v>
      </c>
      <c r="C4" s="4">
        <v>5.33E-2</v>
      </c>
      <c r="D4" s="3">
        <v>99.95</v>
      </c>
      <c r="E4" s="4">
        <v>99.98</v>
      </c>
      <c r="F4" s="1">
        <v>0.5</v>
      </c>
      <c r="G4" s="3">
        <f t="shared" ref="G4:G11" si="0">C4*(1000/1000)</f>
        <v>5.33E-2</v>
      </c>
      <c r="H4" s="5">
        <f t="shared" ref="H4:H14" si="1">G4/(C4+E4)*1000</f>
        <v>0.53282257008416201</v>
      </c>
      <c r="M4" s="3">
        <v>2</v>
      </c>
      <c r="N4">
        <v>8.9009880096690731E-3</v>
      </c>
      <c r="O4">
        <v>0.14699999999999999</v>
      </c>
    </row>
    <row r="5" spans="1:15" x14ac:dyDescent="0.25">
      <c r="A5" s="3">
        <v>4</v>
      </c>
      <c r="B5" s="3">
        <v>1</v>
      </c>
      <c r="C5" s="4">
        <v>9.9500000000000005E-2</v>
      </c>
      <c r="D5" s="3">
        <v>99.9</v>
      </c>
      <c r="E5" s="4">
        <v>113.4</v>
      </c>
      <c r="F5" s="1">
        <v>1</v>
      </c>
      <c r="G5" s="3">
        <f t="shared" si="0"/>
        <v>9.9500000000000005E-2</v>
      </c>
      <c r="H5" s="5">
        <f t="shared" si="1"/>
        <v>0.87665584429887344</v>
      </c>
      <c r="M5" s="3">
        <v>3</v>
      </c>
      <c r="N5">
        <v>5.3282257008416205E-2</v>
      </c>
      <c r="O5">
        <v>0.40100000000000002</v>
      </c>
    </row>
    <row r="6" spans="1:15" x14ac:dyDescent="0.25">
      <c r="A6" s="3">
        <v>5</v>
      </c>
      <c r="B6" s="3">
        <v>2.5</v>
      </c>
      <c r="C6" s="4">
        <v>0.249</v>
      </c>
      <c r="D6" s="3">
        <v>99.75</v>
      </c>
      <c r="E6" s="4">
        <v>99.75</v>
      </c>
      <c r="F6" s="1">
        <v>2.5</v>
      </c>
      <c r="G6" s="3">
        <f t="shared" si="0"/>
        <v>0.249</v>
      </c>
      <c r="H6" s="5">
        <f t="shared" si="1"/>
        <v>2.4900249002490025</v>
      </c>
      <c r="M6" s="3">
        <v>4</v>
      </c>
      <c r="N6">
        <v>8.7665584429887353E-2</v>
      </c>
      <c r="O6">
        <v>0.59899999999999998</v>
      </c>
    </row>
    <row r="7" spans="1:15" x14ac:dyDescent="0.25">
      <c r="A7" s="3">
        <v>6</v>
      </c>
      <c r="B7" s="3">
        <v>5</v>
      </c>
      <c r="C7" s="4">
        <v>0.4985</v>
      </c>
      <c r="D7" s="3">
        <v>99.5</v>
      </c>
      <c r="E7" s="4">
        <v>99.57</v>
      </c>
      <c r="F7" s="1">
        <v>5</v>
      </c>
      <c r="G7" s="3">
        <f t="shared" si="0"/>
        <v>0.4985</v>
      </c>
      <c r="H7" s="5">
        <f t="shared" si="1"/>
        <v>4.9815876124854475</v>
      </c>
      <c r="M7" s="3">
        <v>5</v>
      </c>
      <c r="N7">
        <v>0.24900249002490027</v>
      </c>
      <c r="O7">
        <v>1.238</v>
      </c>
    </row>
    <row r="8" spans="1:15" x14ac:dyDescent="0.25">
      <c r="A8" s="3">
        <v>7</v>
      </c>
      <c r="B8" s="3">
        <v>7.5</v>
      </c>
      <c r="C8" s="4">
        <v>0.74560000000000004</v>
      </c>
      <c r="D8" s="3">
        <v>99.25</v>
      </c>
      <c r="E8" s="4">
        <v>99.25</v>
      </c>
      <c r="F8" s="1">
        <v>7.5</v>
      </c>
      <c r="G8" s="3">
        <f t="shared" si="0"/>
        <v>0.74560000000000004</v>
      </c>
      <c r="H8" s="5">
        <f t="shared" si="1"/>
        <v>7.456328078435452</v>
      </c>
      <c r="M8" s="3">
        <v>6</v>
      </c>
      <c r="N8">
        <v>0.49815876124854486</v>
      </c>
      <c r="O8">
        <v>1.752</v>
      </c>
    </row>
    <row r="9" spans="1:15" x14ac:dyDescent="0.25">
      <c r="A9" s="3">
        <v>8</v>
      </c>
      <c r="B9" s="3">
        <v>10</v>
      </c>
      <c r="C9" s="4">
        <v>1.0004</v>
      </c>
      <c r="D9" s="3">
        <v>99</v>
      </c>
      <c r="E9" s="4">
        <v>98.99</v>
      </c>
      <c r="F9" s="1">
        <v>10</v>
      </c>
      <c r="G9" s="3">
        <f t="shared" si="0"/>
        <v>1.0004</v>
      </c>
      <c r="H9" s="5">
        <f t="shared" si="1"/>
        <v>10.004960476205715</v>
      </c>
      <c r="M9" s="3">
        <v>7</v>
      </c>
      <c r="N9">
        <v>0.74563280784354513</v>
      </c>
      <c r="O9">
        <v>2.2719999999999998</v>
      </c>
    </row>
    <row r="10" spans="1:15" x14ac:dyDescent="0.25">
      <c r="A10" s="3">
        <v>9</v>
      </c>
      <c r="B10" s="3">
        <v>50</v>
      </c>
      <c r="C10" s="4">
        <v>4.9897</v>
      </c>
      <c r="D10" s="3">
        <v>95</v>
      </c>
      <c r="E10" s="4">
        <v>94.99</v>
      </c>
      <c r="F10" s="1">
        <v>50</v>
      </c>
      <c r="G10" s="3">
        <f t="shared" si="0"/>
        <v>4.9897</v>
      </c>
      <c r="H10" s="5">
        <f t="shared" si="1"/>
        <v>49.90713114762297</v>
      </c>
      <c r="M10" s="3">
        <v>8</v>
      </c>
      <c r="N10">
        <v>1.0004960476205715</v>
      </c>
      <c r="O10">
        <v>2.637</v>
      </c>
    </row>
    <row r="11" spans="1:15" x14ac:dyDescent="0.25">
      <c r="A11" s="3">
        <v>10</v>
      </c>
      <c r="B11" s="3">
        <v>100</v>
      </c>
      <c r="C11" s="4">
        <v>10.003</v>
      </c>
      <c r="D11" s="3">
        <v>90</v>
      </c>
      <c r="E11" s="4">
        <v>90.01</v>
      </c>
      <c r="F11" s="1">
        <v>100</v>
      </c>
      <c r="G11" s="3">
        <f t="shared" si="0"/>
        <v>10.003</v>
      </c>
      <c r="H11" s="5">
        <f t="shared" si="1"/>
        <v>100.01699779028726</v>
      </c>
      <c r="M11" s="3">
        <v>9</v>
      </c>
      <c r="N11">
        <v>4.9907131147622978</v>
      </c>
      <c r="O11">
        <v>3.4990000000000001</v>
      </c>
    </row>
    <row r="12" spans="1:15" x14ac:dyDescent="0.25">
      <c r="A12" s="3">
        <v>1.1000000000000001</v>
      </c>
      <c r="B12" s="3">
        <v>1.4999999999999999E-2</v>
      </c>
      <c r="C12" s="4">
        <v>1.5100000000000001E-2</v>
      </c>
      <c r="D12" s="3">
        <v>149.98500000000001</v>
      </c>
      <c r="E12" s="4">
        <v>158.58000000000001</v>
      </c>
      <c r="F12" s="1">
        <v>0.01</v>
      </c>
      <c r="G12" s="3">
        <f t="shared" ref="G12:G14" si="2">C12*(100/1000)</f>
        <v>1.5100000000000001E-3</v>
      </c>
      <c r="H12" s="5">
        <f t="shared" si="1"/>
        <v>9.5211012193945465E-3</v>
      </c>
    </row>
    <row r="13" spans="1:15" x14ac:dyDescent="0.25">
      <c r="A13" s="3">
        <v>1.2</v>
      </c>
      <c r="B13" s="3">
        <v>7.4999999999999997E-2</v>
      </c>
      <c r="C13" s="4">
        <v>7.6700000000000004E-2</v>
      </c>
      <c r="D13" s="3">
        <v>149.92500000000001</v>
      </c>
      <c r="E13" s="4">
        <v>149.96</v>
      </c>
      <c r="F13" s="1">
        <v>0.05</v>
      </c>
      <c r="G13" s="3">
        <f t="shared" si="2"/>
        <v>7.6700000000000006E-3</v>
      </c>
      <c r="H13" s="5">
        <f t="shared" si="1"/>
        <v>5.1120825771294634E-2</v>
      </c>
    </row>
    <row r="14" spans="1:15" x14ac:dyDescent="0.25">
      <c r="A14" s="3">
        <v>2.1</v>
      </c>
      <c r="B14" s="3">
        <v>0.375</v>
      </c>
      <c r="C14" s="4">
        <v>0.37519999999999998</v>
      </c>
      <c r="D14" s="3">
        <v>149.625</v>
      </c>
      <c r="E14" s="4">
        <v>149.63999999999999</v>
      </c>
      <c r="F14" s="1">
        <v>0.25</v>
      </c>
      <c r="G14" s="3">
        <f t="shared" si="2"/>
        <v>3.7519999999999998E-2</v>
      </c>
      <c r="H14" s="5">
        <f t="shared" si="1"/>
        <v>0.2501079890571089</v>
      </c>
    </row>
    <row r="18" spans="1:7" x14ac:dyDescent="0.25">
      <c r="A18" s="3" t="s">
        <v>16</v>
      </c>
      <c r="B18" s="3" t="s">
        <v>30</v>
      </c>
      <c r="C18" s="3" t="s">
        <v>14</v>
      </c>
      <c r="D18" s="3" t="s">
        <v>18</v>
      </c>
      <c r="E18" s="3" t="s">
        <v>23</v>
      </c>
      <c r="F18" s="3" t="s">
        <v>15</v>
      </c>
      <c r="G18" s="3" t="s">
        <v>17</v>
      </c>
    </row>
    <row r="19" spans="1:7" x14ac:dyDescent="0.25">
      <c r="A19" s="3" t="s">
        <v>59</v>
      </c>
      <c r="B19" s="3">
        <v>1</v>
      </c>
      <c r="C19" s="29">
        <v>0.50585000000000002</v>
      </c>
      <c r="D19" s="3">
        <f>C19*25</f>
        <v>12.64625</v>
      </c>
      <c r="E19" s="29">
        <v>12.66</v>
      </c>
      <c r="F19" s="30">
        <v>0.04</v>
      </c>
      <c r="G19" s="31">
        <f>C19/E19</f>
        <v>3.9956556082148501E-2</v>
      </c>
    </row>
    <row r="20" spans="1:7" x14ac:dyDescent="0.25">
      <c r="A20" s="3" t="s">
        <v>59</v>
      </c>
      <c r="B20" s="3">
        <v>2.1</v>
      </c>
      <c r="C20" s="29">
        <v>0.52114000000000005</v>
      </c>
      <c r="D20" s="3">
        <f t="shared" ref="D20:D21" si="3">C20*25</f>
        <v>13.028500000000001</v>
      </c>
      <c r="E20" s="29">
        <v>12.1</v>
      </c>
      <c r="F20" s="30">
        <v>0.04</v>
      </c>
      <c r="G20" s="31">
        <f t="shared" ref="G20:G21" si="4">C20/E20</f>
        <v>4.3069421487603309E-2</v>
      </c>
    </row>
    <row r="21" spans="1:7" x14ac:dyDescent="0.25">
      <c r="A21" s="3" t="s">
        <v>59</v>
      </c>
      <c r="B21" s="3">
        <v>3.1</v>
      </c>
      <c r="C21" s="29">
        <v>0.54673000000000005</v>
      </c>
      <c r="D21" s="3">
        <f t="shared" si="3"/>
        <v>13.66825</v>
      </c>
      <c r="E21" s="29">
        <v>13.95</v>
      </c>
      <c r="F21" s="30">
        <v>0.04</v>
      </c>
      <c r="G21" s="31">
        <f t="shared" si="4"/>
        <v>3.9192114695340508E-2</v>
      </c>
    </row>
    <row r="22" spans="1:7" x14ac:dyDescent="0.25">
      <c r="A22" s="3" t="s">
        <v>59</v>
      </c>
      <c r="B22" s="3">
        <v>2</v>
      </c>
      <c r="C22" s="29">
        <v>0.56779999999999997</v>
      </c>
      <c r="D22" s="3">
        <f t="shared" ref="D22:D78" si="5">C22*25</f>
        <v>14.194999999999999</v>
      </c>
      <c r="E22" s="29">
        <v>14.32</v>
      </c>
      <c r="F22" s="30">
        <v>0.04</v>
      </c>
      <c r="G22" s="31">
        <f t="shared" ref="G22:G78" si="6">C22/E22</f>
        <v>3.9650837988826813E-2</v>
      </c>
    </row>
    <row r="23" spans="1:7" x14ac:dyDescent="0.25">
      <c r="A23" s="3" t="s">
        <v>59</v>
      </c>
      <c r="B23" s="3">
        <v>3</v>
      </c>
      <c r="C23" s="29">
        <v>0.51226000000000005</v>
      </c>
      <c r="D23" s="3">
        <f t="shared" si="5"/>
        <v>12.806500000000002</v>
      </c>
      <c r="E23" s="29">
        <v>13.29</v>
      </c>
      <c r="F23" s="30">
        <v>0.04</v>
      </c>
      <c r="G23" s="31">
        <f t="shared" si="6"/>
        <v>3.8544770504138459E-2</v>
      </c>
    </row>
    <row r="24" spans="1:7" x14ac:dyDescent="0.25">
      <c r="A24" s="3" t="s">
        <v>59</v>
      </c>
      <c r="B24" s="3">
        <v>4</v>
      </c>
      <c r="C24" s="29">
        <v>0.54998000000000002</v>
      </c>
      <c r="D24" s="3">
        <f t="shared" si="5"/>
        <v>13.749500000000001</v>
      </c>
      <c r="E24" s="29">
        <v>13.84</v>
      </c>
      <c r="F24" s="30">
        <v>0.04</v>
      </c>
      <c r="G24" s="31">
        <f t="shared" si="6"/>
        <v>3.9738439306358384E-2</v>
      </c>
    </row>
    <row r="25" spans="1:7" x14ac:dyDescent="0.25">
      <c r="A25" s="3" t="s">
        <v>59</v>
      </c>
      <c r="B25" s="3">
        <v>5</v>
      </c>
      <c r="C25" s="29">
        <v>0.54330000000000001</v>
      </c>
      <c r="D25" s="3">
        <f t="shared" si="5"/>
        <v>13.5825</v>
      </c>
      <c r="E25" s="29">
        <v>13.64</v>
      </c>
      <c r="F25" s="30">
        <v>0.04</v>
      </c>
      <c r="G25" s="31">
        <f t="shared" si="6"/>
        <v>3.9831378299120236E-2</v>
      </c>
    </row>
    <row r="26" spans="1:7" x14ac:dyDescent="0.25">
      <c r="A26" s="3" t="s">
        <v>59</v>
      </c>
      <c r="B26" s="3">
        <v>6</v>
      </c>
      <c r="C26" s="29">
        <v>0.57247999999999999</v>
      </c>
      <c r="D26" s="3">
        <f t="shared" si="5"/>
        <v>14.311999999999999</v>
      </c>
      <c r="E26" s="29">
        <v>14.37</v>
      </c>
      <c r="F26" s="30">
        <v>0.04</v>
      </c>
      <c r="G26" s="31">
        <f t="shared" si="6"/>
        <v>3.9838552540013922E-2</v>
      </c>
    </row>
    <row r="27" spans="1:7" x14ac:dyDescent="0.25">
      <c r="A27" s="3" t="s">
        <v>59</v>
      </c>
      <c r="B27" s="3">
        <v>7</v>
      </c>
      <c r="C27" s="29">
        <v>0.55642999999999998</v>
      </c>
      <c r="D27" s="3">
        <f t="shared" si="5"/>
        <v>13.91075</v>
      </c>
      <c r="E27" s="29">
        <v>14.02</v>
      </c>
      <c r="F27" s="30">
        <v>0.04</v>
      </c>
      <c r="G27" s="31">
        <f t="shared" si="6"/>
        <v>3.9688302425106993E-2</v>
      </c>
    </row>
    <row r="28" spans="1:7" x14ac:dyDescent="0.25">
      <c r="A28" s="3" t="s">
        <v>59</v>
      </c>
      <c r="B28" s="3">
        <v>8</v>
      </c>
      <c r="C28" s="29">
        <v>0.53102000000000005</v>
      </c>
      <c r="D28" s="3">
        <f t="shared" si="5"/>
        <v>13.275500000000001</v>
      </c>
      <c r="E28" s="29">
        <v>13.28</v>
      </c>
      <c r="F28" s="30">
        <v>0.04</v>
      </c>
      <c r="G28" s="31">
        <f t="shared" si="6"/>
        <v>3.9986445783132533E-2</v>
      </c>
    </row>
    <row r="29" spans="1:7" x14ac:dyDescent="0.25">
      <c r="A29" s="3" t="s">
        <v>60</v>
      </c>
      <c r="B29" s="3">
        <v>1</v>
      </c>
      <c r="C29" s="29">
        <v>0.52254</v>
      </c>
      <c r="D29" s="3">
        <f t="shared" si="5"/>
        <v>13.063499999999999</v>
      </c>
      <c r="E29" s="29">
        <v>13.06</v>
      </c>
      <c r="F29" s="30">
        <v>0.04</v>
      </c>
      <c r="G29" s="31">
        <f t="shared" si="6"/>
        <v>4.0010719754977025E-2</v>
      </c>
    </row>
    <row r="30" spans="1:7" x14ac:dyDescent="0.25">
      <c r="A30" s="3" t="s">
        <v>60</v>
      </c>
      <c r="B30" s="3">
        <v>2.1</v>
      </c>
      <c r="C30" s="29">
        <v>0.55837999999999999</v>
      </c>
      <c r="D30" s="3">
        <f t="shared" ref="D30:D31" si="7">C30*25</f>
        <v>13.9595</v>
      </c>
      <c r="E30" s="29">
        <v>13.38</v>
      </c>
      <c r="F30" s="30">
        <v>0.04</v>
      </c>
      <c r="G30" s="31">
        <f t="shared" ref="G30:G31" si="8">C30/E30</f>
        <v>4.1732436472346784E-2</v>
      </c>
    </row>
    <row r="31" spans="1:7" x14ac:dyDescent="0.25">
      <c r="A31" s="3" t="s">
        <v>60</v>
      </c>
      <c r="B31" s="3">
        <v>3.1</v>
      </c>
      <c r="C31" s="29">
        <v>0.52524999999999999</v>
      </c>
      <c r="D31" s="3">
        <f t="shared" si="7"/>
        <v>13.13125</v>
      </c>
      <c r="E31" s="29">
        <v>13.62</v>
      </c>
      <c r="F31" s="30">
        <v>0.04</v>
      </c>
      <c r="G31" s="31">
        <f t="shared" si="8"/>
        <v>3.8564610866372979E-2</v>
      </c>
    </row>
    <row r="32" spans="1:7" x14ac:dyDescent="0.25">
      <c r="A32" s="3" t="s">
        <v>60</v>
      </c>
      <c r="B32" s="3">
        <v>2</v>
      </c>
      <c r="C32" s="29">
        <v>0.54481999999999997</v>
      </c>
      <c r="D32" s="3">
        <f t="shared" si="5"/>
        <v>13.6205</v>
      </c>
      <c r="E32" s="29">
        <v>13.64</v>
      </c>
      <c r="F32" s="30">
        <v>0.04</v>
      </c>
      <c r="G32" s="31">
        <f t="shared" si="6"/>
        <v>3.9942815249266857E-2</v>
      </c>
    </row>
    <row r="33" spans="1:7" x14ac:dyDescent="0.25">
      <c r="A33" s="3" t="s">
        <v>60</v>
      </c>
      <c r="B33" s="3">
        <v>3</v>
      </c>
      <c r="C33" s="29">
        <v>0.50439999999999996</v>
      </c>
      <c r="D33" s="3">
        <f t="shared" si="5"/>
        <v>12.61</v>
      </c>
      <c r="E33" s="29">
        <v>12.75</v>
      </c>
      <c r="F33" s="30">
        <v>0.04</v>
      </c>
      <c r="G33" s="31">
        <f t="shared" si="6"/>
        <v>3.9560784313725485E-2</v>
      </c>
    </row>
    <row r="34" spans="1:7" x14ac:dyDescent="0.25">
      <c r="A34" s="3" t="s">
        <v>60</v>
      </c>
      <c r="B34" s="3">
        <v>4</v>
      </c>
      <c r="C34" s="29">
        <v>0.53222000000000003</v>
      </c>
      <c r="D34" s="3">
        <f t="shared" si="5"/>
        <v>13.3055</v>
      </c>
      <c r="E34" s="29">
        <v>13.39</v>
      </c>
      <c r="F34" s="30">
        <v>0.04</v>
      </c>
      <c r="G34" s="31">
        <f t="shared" si="6"/>
        <v>3.9747572815533982E-2</v>
      </c>
    </row>
    <row r="35" spans="1:7" x14ac:dyDescent="0.25">
      <c r="A35" s="3" t="s">
        <v>60</v>
      </c>
      <c r="B35" s="3">
        <v>5</v>
      </c>
      <c r="C35" s="29">
        <v>0.53525999999999996</v>
      </c>
      <c r="D35" s="3">
        <f t="shared" si="5"/>
        <v>13.381499999999999</v>
      </c>
      <c r="E35" s="29">
        <v>13.42</v>
      </c>
      <c r="F35" s="30">
        <v>0.04</v>
      </c>
      <c r="G35" s="31">
        <f t="shared" si="6"/>
        <v>3.9885245901639339E-2</v>
      </c>
    </row>
    <row r="36" spans="1:7" x14ac:dyDescent="0.25">
      <c r="A36" s="3" t="s">
        <v>60</v>
      </c>
      <c r="B36" s="3">
        <v>6</v>
      </c>
      <c r="C36" s="29">
        <v>0.51619000000000004</v>
      </c>
      <c r="D36" s="3">
        <f t="shared" si="5"/>
        <v>12.904750000000002</v>
      </c>
      <c r="E36" s="29">
        <v>12.92</v>
      </c>
      <c r="F36" s="30">
        <v>0.04</v>
      </c>
      <c r="G36" s="31">
        <f t="shared" si="6"/>
        <v>3.9952786377708979E-2</v>
      </c>
    </row>
    <row r="37" spans="1:7" x14ac:dyDescent="0.25">
      <c r="A37" s="3" t="s">
        <v>60</v>
      </c>
      <c r="B37" s="3">
        <v>7</v>
      </c>
      <c r="C37" s="29">
        <v>0.53483999999999998</v>
      </c>
      <c r="D37" s="3">
        <f t="shared" si="5"/>
        <v>13.370999999999999</v>
      </c>
      <c r="E37" s="29">
        <v>14.5</v>
      </c>
      <c r="F37" s="30">
        <v>0.04</v>
      </c>
      <c r="G37" s="31">
        <f t="shared" si="6"/>
        <v>3.6885517241379312E-2</v>
      </c>
    </row>
    <row r="38" spans="1:7" x14ac:dyDescent="0.25">
      <c r="A38" s="3" t="s">
        <v>60</v>
      </c>
      <c r="B38" s="3">
        <v>8</v>
      </c>
      <c r="C38" s="29">
        <v>0.52088000000000001</v>
      </c>
      <c r="D38" s="3">
        <f t="shared" si="5"/>
        <v>13.022</v>
      </c>
      <c r="E38" s="29">
        <v>13.27</v>
      </c>
      <c r="F38" s="30">
        <v>0.04</v>
      </c>
      <c r="G38" s="31">
        <f t="shared" si="6"/>
        <v>3.9252449133383577E-2</v>
      </c>
    </row>
    <row r="39" spans="1:7" x14ac:dyDescent="0.25">
      <c r="A39" s="3" t="s">
        <v>61</v>
      </c>
      <c r="B39" s="3">
        <v>1</v>
      </c>
      <c r="C39" s="29">
        <v>0.57025000000000003</v>
      </c>
      <c r="D39" s="3">
        <f t="shared" si="5"/>
        <v>14.256250000000001</v>
      </c>
      <c r="E39" s="29">
        <v>14.68</v>
      </c>
      <c r="F39" s="30">
        <v>0.04</v>
      </c>
      <c r="G39" s="31">
        <f t="shared" si="6"/>
        <v>3.8845367847411445E-2</v>
      </c>
    </row>
    <row r="40" spans="1:7" x14ac:dyDescent="0.25">
      <c r="A40" s="3" t="s">
        <v>61</v>
      </c>
      <c r="B40" s="3">
        <v>2.1</v>
      </c>
      <c r="C40" s="29">
        <v>0.52239999999999998</v>
      </c>
      <c r="D40" s="3">
        <f t="shared" ref="D40:D41" si="9">C40*25</f>
        <v>13.059999999999999</v>
      </c>
      <c r="E40" s="29">
        <v>14.9</v>
      </c>
      <c r="F40" s="30">
        <v>0.04</v>
      </c>
      <c r="G40" s="31">
        <f t="shared" ref="G40:G41" si="10">C40/E40</f>
        <v>3.5060402684563757E-2</v>
      </c>
    </row>
    <row r="41" spans="1:7" x14ac:dyDescent="0.25">
      <c r="A41" s="3" t="s">
        <v>61</v>
      </c>
      <c r="B41" s="3">
        <v>3.1</v>
      </c>
      <c r="C41" s="29">
        <v>0.59877000000000002</v>
      </c>
      <c r="D41" s="3">
        <f t="shared" si="9"/>
        <v>14.969250000000001</v>
      </c>
      <c r="E41" s="29">
        <v>14.19</v>
      </c>
      <c r="F41" s="30">
        <v>0.04</v>
      </c>
      <c r="G41" s="31">
        <f t="shared" si="10"/>
        <v>4.2196617336152223E-2</v>
      </c>
    </row>
    <row r="42" spans="1:7" x14ac:dyDescent="0.25">
      <c r="A42" s="3" t="s">
        <v>61</v>
      </c>
      <c r="B42" s="3">
        <v>2</v>
      </c>
      <c r="C42" s="29">
        <v>0.51826000000000005</v>
      </c>
      <c r="D42" s="3">
        <f t="shared" si="5"/>
        <v>12.956500000000002</v>
      </c>
      <c r="E42" s="29">
        <v>13.08</v>
      </c>
      <c r="F42" s="30">
        <v>0.04</v>
      </c>
      <c r="G42" s="31">
        <f t="shared" si="6"/>
        <v>3.9622324159021408E-2</v>
      </c>
    </row>
    <row r="43" spans="1:7" x14ac:dyDescent="0.25">
      <c r="A43" s="3" t="s">
        <v>61</v>
      </c>
      <c r="B43" s="3">
        <v>3</v>
      </c>
      <c r="C43" s="29">
        <v>0.53769</v>
      </c>
      <c r="D43" s="3">
        <f t="shared" si="5"/>
        <v>13.44225</v>
      </c>
      <c r="E43" s="29">
        <v>13.44</v>
      </c>
      <c r="F43" s="30">
        <v>0.04</v>
      </c>
      <c r="G43" s="31">
        <f t="shared" si="6"/>
        <v>4.000669642857143E-2</v>
      </c>
    </row>
    <row r="44" spans="1:7" x14ac:dyDescent="0.25">
      <c r="A44" s="3" t="s">
        <v>61</v>
      </c>
      <c r="B44" s="3">
        <v>4</v>
      </c>
      <c r="C44" s="29">
        <v>0.52610000000000001</v>
      </c>
      <c r="D44" s="3">
        <f t="shared" si="5"/>
        <v>13.1525</v>
      </c>
      <c r="E44" s="29">
        <v>13.18</v>
      </c>
      <c r="F44" s="30">
        <v>0.04</v>
      </c>
      <c r="G44" s="31">
        <f t="shared" si="6"/>
        <v>3.9916540212443098E-2</v>
      </c>
    </row>
    <row r="45" spans="1:7" x14ac:dyDescent="0.25">
      <c r="A45" s="3" t="s">
        <v>61</v>
      </c>
      <c r="B45" s="3">
        <v>5</v>
      </c>
      <c r="C45" s="29">
        <v>0.51512999999999998</v>
      </c>
      <c r="D45" s="3">
        <f t="shared" si="5"/>
        <v>12.87825</v>
      </c>
      <c r="E45" s="29">
        <v>12.89</v>
      </c>
      <c r="F45" s="30">
        <v>0.04</v>
      </c>
      <c r="G45" s="31">
        <f t="shared" si="6"/>
        <v>3.9963537626066713E-2</v>
      </c>
    </row>
    <row r="46" spans="1:7" x14ac:dyDescent="0.25">
      <c r="A46" s="3" t="s">
        <v>61</v>
      </c>
      <c r="B46" s="3">
        <v>6</v>
      </c>
      <c r="C46" s="29">
        <v>0.51500000000000001</v>
      </c>
      <c r="D46" s="3">
        <f t="shared" si="5"/>
        <v>12.875</v>
      </c>
      <c r="E46" s="29">
        <v>12.9</v>
      </c>
      <c r="F46" s="30">
        <v>0.04</v>
      </c>
      <c r="G46" s="31">
        <f t="shared" si="6"/>
        <v>3.9922480620155042E-2</v>
      </c>
    </row>
    <row r="47" spans="1:7" x14ac:dyDescent="0.25">
      <c r="A47" s="3" t="s">
        <v>61</v>
      </c>
      <c r="B47" s="3">
        <v>7</v>
      </c>
      <c r="C47" s="29">
        <v>0.50949999999999995</v>
      </c>
      <c r="D47" s="3">
        <f t="shared" si="5"/>
        <v>12.737499999999999</v>
      </c>
      <c r="E47" s="29">
        <v>12.77</v>
      </c>
      <c r="F47" s="30">
        <v>0.04</v>
      </c>
      <c r="G47" s="31">
        <f t="shared" si="6"/>
        <v>3.9898198903680501E-2</v>
      </c>
    </row>
    <row r="48" spans="1:7" x14ac:dyDescent="0.25">
      <c r="A48" s="3" t="s">
        <v>61</v>
      </c>
      <c r="B48" s="3">
        <v>8</v>
      </c>
      <c r="C48" s="29">
        <v>0.53073999999999999</v>
      </c>
      <c r="D48" s="3">
        <f t="shared" si="5"/>
        <v>13.2685</v>
      </c>
      <c r="E48" s="29">
        <v>13.73</v>
      </c>
      <c r="F48" s="30">
        <v>0.04</v>
      </c>
      <c r="G48" s="31">
        <f t="shared" si="6"/>
        <v>3.865549890750182E-2</v>
      </c>
    </row>
    <row r="49" spans="1:7" x14ac:dyDescent="0.25">
      <c r="A49" s="3" t="s">
        <v>62</v>
      </c>
      <c r="B49" s="3">
        <v>1</v>
      </c>
      <c r="C49" s="29">
        <v>0.55235999999999996</v>
      </c>
      <c r="D49" s="3">
        <v>12.67225</v>
      </c>
      <c r="E49" s="29">
        <v>13.82</v>
      </c>
      <c r="F49" s="30">
        <v>0.04</v>
      </c>
      <c r="G49" s="31">
        <f t="shared" si="6"/>
        <v>3.9968162083936318E-2</v>
      </c>
    </row>
    <row r="50" spans="1:7" x14ac:dyDescent="0.25">
      <c r="A50" s="3" t="s">
        <v>62</v>
      </c>
      <c r="B50" s="3">
        <v>2.1</v>
      </c>
      <c r="C50" s="29">
        <v>0.52020999999999995</v>
      </c>
      <c r="D50" s="3">
        <f t="shared" ref="D50:D51" si="11">C50*25</f>
        <v>13.005249999999998</v>
      </c>
      <c r="E50" s="29">
        <v>13.02</v>
      </c>
      <c r="F50" s="30">
        <v>0.04</v>
      </c>
      <c r="G50" s="31">
        <f t="shared" ref="G50:G51" si="12">C50/E50</f>
        <v>3.9954685099846385E-2</v>
      </c>
    </row>
    <row r="51" spans="1:7" x14ac:dyDescent="0.25">
      <c r="A51" s="3" t="s">
        <v>62</v>
      </c>
      <c r="B51" s="3">
        <v>3.1</v>
      </c>
      <c r="C51" s="29">
        <v>0.51349999999999996</v>
      </c>
      <c r="D51" s="3">
        <f t="shared" si="11"/>
        <v>12.837499999999999</v>
      </c>
      <c r="E51" s="29">
        <v>12.24</v>
      </c>
      <c r="F51" s="30">
        <v>0.04</v>
      </c>
      <c r="G51" s="31">
        <f t="shared" si="12"/>
        <v>4.1952614379084964E-2</v>
      </c>
    </row>
    <row r="52" spans="1:7" x14ac:dyDescent="0.25">
      <c r="A52" s="3" t="s">
        <v>62</v>
      </c>
      <c r="B52" s="3">
        <v>2</v>
      </c>
      <c r="C52" s="29">
        <v>0.50302999999999998</v>
      </c>
      <c r="D52" s="3">
        <f t="shared" si="5"/>
        <v>12.575749999999999</v>
      </c>
      <c r="E52" s="29">
        <v>12.58</v>
      </c>
      <c r="F52" s="30">
        <v>0.04</v>
      </c>
      <c r="G52" s="31">
        <f t="shared" si="6"/>
        <v>3.9986486486486485E-2</v>
      </c>
    </row>
    <row r="53" spans="1:7" x14ac:dyDescent="0.25">
      <c r="A53" s="3" t="s">
        <v>62</v>
      </c>
      <c r="B53" s="3">
        <v>3</v>
      </c>
      <c r="C53" s="29">
        <v>0.50688999999999995</v>
      </c>
      <c r="D53" s="3">
        <v>13.808999999999999</v>
      </c>
      <c r="E53" s="29">
        <v>14.06</v>
      </c>
      <c r="F53" s="30">
        <v>0.04</v>
      </c>
      <c r="G53" s="31">
        <f t="shared" si="6"/>
        <v>3.6051920341394018E-2</v>
      </c>
    </row>
    <row r="54" spans="1:7" x14ac:dyDescent="0.25">
      <c r="A54" s="3" t="s">
        <v>62</v>
      </c>
      <c r="B54" s="3">
        <v>4</v>
      </c>
      <c r="C54" s="29">
        <v>0.53361999999999998</v>
      </c>
      <c r="D54" s="3">
        <f t="shared" si="5"/>
        <v>13.340499999999999</v>
      </c>
      <c r="E54" s="29">
        <v>13.61</v>
      </c>
      <c r="F54" s="30">
        <v>0.04</v>
      </c>
      <c r="G54" s="31">
        <f t="shared" si="6"/>
        <v>3.9207935341660546E-2</v>
      </c>
    </row>
    <row r="55" spans="1:7" x14ac:dyDescent="0.25">
      <c r="A55" s="3" t="s">
        <v>62</v>
      </c>
      <c r="B55" s="3">
        <v>5</v>
      </c>
      <c r="C55" s="29">
        <v>0.51856999999999998</v>
      </c>
      <c r="D55" s="3">
        <f t="shared" si="5"/>
        <v>12.96425</v>
      </c>
      <c r="E55" s="29">
        <v>12.98</v>
      </c>
      <c r="F55" s="30">
        <v>0.04</v>
      </c>
      <c r="G55" s="31">
        <f t="shared" si="6"/>
        <v>3.9951463790446839E-2</v>
      </c>
    </row>
    <row r="56" spans="1:7" x14ac:dyDescent="0.25">
      <c r="A56" s="3" t="s">
        <v>62</v>
      </c>
      <c r="B56" s="3">
        <v>6</v>
      </c>
      <c r="C56" s="29">
        <v>0.51651999999999998</v>
      </c>
      <c r="D56" s="3">
        <f t="shared" si="5"/>
        <v>12.913</v>
      </c>
      <c r="E56" s="29">
        <v>13.01</v>
      </c>
      <c r="F56" s="30">
        <v>0.04</v>
      </c>
      <c r="G56" s="31">
        <f t="shared" si="6"/>
        <v>3.9701767870868564E-2</v>
      </c>
    </row>
    <row r="57" spans="1:7" x14ac:dyDescent="0.25">
      <c r="A57" s="3" t="s">
        <v>62</v>
      </c>
      <c r="B57" s="3">
        <v>7</v>
      </c>
      <c r="C57" s="29">
        <v>0.53559000000000001</v>
      </c>
      <c r="D57" s="3">
        <f t="shared" si="5"/>
        <v>13.389749999999999</v>
      </c>
      <c r="E57" s="29">
        <v>13.6</v>
      </c>
      <c r="F57" s="30">
        <v>0.04</v>
      </c>
      <c r="G57" s="31">
        <f t="shared" si="6"/>
        <v>3.9381617647058824E-2</v>
      </c>
    </row>
    <row r="58" spans="1:7" x14ac:dyDescent="0.25">
      <c r="A58" s="3" t="s">
        <v>62</v>
      </c>
      <c r="B58" s="3">
        <v>8</v>
      </c>
      <c r="C58" s="29">
        <v>0.53927000000000003</v>
      </c>
      <c r="D58" s="3">
        <f t="shared" si="5"/>
        <v>13.48175</v>
      </c>
      <c r="E58" s="29">
        <v>13.51</v>
      </c>
      <c r="F58" s="30">
        <v>0.04</v>
      </c>
      <c r="G58" s="31">
        <f t="shared" si="6"/>
        <v>3.9916358253145823E-2</v>
      </c>
    </row>
    <row r="59" spans="1:7" x14ac:dyDescent="0.25">
      <c r="A59" s="13" t="s">
        <v>31</v>
      </c>
      <c r="B59" s="3">
        <v>1</v>
      </c>
      <c r="C59" s="29">
        <v>0</v>
      </c>
      <c r="D59" s="3">
        <f t="shared" si="5"/>
        <v>0</v>
      </c>
      <c r="E59" s="29">
        <v>5.72</v>
      </c>
      <c r="F59" s="30">
        <v>0.04</v>
      </c>
      <c r="G59" s="31">
        <f t="shared" si="6"/>
        <v>0</v>
      </c>
    </row>
    <row r="60" spans="1:7" x14ac:dyDescent="0.25">
      <c r="A60" s="13" t="s">
        <v>31</v>
      </c>
      <c r="B60" s="3">
        <v>2.1</v>
      </c>
      <c r="C60" s="29">
        <v>0</v>
      </c>
      <c r="D60" s="3">
        <f t="shared" ref="D60:D61" si="13">C60*25</f>
        <v>0</v>
      </c>
      <c r="E60" s="29">
        <v>5.72</v>
      </c>
      <c r="F60" s="30">
        <v>0.04</v>
      </c>
      <c r="G60" s="31">
        <f t="shared" ref="G60:G61" si="14">C60/E60</f>
        <v>0</v>
      </c>
    </row>
    <row r="61" spans="1:7" x14ac:dyDescent="0.25">
      <c r="A61" s="13" t="s">
        <v>31</v>
      </c>
      <c r="B61" s="3">
        <v>3.1</v>
      </c>
      <c r="C61" s="29">
        <v>0</v>
      </c>
      <c r="D61" s="3">
        <f t="shared" si="13"/>
        <v>0</v>
      </c>
      <c r="E61" s="29">
        <v>5.72</v>
      </c>
      <c r="F61" s="30">
        <v>0.04</v>
      </c>
      <c r="G61" s="31">
        <f t="shared" si="14"/>
        <v>0</v>
      </c>
    </row>
    <row r="62" spans="1:7" x14ac:dyDescent="0.25">
      <c r="A62" s="13" t="s">
        <v>31</v>
      </c>
      <c r="B62" s="3">
        <v>2</v>
      </c>
      <c r="C62" s="29">
        <v>0</v>
      </c>
      <c r="D62" s="3">
        <f t="shared" si="5"/>
        <v>0</v>
      </c>
      <c r="E62" s="29">
        <v>5.0199999999999996</v>
      </c>
      <c r="F62" s="30">
        <v>0.04</v>
      </c>
      <c r="G62" s="31">
        <f t="shared" si="6"/>
        <v>0</v>
      </c>
    </row>
    <row r="63" spans="1:7" x14ac:dyDescent="0.25">
      <c r="A63" s="13" t="s">
        <v>31</v>
      </c>
      <c r="B63" s="3">
        <v>3</v>
      </c>
      <c r="C63" s="29">
        <v>0</v>
      </c>
      <c r="D63" s="3">
        <f t="shared" si="5"/>
        <v>0</v>
      </c>
      <c r="E63" s="29">
        <v>4.71</v>
      </c>
      <c r="F63" s="30">
        <v>0.04</v>
      </c>
      <c r="G63" s="31">
        <f t="shared" si="6"/>
        <v>0</v>
      </c>
    </row>
    <row r="64" spans="1:7" x14ac:dyDescent="0.25">
      <c r="A64" s="13" t="s">
        <v>31</v>
      </c>
      <c r="B64" s="3">
        <v>4</v>
      </c>
      <c r="C64" s="29">
        <v>0</v>
      </c>
      <c r="D64" s="3">
        <f t="shared" si="5"/>
        <v>0</v>
      </c>
      <c r="E64" s="29">
        <v>5.54</v>
      </c>
      <c r="F64" s="30">
        <v>0.04</v>
      </c>
      <c r="G64" s="31">
        <f t="shared" si="6"/>
        <v>0</v>
      </c>
    </row>
    <row r="65" spans="1:7" x14ac:dyDescent="0.25">
      <c r="A65" s="13" t="s">
        <v>31</v>
      </c>
      <c r="B65" s="3">
        <v>5</v>
      </c>
      <c r="C65" s="29">
        <v>0</v>
      </c>
      <c r="D65" s="3">
        <f t="shared" si="5"/>
        <v>0</v>
      </c>
      <c r="E65" s="29">
        <v>4.5999999999999996</v>
      </c>
      <c r="F65" s="30">
        <v>0.04</v>
      </c>
      <c r="G65" s="31">
        <f t="shared" si="6"/>
        <v>0</v>
      </c>
    </row>
    <row r="66" spans="1:7" x14ac:dyDescent="0.25">
      <c r="A66" s="13" t="s">
        <v>31</v>
      </c>
      <c r="B66" s="3">
        <v>6</v>
      </c>
      <c r="C66" s="29">
        <v>0</v>
      </c>
      <c r="D66" s="3">
        <f t="shared" si="5"/>
        <v>0</v>
      </c>
      <c r="E66" s="29">
        <v>5.55</v>
      </c>
      <c r="F66" s="30">
        <v>0.04</v>
      </c>
      <c r="G66" s="31">
        <f t="shared" si="6"/>
        <v>0</v>
      </c>
    </row>
    <row r="67" spans="1:7" x14ac:dyDescent="0.25">
      <c r="A67" s="13" t="s">
        <v>31</v>
      </c>
      <c r="B67" s="3">
        <v>7</v>
      </c>
      <c r="C67" s="29">
        <v>0</v>
      </c>
      <c r="D67" s="3">
        <f t="shared" si="5"/>
        <v>0</v>
      </c>
      <c r="E67" s="29">
        <v>5.77</v>
      </c>
      <c r="F67" s="30">
        <v>0.04</v>
      </c>
      <c r="G67" s="31">
        <f t="shared" si="6"/>
        <v>0</v>
      </c>
    </row>
    <row r="68" spans="1:7" x14ac:dyDescent="0.25">
      <c r="A68" s="13" t="s">
        <v>31</v>
      </c>
      <c r="B68" s="3">
        <v>8</v>
      </c>
      <c r="C68" s="29">
        <v>0</v>
      </c>
      <c r="D68" s="3">
        <f t="shared" si="5"/>
        <v>0</v>
      </c>
      <c r="E68" s="29">
        <v>4.46</v>
      </c>
      <c r="F68" s="30">
        <v>0.04</v>
      </c>
      <c r="G68" s="31">
        <f t="shared" si="6"/>
        <v>0</v>
      </c>
    </row>
    <row r="69" spans="1:7" x14ac:dyDescent="0.25">
      <c r="A69" s="13" t="s">
        <v>32</v>
      </c>
      <c r="B69" s="3">
        <v>1</v>
      </c>
      <c r="C69" s="29">
        <v>0</v>
      </c>
      <c r="D69" s="3">
        <f t="shared" si="5"/>
        <v>0</v>
      </c>
      <c r="E69" s="29">
        <v>5.19</v>
      </c>
      <c r="F69" s="30">
        <v>0.04</v>
      </c>
      <c r="G69" s="31">
        <f t="shared" si="6"/>
        <v>0</v>
      </c>
    </row>
    <row r="70" spans="1:7" x14ac:dyDescent="0.25">
      <c r="A70" s="13" t="s">
        <v>32</v>
      </c>
      <c r="B70" s="3">
        <v>2.1</v>
      </c>
      <c r="C70" s="29">
        <v>0</v>
      </c>
      <c r="D70" s="3">
        <f t="shared" ref="D70:D71" si="15">C70*25</f>
        <v>0</v>
      </c>
      <c r="E70" s="29">
        <v>5.19</v>
      </c>
      <c r="F70" s="30">
        <v>0.04</v>
      </c>
      <c r="G70" s="31">
        <f t="shared" ref="G70:G71" si="16">C70/E70</f>
        <v>0</v>
      </c>
    </row>
    <row r="71" spans="1:7" x14ac:dyDescent="0.25">
      <c r="A71" s="13" t="s">
        <v>32</v>
      </c>
      <c r="B71" s="3">
        <v>3.1</v>
      </c>
      <c r="C71" s="29">
        <v>0</v>
      </c>
      <c r="D71" s="3">
        <f t="shared" si="15"/>
        <v>0</v>
      </c>
      <c r="E71" s="29">
        <v>5.19</v>
      </c>
      <c r="F71" s="30">
        <v>0.04</v>
      </c>
      <c r="G71" s="31">
        <f t="shared" si="16"/>
        <v>0</v>
      </c>
    </row>
    <row r="72" spans="1:7" x14ac:dyDescent="0.25">
      <c r="A72" s="13" t="s">
        <v>32</v>
      </c>
      <c r="B72" s="3">
        <v>2</v>
      </c>
      <c r="C72" s="29">
        <v>0</v>
      </c>
      <c r="D72" s="3">
        <f t="shared" si="5"/>
        <v>0</v>
      </c>
      <c r="E72" s="29">
        <v>5.33</v>
      </c>
      <c r="F72" s="30">
        <v>0.04</v>
      </c>
      <c r="G72" s="31">
        <f t="shared" si="6"/>
        <v>0</v>
      </c>
    </row>
    <row r="73" spans="1:7" x14ac:dyDescent="0.25">
      <c r="A73" s="13" t="s">
        <v>32</v>
      </c>
      <c r="B73" s="3">
        <v>3</v>
      </c>
      <c r="C73" s="29">
        <v>0</v>
      </c>
      <c r="D73" s="3">
        <f t="shared" si="5"/>
        <v>0</v>
      </c>
      <c r="E73" s="29">
        <v>4.37</v>
      </c>
      <c r="F73" s="30">
        <v>0.04</v>
      </c>
      <c r="G73" s="31">
        <f t="shared" si="6"/>
        <v>0</v>
      </c>
    </row>
    <row r="74" spans="1:7" x14ac:dyDescent="0.25">
      <c r="A74" s="13" t="s">
        <v>32</v>
      </c>
      <c r="B74" s="3">
        <v>4</v>
      </c>
      <c r="C74" s="29">
        <v>0</v>
      </c>
      <c r="D74" s="3">
        <f t="shared" si="5"/>
        <v>0</v>
      </c>
      <c r="E74" s="29">
        <v>5.29</v>
      </c>
      <c r="F74" s="30">
        <v>0.04</v>
      </c>
      <c r="G74" s="31">
        <f t="shared" si="6"/>
        <v>0</v>
      </c>
    </row>
    <row r="75" spans="1:7" x14ac:dyDescent="0.25">
      <c r="A75" s="13" t="s">
        <v>32</v>
      </c>
      <c r="B75" s="3">
        <v>5</v>
      </c>
      <c r="C75" s="29">
        <v>0</v>
      </c>
      <c r="D75" s="3">
        <f t="shared" si="5"/>
        <v>0</v>
      </c>
      <c r="E75" s="29">
        <v>5.74</v>
      </c>
      <c r="F75" s="30">
        <v>0.04</v>
      </c>
      <c r="G75" s="31">
        <f t="shared" si="6"/>
        <v>0</v>
      </c>
    </row>
    <row r="76" spans="1:7" x14ac:dyDescent="0.25">
      <c r="A76" s="13" t="s">
        <v>32</v>
      </c>
      <c r="B76" s="3">
        <v>6</v>
      </c>
      <c r="C76" s="29">
        <v>0</v>
      </c>
      <c r="D76" s="3">
        <f t="shared" si="5"/>
        <v>0</v>
      </c>
      <c r="E76" s="29">
        <v>4.87</v>
      </c>
      <c r="F76" s="30">
        <v>0.04</v>
      </c>
      <c r="G76" s="31">
        <f t="shared" si="6"/>
        <v>0</v>
      </c>
    </row>
    <row r="77" spans="1:7" x14ac:dyDescent="0.25">
      <c r="A77" s="13" t="s">
        <v>32</v>
      </c>
      <c r="B77" s="3">
        <v>7</v>
      </c>
      <c r="C77" s="29">
        <v>0</v>
      </c>
      <c r="D77" s="3">
        <f t="shared" si="5"/>
        <v>0</v>
      </c>
      <c r="E77" s="29">
        <v>6.03</v>
      </c>
      <c r="F77" s="30">
        <v>0.04</v>
      </c>
      <c r="G77" s="31">
        <f t="shared" si="6"/>
        <v>0</v>
      </c>
    </row>
    <row r="78" spans="1:7" x14ac:dyDescent="0.25">
      <c r="A78" s="13" t="s">
        <v>32</v>
      </c>
      <c r="B78" s="3">
        <v>8</v>
      </c>
      <c r="C78" s="29">
        <v>0</v>
      </c>
      <c r="D78" s="3">
        <f t="shared" si="5"/>
        <v>0</v>
      </c>
      <c r="E78" s="29">
        <v>4.82</v>
      </c>
      <c r="F78" s="30">
        <v>0.04</v>
      </c>
      <c r="G78" s="31">
        <f t="shared" si="6"/>
        <v>0</v>
      </c>
    </row>
    <row r="83" spans="1:7" x14ac:dyDescent="0.25">
      <c r="A83" s="3" t="s">
        <v>59</v>
      </c>
      <c r="B83" s="3">
        <v>9</v>
      </c>
      <c r="C83" s="29">
        <v>0.56045999999999996</v>
      </c>
      <c r="D83" s="3">
        <f t="shared" ref="D83:D92" si="17">C83*25</f>
        <v>14.011499999999998</v>
      </c>
      <c r="E83" s="29">
        <v>14.05</v>
      </c>
      <c r="F83" s="30">
        <v>0.04</v>
      </c>
      <c r="G83" s="31">
        <f t="shared" ref="G83:G92" si="18">C83/E83</f>
        <v>3.9890391459074727E-2</v>
      </c>
    </row>
    <row r="84" spans="1:7" x14ac:dyDescent="0.25">
      <c r="A84" s="3" t="s">
        <v>59</v>
      </c>
      <c r="B84" s="3">
        <v>10</v>
      </c>
      <c r="C84" s="29">
        <v>0.57084000000000001</v>
      </c>
      <c r="D84" s="3">
        <f t="shared" si="17"/>
        <v>14.271000000000001</v>
      </c>
      <c r="E84" s="29">
        <v>14.32</v>
      </c>
      <c r="F84" s="30">
        <v>0.04</v>
      </c>
      <c r="G84" s="31">
        <f t="shared" si="18"/>
        <v>3.986312849162011E-2</v>
      </c>
    </row>
    <row r="85" spans="1:7" x14ac:dyDescent="0.25">
      <c r="A85" s="3" t="s">
        <v>60</v>
      </c>
      <c r="B85" s="3">
        <v>9</v>
      </c>
      <c r="C85" s="29">
        <v>0.51722999999999997</v>
      </c>
      <c r="D85" s="3">
        <f t="shared" si="17"/>
        <v>12.93075</v>
      </c>
      <c r="E85" s="29">
        <v>12.94</v>
      </c>
      <c r="F85" s="30">
        <v>0.04</v>
      </c>
      <c r="G85" s="31">
        <f t="shared" si="18"/>
        <v>3.9971406491499224E-2</v>
      </c>
    </row>
    <row r="86" spans="1:7" x14ac:dyDescent="0.25">
      <c r="A86" s="3" t="s">
        <v>60</v>
      </c>
      <c r="B86" s="3">
        <v>10</v>
      </c>
      <c r="C86" s="29">
        <v>0.57328999999999997</v>
      </c>
      <c r="D86" s="3">
        <f t="shared" si="17"/>
        <v>14.332249999999998</v>
      </c>
      <c r="E86" s="29">
        <v>14.32</v>
      </c>
      <c r="F86" s="30">
        <v>0.04</v>
      </c>
      <c r="G86" s="31">
        <f t="shared" si="18"/>
        <v>4.003421787709497E-2</v>
      </c>
    </row>
    <row r="87" spans="1:7" x14ac:dyDescent="0.25">
      <c r="A87" s="3" t="s">
        <v>61</v>
      </c>
      <c r="B87" s="3">
        <v>9</v>
      </c>
      <c r="C87" s="29">
        <v>0.54444000000000004</v>
      </c>
      <c r="D87" s="3">
        <f t="shared" si="17"/>
        <v>13.611000000000001</v>
      </c>
      <c r="E87" s="29">
        <v>13.67</v>
      </c>
      <c r="F87" s="30">
        <v>0.04</v>
      </c>
      <c r="G87" s="31">
        <f t="shared" si="18"/>
        <v>3.9827359180687638E-2</v>
      </c>
    </row>
    <row r="88" spans="1:7" x14ac:dyDescent="0.25">
      <c r="A88" s="3" t="s">
        <v>61</v>
      </c>
      <c r="B88" s="3">
        <v>10</v>
      </c>
      <c r="C88" s="29">
        <v>0.54354999999999998</v>
      </c>
      <c r="D88" s="3">
        <f t="shared" si="17"/>
        <v>13.588749999999999</v>
      </c>
      <c r="E88" s="29">
        <v>13.66</v>
      </c>
      <c r="F88" s="30">
        <v>0.04</v>
      </c>
      <c r="G88" s="31">
        <f t="shared" si="18"/>
        <v>3.9791361639824302E-2</v>
      </c>
    </row>
    <row r="89" spans="1:7" x14ac:dyDescent="0.25">
      <c r="A89" s="3" t="s">
        <v>62</v>
      </c>
      <c r="B89" s="3">
        <v>9</v>
      </c>
      <c r="C89" s="29">
        <v>0.51165000000000005</v>
      </c>
      <c r="D89" s="3">
        <f t="shared" si="17"/>
        <v>12.791250000000002</v>
      </c>
      <c r="E89" s="29">
        <v>12.79</v>
      </c>
      <c r="F89" s="30">
        <v>0.04</v>
      </c>
      <c r="G89" s="31">
        <f t="shared" si="18"/>
        <v>4.0003909304143867E-2</v>
      </c>
    </row>
    <row r="90" spans="1:7" ht="15.75" customHeight="1" x14ac:dyDescent="0.25">
      <c r="A90" s="3" t="s">
        <v>62</v>
      </c>
      <c r="B90" s="3">
        <v>10</v>
      </c>
      <c r="C90" s="29">
        <v>0.53376999999999997</v>
      </c>
      <c r="D90" s="3">
        <f t="shared" si="17"/>
        <v>13.344249999999999</v>
      </c>
      <c r="E90" s="29">
        <v>13.46</v>
      </c>
      <c r="F90" s="30">
        <v>0.04</v>
      </c>
      <c r="G90" s="31">
        <f t="shared" si="18"/>
        <v>3.9656017830609208E-2</v>
      </c>
    </row>
    <row r="91" spans="1:7" x14ac:dyDescent="0.25">
      <c r="A91" s="13" t="s">
        <v>31</v>
      </c>
      <c r="B91" s="3">
        <v>9</v>
      </c>
      <c r="C91" s="29">
        <v>0</v>
      </c>
      <c r="D91" s="3">
        <f t="shared" si="17"/>
        <v>0</v>
      </c>
      <c r="E91" s="29">
        <v>5.26</v>
      </c>
      <c r="F91" s="30">
        <v>0.04</v>
      </c>
      <c r="G91" s="31">
        <f t="shared" si="18"/>
        <v>0</v>
      </c>
    </row>
    <row r="92" spans="1:7" x14ac:dyDescent="0.25">
      <c r="A92" s="13" t="s">
        <v>31</v>
      </c>
      <c r="B92" s="3">
        <v>10</v>
      </c>
      <c r="C92" s="29">
        <v>0</v>
      </c>
      <c r="D92" s="3">
        <f t="shared" si="17"/>
        <v>0</v>
      </c>
      <c r="E92" s="29">
        <v>5.17</v>
      </c>
      <c r="F92" s="30">
        <v>0.04</v>
      </c>
      <c r="G92" s="31">
        <f t="shared" si="18"/>
        <v>0</v>
      </c>
    </row>
    <row r="93" spans="1:7" x14ac:dyDescent="0.25">
      <c r="A93" s="13" t="s">
        <v>32</v>
      </c>
      <c r="B93" s="3">
        <v>9</v>
      </c>
      <c r="C93" s="29">
        <v>0</v>
      </c>
      <c r="D93" s="3">
        <f t="shared" ref="D93:D94" si="19">C93*25</f>
        <v>0</v>
      </c>
      <c r="E93" s="29">
        <v>5.87</v>
      </c>
      <c r="F93" s="30">
        <v>0.04</v>
      </c>
      <c r="G93" s="31">
        <f t="shared" ref="G93:G94" si="20">C93/E93</f>
        <v>0</v>
      </c>
    </row>
    <row r="94" spans="1:7" x14ac:dyDescent="0.25">
      <c r="A94" s="13" t="s">
        <v>32</v>
      </c>
      <c r="B94" s="3">
        <v>10</v>
      </c>
      <c r="C94" s="29">
        <v>0</v>
      </c>
      <c r="D94" s="3">
        <f t="shared" si="19"/>
        <v>0</v>
      </c>
      <c r="E94" s="29">
        <v>6.18</v>
      </c>
      <c r="F94" s="30">
        <v>0.04</v>
      </c>
      <c r="G94" s="31">
        <f t="shared" si="20"/>
        <v>0</v>
      </c>
    </row>
  </sheetData>
  <mergeCells count="1">
    <mergeCell ref="G1:H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CDAA-B900-4062-A64F-A836994504E8}">
  <dimension ref="A1:AM138"/>
  <sheetViews>
    <sheetView tabSelected="1" topLeftCell="K66" zoomScale="82" zoomScaleNormal="82" workbookViewId="0">
      <selection activeCell="M94" sqref="M94"/>
    </sheetView>
  </sheetViews>
  <sheetFormatPr defaultRowHeight="15" x14ac:dyDescent="0.25"/>
  <cols>
    <col min="1" max="1" width="12.42578125" bestFit="1" customWidth="1"/>
    <col min="2" max="2" width="10.7109375" customWidth="1"/>
    <col min="3" max="3" width="12" customWidth="1"/>
    <col min="4" max="4" width="13.28515625" customWidth="1"/>
    <col min="6" max="6" width="12.7109375" bestFit="1" customWidth="1"/>
    <col min="7" max="7" width="17.5703125" bestFit="1" customWidth="1"/>
    <col min="8" max="8" width="18" bestFit="1" customWidth="1"/>
    <col min="9" max="9" width="17.42578125" bestFit="1" customWidth="1"/>
    <col min="10" max="10" width="10.28515625" bestFit="1" customWidth="1"/>
    <col min="12" max="12" width="7.5703125" bestFit="1" customWidth="1"/>
    <col min="13" max="13" width="20.28515625" bestFit="1" customWidth="1"/>
    <col min="14" max="14" width="20.42578125" bestFit="1" customWidth="1"/>
    <col min="15" max="15" width="8" bestFit="1" customWidth="1"/>
    <col min="16" max="16" width="11.7109375" customWidth="1"/>
    <col min="17" max="17" width="10.42578125" customWidth="1"/>
    <col min="19" max="19" width="10.28515625" bestFit="1" customWidth="1"/>
    <col min="20" max="21" width="13.5703125" bestFit="1" customWidth="1"/>
    <col min="22" max="22" width="11.7109375" bestFit="1" customWidth="1"/>
    <col min="23" max="23" width="11.7109375" customWidth="1"/>
    <col min="27" max="27" width="12.42578125" customWidth="1"/>
    <col min="28" max="28" width="9.28515625" customWidth="1"/>
    <col min="29" max="29" width="14.28515625" customWidth="1"/>
    <col min="30" max="30" width="16" customWidth="1"/>
    <col min="34" max="34" width="10.42578125" bestFit="1" customWidth="1"/>
  </cols>
  <sheetData>
    <row r="1" spans="1:22" ht="36" customHeight="1" x14ac:dyDescent="0.25">
      <c r="A1" s="3" t="s">
        <v>16</v>
      </c>
      <c r="B1" s="3" t="s">
        <v>24</v>
      </c>
      <c r="C1" s="15" t="s">
        <v>33</v>
      </c>
      <c r="D1" s="15" t="s">
        <v>113</v>
      </c>
      <c r="E1" s="3" t="s">
        <v>25</v>
      </c>
      <c r="F1" s="1" t="s">
        <v>36</v>
      </c>
      <c r="G1" s="3" t="s">
        <v>14</v>
      </c>
      <c r="H1" s="27" t="s">
        <v>37</v>
      </c>
      <c r="I1" s="27" t="s">
        <v>38</v>
      </c>
      <c r="J1" s="27" t="s">
        <v>39</v>
      </c>
      <c r="K1" s="27" t="s">
        <v>40</v>
      </c>
      <c r="L1" s="27" t="s">
        <v>41</v>
      </c>
      <c r="M1" s="23" t="s">
        <v>42</v>
      </c>
      <c r="N1" s="22" t="s">
        <v>43</v>
      </c>
      <c r="O1" s="22" t="s">
        <v>49</v>
      </c>
      <c r="P1" s="22" t="s">
        <v>44</v>
      </c>
      <c r="Q1" s="22" t="s">
        <v>45</v>
      </c>
      <c r="R1" s="24" t="s">
        <v>46</v>
      </c>
      <c r="S1" s="22" t="s">
        <v>48</v>
      </c>
      <c r="T1" s="24" t="s">
        <v>47</v>
      </c>
      <c r="U1" s="22" t="s">
        <v>51</v>
      </c>
      <c r="V1" s="24" t="s">
        <v>50</v>
      </c>
    </row>
    <row r="2" spans="1:22" x14ac:dyDescent="0.25">
      <c r="A2" s="29" t="s">
        <v>59</v>
      </c>
      <c r="B2" s="3">
        <v>1</v>
      </c>
      <c r="C2">
        <v>0.108</v>
      </c>
      <c r="D2">
        <v>0</v>
      </c>
      <c r="E2">
        <v>9.1999999999999998E-2</v>
      </c>
      <c r="F2">
        <f>1.7144*C2-0.1487</f>
        <v>3.6455199999999993E-2</v>
      </c>
      <c r="G2">
        <v>0.50585000000000002</v>
      </c>
      <c r="H2">
        <f>D2-F2</f>
        <v>-3.6455199999999993E-2</v>
      </c>
      <c r="I2">
        <f>H2*1000</f>
        <v>-36.455199999999991</v>
      </c>
      <c r="J2">
        <v>12.66</v>
      </c>
      <c r="K2">
        <f>J2/1000</f>
        <v>1.2659999999999999E-2</v>
      </c>
      <c r="L2">
        <f>I2*K2</f>
        <v>-0.46152283199999988</v>
      </c>
      <c r="M2">
        <f>L2/G2</f>
        <v>-0.91237092418701171</v>
      </c>
      <c r="N2">
        <v>1.9316795808630918</v>
      </c>
      <c r="O2">
        <f>N2+M2</f>
        <v>1.0193086566760801</v>
      </c>
      <c r="P2">
        <f>F2/O2</f>
        <v>3.5764632980630977E-2</v>
      </c>
      <c r="U2">
        <f>EXP((0-15.303)/4.1992)</f>
        <v>2.614060113257104E-2</v>
      </c>
      <c r="V2">
        <v>2.1769500000000001E-2</v>
      </c>
    </row>
    <row r="3" spans="1:22" x14ac:dyDescent="0.25">
      <c r="A3" s="29" t="s">
        <v>59</v>
      </c>
      <c r="B3" s="3">
        <v>1.1000000000000001</v>
      </c>
      <c r="C3">
        <v>0.109</v>
      </c>
      <c r="D3">
        <v>9.5211012193945465E-3</v>
      </c>
      <c r="E3">
        <v>9.5000000000000001E-2</v>
      </c>
      <c r="F3">
        <f t="shared" ref="F3:F7" si="0">1.7144*C3-0.1487</f>
        <v>3.8169599999999998E-2</v>
      </c>
      <c r="G3">
        <v>0.52114000000000005</v>
      </c>
      <c r="H3">
        <f t="shared" ref="H3:H61" si="1">D3-F3</f>
        <v>-2.864849878060545E-2</v>
      </c>
      <c r="I3">
        <f t="shared" ref="I3:I61" si="2">H3*1000</f>
        <v>-28.648498780605451</v>
      </c>
      <c r="J3">
        <v>12.1</v>
      </c>
      <c r="K3">
        <f t="shared" ref="K3:K61" si="3">J3/1000</f>
        <v>1.21E-2</v>
      </c>
      <c r="L3">
        <f t="shared" ref="L3:L61" si="4">I3*K3</f>
        <v>-0.34664683524532597</v>
      </c>
      <c r="M3">
        <f t="shared" ref="M3:M41" si="5">L3/G3</f>
        <v>-0.66517027141521656</v>
      </c>
      <c r="N3">
        <v>1.9316795808630918</v>
      </c>
      <c r="O3">
        <f t="shared" ref="O3:O41" si="6">N3+M3</f>
        <v>1.2665093094478752</v>
      </c>
      <c r="P3">
        <f t="shared" ref="P3:P41" si="7">F3/O3</f>
        <v>3.0137638717112735E-2</v>
      </c>
      <c r="U3">
        <f t="shared" ref="U3:U11" si="8">EXP((0-15.303)/4.1992)</f>
        <v>2.614060113257104E-2</v>
      </c>
    </row>
    <row r="4" spans="1:22" x14ac:dyDescent="0.25">
      <c r="A4" s="29" t="s">
        <v>59</v>
      </c>
      <c r="B4" s="3">
        <v>1.2</v>
      </c>
      <c r="C4">
        <v>0.106</v>
      </c>
      <c r="D4">
        <v>5.1120825771294634E-2</v>
      </c>
      <c r="E4">
        <v>0.106</v>
      </c>
      <c r="F4">
        <f t="shared" si="0"/>
        <v>3.3026399999999984E-2</v>
      </c>
      <c r="G4">
        <v>0.54673000000000005</v>
      </c>
      <c r="H4">
        <f t="shared" si="1"/>
        <v>1.809442577129465E-2</v>
      </c>
      <c r="I4">
        <f t="shared" si="2"/>
        <v>18.094425771294649</v>
      </c>
      <c r="J4">
        <v>13.95</v>
      </c>
      <c r="K4">
        <f t="shared" si="3"/>
        <v>1.3949999999999999E-2</v>
      </c>
      <c r="L4">
        <f t="shared" si="4"/>
        <v>0.25241723950956035</v>
      </c>
      <c r="M4">
        <f t="shared" si="5"/>
        <v>0.46168536482278333</v>
      </c>
      <c r="N4">
        <v>1.9316795808630918</v>
      </c>
      <c r="O4">
        <f t="shared" si="6"/>
        <v>2.393364945685875</v>
      </c>
      <c r="P4">
        <f t="shared" si="7"/>
        <v>1.3799149210207678E-2</v>
      </c>
      <c r="U4">
        <f t="shared" si="8"/>
        <v>2.614060113257104E-2</v>
      </c>
    </row>
    <row r="5" spans="1:22" x14ac:dyDescent="0.25">
      <c r="A5" s="29" t="s">
        <v>59</v>
      </c>
      <c r="B5" s="3">
        <v>2</v>
      </c>
      <c r="C5">
        <v>0.11799999999999999</v>
      </c>
      <c r="D5">
        <v>8.9009880096690724E-2</v>
      </c>
      <c r="E5">
        <v>0.14199999999999999</v>
      </c>
      <c r="F5">
        <f t="shared" si="0"/>
        <v>5.3599199999999986E-2</v>
      </c>
      <c r="G5">
        <v>0.56779999999999997</v>
      </c>
      <c r="H5">
        <f t="shared" si="1"/>
        <v>3.5410680096690739E-2</v>
      </c>
      <c r="I5">
        <f t="shared" si="2"/>
        <v>35.41068009669074</v>
      </c>
      <c r="J5">
        <v>14.32</v>
      </c>
      <c r="K5">
        <f t="shared" si="3"/>
        <v>1.4320000000000001E-2</v>
      </c>
      <c r="L5">
        <f t="shared" si="4"/>
        <v>0.50708093898461148</v>
      </c>
      <c r="M5">
        <f t="shared" si="5"/>
        <v>0.89306259067384908</v>
      </c>
      <c r="N5">
        <v>1.9316795808630918</v>
      </c>
      <c r="O5">
        <f t="shared" si="6"/>
        <v>2.8247421715369407</v>
      </c>
      <c r="P5">
        <f t="shared" si="7"/>
        <v>1.8974899918330134E-2</v>
      </c>
      <c r="U5">
        <f t="shared" si="8"/>
        <v>2.614060113257104E-2</v>
      </c>
    </row>
    <row r="6" spans="1:22" x14ac:dyDescent="0.25">
      <c r="A6" s="29" t="s">
        <v>59</v>
      </c>
      <c r="B6" s="3">
        <v>3</v>
      </c>
      <c r="C6">
        <v>0.249</v>
      </c>
      <c r="D6">
        <v>0.53282257008416201</v>
      </c>
      <c r="E6">
        <v>0.39600000000000002</v>
      </c>
      <c r="F6">
        <f t="shared" si="0"/>
        <v>0.27818559999999998</v>
      </c>
      <c r="G6">
        <v>0.51226000000000005</v>
      </c>
      <c r="H6">
        <f t="shared" si="1"/>
        <v>0.25463697008416203</v>
      </c>
      <c r="I6">
        <f t="shared" si="2"/>
        <v>254.63697008416202</v>
      </c>
      <c r="J6">
        <v>13.29</v>
      </c>
      <c r="K6">
        <f t="shared" si="3"/>
        <v>1.329E-2</v>
      </c>
      <c r="L6">
        <f t="shared" si="4"/>
        <v>3.3841253324185132</v>
      </c>
      <c r="M6">
        <f t="shared" si="5"/>
        <v>6.6062650459112815</v>
      </c>
      <c r="N6">
        <v>1.9316795808630918</v>
      </c>
      <c r="O6">
        <f t="shared" si="6"/>
        <v>8.5379446267743724</v>
      </c>
      <c r="P6">
        <f t="shared" si="7"/>
        <v>3.2582268000149614E-2</v>
      </c>
      <c r="U6">
        <f t="shared" si="8"/>
        <v>2.614060113257104E-2</v>
      </c>
    </row>
    <row r="7" spans="1:22" x14ac:dyDescent="0.25">
      <c r="A7" s="29" t="s">
        <v>59</v>
      </c>
      <c r="B7" s="3">
        <v>4</v>
      </c>
      <c r="C7">
        <v>0.35699999999999998</v>
      </c>
      <c r="D7">
        <v>0.87665584429887344</v>
      </c>
      <c r="E7">
        <v>0.59899999999999998</v>
      </c>
      <c r="F7">
        <f t="shared" si="0"/>
        <v>0.46334079999999994</v>
      </c>
      <c r="G7">
        <v>0.54998000000000002</v>
      </c>
      <c r="H7">
        <f t="shared" si="1"/>
        <v>0.4133150442988735</v>
      </c>
      <c r="I7">
        <f t="shared" si="2"/>
        <v>413.31504429887349</v>
      </c>
      <c r="J7">
        <v>13.84</v>
      </c>
      <c r="K7">
        <f t="shared" si="3"/>
        <v>1.384E-2</v>
      </c>
      <c r="L7">
        <f t="shared" si="4"/>
        <v>5.7202802130964088</v>
      </c>
      <c r="M7">
        <f t="shared" si="5"/>
        <v>10.400887692455013</v>
      </c>
      <c r="N7">
        <v>1.9316795808630918</v>
      </c>
      <c r="O7">
        <f t="shared" si="6"/>
        <v>12.332567273318105</v>
      </c>
      <c r="P7">
        <f t="shared" si="7"/>
        <v>3.7570506588879692E-2</v>
      </c>
      <c r="U7">
        <f t="shared" si="8"/>
        <v>2.614060113257104E-2</v>
      </c>
    </row>
    <row r="8" spans="1:22" x14ac:dyDescent="0.25">
      <c r="A8" s="29" t="s">
        <v>59</v>
      </c>
      <c r="B8" s="3">
        <v>5</v>
      </c>
      <c r="C8">
        <v>0.96599999999999997</v>
      </c>
      <c r="D8">
        <v>2.4900249002490025</v>
      </c>
      <c r="E8">
        <v>1.2609999999999999</v>
      </c>
      <c r="F8">
        <f>0.4965*(C8^2)+1.5879*C8-0.1654</f>
        <v>1.831823354</v>
      </c>
      <c r="G8">
        <v>0.54330000000000001</v>
      </c>
      <c r="H8">
        <f t="shared" si="1"/>
        <v>0.65820154624900251</v>
      </c>
      <c r="I8">
        <f t="shared" si="2"/>
        <v>658.20154624900249</v>
      </c>
      <c r="J8">
        <v>13.64</v>
      </c>
      <c r="K8">
        <f t="shared" si="3"/>
        <v>1.3640000000000001E-2</v>
      </c>
      <c r="L8">
        <f t="shared" si="4"/>
        <v>8.9778690908363945</v>
      </c>
      <c r="M8">
        <f t="shared" si="5"/>
        <v>16.524699228485908</v>
      </c>
      <c r="N8">
        <v>1.9316795808630918</v>
      </c>
      <c r="O8">
        <f t="shared" si="6"/>
        <v>18.456378809348998</v>
      </c>
      <c r="P8">
        <f t="shared" si="7"/>
        <v>9.9251503933810561E-2</v>
      </c>
      <c r="U8">
        <f t="shared" si="8"/>
        <v>2.614060113257104E-2</v>
      </c>
    </row>
    <row r="9" spans="1:22" x14ac:dyDescent="0.25">
      <c r="A9" s="29" t="s">
        <v>59</v>
      </c>
      <c r="B9" s="3">
        <v>6</v>
      </c>
      <c r="C9">
        <v>1.532</v>
      </c>
      <c r="D9">
        <v>4.9815876124854475</v>
      </c>
      <c r="E9">
        <v>1.954</v>
      </c>
      <c r="F9">
        <f t="shared" ref="F9:F11" si="9">0.4965*(C9^2)+1.5879*C9-0.1654</f>
        <v>3.4325602160000002</v>
      </c>
      <c r="G9">
        <v>0.57247999999999999</v>
      </c>
      <c r="H9">
        <f t="shared" si="1"/>
        <v>1.5490273964854473</v>
      </c>
      <c r="I9">
        <f t="shared" si="2"/>
        <v>1549.0273964854473</v>
      </c>
      <c r="J9">
        <v>14.37</v>
      </c>
      <c r="K9">
        <f t="shared" si="3"/>
        <v>1.4369999999999999E-2</v>
      </c>
      <c r="L9">
        <f t="shared" si="4"/>
        <v>22.259523687495875</v>
      </c>
      <c r="M9">
        <f t="shared" si="5"/>
        <v>38.882622427850535</v>
      </c>
      <c r="N9">
        <v>1.9316795808630918</v>
      </c>
      <c r="O9">
        <f t="shared" si="6"/>
        <v>40.814302008713625</v>
      </c>
      <c r="P9">
        <f t="shared" si="7"/>
        <v>8.410189681222939E-2</v>
      </c>
      <c r="U9">
        <f t="shared" si="8"/>
        <v>2.614060113257104E-2</v>
      </c>
    </row>
    <row r="10" spans="1:22" x14ac:dyDescent="0.25">
      <c r="A10" s="29" t="s">
        <v>59</v>
      </c>
      <c r="B10" s="3">
        <v>7</v>
      </c>
      <c r="C10">
        <v>2.0270000000000001</v>
      </c>
      <c r="D10">
        <v>7.456328078435452</v>
      </c>
      <c r="E10">
        <v>2.62</v>
      </c>
      <c r="F10">
        <f t="shared" si="9"/>
        <v>5.0932572485000005</v>
      </c>
      <c r="G10">
        <v>0.55642999999999998</v>
      </c>
      <c r="H10">
        <f t="shared" si="1"/>
        <v>2.3630708299354515</v>
      </c>
      <c r="I10">
        <f t="shared" si="2"/>
        <v>2363.0708299354515</v>
      </c>
      <c r="J10">
        <v>14.02</v>
      </c>
      <c r="K10">
        <f t="shared" si="3"/>
        <v>1.4019999999999999E-2</v>
      </c>
      <c r="L10">
        <f t="shared" si="4"/>
        <v>33.130253035695027</v>
      </c>
      <c r="M10">
        <f t="shared" si="5"/>
        <v>59.540738342100582</v>
      </c>
      <c r="N10">
        <v>1.9316795808630918</v>
      </c>
      <c r="O10">
        <f t="shared" si="6"/>
        <v>61.472417922963672</v>
      </c>
      <c r="P10">
        <f t="shared" si="7"/>
        <v>8.2854350301997157E-2</v>
      </c>
      <c r="U10">
        <f t="shared" si="8"/>
        <v>2.614060113257104E-2</v>
      </c>
    </row>
    <row r="11" spans="1:22" x14ac:dyDescent="0.25">
      <c r="A11" s="29" t="s">
        <v>59</v>
      </c>
      <c r="B11" s="3">
        <v>8</v>
      </c>
      <c r="C11">
        <v>2.5449999999999999</v>
      </c>
      <c r="D11">
        <v>10.004960476205715</v>
      </c>
      <c r="E11">
        <v>3.2149999999999999</v>
      </c>
      <c r="F11">
        <f t="shared" si="9"/>
        <v>7.0916484124999997</v>
      </c>
      <c r="G11">
        <v>0.53102000000000005</v>
      </c>
      <c r="H11">
        <f t="shared" si="1"/>
        <v>2.9133120637057157</v>
      </c>
      <c r="I11">
        <f t="shared" si="2"/>
        <v>2913.3120637057159</v>
      </c>
      <c r="J11">
        <v>13.28</v>
      </c>
      <c r="K11">
        <f t="shared" si="3"/>
        <v>1.328E-2</v>
      </c>
      <c r="L11">
        <f t="shared" si="4"/>
        <v>38.68878420601191</v>
      </c>
      <c r="M11">
        <f t="shared" si="5"/>
        <v>72.857489748054505</v>
      </c>
      <c r="N11">
        <v>1.9316795808630918</v>
      </c>
      <c r="O11">
        <f t="shared" si="6"/>
        <v>74.789169328917595</v>
      </c>
      <c r="P11">
        <f t="shared" si="7"/>
        <v>9.4821863595133948E-2</v>
      </c>
      <c r="U11">
        <f t="shared" si="8"/>
        <v>2.614060113257104E-2</v>
      </c>
    </row>
    <row r="12" spans="1:22" x14ac:dyDescent="0.25">
      <c r="A12" s="32" t="s">
        <v>60</v>
      </c>
      <c r="B12" s="3">
        <v>1</v>
      </c>
      <c r="C12">
        <v>9.9000000000000005E-2</v>
      </c>
      <c r="D12">
        <v>0</v>
      </c>
      <c r="E12">
        <v>9.1999999999999998E-2</v>
      </c>
      <c r="F12">
        <f>1.7144*C12-0.1487</f>
        <v>2.1025600000000005E-2</v>
      </c>
      <c r="G12">
        <v>0.52254</v>
      </c>
      <c r="H12">
        <f t="shared" si="1"/>
        <v>-2.1025600000000005E-2</v>
      </c>
      <c r="I12">
        <f t="shared" si="2"/>
        <v>-21.025600000000004</v>
      </c>
      <c r="J12">
        <v>13.06</v>
      </c>
      <c r="K12">
        <f t="shared" si="3"/>
        <v>1.306E-2</v>
      </c>
      <c r="L12">
        <f t="shared" si="4"/>
        <v>-0.27459433600000005</v>
      </c>
      <c r="M12">
        <f t="shared" si="5"/>
        <v>-0.52549916944157393</v>
      </c>
      <c r="N12">
        <v>0.86413145893643284</v>
      </c>
      <c r="O12">
        <f t="shared" si="6"/>
        <v>0.33863228949485891</v>
      </c>
      <c r="P12">
        <f t="shared" si="7"/>
        <v>6.2089767137575975E-2</v>
      </c>
      <c r="U12">
        <f>EXP((0-11.848)/3.1217)</f>
        <v>2.2474635685743892E-2</v>
      </c>
      <c r="V12">
        <v>2.8633100000000002E-2</v>
      </c>
    </row>
    <row r="13" spans="1:22" x14ac:dyDescent="0.25">
      <c r="A13" s="32" t="s">
        <v>60</v>
      </c>
      <c r="B13" s="3">
        <v>1.1000000000000001</v>
      </c>
      <c r="C13">
        <v>0.10100000000000001</v>
      </c>
      <c r="D13">
        <v>9.5211012193945465E-3</v>
      </c>
      <c r="E13">
        <v>9.5000000000000001E-2</v>
      </c>
      <c r="F13">
        <f t="shared" ref="F13:F17" si="10">1.7144*C13-0.1487</f>
        <v>2.4454400000000015E-2</v>
      </c>
      <c r="G13">
        <v>0.55837999999999999</v>
      </c>
      <c r="H13">
        <f t="shared" si="1"/>
        <v>-1.4933298780605469E-2</v>
      </c>
      <c r="I13">
        <f t="shared" si="2"/>
        <v>-14.933298780605469</v>
      </c>
      <c r="J13">
        <v>13.38</v>
      </c>
      <c r="K13">
        <f t="shared" si="3"/>
        <v>1.3380000000000001E-2</v>
      </c>
      <c r="L13">
        <f t="shared" si="4"/>
        <v>-0.19980753768450119</v>
      </c>
      <c r="M13">
        <f t="shared" si="5"/>
        <v>-0.35783433805741821</v>
      </c>
      <c r="N13">
        <v>0.86413145893643284</v>
      </c>
      <c r="O13">
        <f t="shared" si="6"/>
        <v>0.50629712087901457</v>
      </c>
      <c r="P13">
        <f t="shared" si="7"/>
        <v>4.8300491927631702E-2</v>
      </c>
      <c r="U13">
        <f t="shared" ref="U13:U21" si="11">EXP((0-11.848)/3.1217)</f>
        <v>2.2474635685743892E-2</v>
      </c>
    </row>
    <row r="14" spans="1:22" x14ac:dyDescent="0.25">
      <c r="A14" s="32" t="s">
        <v>60</v>
      </c>
      <c r="B14" s="3">
        <v>1.2</v>
      </c>
      <c r="C14">
        <v>0.107</v>
      </c>
      <c r="D14">
        <v>5.1120825771294634E-2</v>
      </c>
      <c r="E14">
        <v>0.106</v>
      </c>
      <c r="F14">
        <f t="shared" si="10"/>
        <v>3.4740799999999988E-2</v>
      </c>
      <c r="G14">
        <v>0.52524999999999999</v>
      </c>
      <c r="H14">
        <f t="shared" si="1"/>
        <v>1.6380025771294646E-2</v>
      </c>
      <c r="I14">
        <f t="shared" si="2"/>
        <v>16.380025771294644</v>
      </c>
      <c r="J14">
        <v>13.62</v>
      </c>
      <c r="K14">
        <f t="shared" si="3"/>
        <v>1.3619999999999998E-2</v>
      </c>
      <c r="L14">
        <f t="shared" si="4"/>
        <v>0.22309595100503302</v>
      </c>
      <c r="M14">
        <f t="shared" si="5"/>
        <v>0.42474241029040077</v>
      </c>
      <c r="N14">
        <v>0.86413145893643284</v>
      </c>
      <c r="O14">
        <f t="shared" si="6"/>
        <v>1.2888738692268336</v>
      </c>
      <c r="P14">
        <f t="shared" si="7"/>
        <v>2.6954383069958749E-2</v>
      </c>
      <c r="U14">
        <f t="shared" si="11"/>
        <v>2.2474635685743892E-2</v>
      </c>
    </row>
    <row r="15" spans="1:22" x14ac:dyDescent="0.25">
      <c r="A15" s="32" t="s">
        <v>60</v>
      </c>
      <c r="B15" s="3">
        <v>2</v>
      </c>
      <c r="C15">
        <v>0.11600000000000001</v>
      </c>
      <c r="D15">
        <v>8.9009880096690724E-2</v>
      </c>
      <c r="E15">
        <v>0.14199999999999999</v>
      </c>
      <c r="F15">
        <f t="shared" si="10"/>
        <v>5.0170400000000004E-2</v>
      </c>
      <c r="G15">
        <v>0.54481999999999997</v>
      </c>
      <c r="H15">
        <f t="shared" si="1"/>
        <v>3.8839480096690721E-2</v>
      </c>
      <c r="I15">
        <f t="shared" si="2"/>
        <v>38.839480096690721</v>
      </c>
      <c r="J15">
        <v>13.64</v>
      </c>
      <c r="K15">
        <f t="shared" si="3"/>
        <v>1.3640000000000001E-2</v>
      </c>
      <c r="L15">
        <f t="shared" si="4"/>
        <v>0.52977050851886143</v>
      </c>
      <c r="M15">
        <f t="shared" si="5"/>
        <v>0.97237713101365852</v>
      </c>
      <c r="N15">
        <v>0.86413145893643284</v>
      </c>
      <c r="O15">
        <f t="shared" si="6"/>
        <v>1.8365085899500913</v>
      </c>
      <c r="P15">
        <f t="shared" si="7"/>
        <v>2.7318358473544319E-2</v>
      </c>
      <c r="U15">
        <f t="shared" si="11"/>
        <v>2.2474635685743892E-2</v>
      </c>
    </row>
    <row r="16" spans="1:22" x14ac:dyDescent="0.25">
      <c r="A16" s="32" t="s">
        <v>60</v>
      </c>
      <c r="B16" s="3">
        <v>3</v>
      </c>
      <c r="C16">
        <v>0.25</v>
      </c>
      <c r="D16">
        <v>0.53282257008416201</v>
      </c>
      <c r="E16">
        <v>0.39600000000000002</v>
      </c>
      <c r="F16">
        <f t="shared" si="10"/>
        <v>0.27989999999999998</v>
      </c>
      <c r="G16">
        <v>0.50439999999999996</v>
      </c>
      <c r="H16">
        <f t="shared" si="1"/>
        <v>0.25292257008416202</v>
      </c>
      <c r="I16">
        <f t="shared" si="2"/>
        <v>252.92257008416203</v>
      </c>
      <c r="J16">
        <v>12.75</v>
      </c>
      <c r="K16">
        <f t="shared" si="3"/>
        <v>1.2749999999999999E-2</v>
      </c>
      <c r="L16">
        <f t="shared" si="4"/>
        <v>3.2247627685730658</v>
      </c>
      <c r="M16">
        <f t="shared" si="5"/>
        <v>6.3932648068458882</v>
      </c>
      <c r="N16">
        <v>0.86413145893643284</v>
      </c>
      <c r="O16">
        <f t="shared" si="6"/>
        <v>7.2573962657823206</v>
      </c>
      <c r="P16">
        <f t="shared" si="7"/>
        <v>3.8567550916255196E-2</v>
      </c>
      <c r="U16">
        <f t="shared" si="11"/>
        <v>2.2474635685743892E-2</v>
      </c>
    </row>
    <row r="17" spans="1:22" x14ac:dyDescent="0.25">
      <c r="A17" s="32" t="s">
        <v>60</v>
      </c>
      <c r="B17" s="3">
        <v>4</v>
      </c>
      <c r="C17">
        <v>0.38500000000000001</v>
      </c>
      <c r="D17">
        <v>0.87665584429887344</v>
      </c>
      <c r="E17">
        <v>0.59899999999999998</v>
      </c>
      <c r="F17">
        <f t="shared" si="10"/>
        <v>0.51134400000000002</v>
      </c>
      <c r="G17">
        <v>0.53222000000000003</v>
      </c>
      <c r="H17">
        <f t="shared" si="1"/>
        <v>0.36531184429887342</v>
      </c>
      <c r="I17">
        <f t="shared" si="2"/>
        <v>365.31184429887344</v>
      </c>
      <c r="J17">
        <v>13.39</v>
      </c>
      <c r="K17">
        <f t="shared" si="3"/>
        <v>1.3390000000000001E-2</v>
      </c>
      <c r="L17">
        <f t="shared" si="4"/>
        <v>4.8915255951619159</v>
      </c>
      <c r="M17">
        <f t="shared" si="5"/>
        <v>9.1907962781592492</v>
      </c>
      <c r="N17">
        <v>0.86413145893643284</v>
      </c>
      <c r="O17">
        <f t="shared" si="6"/>
        <v>10.054927737095682</v>
      </c>
      <c r="P17">
        <f t="shared" si="7"/>
        <v>5.0855064637958233E-2</v>
      </c>
      <c r="U17">
        <f t="shared" si="11"/>
        <v>2.2474635685743892E-2</v>
      </c>
    </row>
    <row r="18" spans="1:22" x14ac:dyDescent="0.25">
      <c r="A18" s="32" t="s">
        <v>60</v>
      </c>
      <c r="B18" s="3">
        <v>5</v>
      </c>
      <c r="C18">
        <v>1.0148999999999999</v>
      </c>
      <c r="D18">
        <v>2.4900249002490025</v>
      </c>
      <c r="E18">
        <v>1.2609999999999999</v>
      </c>
      <c r="F18">
        <f t="shared" ref="F18:F21" si="12">0.4965*(C18^2)+1.5879*C18-0.1654</f>
        <v>1.9575656379649997</v>
      </c>
      <c r="G18">
        <v>0.53525999999999996</v>
      </c>
      <c r="H18">
        <f t="shared" si="1"/>
        <v>0.53245926228400275</v>
      </c>
      <c r="I18">
        <f t="shared" si="2"/>
        <v>532.45926228400276</v>
      </c>
      <c r="J18">
        <v>13.42</v>
      </c>
      <c r="K18">
        <f t="shared" si="3"/>
        <v>1.342E-2</v>
      </c>
      <c r="L18">
        <f t="shared" si="4"/>
        <v>7.1456032998513166</v>
      </c>
      <c r="M18">
        <f t="shared" si="5"/>
        <v>13.349780106586177</v>
      </c>
      <c r="N18">
        <v>0.86413145893643284</v>
      </c>
      <c r="O18">
        <f t="shared" si="6"/>
        <v>14.21391156552261</v>
      </c>
      <c r="P18">
        <f t="shared" si="7"/>
        <v>0.13772181070221995</v>
      </c>
      <c r="U18">
        <f t="shared" si="11"/>
        <v>2.2474635685743892E-2</v>
      </c>
    </row>
    <row r="19" spans="1:22" x14ac:dyDescent="0.25">
      <c r="A19" s="32" t="s">
        <v>60</v>
      </c>
      <c r="B19" s="3">
        <v>6</v>
      </c>
      <c r="C19">
        <v>1.577</v>
      </c>
      <c r="D19">
        <v>4.9815876124854475</v>
      </c>
      <c r="E19">
        <v>1.954</v>
      </c>
      <c r="F19">
        <f t="shared" si="12"/>
        <v>3.5734785484999998</v>
      </c>
      <c r="G19">
        <v>0.51619000000000004</v>
      </c>
      <c r="H19">
        <f t="shared" si="1"/>
        <v>1.4081090639854477</v>
      </c>
      <c r="I19">
        <f t="shared" si="2"/>
        <v>1408.1090639854476</v>
      </c>
      <c r="J19">
        <v>12.92</v>
      </c>
      <c r="K19">
        <f t="shared" si="3"/>
        <v>1.2919999999999999E-2</v>
      </c>
      <c r="L19">
        <f t="shared" si="4"/>
        <v>18.192769106691983</v>
      </c>
      <c r="M19">
        <f t="shared" si="5"/>
        <v>35.244326908099694</v>
      </c>
      <c r="N19">
        <v>0.86413145893643284</v>
      </c>
      <c r="O19">
        <f t="shared" si="6"/>
        <v>36.108458367036128</v>
      </c>
      <c r="P19">
        <f t="shared" si="7"/>
        <v>9.8965137535815539E-2</v>
      </c>
      <c r="U19">
        <f t="shared" si="11"/>
        <v>2.2474635685743892E-2</v>
      </c>
    </row>
    <row r="20" spans="1:22" x14ac:dyDescent="0.25">
      <c r="A20" s="32" t="s">
        <v>60</v>
      </c>
      <c r="B20" s="3">
        <v>7</v>
      </c>
      <c r="C20">
        <v>2.1480000000000001</v>
      </c>
      <c r="D20">
        <v>7.456328078435452</v>
      </c>
      <c r="E20">
        <v>2.62</v>
      </c>
      <c r="F20">
        <f t="shared" si="12"/>
        <v>5.5362125360000007</v>
      </c>
      <c r="G20">
        <v>0.53483999999999998</v>
      </c>
      <c r="H20">
        <f t="shared" si="1"/>
        <v>1.9201155424354512</v>
      </c>
      <c r="I20">
        <f t="shared" si="2"/>
        <v>1920.1155424354513</v>
      </c>
      <c r="J20">
        <v>14.5</v>
      </c>
      <c r="K20">
        <f t="shared" si="3"/>
        <v>1.4500000000000001E-2</v>
      </c>
      <c r="L20">
        <f t="shared" si="4"/>
        <v>27.841675365314046</v>
      </c>
      <c r="M20">
        <f t="shared" si="5"/>
        <v>52.056082875839593</v>
      </c>
      <c r="N20">
        <v>0.86413145893643284</v>
      </c>
      <c r="O20">
        <f t="shared" si="6"/>
        <v>52.920214334776027</v>
      </c>
      <c r="P20">
        <f t="shared" si="7"/>
        <v>0.10461432565215312</v>
      </c>
      <c r="U20">
        <f t="shared" si="11"/>
        <v>2.2474635685743892E-2</v>
      </c>
    </row>
    <row r="21" spans="1:22" x14ac:dyDescent="0.25">
      <c r="A21" s="32" t="s">
        <v>60</v>
      </c>
      <c r="B21" s="3">
        <v>8</v>
      </c>
      <c r="C21">
        <v>2.6219999999999999</v>
      </c>
      <c r="D21">
        <v>10.004960476205715</v>
      </c>
      <c r="E21">
        <v>3.2149999999999999</v>
      </c>
      <c r="F21">
        <f t="shared" si="12"/>
        <v>7.4114537059999996</v>
      </c>
      <c r="G21">
        <v>0.52088000000000001</v>
      </c>
      <c r="H21">
        <f t="shared" si="1"/>
        <v>2.5935067702057157</v>
      </c>
      <c r="I21">
        <f t="shared" si="2"/>
        <v>2593.5067702057158</v>
      </c>
      <c r="J21">
        <v>13.27</v>
      </c>
      <c r="K21">
        <f t="shared" si="3"/>
        <v>1.3269999999999999E-2</v>
      </c>
      <c r="L21">
        <f t="shared" si="4"/>
        <v>34.415834840629849</v>
      </c>
      <c r="M21">
        <f t="shared" si="5"/>
        <v>66.072482799550471</v>
      </c>
      <c r="N21">
        <v>0.86413145893643284</v>
      </c>
      <c r="O21">
        <f t="shared" si="6"/>
        <v>66.936614258486898</v>
      </c>
      <c r="P21">
        <f t="shared" si="7"/>
        <v>0.11072346260866191</v>
      </c>
      <c r="U21">
        <f t="shared" si="11"/>
        <v>2.2474635685743892E-2</v>
      </c>
    </row>
    <row r="22" spans="1:22" x14ac:dyDescent="0.25">
      <c r="A22" s="33" t="s">
        <v>61</v>
      </c>
      <c r="B22" s="3">
        <v>1</v>
      </c>
      <c r="C22">
        <v>0.10299999999999999</v>
      </c>
      <c r="D22">
        <v>0</v>
      </c>
      <c r="E22">
        <v>9.1999999999999998E-2</v>
      </c>
      <c r="F22">
        <f t="shared" ref="F22:F27" si="13">1.7144*C22-0.1487</f>
        <v>2.7883199999999997E-2</v>
      </c>
      <c r="G22">
        <v>0.57025000000000003</v>
      </c>
      <c r="H22">
        <f t="shared" si="1"/>
        <v>-2.7883199999999997E-2</v>
      </c>
      <c r="I22">
        <f t="shared" si="2"/>
        <v>-27.883199999999995</v>
      </c>
      <c r="J22">
        <v>14.68</v>
      </c>
      <c r="K22">
        <f t="shared" si="3"/>
        <v>1.468E-2</v>
      </c>
      <c r="L22">
        <f t="shared" si="4"/>
        <v>-0.40932537599999996</v>
      </c>
      <c r="M22">
        <f t="shared" si="5"/>
        <v>-0.71779987023235414</v>
      </c>
      <c r="N22">
        <v>1.138216441461078</v>
      </c>
      <c r="O22">
        <f t="shared" si="6"/>
        <v>0.42041657122872389</v>
      </c>
      <c r="P22">
        <f t="shared" si="7"/>
        <v>6.6322790080580313E-2</v>
      </c>
      <c r="U22">
        <f>EXP((0-16.208)/4.2533)</f>
        <v>2.2132942453939167E-2</v>
      </c>
      <c r="V22">
        <v>1.6621799999999999E-2</v>
      </c>
    </row>
    <row r="23" spans="1:22" x14ac:dyDescent="0.25">
      <c r="A23" s="33" t="s">
        <v>61</v>
      </c>
      <c r="B23" s="3">
        <v>1.1000000000000001</v>
      </c>
      <c r="C23">
        <v>9.8000000000000004E-2</v>
      </c>
      <c r="D23">
        <v>9.5211012193945465E-3</v>
      </c>
      <c r="E23">
        <v>9.5000000000000001E-2</v>
      </c>
      <c r="F23">
        <f t="shared" si="13"/>
        <v>1.9311200000000001E-2</v>
      </c>
      <c r="G23">
        <v>0.52239999999999998</v>
      </c>
      <c r="H23">
        <f t="shared" si="1"/>
        <v>-9.7900987806054541E-3</v>
      </c>
      <c r="I23">
        <f t="shared" si="2"/>
        <v>-9.7900987806054545</v>
      </c>
      <c r="J23">
        <v>14.9</v>
      </c>
      <c r="K23">
        <f t="shared" si="3"/>
        <v>1.49E-2</v>
      </c>
      <c r="L23">
        <f t="shared" si="4"/>
        <v>-0.14587247183102128</v>
      </c>
      <c r="M23">
        <f t="shared" si="5"/>
        <v>-0.27923520641466554</v>
      </c>
      <c r="N23">
        <v>1.138216441461078</v>
      </c>
      <c r="O23">
        <f t="shared" si="6"/>
        <v>0.85898123504641255</v>
      </c>
      <c r="P23">
        <f t="shared" si="7"/>
        <v>2.248151555831901E-2</v>
      </c>
      <c r="U23">
        <f t="shared" ref="U23:U31" si="14">EXP((0-16.208)/4.2533)</f>
        <v>2.2132942453939167E-2</v>
      </c>
    </row>
    <row r="24" spans="1:22" x14ac:dyDescent="0.25">
      <c r="A24" s="33" t="s">
        <v>61</v>
      </c>
      <c r="B24" s="3">
        <v>1.2</v>
      </c>
      <c r="C24">
        <v>0.10100000000000001</v>
      </c>
      <c r="D24">
        <v>5.1120825771294634E-2</v>
      </c>
      <c r="E24">
        <v>0.106</v>
      </c>
      <c r="F24">
        <f t="shared" si="13"/>
        <v>2.4454400000000015E-2</v>
      </c>
      <c r="G24">
        <v>0.59877000000000002</v>
      </c>
      <c r="H24">
        <f t="shared" si="1"/>
        <v>2.6666425771294619E-2</v>
      </c>
      <c r="I24">
        <f t="shared" si="2"/>
        <v>26.66642577129462</v>
      </c>
      <c r="J24">
        <v>14.19</v>
      </c>
      <c r="K24">
        <f t="shared" si="3"/>
        <v>1.4189999999999999E-2</v>
      </c>
      <c r="L24">
        <f t="shared" si="4"/>
        <v>0.37839658169467066</v>
      </c>
      <c r="M24">
        <f t="shared" si="5"/>
        <v>0.63195648027568285</v>
      </c>
      <c r="N24">
        <v>1.138216441461078</v>
      </c>
      <c r="O24">
        <f t="shared" si="6"/>
        <v>1.7701729217367608</v>
      </c>
      <c r="P24">
        <f t="shared" si="7"/>
        <v>1.3814695558672988E-2</v>
      </c>
      <c r="U24">
        <f t="shared" si="14"/>
        <v>2.2132942453939167E-2</v>
      </c>
    </row>
    <row r="25" spans="1:22" x14ac:dyDescent="0.25">
      <c r="A25" s="33" t="s">
        <v>61</v>
      </c>
      <c r="B25" s="3">
        <v>2</v>
      </c>
      <c r="C25">
        <v>0.125</v>
      </c>
      <c r="D25">
        <v>8.9009880096690724E-2</v>
      </c>
      <c r="E25">
        <v>0.14199999999999999</v>
      </c>
      <c r="F25">
        <f t="shared" si="13"/>
        <v>6.5599999999999992E-2</v>
      </c>
      <c r="G25">
        <v>0.51826000000000005</v>
      </c>
      <c r="H25">
        <f t="shared" si="1"/>
        <v>2.3409880096690733E-2</v>
      </c>
      <c r="I25">
        <f t="shared" si="2"/>
        <v>23.409880096690731</v>
      </c>
      <c r="J25">
        <v>13.08</v>
      </c>
      <c r="K25">
        <f t="shared" si="3"/>
        <v>1.308E-2</v>
      </c>
      <c r="L25">
        <f t="shared" si="4"/>
        <v>0.30620123166471475</v>
      </c>
      <c r="M25">
        <f t="shared" si="5"/>
        <v>0.59082551550325069</v>
      </c>
      <c r="N25">
        <v>1.138216441461078</v>
      </c>
      <c r="O25">
        <f t="shared" si="6"/>
        <v>1.7290419569643287</v>
      </c>
      <c r="P25">
        <f t="shared" si="7"/>
        <v>3.794008568489201E-2</v>
      </c>
      <c r="U25">
        <f t="shared" si="14"/>
        <v>2.2132942453939167E-2</v>
      </c>
    </row>
    <row r="26" spans="1:22" x14ac:dyDescent="0.25">
      <c r="A26" s="33" t="s">
        <v>61</v>
      </c>
      <c r="B26" s="3">
        <v>3</v>
      </c>
      <c r="C26">
        <v>0.218</v>
      </c>
      <c r="D26">
        <v>0.53282257008416201</v>
      </c>
      <c r="E26">
        <v>0.39600000000000002</v>
      </c>
      <c r="F26">
        <f t="shared" si="13"/>
        <v>0.22503919999999999</v>
      </c>
      <c r="G26">
        <v>0.53769</v>
      </c>
      <c r="H26">
        <f t="shared" si="1"/>
        <v>0.30778337008416201</v>
      </c>
      <c r="I26">
        <f t="shared" si="2"/>
        <v>307.78337008416202</v>
      </c>
      <c r="J26">
        <v>13.44</v>
      </c>
      <c r="K26">
        <f t="shared" si="3"/>
        <v>1.3439999999999999E-2</v>
      </c>
      <c r="L26">
        <f t="shared" si="4"/>
        <v>4.1366084939311367</v>
      </c>
      <c r="M26">
        <f t="shared" si="5"/>
        <v>7.6932963118732669</v>
      </c>
      <c r="N26">
        <v>1.138216441461078</v>
      </c>
      <c r="O26">
        <f t="shared" si="6"/>
        <v>8.8315127533343443</v>
      </c>
      <c r="P26">
        <f t="shared" si="7"/>
        <v>2.5481387649588828E-2</v>
      </c>
      <c r="U26">
        <f t="shared" si="14"/>
        <v>2.2132942453939167E-2</v>
      </c>
    </row>
    <row r="27" spans="1:22" x14ac:dyDescent="0.25">
      <c r="A27" s="33" t="s">
        <v>61</v>
      </c>
      <c r="B27" s="3">
        <v>4</v>
      </c>
      <c r="C27">
        <v>0.314</v>
      </c>
      <c r="D27">
        <v>0.87665584429887344</v>
      </c>
      <c r="E27">
        <v>0.59899999999999998</v>
      </c>
      <c r="F27">
        <f t="shared" si="13"/>
        <v>0.38962159999999996</v>
      </c>
      <c r="G27">
        <v>0.52610000000000001</v>
      </c>
      <c r="H27">
        <f t="shared" si="1"/>
        <v>0.48703424429887349</v>
      </c>
      <c r="I27">
        <f t="shared" si="2"/>
        <v>487.03424429887349</v>
      </c>
      <c r="J27">
        <v>13.18</v>
      </c>
      <c r="K27">
        <f t="shared" si="3"/>
        <v>1.3179999999999999E-2</v>
      </c>
      <c r="L27">
        <f t="shared" si="4"/>
        <v>6.4191113398591524</v>
      </c>
      <c r="M27">
        <f t="shared" si="5"/>
        <v>12.201314084507038</v>
      </c>
      <c r="N27">
        <v>1.138216441461078</v>
      </c>
      <c r="O27">
        <f t="shared" si="6"/>
        <v>13.339530525968115</v>
      </c>
      <c r="P27">
        <f t="shared" si="7"/>
        <v>2.920804440917333E-2</v>
      </c>
      <c r="U27">
        <f t="shared" si="14"/>
        <v>2.2132942453939167E-2</v>
      </c>
    </row>
    <row r="28" spans="1:22" x14ac:dyDescent="0.25">
      <c r="A28" s="33" t="s">
        <v>61</v>
      </c>
      <c r="B28" s="3">
        <v>5</v>
      </c>
      <c r="C28">
        <v>0.94099999999999995</v>
      </c>
      <c r="D28">
        <v>2.4900249002490025</v>
      </c>
      <c r="E28">
        <v>1.2609999999999999</v>
      </c>
      <c r="F28">
        <f t="shared" ref="F28:F31" si="15">0.4965*(C28^2)+1.5879*C28-0.1654</f>
        <v>1.7684552165</v>
      </c>
      <c r="G28">
        <v>0.51512999999999998</v>
      </c>
      <c r="H28">
        <f t="shared" si="1"/>
        <v>0.72156968374900243</v>
      </c>
      <c r="I28">
        <f t="shared" si="2"/>
        <v>721.56968374900248</v>
      </c>
      <c r="J28">
        <v>12.89</v>
      </c>
      <c r="K28">
        <f t="shared" si="3"/>
        <v>1.289E-2</v>
      </c>
      <c r="L28">
        <f t="shared" si="4"/>
        <v>9.3010332235246427</v>
      </c>
      <c r="M28">
        <f t="shared" si="5"/>
        <v>18.055700936704604</v>
      </c>
      <c r="N28">
        <v>1.138216441461078</v>
      </c>
      <c r="O28">
        <f t="shared" si="6"/>
        <v>19.193917378165683</v>
      </c>
      <c r="P28">
        <f t="shared" si="7"/>
        <v>9.2136231580934688E-2</v>
      </c>
      <c r="U28">
        <f t="shared" si="14"/>
        <v>2.2132942453939167E-2</v>
      </c>
    </row>
    <row r="29" spans="1:22" x14ac:dyDescent="0.25">
      <c r="A29" s="33" t="s">
        <v>61</v>
      </c>
      <c r="B29" s="3">
        <v>6</v>
      </c>
      <c r="C29">
        <v>1.5249999999999999</v>
      </c>
      <c r="D29">
        <v>4.9815876124854475</v>
      </c>
      <c r="E29">
        <v>1.954</v>
      </c>
      <c r="F29">
        <f t="shared" si="15"/>
        <v>3.4108203124999998</v>
      </c>
      <c r="G29">
        <v>0.51500000000000001</v>
      </c>
      <c r="H29">
        <f t="shared" si="1"/>
        <v>1.5707672999854476</v>
      </c>
      <c r="I29">
        <f t="shared" si="2"/>
        <v>1570.7672999854476</v>
      </c>
      <c r="J29">
        <v>12.9</v>
      </c>
      <c r="K29">
        <f t="shared" si="3"/>
        <v>1.29E-2</v>
      </c>
      <c r="L29">
        <f t="shared" si="4"/>
        <v>20.262898169812274</v>
      </c>
      <c r="M29">
        <f t="shared" si="5"/>
        <v>39.345433339441307</v>
      </c>
      <c r="N29">
        <v>1.138216441461078</v>
      </c>
      <c r="O29">
        <f t="shared" si="6"/>
        <v>40.483649780902383</v>
      </c>
      <c r="P29">
        <f t="shared" si="7"/>
        <v>8.4251798712798087E-2</v>
      </c>
      <c r="U29">
        <f t="shared" si="14"/>
        <v>2.2132942453939167E-2</v>
      </c>
    </row>
    <row r="30" spans="1:22" x14ac:dyDescent="0.25">
      <c r="A30" s="33" t="s">
        <v>61</v>
      </c>
      <c r="B30" s="3">
        <v>7</v>
      </c>
      <c r="C30">
        <v>2.0790000000000002</v>
      </c>
      <c r="D30">
        <v>7.456328078435452</v>
      </c>
      <c r="E30">
        <v>2.62</v>
      </c>
      <c r="F30">
        <f t="shared" si="15"/>
        <v>5.2818367565000006</v>
      </c>
      <c r="G30">
        <v>0.50949999999999995</v>
      </c>
      <c r="H30">
        <f t="shared" si="1"/>
        <v>2.1744913219354514</v>
      </c>
      <c r="I30">
        <f t="shared" si="2"/>
        <v>2174.4913219354512</v>
      </c>
      <c r="J30">
        <v>12.77</v>
      </c>
      <c r="K30">
        <f t="shared" si="3"/>
        <v>1.277E-2</v>
      </c>
      <c r="L30">
        <f t="shared" si="4"/>
        <v>27.768254181115712</v>
      </c>
      <c r="M30">
        <f t="shared" si="5"/>
        <v>54.5009895605804</v>
      </c>
      <c r="N30">
        <v>1.138216441461078</v>
      </c>
      <c r="O30">
        <f t="shared" si="6"/>
        <v>55.639206002041476</v>
      </c>
      <c r="P30">
        <f t="shared" si="7"/>
        <v>9.4930124565512364E-2</v>
      </c>
      <c r="U30">
        <f t="shared" si="14"/>
        <v>2.2132942453939167E-2</v>
      </c>
    </row>
    <row r="31" spans="1:22" x14ac:dyDescent="0.25">
      <c r="A31" s="33" t="s">
        <v>61</v>
      </c>
      <c r="B31" s="3">
        <v>8</v>
      </c>
      <c r="C31">
        <v>2.633</v>
      </c>
      <c r="D31">
        <v>10.004960476205715</v>
      </c>
      <c r="E31">
        <v>3.2149999999999999</v>
      </c>
      <c r="F31">
        <f t="shared" si="15"/>
        <v>7.4576207884999999</v>
      </c>
      <c r="G31">
        <v>0.53073999999999999</v>
      </c>
      <c r="H31">
        <f t="shared" si="1"/>
        <v>2.5473396877057155</v>
      </c>
      <c r="I31">
        <f t="shared" si="2"/>
        <v>2547.3396877057157</v>
      </c>
      <c r="J31">
        <v>13.73</v>
      </c>
      <c r="K31">
        <f t="shared" si="3"/>
        <v>1.3730000000000001E-2</v>
      </c>
      <c r="L31">
        <f t="shared" si="4"/>
        <v>34.974973912199481</v>
      </c>
      <c r="M31">
        <f t="shared" si="5"/>
        <v>65.898507578474366</v>
      </c>
      <c r="N31">
        <v>1.138216441461078</v>
      </c>
      <c r="O31">
        <f t="shared" si="6"/>
        <v>67.036724019935448</v>
      </c>
      <c r="P31">
        <f t="shared" si="7"/>
        <v>0.11124679640195791</v>
      </c>
      <c r="U31">
        <f t="shared" si="14"/>
        <v>2.2132942453939167E-2</v>
      </c>
    </row>
    <row r="32" spans="1:22" x14ac:dyDescent="0.25">
      <c r="A32" s="34" t="s">
        <v>62</v>
      </c>
      <c r="B32" s="3">
        <v>1</v>
      </c>
      <c r="C32">
        <v>9.7000000000000003E-2</v>
      </c>
      <c r="D32">
        <v>0</v>
      </c>
      <c r="E32">
        <v>9.1999999999999998E-2</v>
      </c>
      <c r="F32">
        <f t="shared" ref="F32:F37" si="16">1.7144*C32-0.1487</f>
        <v>1.7596799999999996E-2</v>
      </c>
      <c r="G32">
        <v>0.55235999999999996</v>
      </c>
      <c r="H32">
        <f t="shared" si="1"/>
        <v>-1.7596799999999996E-2</v>
      </c>
      <c r="I32">
        <f t="shared" si="2"/>
        <v>-17.596799999999995</v>
      </c>
      <c r="J32">
        <v>13.82</v>
      </c>
      <c r="K32">
        <f t="shared" si="3"/>
        <v>1.3820000000000001E-2</v>
      </c>
      <c r="L32">
        <f t="shared" si="4"/>
        <v>-0.24318777599999994</v>
      </c>
      <c r="M32">
        <f t="shared" si="5"/>
        <v>-0.44027043232674334</v>
      </c>
      <c r="N32">
        <v>0.37751910050545207</v>
      </c>
      <c r="O32">
        <f t="shared" si="6"/>
        <v>-6.2751331821291279E-2</v>
      </c>
      <c r="P32">
        <f t="shared" si="7"/>
        <v>-0.28042113990685807</v>
      </c>
      <c r="U32">
        <f>EXP((0-14.81)/3.4811)</f>
        <v>1.4201575865529129E-2</v>
      </c>
      <c r="V32">
        <v>2.8633099999999995E-2</v>
      </c>
    </row>
    <row r="33" spans="1:21" x14ac:dyDescent="0.25">
      <c r="A33" s="34" t="s">
        <v>62</v>
      </c>
      <c r="B33" s="3">
        <v>1.1000000000000001</v>
      </c>
      <c r="C33">
        <v>9.4E-2</v>
      </c>
      <c r="D33">
        <v>9.5211012193945465E-3</v>
      </c>
      <c r="E33">
        <v>9.5000000000000001E-2</v>
      </c>
      <c r="F33">
        <f t="shared" si="16"/>
        <v>1.2453599999999981E-2</v>
      </c>
      <c r="G33">
        <v>0.52020999999999995</v>
      </c>
      <c r="H33">
        <f t="shared" si="1"/>
        <v>-2.9324987806054349E-3</v>
      </c>
      <c r="I33">
        <f t="shared" si="2"/>
        <v>-2.9324987806054348</v>
      </c>
      <c r="J33">
        <v>13.02</v>
      </c>
      <c r="K33">
        <f t="shared" si="3"/>
        <v>1.302E-2</v>
      </c>
      <c r="L33">
        <f t="shared" si="4"/>
        <v>-3.8181134123482764E-2</v>
      </c>
      <c r="M33">
        <f t="shared" si="5"/>
        <v>-7.3395617391981638E-2</v>
      </c>
      <c r="N33">
        <v>0.37751910050545207</v>
      </c>
      <c r="O33">
        <f t="shared" si="6"/>
        <v>0.30412348311347043</v>
      </c>
      <c r="P33">
        <f t="shared" si="7"/>
        <v>4.0949156153632052E-2</v>
      </c>
      <c r="U33">
        <f t="shared" ref="U33:U41" si="17">EXP((0-14.81)/3.4811)</f>
        <v>1.4201575865529129E-2</v>
      </c>
    </row>
    <row r="34" spans="1:21" x14ac:dyDescent="0.25">
      <c r="A34" s="34" t="s">
        <v>62</v>
      </c>
      <c r="B34" s="3">
        <v>1.2</v>
      </c>
      <c r="C34">
        <v>9.7000000000000003E-2</v>
      </c>
      <c r="D34">
        <v>5.1120825771294634E-2</v>
      </c>
      <c r="E34">
        <v>0.106</v>
      </c>
      <c r="F34">
        <f t="shared" si="16"/>
        <v>1.7596799999999996E-2</v>
      </c>
      <c r="G34">
        <v>0.51349999999999996</v>
      </c>
      <c r="H34">
        <f t="shared" si="1"/>
        <v>3.3524025771294638E-2</v>
      </c>
      <c r="I34">
        <f t="shared" si="2"/>
        <v>33.524025771294639</v>
      </c>
      <c r="J34">
        <v>12.24</v>
      </c>
      <c r="K34">
        <f t="shared" si="3"/>
        <v>1.2240000000000001E-2</v>
      </c>
      <c r="L34">
        <f t="shared" si="4"/>
        <v>0.41033407544064643</v>
      </c>
      <c r="M34">
        <f t="shared" si="5"/>
        <v>0.79909264934887336</v>
      </c>
      <c r="N34">
        <v>0.37751910050545207</v>
      </c>
      <c r="O34">
        <f t="shared" si="6"/>
        <v>1.1766117498543254</v>
      </c>
      <c r="P34">
        <f t="shared" si="7"/>
        <v>1.4955485530531741E-2</v>
      </c>
      <c r="U34">
        <f t="shared" si="17"/>
        <v>1.4201575865529129E-2</v>
      </c>
    </row>
    <row r="35" spans="1:21" x14ac:dyDescent="0.25">
      <c r="A35" s="34" t="s">
        <v>62</v>
      </c>
      <c r="B35" s="3">
        <v>2</v>
      </c>
      <c r="C35">
        <v>0.114</v>
      </c>
      <c r="D35">
        <v>8.9009880096690724E-2</v>
      </c>
      <c r="E35">
        <v>0.14199999999999999</v>
      </c>
      <c r="F35">
        <f t="shared" si="16"/>
        <v>4.6741599999999994E-2</v>
      </c>
      <c r="G35">
        <v>0.50302999999999998</v>
      </c>
      <c r="H35">
        <f t="shared" si="1"/>
        <v>4.226828009669073E-2</v>
      </c>
      <c r="I35">
        <f t="shared" si="2"/>
        <v>42.268280096690731</v>
      </c>
      <c r="J35">
        <v>12.58</v>
      </c>
      <c r="K35">
        <f t="shared" si="3"/>
        <v>1.2580000000000001E-2</v>
      </c>
      <c r="L35">
        <f t="shared" si="4"/>
        <v>0.5317349636163694</v>
      </c>
      <c r="M35">
        <f t="shared" si="5"/>
        <v>1.057064118673577</v>
      </c>
      <c r="N35">
        <v>0.37751910050545207</v>
      </c>
      <c r="O35">
        <f t="shared" si="6"/>
        <v>1.4345832191790291</v>
      </c>
      <c r="P35">
        <f t="shared" si="7"/>
        <v>3.258200665887398E-2</v>
      </c>
      <c r="U35">
        <f t="shared" si="17"/>
        <v>1.4201575865529129E-2</v>
      </c>
    </row>
    <row r="36" spans="1:21" x14ac:dyDescent="0.25">
      <c r="A36" s="34" t="s">
        <v>62</v>
      </c>
      <c r="B36" s="3">
        <v>3</v>
      </c>
      <c r="C36">
        <v>0.20100000000000001</v>
      </c>
      <c r="D36">
        <v>0.53282257008416201</v>
      </c>
      <c r="E36">
        <v>0.39600000000000002</v>
      </c>
      <c r="F36">
        <f t="shared" si="16"/>
        <v>0.19589440000000002</v>
      </c>
      <c r="G36">
        <v>0.50688999999999995</v>
      </c>
      <c r="H36">
        <f t="shared" si="1"/>
        <v>0.33692817008416198</v>
      </c>
      <c r="I36">
        <f t="shared" si="2"/>
        <v>336.92817008416199</v>
      </c>
      <c r="J36">
        <v>14.06</v>
      </c>
      <c r="K36">
        <f t="shared" si="3"/>
        <v>1.4060000000000001E-2</v>
      </c>
      <c r="L36">
        <f t="shared" si="4"/>
        <v>4.7372100713833181</v>
      </c>
      <c r="M36">
        <f t="shared" si="5"/>
        <v>9.3456372613058427</v>
      </c>
      <c r="N36">
        <v>0.37751910050545207</v>
      </c>
      <c r="O36">
        <f t="shared" si="6"/>
        <v>9.7231563618112951</v>
      </c>
      <c r="P36">
        <f t="shared" si="7"/>
        <v>2.0147202483485258E-2</v>
      </c>
      <c r="U36">
        <f t="shared" si="17"/>
        <v>1.4201575865529129E-2</v>
      </c>
    </row>
    <row r="37" spans="1:21" x14ac:dyDescent="0.25">
      <c r="A37" s="34" t="s">
        <v>62</v>
      </c>
      <c r="B37" s="3">
        <v>4</v>
      </c>
      <c r="C37">
        <v>0.34200000000000003</v>
      </c>
      <c r="D37">
        <v>0.87665584429887344</v>
      </c>
      <c r="E37">
        <v>0.59899999999999998</v>
      </c>
      <c r="F37">
        <f t="shared" si="16"/>
        <v>0.43762479999999998</v>
      </c>
      <c r="G37">
        <v>0.53361999999999998</v>
      </c>
      <c r="H37">
        <f t="shared" si="1"/>
        <v>0.43903104429887346</v>
      </c>
      <c r="I37">
        <f t="shared" si="2"/>
        <v>439.03104429887344</v>
      </c>
      <c r="J37">
        <v>13.61</v>
      </c>
      <c r="K37">
        <f t="shared" si="3"/>
        <v>1.3609999999999999E-2</v>
      </c>
      <c r="L37">
        <f t="shared" si="4"/>
        <v>5.9752125129076674</v>
      </c>
      <c r="M37">
        <f t="shared" si="5"/>
        <v>11.197504802870334</v>
      </c>
      <c r="N37">
        <v>0.37751910050545207</v>
      </c>
      <c r="O37">
        <f t="shared" si="6"/>
        <v>11.575023903375786</v>
      </c>
      <c r="P37">
        <f t="shared" si="7"/>
        <v>3.7807680023223912E-2</v>
      </c>
      <c r="U37">
        <f t="shared" si="17"/>
        <v>1.4201575865529129E-2</v>
      </c>
    </row>
    <row r="38" spans="1:21" x14ac:dyDescent="0.25">
      <c r="A38" s="34" t="s">
        <v>62</v>
      </c>
      <c r="B38" s="3">
        <v>5</v>
      </c>
      <c r="C38">
        <v>0.96799999999999997</v>
      </c>
      <c r="D38">
        <v>2.4900249002490025</v>
      </c>
      <c r="E38">
        <v>1.2609999999999999</v>
      </c>
      <c r="F38">
        <f t="shared" ref="F38:F41" si="18">0.4965*(C38^2)+1.5879*C38-0.1654</f>
        <v>1.8369196159999999</v>
      </c>
      <c r="G38">
        <v>0.51856999999999998</v>
      </c>
      <c r="H38">
        <f t="shared" si="1"/>
        <v>0.6531052842490026</v>
      </c>
      <c r="I38">
        <f t="shared" si="2"/>
        <v>653.10528424900258</v>
      </c>
      <c r="J38">
        <v>12.98</v>
      </c>
      <c r="K38">
        <f t="shared" si="3"/>
        <v>1.298E-2</v>
      </c>
      <c r="L38">
        <f t="shared" si="4"/>
        <v>8.4773065895520539</v>
      </c>
      <c r="M38">
        <f t="shared" si="5"/>
        <v>16.347468209792417</v>
      </c>
      <c r="N38">
        <v>0.37751910050545207</v>
      </c>
      <c r="O38">
        <f t="shared" si="6"/>
        <v>16.72498731029787</v>
      </c>
      <c r="P38">
        <f t="shared" si="7"/>
        <v>0.10983085259915122</v>
      </c>
      <c r="U38">
        <f t="shared" si="17"/>
        <v>1.4201575865529129E-2</v>
      </c>
    </row>
    <row r="39" spans="1:21" x14ac:dyDescent="0.25">
      <c r="A39" s="34" t="s">
        <v>62</v>
      </c>
      <c r="B39" s="3">
        <v>6</v>
      </c>
      <c r="C39">
        <v>1.522</v>
      </c>
      <c r="D39">
        <v>4.9815876124854475</v>
      </c>
      <c r="E39">
        <v>1.954</v>
      </c>
      <c r="F39">
        <f t="shared" si="18"/>
        <v>3.4015181060000002</v>
      </c>
      <c r="G39">
        <v>0.51651999999999998</v>
      </c>
      <c r="H39">
        <f t="shared" si="1"/>
        <v>1.5800695064854473</v>
      </c>
      <c r="I39">
        <f t="shared" si="2"/>
        <v>1580.0695064854474</v>
      </c>
      <c r="J39">
        <v>13.01</v>
      </c>
      <c r="K39">
        <f t="shared" si="3"/>
        <v>1.3009999999999999E-2</v>
      </c>
      <c r="L39">
        <f t="shared" si="4"/>
        <v>20.556704279375669</v>
      </c>
      <c r="M39">
        <f t="shared" si="5"/>
        <v>39.798467202384558</v>
      </c>
      <c r="N39">
        <v>0.37751910050545207</v>
      </c>
      <c r="O39">
        <f t="shared" si="6"/>
        <v>40.17598630289001</v>
      </c>
      <c r="P39">
        <f t="shared" si="7"/>
        <v>8.4665453645759434E-2</v>
      </c>
      <c r="U39">
        <f t="shared" si="17"/>
        <v>1.4201575865529129E-2</v>
      </c>
    </row>
    <row r="40" spans="1:21" x14ac:dyDescent="0.25">
      <c r="A40" s="34" t="s">
        <v>62</v>
      </c>
      <c r="B40" s="3">
        <v>7</v>
      </c>
      <c r="C40">
        <v>2.13</v>
      </c>
      <c r="D40">
        <v>7.456328078435452</v>
      </c>
      <c r="E40">
        <v>2.62</v>
      </c>
      <c r="F40">
        <f t="shared" si="18"/>
        <v>5.46939785</v>
      </c>
      <c r="G40">
        <v>0.53559000000000001</v>
      </c>
      <c r="H40">
        <f t="shared" si="1"/>
        <v>1.986930228435452</v>
      </c>
      <c r="I40">
        <f t="shared" si="2"/>
        <v>1986.9302284354519</v>
      </c>
      <c r="J40">
        <v>13.6</v>
      </c>
      <c r="K40">
        <f t="shared" si="3"/>
        <v>1.3599999999999999E-2</v>
      </c>
      <c r="L40">
        <f t="shared" si="4"/>
        <v>27.022251106722145</v>
      </c>
      <c r="M40">
        <f t="shared" si="5"/>
        <v>50.453240551022503</v>
      </c>
      <c r="N40">
        <v>0.37751910050545207</v>
      </c>
      <c r="O40">
        <f t="shared" si="6"/>
        <v>50.830759651527956</v>
      </c>
      <c r="P40">
        <f t="shared" si="7"/>
        <v>0.10760015957848451</v>
      </c>
      <c r="U40">
        <f t="shared" si="17"/>
        <v>1.4201575865529129E-2</v>
      </c>
    </row>
    <row r="41" spans="1:21" x14ac:dyDescent="0.25">
      <c r="A41" s="34" t="s">
        <v>62</v>
      </c>
      <c r="B41" s="3">
        <v>8</v>
      </c>
      <c r="C41">
        <v>2.6539999999999999</v>
      </c>
      <c r="D41">
        <v>10.004960476205715</v>
      </c>
      <c r="E41">
        <v>3.2149999999999999</v>
      </c>
      <c r="F41">
        <f t="shared" si="18"/>
        <v>7.546091594</v>
      </c>
      <c r="G41">
        <v>0.53927000000000003</v>
      </c>
      <c r="H41">
        <f t="shared" si="1"/>
        <v>2.4588688822057154</v>
      </c>
      <c r="I41">
        <f t="shared" si="2"/>
        <v>2458.8688822057156</v>
      </c>
      <c r="J41">
        <v>13.51</v>
      </c>
      <c r="K41">
        <f t="shared" si="3"/>
        <v>1.3509999999999999E-2</v>
      </c>
      <c r="L41">
        <f t="shared" si="4"/>
        <v>33.219318598599216</v>
      </c>
      <c r="M41">
        <f t="shared" si="5"/>
        <v>61.600531456597281</v>
      </c>
      <c r="N41">
        <v>0.37751910050545207</v>
      </c>
      <c r="O41">
        <f t="shared" si="6"/>
        <v>61.978050557102733</v>
      </c>
      <c r="P41">
        <f t="shared" si="7"/>
        <v>0.1217542585830043</v>
      </c>
      <c r="U41">
        <f t="shared" si="17"/>
        <v>1.4201575865529129E-2</v>
      </c>
    </row>
    <row r="42" spans="1:21" x14ac:dyDescent="0.25">
      <c r="A42" s="35" t="s">
        <v>31</v>
      </c>
      <c r="B42" s="3">
        <v>1</v>
      </c>
      <c r="C42">
        <v>9.1999999999999998E-2</v>
      </c>
      <c r="D42">
        <v>0</v>
      </c>
      <c r="E42">
        <v>9.1999999999999998E-2</v>
      </c>
      <c r="F42">
        <f t="shared" ref="F42:F47" si="19">1.7144*C42-0.1487</f>
        <v>9.0247999999999995E-3</v>
      </c>
      <c r="G42">
        <v>0</v>
      </c>
      <c r="H42">
        <f t="shared" si="1"/>
        <v>-9.0247999999999995E-3</v>
      </c>
      <c r="I42">
        <f t="shared" si="2"/>
        <v>-9.024799999999999</v>
      </c>
      <c r="J42">
        <v>5.72</v>
      </c>
      <c r="K42">
        <f t="shared" si="3"/>
        <v>5.7199999999999994E-3</v>
      </c>
      <c r="L42">
        <f t="shared" si="4"/>
        <v>-5.1621855999999987E-2</v>
      </c>
    </row>
    <row r="43" spans="1:21" x14ac:dyDescent="0.25">
      <c r="A43" s="35" t="s">
        <v>31</v>
      </c>
      <c r="B43" s="3">
        <v>1.1000000000000001</v>
      </c>
      <c r="C43">
        <v>9.5000000000000001E-2</v>
      </c>
      <c r="D43">
        <v>9.5211012193945465E-3</v>
      </c>
      <c r="E43">
        <v>9.5000000000000001E-2</v>
      </c>
      <c r="F43">
        <f t="shared" si="19"/>
        <v>1.4167999999999986E-2</v>
      </c>
      <c r="G43">
        <v>0</v>
      </c>
      <c r="H43">
        <f t="shared" si="1"/>
        <v>-4.6468987806054397E-3</v>
      </c>
      <c r="I43">
        <f t="shared" si="2"/>
        <v>-4.64689878060544</v>
      </c>
      <c r="J43">
        <v>5.72</v>
      </c>
      <c r="K43">
        <f t="shared" si="3"/>
        <v>5.7199999999999994E-3</v>
      </c>
      <c r="L43">
        <f t="shared" si="4"/>
        <v>-2.6580261025063116E-2</v>
      </c>
    </row>
    <row r="44" spans="1:21" x14ac:dyDescent="0.25">
      <c r="A44" s="35" t="s">
        <v>31</v>
      </c>
      <c r="B44" s="3">
        <v>1.2</v>
      </c>
      <c r="C44">
        <v>0.106</v>
      </c>
      <c r="D44">
        <v>5.1120825771294634E-2</v>
      </c>
      <c r="E44">
        <v>0.106</v>
      </c>
      <c r="F44">
        <f t="shared" si="19"/>
        <v>3.3026399999999984E-2</v>
      </c>
      <c r="G44">
        <v>0</v>
      </c>
      <c r="H44">
        <f t="shared" si="1"/>
        <v>1.809442577129465E-2</v>
      </c>
      <c r="I44">
        <f t="shared" si="2"/>
        <v>18.094425771294649</v>
      </c>
      <c r="J44">
        <v>5.72</v>
      </c>
      <c r="K44">
        <f t="shared" si="3"/>
        <v>5.7199999999999994E-3</v>
      </c>
      <c r="L44">
        <f t="shared" si="4"/>
        <v>0.10350011541180539</v>
      </c>
    </row>
    <row r="45" spans="1:21" x14ac:dyDescent="0.25">
      <c r="A45" s="35" t="s">
        <v>31</v>
      </c>
      <c r="B45" s="3">
        <v>2</v>
      </c>
      <c r="C45">
        <v>0.161</v>
      </c>
      <c r="D45">
        <v>8.9009880096690724E-2</v>
      </c>
      <c r="E45">
        <v>0.14199999999999999</v>
      </c>
      <c r="F45">
        <f t="shared" si="19"/>
        <v>0.1273184</v>
      </c>
      <c r="G45">
        <v>0</v>
      </c>
      <c r="H45">
        <f t="shared" si="1"/>
        <v>-3.8308519903309274E-2</v>
      </c>
      <c r="I45">
        <f t="shared" si="2"/>
        <v>-38.308519903309275</v>
      </c>
      <c r="J45">
        <v>5.0199999999999996</v>
      </c>
      <c r="K45">
        <f t="shared" si="3"/>
        <v>5.0199999999999993E-3</v>
      </c>
      <c r="L45">
        <f t="shared" si="4"/>
        <v>-0.19230876991461254</v>
      </c>
    </row>
    <row r="46" spans="1:21" x14ac:dyDescent="0.25">
      <c r="A46" s="35" t="s">
        <v>31</v>
      </c>
      <c r="B46" s="3">
        <v>3</v>
      </c>
      <c r="C46">
        <v>0.41099999999999998</v>
      </c>
      <c r="D46">
        <v>0.53282257008416201</v>
      </c>
      <c r="E46">
        <v>0.39600000000000002</v>
      </c>
      <c r="F46">
        <f t="shared" si="19"/>
        <v>0.55591839999999992</v>
      </c>
      <c r="G46">
        <v>0</v>
      </c>
      <c r="H46">
        <f t="shared" si="1"/>
        <v>-2.3095829915837918E-2</v>
      </c>
      <c r="I46">
        <f t="shared" si="2"/>
        <v>-23.095829915837918</v>
      </c>
      <c r="J46">
        <v>4.71</v>
      </c>
      <c r="K46">
        <f t="shared" si="3"/>
        <v>4.7099999999999998E-3</v>
      </c>
      <c r="L46">
        <f t="shared" si="4"/>
        <v>-0.10878135890359658</v>
      </c>
    </row>
    <row r="47" spans="1:21" x14ac:dyDescent="0.25">
      <c r="A47" s="35" t="s">
        <v>31</v>
      </c>
      <c r="B47" s="3">
        <v>4</v>
      </c>
      <c r="C47">
        <v>0.57799999999999996</v>
      </c>
      <c r="D47">
        <v>0.87665584429887344</v>
      </c>
      <c r="E47">
        <v>0.59899999999999998</v>
      </c>
      <c r="F47">
        <f t="shared" si="19"/>
        <v>0.84222319999999984</v>
      </c>
      <c r="G47">
        <v>0</v>
      </c>
      <c r="H47">
        <f t="shared" si="1"/>
        <v>3.4432644298873605E-2</v>
      </c>
      <c r="I47">
        <f t="shared" si="2"/>
        <v>34.432644298873605</v>
      </c>
      <c r="J47">
        <v>5.54</v>
      </c>
      <c r="K47">
        <f t="shared" si="3"/>
        <v>5.5399999999999998E-3</v>
      </c>
      <c r="L47">
        <f t="shared" si="4"/>
        <v>0.19075684941575977</v>
      </c>
    </row>
    <row r="48" spans="1:21" x14ac:dyDescent="0.25">
      <c r="A48" s="35" t="s">
        <v>31</v>
      </c>
      <c r="B48" s="3">
        <v>5</v>
      </c>
      <c r="C48">
        <v>1.254</v>
      </c>
      <c r="D48">
        <v>2.4900249002490025</v>
      </c>
      <c r="E48">
        <v>1.2609999999999999</v>
      </c>
      <c r="F48">
        <f t="shared" ref="F48:F51" si="20">0.4965*(C48^2)+1.5879*C48-0.1654</f>
        <v>2.6065807940000001</v>
      </c>
      <c r="G48">
        <v>0</v>
      </c>
      <c r="H48">
        <f t="shared" si="1"/>
        <v>-0.11655589375099762</v>
      </c>
      <c r="I48">
        <f t="shared" si="2"/>
        <v>-116.55589375099763</v>
      </c>
      <c r="J48">
        <v>4.5999999999999996</v>
      </c>
      <c r="K48">
        <f t="shared" si="3"/>
        <v>4.5999999999999999E-3</v>
      </c>
      <c r="L48">
        <f t="shared" si="4"/>
        <v>-0.53615711125458909</v>
      </c>
    </row>
    <row r="49" spans="1:12" x14ac:dyDescent="0.25">
      <c r="A49" s="35" t="s">
        <v>31</v>
      </c>
      <c r="B49" s="3">
        <v>6</v>
      </c>
      <c r="C49">
        <v>1.9179999999999999</v>
      </c>
      <c r="D49">
        <v>4.9815876124854475</v>
      </c>
      <c r="E49">
        <v>1.954</v>
      </c>
      <c r="F49">
        <f t="shared" si="20"/>
        <v>4.7066786660000002</v>
      </c>
      <c r="G49">
        <v>0</v>
      </c>
      <c r="H49">
        <f t="shared" si="1"/>
        <v>0.27490894648544728</v>
      </c>
      <c r="I49">
        <f t="shared" si="2"/>
        <v>274.9089464854473</v>
      </c>
      <c r="J49">
        <v>5.55</v>
      </c>
      <c r="K49">
        <f t="shared" si="3"/>
        <v>5.5500000000000002E-3</v>
      </c>
      <c r="L49">
        <f t="shared" si="4"/>
        <v>1.5257446529942327</v>
      </c>
    </row>
    <row r="50" spans="1:12" x14ac:dyDescent="0.25">
      <c r="A50" s="35" t="s">
        <v>31</v>
      </c>
      <c r="B50" s="3">
        <v>7</v>
      </c>
      <c r="C50">
        <v>2.5489999999999999</v>
      </c>
      <c r="D50">
        <v>7.456328078435452</v>
      </c>
      <c r="E50">
        <v>2.62</v>
      </c>
      <c r="F50">
        <f t="shared" si="20"/>
        <v>7.1081166964999998</v>
      </c>
      <c r="G50">
        <v>0</v>
      </c>
      <c r="H50">
        <f t="shared" si="1"/>
        <v>0.3482113819354522</v>
      </c>
      <c r="I50">
        <f t="shared" si="2"/>
        <v>348.21138193545221</v>
      </c>
      <c r="J50">
        <v>5.77</v>
      </c>
      <c r="K50">
        <f t="shared" si="3"/>
        <v>5.77E-3</v>
      </c>
      <c r="L50">
        <f t="shared" si="4"/>
        <v>2.0091796737675591</v>
      </c>
    </row>
    <row r="51" spans="1:12" x14ac:dyDescent="0.25">
      <c r="A51" s="35" t="s">
        <v>31</v>
      </c>
      <c r="B51" s="3">
        <v>8</v>
      </c>
      <c r="C51">
        <v>3.117</v>
      </c>
      <c r="D51">
        <v>10.004960476205715</v>
      </c>
      <c r="E51">
        <v>3.2149999999999999</v>
      </c>
      <c r="F51">
        <f t="shared" si="20"/>
        <v>9.6079238884999985</v>
      </c>
      <c r="G51">
        <v>0</v>
      </c>
      <c r="H51">
        <f t="shared" si="1"/>
        <v>0.39703658770571693</v>
      </c>
      <c r="I51">
        <f t="shared" si="2"/>
        <v>397.0365877057169</v>
      </c>
      <c r="J51">
        <v>4.46</v>
      </c>
      <c r="K51">
        <f t="shared" si="3"/>
        <v>4.4599999999999996E-3</v>
      </c>
      <c r="L51">
        <f t="shared" si="4"/>
        <v>1.7707831811674972</v>
      </c>
    </row>
    <row r="52" spans="1:12" x14ac:dyDescent="0.25">
      <c r="A52" s="36" t="s">
        <v>32</v>
      </c>
      <c r="B52" s="3">
        <v>1</v>
      </c>
      <c r="C52">
        <v>9.0999999999999998E-2</v>
      </c>
      <c r="D52">
        <v>0</v>
      </c>
      <c r="E52">
        <v>9.1999999999999998E-2</v>
      </c>
      <c r="F52">
        <f t="shared" ref="F52:F57" si="21">1.7144*C52-0.1487</f>
        <v>7.3103999999999947E-3</v>
      </c>
      <c r="G52">
        <v>0</v>
      </c>
      <c r="H52">
        <f t="shared" si="1"/>
        <v>-7.3103999999999947E-3</v>
      </c>
      <c r="I52">
        <f t="shared" si="2"/>
        <v>-7.3103999999999942</v>
      </c>
      <c r="J52">
        <v>5.19</v>
      </c>
      <c r="K52">
        <f t="shared" si="3"/>
        <v>5.1900000000000002E-3</v>
      </c>
      <c r="L52">
        <f t="shared" si="4"/>
        <v>-3.7940975999999974E-2</v>
      </c>
    </row>
    <row r="53" spans="1:12" x14ac:dyDescent="0.25">
      <c r="A53" s="36" t="s">
        <v>32</v>
      </c>
      <c r="B53" s="3">
        <v>1.1000000000000001</v>
      </c>
      <c r="C53">
        <v>9.5000000000000001E-2</v>
      </c>
      <c r="D53">
        <v>9.5211012193945465E-3</v>
      </c>
      <c r="E53">
        <v>9.5000000000000001E-2</v>
      </c>
      <c r="F53">
        <f t="shared" si="21"/>
        <v>1.4167999999999986E-2</v>
      </c>
      <c r="G53">
        <v>0</v>
      </c>
      <c r="H53">
        <f t="shared" si="1"/>
        <v>-4.6468987806054397E-3</v>
      </c>
      <c r="I53">
        <f t="shared" si="2"/>
        <v>-4.64689878060544</v>
      </c>
      <c r="J53">
        <v>5.19</v>
      </c>
      <c r="K53">
        <f t="shared" si="3"/>
        <v>5.1900000000000002E-3</v>
      </c>
      <c r="L53">
        <f t="shared" si="4"/>
        <v>-2.4117404671342234E-2</v>
      </c>
    </row>
    <row r="54" spans="1:12" x14ac:dyDescent="0.25">
      <c r="A54" s="36" t="s">
        <v>32</v>
      </c>
      <c r="B54" s="3">
        <v>1.2</v>
      </c>
      <c r="C54">
        <v>0.106</v>
      </c>
      <c r="D54">
        <v>5.1120825771294634E-2</v>
      </c>
      <c r="E54">
        <v>0.106</v>
      </c>
      <c r="F54">
        <f t="shared" si="21"/>
        <v>3.3026399999999984E-2</v>
      </c>
      <c r="G54">
        <v>0</v>
      </c>
      <c r="H54">
        <f t="shared" si="1"/>
        <v>1.809442577129465E-2</v>
      </c>
      <c r="I54">
        <f t="shared" si="2"/>
        <v>18.094425771294649</v>
      </c>
      <c r="J54">
        <v>5.19</v>
      </c>
      <c r="K54">
        <f t="shared" si="3"/>
        <v>5.1900000000000002E-3</v>
      </c>
      <c r="L54">
        <f t="shared" si="4"/>
        <v>9.3910069753019229E-2</v>
      </c>
    </row>
    <row r="55" spans="1:12" ht="14.25" customHeight="1" x14ac:dyDescent="0.25">
      <c r="A55" s="36" t="s">
        <v>32</v>
      </c>
      <c r="B55" s="3">
        <v>2</v>
      </c>
      <c r="C55">
        <v>0.14899999999999999</v>
      </c>
      <c r="D55">
        <v>8.9009880096690724E-2</v>
      </c>
      <c r="E55">
        <v>0.14199999999999999</v>
      </c>
      <c r="F55">
        <f t="shared" si="21"/>
        <v>0.1067456</v>
      </c>
      <c r="G55">
        <v>0</v>
      </c>
      <c r="H55">
        <f t="shared" si="1"/>
        <v>-1.7735719903309272E-2</v>
      </c>
      <c r="I55">
        <f t="shared" si="2"/>
        <v>-17.735719903309271</v>
      </c>
      <c r="J55">
        <v>5.33</v>
      </c>
      <c r="K55">
        <f t="shared" si="3"/>
        <v>5.3299999999999997E-3</v>
      </c>
      <c r="L55">
        <f t="shared" si="4"/>
        <v>-9.4531387084638402E-2</v>
      </c>
    </row>
    <row r="56" spans="1:12" x14ac:dyDescent="0.25">
      <c r="A56" s="36" t="s">
        <v>32</v>
      </c>
      <c r="B56" s="3">
        <v>3</v>
      </c>
      <c r="C56">
        <v>0.41</v>
      </c>
      <c r="D56">
        <v>0.53282257008416201</v>
      </c>
      <c r="E56">
        <v>0.39600000000000002</v>
      </c>
      <c r="F56">
        <f t="shared" si="21"/>
        <v>0.55420399999999992</v>
      </c>
      <c r="G56">
        <v>0</v>
      </c>
      <c r="H56">
        <f t="shared" si="1"/>
        <v>-2.1381429915837913E-2</v>
      </c>
      <c r="I56">
        <f t="shared" si="2"/>
        <v>-21.381429915837913</v>
      </c>
      <c r="J56">
        <v>4.37</v>
      </c>
      <c r="K56">
        <f t="shared" si="3"/>
        <v>4.3699999999999998E-3</v>
      </c>
      <c r="L56">
        <f t="shared" si="4"/>
        <v>-9.3436848732211669E-2</v>
      </c>
    </row>
    <row r="57" spans="1:12" x14ac:dyDescent="0.25">
      <c r="A57" s="36" t="s">
        <v>32</v>
      </c>
      <c r="B57" s="3">
        <v>4</v>
      </c>
      <c r="C57">
        <v>0.60899999999999999</v>
      </c>
      <c r="D57">
        <v>0.87665584429887344</v>
      </c>
      <c r="E57">
        <v>0.59899999999999998</v>
      </c>
      <c r="F57">
        <f t="shared" si="21"/>
        <v>0.89536959999999977</v>
      </c>
      <c r="G57">
        <v>0</v>
      </c>
      <c r="H57">
        <f t="shared" si="1"/>
        <v>-1.8713755701126322E-2</v>
      </c>
      <c r="I57">
        <f t="shared" si="2"/>
        <v>-18.713755701126324</v>
      </c>
      <c r="J57">
        <v>5.29</v>
      </c>
      <c r="K57">
        <f t="shared" si="3"/>
        <v>5.2900000000000004E-3</v>
      </c>
      <c r="L57">
        <f t="shared" si="4"/>
        <v>-9.8995767658958261E-2</v>
      </c>
    </row>
    <row r="58" spans="1:12" x14ac:dyDescent="0.25">
      <c r="A58" s="36" t="s">
        <v>32</v>
      </c>
      <c r="B58" s="3">
        <v>5</v>
      </c>
      <c r="C58">
        <v>1.2270000000000001</v>
      </c>
      <c r="D58">
        <v>2.4900249002490025</v>
      </c>
      <c r="E58">
        <v>1.2609999999999999</v>
      </c>
      <c r="F58">
        <f t="shared" ref="F58:F61" si="22">0.4965*(C58^2)+1.5879*C58-0.1654</f>
        <v>2.5304484485000005</v>
      </c>
      <c r="G58">
        <v>0</v>
      </c>
      <c r="H58">
        <f t="shared" si="1"/>
        <v>-4.0423548250998032E-2</v>
      </c>
      <c r="I58">
        <f t="shared" si="2"/>
        <v>-40.423548250998032</v>
      </c>
      <c r="J58">
        <v>5.74</v>
      </c>
      <c r="K58">
        <f t="shared" si="3"/>
        <v>5.7400000000000003E-3</v>
      </c>
      <c r="L58">
        <f t="shared" si="4"/>
        <v>-0.2320311669607287</v>
      </c>
    </row>
    <row r="59" spans="1:12" x14ac:dyDescent="0.25">
      <c r="A59" s="36" t="s">
        <v>32</v>
      </c>
      <c r="B59" s="3">
        <v>6</v>
      </c>
      <c r="C59">
        <v>1.9370000000000001</v>
      </c>
      <c r="D59">
        <v>4.9815876124854475</v>
      </c>
      <c r="E59">
        <v>1.954</v>
      </c>
      <c r="F59">
        <f t="shared" si="22"/>
        <v>4.7732149085</v>
      </c>
      <c r="G59">
        <v>0</v>
      </c>
      <c r="H59">
        <f t="shared" si="1"/>
        <v>0.20837270398544749</v>
      </c>
      <c r="I59">
        <f t="shared" si="2"/>
        <v>208.37270398544749</v>
      </c>
      <c r="J59">
        <v>4.87</v>
      </c>
      <c r="K59">
        <f t="shared" si="3"/>
        <v>4.8700000000000002E-3</v>
      </c>
      <c r="L59">
        <f t="shared" si="4"/>
        <v>1.0147750684091292</v>
      </c>
    </row>
    <row r="60" spans="1:12" x14ac:dyDescent="0.25">
      <c r="A60" s="36" t="s">
        <v>32</v>
      </c>
      <c r="B60" s="3">
        <v>7</v>
      </c>
      <c r="C60">
        <v>2.601</v>
      </c>
      <c r="D60">
        <v>7.456328078435452</v>
      </c>
      <c r="E60">
        <v>2.62</v>
      </c>
      <c r="F60">
        <f t="shared" si="22"/>
        <v>7.3236501965000009</v>
      </c>
      <c r="G60">
        <v>0</v>
      </c>
      <c r="H60">
        <f t="shared" si="1"/>
        <v>0.13267788193545105</v>
      </c>
      <c r="I60">
        <f t="shared" si="2"/>
        <v>132.67788193545104</v>
      </c>
      <c r="J60">
        <v>6.03</v>
      </c>
      <c r="K60">
        <f t="shared" si="3"/>
        <v>6.0300000000000006E-3</v>
      </c>
      <c r="L60">
        <f t="shared" si="4"/>
        <v>0.8000476280707699</v>
      </c>
    </row>
    <row r="61" spans="1:12" x14ac:dyDescent="0.25">
      <c r="A61" s="36" t="s">
        <v>32</v>
      </c>
      <c r="B61" s="3">
        <v>8</v>
      </c>
      <c r="C61">
        <v>3.149</v>
      </c>
      <c r="D61">
        <v>10.004960476205715</v>
      </c>
      <c r="E61">
        <v>3.2149999999999999</v>
      </c>
      <c r="F61">
        <f t="shared" si="22"/>
        <v>9.7582908965000001</v>
      </c>
      <c r="G61">
        <v>0</v>
      </c>
      <c r="H61">
        <f t="shared" si="1"/>
        <v>0.24666957970571524</v>
      </c>
      <c r="I61">
        <f t="shared" si="2"/>
        <v>246.66957970571525</v>
      </c>
      <c r="J61">
        <v>4.82</v>
      </c>
      <c r="K61">
        <f t="shared" si="3"/>
        <v>4.8200000000000005E-3</v>
      </c>
      <c r="L61">
        <f t="shared" si="4"/>
        <v>1.1889473741815477</v>
      </c>
    </row>
    <row r="63" spans="1:12" x14ac:dyDescent="0.25">
      <c r="C63" t="s">
        <v>54</v>
      </c>
      <c r="E63" t="s">
        <v>55</v>
      </c>
    </row>
    <row r="64" spans="1:12" ht="29.25" customHeight="1" thickBot="1" x14ac:dyDescent="0.3">
      <c r="B64" s="3">
        <v>1</v>
      </c>
      <c r="C64">
        <v>0</v>
      </c>
      <c r="E64">
        <v>9.1999999999999998E-2</v>
      </c>
    </row>
    <row r="65" spans="1:36" ht="30.75" customHeight="1" thickBot="1" x14ac:dyDescent="0.3">
      <c r="B65" s="3">
        <v>1.1000000000000001</v>
      </c>
      <c r="C65">
        <v>9.5211012193945465E-3</v>
      </c>
      <c r="E65">
        <v>9.5000000000000001E-2</v>
      </c>
      <c r="U65" t="s">
        <v>16</v>
      </c>
      <c r="V65" t="s">
        <v>51</v>
      </c>
      <c r="W65" s="56" t="s">
        <v>50</v>
      </c>
      <c r="X65" s="56" t="s">
        <v>135</v>
      </c>
      <c r="AA65" s="76" t="s">
        <v>16</v>
      </c>
      <c r="AB65" s="77" t="s">
        <v>170</v>
      </c>
      <c r="AC65" s="77" t="s">
        <v>171</v>
      </c>
      <c r="AD65" s="78" t="s">
        <v>135</v>
      </c>
      <c r="AG65" t="s">
        <v>65</v>
      </c>
      <c r="AH65" t="s">
        <v>155</v>
      </c>
      <c r="AI65" s="67" t="s">
        <v>51</v>
      </c>
      <c r="AJ65" s="68" t="s">
        <v>50</v>
      </c>
    </row>
    <row r="66" spans="1:36" x14ac:dyDescent="0.25">
      <c r="B66" s="3">
        <v>1.2</v>
      </c>
      <c r="C66">
        <v>5.1120825771294634E-2</v>
      </c>
      <c r="E66">
        <v>0.106</v>
      </c>
      <c r="U66" t="s">
        <v>131</v>
      </c>
      <c r="V66" s="57">
        <f>EXP((0-11.137)/3.897)</f>
        <v>5.7392631004356785E-2</v>
      </c>
      <c r="W66" s="56">
        <v>2.5000000000000001E-2</v>
      </c>
      <c r="X66" t="str">
        <f>IF(V66&gt;=W66,"Source","Sink")</f>
        <v>Source</v>
      </c>
      <c r="AA66" s="59" t="s">
        <v>156</v>
      </c>
      <c r="AB66" s="73">
        <v>5.7392631004356787</v>
      </c>
      <c r="AC66" s="74">
        <v>2.5</v>
      </c>
      <c r="AD66" s="59" t="str">
        <f>IF(AB66&gt;=AC66,"Source","Sink")</f>
        <v>Source</v>
      </c>
      <c r="AG66" t="s">
        <v>153</v>
      </c>
      <c r="AH66" s="25">
        <v>44393</v>
      </c>
      <c r="AI66" s="61">
        <v>5.7392631004356787</v>
      </c>
      <c r="AJ66" s="69">
        <v>2.5</v>
      </c>
    </row>
    <row r="67" spans="1:36" x14ac:dyDescent="0.25">
      <c r="B67" s="3">
        <v>2</v>
      </c>
      <c r="C67">
        <v>8.9009880096690724E-2</v>
      </c>
      <c r="E67">
        <v>0.14199999999999999</v>
      </c>
      <c r="U67" t="s">
        <v>132</v>
      </c>
      <c r="V67" s="57">
        <f>EXP((0-12.33)/4.6159)</f>
        <v>6.9169053799692889E-2</v>
      </c>
      <c r="W67" s="56">
        <v>2.8000000000000001E-2</v>
      </c>
      <c r="X67" t="str">
        <f t="shared" ref="X67:X79" si="23">IF(V67&gt;=W67,"Source","Sink")</f>
        <v>Source</v>
      </c>
      <c r="AA67" s="59" t="s">
        <v>169</v>
      </c>
      <c r="AB67" s="73">
        <v>9.4689383349236902</v>
      </c>
      <c r="AC67" s="75">
        <v>2.1999999999999997</v>
      </c>
      <c r="AD67" s="59" t="str">
        <f t="shared" ref="AD67:AD79" si="24">IF(AB67&gt;=AC67,"Source","Sink")</f>
        <v>Source</v>
      </c>
      <c r="AG67" t="s">
        <v>153</v>
      </c>
      <c r="AH67" s="25">
        <v>44404</v>
      </c>
      <c r="AI67" s="61">
        <v>6.9169053799692888</v>
      </c>
      <c r="AJ67" s="69">
        <v>2.8000000000000003</v>
      </c>
    </row>
    <row r="68" spans="1:36" x14ac:dyDescent="0.25">
      <c r="B68" s="3">
        <v>2.1</v>
      </c>
      <c r="C68">
        <v>0.2501079890571089</v>
      </c>
      <c r="U68" t="s">
        <v>133</v>
      </c>
      <c r="V68" s="57">
        <f>EXP((0-17.578)/7.4573)</f>
        <v>9.4689383349236905E-2</v>
      </c>
      <c r="W68">
        <v>2.1999999999999999E-2</v>
      </c>
      <c r="X68" t="str">
        <f t="shared" si="23"/>
        <v>Source</v>
      </c>
      <c r="AA68" s="59" t="s">
        <v>157</v>
      </c>
      <c r="AB68" s="73">
        <v>6.9169053799692888</v>
      </c>
      <c r="AC68" s="74">
        <v>2.8000000000000003</v>
      </c>
      <c r="AD68" s="59" t="str">
        <f t="shared" si="24"/>
        <v>Source</v>
      </c>
      <c r="AG68" t="s">
        <v>153</v>
      </c>
      <c r="AH68" s="25">
        <v>44633</v>
      </c>
      <c r="AI68" s="61">
        <v>5.9721987458001822</v>
      </c>
      <c r="AJ68" s="70">
        <v>4.0895000000000001</v>
      </c>
    </row>
    <row r="69" spans="1:36" x14ac:dyDescent="0.25">
      <c r="B69" s="3">
        <v>3</v>
      </c>
      <c r="C69">
        <v>0.53282257008416201</v>
      </c>
      <c r="E69">
        <v>0.39600000000000002</v>
      </c>
      <c r="U69" t="s">
        <v>134</v>
      </c>
      <c r="V69" s="57">
        <f>EXP((0-15.654)/5.788)</f>
        <v>6.6899675590989E-2</v>
      </c>
      <c r="W69">
        <v>2.8000000000000001E-2</v>
      </c>
      <c r="X69" t="str">
        <f t="shared" si="23"/>
        <v>Source</v>
      </c>
      <c r="AA69" s="59" t="s">
        <v>158</v>
      </c>
      <c r="AB69" s="73">
        <v>6.6899675590988998</v>
      </c>
      <c r="AC69" s="75">
        <v>2.8000000000000003</v>
      </c>
      <c r="AD69" s="59" t="str">
        <f t="shared" si="24"/>
        <v>Source</v>
      </c>
      <c r="AG69" t="s">
        <v>153</v>
      </c>
      <c r="AH69" s="25">
        <v>44638</v>
      </c>
      <c r="AI69" s="61">
        <v>1.1460635716630296</v>
      </c>
      <c r="AJ69" s="70">
        <v>4.3743999999999996</v>
      </c>
    </row>
    <row r="70" spans="1:36" x14ac:dyDescent="0.25">
      <c r="B70" s="3">
        <v>4</v>
      </c>
      <c r="C70">
        <v>0.87665584429887344</v>
      </c>
      <c r="E70">
        <v>0.59899999999999998</v>
      </c>
      <c r="U70" t="s">
        <v>80</v>
      </c>
      <c r="V70" s="57">
        <f>EXP((0-44.452)/15.774)</f>
        <v>5.9721987458001821E-2</v>
      </c>
      <c r="W70" s="28">
        <v>4.0895000000000001E-2</v>
      </c>
      <c r="X70" t="str">
        <f t="shared" si="23"/>
        <v>Source</v>
      </c>
      <c r="AA70" s="59" t="s">
        <v>159</v>
      </c>
      <c r="AB70" s="73">
        <v>5.9721987458001822</v>
      </c>
      <c r="AC70" s="75">
        <v>4.0895000000000001</v>
      </c>
      <c r="AD70" s="59" t="str">
        <f t="shared" si="24"/>
        <v>Source</v>
      </c>
      <c r="AG70" t="s">
        <v>153</v>
      </c>
      <c r="AH70" s="25">
        <v>44652</v>
      </c>
      <c r="AI70" s="61">
        <v>1.505676863684632</v>
      </c>
      <c r="AJ70" s="70">
        <v>4.1542000000000003</v>
      </c>
    </row>
    <row r="71" spans="1:36" x14ac:dyDescent="0.25">
      <c r="B71" s="3">
        <v>5</v>
      </c>
      <c r="C71">
        <v>2.4900249002490025</v>
      </c>
      <c r="E71">
        <v>1.2609999999999999</v>
      </c>
      <c r="U71" t="s">
        <v>81</v>
      </c>
      <c r="V71" s="57">
        <f>EXP((0-22.127)/4.9514)</f>
        <v>1.1460635716630297E-2</v>
      </c>
      <c r="W71" s="28">
        <v>4.3743999999999998E-2</v>
      </c>
      <c r="X71" t="str">
        <f t="shared" si="23"/>
        <v>Sink</v>
      </c>
      <c r="AA71" s="59" t="s">
        <v>160</v>
      </c>
      <c r="AB71" s="73">
        <v>2.2901807219182326</v>
      </c>
      <c r="AC71" s="75">
        <v>4.5183999999999997</v>
      </c>
      <c r="AD71" s="59" t="str">
        <f t="shared" si="24"/>
        <v>Sink</v>
      </c>
      <c r="AG71" t="s">
        <v>153</v>
      </c>
      <c r="AH71" s="25">
        <v>44754</v>
      </c>
      <c r="AI71" s="61">
        <v>2.2132942453939166</v>
      </c>
      <c r="AJ71" s="70">
        <v>1.66218</v>
      </c>
    </row>
    <row r="72" spans="1:36" x14ac:dyDescent="0.25">
      <c r="B72" s="3">
        <v>6</v>
      </c>
      <c r="C72">
        <v>4.9815876124854475</v>
      </c>
      <c r="E72">
        <v>1.954</v>
      </c>
      <c r="U72" t="s">
        <v>82</v>
      </c>
      <c r="V72" s="57">
        <f>EXP((0-17.351)/4.1352)</f>
        <v>1.505676863684632E-2</v>
      </c>
      <c r="W72" s="28">
        <v>4.1542000000000003E-2</v>
      </c>
      <c r="X72" t="str">
        <f t="shared" si="23"/>
        <v>Sink</v>
      </c>
      <c r="AA72" s="59" t="s">
        <v>161</v>
      </c>
      <c r="AB72" s="73">
        <v>1.1460635716630296</v>
      </c>
      <c r="AC72" s="75">
        <v>4.3743999999999996</v>
      </c>
      <c r="AD72" s="59" t="str">
        <f t="shared" si="24"/>
        <v>Sink</v>
      </c>
      <c r="AG72" t="s">
        <v>153</v>
      </c>
      <c r="AH72" s="25">
        <v>44777</v>
      </c>
      <c r="AI72" s="61">
        <v>1.4201575865529128</v>
      </c>
      <c r="AJ72" s="70">
        <v>2.8633099999999994</v>
      </c>
    </row>
    <row r="73" spans="1:36" x14ac:dyDescent="0.25">
      <c r="B73" s="3">
        <v>7</v>
      </c>
      <c r="C73">
        <v>7.456328078435452</v>
      </c>
      <c r="E73">
        <v>2.62</v>
      </c>
      <c r="U73" t="s">
        <v>83</v>
      </c>
      <c r="V73" s="57">
        <f>EXP((0-22.839)/6.0476)</f>
        <v>2.2901807219182328E-2</v>
      </c>
      <c r="W73" s="28">
        <v>4.5184000000000002E-2</v>
      </c>
      <c r="X73" t="str">
        <f t="shared" si="23"/>
        <v>Sink</v>
      </c>
      <c r="AA73" s="59" t="s">
        <v>162</v>
      </c>
      <c r="AB73" s="73">
        <v>3.7883516717964194</v>
      </c>
      <c r="AC73" s="75">
        <v>6.5766000000000009</v>
      </c>
      <c r="AD73" s="59" t="str">
        <f t="shared" si="24"/>
        <v>Sink</v>
      </c>
      <c r="AG73" t="s">
        <v>154</v>
      </c>
      <c r="AH73" s="25">
        <v>44393</v>
      </c>
      <c r="AI73" s="62">
        <v>9.4689383349236902</v>
      </c>
      <c r="AJ73" s="58">
        <v>2.1999999999999997</v>
      </c>
    </row>
    <row r="74" spans="1:36" x14ac:dyDescent="0.25">
      <c r="B74" s="3">
        <v>8</v>
      </c>
      <c r="C74">
        <v>10.004960476205715</v>
      </c>
      <c r="E74">
        <v>3.2149999999999999</v>
      </c>
      <c r="U74" t="s">
        <v>84</v>
      </c>
      <c r="V74" s="57">
        <f>EXP((0-35.459)/10.833)</f>
        <v>3.7883516717964194E-2</v>
      </c>
      <c r="W74" s="28">
        <v>6.5766000000000005E-2</v>
      </c>
      <c r="X74" t="str">
        <f t="shared" si="23"/>
        <v>Sink</v>
      </c>
      <c r="AA74" s="59" t="s">
        <v>163</v>
      </c>
      <c r="AB74" s="73">
        <v>1.505676863684632</v>
      </c>
      <c r="AC74" s="75">
        <v>4.1542000000000003</v>
      </c>
      <c r="AD74" s="59" t="str">
        <f t="shared" si="24"/>
        <v>Sink</v>
      </c>
      <c r="AG74" t="s">
        <v>154</v>
      </c>
      <c r="AH74" s="25">
        <v>44404</v>
      </c>
      <c r="AI74" s="62">
        <v>6.6899675590988998</v>
      </c>
      <c r="AJ74" s="58">
        <v>2.8000000000000003</v>
      </c>
    </row>
    <row r="75" spans="1:36" x14ac:dyDescent="0.25">
      <c r="B75" s="3">
        <v>9</v>
      </c>
      <c r="C75">
        <v>49.90713114762297</v>
      </c>
      <c r="E75">
        <v>4</v>
      </c>
      <c r="U75" t="s">
        <v>85</v>
      </c>
      <c r="V75" s="57">
        <f>EXP((0-25.37)/7.5456)</f>
        <v>3.465808169249613E-2</v>
      </c>
      <c r="W75" s="28">
        <v>3.2732999999999998E-2</v>
      </c>
      <c r="X75" t="str">
        <f t="shared" si="23"/>
        <v>Source</v>
      </c>
      <c r="AA75" s="59" t="s">
        <v>164</v>
      </c>
      <c r="AB75" s="73">
        <v>3.465808169249613</v>
      </c>
      <c r="AC75" s="75">
        <v>3.2732999999999999</v>
      </c>
      <c r="AD75" s="59" t="str">
        <f t="shared" si="24"/>
        <v>Source</v>
      </c>
      <c r="AG75" t="s">
        <v>154</v>
      </c>
      <c r="AH75" s="25">
        <v>44633</v>
      </c>
      <c r="AI75" s="62">
        <v>2.2901807219182326</v>
      </c>
      <c r="AJ75" s="71">
        <v>4.5183999999999997</v>
      </c>
    </row>
    <row r="76" spans="1:36" x14ac:dyDescent="0.25">
      <c r="B76" s="3">
        <v>10</v>
      </c>
      <c r="C76">
        <v>100.01699779028726</v>
      </c>
      <c r="E76">
        <v>4</v>
      </c>
      <c r="U76" t="s">
        <v>61</v>
      </c>
      <c r="V76" s="57">
        <f>EXP((0-16.208)/4.2533)</f>
        <v>2.2132942453939167E-2</v>
      </c>
      <c r="W76" s="28">
        <v>1.6621799999999999E-2</v>
      </c>
      <c r="X76" t="str">
        <f t="shared" si="23"/>
        <v>Source</v>
      </c>
      <c r="AA76" s="59" t="s">
        <v>165</v>
      </c>
      <c r="AB76" s="73">
        <v>2.2132942453939166</v>
      </c>
      <c r="AC76" s="75">
        <v>1.66218</v>
      </c>
      <c r="AD76" s="59" t="str">
        <f t="shared" si="24"/>
        <v>Source</v>
      </c>
      <c r="AG76" t="s">
        <v>154</v>
      </c>
      <c r="AH76" s="25">
        <v>44638</v>
      </c>
      <c r="AI76" s="62">
        <v>3.7883516717964194</v>
      </c>
      <c r="AJ76" s="71">
        <v>6.5766000000000009</v>
      </c>
    </row>
    <row r="77" spans="1:36" x14ac:dyDescent="0.25">
      <c r="U77" t="s">
        <v>62</v>
      </c>
      <c r="V77" s="57">
        <f>EXP((0-14.81)/3.4811)</f>
        <v>1.4201575865529129E-2</v>
      </c>
      <c r="W77" s="28">
        <v>2.8633099999999995E-2</v>
      </c>
      <c r="X77" t="str">
        <f t="shared" si="23"/>
        <v>Sink</v>
      </c>
      <c r="AA77" s="59" t="s">
        <v>166</v>
      </c>
      <c r="AB77" s="73">
        <v>2.614060113257104</v>
      </c>
      <c r="AC77" s="75">
        <v>2.1769500000000002</v>
      </c>
      <c r="AD77" s="59" t="str">
        <f t="shared" si="24"/>
        <v>Source</v>
      </c>
      <c r="AG77" t="s">
        <v>154</v>
      </c>
      <c r="AH77" s="25">
        <v>44652</v>
      </c>
      <c r="AI77" s="62">
        <v>3.465808169249613</v>
      </c>
      <c r="AJ77" s="71">
        <v>3.2732999999999999</v>
      </c>
    </row>
    <row r="78" spans="1:36" x14ac:dyDescent="0.25">
      <c r="U78" t="s">
        <v>59</v>
      </c>
      <c r="V78" s="57">
        <f>EXP((0-15.303)/4.1992)</f>
        <v>2.614060113257104E-2</v>
      </c>
      <c r="W78" s="28">
        <v>2.1769500000000001E-2</v>
      </c>
      <c r="X78" t="str">
        <f t="shared" si="23"/>
        <v>Source</v>
      </c>
      <c r="AA78" s="59" t="s">
        <v>167</v>
      </c>
      <c r="AB78" s="73">
        <v>1.4201575865529128</v>
      </c>
      <c r="AC78" s="75">
        <v>2.8633099999999994</v>
      </c>
      <c r="AD78" s="59" t="str">
        <f t="shared" si="24"/>
        <v>Sink</v>
      </c>
      <c r="AG78" t="s">
        <v>154</v>
      </c>
      <c r="AH78" s="25">
        <v>44754</v>
      </c>
      <c r="AI78" s="62">
        <v>2.614060113257104</v>
      </c>
      <c r="AJ78" s="71">
        <v>2.1769500000000002</v>
      </c>
    </row>
    <row r="79" spans="1:36" x14ac:dyDescent="0.25">
      <c r="A79" s="53">
        <v>0</v>
      </c>
      <c r="B79" s="53"/>
      <c r="C79">
        <v>0</v>
      </c>
      <c r="U79" t="s">
        <v>60</v>
      </c>
      <c r="V79" s="57">
        <f>EXP((0-11.848)/3.1217)</f>
        <v>2.2474635685743892E-2</v>
      </c>
      <c r="W79" s="28">
        <v>2.8633100000000002E-2</v>
      </c>
      <c r="X79" t="str">
        <f t="shared" si="23"/>
        <v>Sink</v>
      </c>
      <c r="AA79" s="59" t="s">
        <v>168</v>
      </c>
      <c r="AB79" s="73">
        <v>2.2474635685743891</v>
      </c>
      <c r="AC79" s="75">
        <v>2.8633100000000002</v>
      </c>
      <c r="AD79" s="59" t="str">
        <f t="shared" si="24"/>
        <v>Sink</v>
      </c>
      <c r="AG79" t="s">
        <v>154</v>
      </c>
      <c r="AH79" s="25">
        <v>44777</v>
      </c>
      <c r="AI79" s="63">
        <v>2.2474635685743891</v>
      </c>
      <c r="AJ79" s="72">
        <v>2.8633100000000002</v>
      </c>
    </row>
    <row r="80" spans="1:36" x14ac:dyDescent="0.25">
      <c r="A80" s="53">
        <v>0.01</v>
      </c>
      <c r="B80" s="53"/>
      <c r="C80">
        <v>9.5211012193945465E-3</v>
      </c>
      <c r="E80">
        <v>0</v>
      </c>
      <c r="V80" s="57"/>
      <c r="W80" s="28"/>
    </row>
    <row r="81" spans="1:39" x14ac:dyDescent="0.25">
      <c r="A81" s="53">
        <v>0.05</v>
      </c>
      <c r="B81" s="53"/>
      <c r="C81">
        <v>5.1120825771294634E-2</v>
      </c>
      <c r="E81">
        <v>9.5211012193945465E-3</v>
      </c>
      <c r="V81" s="57"/>
      <c r="W81" s="28"/>
    </row>
    <row r="82" spans="1:39" x14ac:dyDescent="0.25">
      <c r="A82" s="53">
        <v>0.1</v>
      </c>
      <c r="B82" s="53"/>
      <c r="C82">
        <v>8.9009880096690724E-2</v>
      </c>
      <c r="E82">
        <v>5.1120825771294634E-2</v>
      </c>
    </row>
    <row r="83" spans="1:39" x14ac:dyDescent="0.25">
      <c r="A83" s="53">
        <v>0.25</v>
      </c>
      <c r="B83" s="53"/>
      <c r="C83">
        <v>0.53282257008416201</v>
      </c>
      <c r="E83">
        <v>8.9009880096690724E-2</v>
      </c>
    </row>
    <row r="84" spans="1:39" x14ac:dyDescent="0.25">
      <c r="A84" s="53">
        <v>0.5</v>
      </c>
      <c r="B84" s="53"/>
      <c r="C84">
        <v>0.87665584429887344</v>
      </c>
      <c r="E84">
        <v>0.53282257008416201</v>
      </c>
      <c r="T84" t="s">
        <v>131</v>
      </c>
      <c r="U84">
        <v>5.7392631004356785E-2</v>
      </c>
    </row>
    <row r="85" spans="1:39" x14ac:dyDescent="0.25">
      <c r="A85" s="53">
        <v>0.75</v>
      </c>
      <c r="B85" s="53"/>
      <c r="C85">
        <v>2.4900249002490025</v>
      </c>
      <c r="E85">
        <v>0.87665584429887344</v>
      </c>
      <c r="T85" t="s">
        <v>133</v>
      </c>
      <c r="U85">
        <v>9.4689383349236905E-2</v>
      </c>
      <c r="W85">
        <v>5.7392631004356785E-2</v>
      </c>
      <c r="X85" s="73">
        <f>W85*100</f>
        <v>5.7392631004356787</v>
      </c>
      <c r="Y85">
        <v>2.5000000000000001E-2</v>
      </c>
      <c r="Z85" s="73">
        <f>Y85*100</f>
        <v>2.5</v>
      </c>
    </row>
    <row r="86" spans="1:39" x14ac:dyDescent="0.25">
      <c r="A86" s="53">
        <v>1</v>
      </c>
      <c r="B86" s="53"/>
      <c r="C86">
        <v>4.9815876124854475</v>
      </c>
      <c r="E86">
        <v>2.4900249002490025</v>
      </c>
      <c r="M86" t="s">
        <v>150</v>
      </c>
      <c r="N86" t="s">
        <v>151</v>
      </c>
      <c r="T86" t="s">
        <v>132</v>
      </c>
      <c r="U86">
        <v>6.9169053799692889E-2</v>
      </c>
      <c r="W86">
        <v>9.4689383349236905E-2</v>
      </c>
      <c r="X86" s="73">
        <f t="shared" ref="X86:X98" si="25">W86*100</f>
        <v>9.4689383349236902</v>
      </c>
      <c r="Y86">
        <v>2.1999999999999999E-2</v>
      </c>
      <c r="Z86" s="73">
        <f t="shared" ref="Z86:Z98" si="26">Y86*100</f>
        <v>2.1999999999999997</v>
      </c>
    </row>
    <row r="87" spans="1:39" x14ac:dyDescent="0.25">
      <c r="A87" s="53">
        <v>5</v>
      </c>
      <c r="B87" s="53"/>
      <c r="C87">
        <v>7.456328078435452</v>
      </c>
      <c r="E87">
        <v>4.9815876124854475</v>
      </c>
      <c r="M87">
        <f>TTEST(V66:V69,V70:V75,2,2)</f>
        <v>5.4087902208373338E-3</v>
      </c>
      <c r="T87" t="s">
        <v>134</v>
      </c>
      <c r="U87">
        <v>6.6899675590989E-2</v>
      </c>
      <c r="W87">
        <v>6.9169053799692889E-2</v>
      </c>
      <c r="X87" s="73">
        <f t="shared" si="25"/>
        <v>6.9169053799692888</v>
      </c>
      <c r="Y87">
        <v>2.8000000000000001E-2</v>
      </c>
      <c r="Z87" s="73">
        <f t="shared" si="26"/>
        <v>2.8000000000000003</v>
      </c>
      <c r="AB87" s="60"/>
    </row>
    <row r="88" spans="1:39" x14ac:dyDescent="0.25">
      <c r="A88" s="53">
        <v>10</v>
      </c>
      <c r="B88" s="53"/>
      <c r="C88">
        <v>10.004960476205715</v>
      </c>
      <c r="E88">
        <v>7.456328078435452</v>
      </c>
      <c r="T88" t="s">
        <v>80</v>
      </c>
      <c r="U88">
        <v>5.9721987458001821E-2</v>
      </c>
      <c r="W88">
        <v>6.6899675590989E-2</v>
      </c>
      <c r="X88" s="73">
        <f t="shared" si="25"/>
        <v>6.6899675590988998</v>
      </c>
      <c r="Y88">
        <v>2.8000000000000001E-2</v>
      </c>
      <c r="Z88" s="73">
        <f t="shared" si="26"/>
        <v>2.8000000000000003</v>
      </c>
      <c r="AC88" t="s">
        <v>136</v>
      </c>
    </row>
    <row r="89" spans="1:39" ht="15.75" thickBot="1" x14ac:dyDescent="0.3">
      <c r="A89" s="54"/>
      <c r="B89" s="53"/>
      <c r="E89">
        <v>10.004960476205715</v>
      </c>
      <c r="M89" t="s">
        <v>150</v>
      </c>
      <c r="N89" t="s">
        <v>152</v>
      </c>
      <c r="T89" t="s">
        <v>83</v>
      </c>
      <c r="U89">
        <v>2.2901807219182328E-2</v>
      </c>
      <c r="W89">
        <v>5.9721987458001821E-2</v>
      </c>
      <c r="X89" s="73">
        <f t="shared" si="25"/>
        <v>5.9721987458001822</v>
      </c>
      <c r="Y89">
        <v>4.0895000000000001E-2</v>
      </c>
      <c r="Z89" s="73">
        <f t="shared" si="26"/>
        <v>4.0895000000000001</v>
      </c>
      <c r="AD89" t="s">
        <v>150</v>
      </c>
      <c r="AE89" t="s">
        <v>151</v>
      </c>
    </row>
    <row r="90" spans="1:39" x14ac:dyDescent="0.25">
      <c r="A90" s="54"/>
      <c r="B90" s="53"/>
      <c r="M90">
        <f>TTEST(V66:V69,V76:V79,2,2)</f>
        <v>9.0066287257246588E-4</v>
      </c>
      <c r="T90" t="s">
        <v>82</v>
      </c>
      <c r="U90">
        <v>1.505676863684632E-2</v>
      </c>
      <c r="W90">
        <v>2.2901807219182328E-2</v>
      </c>
      <c r="X90" s="73">
        <f t="shared" si="25"/>
        <v>2.2901807219182326</v>
      </c>
      <c r="Y90">
        <v>4.5184000000000002E-2</v>
      </c>
      <c r="Z90" s="73">
        <f t="shared" si="26"/>
        <v>4.5183999999999997</v>
      </c>
      <c r="AC90" s="66"/>
      <c r="AD90" s="66" t="s">
        <v>137</v>
      </c>
      <c r="AE90" s="66" t="s">
        <v>138</v>
      </c>
    </row>
    <row r="91" spans="1:39" x14ac:dyDescent="0.25">
      <c r="A91" s="54"/>
      <c r="B91" s="53"/>
      <c r="T91" t="s">
        <v>85</v>
      </c>
      <c r="U91">
        <v>3.465808169249613E-2</v>
      </c>
      <c r="W91">
        <v>1.1460635716630297E-2</v>
      </c>
      <c r="X91" s="73">
        <f t="shared" si="25"/>
        <v>1.1460635716630296</v>
      </c>
      <c r="Y91">
        <v>4.3743999999999998E-2</v>
      </c>
      <c r="Z91" s="73">
        <f t="shared" si="26"/>
        <v>4.3743999999999996</v>
      </c>
      <c r="AC91" s="64" t="s">
        <v>139</v>
      </c>
      <c r="AD91" s="64">
        <v>7.2037685936068907E-2</v>
      </c>
      <c r="AE91" s="64">
        <v>3.3084661251631647E-2</v>
      </c>
      <c r="AG91">
        <f>AE91-AD91</f>
        <v>-3.895302468443726E-2</v>
      </c>
    </row>
    <row r="92" spans="1:39" x14ac:dyDescent="0.25">
      <c r="M92" t="s">
        <v>151</v>
      </c>
      <c r="N92" t="s">
        <v>152</v>
      </c>
      <c r="T92" t="s">
        <v>61</v>
      </c>
      <c r="U92">
        <v>2.2132942453939167E-2</v>
      </c>
      <c r="W92">
        <v>3.7883516717964194E-2</v>
      </c>
      <c r="X92" s="73">
        <f t="shared" si="25"/>
        <v>3.7883516717964194</v>
      </c>
      <c r="Y92">
        <v>6.5766000000000005E-2</v>
      </c>
      <c r="Z92" s="73">
        <f t="shared" si="26"/>
        <v>6.5766000000000009</v>
      </c>
      <c r="AC92" s="64" t="s">
        <v>140</v>
      </c>
      <c r="AD92" s="64">
        <v>2.5406841009686004E-4</v>
      </c>
      <c r="AE92" s="64">
        <v>3.802394092282356E-4</v>
      </c>
      <c r="AJ92" s="61">
        <f>EXP((0-11.137)/3.897)</f>
        <v>5.7392631004356785E-2</v>
      </c>
      <c r="AK92" s="61">
        <f>AJ92*100</f>
        <v>5.7392631004356787</v>
      </c>
      <c r="AL92" s="69">
        <v>2.5000000000000001E-2</v>
      </c>
      <c r="AM92">
        <f>AL92*100</f>
        <v>2.5</v>
      </c>
    </row>
    <row r="93" spans="1:39" x14ac:dyDescent="0.25">
      <c r="M93">
        <f>TTEST(V70:V75,V76:V79,2,2)</f>
        <v>0.3592682866317517</v>
      </c>
      <c r="T93" t="s">
        <v>59</v>
      </c>
      <c r="U93">
        <v>2.614060113257104E-2</v>
      </c>
      <c r="W93">
        <v>1.505676863684632E-2</v>
      </c>
      <c r="X93" s="73">
        <f t="shared" si="25"/>
        <v>1.505676863684632</v>
      </c>
      <c r="Y93">
        <v>4.1542000000000003E-2</v>
      </c>
      <c r="Z93" s="73">
        <f t="shared" si="26"/>
        <v>4.1542000000000003</v>
      </c>
      <c r="AC93" s="64" t="s">
        <v>141</v>
      </c>
      <c r="AD93" s="64">
        <v>4</v>
      </c>
      <c r="AE93" s="64">
        <v>4</v>
      </c>
      <c r="AJ93" s="61">
        <f>EXP((0-12.33)/4.6159)</f>
        <v>6.9169053799692889E-2</v>
      </c>
      <c r="AK93" s="61">
        <f t="shared" ref="AJ93:AK105" si="27">AJ93*100</f>
        <v>6.9169053799692888</v>
      </c>
      <c r="AL93" s="69">
        <v>2.8000000000000001E-2</v>
      </c>
      <c r="AM93">
        <f t="shared" ref="AL93:AM105" si="28">AL93*100</f>
        <v>2.8000000000000003</v>
      </c>
    </row>
    <row r="94" spans="1:39" x14ac:dyDescent="0.25">
      <c r="T94" t="s">
        <v>62</v>
      </c>
      <c r="U94">
        <v>1.4201575865529129E-2</v>
      </c>
      <c r="W94">
        <v>3.465808169249613E-2</v>
      </c>
      <c r="X94" s="73">
        <f t="shared" si="25"/>
        <v>3.465808169249613</v>
      </c>
      <c r="Y94">
        <v>3.2732999999999998E-2</v>
      </c>
      <c r="Z94" s="73">
        <f t="shared" si="26"/>
        <v>3.2732999999999999</v>
      </c>
      <c r="AC94" s="64" t="s">
        <v>142</v>
      </c>
      <c r="AD94" s="64">
        <v>-0.61894302569870929</v>
      </c>
      <c r="AE94" s="64"/>
      <c r="AJ94" s="61">
        <f>EXP((0-44.452)/15.774)</f>
        <v>5.9721987458001821E-2</v>
      </c>
      <c r="AK94" s="61">
        <f t="shared" si="27"/>
        <v>5.9721987458001822</v>
      </c>
      <c r="AL94" s="70">
        <v>4.0895000000000001E-2</v>
      </c>
      <c r="AM94">
        <f t="shared" si="28"/>
        <v>4.0895000000000001</v>
      </c>
    </row>
    <row r="95" spans="1:39" x14ac:dyDescent="0.25">
      <c r="T95" t="s">
        <v>60</v>
      </c>
      <c r="U95">
        <v>2.2474635685743892E-2</v>
      </c>
      <c r="W95">
        <v>2.2132942453939167E-2</v>
      </c>
      <c r="X95" s="73">
        <f t="shared" si="25"/>
        <v>2.2132942453939166</v>
      </c>
      <c r="Y95">
        <v>1.6621799999999999E-2</v>
      </c>
      <c r="Z95" s="73">
        <f t="shared" si="26"/>
        <v>1.66218</v>
      </c>
      <c r="AC95" s="64" t="s">
        <v>143</v>
      </c>
      <c r="AD95" s="64">
        <v>0</v>
      </c>
      <c r="AE95" s="64"/>
      <c r="AJ95" s="61">
        <f>EXP((0-22.127)/4.9514)</f>
        <v>1.1460635716630297E-2</v>
      </c>
      <c r="AK95" s="61">
        <f t="shared" si="27"/>
        <v>1.1460635716630296</v>
      </c>
      <c r="AL95" s="70">
        <v>4.3743999999999998E-2</v>
      </c>
      <c r="AM95">
        <f t="shared" si="28"/>
        <v>4.3743999999999996</v>
      </c>
    </row>
    <row r="96" spans="1:39" x14ac:dyDescent="0.25">
      <c r="W96">
        <v>2.614060113257104E-2</v>
      </c>
      <c r="X96" s="73">
        <f t="shared" si="25"/>
        <v>2.614060113257104</v>
      </c>
      <c r="Y96">
        <v>2.1769500000000001E-2</v>
      </c>
      <c r="Z96" s="73">
        <f t="shared" si="26"/>
        <v>2.1769500000000002</v>
      </c>
      <c r="AC96" s="64" t="s">
        <v>144</v>
      </c>
      <c r="AD96" s="64">
        <v>3</v>
      </c>
      <c r="AE96" s="64"/>
      <c r="AJ96" s="61">
        <f>EXP((0-17.351)/4.1352)</f>
        <v>1.505676863684632E-2</v>
      </c>
      <c r="AK96" s="61">
        <f t="shared" si="27"/>
        <v>1.505676863684632</v>
      </c>
      <c r="AL96" s="70">
        <v>4.1542000000000003E-2</v>
      </c>
      <c r="AM96">
        <f t="shared" si="28"/>
        <v>4.1542000000000003</v>
      </c>
    </row>
    <row r="97" spans="23:39" x14ac:dyDescent="0.25">
      <c r="W97">
        <v>1.4201575865529129E-2</v>
      </c>
      <c r="X97" s="73">
        <f t="shared" si="25"/>
        <v>1.4201575865529128</v>
      </c>
      <c r="Y97">
        <v>2.8633099999999995E-2</v>
      </c>
      <c r="Z97" s="73">
        <f t="shared" si="26"/>
        <v>2.8633099999999994</v>
      </c>
      <c r="AC97" s="64" t="s">
        <v>145</v>
      </c>
      <c r="AD97" s="64">
        <v>2.4404541217363986</v>
      </c>
      <c r="AE97" s="64"/>
      <c r="AJ97" s="61">
        <f>EXP((0-16.208)/4.2533)</f>
        <v>2.2132942453939167E-2</v>
      </c>
      <c r="AK97" s="61">
        <f t="shared" si="27"/>
        <v>2.2132942453939166</v>
      </c>
      <c r="AL97" s="70">
        <v>1.6621799999999999E-2</v>
      </c>
      <c r="AM97">
        <f t="shared" si="28"/>
        <v>1.66218</v>
      </c>
    </row>
    <row r="98" spans="23:39" x14ac:dyDescent="0.25">
      <c r="W98">
        <v>2.2474635685743892E-2</v>
      </c>
      <c r="X98" s="73">
        <f t="shared" si="25"/>
        <v>2.2474635685743891</v>
      </c>
      <c r="Y98">
        <v>2.8633100000000002E-2</v>
      </c>
      <c r="Z98" s="73">
        <f t="shared" si="26"/>
        <v>2.8633100000000002</v>
      </c>
      <c r="AC98" s="64" t="s">
        <v>146</v>
      </c>
      <c r="AD98" s="64">
        <v>4.6231385615310691E-2</v>
      </c>
      <c r="AE98" s="64"/>
      <c r="AJ98" s="61">
        <f>EXP((0-14.81)/3.4811)</f>
        <v>1.4201575865529129E-2</v>
      </c>
      <c r="AK98" s="61">
        <f t="shared" si="27"/>
        <v>1.4201575865529128</v>
      </c>
      <c r="AL98" s="70">
        <v>2.8633099999999995E-2</v>
      </c>
      <c r="AM98">
        <f t="shared" si="28"/>
        <v>2.8633099999999994</v>
      </c>
    </row>
    <row r="99" spans="23:39" x14ac:dyDescent="0.25">
      <c r="AB99" s="64" t="s">
        <v>147</v>
      </c>
      <c r="AC99" s="64">
        <v>2.3533634348018233</v>
      </c>
      <c r="AD99" s="64"/>
      <c r="AI99" s="62">
        <f>EXP((0-17.578)/7.4573)</f>
        <v>9.4689383349236905E-2</v>
      </c>
      <c r="AJ99" s="61">
        <f t="shared" si="27"/>
        <v>9.4689383349236902</v>
      </c>
      <c r="AK99" s="58">
        <v>2.1999999999999999E-2</v>
      </c>
      <c r="AL99">
        <f t="shared" si="28"/>
        <v>2.1999999999999997</v>
      </c>
    </row>
    <row r="100" spans="23:39" x14ac:dyDescent="0.25">
      <c r="AB100" s="64" t="s">
        <v>148</v>
      </c>
      <c r="AC100" s="64">
        <v>9.2462771230621382E-2</v>
      </c>
      <c r="AD100" s="64"/>
      <c r="AI100" s="62">
        <f>EXP((0-15.654)/5.788)</f>
        <v>6.6899675590989E-2</v>
      </c>
      <c r="AJ100" s="61">
        <f t="shared" si="27"/>
        <v>6.6899675590988998</v>
      </c>
      <c r="AK100" s="58">
        <v>2.8000000000000001E-2</v>
      </c>
      <c r="AL100">
        <f t="shared" si="28"/>
        <v>2.8000000000000003</v>
      </c>
    </row>
    <row r="101" spans="23:39" ht="15.75" thickBot="1" x14ac:dyDescent="0.3">
      <c r="AB101" s="65" t="s">
        <v>149</v>
      </c>
      <c r="AC101" s="65">
        <v>3.1824463052837091</v>
      </c>
      <c r="AD101" s="65"/>
      <c r="AI101" s="62">
        <f>EXP((0-22.839)/6.0476)</f>
        <v>2.2901807219182328E-2</v>
      </c>
      <c r="AJ101" s="61">
        <f t="shared" si="27"/>
        <v>2.2901807219182326</v>
      </c>
      <c r="AK101" s="71">
        <v>4.5184000000000002E-2</v>
      </c>
      <c r="AL101">
        <f t="shared" si="28"/>
        <v>4.5183999999999997</v>
      </c>
    </row>
    <row r="102" spans="23:39" x14ac:dyDescent="0.25">
      <c r="AI102" s="62">
        <f>EXP((0-35.459)/10.833)</f>
        <v>3.7883516717964194E-2</v>
      </c>
      <c r="AJ102" s="61">
        <f t="shared" si="27"/>
        <v>3.7883516717964194</v>
      </c>
      <c r="AK102" s="71">
        <v>6.5766000000000005E-2</v>
      </c>
      <c r="AL102">
        <f t="shared" si="28"/>
        <v>6.5766000000000009</v>
      </c>
    </row>
    <row r="103" spans="23:39" x14ac:dyDescent="0.25">
      <c r="AI103" s="62">
        <f>EXP((0-25.37)/7.5456)</f>
        <v>3.465808169249613E-2</v>
      </c>
      <c r="AJ103" s="61">
        <f t="shared" si="27"/>
        <v>3.465808169249613</v>
      </c>
      <c r="AK103" s="71">
        <v>3.2732999999999998E-2</v>
      </c>
      <c r="AL103">
        <f t="shared" si="28"/>
        <v>3.2732999999999999</v>
      </c>
    </row>
    <row r="104" spans="23:39" x14ac:dyDescent="0.25">
      <c r="AI104" s="62">
        <f>EXP((0-15.303)/4.1992)</f>
        <v>2.614060113257104E-2</v>
      </c>
      <c r="AJ104" s="61">
        <f t="shared" si="27"/>
        <v>2.614060113257104</v>
      </c>
      <c r="AK104" s="71">
        <v>2.1769500000000001E-2</v>
      </c>
      <c r="AL104">
        <f t="shared" si="28"/>
        <v>2.1769500000000002</v>
      </c>
    </row>
    <row r="105" spans="23:39" x14ac:dyDescent="0.25">
      <c r="AI105" s="63">
        <f>EXP((0-11.848)/3.1217)</f>
        <v>2.2474635685743892E-2</v>
      </c>
      <c r="AJ105" s="61">
        <f t="shared" si="27"/>
        <v>2.2474635685743891</v>
      </c>
      <c r="AK105" s="72">
        <v>2.8633100000000002E-2</v>
      </c>
      <c r="AL105">
        <f t="shared" si="28"/>
        <v>2.8633100000000002</v>
      </c>
    </row>
    <row r="107" spans="23:39" x14ac:dyDescent="0.25">
      <c r="AB107" t="s">
        <v>136</v>
      </c>
    </row>
    <row r="108" spans="23:39" ht="15.75" thickBot="1" x14ac:dyDescent="0.3">
      <c r="AC108" t="s">
        <v>150</v>
      </c>
      <c r="AD108" t="s">
        <v>152</v>
      </c>
    </row>
    <row r="109" spans="23:39" x14ac:dyDescent="0.25">
      <c r="AB109" s="66"/>
      <c r="AC109" s="66" t="s">
        <v>137</v>
      </c>
      <c r="AD109" s="66" t="s">
        <v>138</v>
      </c>
    </row>
    <row r="110" spans="23:39" x14ac:dyDescent="0.25">
      <c r="AB110" s="64" t="s">
        <v>139</v>
      </c>
      <c r="AC110" s="64">
        <v>7.2037685936068907E-2</v>
      </c>
      <c r="AD110" s="64">
        <v>2.1237438784445804E-2</v>
      </c>
      <c r="AF110">
        <f>AD110-AC110</f>
        <v>-5.0800247151623103E-2</v>
      </c>
    </row>
    <row r="111" spans="23:39" x14ac:dyDescent="0.25">
      <c r="AB111" s="64" t="s">
        <v>140</v>
      </c>
      <c r="AC111" s="64">
        <v>2.5406841009686004E-4</v>
      </c>
      <c r="AD111" s="64">
        <v>2.5292317006839291E-5</v>
      </c>
    </row>
    <row r="112" spans="23:39" x14ac:dyDescent="0.25">
      <c r="AB112" s="64" t="s">
        <v>141</v>
      </c>
      <c r="AC112" s="64">
        <v>4</v>
      </c>
      <c r="AD112" s="64">
        <v>4</v>
      </c>
    </row>
    <row r="113" spans="28:32" x14ac:dyDescent="0.25">
      <c r="AB113" s="64" t="s">
        <v>142</v>
      </c>
      <c r="AC113" s="64">
        <v>0.46479436873975039</v>
      </c>
      <c r="AD113" s="64"/>
    </row>
    <row r="114" spans="28:32" x14ac:dyDescent="0.25">
      <c r="AB114" s="64" t="s">
        <v>143</v>
      </c>
      <c r="AC114" s="64">
        <v>0</v>
      </c>
      <c r="AD114" s="64"/>
    </row>
    <row r="115" spans="28:32" x14ac:dyDescent="0.25">
      <c r="AB115" s="64" t="s">
        <v>144</v>
      </c>
      <c r="AC115" s="64">
        <v>3</v>
      </c>
      <c r="AD115" s="64"/>
    </row>
    <row r="116" spans="28:32" x14ac:dyDescent="0.25">
      <c r="AB116" s="64" t="s">
        <v>145</v>
      </c>
      <c r="AC116" s="64">
        <v>7.0988078382596349</v>
      </c>
      <c r="AD116" s="64"/>
    </row>
    <row r="117" spans="28:32" x14ac:dyDescent="0.25">
      <c r="AB117" s="64" t="s">
        <v>146</v>
      </c>
      <c r="AC117" s="64">
        <v>2.8753965416102268E-3</v>
      </c>
      <c r="AD117" s="64"/>
    </row>
    <row r="118" spans="28:32" x14ac:dyDescent="0.25">
      <c r="AB118" s="64" t="s">
        <v>147</v>
      </c>
      <c r="AC118" s="64">
        <v>2.3533634348018233</v>
      </c>
      <c r="AD118" s="64"/>
    </row>
    <row r="119" spans="28:32" x14ac:dyDescent="0.25">
      <c r="AB119" s="64" t="s">
        <v>148</v>
      </c>
      <c r="AC119" s="64">
        <v>5.7507930832204537E-3</v>
      </c>
      <c r="AD119" s="64"/>
    </row>
    <row r="120" spans="28:32" ht="15.75" thickBot="1" x14ac:dyDescent="0.3">
      <c r="AB120" s="65" t="s">
        <v>149</v>
      </c>
      <c r="AC120" s="65">
        <v>3.1824463052837091</v>
      </c>
      <c r="AD120" s="65"/>
    </row>
    <row r="125" spans="28:32" x14ac:dyDescent="0.25">
      <c r="AB125" t="s">
        <v>136</v>
      </c>
    </row>
    <row r="126" spans="28:32" ht="15.75" thickBot="1" x14ac:dyDescent="0.3">
      <c r="AC126" t="s">
        <v>151</v>
      </c>
      <c r="AD126" t="s">
        <v>152</v>
      </c>
    </row>
    <row r="127" spans="28:32" x14ac:dyDescent="0.25">
      <c r="AB127" s="66"/>
      <c r="AC127" s="66" t="s">
        <v>137</v>
      </c>
      <c r="AD127" s="66" t="s">
        <v>138</v>
      </c>
    </row>
    <row r="128" spans="28:32" x14ac:dyDescent="0.25">
      <c r="AB128" s="64" t="s">
        <v>139</v>
      </c>
      <c r="AC128" s="64">
        <v>3.3084661251631647E-2</v>
      </c>
      <c r="AD128" s="64">
        <v>2.1237438784445804E-2</v>
      </c>
      <c r="AF128">
        <f>AD128-AC128</f>
        <v>-1.1847222467185843E-2</v>
      </c>
    </row>
    <row r="129" spans="28:30" x14ac:dyDescent="0.25">
      <c r="AB129" s="64" t="s">
        <v>140</v>
      </c>
      <c r="AC129" s="64">
        <v>3.802394092282356E-4</v>
      </c>
      <c r="AD129" s="64">
        <v>2.5292317006839291E-5</v>
      </c>
    </row>
    <row r="130" spans="28:30" x14ac:dyDescent="0.25">
      <c r="AB130" s="64" t="s">
        <v>141</v>
      </c>
      <c r="AC130" s="64">
        <v>4</v>
      </c>
      <c r="AD130" s="64">
        <v>4</v>
      </c>
    </row>
    <row r="131" spans="28:30" x14ac:dyDescent="0.25">
      <c r="AB131" s="64" t="s">
        <v>142</v>
      </c>
      <c r="AC131" s="64">
        <v>0.3491288379755188</v>
      </c>
      <c r="AD131" s="64"/>
    </row>
    <row r="132" spans="28:30" x14ac:dyDescent="0.25">
      <c r="AB132" s="64" t="s">
        <v>143</v>
      </c>
      <c r="AC132" s="64">
        <v>0</v>
      </c>
      <c r="AD132" s="64"/>
    </row>
    <row r="133" spans="28:30" x14ac:dyDescent="0.25">
      <c r="AB133" s="64" t="s">
        <v>144</v>
      </c>
      <c r="AC133" s="64">
        <v>3</v>
      </c>
      <c r="AD133" s="64"/>
    </row>
    <row r="134" spans="28:30" x14ac:dyDescent="0.25">
      <c r="AB134" s="64" t="s">
        <v>145</v>
      </c>
      <c r="AC134" s="64">
        <v>1.2906120198796407</v>
      </c>
      <c r="AD134" s="64"/>
    </row>
    <row r="135" spans="28:30" x14ac:dyDescent="0.25">
      <c r="AB135" s="64" t="s">
        <v>146</v>
      </c>
      <c r="AC135" s="64">
        <v>0.14365297252273351</v>
      </c>
      <c r="AD135" s="64"/>
    </row>
    <row r="136" spans="28:30" x14ac:dyDescent="0.25">
      <c r="AB136" s="64" t="s">
        <v>147</v>
      </c>
      <c r="AC136" s="64">
        <v>2.3533634348018233</v>
      </c>
      <c r="AD136" s="64"/>
    </row>
    <row r="137" spans="28:30" x14ac:dyDescent="0.25">
      <c r="AB137" s="64" t="s">
        <v>148</v>
      </c>
      <c r="AC137" s="64">
        <v>0.28730594504546703</v>
      </c>
      <c r="AD137" s="64"/>
    </row>
    <row r="138" spans="28:30" ht="15.75" thickBot="1" x14ac:dyDescent="0.3">
      <c r="AB138" s="65" t="s">
        <v>149</v>
      </c>
      <c r="AC138" s="65">
        <v>3.1824463052837091</v>
      </c>
      <c r="AD138" s="65"/>
    </row>
  </sheetData>
  <sortState xmlns:xlrd2="http://schemas.microsoft.com/office/spreadsheetml/2017/richdata2" ref="AG66:AJ79">
    <sortCondition ref="AG65:AG79"/>
  </sortState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6BDD-F5D2-446E-AA10-8FE0DAF81BE1}">
  <dimension ref="A1:K59"/>
  <sheetViews>
    <sheetView workbookViewId="0">
      <selection activeCell="F24" sqref="F24"/>
    </sheetView>
  </sheetViews>
  <sheetFormatPr defaultRowHeight="15" x14ac:dyDescent="0.25"/>
  <cols>
    <col min="1" max="1" width="13.42578125" bestFit="1" customWidth="1"/>
    <col min="2" max="2" width="9.5703125" bestFit="1" customWidth="1"/>
    <col min="4" max="4" width="12" bestFit="1" customWidth="1"/>
    <col min="6" max="6" width="14.85546875" customWidth="1"/>
    <col min="7" max="7" width="15.85546875" customWidth="1"/>
    <col min="8" max="8" width="13.42578125" customWidth="1"/>
    <col min="10" max="10" width="11.42578125" customWidth="1"/>
  </cols>
  <sheetData>
    <row r="1" spans="1:6" ht="15.75" x14ac:dyDescent="0.25">
      <c r="A1" s="37">
        <v>0</v>
      </c>
      <c r="B1" s="38">
        <v>40</v>
      </c>
      <c r="C1">
        <f>A1/10</f>
        <v>0</v>
      </c>
      <c r="D1">
        <f t="shared" ref="D1:D6" si="0">C1/(A1+B1)</f>
        <v>0</v>
      </c>
      <c r="E1">
        <f>D1*1000</f>
        <v>0</v>
      </c>
      <c r="F1">
        <f>E1*1000</f>
        <v>0</v>
      </c>
    </row>
    <row r="2" spans="1:6" ht="15.75" x14ac:dyDescent="0.25">
      <c r="A2" s="37">
        <v>5.1999999999999998E-3</v>
      </c>
      <c r="B2" s="38">
        <v>50.028300000000002</v>
      </c>
      <c r="C2">
        <f>A2/1</f>
        <v>5.1999999999999998E-3</v>
      </c>
      <c r="D2">
        <f t="shared" si="0"/>
        <v>1.0393036665434158E-4</v>
      </c>
      <c r="E2">
        <f>D2*1000</f>
        <v>0.10393036665434158</v>
      </c>
      <c r="F2">
        <f t="shared" ref="E2:F6" si="1">E2*1000</f>
        <v>103.93036665434158</v>
      </c>
    </row>
    <row r="3" spans="1:6" ht="15.75" x14ac:dyDescent="0.25">
      <c r="A3" s="37">
        <v>1.18E-2</v>
      </c>
      <c r="B3" s="38">
        <v>50.014200000000002</v>
      </c>
      <c r="C3">
        <f>A3/1</f>
        <v>1.18E-2</v>
      </c>
      <c r="D3">
        <f t="shared" si="0"/>
        <v>2.3587734378123374E-4</v>
      </c>
      <c r="E3">
        <f t="shared" si="1"/>
        <v>0.23587734378123373</v>
      </c>
      <c r="F3">
        <f t="shared" si="1"/>
        <v>235.87734378123375</v>
      </c>
    </row>
    <row r="4" spans="1:6" ht="15.75" x14ac:dyDescent="0.25">
      <c r="A4" s="37">
        <v>2.5399999999999999E-2</v>
      </c>
      <c r="B4" s="38">
        <v>50.004399999999997</v>
      </c>
      <c r="C4">
        <f>A4/1</f>
        <v>2.5399999999999999E-2</v>
      </c>
      <c r="D4">
        <f t="shared" si="0"/>
        <v>5.076974123422441E-4</v>
      </c>
      <c r="E4">
        <f t="shared" si="1"/>
        <v>0.50769741234224408</v>
      </c>
      <c r="F4">
        <f t="shared" si="1"/>
        <v>507.69741234224409</v>
      </c>
    </row>
    <row r="5" spans="1:6" ht="15.75" x14ac:dyDescent="0.25">
      <c r="A5" s="37">
        <v>0.12590000000000001</v>
      </c>
      <c r="B5" s="38">
        <v>49.985100000000003</v>
      </c>
      <c r="C5">
        <f>A5/1</f>
        <v>0.12590000000000001</v>
      </c>
      <c r="D5">
        <f t="shared" si="0"/>
        <v>2.5124224222226655E-3</v>
      </c>
      <c r="E5">
        <f t="shared" si="1"/>
        <v>2.5124224222226657</v>
      </c>
      <c r="F5">
        <f t="shared" si="1"/>
        <v>2512.4224222226658</v>
      </c>
    </row>
    <row r="6" spans="1:6" ht="15.75" x14ac:dyDescent="0.25">
      <c r="A6" s="37">
        <v>0.24590000000000001</v>
      </c>
      <c r="B6" s="38">
        <v>49.790100000000002</v>
      </c>
      <c r="C6">
        <f>A6/1</f>
        <v>0.24590000000000001</v>
      </c>
      <c r="D6">
        <f t="shared" si="0"/>
        <v>4.9144615876568869E-3</v>
      </c>
      <c r="E6">
        <f t="shared" si="1"/>
        <v>4.9144615876568869</v>
      </c>
      <c r="F6">
        <f t="shared" si="1"/>
        <v>4914.4615876568869</v>
      </c>
    </row>
    <row r="9" spans="1:6" ht="15.75" x14ac:dyDescent="0.25">
      <c r="A9" s="39">
        <v>880</v>
      </c>
      <c r="B9" t="s">
        <v>55</v>
      </c>
    </row>
    <row r="10" spans="1:6" x14ac:dyDescent="0.25">
      <c r="A10">
        <v>9.9999999999999994E-12</v>
      </c>
      <c r="B10">
        <v>0.107</v>
      </c>
      <c r="C10">
        <v>0.105</v>
      </c>
    </row>
    <row r="11" spans="1:6" x14ac:dyDescent="0.25">
      <c r="A11">
        <v>0.10393036665434158</v>
      </c>
      <c r="B11">
        <v>0.152</v>
      </c>
      <c r="C11">
        <v>0.14799999999999999</v>
      </c>
    </row>
    <row r="12" spans="1:6" x14ac:dyDescent="0.25">
      <c r="A12">
        <v>0.23587734378123373</v>
      </c>
      <c r="B12">
        <v>0.23799999999999999</v>
      </c>
      <c r="C12">
        <v>0.23400000000000001</v>
      </c>
    </row>
    <row r="13" spans="1:6" x14ac:dyDescent="0.25">
      <c r="A13">
        <v>0.50769741234224408</v>
      </c>
      <c r="B13">
        <v>0.42099999999999999</v>
      </c>
      <c r="C13">
        <v>0.41599999999999998</v>
      </c>
    </row>
    <row r="14" spans="1:6" x14ac:dyDescent="0.25">
      <c r="A14">
        <v>2.5124224222226657</v>
      </c>
      <c r="B14">
        <v>1.2050000000000001</v>
      </c>
      <c r="C14">
        <v>1.226</v>
      </c>
    </row>
    <row r="15" spans="1:6" x14ac:dyDescent="0.25">
      <c r="A15">
        <v>4.9144615876568869</v>
      </c>
      <c r="B15">
        <v>1.6890000000000001</v>
      </c>
      <c r="C15">
        <v>1.8480000000000001</v>
      </c>
    </row>
    <row r="18" spans="1:11" x14ac:dyDescent="0.25">
      <c r="A18" t="s">
        <v>64</v>
      </c>
      <c r="B18" t="s">
        <v>65</v>
      </c>
      <c r="C18" t="s">
        <v>66</v>
      </c>
    </row>
    <row r="19" spans="1:11" x14ac:dyDescent="0.25">
      <c r="A19" s="25">
        <v>44754</v>
      </c>
      <c r="B19" t="s">
        <v>67</v>
      </c>
      <c r="C19">
        <v>0.106</v>
      </c>
    </row>
    <row r="20" spans="1:11" x14ac:dyDescent="0.25">
      <c r="A20" s="25">
        <v>44777</v>
      </c>
      <c r="B20" t="s">
        <v>68</v>
      </c>
      <c r="C20">
        <v>0.106</v>
      </c>
    </row>
    <row r="21" spans="1:11" x14ac:dyDescent="0.25">
      <c r="A21" s="25">
        <v>44754</v>
      </c>
      <c r="B21" t="s">
        <v>69</v>
      </c>
      <c r="C21">
        <v>0.105</v>
      </c>
    </row>
    <row r="22" spans="1:11" x14ac:dyDescent="0.25">
      <c r="A22" s="25">
        <v>44777</v>
      </c>
      <c r="B22" t="s">
        <v>69</v>
      </c>
      <c r="C22">
        <v>0.105</v>
      </c>
    </row>
    <row r="23" spans="1:11" x14ac:dyDescent="0.25">
      <c r="B23" t="s">
        <v>70</v>
      </c>
      <c r="C23">
        <v>0.104</v>
      </c>
    </row>
    <row r="26" spans="1:11" x14ac:dyDescent="0.25">
      <c r="A26" t="s">
        <v>102</v>
      </c>
      <c r="B26" t="s">
        <v>73</v>
      </c>
      <c r="C26" t="s">
        <v>34</v>
      </c>
      <c r="D26" t="s">
        <v>77</v>
      </c>
      <c r="E26" t="s">
        <v>75</v>
      </c>
    </row>
    <row r="27" spans="1:11" ht="15.75" x14ac:dyDescent="0.25">
      <c r="A27" s="39">
        <v>880</v>
      </c>
      <c r="B27" t="s">
        <v>55</v>
      </c>
    </row>
    <row r="28" spans="1:11" ht="15.75" x14ac:dyDescent="0.25">
      <c r="A28">
        <v>0</v>
      </c>
      <c r="B28">
        <v>9.5000000000000001E-2</v>
      </c>
      <c r="C28">
        <v>9.5000000000000001E-2</v>
      </c>
      <c r="D28">
        <v>9.4E-2</v>
      </c>
      <c r="E28">
        <v>9.4E-2</v>
      </c>
      <c r="F28" s="37">
        <v>0</v>
      </c>
      <c r="G28" s="38">
        <v>20</v>
      </c>
      <c r="H28">
        <f>F28/10</f>
        <v>0</v>
      </c>
      <c r="I28">
        <f t="shared" ref="I28:I33" si="2">H28/(F28+G28)</f>
        <v>0</v>
      </c>
      <c r="J28">
        <f t="shared" ref="J28:K33" si="3">I28*1000</f>
        <v>0</v>
      </c>
      <c r="K28">
        <f t="shared" si="3"/>
        <v>0</v>
      </c>
    </row>
    <row r="29" spans="1:11" ht="15.75" x14ac:dyDescent="0.25">
      <c r="A29">
        <v>9.926978501633027E-2</v>
      </c>
      <c r="B29">
        <v>0.14099999999999999</v>
      </c>
      <c r="C29">
        <v>0.13800000000000001</v>
      </c>
      <c r="D29">
        <v>0.13700000000000001</v>
      </c>
      <c r="E29">
        <v>0.13800000000000001</v>
      </c>
      <c r="F29" s="37">
        <v>4.9800000000000001E-3</v>
      </c>
      <c r="G29" s="38">
        <v>50.161341999999998</v>
      </c>
      <c r="H29">
        <f>F29/1</f>
        <v>4.9800000000000001E-3</v>
      </c>
      <c r="I29">
        <f t="shared" si="2"/>
        <v>9.9269785016330275E-5</v>
      </c>
      <c r="J29">
        <f t="shared" si="3"/>
        <v>9.926978501633027E-2</v>
      </c>
      <c r="K29">
        <f t="shared" si="3"/>
        <v>99.269785016330275</v>
      </c>
    </row>
    <row r="30" spans="1:11" ht="15.75" x14ac:dyDescent="0.25">
      <c r="A30">
        <v>0.27559095129094335</v>
      </c>
      <c r="B30">
        <v>0.252</v>
      </c>
      <c r="C30">
        <v>0.25</v>
      </c>
      <c r="D30">
        <v>0.248</v>
      </c>
      <c r="E30">
        <v>0.249</v>
      </c>
      <c r="F30" s="37">
        <v>1.383E-2</v>
      </c>
      <c r="G30" s="38">
        <v>50.169240000000002</v>
      </c>
      <c r="H30">
        <f>F30/1</f>
        <v>1.383E-2</v>
      </c>
      <c r="I30">
        <f t="shared" si="2"/>
        <v>2.7559095129094335E-4</v>
      </c>
      <c r="J30">
        <f t="shared" si="3"/>
        <v>0.27559095129094335</v>
      </c>
      <c r="K30">
        <f t="shared" si="3"/>
        <v>275.59095129094334</v>
      </c>
    </row>
    <row r="31" spans="1:11" ht="15.75" x14ac:dyDescent="0.25">
      <c r="A31">
        <v>0.45292422559803597</v>
      </c>
      <c r="B31">
        <v>0.34799999999999998</v>
      </c>
      <c r="C31">
        <v>0.34799999999999998</v>
      </c>
      <c r="D31">
        <v>0.34699999999999998</v>
      </c>
      <c r="E31">
        <v>0.34499999999999997</v>
      </c>
      <c r="F31" s="37">
        <v>2.2769999999999999E-2</v>
      </c>
      <c r="G31" s="38">
        <v>50.250540000000001</v>
      </c>
      <c r="H31">
        <f>F31/1</f>
        <v>2.2769999999999999E-2</v>
      </c>
      <c r="I31">
        <f t="shared" si="2"/>
        <v>4.5292422559803597E-4</v>
      </c>
      <c r="J31">
        <f t="shared" si="3"/>
        <v>0.45292422559803597</v>
      </c>
      <c r="K31">
        <f t="shared" si="3"/>
        <v>452.92422559803595</v>
      </c>
    </row>
    <row r="32" spans="1:11" ht="15.75" x14ac:dyDescent="0.25">
      <c r="A32">
        <v>2.3919394465775667</v>
      </c>
      <c r="B32">
        <v>1.1579999999999999</v>
      </c>
      <c r="C32">
        <v>1.1679999999999999</v>
      </c>
      <c r="D32">
        <v>1.1739999999999999</v>
      </c>
      <c r="E32">
        <v>1.173</v>
      </c>
      <c r="F32" s="37">
        <v>0.12192</v>
      </c>
      <c r="G32" s="38">
        <v>50.849269999999997</v>
      </c>
      <c r="H32">
        <f>F32/1</f>
        <v>0.12192</v>
      </c>
      <c r="I32">
        <f t="shared" si="2"/>
        <v>2.3919394465775666E-3</v>
      </c>
      <c r="J32">
        <f t="shared" si="3"/>
        <v>2.3919394465775667</v>
      </c>
      <c r="K32">
        <f t="shared" si="3"/>
        <v>2391.9394465775667</v>
      </c>
    </row>
    <row r="33" spans="1:11" ht="15.75" x14ac:dyDescent="0.25">
      <c r="A33">
        <v>5.2063038360072245</v>
      </c>
      <c r="B33">
        <v>1.6559999999999999</v>
      </c>
      <c r="C33">
        <v>1.7689999999999999</v>
      </c>
      <c r="D33">
        <v>1.821</v>
      </c>
      <c r="E33">
        <v>1.8620000000000001</v>
      </c>
      <c r="F33" s="37">
        <v>0.26053999999999999</v>
      </c>
      <c r="G33" s="38">
        <v>49.782640000000001</v>
      </c>
      <c r="H33">
        <f>F33/1</f>
        <v>0.26053999999999999</v>
      </c>
      <c r="I33">
        <f t="shared" si="2"/>
        <v>5.2063038360072242E-3</v>
      </c>
      <c r="J33">
        <f t="shared" si="3"/>
        <v>5.2063038360072245</v>
      </c>
      <c r="K33">
        <f t="shared" si="3"/>
        <v>5206.3038360072242</v>
      </c>
    </row>
    <row r="36" spans="1:11" x14ac:dyDescent="0.25">
      <c r="A36" t="s">
        <v>71</v>
      </c>
      <c r="C36" t="s">
        <v>74</v>
      </c>
      <c r="E36" t="s">
        <v>34</v>
      </c>
      <c r="F36" t="s">
        <v>76</v>
      </c>
      <c r="G36" t="s">
        <v>75</v>
      </c>
    </row>
    <row r="37" spans="1:11" x14ac:dyDescent="0.25">
      <c r="A37" t="s">
        <v>64</v>
      </c>
      <c r="B37" t="s">
        <v>65</v>
      </c>
      <c r="C37" t="s">
        <v>66</v>
      </c>
      <c r="D37" s="40" t="s">
        <v>78</v>
      </c>
    </row>
    <row r="38" spans="1:11" x14ac:dyDescent="0.25">
      <c r="A38" t="s">
        <v>72</v>
      </c>
      <c r="B38" s="25">
        <v>44754</v>
      </c>
      <c r="C38">
        <v>0.10100000000000001</v>
      </c>
      <c r="D38" s="40">
        <f>0.1754*C38-0.016</f>
        <v>1.7154000000000023E-3</v>
      </c>
      <c r="E38">
        <v>9.9000000000000005E-2</v>
      </c>
      <c r="F38">
        <v>9.8000000000000004E-2</v>
      </c>
      <c r="G38">
        <v>9.8000000000000004E-2</v>
      </c>
    </row>
    <row r="39" spans="1:11" x14ac:dyDescent="0.25">
      <c r="A39" t="s">
        <v>72</v>
      </c>
      <c r="B39" s="25">
        <v>44777</v>
      </c>
      <c r="C39">
        <v>9.7000000000000003E-2</v>
      </c>
      <c r="D39" s="40">
        <f>0.1754*C39-0.016</f>
        <v>1.0137999999999987E-3</v>
      </c>
      <c r="E39">
        <v>9.8000000000000004E-2</v>
      </c>
      <c r="F39">
        <v>9.6000000000000002E-2</v>
      </c>
      <c r="G39">
        <v>9.6000000000000002E-2</v>
      </c>
    </row>
    <row r="40" spans="1:11" x14ac:dyDescent="0.25">
      <c r="A40" t="s">
        <v>68</v>
      </c>
      <c r="B40" s="25">
        <v>44777</v>
      </c>
      <c r="C40">
        <v>9.9000000000000005E-2</v>
      </c>
      <c r="D40" s="40">
        <f>0.1754*C40-0.016</f>
        <v>1.3646000000000005E-3</v>
      </c>
      <c r="E40">
        <v>9.8000000000000004E-2</v>
      </c>
      <c r="F40">
        <v>9.8000000000000004E-2</v>
      </c>
      <c r="G40">
        <v>9.7000000000000003E-2</v>
      </c>
    </row>
    <row r="41" spans="1:11" x14ac:dyDescent="0.25">
      <c r="A41" t="s">
        <v>68</v>
      </c>
      <c r="B41" s="25">
        <v>44754</v>
      </c>
      <c r="C41">
        <v>0.104</v>
      </c>
      <c r="D41" s="40">
        <f>0.1754*C41-0.016</f>
        <v>2.2415999999999998E-3</v>
      </c>
      <c r="E41">
        <v>0.10199999999999999</v>
      </c>
      <c r="F41">
        <v>0.10100000000000001</v>
      </c>
      <c r="G41">
        <v>0.1</v>
      </c>
      <c r="J41" t="s">
        <v>79</v>
      </c>
    </row>
    <row r="42" spans="1:11" x14ac:dyDescent="0.25">
      <c r="B42" t="s">
        <v>70</v>
      </c>
      <c r="C42">
        <v>9.2999999999999999E-2</v>
      </c>
      <c r="D42" s="40">
        <f>0.1754*C42-0.016</f>
        <v>3.1219999999999859E-4</v>
      </c>
      <c r="E42">
        <v>9.2999999999999999E-2</v>
      </c>
      <c r="F42">
        <v>9.2999999999999999E-2</v>
      </c>
      <c r="G42">
        <v>9.2999999999999999E-2</v>
      </c>
    </row>
    <row r="46" spans="1:11" x14ac:dyDescent="0.25">
      <c r="B46">
        <v>0.10100000000000001</v>
      </c>
      <c r="C46">
        <f>1.7545*B46-0.1597</f>
        <v>1.7504500000000006E-2</v>
      </c>
      <c r="D46">
        <f>(1.948*(B46^2))-(0.1897*B46)+0.1246</f>
        <v>0.125311848</v>
      </c>
      <c r="E46">
        <f>(0.5961*B46^2)+(1.4935*B46)-0.137</f>
        <v>1.9924316100000006E-2</v>
      </c>
      <c r="F46">
        <f>(-0.0496*B46^2)+(1.7765*B46)-0.1617</f>
        <v>1.7220530400000017E-2</v>
      </c>
    </row>
    <row r="47" spans="1:11" x14ac:dyDescent="0.25">
      <c r="B47">
        <v>9.7000000000000003E-2</v>
      </c>
      <c r="C47">
        <f>1.7545*B47-0.1597</f>
        <v>1.0486499999999982E-2</v>
      </c>
      <c r="D47">
        <f>(1.948*(B47^2))-(0.1897*B47)+0.1246</f>
        <v>0.124527832</v>
      </c>
      <c r="E47">
        <f>(0.5961*B47^2)+(1.4935*B47)-0.137</f>
        <v>1.3478204900000013E-2</v>
      </c>
    </row>
    <row r="48" spans="1:11" x14ac:dyDescent="0.25">
      <c r="B48">
        <v>9.9000000000000005E-2</v>
      </c>
      <c r="C48">
        <f>1.7545*B48-0.1597</f>
        <v>1.3995499999999994E-2</v>
      </c>
      <c r="D48">
        <f>(1.948*(B48^2))-(0.1897*B48)+0.1246</f>
        <v>0.124912048</v>
      </c>
      <c r="E48">
        <f>(0.5961*B48^2)+(1.4935*B48)-0.137</f>
        <v>1.6698876099999982E-2</v>
      </c>
    </row>
    <row r="49" spans="1:10" x14ac:dyDescent="0.25">
      <c r="B49">
        <v>0.104</v>
      </c>
      <c r="C49">
        <f>1.7545*B49-0.1597</f>
        <v>2.2767999999999983E-2</v>
      </c>
      <c r="D49">
        <f>(1.948*(B49^2))-(0.1897*B49)+0.1246</f>
        <v>0.12594076800000001</v>
      </c>
      <c r="E49">
        <f>(0.5961*B49^2)+(1.4935*B49)-0.137</f>
        <v>2.4771417599999984E-2</v>
      </c>
    </row>
    <row r="50" spans="1:10" x14ac:dyDescent="0.25">
      <c r="B50">
        <v>9.2999999999999999E-2</v>
      </c>
      <c r="C50">
        <f>1.7545*B50-0.1597</f>
        <v>3.4684999999999855E-3</v>
      </c>
      <c r="D50">
        <f>(1.948*(B50^2))-(0.1897*B50)+0.1246</f>
        <v>0.123806152</v>
      </c>
      <c r="E50">
        <f>(0.5961*B50^2)+(1.4935*B50)-0.137</f>
        <v>7.0511688999999877E-3</v>
      </c>
    </row>
    <row r="54" spans="1:10" x14ac:dyDescent="0.25">
      <c r="A54" t="s">
        <v>64</v>
      </c>
      <c r="B54" t="s">
        <v>65</v>
      </c>
      <c r="C54" t="s">
        <v>66</v>
      </c>
      <c r="D54" s="40" t="s">
        <v>78</v>
      </c>
      <c r="E54" s="54" t="s">
        <v>115</v>
      </c>
      <c r="F54" s="54" t="s">
        <v>118</v>
      </c>
      <c r="G54" s="54" t="s">
        <v>116</v>
      </c>
      <c r="H54" s="54" t="s">
        <v>117</v>
      </c>
      <c r="I54" s="54" t="s">
        <v>119</v>
      </c>
      <c r="J54" s="54" t="s">
        <v>120</v>
      </c>
    </row>
    <row r="55" spans="1:10" x14ac:dyDescent="0.25">
      <c r="A55" t="s">
        <v>72</v>
      </c>
      <c r="B55" s="25">
        <v>44754</v>
      </c>
      <c r="C55">
        <v>0.10100000000000001</v>
      </c>
      <c r="D55" s="40">
        <f>2.158*C55-0.205</f>
        <v>1.2958000000000025E-2</v>
      </c>
      <c r="E55">
        <f>D55*1000</f>
        <v>12.958000000000025</v>
      </c>
      <c r="F55">
        <v>50.38</v>
      </c>
      <c r="G55">
        <f>F55/1000</f>
        <v>5.0380000000000001E-2</v>
      </c>
      <c r="H55">
        <f>G55*E55</f>
        <v>0.65282404000000127</v>
      </c>
      <c r="I55">
        <v>0.57355</v>
      </c>
      <c r="J55">
        <f>H55/I55</f>
        <v>1.138216441461078</v>
      </c>
    </row>
    <row r="56" spans="1:10" x14ac:dyDescent="0.25">
      <c r="A56" t="s">
        <v>72</v>
      </c>
      <c r="B56" s="25">
        <v>44777</v>
      </c>
      <c r="C56">
        <v>9.7000000000000003E-2</v>
      </c>
      <c r="D56" s="40">
        <f t="shared" ref="D56:D59" si="4">2.158*C56-0.205</f>
        <v>4.3260000000000243E-3</v>
      </c>
      <c r="E56">
        <f t="shared" ref="E56:E59" si="5">D56*1000</f>
        <v>4.3260000000000245</v>
      </c>
      <c r="F56">
        <v>50.76</v>
      </c>
      <c r="G56">
        <f t="shared" ref="G56:G59" si="6">F56/1000</f>
        <v>5.076E-2</v>
      </c>
      <c r="H56">
        <f t="shared" ref="H56:H59" si="7">G56*E56</f>
        <v>0.21958776000000124</v>
      </c>
      <c r="I56">
        <v>0.58165999999999995</v>
      </c>
      <c r="J56">
        <f t="shared" ref="J56:J58" si="8">H56/I56</f>
        <v>0.37751910050545207</v>
      </c>
    </row>
    <row r="57" spans="1:10" x14ac:dyDescent="0.25">
      <c r="A57" t="s">
        <v>68</v>
      </c>
      <c r="B57" s="25">
        <v>44777</v>
      </c>
      <c r="C57">
        <v>9.9000000000000005E-2</v>
      </c>
      <c r="D57" s="40">
        <f t="shared" si="4"/>
        <v>8.6420000000000108E-3</v>
      </c>
      <c r="E57">
        <f t="shared" si="5"/>
        <v>8.6420000000000101</v>
      </c>
      <c r="F57">
        <v>50.43</v>
      </c>
      <c r="G57">
        <f t="shared" si="6"/>
        <v>5.0430000000000003E-2</v>
      </c>
      <c r="H57">
        <f t="shared" si="7"/>
        <v>0.43581606000000056</v>
      </c>
      <c r="I57">
        <v>0.50434000000000001</v>
      </c>
      <c r="J57">
        <f t="shared" si="8"/>
        <v>0.86413145893643284</v>
      </c>
    </row>
    <row r="58" spans="1:10" x14ac:dyDescent="0.25">
      <c r="A58" t="s">
        <v>68</v>
      </c>
      <c r="B58" s="25">
        <v>44754</v>
      </c>
      <c r="C58">
        <v>0.104</v>
      </c>
      <c r="D58" s="40">
        <f t="shared" si="4"/>
        <v>1.9432000000000005E-2</v>
      </c>
      <c r="E58">
        <f t="shared" si="5"/>
        <v>19.432000000000006</v>
      </c>
      <c r="F58">
        <v>50.47</v>
      </c>
      <c r="G58">
        <f t="shared" si="6"/>
        <v>5.0470000000000001E-2</v>
      </c>
      <c r="H58">
        <f t="shared" si="7"/>
        <v>0.98073304000000028</v>
      </c>
      <c r="I58">
        <v>0.50770999999999999</v>
      </c>
      <c r="J58">
        <f t="shared" si="8"/>
        <v>1.9316795808630918</v>
      </c>
    </row>
    <row r="59" spans="1:10" x14ac:dyDescent="0.25">
      <c r="B59" t="s">
        <v>70</v>
      </c>
      <c r="C59">
        <v>9.2999999999999999E-2</v>
      </c>
      <c r="D59" s="40">
        <f t="shared" si="4"/>
        <v>-4.3060000000000043E-3</v>
      </c>
      <c r="E59">
        <f t="shared" si="5"/>
        <v>-4.3060000000000045</v>
      </c>
      <c r="F59">
        <v>20</v>
      </c>
      <c r="G59">
        <f t="shared" si="6"/>
        <v>0.02</v>
      </c>
      <c r="H59">
        <f t="shared" si="7"/>
        <v>-8.6120000000000085E-2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E40B-93D9-40AF-915A-1FD3E86C007B}">
  <dimension ref="A1:H94"/>
  <sheetViews>
    <sheetView topLeftCell="A17" workbookViewId="0">
      <selection activeCell="D93" sqref="D93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4.5703125" bestFit="1" customWidth="1"/>
    <col min="4" max="4" width="15.140625" bestFit="1" customWidth="1"/>
    <col min="5" max="5" width="14.85546875" bestFit="1" customWidth="1"/>
    <col min="6" max="6" width="28" bestFit="1" customWidth="1"/>
    <col min="7" max="7" width="11.85546875" customWidth="1"/>
    <col min="8" max="8" width="18.85546875" customWidth="1"/>
  </cols>
  <sheetData>
    <row r="1" spans="1:8" x14ac:dyDescent="0.25">
      <c r="A1" s="25">
        <v>44965</v>
      </c>
    </row>
    <row r="2" spans="1:8" x14ac:dyDescent="0.25">
      <c r="A2" s="55" t="s">
        <v>12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13</v>
      </c>
      <c r="G2" s="79" t="s">
        <v>11</v>
      </c>
      <c r="H2" s="80"/>
    </row>
    <row r="3" spans="1:8" x14ac:dyDescent="0.25">
      <c r="A3" s="3">
        <v>1</v>
      </c>
      <c r="B3" s="3">
        <v>0</v>
      </c>
      <c r="C3" s="4">
        <v>0</v>
      </c>
      <c r="D3" s="3">
        <v>50</v>
      </c>
      <c r="E3" s="4">
        <v>40</v>
      </c>
      <c r="F3" s="1">
        <v>0</v>
      </c>
      <c r="G3" s="3">
        <f>C3*(100/1000)</f>
        <v>0</v>
      </c>
      <c r="H3" s="5">
        <f>G3/(C3+E3)*1000</f>
        <v>0</v>
      </c>
    </row>
    <row r="4" spans="1:8" x14ac:dyDescent="0.25">
      <c r="A4" s="3">
        <v>2</v>
      </c>
      <c r="B4" s="3">
        <v>5.0000000000000001E-3</v>
      </c>
      <c r="C4" s="4">
        <v>6.7999999999999996E-3</v>
      </c>
      <c r="D4" s="3">
        <v>49.994999999999997</v>
      </c>
      <c r="E4" s="4">
        <v>50.013300000000001</v>
      </c>
      <c r="F4" s="1">
        <v>0.01</v>
      </c>
      <c r="G4" s="3">
        <f t="shared" ref="G4:G14" si="0">C4*(100/1000)</f>
        <v>6.8000000000000005E-4</v>
      </c>
      <c r="H4" s="5">
        <f t="shared" ref="H4:H14" si="1">G4/(C4+E4)*1000</f>
        <v>1.3594534996931234E-2</v>
      </c>
    </row>
    <row r="5" spans="1:8" x14ac:dyDescent="0.25">
      <c r="A5" s="3">
        <v>3</v>
      </c>
      <c r="B5" s="3">
        <v>2.5000000000000001E-2</v>
      </c>
      <c r="C5" s="4">
        <v>2.3429999999999999E-2</v>
      </c>
      <c r="D5" s="3">
        <v>49.975000000000001</v>
      </c>
      <c r="E5" s="4">
        <v>50.007669999999997</v>
      </c>
      <c r="F5" s="1">
        <v>0.05</v>
      </c>
      <c r="G5" s="3">
        <f t="shared" si="0"/>
        <v>2.343E-3</v>
      </c>
      <c r="H5" s="5">
        <f t="shared" si="1"/>
        <v>4.6830871198114778E-2</v>
      </c>
    </row>
    <row r="6" spans="1:8" x14ac:dyDescent="0.25">
      <c r="A6" s="3">
        <v>4</v>
      </c>
      <c r="B6" s="3">
        <v>0.05</v>
      </c>
      <c r="C6" s="4">
        <v>4.4900000000000002E-2</v>
      </c>
      <c r="D6" s="3">
        <v>49.95</v>
      </c>
      <c r="E6" s="4">
        <v>49.709699999999998</v>
      </c>
      <c r="F6" s="1">
        <v>0.1</v>
      </c>
      <c r="G6" s="3">
        <f t="shared" si="0"/>
        <v>4.4900000000000001E-3</v>
      </c>
      <c r="H6" s="5">
        <f t="shared" si="1"/>
        <v>9.024291221314211E-2</v>
      </c>
    </row>
    <row r="7" spans="1:8" x14ac:dyDescent="0.25">
      <c r="A7" s="3">
        <v>5</v>
      </c>
      <c r="B7" s="3">
        <v>0.125</v>
      </c>
      <c r="C7" s="4">
        <v>0.12572</v>
      </c>
      <c r="D7" s="3">
        <v>49.875</v>
      </c>
      <c r="E7" s="4">
        <v>49.827379999999998</v>
      </c>
      <c r="F7" s="1">
        <v>0.25</v>
      </c>
      <c r="G7" s="3">
        <f t="shared" si="0"/>
        <v>1.2572E-2</v>
      </c>
      <c r="H7" s="5">
        <f t="shared" si="1"/>
        <v>0.25167607215568205</v>
      </c>
    </row>
    <row r="8" spans="1:8" x14ac:dyDescent="0.25">
      <c r="A8" s="3">
        <v>6</v>
      </c>
      <c r="B8" s="3">
        <v>0.25</v>
      </c>
      <c r="C8" s="4">
        <v>0.24951000000000001</v>
      </c>
      <c r="D8" s="3">
        <v>49.75</v>
      </c>
      <c r="E8" s="4">
        <v>49.63129</v>
      </c>
      <c r="F8" s="1">
        <v>0.5</v>
      </c>
      <c r="G8" s="3">
        <f t="shared" si="0"/>
        <v>2.4951000000000001E-2</v>
      </c>
      <c r="H8" s="5">
        <f t="shared" si="1"/>
        <v>0.50021250661577199</v>
      </c>
    </row>
    <row r="9" spans="1:8" x14ac:dyDescent="0.25">
      <c r="A9" s="3">
        <v>7</v>
      </c>
      <c r="B9" s="3">
        <v>0.375</v>
      </c>
      <c r="C9" s="4">
        <v>0.37509999999999999</v>
      </c>
      <c r="D9" s="3">
        <v>49.625</v>
      </c>
      <c r="E9" s="4">
        <v>49.870199999999997</v>
      </c>
      <c r="F9" s="1">
        <v>0.75</v>
      </c>
      <c r="G9" s="3">
        <f t="shared" si="0"/>
        <v>3.7510000000000002E-2</v>
      </c>
      <c r="H9" s="5">
        <f t="shared" si="1"/>
        <v>0.74653748708834466</v>
      </c>
    </row>
    <row r="10" spans="1:8" x14ac:dyDescent="0.25">
      <c r="A10" s="3">
        <v>8</v>
      </c>
      <c r="B10" s="3">
        <v>0.5</v>
      </c>
      <c r="C10" s="4">
        <v>0.49675000000000002</v>
      </c>
      <c r="D10" s="3">
        <v>49.5</v>
      </c>
      <c r="E10" s="4">
        <v>49.485750000000003</v>
      </c>
      <c r="F10" s="1">
        <v>1</v>
      </c>
      <c r="G10" s="3">
        <f t="shared" si="0"/>
        <v>4.9675000000000004E-2</v>
      </c>
      <c r="H10" s="5">
        <f t="shared" si="1"/>
        <v>0.9938478467463614</v>
      </c>
    </row>
    <row r="11" spans="1:8" x14ac:dyDescent="0.25">
      <c r="A11" s="3">
        <v>9</v>
      </c>
      <c r="B11" s="3">
        <v>1.25</v>
      </c>
      <c r="C11" s="4">
        <v>1.2404299999999999</v>
      </c>
      <c r="D11" s="3">
        <v>48.75</v>
      </c>
      <c r="E11" s="4">
        <v>48.795569999999998</v>
      </c>
      <c r="F11" s="1">
        <v>2.5</v>
      </c>
      <c r="G11" s="3">
        <f t="shared" si="0"/>
        <v>0.124043</v>
      </c>
      <c r="H11" s="5">
        <f t="shared" si="1"/>
        <v>2.479075065952514</v>
      </c>
    </row>
    <row r="12" spans="1:8" x14ac:dyDescent="0.25">
      <c r="A12" s="3">
        <v>10</v>
      </c>
      <c r="B12" s="3">
        <v>2.5</v>
      </c>
      <c r="C12" s="4">
        <v>2.4839899999999999</v>
      </c>
      <c r="D12" s="3">
        <v>47.5</v>
      </c>
      <c r="E12" s="4">
        <v>47.916409999999999</v>
      </c>
      <c r="F12" s="1">
        <v>5</v>
      </c>
      <c r="G12" s="3">
        <f t="shared" si="0"/>
        <v>0.24839900000000001</v>
      </c>
      <c r="H12" s="5">
        <f t="shared" si="1"/>
        <v>4.9285124721232378</v>
      </c>
    </row>
    <row r="13" spans="1:8" x14ac:dyDescent="0.25">
      <c r="A13" s="3">
        <v>11</v>
      </c>
      <c r="B13" s="3">
        <v>3.75</v>
      </c>
      <c r="C13" s="4">
        <v>3.6593</v>
      </c>
      <c r="D13" s="3">
        <v>46.25</v>
      </c>
      <c r="E13" s="4">
        <v>46.462800000000001</v>
      </c>
      <c r="F13" s="1">
        <v>7.5</v>
      </c>
      <c r="G13" s="3">
        <f t="shared" si="0"/>
        <v>0.36593000000000003</v>
      </c>
      <c r="H13" s="5">
        <f t="shared" si="1"/>
        <v>7.3007715159580311</v>
      </c>
    </row>
    <row r="14" spans="1:8" x14ac:dyDescent="0.25">
      <c r="A14" s="3">
        <v>12</v>
      </c>
      <c r="B14" s="3">
        <v>5</v>
      </c>
      <c r="C14" s="4">
        <v>4.9118599999999999</v>
      </c>
      <c r="D14" s="3">
        <v>45</v>
      </c>
      <c r="E14" s="4">
        <v>45.535939999999997</v>
      </c>
      <c r="F14" s="1">
        <v>10</v>
      </c>
      <c r="G14" s="3">
        <f t="shared" si="0"/>
        <v>0.49118600000000001</v>
      </c>
      <c r="H14" s="5">
        <f t="shared" si="1"/>
        <v>9.7365197293043515</v>
      </c>
    </row>
    <row r="17" spans="1:5" x14ac:dyDescent="0.25">
      <c r="B17" t="s">
        <v>34</v>
      </c>
      <c r="C17" t="s">
        <v>75</v>
      </c>
      <c r="D17" t="s">
        <v>123</v>
      </c>
      <c r="E17" t="s">
        <v>126</v>
      </c>
    </row>
    <row r="18" spans="1:5" x14ac:dyDescent="0.25">
      <c r="A18" t="s">
        <v>54</v>
      </c>
      <c r="B18" t="s">
        <v>66</v>
      </c>
      <c r="C18" t="s">
        <v>66</v>
      </c>
      <c r="D18" t="s">
        <v>66</v>
      </c>
      <c r="E18" t="s">
        <v>66</v>
      </c>
    </row>
    <row r="19" spans="1:5" x14ac:dyDescent="0.25">
      <c r="A19">
        <v>0</v>
      </c>
      <c r="B19">
        <v>9.2999999999999999E-2</v>
      </c>
      <c r="C19">
        <v>9.2999999999999999E-2</v>
      </c>
      <c r="D19">
        <v>9.2999999999999999E-2</v>
      </c>
      <c r="E19">
        <v>9.2999999999999999E-2</v>
      </c>
    </row>
    <row r="20" spans="1:5" x14ac:dyDescent="0.25">
      <c r="A20">
        <v>1.3594534996931234E-2</v>
      </c>
      <c r="B20">
        <v>0.10100000000000001</v>
      </c>
      <c r="C20">
        <v>0.1</v>
      </c>
      <c r="D20">
        <v>0.1</v>
      </c>
      <c r="E20">
        <v>0.1</v>
      </c>
    </row>
    <row r="21" spans="1:5" x14ac:dyDescent="0.25">
      <c r="A21">
        <v>4.6830871198114778E-2</v>
      </c>
      <c r="B21">
        <v>0.108</v>
      </c>
      <c r="C21">
        <v>0.109</v>
      </c>
      <c r="D21">
        <v>0.109</v>
      </c>
      <c r="E21">
        <v>0.108</v>
      </c>
    </row>
    <row r="22" spans="1:5" x14ac:dyDescent="0.25">
      <c r="A22">
        <v>9.024291221314211E-2</v>
      </c>
      <c r="B22">
        <v>0.13200000000000001</v>
      </c>
      <c r="C22">
        <v>0.13</v>
      </c>
      <c r="D22">
        <v>0.129</v>
      </c>
      <c r="E22">
        <v>0.13</v>
      </c>
    </row>
    <row r="23" spans="1:5" x14ac:dyDescent="0.25">
      <c r="A23">
        <v>0.25167607215568205</v>
      </c>
      <c r="B23">
        <v>0.19400000000000001</v>
      </c>
      <c r="C23">
        <v>0.19400000000000001</v>
      </c>
      <c r="D23">
        <v>0.193</v>
      </c>
      <c r="E23">
        <v>0.193</v>
      </c>
    </row>
    <row r="24" spans="1:5" x14ac:dyDescent="0.25">
      <c r="A24">
        <v>0.50021250661577199</v>
      </c>
      <c r="B24">
        <v>0.29699999999999999</v>
      </c>
      <c r="C24">
        <v>0.29699999999999999</v>
      </c>
      <c r="D24">
        <v>0.29799999999999999</v>
      </c>
      <c r="E24">
        <v>0.29699999999999999</v>
      </c>
    </row>
    <row r="25" spans="1:5" x14ac:dyDescent="0.25">
      <c r="A25">
        <v>0.74653748708834466</v>
      </c>
      <c r="B25">
        <v>0.40600000000000003</v>
      </c>
      <c r="C25">
        <v>0.40400000000000003</v>
      </c>
      <c r="D25">
        <v>0.40400000000000003</v>
      </c>
      <c r="E25">
        <v>0.40500000000000003</v>
      </c>
    </row>
    <row r="26" spans="1:5" x14ac:dyDescent="0.25">
      <c r="A26">
        <v>0.9938478467463614</v>
      </c>
      <c r="B26">
        <v>0.52100000000000002</v>
      </c>
      <c r="C26">
        <v>0.52</v>
      </c>
      <c r="D26">
        <v>0.52</v>
      </c>
      <c r="E26">
        <v>0.52</v>
      </c>
    </row>
    <row r="27" spans="1:5" x14ac:dyDescent="0.25">
      <c r="A27">
        <v>2.479075065952514</v>
      </c>
      <c r="B27">
        <v>1.099</v>
      </c>
      <c r="C27">
        <v>1.1020000000000001</v>
      </c>
      <c r="D27">
        <v>1.1060000000000001</v>
      </c>
      <c r="E27">
        <v>1.107</v>
      </c>
    </row>
    <row r="28" spans="1:5" x14ac:dyDescent="0.25">
      <c r="A28">
        <v>4.9285124721232378</v>
      </c>
      <c r="B28">
        <v>1.5349999999999999</v>
      </c>
      <c r="C28">
        <v>1.577</v>
      </c>
      <c r="D28">
        <v>1.617</v>
      </c>
      <c r="E28">
        <v>1.639</v>
      </c>
    </row>
    <row r="29" spans="1:5" x14ac:dyDescent="0.25">
      <c r="A29">
        <v>7.3007715159580311</v>
      </c>
      <c r="B29">
        <v>1.9319999999999999</v>
      </c>
      <c r="C29">
        <v>2.02</v>
      </c>
      <c r="D29">
        <v>2.1019999999999999</v>
      </c>
      <c r="E29">
        <v>2.153</v>
      </c>
    </row>
    <row r="30" spans="1:5" x14ac:dyDescent="0.25">
      <c r="A30">
        <v>9.7365197293043515</v>
      </c>
      <c r="B30">
        <v>2.282</v>
      </c>
      <c r="C30">
        <v>2.431</v>
      </c>
      <c r="D30">
        <v>2.5750000000000002</v>
      </c>
      <c r="E30">
        <v>2.66</v>
      </c>
    </row>
    <row r="35" spans="1:4" x14ac:dyDescent="0.25">
      <c r="A35" t="s">
        <v>54</v>
      </c>
      <c r="B35" t="s">
        <v>66</v>
      </c>
      <c r="C35" t="s">
        <v>121</v>
      </c>
      <c r="D35" t="s">
        <v>122</v>
      </c>
    </row>
    <row r="36" spans="1:4" x14ac:dyDescent="0.25">
      <c r="A36">
        <v>0</v>
      </c>
      <c r="B36">
        <v>9.2999999999999999E-2</v>
      </c>
      <c r="C36">
        <f>(2.4483*B36)-0.2336</f>
        <v>-5.9080999999999995E-3</v>
      </c>
      <c r="D36">
        <f>(1.4766*(B36^2))+(0.9092*B36)-0.0156</f>
        <v>8.1726713399999998E-2</v>
      </c>
    </row>
    <row r="37" spans="1:4" x14ac:dyDescent="0.25">
      <c r="A37">
        <v>1.3594534996931234E-2</v>
      </c>
      <c r="B37">
        <v>0.10100000000000001</v>
      </c>
      <c r="C37">
        <f t="shared" ref="C37:C43" si="2">(2.4483*B37)-0.2336</f>
        <v>1.3678300000000032E-2</v>
      </c>
      <c r="D37">
        <f t="shared" ref="D37:D47" si="3">(1.4766*(B37^2))+(0.9092*B37)-0.0156</f>
        <v>9.1291996600000008E-2</v>
      </c>
    </row>
    <row r="38" spans="1:4" x14ac:dyDescent="0.25">
      <c r="A38">
        <v>4.6830871198114778E-2</v>
      </c>
      <c r="B38">
        <v>0.108</v>
      </c>
      <c r="C38">
        <f t="shared" si="2"/>
        <v>3.0816399999999994E-2</v>
      </c>
      <c r="D38">
        <f t="shared" si="3"/>
        <v>9.9816662400000006E-2</v>
      </c>
    </row>
    <row r="39" spans="1:4" x14ac:dyDescent="0.25">
      <c r="A39">
        <v>9.024291221314211E-2</v>
      </c>
      <c r="B39">
        <v>0.13200000000000001</v>
      </c>
      <c r="C39">
        <f t="shared" si="2"/>
        <v>8.9575600000000005E-2</v>
      </c>
      <c r="D39">
        <f t="shared" si="3"/>
        <v>0.13014267840000002</v>
      </c>
    </row>
    <row r="40" spans="1:4" x14ac:dyDescent="0.25">
      <c r="A40">
        <v>0.25167607215568205</v>
      </c>
      <c r="B40">
        <v>0.19400000000000001</v>
      </c>
      <c r="C40">
        <f t="shared" si="2"/>
        <v>0.24137020000000006</v>
      </c>
      <c r="D40">
        <f t="shared" si="3"/>
        <v>0.21635811760000001</v>
      </c>
    </row>
    <row r="41" spans="1:4" x14ac:dyDescent="0.25">
      <c r="A41">
        <v>0.50021250661577199</v>
      </c>
      <c r="B41">
        <v>0.29699999999999999</v>
      </c>
      <c r="C41">
        <f t="shared" si="2"/>
        <v>0.49354509999999996</v>
      </c>
      <c r="D41">
        <f t="shared" si="3"/>
        <v>0.38468180940000002</v>
      </c>
    </row>
    <row r="42" spans="1:4" x14ac:dyDescent="0.25">
      <c r="A42">
        <v>0.74653748708834466</v>
      </c>
      <c r="B42">
        <v>0.40600000000000003</v>
      </c>
      <c r="C42">
        <f t="shared" si="2"/>
        <v>0.76040980000000014</v>
      </c>
      <c r="D42">
        <f t="shared" si="3"/>
        <v>0.59693203760000013</v>
      </c>
    </row>
    <row r="43" spans="1:4" x14ac:dyDescent="0.25">
      <c r="A43">
        <v>0.9938478467463614</v>
      </c>
      <c r="B43">
        <v>0.52100000000000002</v>
      </c>
      <c r="C43">
        <f t="shared" si="2"/>
        <v>1.0419643000000001</v>
      </c>
      <c r="D43">
        <f t="shared" si="3"/>
        <v>0.85890298060000014</v>
      </c>
    </row>
    <row r="44" spans="1:4" x14ac:dyDescent="0.25">
      <c r="A44">
        <v>2.479075065952514</v>
      </c>
      <c r="B44">
        <v>1.099</v>
      </c>
      <c r="C44">
        <f>(6.1045*B44)-4.3397</f>
        <v>2.3691455000000001</v>
      </c>
      <c r="D44">
        <f t="shared" si="3"/>
        <v>2.7670497565999996</v>
      </c>
    </row>
    <row r="45" spans="1:4" x14ac:dyDescent="0.25">
      <c r="A45">
        <v>4.9285124721232378</v>
      </c>
      <c r="B45">
        <v>1.5349999999999999</v>
      </c>
      <c r="C45">
        <f t="shared" ref="C45:C47" si="4">(6.1045*B45)-4.3397</f>
        <v>5.0307074999999992</v>
      </c>
      <c r="D45">
        <f t="shared" si="3"/>
        <v>4.859223834999999</v>
      </c>
    </row>
    <row r="46" spans="1:4" x14ac:dyDescent="0.25">
      <c r="A46">
        <v>7.3007715159580311</v>
      </c>
      <c r="B46">
        <v>1.9319999999999999</v>
      </c>
      <c r="C46">
        <f t="shared" si="4"/>
        <v>7.4541940000000002</v>
      </c>
      <c r="D46">
        <f t="shared" si="3"/>
        <v>7.252566998399999</v>
      </c>
    </row>
    <row r="47" spans="1:4" x14ac:dyDescent="0.25">
      <c r="A47">
        <v>9.7365197293043515</v>
      </c>
      <c r="B47">
        <v>2.282</v>
      </c>
      <c r="C47">
        <f t="shared" si="4"/>
        <v>9.5907690000000017</v>
      </c>
      <c r="D47">
        <f t="shared" si="3"/>
        <v>9.7486243384000009</v>
      </c>
    </row>
    <row r="50" spans="1:4" x14ac:dyDescent="0.25">
      <c r="A50" t="s">
        <v>54</v>
      </c>
      <c r="B50" t="s">
        <v>66</v>
      </c>
      <c r="C50" t="s">
        <v>124</v>
      </c>
      <c r="D50" t="s">
        <v>125</v>
      </c>
    </row>
    <row r="51" spans="1:4" x14ac:dyDescent="0.25">
      <c r="A51">
        <v>0</v>
      </c>
      <c r="B51">
        <v>9.2999999999999999E-2</v>
      </c>
      <c r="C51">
        <f>(2.4416*B51)-0.2309</f>
        <v>-3.8311999999999791E-3</v>
      </c>
      <c r="D51">
        <f>(1.1173*(B51^2))+(1.3492*B51)-0.0832</f>
        <v>5.1939127700000004E-2</v>
      </c>
    </row>
    <row r="52" spans="1:4" x14ac:dyDescent="0.25">
      <c r="A52">
        <v>1.3594534996931234E-2</v>
      </c>
      <c r="B52">
        <v>0.10100000000000001</v>
      </c>
      <c r="C52">
        <f t="shared" ref="C52:C58" si="5">(2.4416*B52)-0.2309</f>
        <v>1.5701600000000038E-2</v>
      </c>
      <c r="D52">
        <f t="shared" ref="D52:D62" si="6">(1.1173*(B52^2))+(1.3492*B52)-0.0832</f>
        <v>6.44667773E-2</v>
      </c>
    </row>
    <row r="53" spans="1:4" x14ac:dyDescent="0.25">
      <c r="A53">
        <v>4.6830871198114778E-2</v>
      </c>
      <c r="B53">
        <v>0.108</v>
      </c>
      <c r="C53">
        <f t="shared" si="5"/>
        <v>3.2792800000000011E-2</v>
      </c>
      <c r="D53">
        <f t="shared" si="6"/>
        <v>7.5545787199999992E-2</v>
      </c>
    </row>
    <row r="54" spans="1:4" x14ac:dyDescent="0.25">
      <c r="A54">
        <v>9.024291221314211E-2</v>
      </c>
      <c r="B54">
        <v>0.13200000000000001</v>
      </c>
      <c r="C54">
        <f t="shared" si="5"/>
        <v>9.1391200000000061E-2</v>
      </c>
      <c r="D54">
        <f t="shared" si="6"/>
        <v>0.11436223520000002</v>
      </c>
    </row>
    <row r="55" spans="1:4" x14ac:dyDescent="0.25">
      <c r="A55">
        <v>0.25167607215568205</v>
      </c>
      <c r="B55">
        <v>0.19400000000000001</v>
      </c>
      <c r="C55">
        <f t="shared" si="5"/>
        <v>0.24277040000000005</v>
      </c>
      <c r="D55">
        <f t="shared" si="6"/>
        <v>0.22059550280000001</v>
      </c>
    </row>
    <row r="56" spans="1:4" x14ac:dyDescent="0.25">
      <c r="A56">
        <v>0.50021250661577199</v>
      </c>
      <c r="B56">
        <v>0.29699999999999999</v>
      </c>
      <c r="C56">
        <f t="shared" si="5"/>
        <v>0.49425520000000001</v>
      </c>
      <c r="D56">
        <f t="shared" si="6"/>
        <v>0.41606831569999997</v>
      </c>
    </row>
    <row r="57" spans="1:4" x14ac:dyDescent="0.25">
      <c r="A57">
        <v>0.74653748708834466</v>
      </c>
      <c r="B57">
        <v>0.40600000000000003</v>
      </c>
      <c r="C57">
        <f t="shared" si="5"/>
        <v>0.76038960000000011</v>
      </c>
      <c r="D57">
        <f t="shared" si="6"/>
        <v>0.64874646280000015</v>
      </c>
    </row>
    <row r="58" spans="1:4" x14ac:dyDescent="0.25">
      <c r="A58">
        <v>0.9938478467463614</v>
      </c>
      <c r="B58">
        <v>0.52100000000000002</v>
      </c>
      <c r="C58">
        <f t="shared" si="5"/>
        <v>1.0411736</v>
      </c>
      <c r="D58">
        <f t="shared" si="6"/>
        <v>0.9230142293000001</v>
      </c>
    </row>
    <row r="59" spans="1:4" x14ac:dyDescent="0.25">
      <c r="A59">
        <v>2.479075065952514</v>
      </c>
      <c r="B59">
        <v>1.099</v>
      </c>
      <c r="C59">
        <f>(5.4448*B59)-3.5941</f>
        <v>2.3897351999999996</v>
      </c>
      <c r="D59">
        <f t="shared" si="6"/>
        <v>2.7490468572999993</v>
      </c>
    </row>
    <row r="60" spans="1:4" x14ac:dyDescent="0.25">
      <c r="A60">
        <v>4.9285124721232378</v>
      </c>
      <c r="B60">
        <v>1.5349999999999999</v>
      </c>
      <c r="C60">
        <f t="shared" ref="C60:C61" si="7">(5.4448*B60)-3.5941</f>
        <v>4.763668</v>
      </c>
      <c r="D60">
        <f t="shared" si="6"/>
        <v>4.6204321924999991</v>
      </c>
    </row>
    <row r="61" spans="1:4" x14ac:dyDescent="0.25">
      <c r="A61">
        <v>7.3007715159580311</v>
      </c>
      <c r="B61">
        <v>1.9319999999999999</v>
      </c>
      <c r="C61">
        <f t="shared" si="7"/>
        <v>6.9252535999999987</v>
      </c>
      <c r="D61">
        <f t="shared" si="6"/>
        <v>6.6939151951999998</v>
      </c>
    </row>
    <row r="62" spans="1:4" x14ac:dyDescent="0.25">
      <c r="A62">
        <v>9.7365197293043515</v>
      </c>
      <c r="B62">
        <v>2.282</v>
      </c>
      <c r="C62">
        <f>(5.4448*B62)-3.5941</f>
        <v>8.8309335999999981</v>
      </c>
      <c r="D62">
        <f t="shared" si="6"/>
        <v>8.8140409652000002</v>
      </c>
    </row>
    <row r="66" spans="1:4" x14ac:dyDescent="0.25">
      <c r="A66" t="s">
        <v>54</v>
      </c>
      <c r="B66" t="s">
        <v>66</v>
      </c>
      <c r="C66" t="s">
        <v>129</v>
      </c>
      <c r="D66" t="s">
        <v>130</v>
      </c>
    </row>
    <row r="67" spans="1:4" x14ac:dyDescent="0.25">
      <c r="A67">
        <v>0</v>
      </c>
      <c r="B67">
        <v>9.2999999999999999E-2</v>
      </c>
      <c r="C67">
        <f>(2.432*B67)-0.2286</f>
        <v>-2.4240000000000095E-3</v>
      </c>
      <c r="D67">
        <f>(0.8525*(B67^2))+(1.6762*B67)-0.1349</f>
        <v>2.8359872499999994E-2</v>
      </c>
    </row>
    <row r="68" spans="1:4" x14ac:dyDescent="0.25">
      <c r="A68">
        <v>1.3594534996931234E-2</v>
      </c>
      <c r="B68">
        <v>0.10100000000000001</v>
      </c>
      <c r="C68">
        <f t="shared" ref="C68:C74" si="8">(2.432*B68)-0.2286</f>
        <v>1.7032000000000019E-2</v>
      </c>
      <c r="D68">
        <f t="shared" ref="D68:D78" si="9">(0.8525*(B68^2))+(1.6762*B68)-0.1349</f>
        <v>4.309255250000002E-2</v>
      </c>
    </row>
    <row r="69" spans="1:4" x14ac:dyDescent="0.25">
      <c r="A69">
        <v>4.6830871198114778E-2</v>
      </c>
      <c r="B69">
        <v>0.108</v>
      </c>
      <c r="C69">
        <f t="shared" si="8"/>
        <v>3.4056000000000003E-2</v>
      </c>
      <c r="D69">
        <f t="shared" si="9"/>
        <v>5.6073159999999983E-2</v>
      </c>
    </row>
    <row r="70" spans="1:4" x14ac:dyDescent="0.25">
      <c r="A70">
        <v>9.024291221314211E-2</v>
      </c>
      <c r="B70">
        <v>0.13200000000000001</v>
      </c>
      <c r="C70">
        <f t="shared" si="8"/>
        <v>9.2424000000000034E-2</v>
      </c>
      <c r="D70">
        <f t="shared" si="9"/>
        <v>0.10121236</v>
      </c>
    </row>
    <row r="71" spans="1:4" x14ac:dyDescent="0.25">
      <c r="A71">
        <v>0.25167607215568205</v>
      </c>
      <c r="B71">
        <v>0.19400000000000001</v>
      </c>
      <c r="C71">
        <f t="shared" si="8"/>
        <v>0.24320800000000001</v>
      </c>
      <c r="D71">
        <f t="shared" si="9"/>
        <v>0.22236749000000003</v>
      </c>
    </row>
    <row r="72" spans="1:4" x14ac:dyDescent="0.25">
      <c r="A72">
        <v>0.50021250661577199</v>
      </c>
      <c r="B72">
        <v>0.29699999999999999</v>
      </c>
      <c r="C72">
        <f t="shared" si="8"/>
        <v>0.49370399999999992</v>
      </c>
      <c r="D72">
        <f t="shared" si="9"/>
        <v>0.43812957249999984</v>
      </c>
    </row>
    <row r="73" spans="1:4" x14ac:dyDescent="0.25">
      <c r="A73">
        <v>0.74653748708834466</v>
      </c>
      <c r="B73">
        <v>0.40600000000000003</v>
      </c>
      <c r="C73">
        <f t="shared" si="8"/>
        <v>0.75879200000000002</v>
      </c>
      <c r="D73">
        <f t="shared" si="9"/>
        <v>0.68615989000000011</v>
      </c>
    </row>
    <row r="74" spans="1:4" x14ac:dyDescent="0.25">
      <c r="A74">
        <v>0.9938478467463614</v>
      </c>
      <c r="B74">
        <v>0.52100000000000002</v>
      </c>
      <c r="C74">
        <f t="shared" si="8"/>
        <v>1.0384720000000001</v>
      </c>
      <c r="D74">
        <f t="shared" si="9"/>
        <v>0.9698036525</v>
      </c>
    </row>
    <row r="75" spans="1:4" x14ac:dyDescent="0.25">
      <c r="A75">
        <v>2.479075065952514</v>
      </c>
      <c r="B75">
        <v>1.099</v>
      </c>
      <c r="C75">
        <f>(4.9342*B75)-3.017</f>
        <v>2.4056857999999992</v>
      </c>
      <c r="D75">
        <f t="shared" si="9"/>
        <v>2.7368941524999997</v>
      </c>
    </row>
    <row r="76" spans="1:4" x14ac:dyDescent="0.25">
      <c r="A76">
        <v>4.9285124721232378</v>
      </c>
      <c r="B76">
        <v>1.5349999999999999</v>
      </c>
      <c r="C76">
        <f t="shared" ref="C76:C77" si="10">(4.9342*B76)-3.017</f>
        <v>4.5569969999999991</v>
      </c>
      <c r="D76">
        <f t="shared" si="9"/>
        <v>4.4467488124999992</v>
      </c>
    </row>
    <row r="77" spans="1:4" x14ac:dyDescent="0.25">
      <c r="A77">
        <v>7.3007715159580311</v>
      </c>
      <c r="B77">
        <v>1.9319999999999999</v>
      </c>
      <c r="C77">
        <f t="shared" si="10"/>
        <v>6.5158743999999995</v>
      </c>
      <c r="D77">
        <f t="shared" si="9"/>
        <v>6.2855803599999991</v>
      </c>
    </row>
    <row r="78" spans="1:4" x14ac:dyDescent="0.25">
      <c r="A78">
        <v>9.7365197293043515</v>
      </c>
      <c r="B78">
        <v>2.282</v>
      </c>
      <c r="C78">
        <f>(4.9342*B78)-3.017</f>
        <v>8.2428443999999992</v>
      </c>
      <c r="D78">
        <f t="shared" si="9"/>
        <v>8.129602610000001</v>
      </c>
    </row>
    <row r="81" spans="1:4" x14ac:dyDescent="0.25">
      <c r="A81" t="s">
        <v>54</v>
      </c>
      <c r="B81" t="s">
        <v>66</v>
      </c>
      <c r="C81" t="s">
        <v>127</v>
      </c>
      <c r="D81" t="s">
        <v>128</v>
      </c>
    </row>
    <row r="82" spans="1:4" x14ac:dyDescent="0.25">
      <c r="A82">
        <v>0</v>
      </c>
      <c r="B82">
        <v>9.2999999999999999E-2</v>
      </c>
      <c r="C82">
        <f>(2.4295*B82)-0.228</f>
        <v>-2.0565000000000166E-3</v>
      </c>
      <c r="D82">
        <f>(0.723*(B82^2))+(1.8372*B82)-0.1605</f>
        <v>1.6612826999999997E-2</v>
      </c>
    </row>
    <row r="83" spans="1:4" x14ac:dyDescent="0.25">
      <c r="A83">
        <v>1.3594534996931234E-2</v>
      </c>
      <c r="B83">
        <v>0.10100000000000001</v>
      </c>
      <c r="C83">
        <f t="shared" ref="C83:C89" si="11">(2.4295*B83)-0.228</f>
        <v>1.737950000000002E-2</v>
      </c>
      <c r="D83">
        <f t="shared" ref="D83:D93" si="12">(0.723*(B83^2))+(1.8372*B83)-0.1605</f>
        <v>3.2432522999999991E-2</v>
      </c>
    </row>
    <row r="84" spans="1:4" x14ac:dyDescent="0.25">
      <c r="A84">
        <v>4.6830871198114778E-2</v>
      </c>
      <c r="B84">
        <v>0.108</v>
      </c>
      <c r="C84">
        <f t="shared" si="11"/>
        <v>3.4386E-2</v>
      </c>
      <c r="D84">
        <f t="shared" si="12"/>
        <v>4.6350672000000009E-2</v>
      </c>
    </row>
    <row r="85" spans="1:4" x14ac:dyDescent="0.25">
      <c r="A85">
        <v>9.024291221314211E-2</v>
      </c>
      <c r="B85">
        <v>0.13200000000000001</v>
      </c>
      <c r="C85">
        <f t="shared" si="11"/>
        <v>9.2694000000000026E-2</v>
      </c>
      <c r="D85">
        <f t="shared" si="12"/>
        <v>9.4607952000000023E-2</v>
      </c>
    </row>
    <row r="86" spans="1:4" x14ac:dyDescent="0.25">
      <c r="A86">
        <v>0.25167607215568205</v>
      </c>
      <c r="B86">
        <v>0.19400000000000001</v>
      </c>
      <c r="C86">
        <f t="shared" si="11"/>
        <v>0.24332299999999998</v>
      </c>
      <c r="D86">
        <f t="shared" si="12"/>
        <v>0.22312762799999999</v>
      </c>
    </row>
    <row r="87" spans="1:4" x14ac:dyDescent="0.25">
      <c r="A87">
        <v>0.50021250661577199</v>
      </c>
      <c r="B87">
        <v>0.29699999999999999</v>
      </c>
      <c r="C87">
        <f t="shared" si="11"/>
        <v>0.49356149999999999</v>
      </c>
      <c r="D87">
        <f t="shared" si="12"/>
        <v>0.44892350699999994</v>
      </c>
    </row>
    <row r="88" spans="1:4" x14ac:dyDescent="0.25">
      <c r="A88">
        <v>0.74653748708834466</v>
      </c>
      <c r="B88">
        <v>0.40600000000000003</v>
      </c>
      <c r="C88">
        <f t="shared" si="11"/>
        <v>0.75837700000000008</v>
      </c>
      <c r="D88">
        <f t="shared" si="12"/>
        <v>0.70457962799999996</v>
      </c>
    </row>
    <row r="89" spans="1:4" x14ac:dyDescent="0.25">
      <c r="A89">
        <v>0.9938478467463614</v>
      </c>
      <c r="B89">
        <v>0.52100000000000002</v>
      </c>
      <c r="C89">
        <f t="shared" si="11"/>
        <v>1.0377695</v>
      </c>
      <c r="D89">
        <f t="shared" si="12"/>
        <v>0.99293304299999996</v>
      </c>
    </row>
    <row r="90" spans="1:4" x14ac:dyDescent="0.25">
      <c r="A90">
        <v>2.479075065952514</v>
      </c>
      <c r="B90">
        <v>1.099</v>
      </c>
      <c r="C90">
        <f>(4.667*B90)-2.7082</f>
        <v>2.4208329999999996</v>
      </c>
      <c r="D90">
        <f t="shared" si="12"/>
        <v>2.7318229230000002</v>
      </c>
    </row>
    <row r="91" spans="1:4" x14ac:dyDescent="0.25">
      <c r="A91">
        <v>4.9285124721232378</v>
      </c>
      <c r="B91">
        <v>1.5349999999999999</v>
      </c>
      <c r="C91">
        <f t="shared" ref="C91:C93" si="13">(4.667*B91)-2.7082</f>
        <v>4.4556449999999987</v>
      </c>
      <c r="D91">
        <f t="shared" si="12"/>
        <v>4.3631526749999994</v>
      </c>
    </row>
    <row r="92" spans="1:4" x14ac:dyDescent="0.25">
      <c r="A92">
        <v>7.3007715159580311</v>
      </c>
      <c r="B92">
        <v>1.9319999999999999</v>
      </c>
      <c r="C92">
        <f t="shared" si="13"/>
        <v>6.3084439999999997</v>
      </c>
      <c r="D92">
        <f t="shared" si="12"/>
        <v>6.0876575519999996</v>
      </c>
    </row>
    <row r="93" spans="1:4" x14ac:dyDescent="0.25">
      <c r="A93">
        <v>9.7365197293043515</v>
      </c>
      <c r="B93">
        <v>2.282</v>
      </c>
      <c r="C93">
        <f t="shared" si="13"/>
        <v>7.9418939999999996</v>
      </c>
      <c r="D93">
        <f t="shared" si="12"/>
        <v>7.7970302519999999</v>
      </c>
    </row>
    <row r="94" spans="1:4" x14ac:dyDescent="0.25">
      <c r="D94">
        <f>SUM(D82:D93)</f>
        <v>23.539231181999998</v>
      </c>
    </row>
  </sheetData>
  <mergeCells count="1">
    <mergeCell ref="G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Calculations summer 2021</vt:lpstr>
      <vt:lpstr>Abs.</vt:lpstr>
      <vt:lpstr>Sheet1</vt:lpstr>
      <vt:lpstr>Calculations Winter 2022</vt:lpstr>
      <vt:lpstr>Abs winter 2022</vt:lpstr>
      <vt:lpstr>Calculations summer 2022</vt:lpstr>
      <vt:lpstr>Abs summer 2022</vt:lpstr>
      <vt:lpstr>SRP sed extraction summer 2022</vt:lpstr>
      <vt:lpstr>Stds retry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Watts</dc:creator>
  <cp:lastModifiedBy>Rachel Watts</cp:lastModifiedBy>
  <dcterms:created xsi:type="dcterms:W3CDTF">2022-02-11T20:40:10Z</dcterms:created>
  <dcterms:modified xsi:type="dcterms:W3CDTF">2023-04-27T08:42:38Z</dcterms:modified>
</cp:coreProperties>
</file>