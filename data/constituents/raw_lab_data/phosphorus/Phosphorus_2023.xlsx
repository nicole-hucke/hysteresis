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\Documents\hysteresis\data\constituents\raw_lab_data\phosphorus\"/>
    </mc:Choice>
  </mc:AlternateContent>
  <xr:revisionPtr revIDLastSave="0" documentId="13_ncr:1_{29E391FD-6569-4E61-9013-B8007B2E14F4}" xr6:coauthVersionLast="47" xr6:coauthVersionMax="47" xr10:uidLastSave="{00000000-0000-0000-0000-000000000000}"/>
  <bookViews>
    <workbookView xWindow="22932" yWindow="-108" windowWidth="23256" windowHeight="12456" xr2:uid="{5A712775-9F6B-46BF-88A1-72E8A328D28E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<sst xmlns="http://schemas.openxmlformats.org/spreadsheetml/2006/main" count="119" uniqueCount="63">
  <si>
    <t>Sample Name</t>
  </si>
  <si>
    <t>Date/Time</t>
  </si>
  <si>
    <t>LAB ID</t>
  </si>
  <si>
    <t xml:space="preserve">Downstream - Storm 4 </t>
  </si>
  <si>
    <t>DOWN2</t>
  </si>
  <si>
    <t>DOWN3</t>
  </si>
  <si>
    <t>DOWN4</t>
  </si>
  <si>
    <t>DOWN5</t>
  </si>
  <si>
    <t>DOWN 1</t>
  </si>
  <si>
    <t>Water Depth (cm)</t>
  </si>
  <si>
    <t>DOWN 6</t>
  </si>
  <si>
    <t>DOWN 7</t>
  </si>
  <si>
    <t>New Samples</t>
  </si>
  <si>
    <t>Already Sent</t>
  </si>
  <si>
    <t xml:space="preserve">Upstream - Storm 4 </t>
  </si>
  <si>
    <t>-</t>
  </si>
  <si>
    <t>UP1</t>
  </si>
  <si>
    <t>UP2</t>
  </si>
  <si>
    <t>UP3</t>
  </si>
  <si>
    <t>UP5</t>
  </si>
  <si>
    <t>UP6</t>
  </si>
  <si>
    <t>UP4</t>
  </si>
  <si>
    <t>UP7</t>
  </si>
  <si>
    <t>*</t>
  </si>
  <si>
    <t>* Note: couldn’t find the water sample for this one</t>
  </si>
  <si>
    <t>UP9</t>
  </si>
  <si>
    <t>UP11</t>
  </si>
  <si>
    <t>UP14</t>
  </si>
  <si>
    <t>Downstream - Storm 5</t>
  </si>
  <si>
    <t xml:space="preserve">DOWN 2 </t>
  </si>
  <si>
    <t>DOWN 3</t>
  </si>
  <si>
    <t>DOWN 4</t>
  </si>
  <si>
    <t>DOWN 5</t>
  </si>
  <si>
    <t>Upstream - Storm 5</t>
  </si>
  <si>
    <t>UP8</t>
  </si>
  <si>
    <t>UP10</t>
  </si>
  <si>
    <t>UP12</t>
  </si>
  <si>
    <t>UP13</t>
  </si>
  <si>
    <t>UT-07-27-23</t>
  </si>
  <si>
    <t>UM-07-27-23</t>
  </si>
  <si>
    <t>UB-07-27-23</t>
  </si>
  <si>
    <t>LT-07-27-23</t>
  </si>
  <si>
    <t>LM-07-27-23</t>
  </si>
  <si>
    <t>LB-07-27-23</t>
  </si>
  <si>
    <t>UT-08-08-23</t>
  </si>
  <si>
    <t>UM-08-08-23</t>
  </si>
  <si>
    <t>UB-08-08-23</t>
  </si>
  <si>
    <t>LT-08-08-23</t>
  </si>
  <si>
    <t>LM-08-08-23</t>
  </si>
  <si>
    <t>Upstream - Storm 6 (only upstream avaliable)</t>
  </si>
  <si>
    <t>Sediment Samples</t>
  </si>
  <si>
    <t>Location</t>
  </si>
  <si>
    <t>Up - Top</t>
  </si>
  <si>
    <t>Up - Middle</t>
  </si>
  <si>
    <t>Up - Bottom</t>
  </si>
  <si>
    <t>Lower - Top</t>
  </si>
  <si>
    <t>Lower - Middle</t>
  </si>
  <si>
    <t>Lower - Bottom</t>
  </si>
  <si>
    <t>WSE estimated</t>
  </si>
  <si>
    <t>there were solids in this one</t>
  </si>
  <si>
    <t>466 &amp; 441- used a big bottle, no little bottle</t>
  </si>
  <si>
    <t>discharge on x, TDP on y</t>
  </si>
  <si>
    <t>PO4 mg/L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</si>
</sst>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22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22" fontId="0" fillId="3" borderId="1" xfId="0" applyNumberFormat="1" applyFill="1" applyBorder="1" applyAlignment="1">
      <alignment horizontal="center"/>
    </xf>
    <xf numFmtId="0" fontId="0" fillId="3" borderId="0" xfId="0" applyFill="1"/>
    <xf numFmtId="0" fontId="0" fillId="2" borderId="0" xfId="0" applyFill="1"/>
    <xf numFmtId="164" fontId="0" fillId="3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165" fontId="0" fillId="4" borderId="2" xfId="0" applyNumberForma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165" fontId="0" fillId="5" borderId="2" xfId="0" applyNumberForma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0" xfId="0" applyFill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Storm - 08/13/2023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 8/13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19050">
                <a:solidFill>
                  <a:srgbClr val="7030A0"/>
                </a:solidFill>
              </a:ln>
              <a:effectLst/>
            </c:spPr>
          </c:marker>
          <c:xVal>
            <c:numRef>
              <c:f>Sheet1!$I$11:$I$22</c:f>
              <c:numCache>
                <c:formatCode>m/d/yyyy\ h:mm</c:formatCode>
                <c:ptCount val="12"/>
                <c:pt idx="0">
                  <c:v>45151.78125</c:v>
                </c:pt>
                <c:pt idx="1">
                  <c:v>45151.791666666664</c:v>
                </c:pt>
                <c:pt idx="2">
                  <c:v>45151.802083333336</c:v>
                </c:pt>
                <c:pt idx="3">
                  <c:v>45151.8125</c:v>
                </c:pt>
                <c:pt idx="4">
                  <c:v>45151.822916666664</c:v>
                </c:pt>
                <c:pt idx="5">
                  <c:v>45151.833333333336</c:v>
                </c:pt>
                <c:pt idx="6">
                  <c:v>45151.84375</c:v>
                </c:pt>
                <c:pt idx="7">
                  <c:v>45151.854166666664</c:v>
                </c:pt>
                <c:pt idx="8">
                  <c:v>45151.864583333336</c:v>
                </c:pt>
                <c:pt idx="9">
                  <c:v>45151.875</c:v>
                </c:pt>
                <c:pt idx="10">
                  <c:v>45151.885416666664</c:v>
                </c:pt>
                <c:pt idx="11">
                  <c:v>45151.895833333336</c:v>
                </c:pt>
              </c:numCache>
            </c:numRef>
          </c:xVal>
          <c:yVal>
            <c:numRef>
              <c:f>Sheet1!$K$11:$K$22</c:f>
              <c:numCache>
                <c:formatCode>0.0000</c:formatCode>
                <c:ptCount val="12"/>
                <c:pt idx="0">
                  <c:v>2724.2422339999998</c:v>
                </c:pt>
                <c:pt idx="1">
                  <c:v>2724.2387349999999</c:v>
                </c:pt>
                <c:pt idx="2">
                  <c:v>2724.2387349999999</c:v>
                </c:pt>
                <c:pt idx="3">
                  <c:v>2724.2358260000001</c:v>
                </c:pt>
                <c:pt idx="4">
                  <c:v>2724.2323270000002</c:v>
                </c:pt>
                <c:pt idx="5">
                  <c:v>2724.2323580000002</c:v>
                </c:pt>
                <c:pt idx="6">
                  <c:v>2724.2357999999999</c:v>
                </c:pt>
                <c:pt idx="7">
                  <c:v>2724.2340669999999</c:v>
                </c:pt>
                <c:pt idx="8">
                  <c:v>2724.2387450000001</c:v>
                </c:pt>
                <c:pt idx="9">
                  <c:v>2724.2416539999999</c:v>
                </c:pt>
                <c:pt idx="10">
                  <c:v>2724.2387349999999</c:v>
                </c:pt>
                <c:pt idx="11">
                  <c:v>2724.2387349999999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F20-7441-8DC9-2C8D0889E03C}"/>
            </c:ext>
          </c:extLst>
        </c:ser>
        <c:ser>
          <c:idx val="0"/>
          <c:order val="1"/>
          <c:tx>
            <c:v>Hydrograph</c:v>
          </c:tx>
          <c:spPr>
            <a:ln w="19050" cap="rnd">
              <a:solidFill>
                <a:schemeClr val="accent4">
                  <a:shade val="6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'[1]Q 2023'!$A$15914:$A$15930</c:f>
              <c:numCache>
                <c:formatCode>General</c:formatCode>
                <c:ptCount val="17"/>
                <c:pt idx="0">
                  <c:v>45151.75</c:v>
                </c:pt>
                <c:pt idx="1">
                  <c:v>45151.760416666664</c:v>
                </c:pt>
                <c:pt idx="2">
                  <c:v>45151.770833333336</c:v>
                </c:pt>
                <c:pt idx="3">
                  <c:v>45151.78125</c:v>
                </c:pt>
                <c:pt idx="4">
                  <c:v>45151.791666666664</c:v>
                </c:pt>
                <c:pt idx="5">
                  <c:v>45151.802083333336</c:v>
                </c:pt>
                <c:pt idx="6">
                  <c:v>45151.8125</c:v>
                </c:pt>
                <c:pt idx="7">
                  <c:v>45151.822916666664</c:v>
                </c:pt>
                <c:pt idx="8">
                  <c:v>45151.833333333336</c:v>
                </c:pt>
                <c:pt idx="9">
                  <c:v>45151.84375</c:v>
                </c:pt>
                <c:pt idx="10">
                  <c:v>45151.854166666664</c:v>
                </c:pt>
                <c:pt idx="11">
                  <c:v>45151.864583333336</c:v>
                </c:pt>
                <c:pt idx="12">
                  <c:v>45151.875</c:v>
                </c:pt>
                <c:pt idx="13">
                  <c:v>45151.885416666664</c:v>
                </c:pt>
                <c:pt idx="14">
                  <c:v>45151.895833333336</c:v>
                </c:pt>
                <c:pt idx="15">
                  <c:v>45151.90625</c:v>
                </c:pt>
                <c:pt idx="16">
                  <c:v>45151.916666666664</c:v>
                </c:pt>
              </c:numCache>
            </c:numRef>
          </c:xVal>
          <c:yVal>
            <c:numRef>
              <c:f>'[1]Q 2023'!$E$15914:$E$15930</c:f>
              <c:numCache>
                <c:formatCode>General</c:formatCode>
                <c:ptCount val="17"/>
                <c:pt idx="0">
                  <c:v>2724.22532</c:v>
                </c:pt>
                <c:pt idx="1">
                  <c:v>2724.2235700000001</c:v>
                </c:pt>
                <c:pt idx="2">
                  <c:v>2724.2229900000002</c:v>
                </c:pt>
                <c:pt idx="3">
                  <c:v>2724.2422339999998</c:v>
                </c:pt>
                <c:pt idx="4">
                  <c:v>2724.2387349999999</c:v>
                </c:pt>
                <c:pt idx="5">
                  <c:v>2724.2387349999999</c:v>
                </c:pt>
                <c:pt idx="6">
                  <c:v>2724.2358260000001</c:v>
                </c:pt>
                <c:pt idx="7">
                  <c:v>2724.2323270000002</c:v>
                </c:pt>
                <c:pt idx="8">
                  <c:v>2724.2323270000002</c:v>
                </c:pt>
                <c:pt idx="9">
                  <c:v>2724.2358260000001</c:v>
                </c:pt>
                <c:pt idx="10">
                  <c:v>2724.2340669999999</c:v>
                </c:pt>
                <c:pt idx="11">
                  <c:v>2724.2387349999999</c:v>
                </c:pt>
                <c:pt idx="12">
                  <c:v>2724.2416539999999</c:v>
                </c:pt>
                <c:pt idx="13">
                  <c:v>2724.2387349999999</c:v>
                </c:pt>
                <c:pt idx="14">
                  <c:v>2724.2387349999999</c:v>
                </c:pt>
                <c:pt idx="15">
                  <c:v>2724.2323270000002</c:v>
                </c:pt>
                <c:pt idx="16">
                  <c:v>2724.2340770000001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F20-7441-8DC9-2C8D0889E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7234607"/>
        <c:axId val="1086377823"/>
      </c:scatterChart>
      <c:scatterChart>
        <c:scatterStyle val="smoothMarker"/>
        <c:varyColors val="0"/>
        <c:ser>
          <c:idx val="2"/>
          <c:order val="2"/>
          <c:tx>
            <c:v>TDP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(Sheet1!$I$3:$I$7,Sheet1!$I$11:$I$22)</c:f>
              <c:numCache>
                <c:formatCode>m/d/yyyy\ h:mm</c:formatCode>
                <c:ptCount val="17"/>
                <c:pt idx="0">
                  <c:v>45151.78125</c:v>
                </c:pt>
                <c:pt idx="1">
                  <c:v>45151.790277777778</c:v>
                </c:pt>
                <c:pt idx="2">
                  <c:v>45151.793055555558</c:v>
                </c:pt>
                <c:pt idx="3">
                  <c:v>45151.798611111109</c:v>
                </c:pt>
                <c:pt idx="4">
                  <c:v>45151.876388888886</c:v>
                </c:pt>
                <c:pt idx="5">
                  <c:v>45151.78125</c:v>
                </c:pt>
                <c:pt idx="6">
                  <c:v>45151.791666666664</c:v>
                </c:pt>
                <c:pt idx="7">
                  <c:v>45151.802083333336</c:v>
                </c:pt>
                <c:pt idx="8">
                  <c:v>45151.8125</c:v>
                </c:pt>
                <c:pt idx="9">
                  <c:v>45151.822916666664</c:v>
                </c:pt>
                <c:pt idx="10">
                  <c:v>45151.833333333336</c:v>
                </c:pt>
                <c:pt idx="11">
                  <c:v>45151.84375</c:v>
                </c:pt>
                <c:pt idx="12">
                  <c:v>45151.854166666664</c:v>
                </c:pt>
                <c:pt idx="13">
                  <c:v>45151.864583333336</c:v>
                </c:pt>
                <c:pt idx="14">
                  <c:v>45151.875</c:v>
                </c:pt>
                <c:pt idx="15">
                  <c:v>45151.885416666664</c:v>
                </c:pt>
                <c:pt idx="16">
                  <c:v>45151.895833333336</c:v>
                </c:pt>
              </c:numCache>
            </c:numRef>
          </c:xVal>
          <c:yVal>
            <c:numRef>
              <c:f>(Sheet1!$K$3:$K$7,Sheet1!$L$11:$L$22)</c:f>
              <c:numCache>
                <c:formatCode>General</c:formatCode>
                <c:ptCount val="17"/>
                <c:pt idx="0">
                  <c:v>6.83E-2</c:v>
                </c:pt>
                <c:pt idx="1">
                  <c:v>9.6100000000000005E-2</c:v>
                </c:pt>
                <c:pt idx="2">
                  <c:v>9.6799999999999997E-2</c:v>
                </c:pt>
                <c:pt idx="3">
                  <c:v>9.06E-2</c:v>
                </c:pt>
                <c:pt idx="4">
                  <c:v>3.9199999999999999E-2</c:v>
                </c:pt>
                <c:pt idx="5">
                  <c:v>7.1000000000000004E-3</c:v>
                </c:pt>
                <c:pt idx="6">
                  <c:v>8.2199999999999995E-2</c:v>
                </c:pt>
                <c:pt idx="7">
                  <c:v>5.8000000000000003E-2</c:v>
                </c:pt>
                <c:pt idx="8">
                  <c:v>5.79E-2</c:v>
                </c:pt>
                <c:pt idx="9">
                  <c:v>5.8299999999999998E-2</c:v>
                </c:pt>
                <c:pt idx="10">
                  <c:v>4.6899999999999997E-2</c:v>
                </c:pt>
                <c:pt idx="11">
                  <c:v>1.77E-2</c:v>
                </c:pt>
                <c:pt idx="12">
                  <c:v>3.1800000000000002E-2</c:v>
                </c:pt>
                <c:pt idx="13">
                  <c:v>4.8099999999999997E-2</c:v>
                </c:pt>
                <c:pt idx="14">
                  <c:v>1.8800000000000001E-2</c:v>
                </c:pt>
                <c:pt idx="15">
                  <c:v>6.4299999999999996E-2</c:v>
                </c:pt>
                <c:pt idx="16">
                  <c:v>3.4000000000000002E-2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86-2B42-86F3-959E75C08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9469871"/>
        <c:axId val="669138591"/>
      </c:scatterChart>
      <c:valAx>
        <c:axId val="1137234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409]h:mm\ AM/P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377823"/>
        <c:crosses val="autoZero"/>
        <c:crossBetween val="midCat"/>
        <c:majorUnit val="4.0000000000000008E-2"/>
      </c:valAx>
      <c:valAx>
        <c:axId val="108637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WSE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234607"/>
        <c:crosses val="autoZero"/>
        <c:crossBetween val="midCat"/>
      </c:valAx>
      <c:valAx>
        <c:axId val="66913859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469871"/>
        <c:crosses val="max"/>
        <c:crossBetween val="midCat"/>
      </c:valAx>
      <c:valAx>
        <c:axId val="689469871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669138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</a:t>
            </a:r>
            <a:r>
              <a:rPr lang="en-US" baseline="0"/>
              <a:t> - 07/29/2023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Hydrograph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'[1]Q 2023'!$A$14458:$A$14486</c:f>
              <c:numCache>
                <c:formatCode>General</c:formatCode>
                <c:ptCount val="29"/>
                <c:pt idx="0">
                  <c:v>45136.583333333336</c:v>
                </c:pt>
                <c:pt idx="1">
                  <c:v>45136.59375</c:v>
                </c:pt>
                <c:pt idx="2">
                  <c:v>45136.604166666664</c:v>
                </c:pt>
                <c:pt idx="3">
                  <c:v>45136.614583333336</c:v>
                </c:pt>
                <c:pt idx="4">
                  <c:v>45136.625</c:v>
                </c:pt>
                <c:pt idx="5">
                  <c:v>45136.635416666664</c:v>
                </c:pt>
                <c:pt idx="6">
                  <c:v>45136.645833333336</c:v>
                </c:pt>
                <c:pt idx="7">
                  <c:v>45136.65625</c:v>
                </c:pt>
                <c:pt idx="8">
                  <c:v>45136.666666666664</c:v>
                </c:pt>
                <c:pt idx="9">
                  <c:v>45136.677083333336</c:v>
                </c:pt>
                <c:pt idx="10">
                  <c:v>45136.6875</c:v>
                </c:pt>
                <c:pt idx="11">
                  <c:v>45136.697916666664</c:v>
                </c:pt>
                <c:pt idx="12">
                  <c:v>45136.708333333336</c:v>
                </c:pt>
                <c:pt idx="13">
                  <c:v>45136.71875</c:v>
                </c:pt>
                <c:pt idx="14">
                  <c:v>45136.729166666664</c:v>
                </c:pt>
                <c:pt idx="15">
                  <c:v>45136.739583333336</c:v>
                </c:pt>
                <c:pt idx="16">
                  <c:v>45136.75</c:v>
                </c:pt>
                <c:pt idx="17">
                  <c:v>45136.760416666664</c:v>
                </c:pt>
                <c:pt idx="18">
                  <c:v>45136.770833333336</c:v>
                </c:pt>
                <c:pt idx="19">
                  <c:v>45136.78125</c:v>
                </c:pt>
                <c:pt idx="20">
                  <c:v>45136.791666666664</c:v>
                </c:pt>
                <c:pt idx="21">
                  <c:v>45136.802083333336</c:v>
                </c:pt>
                <c:pt idx="22">
                  <c:v>45136.8125</c:v>
                </c:pt>
                <c:pt idx="23">
                  <c:v>45136.822916666664</c:v>
                </c:pt>
                <c:pt idx="24">
                  <c:v>45136.833333333336</c:v>
                </c:pt>
                <c:pt idx="25">
                  <c:v>45136.84375</c:v>
                </c:pt>
                <c:pt idx="26">
                  <c:v>45136.854166666664</c:v>
                </c:pt>
                <c:pt idx="27">
                  <c:v>45136.864583333336</c:v>
                </c:pt>
                <c:pt idx="28">
                  <c:v>45136.875</c:v>
                </c:pt>
              </c:numCache>
            </c:numRef>
          </c:xVal>
          <c:yVal>
            <c:numRef>
              <c:f>'[1]Q 2023'!$E$14458:$E$14486</c:f>
              <c:numCache>
                <c:formatCode>General</c:formatCode>
                <c:ptCount val="29"/>
                <c:pt idx="0">
                  <c:v>2724.2457330000002</c:v>
                </c:pt>
                <c:pt idx="1">
                  <c:v>2724.2492309999998</c:v>
                </c:pt>
                <c:pt idx="2">
                  <c:v>2724.2492309999998</c:v>
                </c:pt>
                <c:pt idx="3">
                  <c:v>2724.2585680000002</c:v>
                </c:pt>
                <c:pt idx="4">
                  <c:v>2724.2702239999999</c:v>
                </c:pt>
                <c:pt idx="5">
                  <c:v>2724.2702239999999</c:v>
                </c:pt>
                <c:pt idx="6">
                  <c:v>2724.2731330000001</c:v>
                </c:pt>
                <c:pt idx="7">
                  <c:v>2724.2719740000002</c:v>
                </c:pt>
                <c:pt idx="8">
                  <c:v>2724.2702239999999</c:v>
                </c:pt>
                <c:pt idx="9">
                  <c:v>2724.2673049999999</c:v>
                </c:pt>
                <c:pt idx="10">
                  <c:v>2724.2661360000002</c:v>
                </c:pt>
                <c:pt idx="11">
                  <c:v>2724.2608869999999</c:v>
                </c:pt>
                <c:pt idx="12">
                  <c:v>2724.259728</c:v>
                </c:pt>
                <c:pt idx="13">
                  <c:v>2724.2579780000001</c:v>
                </c:pt>
                <c:pt idx="14">
                  <c:v>2724.2562290000001</c:v>
                </c:pt>
                <c:pt idx="15">
                  <c:v>2724.2550590000001</c:v>
                </c:pt>
                <c:pt idx="16">
                  <c:v>2724.2521499999998</c:v>
                </c:pt>
                <c:pt idx="17">
                  <c:v>2724.2504009999998</c:v>
                </c:pt>
                <c:pt idx="18">
                  <c:v>2724.2504009999998</c:v>
                </c:pt>
                <c:pt idx="19">
                  <c:v>2724.2486520000002</c:v>
                </c:pt>
                <c:pt idx="20">
                  <c:v>2724.2492309999998</c:v>
                </c:pt>
                <c:pt idx="21">
                  <c:v>2724.2504009999998</c:v>
                </c:pt>
                <c:pt idx="22">
                  <c:v>2724.2486520000002</c:v>
                </c:pt>
                <c:pt idx="23">
                  <c:v>2724.2504009999998</c:v>
                </c:pt>
                <c:pt idx="24">
                  <c:v>2724.2486520000002</c:v>
                </c:pt>
                <c:pt idx="25">
                  <c:v>2724.2474820000002</c:v>
                </c:pt>
                <c:pt idx="26">
                  <c:v>2724.2445630000002</c:v>
                </c:pt>
                <c:pt idx="27">
                  <c:v>2724.2457330000002</c:v>
                </c:pt>
                <c:pt idx="28">
                  <c:v>2724.2457330000002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AC-2B4F-A6CE-F5CC3F88BFE6}"/>
            </c:ext>
          </c:extLst>
        </c:ser>
        <c:ser>
          <c:idx val="1"/>
          <c:order val="1"/>
          <c:tx>
            <c:v>UP 7/29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(Sheet1!$C$13:$C$18,Sheet1!$C$20:$C$22)</c:f>
              <c:numCache>
                <c:formatCode>m/d/yyyy\ h:mm</c:formatCode>
                <c:ptCount val="9"/>
                <c:pt idx="0">
                  <c:v>45136.636111111111</c:v>
                </c:pt>
                <c:pt idx="1">
                  <c:v>45136.646527777775</c:v>
                </c:pt>
                <c:pt idx="2">
                  <c:v>45136.656944444447</c:v>
                </c:pt>
                <c:pt idx="3">
                  <c:v>45136.667361111111</c:v>
                </c:pt>
                <c:pt idx="4">
                  <c:v>45136.677777777775</c:v>
                </c:pt>
                <c:pt idx="5">
                  <c:v>45136.688194444447</c:v>
                </c:pt>
                <c:pt idx="6">
                  <c:v>45136.719444444447</c:v>
                </c:pt>
                <c:pt idx="7">
                  <c:v>45136.740277777775</c:v>
                </c:pt>
                <c:pt idx="8">
                  <c:v>45136.771527777775</c:v>
                </c:pt>
              </c:numCache>
            </c:numRef>
          </c:xVal>
          <c:yVal>
            <c:numRef>
              <c:f>(Sheet1!$E$13:$E$18,Sheet1!$E$20:$E$22)</c:f>
              <c:numCache>
                <c:formatCode>0.0000</c:formatCode>
                <c:ptCount val="9"/>
                <c:pt idx="0">
                  <c:v>2724.2704058125</c:v>
                </c:pt>
                <c:pt idx="1">
                  <c:v>2724.2730557333334</c:v>
                </c:pt>
                <c:pt idx="2">
                  <c:v>2724.2719740000002</c:v>
                </c:pt>
                <c:pt idx="3">
                  <c:v>2724.2701999999999</c:v>
                </c:pt>
                <c:pt idx="4">
                  <c:v>2724.2673049999999</c:v>
                </c:pt>
                <c:pt idx="5">
                  <c:v>2724.2661360000002</c:v>
                </c:pt>
                <c:pt idx="6">
                  <c:v>2724.2579000000001</c:v>
                </c:pt>
                <c:pt idx="7">
                  <c:v>2724.2550500000002</c:v>
                </c:pt>
                <c:pt idx="8">
                  <c:v>2724.2504009999998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AC-2B4F-A6CE-F5CC3F88BFE6}"/>
            </c:ext>
          </c:extLst>
        </c:ser>
        <c:ser>
          <c:idx val="2"/>
          <c:order val="2"/>
          <c:tx>
            <c:v>DOWN 7/29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Sheet1!$C$3:$C$9</c:f>
              <c:numCache>
                <c:formatCode>m/d/yyyy\ h:mm</c:formatCode>
                <c:ptCount val="7"/>
                <c:pt idx="0">
                  <c:v>45136.619444444441</c:v>
                </c:pt>
                <c:pt idx="1">
                  <c:v>45136.629861111112</c:v>
                </c:pt>
                <c:pt idx="2">
                  <c:v>45136.640277777777</c:v>
                </c:pt>
                <c:pt idx="3">
                  <c:v>45136.650694444441</c:v>
                </c:pt>
                <c:pt idx="4">
                  <c:v>45136.661111111112</c:v>
                </c:pt>
                <c:pt idx="5">
                  <c:v>45136.671527777777</c:v>
                </c:pt>
                <c:pt idx="6">
                  <c:v>45136.681944444441</c:v>
                </c:pt>
              </c:numCache>
            </c:numRef>
          </c:xVal>
          <c:yVal>
            <c:numRef>
              <c:f>Sheet1!$E$3:$E$9</c:f>
              <c:numCache>
                <c:formatCode>0.0000</c:formatCode>
                <c:ptCount val="7"/>
                <c:pt idx="0" formatCode="General">
                  <c:v>2724.2586799999999</c:v>
                </c:pt>
                <c:pt idx="1">
                  <c:v>2724.2688617999997</c:v>
                </c:pt>
                <c:pt idx="2">
                  <c:v>2724.2715815333331</c:v>
                </c:pt>
                <c:pt idx="3">
                  <c:v>2724.2725921333335</c:v>
                </c:pt>
                <c:pt idx="4">
                  <c:v>2724.2627228000001</c:v>
                </c:pt>
                <c:pt idx="5">
                  <c:v>2724.2701999999999</c:v>
                </c:pt>
                <c:pt idx="6">
                  <c:v>2724.2661360000002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6AC-2B4F-A6CE-F5CC3F88B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6579791"/>
        <c:axId val="1386549391"/>
      </c:scatterChart>
      <c:scatterChart>
        <c:scatterStyle val="smoothMarker"/>
        <c:varyColors val="0"/>
        <c:ser>
          <c:idx val="3"/>
          <c:order val="3"/>
          <c:tx>
            <c:v>TDP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(Sheet1!$C$3:$C$9,Sheet1!$C$13:$C$22)</c:f>
              <c:numCache>
                <c:formatCode>m/d/yyyy\ h:mm</c:formatCode>
                <c:ptCount val="17"/>
                <c:pt idx="0">
                  <c:v>45136.619444444441</c:v>
                </c:pt>
                <c:pt idx="1">
                  <c:v>45136.629861111112</c:v>
                </c:pt>
                <c:pt idx="2">
                  <c:v>45136.640277777777</c:v>
                </c:pt>
                <c:pt idx="3">
                  <c:v>45136.650694444441</c:v>
                </c:pt>
                <c:pt idx="4">
                  <c:v>45136.661111111112</c:v>
                </c:pt>
                <c:pt idx="5">
                  <c:v>45136.671527777777</c:v>
                </c:pt>
                <c:pt idx="6">
                  <c:v>45136.681944444441</c:v>
                </c:pt>
                <c:pt idx="7">
                  <c:v>45136.636111111111</c:v>
                </c:pt>
                <c:pt idx="8">
                  <c:v>45136.646527777775</c:v>
                </c:pt>
                <c:pt idx="9">
                  <c:v>45136.656944444447</c:v>
                </c:pt>
                <c:pt idx="10">
                  <c:v>45136.667361111111</c:v>
                </c:pt>
                <c:pt idx="11">
                  <c:v>45136.677777777775</c:v>
                </c:pt>
                <c:pt idx="12">
                  <c:v>45136.688194444447</c:v>
                </c:pt>
                <c:pt idx="13">
                  <c:v>45136.698611111111</c:v>
                </c:pt>
                <c:pt idx="14">
                  <c:v>45136.719444444447</c:v>
                </c:pt>
                <c:pt idx="15">
                  <c:v>45136.740277777775</c:v>
                </c:pt>
                <c:pt idx="16">
                  <c:v>45136.771527777775</c:v>
                </c:pt>
              </c:numCache>
            </c:numRef>
          </c:xVal>
          <c:yVal>
            <c:numRef>
              <c:f>(Sheet1!$F$3:$F$9,Sheet1!$F$13:$F$22)</c:f>
              <c:numCache>
                <c:formatCode>General</c:formatCode>
                <c:ptCount val="17"/>
                <c:pt idx="0">
                  <c:v>1.89E-2</c:v>
                </c:pt>
                <c:pt idx="1">
                  <c:v>6.9500000000000006E-2</c:v>
                </c:pt>
                <c:pt idx="2">
                  <c:v>4.1099999999999998E-2</c:v>
                </c:pt>
                <c:pt idx="3">
                  <c:v>7.5700000000000003E-2</c:v>
                </c:pt>
                <c:pt idx="4">
                  <c:v>6.6299999999999998E-2</c:v>
                </c:pt>
                <c:pt idx="5">
                  <c:v>3.6499999999999998E-2</c:v>
                </c:pt>
                <c:pt idx="6">
                  <c:v>2.12E-2</c:v>
                </c:pt>
                <c:pt idx="7">
                  <c:v>1.04E-2</c:v>
                </c:pt>
                <c:pt idx="8">
                  <c:v>7.0000000000000007E-2</c:v>
                </c:pt>
                <c:pt idx="9">
                  <c:v>7.1599999999999997E-2</c:v>
                </c:pt>
                <c:pt idx="10">
                  <c:v>4.7199999999999999E-2</c:v>
                </c:pt>
                <c:pt idx="11">
                  <c:v>6.0499999999999998E-2</c:v>
                </c:pt>
                <c:pt idx="12">
                  <c:v>6.6199999999999995E-2</c:v>
                </c:pt>
                <c:pt idx="14">
                  <c:v>1.83E-2</c:v>
                </c:pt>
                <c:pt idx="15">
                  <c:v>1.9300000000000001E-2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4A-2F47-8505-827C6C873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382015"/>
        <c:axId val="669629855"/>
      </c:scatterChart>
      <c:valAx>
        <c:axId val="1546579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-409]h:mm\ AM/P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6549391"/>
        <c:crosses val="autoZero"/>
        <c:crossBetween val="midCat"/>
        <c:majorUnit val="6.0000000000000012E-2"/>
      </c:valAx>
      <c:valAx>
        <c:axId val="138654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WSE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579791"/>
        <c:crosses val="autoZero"/>
        <c:crossBetween val="midCat"/>
      </c:valAx>
      <c:valAx>
        <c:axId val="66962985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382015"/>
        <c:crosses val="max"/>
        <c:crossBetween val="midCat"/>
      </c:valAx>
      <c:valAx>
        <c:axId val="669382015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669629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Storm 8/28/23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Hydrograph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Sheet1!$O$3:$O$10</c:f>
              <c:numCache>
                <c:formatCode>m/d/yyyy\ h:mm</c:formatCode>
                <c:ptCount val="8"/>
                <c:pt idx="0">
                  <c:v>45166.513888888891</c:v>
                </c:pt>
                <c:pt idx="1">
                  <c:v>45166.524305555555</c:v>
                </c:pt>
                <c:pt idx="2">
                  <c:v>45166.534722222219</c:v>
                </c:pt>
                <c:pt idx="3">
                  <c:v>45166.545138888891</c:v>
                </c:pt>
                <c:pt idx="4">
                  <c:v>45166.555555555555</c:v>
                </c:pt>
                <c:pt idx="5">
                  <c:v>45166.586805555555</c:v>
                </c:pt>
                <c:pt idx="6">
                  <c:v>45166.607638888891</c:v>
                </c:pt>
                <c:pt idx="7">
                  <c:v>45166.638888888891</c:v>
                </c:pt>
              </c:numCache>
            </c:numRef>
          </c:xVal>
          <c:yVal>
            <c:numRef>
              <c:f>Sheet1!$P$3:$P$10</c:f>
              <c:numCache>
                <c:formatCode>0.000</c:formatCode>
                <c:ptCount val="8"/>
                <c:pt idx="0">
                  <c:v>20.3800000000228</c:v>
                </c:pt>
                <c:pt idx="1">
                  <c:v>20.2400000000125</c:v>
                </c:pt>
                <c:pt idx="2">
                  <c:v>20.119999999997098</c:v>
                </c:pt>
                <c:pt idx="3">
                  <c:v>20.0233333333471</c:v>
                </c:pt>
                <c:pt idx="4">
                  <c:v>19.946666666692099</c:v>
                </c:pt>
                <c:pt idx="5">
                  <c:v>19.660000000021601</c:v>
                </c:pt>
                <c:pt idx="6">
                  <c:v>20.0233333333471</c:v>
                </c:pt>
                <c:pt idx="7">
                  <c:v>19.286666666675899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B7-F34C-9B3B-540C7D83F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6295599"/>
        <c:axId val="736297311"/>
      </c:scatterChart>
      <c:scatterChart>
        <c:scatterStyle val="smoothMarker"/>
        <c:varyColors val="0"/>
        <c:ser>
          <c:idx val="1"/>
          <c:order val="1"/>
          <c:tx>
            <c:v>TDP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Sheet1!$O$3:$O$10</c:f>
              <c:numCache>
                <c:formatCode>m/d/yyyy\ h:mm</c:formatCode>
                <c:ptCount val="8"/>
                <c:pt idx="0">
                  <c:v>45166.513888888891</c:v>
                </c:pt>
                <c:pt idx="1">
                  <c:v>45166.524305555555</c:v>
                </c:pt>
                <c:pt idx="2">
                  <c:v>45166.534722222219</c:v>
                </c:pt>
                <c:pt idx="3">
                  <c:v>45166.545138888891</c:v>
                </c:pt>
                <c:pt idx="4">
                  <c:v>45166.555555555555</c:v>
                </c:pt>
                <c:pt idx="5">
                  <c:v>45166.586805555555</c:v>
                </c:pt>
                <c:pt idx="6">
                  <c:v>45166.607638888891</c:v>
                </c:pt>
                <c:pt idx="7">
                  <c:v>45166.638888888891</c:v>
                </c:pt>
              </c:numCache>
            </c:numRef>
          </c:xVal>
          <c:yVal>
            <c:numRef>
              <c:f>Sheet1!$Q$3:$Q$10</c:f>
              <c:numCache>
                <c:formatCode>General</c:formatCode>
                <c:ptCount val="8"/>
                <c:pt idx="0">
                  <c:v>5.8700000000000002E-2</c:v>
                </c:pt>
                <c:pt idx="1">
                  <c:v>0.12139999999999999</c:v>
                </c:pt>
                <c:pt idx="2">
                  <c:v>2.3699999999999999E-2</c:v>
                </c:pt>
                <c:pt idx="3">
                  <c:v>9.7699999999999995E-2</c:v>
                </c:pt>
                <c:pt idx="4">
                  <c:v>0.17730000000000001</c:v>
                </c:pt>
                <c:pt idx="6">
                  <c:v>6.9000000000000006E-2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D8-294C-94E9-4111E10B9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212351"/>
        <c:axId val="342846511"/>
      </c:scatterChart>
      <c:valAx>
        <c:axId val="736295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409]h:mm\ AM/P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297311"/>
        <c:crosses val="autoZero"/>
        <c:crossBetween val="midCat"/>
      </c:valAx>
      <c:valAx>
        <c:axId val="73629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295599"/>
        <c:crosses val="autoZero"/>
        <c:crossBetween val="midCat"/>
      </c:valAx>
      <c:valAx>
        <c:axId val="34284651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12351"/>
        <c:crosses val="max"/>
        <c:crossBetween val="midCat"/>
      </c:valAx>
      <c:valAx>
        <c:axId val="649212351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342846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177800</xdr:colOff>
      <xdr:row>28</xdr:row>
      <xdr:rowOff>12700</xdr:rowOff>
    </xdr:from>
    <xdr:to>
      <xdr:col>6</xdr:col>
      <xdr:colOff>996950</xdr:colOff>
      <xdr:row>44</xdr:row>
      <xdr:rowOff>139915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B14F5E-571E-614E-8788-B1080934E5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1460500</xdr:colOff>
      <xdr:row>27</xdr:row>
      <xdr:rowOff>152400</xdr:rowOff>
    </xdr:from>
    <xdr:to>
      <xdr:col>13</xdr:col>
      <xdr:colOff>609600</xdr:colOff>
      <xdr:row>41</xdr:row>
      <xdr:rowOff>35608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9C8F68-0FB3-5649-87D9-EC28799593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6350</xdr:colOff>
      <xdr:row>28</xdr:row>
      <xdr:rowOff>69850</xdr:rowOff>
    </xdr:from>
    <xdr:to>
      <xdr:col>19</xdr:col>
      <xdr:colOff>419100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03363E-4E17-1333-F983-5D41704EBD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huck4481/Documents/GitHub/La_Jara/Rating%20Curve/LaJara_RatingCurve_Definitive.xlsx" TargetMode="External"/><Relationship Id="rId2" Type="http://schemas.openxmlformats.org/officeDocument/2006/relationships/externalLinkPath" Target="file:///C:\Users\huck4481\Documents\GitHub\La_Jara\Rating%20Curve\LaJara_RatingCurve_Definitive.xlsx" TargetMode="External"/><Relationship Id="rId1" Type="http://schemas.openxmlformats.org/officeDocument/2006/relationships/externalLinkPath" Target="/Users/huck4481/Documents/GitHub/La_Jara/Rating%20Curve/LaJara_RatingCurve_Definitiv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ating curve"/>
      <sheetName val="Q 2021"/>
      <sheetName val="Q 2022"/>
      <sheetName val="Q 2023"/>
    </sheetNames>
    <sheetDataSet>
      <sheetData sheetId="0"/>
      <sheetData sheetId="1"/>
      <sheetData sheetId="2"/>
      <sheetData sheetId="3">
        <row r="14458">
          <cell r="A14458">
            <v>45136.583333333336</v>
          </cell>
          <cell r="E14458">
            <v>2724.2457330000002</v>
          </cell>
        </row>
        <row r="14459">
          <cell r="A14459">
            <v>45136.59375</v>
          </cell>
          <cell r="E14459">
            <v>2724.2492309999998</v>
          </cell>
        </row>
        <row r="14460">
          <cell r="A14460">
            <v>45136.604166666664</v>
          </cell>
          <cell r="E14460">
            <v>2724.2492309999998</v>
          </cell>
        </row>
        <row r="14461">
          <cell r="A14461">
            <v>45136.614583333336</v>
          </cell>
          <cell r="E14461">
            <v>2724.2585680000002</v>
          </cell>
        </row>
        <row r="14462">
          <cell r="A14462">
            <v>45136.625</v>
          </cell>
          <cell r="E14462">
            <v>2724.2702239999999</v>
          </cell>
        </row>
        <row r="14463">
          <cell r="A14463">
            <v>45136.635416666664</v>
          </cell>
          <cell r="E14463">
            <v>2724.2702239999999</v>
          </cell>
        </row>
        <row r="14464">
          <cell r="A14464">
            <v>45136.645833333336</v>
          </cell>
          <cell r="E14464">
            <v>2724.2731330000001</v>
          </cell>
        </row>
        <row r="14465">
          <cell r="A14465">
            <v>45136.65625</v>
          </cell>
          <cell r="E14465">
            <v>2724.2719740000002</v>
          </cell>
        </row>
        <row r="14466">
          <cell r="A14466">
            <v>45136.666666666664</v>
          </cell>
          <cell r="E14466">
            <v>2724.2702239999999</v>
          </cell>
        </row>
        <row r="14467">
          <cell r="A14467">
            <v>45136.677083333336</v>
          </cell>
          <cell r="E14467">
            <v>2724.2673049999999</v>
          </cell>
        </row>
        <row r="14468">
          <cell r="A14468">
            <v>45136.6875</v>
          </cell>
          <cell r="E14468">
            <v>2724.2661360000002</v>
          </cell>
        </row>
        <row r="14469">
          <cell r="A14469">
            <v>45136.697916666664</v>
          </cell>
          <cell r="E14469">
            <v>2724.2608869999999</v>
          </cell>
        </row>
        <row r="14470">
          <cell r="A14470">
            <v>45136.708333333336</v>
          </cell>
          <cell r="E14470">
            <v>2724.259728</v>
          </cell>
        </row>
        <row r="14471">
          <cell r="A14471">
            <v>45136.71875</v>
          </cell>
          <cell r="E14471">
            <v>2724.2579780000001</v>
          </cell>
        </row>
        <row r="14472">
          <cell r="A14472">
            <v>45136.729166666664</v>
          </cell>
          <cell r="E14472">
            <v>2724.2562290000001</v>
          </cell>
        </row>
        <row r="14473">
          <cell r="A14473">
            <v>45136.739583333336</v>
          </cell>
          <cell r="E14473">
            <v>2724.2550590000001</v>
          </cell>
        </row>
        <row r="14474">
          <cell r="A14474">
            <v>45136.75</v>
          </cell>
          <cell r="E14474">
            <v>2724.2521499999998</v>
          </cell>
        </row>
        <row r="14475">
          <cell r="A14475">
            <v>45136.760416666664</v>
          </cell>
          <cell r="E14475">
            <v>2724.2504009999998</v>
          </cell>
        </row>
        <row r="14476">
          <cell r="A14476">
            <v>45136.770833333336</v>
          </cell>
          <cell r="E14476">
            <v>2724.2504009999998</v>
          </cell>
        </row>
        <row r="14477">
          <cell r="A14477">
            <v>45136.78125</v>
          </cell>
          <cell r="E14477">
            <v>2724.2486520000002</v>
          </cell>
        </row>
        <row r="14478">
          <cell r="A14478">
            <v>45136.791666666664</v>
          </cell>
          <cell r="E14478">
            <v>2724.2492309999998</v>
          </cell>
        </row>
        <row r="14479">
          <cell r="A14479">
            <v>45136.802083333336</v>
          </cell>
          <cell r="E14479">
            <v>2724.2504009999998</v>
          </cell>
        </row>
        <row r="14480">
          <cell r="A14480">
            <v>45136.8125</v>
          </cell>
          <cell r="E14480">
            <v>2724.2486520000002</v>
          </cell>
        </row>
        <row r="14481">
          <cell r="A14481">
            <v>45136.822916666664</v>
          </cell>
          <cell r="E14481">
            <v>2724.2504009999998</v>
          </cell>
        </row>
        <row r="14482">
          <cell r="A14482">
            <v>45136.833333333336</v>
          </cell>
          <cell r="E14482">
            <v>2724.2486520000002</v>
          </cell>
        </row>
        <row r="14483">
          <cell r="A14483">
            <v>45136.84375</v>
          </cell>
          <cell r="E14483">
            <v>2724.2474820000002</v>
          </cell>
        </row>
        <row r="14484">
          <cell r="A14484">
            <v>45136.854166666664</v>
          </cell>
          <cell r="E14484">
            <v>2724.2445630000002</v>
          </cell>
        </row>
        <row r="14485">
          <cell r="A14485">
            <v>45136.864583333336</v>
          </cell>
          <cell r="E14485">
            <v>2724.2457330000002</v>
          </cell>
        </row>
        <row r="14486">
          <cell r="A14486">
            <v>45136.875</v>
          </cell>
          <cell r="E14486">
            <v>2724.2457330000002</v>
          </cell>
        </row>
        <row r="15914">
          <cell r="A15914">
            <v>45151.75</v>
          </cell>
          <cell r="E15914">
            <v>2724.22532</v>
          </cell>
        </row>
        <row r="15915">
          <cell r="A15915">
            <v>45151.760416666664</v>
          </cell>
          <cell r="E15915">
            <v>2724.2235700000001</v>
          </cell>
        </row>
        <row r="15916">
          <cell r="A15916">
            <v>45151.770833333336</v>
          </cell>
          <cell r="E15916">
            <v>2724.2229900000002</v>
          </cell>
        </row>
        <row r="15917">
          <cell r="A15917">
            <v>45151.78125</v>
          </cell>
          <cell r="E15917">
            <v>2724.2422339999998</v>
          </cell>
        </row>
        <row r="15918">
          <cell r="A15918">
            <v>45151.791666666664</v>
          </cell>
          <cell r="E15918">
            <v>2724.2387349999999</v>
          </cell>
        </row>
        <row r="15919">
          <cell r="A15919">
            <v>45151.802083333336</v>
          </cell>
          <cell r="E15919">
            <v>2724.2387349999999</v>
          </cell>
        </row>
        <row r="15920">
          <cell r="A15920">
            <v>45151.8125</v>
          </cell>
          <cell r="E15920">
            <v>2724.2358260000001</v>
          </cell>
        </row>
        <row r="15921">
          <cell r="A15921">
            <v>45151.822916666664</v>
          </cell>
          <cell r="E15921">
            <v>2724.2323270000002</v>
          </cell>
        </row>
        <row r="15922">
          <cell r="A15922">
            <v>45151.833333333336</v>
          </cell>
          <cell r="E15922">
            <v>2724.2323270000002</v>
          </cell>
        </row>
        <row r="15923">
          <cell r="A15923">
            <v>45151.84375</v>
          </cell>
          <cell r="E15923">
            <v>2724.2358260000001</v>
          </cell>
        </row>
        <row r="15924">
          <cell r="A15924">
            <v>45151.854166666664</v>
          </cell>
          <cell r="E15924">
            <v>2724.2340669999999</v>
          </cell>
        </row>
        <row r="15925">
          <cell r="A15925">
            <v>45151.864583333336</v>
          </cell>
          <cell r="E15925">
            <v>2724.2387349999999</v>
          </cell>
        </row>
        <row r="15926">
          <cell r="A15926">
            <v>45151.875</v>
          </cell>
          <cell r="E15926">
            <v>2724.2416539999999</v>
          </cell>
        </row>
        <row r="15927">
          <cell r="A15927">
            <v>45151.885416666664</v>
          </cell>
          <cell r="E15927">
            <v>2724.2387349999999</v>
          </cell>
        </row>
        <row r="15928">
          <cell r="A15928">
            <v>45151.895833333336</v>
          </cell>
          <cell r="E15928">
            <v>2724.2387349999999</v>
          </cell>
        </row>
        <row r="15929">
          <cell r="A15929">
            <v>45151.90625</v>
          </cell>
          <cell r="E15929">
            <v>2724.2323270000002</v>
          </cell>
        </row>
        <row r="15930">
          <cell r="A15930">
            <v>45151.916666666664</v>
          </cell>
          <cell r="E15930">
            <v>2724.2340770000001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81370-EC40-49B3-8AA1-9AB9CFE4D01C}">
  <dimension ref="A1:R47"/>
  <sheetViews>
    <sheetView tabSelected="1" zoomScale="115" zoomScaleNormal="115" workbookViewId="0">
      <selection activeCell="K10" sqref="K10"/>
    </sheetView>
  </sheetViews>
  <sheetFormatPr defaultColWidth="8.85546875" defaultRowHeight="15" x14ac:dyDescent="0.25"/>
  <cols>
    <col min="1" max="1" width="19" customWidth="1"/>
    <col min="2" max="2" width="8.85546875" customWidth="1"/>
    <col min="3" max="3" width="16.85546875" customWidth="1"/>
    <col min="4" max="4" width="18" customWidth="1"/>
    <col min="5" max="5" width="11.28515625" bestFit="1" customWidth="1"/>
    <col min="6" max="6" width="11.28515625" customWidth="1"/>
    <col min="7" max="7" width="19.7109375" customWidth="1"/>
    <col min="9" max="9" width="19.85546875" customWidth="1"/>
    <col min="10" max="10" width="17" customWidth="1"/>
    <col min="11" max="11" width="13.140625" bestFit="1" customWidth="1"/>
    <col min="12" max="12" width="9.7109375" customWidth="1"/>
    <col min="13" max="13" width="18.42578125" customWidth="1"/>
    <col min="14" max="14" width="9.42578125" customWidth="1"/>
    <col min="15" max="15" width="16.7109375" customWidth="1"/>
    <col min="16" max="16" width="19.42578125" customWidth="1"/>
    <col min="19" max="19" width="16.7109375" customWidth="1"/>
  </cols>
  <sheetData>
    <row r="1" spans="1:18" x14ac:dyDescent="0.25">
      <c r="A1" s="21" t="s">
        <v>3</v>
      </c>
      <c r="B1" s="21"/>
      <c r="C1" s="21"/>
      <c r="D1" s="21"/>
      <c r="G1" s="21" t="s">
        <v>28</v>
      </c>
      <c r="H1" s="21"/>
      <c r="I1" s="21"/>
      <c r="J1" s="21"/>
      <c r="M1" s="21" t="s">
        <v>49</v>
      </c>
      <c r="N1" s="21"/>
      <c r="O1" s="21"/>
      <c r="P1" s="21"/>
    </row>
    <row r="2" spans="1:18" x14ac:dyDescent="0.25">
      <c r="A2" s="2" t="s">
        <v>0</v>
      </c>
      <c r="B2" s="2" t="s">
        <v>2</v>
      </c>
      <c r="C2" s="2" t="s">
        <v>1</v>
      </c>
      <c r="D2" s="2" t="s">
        <v>9</v>
      </c>
      <c r="E2" s="15" t="s">
        <v>58</v>
      </c>
      <c r="F2" s="15" t="s">
        <v>62</v>
      </c>
      <c r="G2" s="2" t="s">
        <v>0</v>
      </c>
      <c r="H2" s="2" t="s">
        <v>2</v>
      </c>
      <c r="I2" s="2" t="s">
        <v>1</v>
      </c>
      <c r="J2" s="2" t="s">
        <v>9</v>
      </c>
      <c r="K2" s="15" t="s">
        <v>62</v>
      </c>
      <c r="M2" s="2" t="s">
        <v>0</v>
      </c>
      <c r="N2" s="2" t="s">
        <v>2</v>
      </c>
      <c r="O2" s="2" t="s">
        <v>1</v>
      </c>
      <c r="P2" s="2" t="s">
        <v>9</v>
      </c>
      <c r="Q2" s="15" t="s">
        <v>62</v>
      </c>
    </row>
    <row r="3" spans="1:18" x14ac:dyDescent="0.25">
      <c r="A3" s="5" t="s">
        <v>8</v>
      </c>
      <c r="B3" s="5">
        <v>439</v>
      </c>
      <c r="C3" s="6">
        <v>45136.619444444441</v>
      </c>
      <c r="D3" s="9">
        <v>21.601333333364799</v>
      </c>
      <c r="E3">
        <v>2724.2586799999999</v>
      </c>
      <c r="F3" s="20">
        <v>1.89E-2</v>
      </c>
      <c r="G3" s="3" t="s">
        <v>29</v>
      </c>
      <c r="H3" s="3">
        <v>456</v>
      </c>
      <c r="I3" s="4">
        <v>45151.78125</v>
      </c>
      <c r="J3" s="10">
        <v>19.420000000036399</v>
      </c>
      <c r="K3" s="20">
        <v>6.83E-2</v>
      </c>
      <c r="M3" s="5" t="s">
        <v>16</v>
      </c>
      <c r="N3" s="5">
        <v>476</v>
      </c>
      <c r="O3" s="6">
        <v>45166.513888888891</v>
      </c>
      <c r="P3" s="9">
        <v>20.3800000000228</v>
      </c>
      <c r="Q3" s="20">
        <v>5.8700000000000002E-2</v>
      </c>
    </row>
    <row r="4" spans="1:18" x14ac:dyDescent="0.25">
      <c r="A4" s="3" t="s">
        <v>4</v>
      </c>
      <c r="B4" s="3">
        <v>440</v>
      </c>
      <c r="C4" s="4">
        <v>45136.629861111112</v>
      </c>
      <c r="D4" s="10">
        <v>22.220000000015698</v>
      </c>
      <c r="E4" s="16">
        <v>2724.2688617999997</v>
      </c>
      <c r="F4" s="20">
        <v>6.9500000000000006E-2</v>
      </c>
      <c r="G4" s="3" t="s">
        <v>30</v>
      </c>
      <c r="H4" s="3">
        <v>457</v>
      </c>
      <c r="I4" s="4">
        <v>45151.790277777778</v>
      </c>
      <c r="J4" s="10">
        <v>19.116666666695799</v>
      </c>
      <c r="K4" s="20">
        <v>9.6100000000000005E-2</v>
      </c>
      <c r="M4" s="5" t="s">
        <v>17</v>
      </c>
      <c r="N4" s="5">
        <v>477</v>
      </c>
      <c r="O4" s="6">
        <v>45166.524305555555</v>
      </c>
      <c r="P4" s="9">
        <v>20.2400000000125</v>
      </c>
      <c r="Q4" s="20">
        <v>0.12139999999999999</v>
      </c>
    </row>
    <row r="5" spans="1:18" x14ac:dyDescent="0.25">
      <c r="A5" s="19" t="s">
        <v>5</v>
      </c>
      <c r="B5" s="19">
        <v>441</v>
      </c>
      <c r="C5" s="4">
        <v>45136.640277777777</v>
      </c>
      <c r="D5" s="10">
        <v>22.3553333333256</v>
      </c>
      <c r="E5" s="16">
        <v>2724.2715815333331</v>
      </c>
      <c r="F5" s="20">
        <v>4.1099999999999998E-2</v>
      </c>
      <c r="G5" s="3" t="s">
        <v>31</v>
      </c>
      <c r="H5" s="3">
        <v>458</v>
      </c>
      <c r="I5" s="4">
        <v>45151.793055555558</v>
      </c>
      <c r="J5" s="10">
        <v>19.070000000010602</v>
      </c>
      <c r="K5" s="20">
        <v>9.6799999999999997E-2</v>
      </c>
      <c r="M5" s="5" t="s">
        <v>18</v>
      </c>
      <c r="N5" s="5">
        <v>478</v>
      </c>
      <c r="O5" s="6">
        <v>45166.534722222219</v>
      </c>
      <c r="P5" s="9">
        <v>20.119999999997098</v>
      </c>
      <c r="Q5" s="20">
        <v>2.3699999999999999E-2</v>
      </c>
    </row>
    <row r="6" spans="1:18" x14ac:dyDescent="0.25">
      <c r="A6" s="3" t="s">
        <v>6</v>
      </c>
      <c r="B6" s="3">
        <v>442</v>
      </c>
      <c r="C6" s="4">
        <v>45136.650694444441</v>
      </c>
      <c r="D6" s="10">
        <v>22.458666666670901</v>
      </c>
      <c r="E6" s="16">
        <v>2724.2725921333335</v>
      </c>
      <c r="F6" s="20">
        <v>7.5700000000000003E-2</v>
      </c>
      <c r="G6" s="3" t="s">
        <v>32</v>
      </c>
      <c r="H6" s="3">
        <v>459</v>
      </c>
      <c r="I6" s="4">
        <v>45151.798611111109</v>
      </c>
      <c r="J6" s="10">
        <v>19.070000000010602</v>
      </c>
      <c r="K6" s="20">
        <v>9.06E-2</v>
      </c>
      <c r="M6" s="5" t="s">
        <v>21</v>
      </c>
      <c r="N6" s="5">
        <v>479</v>
      </c>
      <c r="O6" s="6">
        <v>45166.545138888891</v>
      </c>
      <c r="P6" s="9">
        <v>20.0233333333471</v>
      </c>
      <c r="Q6" s="20">
        <v>9.7699999999999995E-2</v>
      </c>
    </row>
    <row r="7" spans="1:18" x14ac:dyDescent="0.25">
      <c r="A7" s="3" t="s">
        <v>7</v>
      </c>
      <c r="B7" s="3">
        <v>443</v>
      </c>
      <c r="C7" s="4">
        <v>45136.661111111112</v>
      </c>
      <c r="D7" s="10">
        <v>22.316000000000699</v>
      </c>
      <c r="E7" s="16">
        <v>2724.2627228000001</v>
      </c>
      <c r="F7" s="20">
        <v>6.6299999999999998E-2</v>
      </c>
      <c r="G7" s="3" t="s">
        <v>10</v>
      </c>
      <c r="H7" s="3">
        <v>460</v>
      </c>
      <c r="I7" s="4">
        <v>45151.876388888886</v>
      </c>
      <c r="J7" s="10">
        <v>19.3300000000363</v>
      </c>
      <c r="K7" s="20">
        <v>3.9199999999999999E-2</v>
      </c>
      <c r="M7" s="5" t="s">
        <v>19</v>
      </c>
      <c r="N7" s="5">
        <v>480</v>
      </c>
      <c r="O7" s="6">
        <v>45166.555555555555</v>
      </c>
      <c r="P7" s="9">
        <v>19.946666666692099</v>
      </c>
      <c r="Q7" s="20">
        <v>0.17730000000000001</v>
      </c>
    </row>
    <row r="8" spans="1:18" x14ac:dyDescent="0.25">
      <c r="A8" s="5" t="s">
        <v>10</v>
      </c>
      <c r="B8" s="5">
        <v>444</v>
      </c>
      <c r="C8" s="6">
        <v>45136.671527777777</v>
      </c>
      <c r="D8" s="9">
        <v>22.084666666705701</v>
      </c>
      <c r="E8" s="17">
        <v>2724.2701999999999</v>
      </c>
      <c r="F8" s="20">
        <v>3.6499999999999998E-2</v>
      </c>
      <c r="M8" s="18" t="s">
        <v>34</v>
      </c>
      <c r="N8" s="18">
        <v>481</v>
      </c>
      <c r="O8" s="6">
        <v>45166.586805555555</v>
      </c>
      <c r="P8" s="9">
        <v>19.660000000021601</v>
      </c>
    </row>
    <row r="9" spans="1:18" x14ac:dyDescent="0.25">
      <c r="A9" s="5" t="s">
        <v>11</v>
      </c>
      <c r="B9" s="5">
        <v>445</v>
      </c>
      <c r="C9" s="6">
        <v>45136.681944444441</v>
      </c>
      <c r="D9" s="9">
        <v>21.874000000025202</v>
      </c>
      <c r="E9" s="16">
        <v>2724.2661360000002</v>
      </c>
      <c r="F9" s="20">
        <v>2.12E-2</v>
      </c>
      <c r="G9" s="21" t="s">
        <v>33</v>
      </c>
      <c r="H9" s="21"/>
      <c r="I9" s="21"/>
      <c r="J9" s="21"/>
      <c r="M9" s="5" t="s">
        <v>35</v>
      </c>
      <c r="N9" s="5">
        <v>482</v>
      </c>
      <c r="O9" s="6">
        <v>45166.607638888891</v>
      </c>
      <c r="P9" s="9">
        <v>20.0233333333471</v>
      </c>
      <c r="Q9" s="20">
        <v>6.9000000000000006E-2</v>
      </c>
    </row>
    <row r="10" spans="1:18" x14ac:dyDescent="0.25">
      <c r="G10" s="2" t="s">
        <v>0</v>
      </c>
      <c r="H10" s="2" t="s">
        <v>2</v>
      </c>
      <c r="I10" s="2" t="s">
        <v>1</v>
      </c>
      <c r="J10" s="2" t="s">
        <v>9</v>
      </c>
      <c r="K10" s="14" t="s">
        <v>58</v>
      </c>
      <c r="L10" s="15" t="s">
        <v>62</v>
      </c>
      <c r="M10" s="5" t="s">
        <v>37</v>
      </c>
      <c r="N10" s="5">
        <v>483</v>
      </c>
      <c r="O10" s="6">
        <v>45166.638888888891</v>
      </c>
      <c r="P10" s="9">
        <v>19.286666666675899</v>
      </c>
      <c r="Q10" s="20"/>
      <c r="R10" t="s">
        <v>59</v>
      </c>
    </row>
    <row r="11" spans="1:18" x14ac:dyDescent="0.25">
      <c r="A11" s="21" t="s">
        <v>14</v>
      </c>
      <c r="B11" s="21"/>
      <c r="C11" s="21"/>
      <c r="D11" s="21"/>
      <c r="G11" s="3" t="s">
        <v>16</v>
      </c>
      <c r="H11" s="3">
        <v>461</v>
      </c>
      <c r="I11" s="4">
        <v>45151.78125</v>
      </c>
      <c r="J11" s="3">
        <v>19.420000000036399</v>
      </c>
      <c r="K11" s="12">
        <v>2724.2422339999998</v>
      </c>
      <c r="L11" s="20">
        <v>7.1000000000000004E-3</v>
      </c>
    </row>
    <row r="12" spans="1:18" x14ac:dyDescent="0.25">
      <c r="A12" s="2" t="s">
        <v>0</v>
      </c>
      <c r="B12" s="2" t="s">
        <v>2</v>
      </c>
      <c r="C12" s="2" t="s">
        <v>1</v>
      </c>
      <c r="D12" s="2" t="s">
        <v>9</v>
      </c>
      <c r="E12" s="15" t="s">
        <v>58</v>
      </c>
      <c r="F12" s="15"/>
      <c r="G12" s="3" t="s">
        <v>17</v>
      </c>
      <c r="H12" s="3">
        <v>462</v>
      </c>
      <c r="I12" s="4">
        <v>45151.791666666664</v>
      </c>
      <c r="J12" s="3">
        <v>19.070000000010602</v>
      </c>
      <c r="K12" s="12">
        <v>2724.2387349999999</v>
      </c>
      <c r="L12" s="20">
        <v>8.2199999999999995E-2</v>
      </c>
    </row>
    <row r="13" spans="1:18" x14ac:dyDescent="0.25">
      <c r="A13" s="3" t="s">
        <v>16</v>
      </c>
      <c r="B13" s="3">
        <v>446</v>
      </c>
      <c r="C13" s="4">
        <v>45136.636111111111</v>
      </c>
      <c r="D13" s="10">
        <v>22.239333333345702</v>
      </c>
      <c r="E13" s="16">
        <v>2724.2704058125</v>
      </c>
      <c r="F13" s="20">
        <v>1.04E-2</v>
      </c>
      <c r="G13" s="3" t="s">
        <v>18</v>
      </c>
      <c r="H13" s="3">
        <v>463</v>
      </c>
      <c r="I13" s="4">
        <v>45151.802083333336</v>
      </c>
      <c r="J13" s="3">
        <v>19.070000000010602</v>
      </c>
      <c r="K13" s="12">
        <v>2724.2387349999999</v>
      </c>
      <c r="L13" s="20">
        <v>5.8000000000000003E-2</v>
      </c>
    </row>
    <row r="14" spans="1:18" x14ac:dyDescent="0.25">
      <c r="A14" s="3" t="s">
        <v>17</v>
      </c>
      <c r="B14" s="3">
        <v>447</v>
      </c>
      <c r="C14" s="4">
        <v>45136.646527777775</v>
      </c>
      <c r="D14" s="10">
        <v>22.5026666666963</v>
      </c>
      <c r="E14" s="16">
        <v>2724.2730557333334</v>
      </c>
      <c r="F14" s="20">
        <v>7.0000000000000007E-2</v>
      </c>
      <c r="G14" s="3" t="s">
        <v>21</v>
      </c>
      <c r="H14" s="3">
        <v>464</v>
      </c>
      <c r="I14" s="4">
        <v>45151.8125</v>
      </c>
      <c r="J14" s="3">
        <v>18.7800000000152</v>
      </c>
      <c r="K14" s="12">
        <v>2724.2358260000001</v>
      </c>
      <c r="L14" s="20">
        <v>5.79E-2</v>
      </c>
      <c r="M14" s="21" t="s">
        <v>50</v>
      </c>
      <c r="N14" s="21"/>
      <c r="O14" s="21"/>
      <c r="P14" s="21"/>
    </row>
    <row r="15" spans="1:18" x14ac:dyDescent="0.25">
      <c r="A15" s="3" t="s">
        <v>18</v>
      </c>
      <c r="B15" s="3">
        <v>448</v>
      </c>
      <c r="C15" s="4">
        <v>45136.656944444447</v>
      </c>
      <c r="D15" s="10">
        <v>22.388000000000801</v>
      </c>
      <c r="E15" s="16">
        <v>2724.2719740000002</v>
      </c>
      <c r="F15" s="20">
        <v>7.1599999999999997E-2</v>
      </c>
      <c r="G15" s="5" t="s">
        <v>19</v>
      </c>
      <c r="H15" s="5">
        <v>465</v>
      </c>
      <c r="I15" s="6">
        <v>45151.822916666664</v>
      </c>
      <c r="J15" s="5">
        <v>18.430000000034799</v>
      </c>
      <c r="K15" s="13">
        <v>2724.2323270000002</v>
      </c>
      <c r="L15" s="20">
        <v>5.8299999999999998E-2</v>
      </c>
      <c r="M15" s="2" t="s">
        <v>0</v>
      </c>
      <c r="N15" s="2" t="s">
        <v>2</v>
      </c>
      <c r="O15" s="2" t="s">
        <v>1</v>
      </c>
      <c r="P15" s="2" t="s">
        <v>51</v>
      </c>
    </row>
    <row r="16" spans="1:18" x14ac:dyDescent="0.25">
      <c r="A16" s="5" t="s">
        <v>21</v>
      </c>
      <c r="B16" s="5">
        <v>449</v>
      </c>
      <c r="C16" s="6">
        <v>45136.667361111111</v>
      </c>
      <c r="D16" s="9">
        <v>22.200666666685699</v>
      </c>
      <c r="E16" s="17">
        <v>2724.2701999999999</v>
      </c>
      <c r="F16" s="20">
        <v>4.7199999999999999E-2</v>
      </c>
      <c r="G16" s="19" t="s">
        <v>20</v>
      </c>
      <c r="H16" s="19">
        <v>466</v>
      </c>
      <c r="I16" s="4">
        <v>45151.833333333336</v>
      </c>
      <c r="J16" s="3">
        <v>18.430000000034799</v>
      </c>
      <c r="K16" s="12">
        <v>2724.2323580000002</v>
      </c>
      <c r="L16" s="20">
        <v>4.6899999999999997E-2</v>
      </c>
      <c r="M16" s="5" t="s">
        <v>38</v>
      </c>
      <c r="N16" s="5" t="s">
        <v>15</v>
      </c>
      <c r="O16" s="11">
        <v>45134</v>
      </c>
      <c r="P16" s="5" t="s">
        <v>52</v>
      </c>
    </row>
    <row r="17" spans="1:16" x14ac:dyDescent="0.25">
      <c r="A17" s="3" t="s">
        <v>19</v>
      </c>
      <c r="B17" s="3">
        <v>450</v>
      </c>
      <c r="C17" s="4">
        <v>45136.677777777775</v>
      </c>
      <c r="D17" s="10">
        <v>21.922000000040399</v>
      </c>
      <c r="E17" s="16">
        <v>2724.2673049999999</v>
      </c>
      <c r="F17" s="20">
        <v>6.0499999999999998E-2</v>
      </c>
      <c r="G17" s="5" t="s">
        <v>22</v>
      </c>
      <c r="H17" s="5">
        <v>467</v>
      </c>
      <c r="I17" s="6">
        <v>45151.84375</v>
      </c>
      <c r="J17" s="5">
        <v>18.7800000000152</v>
      </c>
      <c r="K17" s="12">
        <v>2724.2357999999999</v>
      </c>
      <c r="L17" s="20">
        <v>1.77E-2</v>
      </c>
      <c r="M17" s="5" t="s">
        <v>39</v>
      </c>
      <c r="N17" s="5" t="s">
        <v>15</v>
      </c>
      <c r="O17" s="11">
        <v>45134</v>
      </c>
      <c r="P17" s="5" t="s">
        <v>53</v>
      </c>
    </row>
    <row r="18" spans="1:16" x14ac:dyDescent="0.25">
      <c r="A18" s="3" t="s">
        <v>20</v>
      </c>
      <c r="B18" s="3">
        <v>451</v>
      </c>
      <c r="C18" s="4">
        <v>45136.688194444447</v>
      </c>
      <c r="D18" s="10">
        <v>21.7753333333348</v>
      </c>
      <c r="E18" s="16">
        <v>2724.2661360000002</v>
      </c>
      <c r="F18" s="20">
        <v>6.6199999999999995E-2</v>
      </c>
      <c r="G18" s="5" t="s">
        <v>34</v>
      </c>
      <c r="H18" s="5">
        <v>468</v>
      </c>
      <c r="I18" s="6">
        <v>45151.854166666664</v>
      </c>
      <c r="J18" s="5">
        <v>18.6100000000351</v>
      </c>
      <c r="K18" s="12">
        <v>2724.2340669999999</v>
      </c>
      <c r="L18" s="20">
        <v>3.1800000000000002E-2</v>
      </c>
      <c r="M18" s="5" t="s">
        <v>40</v>
      </c>
      <c r="N18" s="5" t="s">
        <v>15</v>
      </c>
      <c r="O18" s="11">
        <v>45134</v>
      </c>
      <c r="P18" s="5" t="s">
        <v>54</v>
      </c>
    </row>
    <row r="19" spans="1:16" x14ac:dyDescent="0.25">
      <c r="A19" s="5" t="s">
        <v>22</v>
      </c>
      <c r="B19" s="5">
        <v>452</v>
      </c>
      <c r="C19" s="6">
        <v>45136.698611111111</v>
      </c>
      <c r="D19" s="9">
        <v>21.282000000019199</v>
      </c>
      <c r="E19" t="s">
        <v>23</v>
      </c>
      <c r="G19" s="5" t="s">
        <v>25</v>
      </c>
      <c r="H19" s="5">
        <v>469</v>
      </c>
      <c r="I19" s="6">
        <v>45151.864583333336</v>
      </c>
      <c r="J19" s="5">
        <v>19.070000000010602</v>
      </c>
      <c r="K19" s="12">
        <v>2724.2387450000001</v>
      </c>
      <c r="L19" s="20">
        <v>4.8099999999999997E-2</v>
      </c>
      <c r="M19" s="5" t="s">
        <v>41</v>
      </c>
      <c r="N19" s="5" t="s">
        <v>15</v>
      </c>
      <c r="O19" s="11">
        <v>45134</v>
      </c>
      <c r="P19" s="5" t="s">
        <v>55</v>
      </c>
    </row>
    <row r="20" spans="1:16" x14ac:dyDescent="0.25">
      <c r="A20" s="5" t="s">
        <v>25</v>
      </c>
      <c r="B20" s="5">
        <v>453</v>
      </c>
      <c r="C20" s="6">
        <v>45136.719444444447</v>
      </c>
      <c r="D20" s="9">
        <v>20.9879999999884</v>
      </c>
      <c r="E20" s="17">
        <v>2724.2579000000001</v>
      </c>
      <c r="F20" s="20">
        <v>1.83E-2</v>
      </c>
      <c r="G20" s="3" t="s">
        <v>35</v>
      </c>
      <c r="H20" s="3">
        <v>470</v>
      </c>
      <c r="I20" s="4">
        <v>45151.875</v>
      </c>
      <c r="J20" s="3">
        <v>19.370000000026199</v>
      </c>
      <c r="K20" s="12">
        <v>2724.2416539999999</v>
      </c>
      <c r="L20" s="20">
        <v>1.8800000000000001E-2</v>
      </c>
      <c r="M20" s="5" t="s">
        <v>42</v>
      </c>
      <c r="N20" s="5" t="s">
        <v>15</v>
      </c>
      <c r="O20" s="11">
        <v>45134</v>
      </c>
      <c r="P20" s="5" t="s">
        <v>56</v>
      </c>
    </row>
    <row r="21" spans="1:16" x14ac:dyDescent="0.25">
      <c r="A21" s="5" t="s">
        <v>26</v>
      </c>
      <c r="B21" s="5">
        <v>454</v>
      </c>
      <c r="C21" s="6">
        <v>45136.740277777775</v>
      </c>
      <c r="D21" s="9">
        <v>20.690666666678201</v>
      </c>
      <c r="E21" s="17">
        <v>2724.2550500000002</v>
      </c>
      <c r="F21" s="20">
        <v>1.9300000000000001E-2</v>
      </c>
      <c r="G21" s="5" t="s">
        <v>26</v>
      </c>
      <c r="H21" s="5">
        <v>471</v>
      </c>
      <c r="I21" s="6">
        <v>45151.885416666664</v>
      </c>
      <c r="J21" s="5">
        <v>19.070000000010602</v>
      </c>
      <c r="K21" s="12">
        <v>2724.2387349999999</v>
      </c>
      <c r="L21" s="20">
        <v>6.4299999999999996E-2</v>
      </c>
      <c r="M21" s="5" t="s">
        <v>43</v>
      </c>
      <c r="N21" s="5" t="s">
        <v>15</v>
      </c>
      <c r="O21" s="11">
        <v>45134</v>
      </c>
      <c r="P21" s="5" t="s">
        <v>57</v>
      </c>
    </row>
    <row r="22" spans="1:16" x14ac:dyDescent="0.25">
      <c r="A22" s="5" t="s">
        <v>27</v>
      </c>
      <c r="B22" s="5">
        <v>455</v>
      </c>
      <c r="C22" s="6">
        <v>45136.771527777775</v>
      </c>
      <c r="D22" s="9">
        <v>20.228666666662299</v>
      </c>
      <c r="E22" s="17">
        <v>2724.2504009999998</v>
      </c>
      <c r="F22" s="20"/>
      <c r="G22" s="5" t="s">
        <v>36</v>
      </c>
      <c r="H22" s="5">
        <v>472</v>
      </c>
      <c r="I22" s="6">
        <v>45151.895833333336</v>
      </c>
      <c r="J22" s="5">
        <v>19.070000000010602</v>
      </c>
      <c r="K22" s="12">
        <v>2724.2387349999999</v>
      </c>
      <c r="L22" s="20">
        <v>3.4000000000000002E-2</v>
      </c>
      <c r="M22" s="5" t="s">
        <v>44</v>
      </c>
      <c r="N22" s="5" t="s">
        <v>15</v>
      </c>
      <c r="O22" s="11">
        <v>45146</v>
      </c>
      <c r="P22" s="5" t="s">
        <v>52</v>
      </c>
    </row>
    <row r="23" spans="1:16" x14ac:dyDescent="0.25">
      <c r="M23" s="5" t="s">
        <v>45</v>
      </c>
      <c r="N23" s="5" t="s">
        <v>15</v>
      </c>
      <c r="O23" s="11">
        <v>45146</v>
      </c>
      <c r="P23" s="5" t="s">
        <v>53</v>
      </c>
    </row>
    <row r="24" spans="1:16" x14ac:dyDescent="0.25">
      <c r="A24" s="7" t="s">
        <v>12</v>
      </c>
      <c r="M24" s="5" t="s">
        <v>46</v>
      </c>
      <c r="N24" s="5" t="s">
        <v>15</v>
      </c>
      <c r="O24" s="11">
        <v>45146</v>
      </c>
      <c r="P24" s="5" t="s">
        <v>54</v>
      </c>
    </row>
    <row r="25" spans="1:16" x14ac:dyDescent="0.25">
      <c r="A25" s="8" t="s">
        <v>13</v>
      </c>
      <c r="G25" t="s">
        <v>60</v>
      </c>
      <c r="M25" s="5" t="s">
        <v>47</v>
      </c>
      <c r="N25" s="5" t="s">
        <v>15</v>
      </c>
      <c r="O25" s="11">
        <v>45146</v>
      </c>
      <c r="P25" s="5" t="s">
        <v>55</v>
      </c>
    </row>
    <row r="26" spans="1:16" x14ac:dyDescent="0.25">
      <c r="M26" s="5" t="s">
        <v>48</v>
      </c>
      <c r="N26" s="5" t="s">
        <v>15</v>
      </c>
      <c r="O26" s="11">
        <v>45146</v>
      </c>
      <c r="P26" s="5" t="s">
        <v>56</v>
      </c>
    </row>
    <row r="27" spans="1:16" x14ac:dyDescent="0.25">
      <c r="A27" t="s">
        <v>24</v>
      </c>
      <c r="N27" s="1"/>
    </row>
    <row r="47" spans="7:7" x14ac:dyDescent="0.25">
      <c r="G47" t="s">
        <v>61</v>
      </c>
    </row>
  </sheetData>
  <mergeCells count="6">
    <mergeCell ref="M14:P14"/>
    <mergeCell ref="A1:D1"/>
    <mergeCell ref="A11:D11"/>
    <mergeCell ref="G1:J1"/>
    <mergeCell ref="G9:J9"/>
    <mergeCell ref="M1:P1"/>
  </mergeCells>
  <phoneticPr fontId="2" type="noConversion"/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Hucke Nunez, Nicole (huck4481@vandals.uidaho.edu)</dc:creator>
  <cp:lastModifiedBy>Hucke, Nicole (huck4481@vandals.uidaho.edu)</cp:lastModifiedBy>
  <dcterms:created xsi:type="dcterms:W3CDTF">2024-04-16T00:00:56Z</dcterms:created>
  <dcterms:modified xsi:type="dcterms:W3CDTF">2026-07-05T23:46:37Z</dcterms:modified>
</cp:coreProperties>
</file>